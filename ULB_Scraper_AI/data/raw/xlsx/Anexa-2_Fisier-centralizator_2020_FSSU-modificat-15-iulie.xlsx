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ntralizator facultate" sheetId="1" r:id="rId4"/>
    <sheet state="visible" name="I.1" sheetId="2" r:id="rId5"/>
    <sheet state="visible" name="I.2" sheetId="3" r:id="rId6"/>
    <sheet state="visible" name="I.3" sheetId="4" r:id="rId7"/>
    <sheet state="visible" name="I.4" sheetId="5" r:id="rId8"/>
    <sheet state="visible" name="I.5" sheetId="6" r:id="rId9"/>
    <sheet state="visible" name="I.6" sheetId="7" r:id="rId10"/>
    <sheet state="visible" name="I.7" sheetId="8" r:id="rId11"/>
    <sheet state="visible" name="I.8" sheetId="9" r:id="rId12"/>
    <sheet state="visible" name="I.9" sheetId="10" r:id="rId13"/>
    <sheet state="visible" name="I.10" sheetId="11" r:id="rId14"/>
    <sheet state="visible" name="I.11" sheetId="12" r:id="rId15"/>
    <sheet state="visible" name="I.12" sheetId="13" r:id="rId16"/>
    <sheet state="visible" name="I.13" sheetId="14" r:id="rId17"/>
    <sheet state="visible" name="I.14" sheetId="15" r:id="rId18"/>
    <sheet state="visible" name="I.15" sheetId="16" r:id="rId19"/>
    <sheet state="visible" name="I.16" sheetId="17" r:id="rId20"/>
    <sheet state="visible" name="I. 17." sheetId="18" r:id="rId21"/>
    <sheet state="visible" name="I. 18" sheetId="19" r:id="rId22"/>
    <sheet state="visible" name="I.19" sheetId="20" r:id="rId23"/>
    <sheet state="visible" name="I.20" sheetId="21" r:id="rId24"/>
  </sheets>
  <externalReferences>
    <externalReference r:id="rId25"/>
    <externalReference r:id="rId26"/>
  </externalReferences>
  <definedNames/>
  <calcPr/>
  <extLst>
    <ext uri="GoogleSheetsCustomDataVersion1">
      <go:sheetsCustomData xmlns:go="http://customooxmlschemas.google.com/" r:id="rId27" roundtripDataSignature="AMtx7mjUZUOFSHTyHp2Q/Al75R7fEJN2uw=="/>
    </ext>
  </extLst>
</workbook>
</file>

<file path=xl/sharedStrings.xml><?xml version="1.0" encoding="utf-8"?>
<sst xmlns="http://schemas.openxmlformats.org/spreadsheetml/2006/main" count="11495" uniqueCount="5224">
  <si>
    <t>Facultate:</t>
  </si>
  <si>
    <t>Științe Socio-Umane</t>
  </si>
  <si>
    <t>Cd doc
Prof
Conf
Lect/Șl
Asist</t>
  </si>
  <si>
    <t>Cd doc: 500
Prof: 350
Conf: 300
Lect/Șl: 250
Asistent 200</t>
  </si>
  <si>
    <t>Atentie! 
Plafon maxim!</t>
  </si>
  <si>
    <r>
      <rPr>
        <rFont val="calibri"/>
        <color theme="1"/>
        <sz val="11.0"/>
      </rPr>
      <t xml:space="preserve">Galben = OK
</t>
    </r>
    <r>
      <rPr>
        <rFont val="Calibri"/>
        <color rgb="FFDD0806"/>
        <sz val="11.0"/>
      </rPr>
      <t>Rosu = ATENTIE</t>
    </r>
  </si>
  <si>
    <r>
      <rPr>
        <rFont val="calibri"/>
        <color theme="1"/>
        <sz val="11.0"/>
      </rPr>
      <t xml:space="preserve">Galben = OK
</t>
    </r>
    <r>
      <rPr>
        <rFont val="Calibri"/>
        <color rgb="FFDD0806"/>
        <sz val="11.0"/>
      </rPr>
      <t>Rosu = ATENTIE</t>
    </r>
  </si>
  <si>
    <t>Nr. crt.</t>
  </si>
  <si>
    <t>Numele și prenumele</t>
  </si>
  <si>
    <t>Cod Departament</t>
  </si>
  <si>
    <t>Grad didactic la 01.01.2020</t>
  </si>
  <si>
    <t>Punctaj de referinta cf grad didactic</t>
  </si>
  <si>
    <t>I1</t>
  </si>
  <si>
    <t>I2</t>
  </si>
  <si>
    <t>I3</t>
  </si>
  <si>
    <t>I4</t>
  </si>
  <si>
    <t>I5</t>
  </si>
  <si>
    <t>I6</t>
  </si>
  <si>
    <t>I7</t>
  </si>
  <si>
    <t>I8</t>
  </si>
  <si>
    <t>I9</t>
  </si>
  <si>
    <t>I10</t>
  </si>
  <si>
    <t>I11</t>
  </si>
  <si>
    <t>I12</t>
  </si>
  <si>
    <t>I13</t>
  </si>
  <si>
    <t>I14</t>
  </si>
  <si>
    <t>I15</t>
  </si>
  <si>
    <t>I16</t>
  </si>
  <si>
    <t>I17</t>
  </si>
  <si>
    <t>I18</t>
  </si>
  <si>
    <t>I19</t>
  </si>
  <si>
    <t>I20</t>
  </si>
  <si>
    <t xml:space="preserve">TOTAL </t>
  </si>
  <si>
    <t>Punctaj centralizator individual semnat</t>
  </si>
  <si>
    <t>Punctaj centralizator facultate</t>
  </si>
  <si>
    <t>Diferente TOTAL - Centralizator individual</t>
  </si>
  <si>
    <t>Diferente TOTAL - Centralizator facultate</t>
  </si>
  <si>
    <t>Albu Ioan</t>
  </si>
  <si>
    <t>FSSU2</t>
  </si>
  <si>
    <t>Prof.univ.dr.</t>
  </si>
  <si>
    <t>Bădilă Daniela Maria</t>
  </si>
  <si>
    <t>Lect.univ.dr.</t>
  </si>
  <si>
    <t>Bucur Mirel Vasile</t>
  </si>
  <si>
    <t>Corneanu Constantin Sebastian</t>
  </si>
  <si>
    <t>Crăciun Cornel</t>
  </si>
  <si>
    <t>Conf.univ.dr.</t>
  </si>
  <si>
    <t>Crețu Victor Daniel</t>
  </si>
  <si>
    <t>Csaba Szabo</t>
  </si>
  <si>
    <t>Asist.univ.dr.</t>
  </si>
  <si>
    <t>DĂNEASĂ CRISTINA MARIA</t>
  </si>
  <si>
    <t>DRAGOTĂ AUREL</t>
  </si>
  <si>
    <t>GRANCEA MIHAIELA</t>
  </si>
  <si>
    <t>GUTTMANN MÁRTA JÚLIA</t>
  </si>
  <si>
    <t>HERLEA SIMONA MARIA</t>
  </si>
  <si>
    <t>IONIȚĂ ALEXANDRU</t>
  </si>
  <si>
    <t>Cercet. Științ</t>
  </si>
  <si>
    <t>LANGA PAUL VICTOR</t>
  </si>
  <si>
    <t>Asist.univ.</t>
  </si>
  <si>
    <t>LUCA SABIN ADRIAN</t>
  </si>
  <si>
    <t>PINTER ZENO-KARL</t>
  </si>
  <si>
    <t>PURECE SILVIU ISTRATE</t>
  </si>
  <si>
    <t>RACOVIȚAN RADU</t>
  </si>
  <si>
    <t>RADU SORIN</t>
  </si>
  <si>
    <t>SOROȘTINEANU VALERIA</t>
  </si>
  <si>
    <t>ȘPAN MARIA</t>
  </si>
  <si>
    <t>STANCIU-PĂSCĂRIȚĂ DANIELA MARIA</t>
  </si>
  <si>
    <t>ȚIPLIC IOAN MARIAN</t>
  </si>
  <si>
    <t>TOBLER STEFAN ANDREAS</t>
  </si>
  <si>
    <t>TUDORIE ANAMARIA</t>
  </si>
  <si>
    <t>CIOLTEI ALEXANDRU</t>
  </si>
  <si>
    <t>Cercet. Științific</t>
  </si>
  <si>
    <t>ȘOVREA ADRIAN</t>
  </si>
  <si>
    <t>Duse Carmen Sonia</t>
  </si>
  <si>
    <t>FSSU5</t>
  </si>
  <si>
    <t>prof.</t>
  </si>
  <si>
    <t>Mara Daniel</t>
  </si>
  <si>
    <t>Mara Elena Lucia</t>
  </si>
  <si>
    <t>Cretu Daniela</t>
  </si>
  <si>
    <t>conf.</t>
  </si>
  <si>
    <t>Nicu Adriana</t>
  </si>
  <si>
    <t>Chișiu Carmen Maria</t>
  </si>
  <si>
    <t>Gruber Gabriela</t>
  </si>
  <si>
    <t>Andron Daniela</t>
  </si>
  <si>
    <t>Iunesch Liana</t>
  </si>
  <si>
    <t>Ionescu Alina Geanina</t>
  </si>
  <si>
    <t>Konnerth Sara</t>
  </si>
  <si>
    <t>Mihaescu Diana</t>
  </si>
  <si>
    <t>Kifor Stefania</t>
  </si>
  <si>
    <t>lect.</t>
  </si>
  <si>
    <t>Mag Alina</t>
  </si>
  <si>
    <t>Marcu Maria</t>
  </si>
  <si>
    <t>Andrei Olivia</t>
  </si>
  <si>
    <t>Bologa Lia</t>
  </si>
  <si>
    <t>Moldovan Alina</t>
  </si>
  <si>
    <t>Popa Maria Cristina</t>
  </si>
  <si>
    <t>Leonhard Teresa</t>
  </si>
  <si>
    <t>Ciochina Cezarina</t>
  </si>
  <si>
    <t>asist.</t>
  </si>
  <si>
    <t>Popa Daniela Carmen</t>
  </si>
  <si>
    <t>Mihai Sima</t>
  </si>
  <si>
    <t>FSSU7</t>
  </si>
  <si>
    <t>Lector</t>
  </si>
  <si>
    <t>Aurelia Drăghici</t>
  </si>
  <si>
    <t>Man Mihaela</t>
  </si>
  <si>
    <t>Asistent</t>
  </si>
  <si>
    <t>Bucuță Mihaela</t>
  </si>
  <si>
    <t>Conferențiar</t>
  </si>
  <si>
    <t>Milcu Marius</t>
  </si>
  <si>
    <t>Sassu Raluca</t>
  </si>
  <si>
    <t>Profesor</t>
  </si>
  <si>
    <t>Boțone Daniela Nicoleta</t>
  </si>
  <si>
    <t>Sumedrea Cristian Mihai</t>
  </si>
  <si>
    <t>Iordănescu Eugen</t>
  </si>
  <si>
    <t>Brate Adrian</t>
  </si>
  <si>
    <t>Crînguş Costin</t>
  </si>
  <si>
    <t>Marcu Gabriela</t>
  </si>
  <si>
    <t>Răulea Ciprian Ioan</t>
  </si>
  <si>
    <t>Grama Blanca Georgiana</t>
  </si>
  <si>
    <t>Moşoiu Cornel</t>
  </si>
  <si>
    <t>Sumedrea Alin</t>
  </si>
  <si>
    <t>Man Gabriela</t>
  </si>
  <si>
    <t>Cătană Anamaria</t>
  </si>
  <si>
    <t>Alexandru Dana</t>
  </si>
  <si>
    <t>FSSU3</t>
  </si>
  <si>
    <t>Conf.univ.</t>
  </si>
  <si>
    <t>Dragoman Dragoş</t>
  </si>
  <si>
    <t>Tomescu Emilia</t>
  </si>
  <si>
    <t>Lector univ.</t>
  </si>
  <si>
    <t>Străuţiu Eugen</t>
  </si>
  <si>
    <t>Prof.univ.</t>
  </si>
  <si>
    <t>Şerban Gabriel</t>
  </si>
  <si>
    <t>Gheorghiţă Bogdan</t>
  </si>
  <si>
    <t>Neagoş Iuliana</t>
  </si>
  <si>
    <t>Luca Sabina</t>
  </si>
  <si>
    <t>Şpechea Marius</t>
  </si>
  <si>
    <t>Munteanu Nicoleta Annemarie</t>
  </si>
  <si>
    <t>Moraru Pavel</t>
  </si>
  <si>
    <t>Savu Ovidiu Horia</t>
  </si>
  <si>
    <t>Nate Silviu</t>
  </si>
  <si>
    <t>Stănuş Cristina</t>
  </si>
  <si>
    <t>Zamfira Andreea Roxana</t>
  </si>
  <si>
    <t>Bejenaru Anca</t>
  </si>
  <si>
    <t>FSSU6</t>
  </si>
  <si>
    <t>Conf</t>
  </si>
  <si>
    <t xml:space="preserve">Beju Anabella </t>
  </si>
  <si>
    <t>Lect</t>
  </si>
  <si>
    <t>Bobic Viorica</t>
  </si>
  <si>
    <t>Ciocan Ioana-Tatiana</t>
  </si>
  <si>
    <t>Asist</t>
  </si>
  <si>
    <t>Corman Sorina</t>
  </si>
  <si>
    <t>Coșciug Anatolie</t>
  </si>
  <si>
    <t>Crețu Ioana-Narcisa</t>
  </si>
  <si>
    <t>Prof</t>
  </si>
  <si>
    <t>Croitoru Alin</t>
  </si>
  <si>
    <t>Curta Ioana</t>
  </si>
  <si>
    <t>Damian Ovidiu Corneliu</t>
  </si>
  <si>
    <t>David Anca</t>
  </si>
  <si>
    <t>Enache Costin-Răzvan</t>
  </si>
  <si>
    <t>Gheorghiță Andrei</t>
  </si>
  <si>
    <t>Grozea Lucian</t>
  </si>
  <si>
    <t>Guțoiu Giorgian-Ionuț</t>
  </si>
  <si>
    <t>Hasmațuchi Gabriel</t>
  </si>
  <si>
    <t>Lup Oana</t>
  </si>
  <si>
    <t>Mitrea Elena Cristina</t>
  </si>
  <si>
    <t>Morândău Felicia</t>
  </si>
  <si>
    <t>Mureșan Raluca</t>
  </si>
  <si>
    <t>Pavelescu Amalia</t>
  </si>
  <si>
    <t>Pintea Adina</t>
  </si>
  <si>
    <t>Pogan Livia Dana</t>
  </si>
  <si>
    <t>Popa Adela Elena</t>
  </si>
  <si>
    <t>Popa Radu-Ioan</t>
  </si>
  <si>
    <t>Rădăcină Oana-Elena</t>
  </si>
  <si>
    <t>Rusu Horațiu</t>
  </si>
  <si>
    <t>Rusu Mihai Stelian</t>
  </si>
  <si>
    <t>Sălcudean Minodora</t>
  </si>
  <si>
    <t>Silistraru Ioana</t>
  </si>
  <si>
    <t>Stanciu Raluca</t>
  </si>
  <si>
    <t>Stănese Radu-Dumitru</t>
  </si>
  <si>
    <t>Vlase Ionela</t>
  </si>
  <si>
    <t>Ștefenel Delia</t>
  </si>
  <si>
    <t>TOTAL</t>
  </si>
  <si>
    <t>TOTAL din baza 
(I1 ...I20)</t>
  </si>
  <si>
    <t>Diferenta total-total baza</t>
  </si>
  <si>
    <r>
      <rPr>
        <rFont val="calibri"/>
        <color theme="1"/>
        <sz val="11.0"/>
      </rPr>
      <t xml:space="preserve">Galben = OK
</t>
    </r>
    <r>
      <rPr>
        <rFont val="Calibri"/>
        <color rgb="FFDD0806"/>
        <sz val="11.0"/>
      </rPr>
      <t>Rosu = ATENTIE</t>
    </r>
  </si>
  <si>
    <t>Numar cadre didactice centralizator facultate:</t>
  </si>
  <si>
    <t>Numar cadre didactice verficate:</t>
  </si>
  <si>
    <t>Diferenta:</t>
  </si>
  <si>
    <r>
      <rPr>
        <rFont val="calibri"/>
        <color theme="1"/>
        <sz val="11.0"/>
      </rPr>
      <t xml:space="preserve">Galben = OK
</t>
    </r>
    <r>
      <rPr>
        <rFont val="Calibri"/>
        <color rgb="FFDD0806"/>
        <sz val="11.0"/>
      </rPr>
      <t>Rosu = ATENTIE</t>
    </r>
  </si>
  <si>
    <r>
      <rPr>
        <rFont val="arial narrow"/>
        <b/>
        <color rgb="FF000000"/>
        <sz val="12.0"/>
      </rPr>
      <t>I.1 - Articol în revistă WoS</t>
    </r>
    <r>
      <rPr>
        <rFont val="Arial Narrow"/>
        <b/>
        <color rgb="FF000000"/>
        <sz val="12.0"/>
      </rPr>
      <t>: SCIS, SSCI situată în ”zona r</t>
    </r>
    <r>
      <rPr>
        <rFont val="Arial Narrow"/>
        <b/>
        <color rgb="FF000000"/>
        <sz val="12.0"/>
      </rPr>
      <t>osie” / Q1, ”zona galbenă” / Q2, re</t>
    </r>
    <r>
      <rPr>
        <rFont val="Arial Narrow"/>
        <b/>
        <color rgb="FF000000"/>
        <sz val="12.0"/>
      </rPr>
      <t>spectiv AHCI &gt; 5 ani</t>
    </r>
  </si>
  <si>
    <r>
      <rPr>
        <rFont val="arial narrow"/>
        <color theme="1"/>
        <sz val="10.0"/>
      </rPr>
      <t xml:space="preserve">Articole încadrate “document type” ca </t>
    </r>
    <r>
      <rPr>
        <rFont val="Arial Narrow"/>
        <b/>
        <color theme="1"/>
        <sz val="10.0"/>
      </rPr>
      <t xml:space="preserve">“Article” </t>
    </r>
    <r>
      <rPr>
        <rFont val="Arial Narrow"/>
        <color theme="1"/>
        <sz val="10.0"/>
      </rPr>
      <t>sau</t>
    </r>
    <r>
      <rPr>
        <rFont val="Arial Narrow"/>
        <b/>
        <color theme="1"/>
        <sz val="10.0"/>
      </rPr>
      <t xml:space="preserve"> „Review”</t>
    </r>
    <r>
      <rPr>
        <rFont val="Arial Narrow"/>
        <color theme="1"/>
        <sz val="10.0"/>
      </rPr>
      <t xml:space="preserve"> în reviste cotate WoS (Web of Science) - SCIE - Science Citation Index Expanded şi SSCI - Social Sciences Citation Index), din</t>
    </r>
    <r>
      <rPr>
        <rFont val="Arial Narrow"/>
        <b/>
        <color theme="1"/>
        <sz val="10.0"/>
      </rPr>
      <t xml:space="preserve"> ”zona roşie”/Q1</t>
    </r>
    <r>
      <rPr>
        <rFont val="Arial Narrow"/>
        <color theme="1"/>
        <sz val="10.0"/>
      </rPr>
      <t>, şi</t>
    </r>
    <r>
      <rPr>
        <rFont val="Arial Narrow"/>
        <b/>
        <color theme="1"/>
        <sz val="10.0"/>
      </rPr>
      <t xml:space="preserve"> ”zona galbenă”/Q2</t>
    </r>
    <r>
      <rPr>
        <rFont val="Arial Narrow"/>
        <color theme="1"/>
        <sz val="10.0"/>
      </rPr>
      <t xml:space="preserve"> în conformitate cu Listele UEFISCDI a revistelor încadrate pe subdomenii ştiinţifice, respectiv în reviste AHCI - Arts &amp; Humanities Citation Index cu o vechime de cel puţin 5 ani în Web of Science Core Collection, în conformitate cu Lista UEFISCDI a revistelor indexate in AHCI.</t>
    </r>
  </si>
  <si>
    <r>
      <rPr>
        <rFont val="arial narrow"/>
        <color theme="1"/>
        <sz val="10.0"/>
      </rPr>
      <t xml:space="preserve">Articolul trebuie publicat în anul de raportare şi să fie </t>
    </r>
    <r>
      <rPr>
        <rFont val="Arial Narrow"/>
        <b/>
        <color theme="1"/>
        <sz val="10.0"/>
      </rPr>
      <t xml:space="preserve">vizibil în Web of Science Core Collection </t>
    </r>
    <r>
      <rPr>
        <rFont val="Arial Narrow"/>
        <color theme="1"/>
        <sz val="10.0"/>
      </rPr>
      <t>din platforma www.webofknowledge.com</t>
    </r>
  </si>
  <si>
    <t>Listele de referință UEFISCDI sunt cele din anul anterior raportării și sunt disponibile pe site-ul https://uefiscdi.ro/scientometrie-reviste.
În cazul în care o revistă este încadrată în mai multe subdomenii, se ia în calcul încadrarea cea mai favorabilă.</t>
  </si>
  <si>
    <t>Articolul trebuie să conţină menţiunea afilierii la ULBS a declarantului.</t>
  </si>
  <si>
    <r>
      <rPr>
        <rFont val="arial narrow"/>
        <color theme="1"/>
        <sz val="10.0"/>
      </rPr>
      <t xml:space="preserve">* </t>
    </r>
    <r>
      <rPr>
        <rFont val="Arial Narrow"/>
        <b/>
        <color theme="1"/>
        <sz val="10.0"/>
      </rPr>
      <t xml:space="preserve">Punctaje de referință:                                                                                                                                                                                                                                                                                                          
</t>
    </r>
    <r>
      <rPr>
        <rFont val="Arial Narrow"/>
        <color theme="1"/>
        <sz val="10.0"/>
      </rPr>
      <t xml:space="preserve">• Articol în zona roşie / Q1 = 1500 de puncte
• Articol in zona galbenă / Q2 = 1000 de puncte
• Articol in AHCI &gt; 5 ani: 1200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</si>
  <si>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Titlul articolului</t>
  </si>
  <si>
    <t>Numele și prenumele autorilor (afilierea)</t>
  </si>
  <si>
    <t>Cod departament</t>
  </si>
  <si>
    <t>Titlul revistei</t>
  </si>
  <si>
    <t>Volum</t>
  </si>
  <si>
    <t>Număr</t>
  </si>
  <si>
    <t>ISSN revistă</t>
  </si>
  <si>
    <t>Link către articol pe site - ul revistei</t>
  </si>
  <si>
    <t>DOI articol (Digital object identifier)</t>
  </si>
  <si>
    <t>WOS Accession Number</t>
  </si>
  <si>
    <t>Paginile articolului (de la … până la …)</t>
  </si>
  <si>
    <t>Anul publicării</t>
  </si>
  <si>
    <t>Tipul revistei (zona rosie/Q1; zona galbena/Q2; AHCI&gt;5ani)</t>
  </si>
  <si>
    <t>Factor de impact revistă</t>
  </si>
  <si>
    <t>Punctaj de referință*</t>
  </si>
  <si>
    <t>Punctaj individual</t>
  </si>
  <si>
    <t>Numele și prenumele Declarant</t>
  </si>
  <si>
    <t>Multicultural Education in Transylvania. Perspectives for the German Minority</t>
  </si>
  <si>
    <t>Daniela Stanciu, Raluca Sassu</t>
  </si>
  <si>
    <t>FSSU 2</t>
  </si>
  <si>
    <t>Transylvanian Review</t>
  </si>
  <si>
    <t>XXIX</t>
  </si>
  <si>
    <t>1221-1249</t>
  </si>
  <si>
    <t>http://www.centruldestudiitransilvane.ro/Document_Files/Review%202015%20-%202035/00000784/whykj_TransylvanianReviewXXVIIINo2.pdf</t>
  </si>
  <si>
    <t>de la 24 la 34</t>
  </si>
  <si>
    <t>Zonă galbenă Q2</t>
  </si>
  <si>
    <t xml:space="preserve">Initial Teacher Education for Inclusive Education: A Bibliometric Analysis of Educational Research </t>
  </si>
  <si>
    <t>Cretu Daniela Maria Morandau Felicia</t>
  </si>
  <si>
    <t>Sustainability</t>
  </si>
  <si>
    <t>2071-1050</t>
  </si>
  <si>
    <t>https://www.mdpi.com/2071-1050/12/12/4923</t>
  </si>
  <si>
    <t>doi:10.3390/su12124923</t>
  </si>
  <si>
    <t>WOS:000549321500001</t>
  </si>
  <si>
    <t>4923 (MDPI journals use article numbers instead of page numbers).</t>
  </si>
  <si>
    <t>Q2</t>
  </si>
  <si>
    <t>Crețu Daniela</t>
  </si>
  <si>
    <t>Multicultural Education in Transylvania: Perspectives for the German Minority.</t>
  </si>
  <si>
    <t>SASSU, RALUCA; STANCIU, DANIELA</t>
  </si>
  <si>
    <t>Vol. 29</t>
  </si>
  <si>
    <t xml:space="preserve"> Issue 4</t>
  </si>
  <si>
    <t>EBSCOhost | 148243191 | Multicultural Education in Transylvania: Perspectives for the German Minority.</t>
  </si>
  <si>
    <t>WOS:000620282400002</t>
  </si>
  <si>
    <t>24-34</t>
  </si>
  <si>
    <t>AHCI&gt; 5 ani</t>
  </si>
  <si>
    <t>On the importance of being flexible: early interrelations between affective flexibility, executive functions and anxiety symptoms in preschoolers</t>
  </si>
  <si>
    <t>Oana Mărcuș , Eva Costa Martins , Raluca Sassu &amp; Laura Visu-Petra</t>
  </si>
  <si>
    <t>Early Child Development and Care</t>
  </si>
  <si>
    <r>
      <rPr>
        <rFont val="Times New Roman"/>
        <b/>
        <color rgb="FF333333"/>
        <sz val="10.0"/>
      </rPr>
      <t>Early Access: </t>
    </r>
    <r>
      <rPr>
        <rFont val="Times New Roman"/>
        <b val="0"/>
        <color rgb="FF000000"/>
        <sz val="10.0"/>
      </rPr>
      <t>SEP 2020</t>
    </r>
  </si>
  <si>
    <r>
      <rPr>
        <rFont val="Times New Roman"/>
        <b/>
        <color rgb="FF333333"/>
        <sz val="10.0"/>
      </rPr>
      <t>ISSN:</t>
    </r>
    <r>
      <rPr>
        <rFont val="Times New Roman"/>
        <b val="0"/>
        <color rgb="FF333333"/>
        <sz val="10.0"/>
      </rPr>
      <t> 0300-4430</t>
    </r>
    <r>
      <rPr>
        <rFont val="Times New Roman"/>
        <b/>
        <color rgb="FF333333"/>
        <sz val="10.0"/>
      </rPr>
      <t>,eISSN: 1476-8275</t>
    </r>
  </si>
  <si>
    <t>On the importance of being flexible: early interrelations between affective flexibility, executive f (ismai.pt)</t>
  </si>
  <si>
    <t>https://doi.org/10.1080/03004430.2020.1816995</t>
  </si>
  <si>
    <t>WOS:000569438700001</t>
  </si>
  <si>
    <t>Moral thinking across the world:Exploring the influence of personal force and intention in moral dilemma judgements [ Registered Report Stage 1 Protocol]</t>
  </si>
  <si>
    <r>
      <rPr>
        <rFont val="arial narrow"/>
        <color theme="1"/>
        <sz val="10.0"/>
      </rPr>
      <t xml:space="preserve">Bago, Bence; Aczel, Balazs; Kekecs, Zoltan; Protzko, John; Kovacs, Marton; Nagy, Tamas; </t>
    </r>
    <r>
      <rPr>
        <rFont val="Arial Narrow"/>
        <b/>
        <color theme="1"/>
        <sz val="10.0"/>
      </rPr>
      <t>Marcu, M. Gabriela (ULBS)</t>
    </r>
    <r>
      <rPr>
        <rFont val="Arial Narrow"/>
        <color theme="1"/>
        <sz val="10.0"/>
      </rPr>
      <t xml:space="preserve">; Szekely-Copîndean, Raluca Diana (UBB) et al. (2020): </t>
    </r>
  </si>
  <si>
    <t>Nature Human Behaviour</t>
  </si>
  <si>
    <t>Registered reports</t>
  </si>
  <si>
    <t>2397-3374</t>
  </si>
  <si>
    <t>https://springernature.figshare.com/articles/journal_contribution/Moral_thinking_across_the_world_Exploring_the_influence_of_personal_force_and_intention_in_moral_dilemma_judgements_Registered_Report_Stage_1_Protocol_/11871324/1</t>
  </si>
  <si>
    <t>https://doi.org/10.6084/m9.figshare.11871324.v2</t>
  </si>
  <si>
    <t>-</t>
  </si>
  <si>
    <t>Q1</t>
  </si>
  <si>
    <t>Gabriela Marcu</t>
  </si>
  <si>
    <t>Советская подрывная деятельность в тылу Румынской армии на заключительном этапе Восточной кампании (1944) (Soviet subversive activities in the rear of the Romanian army at the final stage of the Eastern campaign (1944)).</t>
  </si>
  <si>
    <t>Вопросы Истории (Voprossy Istorii)</t>
  </si>
  <si>
    <t>10(3)</t>
  </si>
  <si>
    <t>0042-8779</t>
  </si>
  <si>
    <t>10.31166/VoprosyIstorii202010Statyi50</t>
  </si>
  <si>
    <t>158-172</t>
  </si>
  <si>
    <t>AHCI&gt;5ani</t>
  </si>
  <si>
    <t>Country images and identities in times of populism: Swiss media discourses on the ‘stop mass immigration’ initiative</t>
  </si>
  <si>
    <t xml:space="preserve">Dolea Alina (Bournemouth University); Ingenhoff Diana (Univeristy of Fribourg); Beju Anabella (Univeristatea Lucian Blaga din Sibiu) </t>
  </si>
  <si>
    <t>International Communication Gazette</t>
  </si>
  <si>
    <t>online firs, VOL83/</t>
  </si>
  <si>
    <t>1748-0485 (print) 1748-0493 (web)</t>
  </si>
  <si>
    <t>https://journals.sagepub.com/doi/full/10.1177/1748048520913462</t>
  </si>
  <si>
    <t>10.1177/1748048520913462</t>
  </si>
  <si>
    <t>1748048520913460</t>
  </si>
  <si>
    <t>pp.301-325</t>
  </si>
  <si>
    <t>zona galbenă Q2</t>
  </si>
  <si>
    <t>Beju Anabella</t>
  </si>
  <si>
    <t>Supporting the return to work after cancer in Romania: exploring employers’ perspectives</t>
  </si>
  <si>
    <t xml:space="preserve">Popa, Adela Elena ULBS; Morândău, Felicia ULBS; Popa, Radu-Ioan, ULBS; Rusu, Mihai Stelian, ULBS; Sidor, Alexandra, UBB.  </t>
  </si>
  <si>
    <t>Journal of Occupational Rehabilitation</t>
  </si>
  <si>
    <t xml:space="preserve">1053-0487 </t>
  </si>
  <si>
    <t>https://link.springer.com/article/10.1007/s10926-019-09846-1</t>
  </si>
  <si>
    <t>https://doi.org/10.1007/s10926-019-09846-1</t>
  </si>
  <si>
    <t>WOS:000514998600005</t>
  </si>
  <si>
    <t>59-71</t>
  </si>
  <si>
    <t xml:space="preserve">Initial Teacher Education for Inclusive Education: A Bibliometric Analysis of Educational Research  </t>
  </si>
  <si>
    <t>Cretu, Daniela Maria, ULBS; Morandau,Felicia, ULBS</t>
  </si>
  <si>
    <t xml:space="preserve">Sustainability </t>
  </si>
  <si>
    <t>https://doi.org/10.3390/su12124923</t>
  </si>
  <si>
    <t>nr. articol 4923</t>
  </si>
  <si>
    <t>The challenge of return to work in workers with cancer: employer priorities despite variation in social policies related to work and health</t>
  </si>
  <si>
    <t>Angelique de Rijk, Ziv Amir, Miri Cohen, Tomislav Furlan, Lode Godderis, Bojana Knezevic, Massimo Miglioretti, Fehmidah Munir, Adela Elena Popa (ULBS), Maria Sedlakova, Steffen Torp, Dana Yagil, Sietske Tamminga, Angela de Boer.</t>
  </si>
  <si>
    <t xml:space="preserve">Journal of Cancer Survivorship. </t>
  </si>
  <si>
    <t>1932-2259</t>
  </si>
  <si>
    <t>https://link.springer.com/article/10.1007/s11764-019-00829-y</t>
  </si>
  <si>
    <t>https://doi.org/10.1007/s11764-019-00829-y</t>
  </si>
  <si>
    <t>WOS:000498037200001</t>
  </si>
  <si>
    <t>188-199</t>
  </si>
  <si>
    <t>Zona roșie/Q1</t>
  </si>
  <si>
    <t>Long-term work retention after treatment for cancer: a systematic review and meta-analysis</t>
  </si>
  <si>
    <t xml:space="preserve">De Boer Angela GEM, Torp Steffen, Popa Adela (ULBS), Horsboel Trine, Zadnik Vesna, Rottenberg Yakir, Bardi Edit, Bultmann Ute &amp; Sharp Linda </t>
  </si>
  <si>
    <t>https://link.springer.com/article/10.1007/s11764-020-00862-2</t>
  </si>
  <si>
    <t>10.1007/s11764-020-00862-2</t>
  </si>
  <si>
    <t>WOS:000528382000004</t>
  </si>
  <si>
    <t>135-150</t>
  </si>
  <si>
    <t>Supporting the Return to Work After Cancer in Romania: Exploring Employers’ Perspectives</t>
  </si>
  <si>
    <t>Adela Elena Popa (ULBS), Felicia Morândău (ULBS), Radu-Ioan Popa (ULBS), Mihai Stelian Rusu (ULBS), Alexandra Sidor (Universitatea Babes Bolyai, Cluj-Napoca).</t>
  </si>
  <si>
    <t>1053-0487</t>
  </si>
  <si>
    <t>Doi: https://doi.org/10.1007/s10926-019-09846-1.</t>
  </si>
  <si>
    <t>Supporting the Return to Work After Cancer in Romania: Exploring Employers' Perspectives</t>
  </si>
  <si>
    <t>Popa Adela Elena (ULBS), Morândău Felicia (ULBS),  Popa Radu-Ioan (ULBS), Rusu Mihai Stelian (ULBS), Sidor Alexandra (UBB)</t>
  </si>
  <si>
    <t>10.1007/s10926-019-09846-1</t>
  </si>
  <si>
    <t>zona rosie/Q1</t>
  </si>
  <si>
    <t>The privatization of death: the emergence of private cemeteries in Romania’s postsocialist deathscape</t>
  </si>
  <si>
    <t>Rusu, Mihai Stelian</t>
  </si>
  <si>
    <t>Southeast European and Black Sea Studies</t>
  </si>
  <si>
    <t>1468-3857</t>
  </si>
  <si>
    <t>https://www.tandfonline.com/doi/abs/10.1080/14683857.2020.1845471</t>
  </si>
  <si>
    <t>10.1080/14683857.2020.1845471</t>
  </si>
  <si>
    <t>WOS: 588156200001</t>
  </si>
  <si>
    <t>571-591</t>
  </si>
  <si>
    <t>zona roșie/Q1 (Scor relativ de influență, „Area Studies”)</t>
  </si>
  <si>
    <t>Political patterning of urban namescapes and post-socialist toponymic change: A quantitative analysis of three Romanian cities</t>
  </si>
  <si>
    <t>Cities</t>
  </si>
  <si>
    <t>fără număr</t>
  </si>
  <si>
    <t>0264-2751</t>
  </si>
  <si>
    <t>https://www.sciencedirect.com/science/article/pii/S0264275119315689</t>
  </si>
  <si>
    <t>10.1016/j.cities.2020.102773</t>
  </si>
  <si>
    <t>WOS: 541152300021</t>
  </si>
  <si>
    <t>1-13</t>
  </si>
  <si>
    <t>zona roșie/Q1</t>
  </si>
  <si>
    <t>Popa, Adela; Morândău, Felicia; Popa, Radu-Ioan, Rusu, Mihai Stelian; Sidor, Alexandra</t>
  </si>
  <si>
    <t>WOS: 514998600005</t>
  </si>
  <si>
    <t>Informațiile incomplete / incorecte vor conduce la neluarea în calcul a indicatorului respectiv</t>
  </si>
  <si>
    <r>
      <rPr>
        <rFont val="arial narrow"/>
        <b/>
        <color rgb="FF000000"/>
        <sz val="12.0"/>
      </rPr>
      <t>I.2- Articol în revistă cotată WoS</t>
    </r>
    <r>
      <rPr>
        <rFont val="Arial Narrow"/>
        <b/>
        <color rgb="FF000000"/>
        <sz val="12.0"/>
      </rPr>
      <t>: SCIS, SSCI – „zona gri”/ Q3, Q4 şi respectiv AHCI &lt; 5 ani, conform listelor UEFISCDI</t>
    </r>
  </si>
  <si>
    <r>
      <rPr>
        <rFont val="arial narrow"/>
        <color theme="1"/>
        <sz val="10.0"/>
      </rPr>
      <t xml:space="preserve">Articole încadrate “document type” ca </t>
    </r>
    <r>
      <rPr>
        <rFont val="Arial Narrow"/>
        <b/>
        <color theme="1"/>
        <sz val="10.0"/>
      </rPr>
      <t xml:space="preserve">“Article” </t>
    </r>
    <r>
      <rPr>
        <rFont val="Arial Narrow"/>
        <color theme="1"/>
        <sz val="10.0"/>
      </rPr>
      <t>sau</t>
    </r>
    <r>
      <rPr>
        <rFont val="Arial Narrow"/>
        <b/>
        <color theme="1"/>
        <sz val="10.0"/>
      </rPr>
      <t xml:space="preserve"> „Review”</t>
    </r>
    <r>
      <rPr>
        <rFont val="Arial Narrow"/>
        <color theme="1"/>
        <sz val="10.0"/>
      </rPr>
      <t xml:space="preserve"> în reviste cotate WoS TR - Web of Science Thomson Reuters (SCIE - Science Citation Index Expanded şi SSCI - Social Sciences Citation Index, din ”zona gri”/ Q3, Q4, în conformitate cu Lista UEFISCDI a revistelor încadrate pe subdomenii ştiinţifice, respectiv în reviste AHCI - Arts &amp; Humanities Citation Index cu o vechime mai mică de 5 ani în Web of Science Core Collection.</t>
    </r>
  </si>
  <si>
    <r>
      <rPr>
        <rFont val="arial narrow"/>
        <color theme="1"/>
        <sz val="10.0"/>
      </rPr>
      <t xml:space="preserve">Articolul trebuie publicat în anul de raportare şi să fie </t>
    </r>
    <r>
      <rPr>
        <rFont val="Arial Narrow"/>
        <b/>
        <color theme="1"/>
        <sz val="10.0"/>
      </rPr>
      <t xml:space="preserve">vizibil în Web of Science Core Collection </t>
    </r>
    <r>
      <rPr>
        <rFont val="Arial Narrow"/>
        <color theme="1"/>
        <sz val="10.0"/>
      </rPr>
      <t>din platforma www.webofknowledge.com</t>
    </r>
  </si>
  <si>
    <r>
      <rPr>
        <rFont val="arial narrow"/>
        <color theme="1"/>
        <sz val="10.0"/>
      </rPr>
      <t xml:space="preserve">* </t>
    </r>
    <r>
      <rPr>
        <rFont val="Arial Narrow"/>
        <b/>
        <color theme="1"/>
        <sz val="10.0"/>
      </rPr>
      <t xml:space="preserve">Punctaje de referință:                                                                                                                                                                                                                                                                                                             
</t>
    </r>
    <r>
      <rPr>
        <rFont val="Arial Narrow"/>
        <color theme="1"/>
        <sz val="10.0"/>
      </rPr>
      <t xml:space="preserve">• Articol = 500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</si>
  <si>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revistei zona gri /Q3, Q4; AHCI&lt;5ani)</t>
  </si>
  <si>
    <t>Factor de impact</t>
  </si>
  <si>
    <t xml:space="preserve">Croitoru, A. (2020). Great Expectations: A Regional Study of Entrepreneurship Among Romanian Return Migrants. </t>
  </si>
  <si>
    <t>Alin Croitoru, ULBS</t>
  </si>
  <si>
    <t>Sage Open</t>
  </si>
  <si>
    <t>ISSN: 2158-2440
Online ISSN: 2158-2440</t>
  </si>
  <si>
    <t>https://doi.org/10.1177/2158244020921149</t>
  </si>
  <si>
    <t>10.1177/2158244020921149</t>
  </si>
  <si>
    <t>WOS:000535974300001</t>
  </si>
  <si>
    <t>1-18</t>
  </si>
  <si>
    <t>Q3-Q4</t>
  </si>
  <si>
    <t>COVID-19 and orientations towards solidarity: the cases of Spain, Hungary, and Romania</t>
  </si>
  <si>
    <t>Horatiu RUSU (ULBS), Voicu Bogdan (ICCV), Edurne Bartolome Peral (University of Deusto, Spain), Gergely Rosta (Pázmány Péter Catholic University in Budapest), Mircea Comșa (UBB), Octavian-Marian Vasile (UB), Lluís Coromina (University of Girona, Spain), Claudiu D. Tufiș (UB)</t>
  </si>
  <si>
    <t>European Societies</t>
  </si>
  <si>
    <t>1469-8307</t>
  </si>
  <si>
    <t>https://www.tandfonline.com/doi/full/10.1080/14616696.2020.1852439</t>
  </si>
  <si>
    <t>https://doi.org/10.1080/14616696.2020.1852439</t>
  </si>
  <si>
    <t>WOS: 596296100001</t>
  </si>
  <si>
    <t>Q3</t>
  </si>
  <si>
    <t>Nations in black: charting the national thanatopolitics of mourning across European countries</t>
  </si>
  <si>
    <t>1461-6696</t>
  </si>
  <si>
    <t>https://www.tandfonline.com/doi/abs/10.1080/14616696.2019.1616795</t>
  </si>
  <si>
    <t>10.1080/14616696.2019.1616795</t>
  </si>
  <si>
    <t>WOS: 470471000001</t>
  </si>
  <si>
    <t>122-148</t>
  </si>
  <si>
    <t>zona gri/Q3</t>
  </si>
  <si>
    <t>States of mourning: A quantitative analysis of national mournings across European countries</t>
  </si>
  <si>
    <t>Death Studies</t>
  </si>
  <si>
    <t>0748-1187</t>
  </si>
  <si>
    <t>https://www.tandfonline.com/doi/abs/10.1080/07481187.2018.1526830</t>
  </si>
  <si>
    <t>10.1080/07481187.2018.1526830</t>
  </si>
  <si>
    <t>WOS: 586038900004</t>
  </si>
  <si>
    <t>117-129</t>
  </si>
  <si>
    <t>Celebrities’ Memorial Afterlives: Obituaries, Tributes, and Posthumous Gossip in the Romanian Media Deathscape</t>
  </si>
  <si>
    <t>OMEGA-Journal of Death and Dying</t>
  </si>
  <si>
    <t>0030-2228</t>
  </si>
  <si>
    <t>https://journals.sagepub.com/doi/abs/10.1177/0030222817748418</t>
  </si>
  <si>
    <t>10.1177/0030222817748418</t>
  </si>
  <si>
    <t>WOS: 510243400003</t>
  </si>
  <si>
    <t>568-591</t>
  </si>
  <si>
    <t>THE PATIENTS AND HEALTHCARE STAFF PERCEPTION ON THE PROTECTION OF PATIENTS DATA AND RIGHTS BY PROFESSIONAL SECRECY IN ROMANIA</t>
  </si>
  <si>
    <t>Ștefan Roșca, Ioana Silistraru, Daniel Vasile Timofte, Diana Bulgaru-Iliescu, Florentina Severin, Anisia-Iuliana Alexa, Ioan-Adrian Ciureanu</t>
  </si>
  <si>
    <t>ROMANIAN JOURNAL OF LEGAL MEDICINE</t>
  </si>
  <si>
    <t>1844-8585</t>
  </si>
  <si>
    <t>http://www.rjlm.ro/index.php/arhiv/782</t>
  </si>
  <si>
    <t>10.4323/rjlm.2020.68</t>
  </si>
  <si>
    <t>68-75</t>
  </si>
  <si>
    <t>Q4</t>
  </si>
  <si>
    <t>I.3 - Articol în revistă din bazele de date Master Journal List (inclusiv Emerging Sources Citation Index - ESCI) şi 
articol în revistă indexată SCOPUS.</t>
  </si>
  <si>
    <t xml:space="preserve">Articole publicate în reviste din bazele de date: Master Journal List , inclusiv in Emerging Sources Citation Index (http://mjl.clarivate.com); SCOPUS (https://www.scopus.com/); </t>
  </si>
  <si>
    <r>
      <rPr>
        <rFont val="arial narrow"/>
        <color theme="1"/>
        <sz val="10.0"/>
      </rPr>
      <t>Se consideră doar articole care au încadrarea “document type”: “</t>
    </r>
    <r>
      <rPr>
        <rFont val="Arial Narrow"/>
        <b/>
        <color theme="1"/>
        <sz val="10.0"/>
      </rPr>
      <t>article</t>
    </r>
    <r>
      <rPr>
        <rFont val="Arial Narrow"/>
        <color theme="1"/>
        <sz val="10.0"/>
      </rPr>
      <t>” sau “</t>
    </r>
    <r>
      <rPr>
        <rFont val="Arial Narrow"/>
        <b/>
        <color theme="1"/>
        <sz val="10.0"/>
      </rPr>
      <t>review</t>
    </r>
    <r>
      <rPr>
        <rFont val="Arial Narrow"/>
        <color theme="1"/>
        <sz val="10.0"/>
      </rPr>
      <t xml:space="preserve">” </t>
    </r>
  </si>
  <si>
    <t xml:space="preserve">Articolul trebuie publicat în anul de raportare şi să fie vizibil pe platforma www.webofknowledge.com şi / sau pe platforma https://www.scopus.com/ </t>
  </si>
  <si>
    <r>
      <rPr>
        <rFont val="arial narrow"/>
        <color theme="1"/>
        <sz val="10.0"/>
      </rPr>
      <t xml:space="preserve">* </t>
    </r>
    <r>
      <rPr>
        <rFont val="Arial Narrow"/>
        <b/>
        <color theme="1"/>
        <sz val="10.0"/>
      </rPr>
      <t xml:space="preserve">Punctaje de referință:                                                                                                                                                                                                                                                                                                             </t>
    </r>
    <r>
      <rPr>
        <rFont val="Arial Narrow"/>
        <color theme="1"/>
        <sz val="10.0"/>
      </rPr>
      <t xml:space="preserve">• Articol = 200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</si>
  <si>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ISSN-ul revistei</t>
  </si>
  <si>
    <t>The Fragmentary Inscription on the Hungarian Raid of the Year 943 – New Epigraphic Analysis and Interpretations</t>
  </si>
  <si>
    <t>Studia Universitatis Cibiniensis. Series Historica</t>
  </si>
  <si>
    <t>XVII</t>
  </si>
  <si>
    <t>https://centers.ulbsibiu.ro/ccpisc/language/en/the-fragmentary-inscription-on-the-hungarian-raid-of-the-year-943-new-epigraphic-analysis-and-interpretations/</t>
  </si>
  <si>
    <t>99-103</t>
  </si>
  <si>
    <t>Restoring a Reverse Glass Icon with the Theme "The Holy Martyrs
George and Theodore Tiron"</t>
  </si>
  <si>
    <t xml:space="preserve">BUCUR Mirel-Vasile </t>
  </si>
  <si>
    <t>BRUKENTHAL ACTA MUSEI XV.4</t>
  </si>
  <si>
    <t>XV</t>
  </si>
  <si>
    <t>1842-2691</t>
  </si>
  <si>
    <t>https://www.brukenthalmuseum.ro/pdf/BAM/BAM%20XV.4.pdf</t>
  </si>
  <si>
    <t>777-786</t>
  </si>
  <si>
    <t>De la Doamna cu coasa la “Punks not Dead”. Atribute iconice ale
reprezentărilor Morţii din Evul Mediu până în epoca muzicii rock</t>
  </si>
  <si>
    <t>Sebastian Corneanu</t>
  </si>
  <si>
    <t>STUDIA UNIVERSITATIS
CIBINIENSIS - Series Historica</t>
  </si>
  <si>
    <t>1584-3165</t>
  </si>
  <si>
    <t>https://centers.ulbsibiu.ro/ccpisc/language/en/de-la-doamna-cu-coasa-la-punks-not-dead-atribute-iconice-ale-reprezentarilor-mortii-din-evul-mediu-pana-in-epoca-muzicii-rock/</t>
  </si>
  <si>
    <t>141-160</t>
  </si>
  <si>
    <t>Din istoricul relațiilor româno-elene. Incidentul de la Pireu (30 mai/12 iunie 1910)</t>
  </si>
  <si>
    <t>Racovițan Radu, Daniel Crețu</t>
  </si>
  <si>
    <t>https://centers.ulbsibiu.ro/ccpisc/language/en/din-istoricul-relatiilor-romano-elene-incidentul-de-la-pireu-30-mai-12-iunie-1910/</t>
  </si>
  <si>
    <t>177-184</t>
  </si>
  <si>
    <t>Mapping Roman religion. A methodological approach</t>
  </si>
  <si>
    <t>Csaba Szabó (ULBS)</t>
  </si>
  <si>
    <r>
      <rPr>
        <rFont val="palatino linotype"/>
        <i/>
        <color theme="1"/>
        <sz val="11.0"/>
      </rPr>
      <t>European Journal of Science and Theology</t>
    </r>
    <r>
      <rPr>
        <rFont val="Palatino Linotype"/>
        <i val="0"/>
        <color rgb="FF000000"/>
        <sz val="11.0"/>
      </rPr>
      <t xml:space="preserve"> </t>
    </r>
  </si>
  <si>
    <t>1842 - 8517</t>
  </si>
  <si>
    <t>http://www.ejst.tuiasi.ro/Files/84/16_Szabo.pdf</t>
  </si>
  <si>
    <t>nu are</t>
  </si>
  <si>
    <t>183-195</t>
  </si>
  <si>
    <r>
      <rPr>
        <rFont val="arial narrow"/>
        <b/>
        <color theme="1"/>
        <sz val="10.0"/>
      </rPr>
      <t>CSABA SZAB</t>
    </r>
    <r>
      <rPr>
        <rFont val="Calibri"/>
        <b/>
        <color theme="1"/>
        <sz val="10.0"/>
      </rPr>
      <t>Ó</t>
    </r>
  </si>
  <si>
    <t>Roman Dacia in the digital era</t>
  </si>
  <si>
    <r>
      <rPr>
        <rFont val="palatino linotype"/>
        <i/>
        <color theme="1"/>
        <sz val="11.0"/>
      </rPr>
      <t>Journal of Ancient History and Archaeology</t>
    </r>
    <r>
      <rPr>
        <rFont val="Palatino Linotype"/>
        <i val="0"/>
        <color rgb="FF000000"/>
        <sz val="11.0"/>
      </rPr>
      <t xml:space="preserve"> </t>
    </r>
  </si>
  <si>
    <t>2360266X</t>
  </si>
  <si>
    <t>http://jaha.org.ro/index.php/JAHA/article/view/522</t>
  </si>
  <si>
    <t>http://dx.doi.org/10.14795/j.v7i2.522</t>
  </si>
  <si>
    <t>185-190</t>
  </si>
  <si>
    <r>
      <rPr>
        <rFont val="arial narrow"/>
        <b/>
        <color theme="1"/>
        <sz val="10.0"/>
      </rPr>
      <t>CSABA SZAB</t>
    </r>
    <r>
      <rPr>
        <rFont val="Calibri"/>
        <b/>
        <color theme="1"/>
        <sz val="10.0"/>
      </rPr>
      <t>Ó</t>
    </r>
  </si>
  <si>
    <t>Danubian provinces: history of a notion</t>
  </si>
  <si>
    <t>Revista Transilvania</t>
  </si>
  <si>
    <t>0255 0539</t>
  </si>
  <si>
    <t>https://revistatransilvania.ro/danubian-provinces-history-of-a-notion/</t>
  </si>
  <si>
    <t>88-96</t>
  </si>
  <si>
    <r>
      <rPr>
        <rFont val="arial narrow"/>
        <b/>
        <color theme="1"/>
        <sz val="10.0"/>
      </rPr>
      <t>CSABA SZAB</t>
    </r>
    <r>
      <rPr>
        <rFont val="Calibri"/>
        <b/>
        <color theme="1"/>
        <sz val="10.0"/>
      </rPr>
      <t>Ó</t>
    </r>
  </si>
  <si>
    <t>Pilgrimage and healing sanctuaries in the Danubian provinces</t>
  </si>
  <si>
    <t>Studia Universitatis Cibiniensis. Seria Historica</t>
  </si>
  <si>
    <t>https://centers.ulbsibiu.ro/ccpisc/language/en/pilgrimage-and-healing-sanctuaries-in-the-danubian-provinces/</t>
  </si>
  <si>
    <t>83-97</t>
  </si>
  <si>
    <r>
      <rPr>
        <rFont val="arial narrow"/>
        <b/>
        <color theme="1"/>
        <sz val="10.0"/>
      </rPr>
      <t>CSABA SZAB</t>
    </r>
    <r>
      <rPr>
        <rFont val="Calibri"/>
        <b/>
        <color theme="1"/>
        <sz val="10.0"/>
      </rPr>
      <t>Ó</t>
    </r>
  </si>
  <si>
    <t>Religious appropriations and the Antonine Plague</t>
  </si>
  <si>
    <t>Brukenthal. Acta Musei XV.5 - Brukenthalia</t>
  </si>
  <si>
    <t>2285-9470</t>
  </si>
  <si>
    <t>https://www.brukenthalmuseum.ro/pdf/BAM/Brukenthalia_10.pdf</t>
  </si>
  <si>
    <t>807-821</t>
  </si>
  <si>
    <r>
      <rPr>
        <rFont val="arial narrow"/>
        <b/>
        <color theme="1"/>
        <sz val="10.0"/>
      </rPr>
      <t>CSABA SZAB</t>
    </r>
    <r>
      <rPr>
        <rFont val="Calibri"/>
        <b/>
        <color theme="1"/>
        <sz val="10.0"/>
      </rPr>
      <t>Ó</t>
    </r>
  </si>
  <si>
    <t>Date arheologice preliminare despre cercetările arheologice de la Alba Iulia- Stația de Salvare (1981) /Preliminary Archaeological Data Regarding the Archaeological Research from Alba Iulia-Stația de Salvare (1981)</t>
  </si>
  <si>
    <t>Dragotă Aurel</t>
  </si>
  <si>
    <t>Transilvania</t>
  </si>
  <si>
    <t>https://revistatransilvania.ro/date-arheologice-preliminare-despre-cercetarile-arheologice-de-la-alba-iulia-statia-de-salvare-1981/</t>
  </si>
  <si>
    <t>80-89</t>
  </si>
  <si>
    <t xml:space="preserve">  „Mortem terribilem. Moartea gotică”  pp. 54-64</t>
  </si>
  <si>
    <t>Mihaela GRANCEA</t>
  </si>
  <si>
    <t>ISSN: 0255-0539</t>
  </si>
  <si>
    <t>https://revistatransilvania.ro/7-2020/</t>
  </si>
  <si>
    <t>pp. 54-64</t>
  </si>
  <si>
    <t xml:space="preserve">„Construction, Affirmation and Longevity of  Romanian Myth: Ecaterina Teodoroiu. The Role of the Historical Film”  </t>
  </si>
  <si>
    <t>Mihaela GRANCEA, Olga GRĂDINARU</t>
  </si>
  <si>
    <t>Brukenthal. Acta Musei. 1History.</t>
  </si>
  <si>
    <t>ISSN: 2285-9470 ISSN-L: 1842-2691</t>
  </si>
  <si>
    <t>https://www.brukenthalmuseum.ro/pdf/BAM/BAM%20XV-1.pdf</t>
  </si>
  <si>
    <t>pp. 129-144</t>
  </si>
  <si>
    <t>Images of Gothic Death in the Romanian Film and Literature</t>
  </si>
  <si>
    <t>Mihaela Grancea</t>
  </si>
  <si>
    <t>Brukenthal. Acta Musei. Brukenthalia.</t>
  </si>
  <si>
    <t>XV.5</t>
  </si>
  <si>
    <t>pp. 1089-1101</t>
  </si>
  <si>
    <t>Conservarea curativă și restaurarea unei amfore provinciale pontice</t>
  </si>
  <si>
    <t>Simona Maria Cursaru-Herlea (ULBS)</t>
  </si>
  <si>
    <t>https://revistatransilvania.ro/6-2020/</t>
  </si>
  <si>
    <t>80-87</t>
  </si>
  <si>
    <t>Effects of Atmospheric Factors on Exterior Wall Paintings. Case Study: Conservation State of the Votive Image of The "Saint Nicolas" Church from Turnu Roșu</t>
  </si>
  <si>
    <t>Langa Paul Victor (Universitatea „Lucian Blaga” din Sibiu)</t>
  </si>
  <si>
    <t>Brukenthal. Acta Musei</t>
  </si>
  <si>
    <t>ISSN-1842-2691</t>
  </si>
  <si>
    <t>http://www.brukenthalmuseum.ro/pdf/BAM/BAM%20XV.4.pdf</t>
  </si>
  <si>
    <t>769-776</t>
  </si>
  <si>
    <t>Chivotul – sursă în cercetarea evoluţiei istorice a aspectului lăcaşurilor de cult. Studiu de caz – Bisericile din Turnu Roşu, Ocna Sibiului, Teiuş</t>
  </si>
  <si>
    <t xml:space="preserve"> ISSN: 1584-3165</t>
  </si>
  <si>
    <t>https://www.ceeol.com/search/article-detail?id=928825</t>
  </si>
  <si>
    <t>115 - 124</t>
  </si>
  <si>
    <t>Prehistoric carved stones, discovered on lot 1 (Alba Iulia), site 2, of the A10 Sebeș Alba – Turda highway</t>
  </si>
  <si>
    <t>Sabin Adrian Luca (Universitatea ”Lucian Blaga”, Sibiu</t>
  </si>
  <si>
    <t>Studia Universitatis Cibiniensis. Series Historia</t>
  </si>
  <si>
    <t>VII</t>
  </si>
  <si>
    <t>ISSN 1584-3165</t>
  </si>
  <si>
    <t>https://centers.ulbsibiu.ro/ccpisc/language/en/prehistoric-carved-stones-discovered-on-lot-1-alba-iulia-site-2-of-the-a10-sebes-alba-turda-highway/</t>
  </si>
  <si>
    <t>23-40</t>
  </si>
  <si>
    <t>Radiocarbon data from the Turdaș-Luncă archaeological site (the preventive researches of 2011) (V)</t>
  </si>
  <si>
    <t>Sabin Adrian Luca (Universitatea ”Lucian Blaga”, Sibiu), T.B. Sava, M. Ilie, A. Dima, D. Pascal, G. Sava, D. Mihăilescu (IFIN-HH), Fl. Perianu, R.-M. Teodorescu (Muzeul Național Brukenthal)</t>
  </si>
  <si>
    <t>ISSN 2285-9470</t>
  </si>
  <si>
    <t>http://www.brukenthalmuseum.ro/pdf/BAM/BAM%20XV-1.pdf</t>
  </si>
  <si>
    <t>7-38</t>
  </si>
  <si>
    <t>Riots in South- Carpathian Dacia after the Marcomannic Wars</t>
  </si>
  <si>
    <t>Silviu I. Purece</t>
  </si>
  <si>
    <t>Journal of Ancient History and Archaeology</t>
  </si>
  <si>
    <t>2360 – 266X</t>
  </si>
  <si>
    <t>https://jaha.org.ro/index.php/JAHA/issue/view/26</t>
  </si>
  <si>
    <t>10.14795/j.v7i1_SI.493</t>
  </si>
  <si>
    <t>WOS:000528265500020</t>
  </si>
  <si>
    <t>433-439</t>
  </si>
  <si>
    <t>PURECE ISTRATE SILVIU</t>
  </si>
  <si>
    <t>Aventura unor monede din tezaurul de la Jiblea, de la descoperire la colecţie</t>
  </si>
  <si>
    <t>Terra Sebus. Acta Musei Sabensiensis</t>
  </si>
  <si>
    <t>2066 – 9143</t>
  </si>
  <si>
    <t>https://www.cclbsebes.ro/terra-sebus/</t>
  </si>
  <si>
    <t>12-19</t>
  </si>
  <si>
    <t>Un tezaur cu monede emise de orașele Apollonia și Dyrrhachium din colecția fostului Muzeu al Asociațiunii Astra</t>
  </si>
  <si>
    <t>0255-0539</t>
  </si>
  <si>
    <t>https://revistatransilvania.ro/5-2020/</t>
  </si>
  <si>
    <t>90-96</t>
  </si>
  <si>
    <t>How far Hoarded Coins can be Spread after Discovery? The Adventure of Some Coins from Tulghieș</t>
  </si>
  <si>
    <t>Brukenthal. Acta Mvsei</t>
  </si>
  <si>
    <t>XV.1</t>
  </si>
  <si>
    <t>http://www.brukenthalmuseum.ro/publicatii_en/01_1.htm</t>
  </si>
  <si>
    <t>39-44</t>
  </si>
  <si>
    <t>Argint pentru războinici. Un tezaur de tetradrahme „de tip thasian” din colecția Muzeului Național Brukenthal</t>
  </si>
  <si>
    <t>Silviu I. Purece, Claudiu Munteanu</t>
  </si>
  <si>
    <t>https://centers.ulbsibiu.ro/ccpisc/language/en/category/studia-2/studia-2020-xvii/</t>
  </si>
  <si>
    <t>41-59</t>
  </si>
  <si>
    <t>Un episod din chestiunea unificării Basarabiei cu România: activitatea Comisiei Regionale de Unificare (1921)</t>
  </si>
  <si>
    <t>Radu Sorin</t>
  </si>
  <si>
    <t>https://centers.ulbsibiu.ro/ccpisc/language/en/un-episod-din-chestiunea-unificarii-basarabiei-cu-romania-activitatea-comisiei-regionale-de-unificare-1921/</t>
  </si>
  <si>
    <t>185-209</t>
  </si>
  <si>
    <t xml:space="preserve">The Calton Building, the Earthquake of 1940 and the National Legionary State </t>
  </si>
  <si>
    <t>Soroștineanu Valeria</t>
  </si>
  <si>
    <t xml:space="preserve">Brukenthal. Acta   Musei, XV.5. Brukenthalia. Romanian Cultural History Review </t>
  </si>
  <si>
    <t>ISSN 2285-9489, ISSN-L-2285-9489</t>
  </si>
  <si>
    <t>http://www.brukenthalmuseum.ro/pdf/BAM/Brukenthalia_10.pdf</t>
  </si>
  <si>
    <t xml:space="preserve"> pp.935-949</t>
  </si>
  <si>
    <t>Cercetările arheologice preventive de la Biserica Fortificată din Șaroș pe Târnavă/jud. Sibiu</t>
  </si>
  <si>
    <t>Ioan Marian Țiplic</t>
  </si>
  <si>
    <t>https://centers.ulbsibiu.ro/ccpisc/language/en/biserica-fortificata-din-saros-pe-tarnava-jud-sibiu-cercetari-arheologice-i/</t>
  </si>
  <si>
    <t>61-79</t>
  </si>
  <si>
    <t>Vase ceramice neolitice timpurii din Transilvania. Funcționalitate, artă decorativă și simbol</t>
  </si>
  <si>
    <t>Tudorie Anamaria</t>
  </si>
  <si>
    <t>ISSN: 0255 0539</t>
  </si>
  <si>
    <t>https://revistatransilvania.ro/vase-ceramice-neolitice-timpurii-din-transilvania-functionalitate-arta-decorativa-si-simbol/</t>
  </si>
  <si>
    <t>89-96</t>
  </si>
  <si>
    <t>Forme întregi de vase ceramice Starčevo-Criş identificate la Miercurea Sibiului-Petriș (jud. Sibiu), Săliștea (jud. Alba), Cristian I (jud. Sibiu) și Cristian III (jud. Sibiu)</t>
  </si>
  <si>
    <t>https://centers.ulbsibiu.ro/ccpisc/language/en/studia-en/</t>
  </si>
  <si>
    <t>nbm</t>
  </si>
  <si>
    <t>11-21</t>
  </si>
  <si>
    <t>PSYCHOPEDAGOGICAL STRATEGIES FOR THE PREVENTION AND
REDUCTION OF DENTAL PHOBIA</t>
  </si>
  <si>
    <t>MARA DANIEL, ULBS, MARA ELENA-LUCIA,ULBS, RAFTU GHEORGHE, UOC</t>
  </si>
  <si>
    <t>International Journal of Medical Dentistry</t>
  </si>
  <si>
    <t>Volum 24, Issue 4</t>
  </si>
  <si>
    <t>October / December 2020</t>
  </si>
  <si>
    <t>ISSN: 2066-6063</t>
  </si>
  <si>
    <t>https://ijmd.ro/2020/psychopedagogical-strategies-for-the-prevention-and-reduction-of-dental-phobia/</t>
  </si>
  <si>
    <t xml:space="preserve"> 	https://ijmd.ro/international-recognition/</t>
  </si>
  <si>
    <t>485-490</t>
  </si>
  <si>
    <t xml:space="preserve">2020	</t>
  </si>
  <si>
    <t>Mara Lucia</t>
  </si>
  <si>
    <t>CONTINUOUS IMPROVEMENT CHALLENGES: IMPLEMENTING PBL IN ONE UNIVERSITY IN ROMANIA</t>
  </si>
  <si>
    <t>Barsan, Raluca, Stefania, Kifor</t>
  </si>
  <si>
    <t xml:space="preserve">STUDIES IN BUSINESS AND ECONOMICS
</t>
  </si>
  <si>
    <t>1842-4120</t>
  </si>
  <si>
    <t>https://sciendo.com/article/10.2478/sbe-2020-0022</t>
  </si>
  <si>
    <t>10.2478/sbe-2020-0022</t>
  </si>
  <si>
    <t>18-27</t>
  </si>
  <si>
    <t>Administrative Capacity as a Constraint to Fiscal Decentralization. The Case of Romania and Poland</t>
  </si>
  <si>
    <t>Dana Alexandru (ULBS), Beata Guziejewska (Lodz University)</t>
  </si>
  <si>
    <t>FSSUE3</t>
  </si>
  <si>
    <t>Comparative Economic Research. Central and Eastern Europe</t>
  </si>
  <si>
    <t>1508-2008</t>
  </si>
  <si>
    <t>http://www.comparative.uni.lodz.pl/</t>
  </si>
  <si>
    <t>127-142</t>
  </si>
  <si>
    <t>Szeklerland and the Birth of a New Region in Europe: An Inquiry into Symbolic Nationalism</t>
  </si>
  <si>
    <t>Dragoman Dragos, Luca Sabina-Adina, Gheorghita Bogdan</t>
  </si>
  <si>
    <t>FSSU 03</t>
  </si>
  <si>
    <t>Studia Politica. Romanian Political Science Review</t>
  </si>
  <si>
    <t xml:space="preserve">1582-4551 </t>
  </si>
  <si>
    <t>https://www.studiapolitica.eu/Archive/2020/studia-politica-vol-xx-no-1-2020</t>
  </si>
  <si>
    <t>33-54</t>
  </si>
  <si>
    <t>Depression as a Path to Change: An Adult Woman's Voice about Parenting Practices, Mental Health and Recovery</t>
  </si>
  <si>
    <t>Bejenaru Anca (ULBS)</t>
  </si>
  <si>
    <t>Journal of Psychosocial Rehabilitation and Mental Health</t>
  </si>
  <si>
    <t>2198-963X</t>
  </si>
  <si>
    <t>https://link.springer.com/article/10.1007/s40737-020-00194-5#citeas</t>
  </si>
  <si>
    <t>https://doi.org/10.1007/s40737-020-00194-5</t>
  </si>
  <si>
    <t>https://www-scopus-com.am.e-nformation.ro/record/display.uri?eid=2-s2.0-85105536293&amp;origin=resultslist&amp;sort=plf-f&amp;src=s&amp;sid=e648026d8e720ae18aed118fea84e66b&amp;sot=b&amp;sdt=b&amp;sl=124&amp;s=TITLE-ABS-KEY%28%e2%80%9dDepression+As+a+Path+to+Change%3a+An+Adult+Woman%27s+Voice+About+Parenting+Practices%2c+Mental+Health+and+Recovery%29&amp;relpos=0&amp;citeCnt=0&amp;searchTerm=&amp;featureToggles=FEATURE_NEW_MAIN_SECTION:1,FEATURE_NEW_SOURCE_INFO:1,FEATURE_NEW_REAXYS_SECTION:1,FEATURE_NEW_SCIVAL_TOPICS:1,FEATURE_VIEWS_COUNT:1</t>
  </si>
  <si>
    <t>11-18</t>
  </si>
  <si>
    <t>Publicat online 
14 Septembrie 2020 / print 2021</t>
  </si>
  <si>
    <t>Intertextualitatea ca formă de exprimare a ironiei în jurnalismul satiric/ Intertextuality as a Form of the Irony in Satirical Press</t>
  </si>
  <si>
    <t xml:space="preserve">https://revistatransilvania.ro/intertextualitatea-ca-forma-de-exprimare-a-ironiei-in-jurnalismul-satiric/ </t>
  </si>
  <si>
    <t>Nu are</t>
  </si>
  <si>
    <t>72-76</t>
  </si>
  <si>
    <t>Intercultural Communication in the Context of Migration as a Form of Social Accomodation and Integration</t>
  </si>
  <si>
    <t>Ciocan Ioana-Tatiana, Hususan Madalina</t>
  </si>
  <si>
    <t>Cogito - Multidisciplinary Research Journal</t>
  </si>
  <si>
    <t>2068-6706</t>
  </si>
  <si>
    <t xml:space="preserve">https://cogito.ucdc.ro/COGITO23decembrie2020.pdf </t>
  </si>
  <si>
    <t>114-127</t>
  </si>
  <si>
    <t>Privire asupra cercetărilor stereotipurilor de gen în publicitatea românească/ Aspects Related to the Research of Gender Stereotypes in Romanian Advertising</t>
  </si>
  <si>
    <t>11,12</t>
  </si>
  <si>
    <t>https://revistatransilvania.ro/privire-asupra-cercetarilor-stereotipurilor-de-gen-in-publicitatea-romaneasca/</t>
  </si>
  <si>
    <t xml:space="preserve"> https://doi.org/10.51391/trva.2020.12.11 </t>
  </si>
  <si>
    <t>90-93</t>
  </si>
  <si>
    <t>„Marginal Thinking. Knowledge and Communication in the Postmodern Era”</t>
  </si>
  <si>
    <t xml:space="preserve">Stanciu Raluca,  Facultatea de Științe Socio-Umane, ULBS; David Anca, Facultatea de Științe Socio-Umane, ULBS; </t>
  </si>
  <si>
    <t>Postmodern Openings</t>
  </si>
  <si>
    <t>vol.11</t>
  </si>
  <si>
    <t>ISSN: 2068–0236</t>
  </si>
  <si>
    <t>https://lumenpublishing.com/journals/index.php/po/article/view/2676</t>
  </si>
  <si>
    <t>https://doi.org/10.18662/po/11.2/173</t>
  </si>
  <si>
    <t>256-266</t>
  </si>
  <si>
    <t>Aspects of Orthography, Lexic, Grammar and Cultivation from late 19 th Century Publications</t>
  </si>
  <si>
    <t>Facultatea de Științe Socio-Umane, ULBS</t>
  </si>
  <si>
    <t>nr. 1</t>
  </si>
  <si>
    <t>ISSN:  0255 0539;</t>
  </si>
  <si>
    <t>https://revistatransilvania.ro/dimentions-of-discourse/</t>
  </si>
  <si>
    <t>65-71</t>
  </si>
  <si>
    <t>Ion Dur's hermeneutics and the critical spirit - Books, ideas and reception</t>
  </si>
  <si>
    <t>Cogito</t>
  </si>
  <si>
    <t>ISSN 2247-9384</t>
  </si>
  <si>
    <t>https://cogito.ucdc.ro/COGITO%20septembrie%202020.pdf</t>
  </si>
  <si>
    <t>51-71</t>
  </si>
  <si>
    <t>Fascist Femininities: Models of Womanhood in the Romanian National Legionary State</t>
  </si>
  <si>
    <t>Cuadernos de Historia Contemporanea</t>
  </si>
  <si>
    <t>0214-400X</t>
  </si>
  <si>
    <t>https://revistas.ucm.es/index.php/CHCO/article/download/71887/4564456554744/</t>
  </si>
  <si>
    <t>10.5209/chco.71887</t>
  </si>
  <si>
    <t>19-38</t>
  </si>
  <si>
    <t>The politics of mourning in post-communist Romania: unravelling the thanatopolitics of grievable deaths</t>
  </si>
  <si>
    <t>Mortality</t>
  </si>
  <si>
    <t>1357-6275</t>
  </si>
  <si>
    <t>https://www.tandfonline.com/doi/abs/10.1080/13576275.2019.1682983</t>
  </si>
  <si>
    <t>10.1080/13576275.2019.1682983</t>
  </si>
  <si>
    <t>313-333</t>
  </si>
  <si>
    <t xml:space="preserve">Visual Humor through Internet Memes. (I) Iconicity, Irony, and Virality in the Digital Age </t>
  </si>
  <si>
    <t>Sălcudean Minodora (ULBS), Motoroiu Ștefan Radu (Universitatea București)</t>
  </si>
  <si>
    <t>Transilvania, nr.4/2020</t>
  </si>
  <si>
    <t>https://revistatransilvania.ro/visual-humor-through-internet-memes-iconicity-irony-and-virality-in-the-digital-age-i/</t>
  </si>
  <si>
    <t>67-72</t>
  </si>
  <si>
    <t xml:space="preserve">Visual Humor through Internet  Memes (II) From harmless humour to the discriminatory potential of (anti) memes. Case Study: “The Transgender Bathroom Debate”, </t>
  </si>
  <si>
    <t>Sălcudean Minodora (ULBS)</t>
  </si>
  <si>
    <t>Transilvania, nr.11-12/2020</t>
  </si>
  <si>
    <t>https://revistatransilvania.ro/visual-humor-through-internet-memes-ii-from-harmless-humour-to-the-discriminatory-potential-of-anti-memes-case-study-the-transgender-bathroom-debate/</t>
  </si>
  <si>
    <t>94-100</t>
  </si>
  <si>
    <t>„Dimensions of Discourse”</t>
  </si>
  <si>
    <t>77-79</t>
  </si>
  <si>
    <t>I.4 - Articol în volum de conferinţă (proceedings) indexat Conference Proceeding Citation Index - CPCI; alte tipuri de publicaţii din WoS</t>
  </si>
  <si>
    <r>
      <rPr>
        <rFont val="arial narrow"/>
        <color rgb="FF000000"/>
        <sz val="10.0"/>
      </rPr>
      <t xml:space="preserve">Pentru anul raportării, dacă volumul conferinţei nu a fost încă indexat, pot fi raportate lucrări doar dacă se face dovada indexării volumelor anterioare ale conferinţei </t>
    </r>
    <r>
      <rPr>
        <rFont val="Arial Narrow"/>
        <color rgb="FF000000"/>
        <sz val="10.0"/>
      </rPr>
      <t>(cel puțin una din ultimele două ediții ale conferinței trebuie să fie vizibile WoS).</t>
    </r>
  </si>
  <si>
    <r>
      <rPr>
        <rFont val="arial narrow"/>
        <color theme="1"/>
        <sz val="10.0"/>
      </rPr>
      <t xml:space="preserve">La acest indicator se punctează şi articolele în reviste indexate WoS sau în reviste din baza de date Master Journal List care </t>
    </r>
    <r>
      <rPr>
        <rFont val="Arial Narrow"/>
        <b/>
        <color theme="1"/>
        <sz val="10.0"/>
      </rPr>
      <t>nu se încadrează</t>
    </r>
    <r>
      <rPr>
        <rFont val="Arial Narrow"/>
        <color theme="1"/>
        <sz val="10.0"/>
      </rPr>
      <t xml:space="preserve"> in document type ca „article” sau „review”.</t>
    </r>
  </si>
  <si>
    <r>
      <rPr>
        <rFont val="arial narrow"/>
        <color theme="1"/>
        <sz val="10.0"/>
      </rPr>
      <t xml:space="preserve">* </t>
    </r>
    <r>
      <rPr>
        <rFont val="Arial Narrow"/>
        <b/>
        <color theme="1"/>
        <sz val="10.0"/>
      </rPr>
      <t xml:space="preserve">Punctaje de referință:                                                                                                                                                                                                                                                                                                             
</t>
    </r>
    <r>
      <rPr>
        <rFont val="Arial Narrow"/>
        <color theme="1"/>
        <sz val="10.0"/>
      </rPr>
      <t xml:space="preserve">• Articol = 100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</si>
  <si>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articolulului (articol, abstract, book review, letter, etc.)</t>
  </si>
  <si>
    <t>Titlul conferinței / Titlul volumului / Titlul revistei</t>
  </si>
  <si>
    <t>ISSN / ISBN</t>
  </si>
  <si>
    <t>Paginile articolului (de la … pana la …)</t>
  </si>
  <si>
    <t>Site www al conferinței</t>
  </si>
  <si>
    <r>
      <rPr>
        <rFont val="Times New Roman"/>
        <b/>
        <color rgb="FF000000"/>
        <sz val="9.0"/>
      </rPr>
      <t>A</t>
    </r>
    <r>
      <rPr>
        <rFont val="Times New Roman"/>
        <b val="0"/>
        <color rgb="FF000000"/>
        <sz val="9.0"/>
      </rPr>
      <t>bout the Community Leader - A Theoretical Approach</t>
    </r>
  </si>
  <si>
    <t>articol</t>
  </si>
  <si>
    <t>Carmen Sonia Duse</t>
  </si>
  <si>
    <t>FSSU05</t>
  </si>
  <si>
    <t>36th IBIMA Conference</t>
  </si>
  <si>
    <t>ISBN: 978-0-9998551-5-7</t>
  </si>
  <si>
    <t>7727-7735.</t>
  </si>
  <si>
    <t>https://ibima.org/conference/36th-ibima-conference/#ffs-tabbed-15</t>
  </si>
  <si>
    <t>SOCIAL AND CULTURAL INTEGRATION OF IMMIGRANTS-EXPERIENCES IN ROMANIA</t>
  </si>
  <si>
    <t>MARA DANIEL, ULBS</t>
  </si>
  <si>
    <t>12th International Conference on Education and New Learning Technologies, 6-7 July, 2020, Palma, Spain</t>
  </si>
  <si>
    <t>ISBN: 978-84-09-17979-4
ISSN: 2340-1117</t>
  </si>
  <si>
    <t>5502-5505</t>
  </si>
  <si>
    <t>10.21125/edulearn.2020.1440</t>
  </si>
  <si>
    <t>https://library.iated.org/view/MARA2020SOC</t>
  </si>
  <si>
    <t>EQUITY AND INCLUSION IN ROMANIAN EDUCATION DURING THE SARS-COV-2 LOCKDOWN</t>
  </si>
  <si>
    <t>MARA DANIEL, ULBS, NECULA CONSTANTIN, ULBS</t>
  </si>
  <si>
    <t>13th annual International Conference of Education, Research and Innovation, 9-11 November, 2020, Seville, Spain</t>
  </si>
  <si>
    <t xml:space="preserve"> ISBN: 978-84-09-24232-0
ISSN: 2340-1095</t>
  </si>
  <si>
    <t>3048-3051</t>
  </si>
  <si>
    <t>10.21125/iceri.2020.0701</t>
  </si>
  <si>
    <t>https://library.iated.org/view/MARA2020EQU</t>
  </si>
  <si>
    <t>CONTINUING TEACHERS’ TRAINING IN THE FIELD OF INCLUSIVE EDUCATION</t>
  </si>
  <si>
    <t>6702-6705</t>
  </si>
  <si>
    <t>10.21125/iceri.2020.1424</t>
  </si>
  <si>
    <t>https://library.iated.org/view/MARA2020CON</t>
  </si>
  <si>
    <t>STIMULATING STUDENTS' CREATIVITY THROUGH LEARNING WORKSHOPS</t>
  </si>
  <si>
    <t>14th International Technology, Education and Development Conference, 2-4 March, 2020, Valencia, Spain</t>
  </si>
  <si>
    <t>ISBN: 978-84-09-17939-8
ISSN: 2340-1079</t>
  </si>
  <si>
    <t>4517-4521</t>
  </si>
  <si>
    <t>10.21125/inted.2020.1247</t>
  </si>
  <si>
    <t>https://library.iated.org/view/MARA2020STI2</t>
  </si>
  <si>
    <t>STIMULATING THE CREATIVITY OF THE STUDENTS IN PRIMARY EDUCATION, BY THE HOURS OF ROMANIAN LANGUAGE AND LITERATURE</t>
  </si>
  <si>
    <t>Mara Elena Lucia, ULBS</t>
  </si>
  <si>
    <t>14th International Technology, Education and Development Conference, Spain</t>
  </si>
  <si>
    <t>915-920</t>
  </si>
  <si>
    <t>doi: 10.21125/inted.2020.0328</t>
  </si>
  <si>
    <t>https://library.iated.org/view/MARA2020STI</t>
  </si>
  <si>
    <t>Mara Lucia Elena</t>
  </si>
  <si>
    <t>METHODS AND TECHNIQUES OF DEVELOPMENT CREATIVITY IN PRIMARY SCHOOL</t>
  </si>
  <si>
    <t>13th International Conference of Education, Research and Innovation
Spain</t>
  </si>
  <si>
    <t>ISBN: 978-84-09-24232-0
ISSN: 2340-1095</t>
  </si>
  <si>
    <t>3116-3121</t>
  </si>
  <si>
    <t>doi: 10.21125/iceri.2020.0717</t>
  </si>
  <si>
    <t>https://library.iated.org/view/MARA2020MET</t>
  </si>
  <si>
    <t>TRAINING TEACHERS TO EMPOWER CHILDREN AND YOUNG PEOPLE. AN INCLUSIVE PERSPECTIVE</t>
  </si>
  <si>
    <t>Mag Alina Georgeta</t>
  </si>
  <si>
    <t>13th annual International Conference of Education, Research and Innovation
Online Conference 9-10 November 2020/	ICERI2020 Proceedings</t>
  </si>
  <si>
    <t>ISBN: 978-84-09-24232-0 / ISSN: 2340-1095</t>
  </si>
  <si>
    <t>Pages: 8488-8494</t>
  </si>
  <si>
    <t>10.21125/iceri.2020.1891</t>
  </si>
  <si>
    <t>https://iated.org/publications</t>
  </si>
  <si>
    <t>https://iated.org/conferences</t>
  </si>
  <si>
    <t>Croitoru, A. (2020). Transnational return and social change: hierarchies, identities and ideas: edited by Remus Gabriel Anghel, Margit Fauser and Paolo Boccagni, London, Anthem Press.</t>
  </si>
  <si>
    <t>Book review</t>
  </si>
  <si>
    <t>European Societies, 22 (4)</t>
  </si>
  <si>
    <t>ISSN: 1461-6696
eISSN: 1469-8307</t>
  </si>
  <si>
    <t>525-527</t>
  </si>
  <si>
    <t>https://doi.org/10.1080/14616696.2020.1775274</t>
  </si>
  <si>
    <t>WOS:000542766300001</t>
  </si>
  <si>
    <t>https://www.tandfonline.com/toc/reus20/current</t>
  </si>
  <si>
    <t>I.5 - Publicaţii BDI şi publicaţii ERIH PLUS</t>
  </si>
  <si>
    <t>Se raportează articolele şi recenziile publicate in reviste indexate BDI – baze de date internaţionale, inclusiv revistele indexate ERIH PLUS (https://dbh.nsd.uib.no/publiseringskanaler/erihplus/).</t>
  </si>
  <si>
    <t xml:space="preserve">Se raportează doar articolele şi recenziile, nu şi rezumatele. </t>
  </si>
  <si>
    <t>Nu se raportează articole de tip Conference Paper.</t>
  </si>
  <si>
    <r>
      <rPr>
        <rFont val="arial narrow"/>
        <color theme="1"/>
        <sz val="10.0"/>
      </rPr>
      <t xml:space="preserve">* </t>
    </r>
    <r>
      <rPr>
        <rFont val="Arial Narrow"/>
        <b/>
        <color theme="1"/>
        <sz val="10.0"/>
      </rPr>
      <t xml:space="preserve">Punctaje de referință:                                                                                                                                                                                                                                                                                                             </t>
    </r>
    <r>
      <rPr>
        <rFont val="Arial Narrow"/>
        <color theme="1"/>
        <sz val="10.0"/>
      </rPr>
      <t xml:space="preserve">• Articol = 70 de puncte
• Recenzie = 25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</si>
  <si>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Volumul</t>
  </si>
  <si>
    <t>Numarul</t>
  </si>
  <si>
    <t xml:space="preserve">Baza de date în care este indexată revista </t>
  </si>
  <si>
    <t>Link către articol</t>
  </si>
  <si>
    <t xml:space="preserve">Conservarea și restaurarea crucifixului de pe masa altarului secundar din dreapta arcului triumfal din  biserica Sfânta Ursula din Sibiu – studiu de caz </t>
  </si>
  <si>
    <t>Cristina Maria Dăneasă</t>
  </si>
  <si>
    <t xml:space="preserve">Studii Studii și comunicări de etnologie </t>
  </si>
  <si>
    <t>XXXIV</t>
  </si>
  <si>
    <t>1221-6518</t>
  </si>
  <si>
    <t>181-191</t>
  </si>
  <si>
    <t>COPERNICUS              https://journals.indexcopernicus.com/search/details?id=9693    CEEOL   https://www.ceeol.com/search/journal-detail?id=1565</t>
  </si>
  <si>
    <t>https://www.ceeol.com/search/article-detail?id=927137</t>
  </si>
  <si>
    <t xml:space="preserve">„Moartea tradițională în filmul românesc” </t>
  </si>
  <si>
    <t>Banatica</t>
  </si>
  <si>
    <t xml:space="preserve"> 1222-0612</t>
  </si>
  <si>
    <t>pp. 597-610</t>
  </si>
  <si>
    <t>Erihplus, Ebscohost, Central and Eastern European On-Line Library</t>
  </si>
  <si>
    <t>http://www.banatica.ro/index.php?option=com_content&amp;view=article&amp;id=131&amp;Itemid=278</t>
  </si>
  <si>
    <t xml:space="preserve">„Construirea, afirmarea și longevitatea unui mit românesc: Ecaterina Teodoroiu. Rolul filmului </t>
  </si>
  <si>
    <t xml:space="preserve">  Anuarul Institutului de Cercetări Socio-Umane Sibiu</t>
  </si>
  <si>
    <t>XXVII</t>
  </si>
  <si>
    <t>Print ISSN: 1223-1088</t>
  </si>
  <si>
    <t>pp. 191-198</t>
  </si>
  <si>
    <t>Ceeol, Erihplus, Index Copernicus</t>
  </si>
  <si>
    <t>http://www.icsusib.ro/periodice/anuarul-institutului</t>
  </si>
  <si>
    <t>Ritual deposits of the Petrești culture in South-Western Transylvania</t>
  </si>
  <si>
    <t>Sabin Adrian Luca</t>
  </si>
  <si>
    <t>Acta Terrae Septemcastrensis</t>
  </si>
  <si>
    <t>XIX</t>
  </si>
  <si>
    <t>ISSN 1583-1817</t>
  </si>
  <si>
    <t>107-134</t>
  </si>
  <si>
    <t>Copernicus, Scipio, Ebsco, Sciendo</t>
  </si>
  <si>
    <t>https://www.academia.edu/44996432/Ritual_deposits_of_the_Petre%C8%99ti_culture_in_South_Western_Transylvania</t>
  </si>
  <si>
    <t>Absolute dating of the systematic excavation from 2019 of the archaeological site from Tărtăria-Gura Luncii (Alba County, Romania)</t>
  </si>
  <si>
    <t>Sabin Adrian Luca (Universitatea ”Lucian Blaga”, Sibiu), G.T. Rustoiu (MNUAI), Fl. Perianu, S. Chideșa (MNB), T.B. Sava, D. Păceșilă, O. Gâză, I. Stanciu, G. Sava, B. Ștefan (IFIN-HH)</t>
  </si>
  <si>
    <t>13-38</t>
  </si>
  <si>
    <t>https://www.academia.edu/44996414/Absolute_Dating_of_the_Systematic_Excavation_from_2019_of_the_Archaeological_Site_T%C4%83rt%C4%83ria_Gura_Luncii_Alba_County_Romania_</t>
  </si>
  <si>
    <t>Săpătura sistematică din anul 2019 în situl arheologic de la Tărtăria-Gura Luncii (jud. Alba, România). Datarea radiocarbon a stratigrafiei zonei de nord-vest</t>
  </si>
  <si>
    <t>Sabin Adrian Luca (Universitatea ”Lucian Blaga”, Sibiu), G.T. Rustoiu (MNUAI), FL. Perianu, S. Chideșa (MNB), T.B. Sava, D. Păceșilă, O. Gaza, I. Stanciu, G. Sava, B. Ştefan (IFIN-HH)</t>
  </si>
  <si>
    <t>Apulum. Acta Musei Apulensis</t>
  </si>
  <si>
    <t>LVII</t>
  </si>
  <si>
    <t>ISSN 1013-428-X</t>
  </si>
  <si>
    <t>1-44</t>
  </si>
  <si>
    <t>Ceeol</t>
  </si>
  <si>
    <t>https://revista-apulum.ro/apulum-57/</t>
  </si>
  <si>
    <t>R.W. Seton-Watson și viața politică din România în „decada brătienistă” (decembrie 918-noiembrie 1928)</t>
  </si>
  <si>
    <t>Racovițan Radu</t>
  </si>
  <si>
    <t>Acta Musei Porolissensis</t>
  </si>
  <si>
    <t>XXXIX</t>
  </si>
  <si>
    <t>1016-2801</t>
  </si>
  <si>
    <t>193-210</t>
  </si>
  <si>
    <t>Erih Plus</t>
  </si>
  <si>
    <t>http://muzeuzalau.ro/anuar-2017-acta-mvsei-porolissensis/r-w-seaton-watson/</t>
  </si>
  <si>
    <r>
      <rPr>
        <rFont val="Arial Narrow"/>
        <i/>
        <color theme="1"/>
        <sz val="10.0"/>
      </rPr>
      <t xml:space="preserve">Despre troițe și cultul eroilor </t>
    </r>
    <r>
      <rPr>
        <rFont val="Arial Narrow"/>
        <color theme="1"/>
        <sz val="10.0"/>
      </rPr>
      <t xml:space="preserve"> </t>
    </r>
  </si>
  <si>
    <t>Astra Sabesiensis.  Asociaţiunea pentru literatura şi cultura poporului român, Despărţământul „Vasile Moga” Sebeş,</t>
  </si>
  <si>
    <t xml:space="preserve"> ISSN-L-2457-8150</t>
  </si>
  <si>
    <t>161-172</t>
  </si>
  <si>
    <t>CEEOL, Index Copernicus, Erih Plus, Ulrich’s Periodicals Directory</t>
  </si>
  <si>
    <t>https://astrasebesblog.files.wordpress.com/2015/11/astra-sabesiensis-numar-6-2020.pdf</t>
  </si>
  <si>
    <t>Timișoara în perioada Belle Époque: baluri și divertisment în sfera publică</t>
  </si>
  <si>
    <t>Daniela Stanciu</t>
  </si>
  <si>
    <t>II</t>
  </si>
  <si>
    <t>1222-0612</t>
  </si>
  <si>
    <t>335-355</t>
  </si>
  <si>
    <t>EBSCO ERIH Plus CEEOL</t>
  </si>
  <si>
    <t>Das Stadtbild Hermannstadts in der Belle Époque. Promenaden und Öffentlichkeit</t>
  </si>
  <si>
    <t>Astra Sabesiensis</t>
  </si>
  <si>
    <t>2457-8150</t>
  </si>
  <si>
    <t>111-121</t>
  </si>
  <si>
    <t>Coralia  Dorina  Bonța, Locuirea  din  bazinul  Someșului  Mic  în  secolele  VII–IX.  Așezarea de la Jucu de Sus-Răscruci (jud. Cluj) (Cluj-Napoca: Mega, 2017), 281 p. + 18 pl.</t>
  </si>
  <si>
    <t>Anuarul Institutului de Cercetări Socio-Umane</t>
  </si>
  <si>
    <t>1223–1088</t>
  </si>
  <si>
    <t>199-200</t>
  </si>
  <si>
    <t>ERIHPLUS</t>
  </si>
  <si>
    <t>http://anuarul.icsusib.ro/sites/forschungen.icsusib.ro/files/PDF/Anuar/cuprins.pdf</t>
  </si>
  <si>
    <t>Gott im Andern. Ökumene als Mystik der Begegnung bei Chiara Lubich</t>
  </si>
  <si>
    <t xml:space="preserve">Tobler Stefan </t>
  </si>
  <si>
    <t>Review of Ecumenical Studies Sibiu</t>
  </si>
  <si>
    <t>2359-8107</t>
  </si>
  <si>
    <t>210-227</t>
  </si>
  <si>
    <t>ERIH Plus</t>
  </si>
  <si>
    <t>https://sciendo.com/article/10.2478/ress-2020-0015</t>
  </si>
  <si>
    <t>Die Nacht Gottes im Licht Gottes - und umgekehrt. Spiritualität bei Chiara Lubich</t>
  </si>
  <si>
    <t>Lebendige Seelsorge</t>
  </si>
  <si>
    <t>0343-4591</t>
  </si>
  <si>
    <t>280-283</t>
  </si>
  <si>
    <t>Index Theologicus</t>
  </si>
  <si>
    <t>https://archiv.echter.de/PDF-Lebendige-Seelsorge/Jahrgang-2020/LS-2020-04-Gottesnacht/</t>
  </si>
  <si>
    <t>Contagious Diseases in the Stone Age?</t>
  </si>
  <si>
    <t>Tudorie Anamaria (ULBS)</t>
  </si>
  <si>
    <t xml:space="preserve">BRVKENTHAL. ACTA MVSEI  (BRUKENTHALIA) </t>
  </si>
  <si>
    <t>799-806</t>
  </si>
  <si>
    <t>Index Copernicus, Scipio, Scopus. Erih+, Ebsco Host</t>
  </si>
  <si>
    <t>Between Rudimentary and Artistic: Decorated Starčevo-Criș Pots</t>
  </si>
  <si>
    <t>1583-1817</t>
  </si>
  <si>
    <t>5-12</t>
  </si>
  <si>
    <t>Index Copernicus, Scipio, Erih+, Sciendo</t>
  </si>
  <si>
    <t>https://journals.indexcopernicus.com/search/article?articleId=2714617</t>
  </si>
  <si>
    <t>Subordonarea administrativa a Banatului de Severin fata de autoritatea centrala din Transilvania</t>
  </si>
  <si>
    <t>Cioltei Florin</t>
  </si>
  <si>
    <t>Anuarul Institutului de Cercetări Socio-Umane Sibiu</t>
  </si>
  <si>
    <t>1223-1088</t>
  </si>
  <si>
    <t>5-14</t>
  </si>
  <si>
    <t>CEEOL, ERIH PLUS, INDEX COPERNICUS</t>
  </si>
  <si>
    <t>https://www.ceeol.com/search/article-detail?id=919404</t>
  </si>
  <si>
    <t>CIOLTEI LAEXANDRU</t>
  </si>
  <si>
    <t>Alexandru Madgearu, Expansiunea maghiară în Transilvania (Târgoviște Cetatea de Scaun, 2019), 371 p..</t>
  </si>
  <si>
    <t>201-204</t>
  </si>
  <si>
    <t>https://www.ceeol.com/search/article-detail?id=919428</t>
  </si>
  <si>
    <t>A.R. Azzam - Saladin. Triumful Renașterii sunnite, (București, Ed. Corint, 2019), 392 p.</t>
  </si>
  <si>
    <t>204-206</t>
  </si>
  <si>
    <t>Grupuri de pecenegi pe valea Târnavei Mari</t>
  </si>
  <si>
    <t>Șovrea Nicolae Adrian (Univeristatea Lucian Blaga din Sibiu)</t>
  </si>
  <si>
    <t>XLII</t>
  </si>
  <si>
    <t>ISSN 2156-2253</t>
  </si>
  <si>
    <t>31-42</t>
  </si>
  <si>
    <t>CNCS B</t>
  </si>
  <si>
    <t>https://muzeuzalau.ro/anuar-2020-acta-mvsei-porolissensis/grupuri-de-pecenegi-pe-valea-mijlocie-a-tarnavei-mari-groups-of-pechenegs-in-the-middle-valley-of-tarnava-mare/</t>
  </si>
  <si>
    <t>Teachers as leaders-a theoretical approach</t>
  </si>
  <si>
    <t>Carmen Duse</t>
  </si>
  <si>
    <t>JOURNAL PLUS EDUCATION</t>
  </si>
  <si>
    <t xml:space="preserve">Volume XXVI, </t>
  </si>
  <si>
    <t>ISSN: 1842-077X E- ISSN (online) 2068 – 1151</t>
  </si>
  <si>
    <t>91-99</t>
  </si>
  <si>
    <t>Directory of Research Journals Indexing, CNCSIS classification B+ category, Ulrich's, IndexCopernicus, EBSCO, DOAJ, CEEOL, CrossReff, WorldCat.org</t>
  </si>
  <si>
    <t>https://www.uav.ro/jour/index.php/jpe/article/view/1477</t>
  </si>
  <si>
    <t>Teaching
Strategies Based on
Metacognition</t>
  </si>
  <si>
    <t>Acta Universitatis Lucian Blaga. Iurisprudentia</t>
  </si>
  <si>
    <t>Nr. 1/2020</t>
  </si>
  <si>
    <t>ISSN 1582-4608</t>
  </si>
  <si>
    <t>144-150</t>
  </si>
  <si>
    <t>EBSCO, CEEOL, HeinOnline</t>
  </si>
  <si>
    <t>https://drept.ulbsibiu.ro/books/acta-universitatis-lucian-blaga-nr-1-2020/</t>
  </si>
  <si>
    <t>PLAY GAME – MAIN ACTIVITY IN CHILD DEVELOPMENT</t>
  </si>
  <si>
    <t>JOURNAL OF ROMANIAN LITERAY STUDIES</t>
  </si>
  <si>
    <t>20/2020</t>
  </si>
  <si>
    <t>2248-3004</t>
  </si>
  <si>
    <t>50-59</t>
  </si>
  <si>
    <t>ERICH PLUS, CEEOL, GLOBAL IMPACT FACTOR, RESEARCH GATE, GOOGLE ACADEMIC</t>
  </si>
  <si>
    <t>http://asociatia-alpha.ro/jrls/20-2020-Jrls.pdf</t>
  </si>
  <si>
    <t>ROLUL ACTIVITĂȚILOR INTEGRATE ÎN DEZVOLTAREA VOCABULARULUI ELEVULUI DIN CICLUL PRIMAR</t>
  </si>
  <si>
    <t>21/2020</t>
  </si>
  <si>
    <t>33-37</t>
  </si>
  <si>
    <t>http://asociatia-alpha.ro/jrls/21-2020-Jrls-a.pdf</t>
  </si>
  <si>
    <t>38-44</t>
  </si>
  <si>
    <t>COOPERATIVE LEARNING. WAY OF ORGANIZING AND CONDUCTING EFFICIENT LEARNING IN PRIMARY SCHOOL</t>
  </si>
  <si>
    <t>22/2020</t>
  </si>
  <si>
    <t>42-51</t>
  </si>
  <si>
    <t>http://asociatia-alpha.ro/jrls/22-2020-Jrls.pdf</t>
  </si>
  <si>
    <t xml:space="preserve">METHODS AND TECHNIQUES OF DEVELOPING CREATIVITY IN THE PRIMARY SCHOOL AT THE ROMANIAN LANGUAGE DISCIPLINE </t>
  </si>
  <si>
    <t>52-59</t>
  </si>
  <si>
    <t>THE FAIRY TALE - A WAY OF FORM ETHICS AND MORAL VALUES AT PRESCHOOLERS</t>
  </si>
  <si>
    <t>23/2020</t>
  </si>
  <si>
    <t>36-42</t>
  </si>
  <si>
    <t>http://asociatia-alpha.ro/jrls/23-2020-Jrls-b.pdf</t>
  </si>
  <si>
    <t xml:space="preserve">POVESTEA – ESENȚĂ ȘI MISTER
</t>
  </si>
  <si>
    <t>ANNALES UNIVERSITATIS APULENSIS. SERIES PHILOLOGICA</t>
  </si>
  <si>
    <t>1582-5523</t>
  </si>
  <si>
    <t>294-301</t>
  </si>
  <si>
    <t>https://www.ceeol.com/search/journal-detail?id=511</t>
  </si>
  <si>
    <t>ÎNVĂȚAREA PRIN COOPERARE – NECESITATE PRIMORDIALĂ ÎN DIDACTICA PENTRU ÎNVĂȚĂMÂNT PRIMAR</t>
  </si>
  <si>
    <t>255-266</t>
  </si>
  <si>
    <t>Development of critical thinking through ONLINE activities</t>
  </si>
  <si>
    <t>Carmen Maria Chișiu</t>
  </si>
  <si>
    <t>Journal Plus Education</t>
  </si>
  <si>
    <t>ISSN: 1842-077X,   E-ISSN(online) 2068-1151</t>
  </si>
  <si>
    <t>125-141</t>
  </si>
  <si>
    <t>https://uav.ro/jour/index.php/jpe/article/view/1525</t>
  </si>
  <si>
    <t>Chisiu Carmen</t>
  </si>
  <si>
    <t>Students’ Perception towards Online Activities in Higher Education</t>
  </si>
  <si>
    <t>Journal of Innovation in Psychology, Education and Didactics</t>
  </si>
  <si>
    <t xml:space="preserve">ISSN: 2247-4579 E-ISSN: 2392-7127 </t>
  </si>
  <si>
    <t>199-206</t>
  </si>
  <si>
    <t>CEEOL
CiteFactor
DOAJ
EBSCO
ERIC
E-International Journals of Academic &amp; Scientific Research
EuroPub database
International Innovative Journal Impact Factor
Open Academic Journals Index
ProQuest
ResearchBib
SCIPIO
Universal Impact Factor</t>
  </si>
  <si>
    <t>http://www.jiped.ub.ro/index.php/archives/2917</t>
  </si>
  <si>
    <t>THE DEVELOPMENT OF EMOTIONAL INTELLIGENCE,A NECESSITY OF STUDENTS</t>
  </si>
  <si>
    <t>Human Education Today for Tomorrow’s World Journal</t>
  </si>
  <si>
    <t>ISSN: 1843-9985</t>
  </si>
  <si>
    <t>23-32</t>
  </si>
  <si>
    <t>IndexCopernicus, CEEOL</t>
  </si>
  <si>
    <t>https://humaneducationtoday.eu/archive/november-2020/#more-192</t>
  </si>
  <si>
    <t>TUTORING, AN ALTERNATIVE TO INTERVENTION IN EDUCATION</t>
  </si>
  <si>
    <t>38-43</t>
  </si>
  <si>
    <t>PREDAREA, ÎNVĂȚAREA, EVALUAREA PENTRU DEZVOLTAREA GÂNDIRII CRITICE ÎN MEDIUL UNIVERSITAR</t>
  </si>
  <si>
    <t>XVI</t>
  </si>
  <si>
    <t>ISSN 1841-1401 (print) ISSN - L 1841-1401 ISSN 2067-5135 (online)</t>
  </si>
  <si>
    <t>139-148</t>
  </si>
  <si>
    <t>CEEOL EBSCO SCIPIO CNCS Index Copernicus Erich Plus</t>
  </si>
  <si>
    <t>file:///F:/Carmen%20Chisiu/Documente%20personale/Evaluare%202020/Articolele%20mele%20studies-of-science-and-culture-2020-4-table-of-content..pdf</t>
  </si>
  <si>
    <t>Modalități de a diminua analfabetismul funcțional, în cazul elevilor remigranți</t>
  </si>
  <si>
    <t> Studii de Ştiinţă şi Cultură</t>
  </si>
  <si>
    <t>149-156</t>
  </si>
  <si>
    <t>Breaking Stereotypes Concerning Remigrated Children - A Multinational
Possible Intervention Plan Through School</t>
  </si>
  <si>
    <t>Journal of Modern Education Review (JMER)</t>
  </si>
  <si>
    <t>2155-7993</t>
  </si>
  <si>
    <t>1042-1051</t>
  </si>
  <si>
    <t>SSRN
Ulrich
PBN
WorldCat
Google Scholar
Index Copernicus International
Polish Scholarly Bibliography</t>
  </si>
  <si>
    <t>http://academicstar.us/issueshow.asp?daid=3411</t>
  </si>
  <si>
    <t xml:space="preserve">VICTOR PAPILIAN’S DRAMA – FROM RHETORIC TO
INNOVATION </t>
  </si>
  <si>
    <t>Ciochină Ingrid Cezarina-Elena</t>
  </si>
  <si>
    <t>Journal of Romanian Literary Studies</t>
  </si>
  <si>
    <t>ISSN: 2248-3004</t>
  </si>
  <si>
    <t>984-989</t>
  </si>
  <si>
    <t>CEEOL, Global Impact Factor, SSRN,
Google Academic, Research Gate, Academic.edu, WorldCat, BDD</t>
  </si>
  <si>
    <t>http://old.upm.ro/jrls/JRLS-20/Volume%2020.pdf</t>
  </si>
  <si>
    <t>Ciochină Cezarina</t>
  </si>
  <si>
    <t>ASPECTS OF THE THEATER OF THE ABSURD IN MARIN SORESCU’S “IONA”</t>
  </si>
  <si>
    <t xml:space="preserve">ANNALES UNIVERSITATIS APULENSIS. SERIES PHILOLOGICA, </t>
  </si>
  <si>
    <t>ISSN 1582-5523 </t>
  </si>
  <si>
    <t>42-47</t>
  </si>
  <si>
    <t>CEEOL, EBSCO, ERIH PLUS</t>
  </si>
  <si>
    <t>https://www.ceeol.com/search/article-detail?id=914352</t>
  </si>
  <si>
    <t>Aspects of Romanian naturalism in the work of I.L. Caragiale and 
B.Șt. Delavrancea</t>
  </si>
  <si>
    <t>208-217</t>
  </si>
  <si>
    <t>https://www.ceeol.com/search/article-detail?id=901381</t>
  </si>
  <si>
    <t>VICTOR PAPILIAN –AN „ANTIMODERNIST” WRITER</t>
  </si>
  <si>
    <t>382-387</t>
  </si>
  <si>
    <t>VICTOR PAPILIAN -AN ANTIMODERNIST PERSPECTIVE OF THE WORLD</t>
  </si>
  <si>
    <t>387-392</t>
  </si>
  <si>
    <t>Teachers' perception of the importance of music in school learning</t>
  </si>
  <si>
    <t>Daniela Carmen POPA</t>
  </si>
  <si>
    <t>Volumul 2</t>
  </si>
  <si>
    <t>11-124</t>
  </si>
  <si>
    <t>https://www.uav.ro/jour/index.php/jpe/article/view/1526</t>
  </si>
  <si>
    <t>Popa  Daniela Carmen</t>
  </si>
  <si>
    <t>Music, a support element in learning</t>
  </si>
  <si>
    <t>109-115</t>
  </si>
  <si>
    <t>Psychological Aspects Of Counterproductive Work Behavior In Romanian Hotel Industry Organizations</t>
  </si>
  <si>
    <t>Daniela Botone</t>
  </si>
  <si>
    <t>SEA - PRACTICAL APPLICATION OF SCIENCE</t>
  </si>
  <si>
    <t>24 (3)</t>
  </si>
  <si>
    <t>ISSN-L: 2360 – 2554</t>
  </si>
  <si>
    <t>363-368</t>
  </si>
  <si>
    <t>RePec, DOAJ, EconPapers, ULRICHS WEB, EBSCO HOST,  INDEX COPERNICUS, EconLit, ScienceCentral, CABELL'S INTERNATIONAL, Central and Eastern European Online Library</t>
  </si>
  <si>
    <t>https://spas.seaopenresearch.eu</t>
  </si>
  <si>
    <t>Boțone Daniela</t>
  </si>
  <si>
    <t>Attribution and Fundamental Attribution Error in Explaining the Organizational Behavior</t>
  </si>
  <si>
    <t>Management Intercultural</t>
  </si>
  <si>
    <t>ISSN-L: 1454-9980</t>
  </si>
  <si>
    <t>https://mi.seaopenresearch.eu/volumul-xxii</t>
  </si>
  <si>
    <t>Emotional Work In Explaining The Professional Performance</t>
  </si>
  <si>
    <t>53-61</t>
  </si>
  <si>
    <t>The implications of using stereotypes</t>
  </si>
  <si>
    <t>Gabriela-Maria MAN (Universitatea Lucian Blaga)</t>
  </si>
  <si>
    <t>REVISTA ACADEMIEI FOR􀄟ELOR TERESTRE</t>
  </si>
  <si>
    <t>331-336</t>
  </si>
  <si>
    <t>ProQuest Advanced Technologies &amp; Aerospace Journals</t>
  </si>
  <si>
    <t>https://www.armyacademy.ro/reviste/rev4_2020/Table_Contents_Raft_4_2020.pdf</t>
  </si>
  <si>
    <t>Self-reported altruism as predictor for  active-empathic  listening skills</t>
  </si>
  <si>
    <t xml:space="preserve">Marcu Gabriela </t>
  </si>
  <si>
    <t>FSSU4</t>
  </si>
  <si>
    <t xml:space="preserve">COUNS-EDU The International Journal of Counseling and Education </t>
  </si>
  <si>
    <t>2548-348X</t>
  </si>
  <si>
    <t>23-28</t>
  </si>
  <si>
    <t>DOAJ, CrossRef, Google Scholar, Dimensions</t>
  </si>
  <si>
    <t>https://journal.konselor.or.id/index.php/counsedu/article/view/258</t>
  </si>
  <si>
    <t>The Psychological Contract for Healthcare workers</t>
  </si>
  <si>
    <t>Grama Blanca</t>
  </si>
  <si>
    <t>Acta Medica Transilvanica</t>
  </si>
  <si>
    <t>ISSN-1453-1968</t>
  </si>
  <si>
    <t>9-11</t>
  </si>
  <si>
    <t>INDEX COPERNICUS, ENSCOhost, ULRICH"S, OPEN J-GATE, DRJI, DOAJ, GENAMICS</t>
  </si>
  <si>
    <t>http://www.amtsibiu.ro/Arhiva/2020/Nr4-en/Grama.pdf</t>
  </si>
  <si>
    <t>The Psychological Contract a Challange for Leadership</t>
  </si>
  <si>
    <t>Revista Economică</t>
  </si>
  <si>
    <t>ISSN 1582-6260</t>
  </si>
  <si>
    <t>56-65</t>
  </si>
  <si>
    <t>Ebsco, ULRICH"S, RePeC,</t>
  </si>
  <si>
    <t>http://economice.ulbsibiu.ro/revista.economica/archive/72305grama.pdf</t>
  </si>
  <si>
    <t>Grama  Blanca</t>
  </si>
  <si>
    <t xml:space="preserve">Introducing psychodrama into programmes preparing young people transitioning from residential care. </t>
  </si>
  <si>
    <t>Dima, G.(UTBV), Bucuţă, M.D</t>
  </si>
  <si>
    <t>Zeitschrift für Psychodrama und Soziometrie, (), 1-16 , © Springer Fachmedien Wiesbaden GmbH, ein Teil von Springer Nature</t>
  </si>
  <si>
    <t>Supplement 1</t>
  </si>
  <si>
    <t xml:space="preserve">1862-2526 (online) 1619-5507 (print)       DOI
10.1007/s11620-020-00562-0    </t>
  </si>
  <si>
    <t>47-63</t>
  </si>
  <si>
    <t>PsychInfo   SpringerLink  CNKI EBSCO OCLC WorldCat DS</t>
  </si>
  <si>
    <t xml:space="preserve">
https://www.springer.com/journal/11620
https://www.springer.com/journal/11620</t>
  </si>
  <si>
    <t>Transitions in Romanian Land Information Management and Cadastral System between 1989-2019</t>
  </si>
  <si>
    <t>Dana Alexandru ULBS</t>
  </si>
  <si>
    <t>Academic Journal of Law and Governance</t>
  </si>
  <si>
    <t>SPECIAL NUMBER</t>
  </si>
  <si>
    <t>I2344-0643</t>
  </si>
  <si>
    <t>61-75</t>
  </si>
  <si>
    <t>http://www.ttpublishing.eu/index.php?show=journal&amp;id=ajlg&amp;do=indexing_abstracting</t>
  </si>
  <si>
    <t>http://www.ttpublishing.eu/index.php?show=journal&amp;id=ajlg&amp;do=current_issue</t>
  </si>
  <si>
    <t xml:space="preserve">BETWEEN THE IMPERFECTIONS OF SOCIAL POLICIES AND THE
WEAKNESSES OF CIVIC CONSCIOUSNESS AND OF SOCIAL
RESPONSABILITY – ASPECTS REGARDING SOCIAL
MARGINALIZATION IN THE 21ST CENTURY </t>
  </si>
  <si>
    <t>Timescu Emilia</t>
  </si>
  <si>
    <t>Studia Securitatis</t>
  </si>
  <si>
    <t>XIV</t>
  </si>
  <si>
    <t>ISSN: 1843-1925</t>
  </si>
  <si>
    <t>106-111</t>
  </si>
  <si>
    <t>CEEOL ,EBSCO ERIHPLUS,
INDEX COPERNICUS,
ULRICH'S PERIODICAL DIRECTORY
INFOBASE INDEX
SOCIONET.RU</t>
  </si>
  <si>
    <t>http://site.magazines.ulbsibiu.ro/studiasecuritatis/wp-content/uploads/2021/02/2.2020.pdf</t>
  </si>
  <si>
    <t>Analiză și relații internaționale. Analiza relațiilor internaționale</t>
  </si>
  <si>
    <t>Eugen Străuțiu (ULBS)</t>
  </si>
  <si>
    <t>Revista de Filozofie, Sociologie și Științe Politice</t>
  </si>
  <si>
    <t>1857-2294</t>
  </si>
  <si>
    <t>7-14</t>
  </si>
  <si>
    <t>Index Copernicus</t>
  </si>
  <si>
    <t>https://ibn.idsi.md/ro/vizualizare_articol/116925</t>
  </si>
  <si>
    <t>Intelligence în context pandemic – o nouă paradigmă?</t>
  </si>
  <si>
    <t>Studii Naționale de Securitate. Revistă științifico-practică</t>
  </si>
  <si>
    <t>2587-3822</t>
  </si>
  <si>
    <t>53-65</t>
  </si>
  <si>
    <t>Instrumentul Bibliometric Național</t>
  </si>
  <si>
    <t>https://ibn.idsi.md/ro/vizualizare_articol/127155</t>
  </si>
  <si>
    <t>Artă și societate în Sibiul modern</t>
  </si>
  <si>
    <t>Dialogica</t>
  </si>
  <si>
    <t>1857-2537</t>
  </si>
  <si>
    <t>CEEOL, Cite Factor</t>
  </si>
  <si>
    <t>https://ibn.idsi.md/ro/vizualizare_articol/109284</t>
  </si>
  <si>
    <t>Cu mintea mea de bărbat, despre o viață cât o lume întreagă: Cu mintea mea de femeie (Cu mintea mea de femeie, Mihaela Miroiu).</t>
  </si>
  <si>
    <t>Gheorghiță Bogdan</t>
  </si>
  <si>
    <t>Polis</t>
  </si>
  <si>
    <t>4(30)</t>
  </si>
  <si>
    <t>195-197</t>
  </si>
  <si>
    <t>CEEOL; DOAJ</t>
  </si>
  <si>
    <t>https://revistapolis.ro/430-bogdan-gheorghita/</t>
  </si>
  <si>
    <t>Despre comunism și postcomunism într-o privire (Nașterea cetățeniei democratice. Femeile și puterea în România modernă, Maria Bucur și Mihaela Miroiu).</t>
  </si>
  <si>
    <t>Gheorghita Bogdan și Sabina-Adina Luca</t>
  </si>
  <si>
    <t>3(29)</t>
  </si>
  <si>
    <t>217-220</t>
  </si>
  <si>
    <t>https://revistapolis.ro/329-recenzie-bogdan-gheorghita-si-sabina-luca/</t>
  </si>
  <si>
    <t>Measuring academic engagement among university students in Romania during COVID-19 pandemic</t>
  </si>
  <si>
    <t>Ştefenel Delia, Iuliana Neagoș</t>
  </si>
  <si>
    <t>Thesis
International Research Journal</t>
  </si>
  <si>
    <t>ISSN: 1848-4298 (Print)
ISSN: 2623-8381 (Online)</t>
  </si>
  <si>
    <t>3-29</t>
  </si>
  <si>
    <t xml:space="preserve">ERIH PLUS, DOAJ </t>
  </si>
  <si>
    <t>https://thesis-journal.net/wp-content/uploads/2021/01/Thesis-2020-no.2-online-1.pdf</t>
  </si>
  <si>
    <t>A NEW FUNDAMENTAL WORKING TOOL FOR THE RESEARCH OF THE TRANSNISTRIAN ISSUE, PROVIDED BY THE LABORATORY FOR THE ANALYSIS OF THE TRANSNISTRIAN CONFLICT, EDITED BY EUGEN STRĂUȚIU</t>
  </si>
  <si>
    <t>Neagoș Iuliana</t>
  </si>
  <si>
    <t>126-129</t>
  </si>
  <si>
    <t>http://site.magazines.ulbsibiu.ro/studiasecuritatis/wp-content/uploads/2020/06/1.2020.pdf</t>
  </si>
  <si>
    <t xml:space="preserve"> THE ACTIVITY OF THE WORK SECTORAL GROUPS AND THE EVOLUTION OF THE TRANSNISTRIAN REGULATION PROCESS  2020</t>
  </si>
  <si>
    <t xml:space="preserve">Marius Șpechea (ULBS) </t>
  </si>
  <si>
    <t xml:space="preserve">Anuar LACT </t>
  </si>
  <si>
    <t>IV</t>
  </si>
  <si>
    <t>2601-1174</t>
  </si>
  <si>
    <t>114-129</t>
  </si>
  <si>
    <t>CEEOL, Index Copernicus, Socionet.ru</t>
  </si>
  <si>
    <t>https://lact.ro/anuarul-laboratorului-pentru-analiza-conflictului-transnistrean-vol-iv-no-1-2020/</t>
  </si>
  <si>
    <t>Aspects of religious identity în the transnistrian region. Retrosperspectives and perspectives</t>
  </si>
  <si>
    <t>Marius Șpechea (ULBS) Mihai Melintei (ULBS)</t>
  </si>
  <si>
    <t>130-143</t>
  </si>
  <si>
    <t>The Role of Media in Promoting National Security Interests</t>
  </si>
  <si>
    <t xml:space="preserve">Nicoleta Annemarie Munteanu </t>
  </si>
  <si>
    <t>Bulletin of the Transilvania University of Brașos</t>
  </si>
  <si>
    <t>13/62</t>
  </si>
  <si>
    <t>nr. 1/2020</t>
  </si>
  <si>
    <t>ISSN 2066-7701</t>
  </si>
  <si>
    <t>113-122</t>
  </si>
  <si>
    <t>ProQuest Central,Ebsco, Crossref, DOAJ, CABI</t>
  </si>
  <si>
    <t>http://webbut.unitbv.ro/Bulletin/Series%20VII/2020/CERSS/14-Munteanu.pdf</t>
  </si>
  <si>
    <t xml:space="preserve">NATO`s Actions during the Covid19 Pandemic </t>
  </si>
  <si>
    <t xml:space="preserve">Studia Securitatis </t>
  </si>
  <si>
    <t>nr.   2/2020</t>
  </si>
  <si>
    <t>ISSN 1843-1925</t>
  </si>
  <si>
    <t>28-34</t>
  </si>
  <si>
    <t>CEEOL, EBSCO, INDEX COPERNICUS, ULRICH'S PERIODICAL DIRECTORY, INFOBASE INDEX, SOCIONET.RURESEARCHBIBMIAR, GLOBAL IMPACT&amp;QUALITY FACTOR</t>
  </si>
  <si>
    <t>LIBIA ŞI NOUA HARTĂ A MIZELOR GEOPOLITICE ÎN BAZINUL LEVANT</t>
  </si>
  <si>
    <t>Nate, S. (ULBS)</t>
  </si>
  <si>
    <t>Revista Geopolitica, Orientul Mijlociu - între revoltă și haos constructiv,Anul XVIII, nr. 82 (1 / 2020)</t>
  </si>
  <si>
    <t>Vol. 1</t>
  </si>
  <si>
    <t>Anul XVIII, nr. 82 (1 / 2020)</t>
  </si>
  <si>
    <t>1583-543X</t>
  </si>
  <si>
    <t>60-67</t>
  </si>
  <si>
    <t>Ulrich’s Periodicals Directory, CrossRef, Index Copernicus, ROAR.
Revistă științifică cu prestigiu recunoscut CNATDCU, echivalent BDI:
- Comisia pentru Sociologie, Ştiinţe Politice şi Administrative, Categoria Edituri A2, poz. 17; Comisia pentru Ştiinţe Militare, Informaţii şi Ordine Publică, Categoria Edituri A2, poz. 16</t>
  </si>
  <si>
    <t>https://www.geopolitic.ro/2020/05/libia-si-noua-harta-mizelor-geopolitice-bazinul-levant/</t>
  </si>
  <si>
    <t>TEHNOLOGIILE COGNITIVE ŞI AUTORITARISMUL DIGITAL. UN PAS ÎNAPOI SPRE VIITOR</t>
  </si>
  <si>
    <t>Revista Geopolitica, 2020: LUMEA ÎN SCHIMBARE PUNCT …ŞI DE LA CAPĂT (I)</t>
  </si>
  <si>
    <t xml:space="preserve">Anul XVIII, NR. 84/2020 </t>
  </si>
  <si>
    <t>93-97</t>
  </si>
  <si>
    <t>https://www.geopolitic.ro/2020/11/tehnologiile-cognitive-si-autoritarismul-digital-un-pas-inapoi-spre-viitor/</t>
  </si>
  <si>
    <t>Nomological Foundations of the Hybrid Warfare</t>
  </si>
  <si>
    <t>Aurelian Ratiu (AFTNB), Catalin Cioaca (AFTNB), Silviu Nate (ULBS)</t>
  </si>
  <si>
    <t xml:space="preserve">Proceedins Vol.: The 21st International conference - THE KNOWLEDGE-BASED ORGANIZATION </t>
  </si>
  <si>
    <t xml:space="preserve">Volume 26 </t>
  </si>
  <si>
    <t>Issue 1/June 2020</t>
  </si>
  <si>
    <t>eISSN: 2451-3113
ISSN: 1843-6722</t>
  </si>
  <si>
    <t>130 - 135</t>
  </si>
  <si>
    <t>Indexată în: Baidu Scholar
CNKI Scholar (China National Knowledge Infrastructure)
CNPIEC - cnpLINKer
Dimensions
EBSCO (relevant databases)
EBSCO Discovery Service
Google Scholar
J-Gate
JournalTOCs
KESLI-NDSL (Korean National Discovery for Science Leaders)
MyScienceWork
Naver Academic
Naviga (Softweco)
Primo Central (ExLibris)
ProQuest (relevant databases)
Publons
QOAM (Quality Open Access Market)
ReadCube
Semantic Scholar
Summon (ProQuest)
TDNet
Ulrich's Periodicals Directory/ulrichsweb
WanFang Data
Web of Science - Conference Proceedings Citation Index
WorldCat (OCLC)
 DOI: 10.2478/kbo-2020-0020</t>
  </si>
  <si>
    <t>https://www.armyacademy.ro/engleza/kbo_archive.php
https://www.sciendo.com/article/10.2478/kbo-2020-0020</t>
  </si>
  <si>
    <t>Abordări jurnalistice actuale: crossmedia, transmedia, multimedia/ Contemporary  Journalistic  Approaches:  Crossmedia,  Transmedia, Multimedia</t>
  </si>
  <si>
    <t>Saeculum</t>
  </si>
  <si>
    <t>vol.50</t>
  </si>
  <si>
    <t>Online: 1221-2245 Print:2601-1182</t>
  </si>
  <si>
    <t>127-137</t>
  </si>
  <si>
    <t>EBSCO, CEEOL, SCIENDO</t>
  </si>
  <si>
    <t>https://revistasaeculum1943.wordpress.com/</t>
  </si>
  <si>
    <t>Interculturalitate în spațiul european prin prisma contactelor interuniversitare: problematizări, provocări și soluții/ Interculturality in the European space through the interuniversity contacts: problems, challenges and solutions</t>
  </si>
  <si>
    <t xml:space="preserve">Saeculum </t>
  </si>
  <si>
    <t>191-199</t>
  </si>
  <si>
    <t>DIFFICULTIES AND RISKS IN THE INTERVENTION OF THE STAFF EMPLOYED WITHIN THE SOCIAL ASSISTANCE DEPARTMENTS OF THE LOCAL PUBLIC ADMINISTRATION</t>
  </si>
  <si>
    <t>FSSU 6</t>
  </si>
  <si>
    <t>Scientific Annals of the “Alexandru Ioan Cuza” University</t>
  </si>
  <si>
    <t>2 (2020)</t>
  </si>
  <si>
    <t>2066 - 8961</t>
  </si>
  <si>
    <t>67-74</t>
  </si>
  <si>
    <t xml:space="preserve">ERIH +, EBSCO, PROQUEST CSA-Abstract sociologic, PROQUEST-Social Services Abstracts, PROQUEST-Worldwide Political Science Abstracts, Ulrich, IBSS, CEEOL, INDEXCOPERNICUS, SCIPIO și CNCSIS </t>
  </si>
  <si>
    <t>https://anale.fssp.uaic.ro/index.php/asas/article/view/609</t>
  </si>
  <si>
    <t>Measuring integration in new countries of immigration</t>
  </si>
  <si>
    <t xml:space="preserve">Social Change Review </t>
  </si>
  <si>
    <t xml:space="preserve"> 1-2</t>
  </si>
  <si>
    <t>2068-8016</t>
  </si>
  <si>
    <t>93-121</t>
  </si>
  <si>
    <t>CEEOL, EBSCO</t>
  </si>
  <si>
    <t>https://content.sciendo.com/view/journals/scr/16/1-2/article-p93.xml</t>
  </si>
  <si>
    <t>Introduction to the Special Issue: Debating Immigration in a Country of Emigration</t>
  </si>
  <si>
    <t>RG Anghel, A Coșciug</t>
  </si>
  <si>
    <t>3-8</t>
  </si>
  <si>
    <t>https://content.sciendo.com/view/journals/scr/16/1-2/article-p3.xml</t>
  </si>
  <si>
    <t>Limbajul popular, mituri și simboluri în textul jurnalistic</t>
  </si>
  <si>
    <t xml:space="preserve">Crețu Ioana-Narcisa, ULBS </t>
  </si>
  <si>
    <t>Studii și comunicări de etnologie</t>
  </si>
  <si>
    <t>121-6518</t>
  </si>
  <si>
    <t>50-57</t>
  </si>
  <si>
    <t>CEEOL, Index Copernicus</t>
  </si>
  <si>
    <t>https://www.ceeol.com/search/article-detail?id=926814</t>
  </si>
  <si>
    <t>The Communication Process Trough Translation</t>
  </si>
  <si>
    <t>XIX (XXI)</t>
  </si>
  <si>
    <t>2 (50)</t>
  </si>
  <si>
    <t>1221-2245</t>
  </si>
  <si>
    <t>119-127</t>
  </si>
  <si>
    <t>CEEOL, Sciendo</t>
  </si>
  <si>
    <t>https://revistasaeculum1943.files.wordpress.com/2020/12/12-ioana-narcisa-cretu.pdf, https://www.ceeol.com/search/article-detail?id=915696, http://sciendo.com/article/10.2478/saec-2020-0023</t>
  </si>
  <si>
    <t>Introduction to the Special Issue. Migration, food and agriculture: Insights into what we eat and how our food is produced at the beginning of the third millennium</t>
  </si>
  <si>
    <t>Yoan Molinero-Gerbeau (Comillas Pontifical University, Spain)
Monica Șerban (ICCV, Academia Română, România)
Alin Croitoru (ULBS)</t>
  </si>
  <si>
    <t>Social Change Review</t>
  </si>
  <si>
    <t>18</t>
  </si>
  <si>
    <t>1</t>
  </si>
  <si>
    <t>2020</t>
  </si>
  <si>
    <t>1-12</t>
  </si>
  <si>
    <t>CEEOL, DOAJ, EBSCO etc.</t>
  </si>
  <si>
    <t>http://sciendo.com/article/10.2478/scr-2020-0002</t>
  </si>
  <si>
    <t>POTENȚIALITATE ȘI REPERCURSIUNI ALE PUBLICITĂȚII PANDEMIE - oportunități, efecte, schimbări în comportamentul consumatorilor –</t>
  </si>
  <si>
    <t>Curta Ioana Adela</t>
  </si>
  <si>
    <t>FFSU6</t>
  </si>
  <si>
    <t>serie nouă</t>
  </si>
  <si>
    <t>2 (50) 2020</t>
  </si>
  <si>
    <t>ISSN 1221-2245</t>
  </si>
  <si>
    <t>62-69</t>
  </si>
  <si>
    <t>SCIENDO, CEEOL, EBSCO</t>
  </si>
  <si>
    <t>https://revistasaeculum1943.files.wordpress.com/2020/12/07-ioana-adela-curta.pdf</t>
  </si>
  <si>
    <t>CUM COMUNICĂM DESPRE SEXUALITATE
ÎN CONTEXTUL DIZABILITĂȚII?</t>
  </si>
  <si>
    <t>Damian Ovidiu Corneliu, Universitatea Lucian Blaga Sibiu</t>
  </si>
  <si>
    <t xml:space="preserve">Revista Saeculum </t>
  </si>
  <si>
    <t>2(50)</t>
  </si>
  <si>
    <t>print ISSN 1221-2245, online ISSN 2601-1182</t>
  </si>
  <si>
    <t>148-158</t>
  </si>
  <si>
    <t>CEEOL, EBSCO, SCIENDO – DE GRUYTER.</t>
  </si>
  <si>
    <t>https://revistasaeculum1943.files.wordpress.com/2020/12/15-ovidiu-damian.pdf</t>
  </si>
  <si>
    <t>Nihilismul de mall</t>
  </si>
  <si>
    <t>120-124</t>
  </si>
  <si>
    <t>Ebsco, Ceeol</t>
  </si>
  <si>
    <t>https://www.ceeol.com/search/article-detail?id=884428</t>
  </si>
  <si>
    <t>William Neria, Le mythe de la caverne</t>
  </si>
  <si>
    <t>Alkemie</t>
  </si>
  <si>
    <t>1843-9012</t>
  </si>
  <si>
    <t>285-289</t>
  </si>
  <si>
    <t>https://classiques-garnier.com/alkemie-2020-1-revue-semestrielle-de-litterature-et-philosophie-n-25-la-poesie-en.html</t>
  </si>
  <si>
    <t>Ciclopii lui Hristos. Apercepții și recontextualizări contemporane asupra creștinismului</t>
  </si>
  <si>
    <t>77-85</t>
  </si>
  <si>
    <t>CEEOL, EBSCO, SCIENDO</t>
  </si>
  <si>
    <t>https://revistasaeculum1943.wordpress.com</t>
  </si>
  <si>
    <t xml:space="preserve">Urban Administrative Fragmentation and Its Consequences on Electoral Behaviors at Romanian National Legislative Elections. A Case Study on Bucharest </t>
  </si>
  <si>
    <t>European Quarterly of Political Attitudes and Mentalities</t>
  </si>
  <si>
    <t xml:space="preserve">ISSN 2285 - 4916 </t>
  </si>
  <si>
    <t>14-37</t>
  </si>
  <si>
    <t>EBSCO, SSOAR/GESIS, DOAJ, ProQuest, Ulrich, Google Scholars, ERIH PLUS, Sherpa RoMEO</t>
  </si>
  <si>
    <t>https://www.eqpam.unibuc.ro/giorgiangutoiu-urbanadministrativefragmentation</t>
  </si>
  <si>
    <t>Comportamentul Electoral în România în Contextul Regiunilor Istorice și al Mediilor Rezidențiale. O Analiză Longitudinală: 1992-2016</t>
  </si>
  <si>
    <t>Revista de Științe Politice și Relații Internaționale</t>
  </si>
  <si>
    <t>ISSN online: 2285 - 7540; ISSN print: 1584 – 1723</t>
  </si>
  <si>
    <t>85-100</t>
  </si>
  <si>
    <t>ERIH PLUS, CEEOL, DOAJ, Ulrich's, Index Copernicus</t>
  </si>
  <si>
    <t>https://79dd720e-4b65-4316-bb39-526d8ea1c51d.filesusr.com/ugd/d1cf60_f2d8b46e29dd4401a8aa06ab22c5f2da.pdf</t>
  </si>
  <si>
    <t>Traditions and philosophical renewals - Review</t>
  </si>
  <si>
    <t>Hasmațuchi</t>
  </si>
  <si>
    <t>Annals of Ştefan cel Mare University of Suceava Philosophy, Social and Human Disciplines Series</t>
  </si>
  <si>
    <t xml:space="preserve">ISSN 2069 – 4008 (online: ISSN 2069 – 4016) </t>
  </si>
  <si>
    <t>81-86</t>
  </si>
  <si>
    <t>EBSCO, DOAJ</t>
  </si>
  <si>
    <t>http://www.apshus.usv.ro/arhiva/2020II/APSHUSDec2020_81_86.pdf</t>
  </si>
  <si>
    <t xml:space="preserve">Relatarea evenimentelor tragice: victimele, comunitatea și jurnaliștii </t>
  </si>
  <si>
    <t>Saeculum ULBS</t>
  </si>
  <si>
    <t>nr. 2 (50)</t>
  </si>
  <si>
    <t>70-76</t>
  </si>
  <si>
    <t>https://revistasaeculum1943.files.wordpress.com/2020/12/revista-saeculum-2-2020_lq.pdf</t>
  </si>
  <si>
    <t>A THEORETICAL AND PRACTICAL
COMPREHENSIVE FRAMEWORK FOR
ARTIFICIAL INTELLIGENCE AND
SOCIO-PSYCHOLOGICAL CHALLENGES</t>
  </si>
  <si>
    <t>Pogan Livia Dana, Popa Radu Ioan</t>
  </si>
  <si>
    <t>Bulletin of the Transilvania University of Braşov</t>
  </si>
  <si>
    <t xml:space="preserve"> 13(62) </t>
  </si>
  <si>
    <t>I</t>
  </si>
  <si>
    <t xml:space="preserve"> ISSN 2066-7701 (Print), ISSN 2066-771X (CD-ROM)</t>
  </si>
  <si>
    <t>33-40</t>
  </si>
  <si>
    <t xml:space="preserve"> EBSCO Publishing DataBase,
DOAJ,
CEEOL,
ProQuest Central, ERIH Plus,
Crossref</t>
  </si>
  <si>
    <t>http://webbut.unitbv.ro/Bulletin/Series%20VII/2020/BULETIN%20I%20PDF/05_Pogan.pdf https://doi.org/10.31926/but.ssl.2020.13.62.1.3</t>
  </si>
  <si>
    <t>Mapping integration. Understanding immigration</t>
  </si>
  <si>
    <t>Sociology and Social Work Review</t>
  </si>
  <si>
    <t>eISSN: 2573-3230 (Online) | ISSN: 2573-3222 (Print)</t>
  </si>
  <si>
    <t>79-86</t>
  </si>
  <si>
    <t>Academic Reesource Index ReseachBib, CiteFactor, Global Research References Network (GoREF), HEINONLINE, INDEX COPERNICUS, Library of Congress Online Catalog, KVK – Karlsruher Virtueller Katalog, Library and Archives CanadaLibrary and Archives Canada, RePEc,  WorldCat</t>
  </si>
  <si>
    <t xml:space="preserve">      https://ideas.repec.org/a/edr/sswrgl/v4y2020i2p79-86.html</t>
  </si>
  <si>
    <t>COMPARATIVE PERSPECTIVES ON WORK-FAMILY
RELATION AND GENDER ROLES IN ROMANIAN
CONTEXT</t>
  </si>
  <si>
    <t>Popa Radu Ioan, Pogan Livia Dana</t>
  </si>
  <si>
    <t>Vol. 13(62) No. 2– 2020</t>
  </si>
  <si>
    <t>165-176</t>
  </si>
  <si>
    <t xml:space="preserve">http://webbut.unitbv.ro/Bulletin/Series%20VII/2020/BULETIN%20I/06_Popa.pdf
</t>
  </si>
  <si>
    <t>LIVING IN A SMART WORLD. A STUDY OVER EMPLOYEES`
PERCEPTIONS ON THE USAGE OF INTELLIGENT DEVICES</t>
  </si>
  <si>
    <t>Revista Universitară de Sociologie</t>
  </si>
  <si>
    <t xml:space="preserve">Year XVI, Issue 2/2020 </t>
  </si>
  <si>
    <t>ISSN: 2537-5024
ISSN-L: 1841-6578</t>
  </si>
  <si>
    <t>121-129</t>
  </si>
  <si>
    <t xml:space="preserve">ERIH PLUS, DOAJ, UlrichsWeb, EBSCOHost, CEEOL, Index Copernicus, RePEc, HeinOnline, CiteFactor, Ideas, Citec, LogEc, DRJI </t>
  </si>
  <si>
    <t>http://www.sociologiecraiova.ro/revista/wp-content/uploads/2020/12/11.-LIVING-IN-A-SMART-WORLD.-A-STUDY-OVER-EMPLOYEES.pdf</t>
  </si>
  <si>
    <t>Comparative perspectives on work-family relation and gender roles in Romanian context</t>
  </si>
  <si>
    <t>Popa Radu-Ioan (ULBS), Pogan Livia (ULBS)</t>
  </si>
  <si>
    <t>Bulletin of the Transilvania University of Brașov. Series VII. Social Sciences. Law</t>
  </si>
  <si>
    <t>2066-7701</t>
  </si>
  <si>
    <t>ERIH PLUS</t>
  </si>
  <si>
    <t>http://webbut.unitbv.ro/Bulletin/Series%20VII/2020/BULETIN%20I/06_Popa.pdf</t>
  </si>
  <si>
    <t>Living in a smart world. A study over employees` perceptions on the usage of intelligent devices</t>
  </si>
  <si>
    <t>Universitary Journal of Sociology</t>
  </si>
  <si>
    <t>2537-5024</t>
  </si>
  <si>
    <t>A theoretical and practical comprehensive framework for artificial intelligence and socio-psychological challenges</t>
  </si>
  <si>
    <t>http://webbut.unitbv.ro/Bulletin/Series%20VII/2020/BULETIN%20I%20PDF/05_Pogan.pdf</t>
  </si>
  <si>
    <t>DESPRE FERTILITATEA ERORILOR.
IMITAȚIE ȘI INOVAȚIE ÎN
ÎNVĂȚĂMÂNTUL SUPERIOR,
ROBERT D. REISZ, EDITURA TREI, 
BUCUREȘTI, 2018, 224 P.</t>
  </si>
  <si>
    <t>Rusu Horatiu</t>
  </si>
  <si>
    <t>Sociologie Romaneasca</t>
  </si>
  <si>
    <t>1220-5389</t>
  </si>
  <si>
    <t>199-202</t>
  </si>
  <si>
    <t xml:space="preserve">Erih Plus, CEEOL, etc. </t>
  </si>
  <si>
    <t>https://revistasociologieromaneasca.ro/sr/article/view/1409</t>
  </si>
  <si>
    <t>Street Names through Sociological Lenses. Part I: Functionalism and Conflict Theory</t>
  </si>
  <si>
    <t>144-176</t>
  </si>
  <si>
    <t>https://sciendo.com/article/10.2478/scr-2020-0001</t>
  </si>
  <si>
    <t>Journalism in the paradigm of media pluralism: role, mission, values</t>
  </si>
  <si>
    <t>Saeculum-ULBS</t>
  </si>
  <si>
    <t>29-38</t>
  </si>
  <si>
    <t>Ceeol, EBSCO, ProQuest</t>
  </si>
  <si>
    <t>https://revistasaeculum1943.files.wordpress.com/2020/12/04-minodora-salcudean.pdf</t>
  </si>
  <si>
    <t>Challenges of patient-doctor communication and educational prospectives in health studies</t>
  </si>
  <si>
    <t>Silistraru Ioana ULBS</t>
  </si>
  <si>
    <t xml:space="preserve">FSSU6 </t>
  </si>
  <si>
    <t>2601-1182</t>
  </si>
  <si>
    <t>86-96</t>
  </si>
  <si>
    <t>CEEOL</t>
  </si>
  <si>
    <t>https://revistasaeculum1943.files.wordpress.com/2020/12/10-ioana-silistraru.pdf</t>
  </si>
  <si>
    <t>Arhetipul bărbatului patetic între obiectivare și obiectificare (I)</t>
  </si>
  <si>
    <t>Stănese Radu Dumitru</t>
  </si>
  <si>
    <t>1 (49)</t>
  </si>
  <si>
    <t>ISSN 1221 – 2245</t>
  </si>
  <si>
    <t>55-75</t>
  </si>
  <si>
    <t>EBSCO, CEEOL</t>
  </si>
  <si>
    <t>https://revistasaeculum1943.files.wordpress.com/2020/08/radu-stanese_1.pdf</t>
  </si>
  <si>
    <t>Aspecte ale unei campanii de gherilă anti-Trump</t>
  </si>
  <si>
    <t>113-1119</t>
  </si>
  <si>
    <t>https://revistasaeculum1943.files.wordpress.com/2020/08/radu-stanese_2.pdf</t>
  </si>
  <si>
    <t>Arhetipul bărbatului patetic între obiectivare și obiectificare (II)</t>
  </si>
  <si>
    <t xml:space="preserve">https://revistasaeculum1943.files.wordpress.com/2020/12/11-radu-stanese.pdf  </t>
  </si>
  <si>
    <t>Vlase, I. (2020). Despre creierul femeii și alți demoni. Antologia textelor publicistice, Sofia Nădejde, (ediție îngrijită de Maria Cernat și Adina Mocanu) Editura Paralela 45, Pitești, 2019. : Sofia Nădejde. Of woman’s brain and other demons. Anthology of Sofia Nădejde’s published writings (eds Maria Cernat and Adina Mocanu). 2019 Ed Paralela 45, Pitești. Sociologie Românească, 18(1), 207-208. https://doi.org/10.33788/sr.18.1.18</t>
  </si>
  <si>
    <t>Ionela Vlase</t>
  </si>
  <si>
    <t>Sociologie Româneasă</t>
  </si>
  <si>
    <t>ISSN 2668-1455</t>
  </si>
  <si>
    <t>207-208</t>
  </si>
  <si>
    <t>CEEOL, DOAJ, etc</t>
  </si>
  <si>
    <t>https://revistasociologieromaneasca.ro/sr/article/view/1411</t>
  </si>
  <si>
    <t>I6 - Cărţi ştiinţifice de autor şi capitole publicate la edituri internaţionale de prestigiu și edituri internaționale (sau traduse pentru domeniul Filologie şi Teologie, sau traducere de text dramatic și carte de autor pentru domeniul Artele spectacolului).</t>
  </si>
  <si>
    <t>Se va verifica existenţa volumului fizic / CD electronic prin depunerea unui exemplar al cărţii la departament, respectiv prin existenţa în mediul on-line.</t>
  </si>
  <si>
    <t>Lista editurilor internationale de prestigiu se regaseste pe site-ul Serviciului CDI: https://cercetare.ulbsibiu.ro/ro/platforma-siepas/metodologie-siepas-2017/. O editură este considerată internaţională dacă ISBN-ul este din străinătate şi cartea este publicată într-o limbă de circulaţie internaţională. Editurile din Republica Moldova sunt considerate edituri naţionale, indiferent de limba în care sunt publicate cărţile.</t>
  </si>
  <si>
    <r>
      <rPr>
        <rFont val="arial narrow"/>
        <color theme="1"/>
        <sz val="10.0"/>
      </rPr>
      <t xml:space="preserve">În această categorie intră automat şi cărţile / capitolele de cărţi indexate în TR şi respectiv Scopus. </t>
    </r>
    <r>
      <rPr>
        <rFont val="Arial Narrow"/>
        <b/>
        <color theme="1"/>
        <sz val="10.0"/>
      </rPr>
      <t>Nu se acceptă</t>
    </r>
    <r>
      <rPr>
        <rFont val="Arial Narrow"/>
        <color theme="1"/>
        <sz val="10.0"/>
      </rPr>
      <t xml:space="preserve"> ȋn această categorie volumele de conferință (Proceedings).</t>
    </r>
  </si>
  <si>
    <r>
      <rPr>
        <rFont val="Arial Narrow"/>
        <b/>
        <color rgb="FF000000"/>
        <sz val="10.0"/>
      </rPr>
      <t>Plafoane maxime anuale</t>
    </r>
    <r>
      <rPr>
        <rFont val="Arial Narrow"/>
        <color rgb="FF000000"/>
        <sz val="10.0"/>
      </rPr>
      <t xml:space="preserve">, pentru publicarea în </t>
    </r>
    <r>
      <rPr>
        <rFont val="Arial Narrow"/>
        <b/>
        <color rgb="FF000000"/>
        <sz val="10.0"/>
      </rPr>
      <t>edituri internaţionale de prestigiu</t>
    </r>
    <r>
      <rPr>
        <rFont val="Arial Narrow"/>
        <color rgb="FF000000"/>
        <sz val="10.0"/>
      </rPr>
      <t xml:space="preserve">:
• 1500 puncte / declarant, indiferent de numărul de cărţi declarate 
</t>
    </r>
    <r>
      <rPr>
        <rFont val="Arial Narrow"/>
        <b/>
        <color rgb="FF000000"/>
        <sz val="10.0"/>
      </rPr>
      <t xml:space="preserve">Plafoane maxime anual, </t>
    </r>
    <r>
      <rPr>
        <rFont val="Arial Narrow"/>
        <b/>
        <color rgb="FF000000"/>
        <sz val="10.0"/>
        <u/>
      </rPr>
      <t>cerinţe</t>
    </r>
    <r>
      <rPr>
        <rFont val="Arial Narrow"/>
        <b/>
        <color rgb="FF000000"/>
        <sz val="10.0"/>
      </rPr>
      <t xml:space="preserve"> </t>
    </r>
    <r>
      <rPr>
        <rFont val="Arial Narrow"/>
        <b/>
        <color rgb="FF000000"/>
        <sz val="10.0"/>
        <u/>
      </rPr>
      <t>cumulative</t>
    </r>
    <r>
      <rPr>
        <rFont val="Arial Narrow"/>
        <b/>
        <color rgb="FF000000"/>
        <sz val="10.0"/>
      </rPr>
      <t xml:space="preserve"> </t>
    </r>
    <r>
      <rPr>
        <rFont val="Arial Narrow"/>
        <color rgb="FF000000"/>
        <sz val="10.0"/>
      </rPr>
      <t>pentru publicarea în</t>
    </r>
    <r>
      <rPr>
        <rFont val="Arial Narrow"/>
        <b/>
        <color rgb="FF000000"/>
        <sz val="10.0"/>
      </rPr>
      <t xml:space="preserve"> edituri internaţionale</t>
    </r>
    <r>
      <rPr>
        <rFont val="Arial Narrow"/>
        <color rgb="FF000000"/>
        <sz val="10.0"/>
      </rPr>
      <t>:
• 1500 puncte / declarant, indiferent de numărul de cărţi declarate 
• 1500 puncte / carte, indiferent de numărul de declaranţi</t>
    </r>
  </si>
  <si>
    <r>
      <rPr>
        <rFont val="Arial Narrow"/>
        <b/>
        <color rgb="FF000000"/>
        <sz val="10.0"/>
      </rPr>
      <t>* Punctaje de referință:</t>
    </r>
    <r>
      <rPr>
        <rFont val="Arial Narrow"/>
        <color rgb="FF000000"/>
        <sz val="10.0"/>
      </rPr>
      <t xml:space="preserve">
• 10 puncte / pagină, pentru carte nouă publicată în edituri internaţionale de prestigiu (lista este disponibilă pe site-ul CDI) 
• 3,5 puncte / pagină, pentru cărţi noi publicate la alte edituri internaţionale
• 2,5 puncte per pagina re-editări 
• 1,5 puncte per pagină traducere, pentru domeniul Filologie şi Teologie
• 0,5 puncte / pagină, pentru traducere de text dramatic și carte științifică de autor pentru domeniul Artele spectacolului
</t>
    </r>
  </si>
  <si>
    <t>Punctajul se alocă numai pentru capitolele care precizează contribuţia declarantului, împărţindu-se la numărul co-autorilor din ţară. Pentru co-autorii din străinătate se menţionează în paranteză instituţia. 
În cazul în care contribuţia individuală nu poate fi identificată, se împarte punctajul total rezultat pentru carte / capitol, la numărul autorilor din ţară. Pentru autorii din străinătate se menţionează în paranteză instituţia</t>
  </si>
  <si>
    <t>Titlul cărții</t>
  </si>
  <si>
    <t>Numele și prenumele autorilor</t>
  </si>
  <si>
    <t>Editura 
(se precizează în paranteză dacă este vorba de editură de prestigiu)</t>
  </si>
  <si>
    <t>ISBN-ul cărții</t>
  </si>
  <si>
    <t>Luna publicării</t>
  </si>
  <si>
    <t>Nr. pag.</t>
  </si>
  <si>
    <t>András Bodor and the history of classical studies in Transylvania in the 20th century</t>
  </si>
  <si>
    <t>Csaba Szabó</t>
  </si>
  <si>
    <t>Archaeopress Oxford (editura de presigiu dupa lista SCDI 2017)</t>
  </si>
  <si>
    <t>decembrie</t>
  </si>
  <si>
    <r>
      <rPr>
        <rFont val="arial narrow"/>
        <b/>
        <color theme="1"/>
        <sz val="10.0"/>
      </rPr>
      <t>CSABA SZAB</t>
    </r>
    <r>
      <rPr>
        <rFont val="Calibri"/>
        <b/>
        <color theme="1"/>
        <sz val="10.0"/>
      </rPr>
      <t>Ó</t>
    </r>
  </si>
  <si>
    <t>Ecaterina Teodoroiu’s Mythologization in: Romanian Films” în    Adrian -Silvan Ionescu, Marian Țuțui, Savaș Arslan (eds), Balkan Cinema and the Great Wars: Our Story, pp. 87-101</t>
  </si>
  <si>
    <t>Mihaela Grancea și Olga Grădinaru</t>
  </si>
  <si>
    <t>Peter Lang, Berlin-Berna ( editură de prestigiu)</t>
  </si>
  <si>
    <t>ISBN 978-3-631-80396-7 (Print), E-ISBN 978-3-631-80908-2 (E-PDF) E-ISBN 978-3-631-80909-9 (EPUB)∙E-ISBN 978-3-631-80910-5 (MOBI) DOI 10.3726/b16514</t>
  </si>
  <si>
    <t>ISIS - Caietele restautorilor maghiari din Transilvania</t>
  </si>
  <si>
    <t>Ecaterina Constaninescu, Katharina Lindner-Barth, Andrei Buda, Guttmann Márta-Júlia</t>
  </si>
  <si>
    <t>F&amp;F International</t>
  </si>
  <si>
    <t>ISBN 978-606-8445-27-4</t>
  </si>
  <si>
    <t>octombrie</t>
  </si>
  <si>
    <r>
      <rPr>
        <rFont val="arial narrow"/>
        <b/>
        <color theme="1"/>
        <sz val="10.0"/>
      </rPr>
      <t>GUTTMANN M</t>
    </r>
    <r>
      <rPr>
        <rFont val="Calibri"/>
        <b/>
        <color theme="1"/>
        <sz val="10.0"/>
      </rPr>
      <t>Á</t>
    </r>
    <r>
      <rPr>
        <rFont val="Arial Narrow"/>
        <b/>
        <color theme="1"/>
        <sz val="10.0"/>
      </rPr>
      <t>RTA J</t>
    </r>
    <r>
      <rPr>
        <rFont val="Calibri"/>
        <b/>
        <color theme="1"/>
        <sz val="10.0"/>
      </rPr>
      <t>Ú</t>
    </r>
    <r>
      <rPr>
        <rFont val="Arial Narrow"/>
        <b/>
        <color theme="1"/>
        <sz val="10.0"/>
      </rPr>
      <t>LIA</t>
    </r>
  </si>
  <si>
    <t>Morgós András, Sajó István, Minami Takeshi, Guttmann Márta-Júlia</t>
  </si>
  <si>
    <r>
      <rPr>
        <rFont val="arial narrow"/>
        <b/>
        <color theme="1"/>
        <sz val="10.0"/>
      </rPr>
      <t>GUTTMANN M</t>
    </r>
    <r>
      <rPr>
        <rFont val="Calibri"/>
        <b/>
        <color theme="1"/>
        <sz val="10.0"/>
      </rPr>
      <t>Á</t>
    </r>
    <r>
      <rPr>
        <rFont val="Arial Narrow"/>
        <b/>
        <color theme="1"/>
        <sz val="10.0"/>
      </rPr>
      <t>RTA J</t>
    </r>
    <r>
      <rPr>
        <rFont val="Calibri"/>
        <b/>
        <color theme="1"/>
        <sz val="10.0"/>
      </rPr>
      <t>Ú</t>
    </r>
    <r>
      <rPr>
        <rFont val="Arial Narrow"/>
        <b/>
        <color theme="1"/>
        <sz val="10.0"/>
      </rPr>
      <t>LIA</t>
    </r>
  </si>
  <si>
    <t>Orosz Katalin, Várhegy Zsuzsanna, Guttmann Márta-Júlia</t>
  </si>
  <si>
    <r>
      <rPr>
        <rFont val="arial narrow"/>
        <b/>
        <color theme="1"/>
        <sz val="10.0"/>
      </rPr>
      <t>GUTTMANN M</t>
    </r>
    <r>
      <rPr>
        <rFont val="Calibri"/>
        <b/>
        <color theme="1"/>
        <sz val="10.0"/>
      </rPr>
      <t>Á</t>
    </r>
    <r>
      <rPr>
        <rFont val="Arial Narrow"/>
        <b/>
        <color theme="1"/>
        <sz val="10.0"/>
      </rPr>
      <t>RTA J</t>
    </r>
    <r>
      <rPr>
        <rFont val="Calibri"/>
        <b/>
        <color theme="1"/>
        <sz val="10.0"/>
      </rPr>
      <t>Ú</t>
    </r>
    <r>
      <rPr>
        <rFont val="Arial Narrow"/>
        <b/>
        <color theme="1"/>
        <sz val="10.0"/>
      </rPr>
      <t>LIA</t>
    </r>
  </si>
  <si>
    <t>1. “Subjects or Citizens? Party Politics and the Peasants’ Right to Vote in Romania (1866–1918)”, in Milan Řepa (editor), Peasants into Citizens: The Politicisation of Rural Areas in Central Europe (1861-1914)</t>
  </si>
  <si>
    <t>Sorin Radu</t>
  </si>
  <si>
    <t>Harrassowitz Verlag</t>
  </si>
  <si>
    <t>978-3-447-11517-9</t>
  </si>
  <si>
    <t>3,5</t>
  </si>
  <si>
    <t>Ethnoesthétique d'un village de Transylvanie : costume traditionnel et communication visuelle</t>
  </si>
  <si>
    <t>Șpan Maria</t>
  </si>
  <si>
    <t>L'Harmattan, Paris (editură de prestigiu)</t>
  </si>
  <si>
    <t>978-2-343-19200-0</t>
  </si>
  <si>
    <t>februarie</t>
  </si>
  <si>
    <t>10 puncte / pagină</t>
  </si>
  <si>
    <t xml:space="preserve">Maria, „Mutter der Einheit“ (Mater unitatis), Manfred Hauke (ed.) </t>
  </si>
  <si>
    <t>Tobler Stefan, Maria in der mystischen Erfahrung Chiara Lubichs, p. 166-180</t>
  </si>
  <si>
    <t>Verlag Friedrich Pustet (edit. de prestigiu)</t>
  </si>
  <si>
    <t>978-3-791-731469</t>
  </si>
  <si>
    <t>TOBLER ȘTEFAN ANDREAS</t>
  </si>
  <si>
    <t>Menschenrechte und Gerechtigkeit als bleibende Aufgaben. Beiträge aus Religion, Theologie, Ethik, Recht und Wirtschaft, Irene Klissenbauer, Franz Gassner und Petra Steinmair-Pösel (edd.)</t>
  </si>
  <si>
    <t>Tobler Stefan, Die Welt als Gottes Innerstes. Die sozialethische Dimension in der mystischen Erfahrung Chiara Lubichs</t>
  </si>
  <si>
    <t>Vandenhoeck &amp; Ruprecht unipress / Vienna University Press (edit. de prestigiu)</t>
  </si>
  <si>
    <t>978-3-737-011655</t>
  </si>
  <si>
    <t>Lesekompetenz an Schulen mit Deutsch als Unterrichtssprache in Hermannstadt</t>
  </si>
  <si>
    <t>Iunesch, Liana Regina</t>
  </si>
  <si>
    <t>Peter Lang</t>
  </si>
  <si>
    <t>978-3-631-84481-6</t>
  </si>
  <si>
    <r>
      <rPr>
        <rFont val="arial narrow"/>
        <color theme="1"/>
        <sz val="9.0"/>
      </rPr>
      <t xml:space="preserve">Performing the Fool. Oder vom Närrischen Spiel. Facetten der Figur des Narren als Modell von Identität im A-Topos, in </t>
    </r>
    <r>
      <rPr>
        <rFont val="Arial Narrow"/>
        <i/>
        <color theme="1"/>
        <sz val="9.0"/>
      </rPr>
      <t>Identitäten: Zumutungen für Wissenschaft und Gesellschaft</t>
    </r>
    <r>
      <rPr>
        <rFont val="Arial Narrow"/>
        <color theme="1"/>
        <sz val="9.0"/>
      </rPr>
      <t>, eds. Gmainer-Pranzl, F. &amp; Mackinger, B.</t>
    </r>
  </si>
  <si>
    <t xml:space="preserve"> FSSU5</t>
  </si>
  <si>
    <t>Peter Lang Verlag, Reihe: Salzburger Interdisziplinäre Diskurse (editură de prestigiu)</t>
  </si>
  <si>
    <t>3631823010 sau  9783631823019</t>
  </si>
  <si>
    <t>/</t>
  </si>
  <si>
    <t>‘Local State-Society Relations in European Countries: Main Findings’. In Close Ties in European Local Governance: Linking Local State and Society, edited by Filipe Teles, Adam Gendźwiłł, Cristina Stănuș, and Hubert Heinelt, 379–422. Cham: Springer International Publishing. https://doi.org/10.1007/978-3-030-44794-6_26</t>
  </si>
  <si>
    <t>Heinelt, Hubert (TU Darmstadt), Filipe Teles (U Aveiro), Adam Gendźwiłł (U Varșovia), Cristina Stănuş</t>
  </si>
  <si>
    <t>Palgrave (editură de prestigiu)</t>
  </si>
  <si>
    <t>978-3-030-44794-6</t>
  </si>
  <si>
    <t>2020 (on-line), 2021 (print)</t>
  </si>
  <si>
    <r>
      <rPr>
        <rFont val="Arial"/>
        <sz val="10.0"/>
      </rPr>
      <t xml:space="preserve">Stănuș, Cristina, and Daniel Pop. 2021. ‘Local State-Society Relations in Romania’. In Close Ties in European Local Governance: Linking Local State and Society, edited by Filipe Teles, Adam Gendźwiłł, Cristina Stănuș, and Hubert Heinelt, 319–35. Cham: Springer International Publishing. </t>
    </r>
    <r>
      <rPr>
        <rFont val="Arial"/>
        <color rgb="FF1155CC"/>
        <sz val="10.0"/>
        <u/>
      </rPr>
      <t>https://doi.org/10.1007/978-3-030-44794-6_22.</t>
    </r>
  </si>
  <si>
    <t>Stănuș, Cristina, Daniel Pop (CRDE)</t>
  </si>
  <si>
    <r>
      <rPr>
        <rFont val="Arial"/>
        <sz val="10.0"/>
      </rPr>
      <t xml:space="preserve">Teles, Filipe, Adam Gendźwiłł, Cristina Stănuş, and Hubert Heinelt. 2021. ‘Interactions of Societal Actors and Local Government in Institutionalized Governance Arrangements: The Book’s Scope and Content’. In Close Ties in European Local Governance: Linking Local State and Society, edited by Filipe Teles, Adam Gendźwiłł, Cristina Stănuș, and Hubert Heinelt, 1–12. Cham: Springer International Publishing. </t>
    </r>
    <r>
      <rPr>
        <rFont val="Arial"/>
        <color rgb="FF1155CC"/>
        <sz val="10.0"/>
        <u/>
      </rPr>
      <t>https://doi.org/10.1007/978-3-030-44794-6_1.</t>
    </r>
  </si>
  <si>
    <t>Teles, Filipe (U. Aveiro), Adam Gendźwiłł (U. Varșovia), Cristina Stănuş, Hubert Heinelt (TU Darmstadt)</t>
  </si>
  <si>
    <t>Teaching Media Literacy and Critical Thinking to countering Digital Misinformation, capitol în vol. Education beyond Crisis (Eds. D.R. Andron, G. Gruber)</t>
  </si>
  <si>
    <t>Salcudean Minodora, Muresan Raluca</t>
  </si>
  <si>
    <t>Brill Sense (editură internațională de prestigiu) https://brill.com/view/title/57601</t>
  </si>
  <si>
    <t>ISBN 978-90-04-43202-4 (paperback)</t>
  </si>
  <si>
    <t>Education beyond Crisis. Challenges and Directions in a Multicultural World/Chapter 9 Teaching Media Literacy and Critical Thinking to Countering Digital Misinformation/https://doi.org/10.1163/9789004432048_009</t>
  </si>
  <si>
    <t>Salcudean Minodora, Mureșan Raluca</t>
  </si>
  <si>
    <t>Brill Sense (editură internațională de prestigiu)/https://brill.com/view/book/edcoll/9789004432048/BP000019.xml</t>
  </si>
  <si>
    <t>978-90-0443204-8</t>
  </si>
  <si>
    <t>mai</t>
  </si>
  <si>
    <t>I7 - Cărţi ştiinţifice de autor şi capitole publicate la edituri naționale (sau traduse pentru domeniul Filologie şi Teologie, sau traducere de text dramatic și carte de autor pentru domeniul Artele spectacolului).</t>
  </si>
  <si>
    <t>Se va verifica existenţa volumului fizic / CD electronic prin depunerea unui exemplar al cărţii la departament şi respectiv prin existenţa cărţii în Depozitul electronic al Bibliotecii Naţionale şi al Bibliotecii Centrale Universitare (BCU);</t>
  </si>
  <si>
    <r>
      <rPr>
        <rFont val="Arial Narrow"/>
        <b/>
        <color theme="1"/>
        <sz val="10.0"/>
      </rPr>
      <t>Nu se acceptă</t>
    </r>
    <r>
      <rPr>
        <rFont val="Arial Narrow"/>
        <color theme="1"/>
        <sz val="10.0"/>
      </rPr>
      <t xml:space="preserve"> ȋn această categorie suport de curs, ȋndrumar de laborator sau alte cărți cu caracter didactic; nu se acceptă ȋn această categorie volumele de conferință (Proceedings).</t>
    </r>
  </si>
  <si>
    <t>Cărţile / capitolele de carte raportate la acest indicator nu pot fi raportate şi pe SIEPAS – componenta didactică</t>
  </si>
  <si>
    <r>
      <rPr>
        <rFont val="Arial Narrow"/>
        <b/>
        <color theme="1"/>
        <sz val="10.0"/>
      </rPr>
      <t>Nu se acceptă</t>
    </r>
    <r>
      <rPr>
        <rFont val="Arial Narrow"/>
        <color theme="1"/>
        <sz val="10.0"/>
      </rPr>
      <t xml:space="preserve"> reeditări mai devreme de 3 ani</t>
    </r>
  </si>
  <si>
    <r>
      <rPr>
        <rFont val="Arial Narrow"/>
        <b/>
        <color theme="1"/>
        <sz val="10.0"/>
      </rPr>
      <t>Plafoane maxime anual</t>
    </r>
    <r>
      <rPr>
        <rFont val="Arial Narrow"/>
        <color theme="1"/>
        <sz val="10.0"/>
      </rPr>
      <t>, cerinţe cumulative:
• 300 puncte / declarant, indiferent de numărul de cărţi declarate și
• 400 puncte / carte, indiferent de numărul de declaranţi.</t>
    </r>
  </si>
  <si>
    <r>
      <rPr>
        <rFont val="Arial Narrow"/>
        <b/>
        <color theme="1"/>
        <sz val="10.0"/>
      </rPr>
      <t>* Punctaje de referință:</t>
    </r>
    <r>
      <rPr>
        <rFont val="Arial Narrow"/>
        <color theme="1"/>
        <sz val="10.0"/>
      </rPr>
      <t xml:space="preserve">
• 2 puncte / pagină, pentru cărţi noi
• 0,5 puncte / pagină, pentru reeditări 
• 0,3 puncte / pagina pentru traduceri, pentru domeniul Filologie şi Teologie
• 0,5 puncte / pagină, pentru traducere de text dramatic și carte științifică de autor pentru domeniul Artele spectacolului
</t>
    </r>
  </si>
  <si>
    <t>Editura</t>
  </si>
  <si>
    <t>Un dicţionar al designerilor de producţie cinematograficănord-americană</t>
  </si>
  <si>
    <t>Cornel Crăciun</t>
  </si>
  <si>
    <t>Tehnomedia</t>
  </si>
  <si>
    <t>978-606-616-393-4</t>
  </si>
  <si>
    <t>. “Epoca Frumoasă” în ecranizările din național-comunismul românesc (1971-1989), Istorii ale regimului comunist din România, coord. Cristina Preutu, Ionuț Nistor Volum al Congresului Național al Istoricilor Români, Iași, 29 august-1 septembrie 2018</t>
  </si>
  <si>
    <t xml:space="preserve">Ed. Universității „Alexandru Ioan Cuza”din Iași </t>
  </si>
  <si>
    <t xml:space="preserve"> ISBN: 978-606-714-611-0</t>
  </si>
  <si>
    <t>229-243</t>
  </si>
  <si>
    <t xml:space="preserve"> „Moartea”, Enciclopedia imaginariilor din România (5 volum) coord. Corin Braga, ISBN: 978-973-46-8183-9), vol. III. Imaginar istoriografic, coord. Sorin Mitu</t>
  </si>
  <si>
    <t>Editura Polirom</t>
  </si>
  <si>
    <t>ISBN:  978-973-46-8185-3</t>
  </si>
  <si>
    <t>“Dentroterapia mea"(eseu de istorie culturală), în coord. Maria-Mihaela Nistor, 112 din # starea de urgență</t>
  </si>
  <si>
    <t>editura RAO</t>
  </si>
  <si>
    <t xml:space="preserve">ISBN 978-606-006-449-7 </t>
  </si>
  <si>
    <t>pp. 331-337</t>
  </si>
  <si>
    <t>Relaţii Interetnice în Transilvania. Militaria Mediaevalia în Europa centrală şi de sud-est</t>
  </si>
  <si>
    <t>Astra Museum</t>
  </si>
  <si>
    <t xml:space="preserve">  ISBN 978-606-733-312-1</t>
  </si>
  <si>
    <t>septembrie</t>
  </si>
  <si>
    <t>65-70</t>
  </si>
  <si>
    <t>Un oraș preistoric din Europa. Turdaș-Luncă. Sector A, I.2</t>
  </si>
  <si>
    <t>Editura Universității ”Lucian Blaga” din Sibiu</t>
  </si>
  <si>
    <t>ISBN 978-606-12-1650-5;  ISBN  978-606-12-1777-9</t>
  </si>
  <si>
    <t>noiembrie</t>
  </si>
  <si>
    <t>Piese sculpturale din piatră, preistorice, descoperite pe lotul 1 (Alba Iulia), situl 2, al autostrăzii A10 Sebeș-Alba – Turda</t>
  </si>
  <si>
    <t>Editura JatePress, Szeged</t>
  </si>
  <si>
    <t>ISBN 978-963-315-464-9; ISBN 978-963-315-465-6</t>
  </si>
  <si>
    <t>Turdaș-Luncă. Campania preventivă din 2011 sector B. Complexul 341-2. O groapă rituală? Cultura Turdaș, faza III</t>
  </si>
  <si>
    <t>Sabin Adrian Luca, Fl. Perianu (Universitatea ”Lucian Blaga”, Sibiu), R.-M. Teodorescu (Muzeul Național Brukenthal)</t>
  </si>
  <si>
    <t>Editura Mega, Cluj-Napoca</t>
  </si>
  <si>
    <t>ISBN 978-606-020-278-3</t>
  </si>
  <si>
    <r>
      <rPr>
        <rFont val="Arial"/>
        <i/>
        <color rgb="FF333333"/>
        <sz val="10.0"/>
      </rPr>
      <t>Importanța patrimoniului cultural imaterial</t>
    </r>
    <r>
      <rPr>
        <rFont val="Arial"/>
        <i val="0"/>
        <color rgb="FF333333"/>
        <sz val="10.0"/>
      </rPr>
      <t>, în volumul Elemente de Cultură și Tradiție pentru Educația Secolului XXI coordonat de Pr. Vasile Gafton, Prof. Anca Bucur</t>
    </r>
  </si>
  <si>
    <t>Editura Armanis, Sibiu</t>
  </si>
  <si>
    <t>978-606-069-017-7</t>
  </si>
  <si>
    <t>23 (p. 88-110)</t>
  </si>
  <si>
    <t>2 puncte / pagină</t>
  </si>
  <si>
    <t>Vântul schimbării. Sibiul anului 1919 – între război și divertisment</t>
  </si>
  <si>
    <t>Centrul de Studii Transilvane</t>
  </si>
  <si>
    <t>978-606-038-007-8</t>
  </si>
  <si>
    <t>iunie</t>
  </si>
  <si>
    <t>285-297</t>
  </si>
  <si>
    <t>Virtual Exchange: Romania and Hungary 100 Years Later</t>
  </si>
  <si>
    <t>Daniela Stanciu Andra Cioltan Drăghiciu</t>
  </si>
  <si>
    <t>Research-publishing.net</t>
  </si>
  <si>
    <t>978-2-490057-72-6</t>
  </si>
  <si>
    <t>37-46</t>
  </si>
  <si>
    <t>Art Against Bullying</t>
  </si>
  <si>
    <t>Duse, C.S.</t>
  </si>
  <si>
    <t>Univ. Lucian Blaga</t>
  </si>
  <si>
    <t>ISBN 978-606-12-1801-1</t>
  </si>
  <si>
    <t>Dec</t>
  </si>
  <si>
    <t>Educația prin lentila echității</t>
  </si>
  <si>
    <t>Editura Universității din București</t>
  </si>
  <si>
    <t>978-606-16-1214-7</t>
  </si>
  <si>
    <t>2 puncte / pagină, pentru cărţi noi</t>
  </si>
  <si>
    <t>Art against bullying</t>
  </si>
  <si>
    <t>Editura Universității "Lucian Blaga" din București</t>
  </si>
  <si>
    <t>978-606-12-1801-1</t>
  </si>
  <si>
    <r>
      <rPr>
        <rFont val="Arial Narrow"/>
        <b val="0"/>
        <color theme="1"/>
        <sz val="10.0"/>
      </rPr>
      <t>2 puncte / pagină, pentru cărţi no</t>
    </r>
    <r>
      <rPr>
        <rFont val="Arial Narrow"/>
        <b/>
        <color theme="1"/>
        <sz val="10.0"/>
      </rPr>
      <t>i</t>
    </r>
  </si>
  <si>
    <r>
      <rPr>
        <rFont val="Arial Narrow"/>
        <b val="0"/>
        <color theme="1"/>
        <sz val="10.0"/>
      </rPr>
      <t>2 puncte / pagină, pentru cărţi no</t>
    </r>
    <r>
      <rPr>
        <rFont val="Arial Narrow"/>
        <b/>
        <color theme="1"/>
        <sz val="10.0"/>
      </rPr>
      <t>i</t>
    </r>
  </si>
  <si>
    <t>Remigrant children in European schools
Handbook for children in lower secondary education</t>
  </si>
  <si>
    <t>Carmen Chișiu</t>
  </si>
  <si>
    <t>Editura Alternative Educaționale, Odobești</t>
  </si>
  <si>
    <t>ISBN 978-606-94960-3-9</t>
  </si>
  <si>
    <t>Chișiu Carmen</t>
  </si>
  <si>
    <t>Remigrant children in European schools
Handbook for children in primary education</t>
  </si>
  <si>
    <t>ISBN 978-606-94960-2-2</t>
  </si>
  <si>
    <t>Vecinătăți la sașii din Criț Rânduieli scrise de la 1615 la 1991</t>
  </si>
  <si>
    <t xml:space="preserve">Ruxandra Hurezean, Liana Iunesch </t>
  </si>
  <si>
    <t>Editura Școala Ardeleana</t>
  </si>
  <si>
    <t>978-606-797-544-4</t>
  </si>
  <si>
    <t>Iulie</t>
  </si>
  <si>
    <t>Liana Iunesch</t>
  </si>
  <si>
    <t>Gebrauchsgegenstände aus der Bauernwirtschaft</t>
  </si>
  <si>
    <t>Honterus</t>
  </si>
  <si>
    <t>978-606-008-050-3</t>
  </si>
  <si>
    <t>Profesori-lideri/ capitol Rolurile profesorului lider</t>
  </si>
  <si>
    <t>Universităţii "Lucian Blaga" din Sibiu</t>
  </si>
  <si>
    <t>978-606-12-1729-8</t>
  </si>
  <si>
    <t>2/pagină</t>
  </si>
  <si>
    <t xml:space="preserve">Remigrant children in European schools
Handbook for teachers/ Individual activities for teachers - Stereotypes </t>
  </si>
  <si>
    <t>FSSU10</t>
  </si>
  <si>
    <t>Alternative Educaționale</t>
  </si>
  <si>
    <t>978-606-94960-1-5</t>
  </si>
  <si>
    <t>Remigrant children in European schools
Handbook for children in upper secondary education/Stereotypes</t>
  </si>
  <si>
    <t>FSSU11</t>
  </si>
  <si>
    <t>978-606-94960-4-6</t>
  </si>
  <si>
    <t>Chapter 5.4 Use of Music, in Art Against Bullying. How to use art in anti-bullying activties for children, Handbook, ed. Dușe, C.S.</t>
  </si>
  <si>
    <t>Editura universitatii "Lucian Blaga" din Sibiu</t>
  </si>
  <si>
    <t>Remigrant children in European schools
Optional course for primary education</t>
  </si>
  <si>
    <t>Editura Alternative Educaţionale, Odobești</t>
  </si>
  <si>
    <t>ISBN 978-606-94582-7-3</t>
  </si>
  <si>
    <t>Remigrant children in European schools
Optional course for lower secondary education</t>
  </si>
  <si>
    <t>ISBN 978-606-94582-8-0</t>
  </si>
  <si>
    <t>Încărunțirea organizațiilor</t>
  </si>
  <si>
    <t xml:space="preserve">Gabriela-Maria MAN &amp; Mihaela MAN </t>
  </si>
  <si>
    <t>Editura Institutul European</t>
  </si>
  <si>
    <t>ISBN: 978-606-24-0298-3</t>
  </si>
  <si>
    <t>Performanța profesională- dimensiuni și relații, ed. II</t>
  </si>
  <si>
    <t>Mihaela MAN</t>
  </si>
  <si>
    <t>Editura Techno Media</t>
  </si>
  <si>
    <t>ISBN: 978-606-616-283-8</t>
  </si>
  <si>
    <t>Noi direcții și perspective ale cercetării științifice 
în contexte atipice
Metodologia cercetării ştiinţifice în ştiinţele umaniste</t>
  </si>
  <si>
    <t>Marius Milcu, Adrian Barte, Alin Sumedrea</t>
  </si>
  <si>
    <t>Editura universitara Bucuresti</t>
  </si>
  <si>
    <t>978-606-28-1217-1</t>
  </si>
  <si>
    <t>Psihosociologia organizaţiilor militare</t>
  </si>
  <si>
    <t>Daniela Nicoleta Botone</t>
  </si>
  <si>
    <t>Editura Universitatii Lucian Blaga Sibiu</t>
  </si>
  <si>
    <t>ISBN 978-606-12-1840-0</t>
  </si>
  <si>
    <t>The influence of Covid-19 Pandemic on child maltreatment/ abuse and the relation to criminal/ violent behavior in adulthood in: Marius Milcu, Michael Stevens, saul Neves de Jesus (2020). Rethinking applied psychology: research paradigms vs. practical approaches. Ed. Universitară, București.</t>
  </si>
  <si>
    <t xml:space="preserve">Fulea, A. E. &amp; Brate, A. T.
</t>
  </si>
  <si>
    <t>Editura Universitarară</t>
  </si>
  <si>
    <t xml:space="preserve">978-606-28-1219-5
</t>
  </si>
  <si>
    <t xml:space="preserve">"Rolul stimei de sine și a intereselor vocaționale în
gestionarea riscului de victimizare pentru traficul de persoane
provenite din centrul de plasament. Metoda Gentle Teaching in: Marius Milcu, Adrian Brate, Alin Sumedrea (2020). Noi direcții și perspective ale cercetării științifice
în contexte atipice. Ed. Universitară, București."
</t>
  </si>
  <si>
    <t>Fulea, A. E. Brate, A. T.</t>
  </si>
  <si>
    <t>Noi direcții și perspective ale cercetării științifice în contexte atipice</t>
  </si>
  <si>
    <t>Marius Milcu, Adrian Brate, Alin Sumedrea</t>
  </si>
  <si>
    <t>Editura Universitară</t>
  </si>
  <si>
    <t>Noi direcții și perspective ale cercetării științifice in contexte specifice</t>
  </si>
  <si>
    <t>Repere genetice în psihologie</t>
  </si>
  <si>
    <t>Moșoiu Corneliu</t>
  </si>
  <si>
    <t xml:space="preserve">Technomedia </t>
  </si>
  <si>
    <t>978-606-616-402-3</t>
  </si>
  <si>
    <t>Anamaria Cătană, Ciucă Eleonora Isabela</t>
  </si>
  <si>
    <t>Editura Universitară București</t>
  </si>
  <si>
    <t>ISBN 978-606-28-1217-1</t>
  </si>
  <si>
    <t>CATANA ANAMARIA</t>
  </si>
  <si>
    <t>Anamaria Cătană, Ioana Gherghel</t>
  </si>
  <si>
    <t>Anamaria Cătană, Dumitru Dobrin</t>
  </si>
  <si>
    <t>Capitol„Infrastructuri de date spaţiale și bună guvernanţă: cadru juridic, instituţional și social-economic pentru reforma sistemelor de administrare a terenurilor” în vol. Reglementările și practicile administraţiei publice: între viziunea cercetării știinţifice și avatarurile realităţii</t>
  </si>
  <si>
    <t>Dana Alexandru în  Emil Bălan (eds.) Reglementările și practicile administraţiei publice: între viziunea cercetării știinţifice și avatarurile realităţii</t>
  </si>
  <si>
    <t>Wolters Kluwer</t>
  </si>
  <si>
    <t>978-606-677-033-0</t>
  </si>
  <si>
    <t>Politics &amp; Society. East Central Europe Thirty Years Following the End of Communism</t>
  </si>
  <si>
    <t>Dragoman Dragos</t>
  </si>
  <si>
    <t>Editura Universitatii Lucian Blaga din Sibiu</t>
  </si>
  <si>
    <t>978-606-12-1773-1</t>
  </si>
  <si>
    <t>The Spirit of  a People and its National Anthem-Australia and Oceania</t>
  </si>
  <si>
    <t>Tomescu Emilia, Neagoș Iuliana</t>
  </si>
  <si>
    <t>TechnoMedia</t>
  </si>
  <si>
    <t>ISBN 978-606-616-398-9</t>
  </si>
  <si>
    <t>Dialog între studiile culturale și gândirea politică-o perspectivă diferită asupra conceptului de cetățenie</t>
  </si>
  <si>
    <t>ISBN  978-606-616-403-0</t>
  </si>
  <si>
    <t>Pagini de politică și diplomație</t>
  </si>
  <si>
    <t>Tiberiu Costăchescu, Iuliana Neagoș, Iustin Vancea</t>
  </si>
  <si>
    <t>ISBN 978-606-616-382-8</t>
  </si>
  <si>
    <t>Emilia Tomescu, Iuliana Neagoș</t>
  </si>
  <si>
    <t>The European Union in the Age of (In)Security. From Theory to Practice</t>
  </si>
  <si>
    <t xml:space="preserve">Iov Claudia Anamaria                 Ivan Adrian Liviu, Ștefenel Delia       Toderici Ovidiu Florin Munteanu Nicoleta Annemarie Chirițescu Dorel Dumitru, Coadă Ludmila, Țîcu Viorica   </t>
  </si>
  <si>
    <t>Presa Universitară Clujeană</t>
  </si>
  <si>
    <t>978-606-37-0864-0           http://webmail.hiphi.ubbcluj.ro/OurEurope/Files/EU-InSecurity.pdf</t>
  </si>
  <si>
    <t xml:space="preserve">Noiembrie  </t>
  </si>
  <si>
    <t xml:space="preserve">Total:269      Nicoleta Annemarie Munteanu: 30 pagini (121-151) </t>
  </si>
  <si>
    <t>2x30</t>
  </si>
  <si>
    <t>Relaţiile internaţionale în anii 1945-1991. Asia şi Oceania.</t>
  </si>
  <si>
    <t>Editura Militară</t>
  </si>
  <si>
    <t>978-973-32-1160-0</t>
  </si>
  <si>
    <t>Capitol: „COVID-19, superstar global...” în coord. Marius
Stoian, Magor Csibi, Graţian Mihăilescu.”Calitatea vieţii : tehnologie în retroumanism: viitorul cu puterea comunităţilorâ„.</t>
  </si>
  <si>
    <t>Club România</t>
  </si>
  <si>
    <t>ISBN 978-606-94561-7-0
Vol. 2. ISBN 978-606-94561-9-4</t>
  </si>
  <si>
    <t>Martie</t>
  </si>
  <si>
    <t>1754-1760</t>
  </si>
  <si>
    <t>Valorile asistenței sociale între obiectivitate și distorsiune</t>
  </si>
  <si>
    <t>Institutul de Cercetare Făgăraș</t>
  </si>
  <si>
    <t>978-606-95063-0-1</t>
  </si>
  <si>
    <t>Politics &amp; Society East-Central Europe Thirty Years Following the End of Communism (Interculturality in Transilvania)</t>
  </si>
  <si>
    <t>Lucian Blaga University Press</t>
  </si>
  <si>
    <t>Limba română, poezia sufletului meu. (Adrian Erbiceanu - De la Anna la Caiafa)</t>
  </si>
  <si>
    <t>Mușatinia</t>
  </si>
  <si>
    <t>978-606-8203-96-6</t>
  </si>
  <si>
    <t>Dizabilitate și sexualitate. Ghid de educație și consiliere</t>
  </si>
  <si>
    <t>978-606-37-0847-3 159.9</t>
  </si>
  <si>
    <t>2pct./pag</t>
  </si>
  <si>
    <t>Grădinița în alternativa de pedagogie curativă. Ghid de activități terapeutice și
educative pentru copiii cu dizabilități</t>
  </si>
  <si>
    <t>978-606-37-0806-0 159.9</t>
  </si>
  <si>
    <t>Studii urbane în București. Aspecte de geografie economică, comportamente politice și demografie</t>
  </si>
  <si>
    <t>Pro Universitaria</t>
  </si>
  <si>
    <t>978-606-26-1264-1</t>
  </si>
  <si>
    <t>Decembrie</t>
  </si>
  <si>
    <t xml:space="preserve">Comunicare, cultură și societate.  Concepte, teorii, metode.Culegere de studii, vol.IV  </t>
  </si>
  <si>
    <t>Hasmațuchi, Gabriel</t>
  </si>
  <si>
    <t>Presa Universitară Clujeană,http://www.editura.ubbcluj.ro/www/ro/book2.php?id=2863</t>
  </si>
  <si>
    <t>978‐606‐37‐0912‐8</t>
  </si>
  <si>
    <t>53-69 (17 pagini)</t>
  </si>
  <si>
    <t>Învățământul universitar din România în contextul pandemiei COVID-19: experiențele studenților</t>
  </si>
  <si>
    <t xml:space="preserve">Oana Lup, Cristina Elena Mitrea </t>
  </si>
  <si>
    <t>Institutului de Cercetare Făgăraș</t>
  </si>
  <si>
    <t>978-606-94773-4-2</t>
  </si>
  <si>
    <t>Învățământul universitar din România în contextul pandemiei Covid-19: Experiențele studenților</t>
  </si>
  <si>
    <t xml:space="preserve">Lup Oana, Mitrea Elena Cristina </t>
  </si>
  <si>
    <t>Editura Institutului de Cercetare Făgăraș</t>
  </si>
  <si>
    <t>Septembrie</t>
  </si>
  <si>
    <t>Valențele muncii la români. Intrinsec, extrinsec sau mixt?  în Atlasul valorilor sociale
România la 100 de ani Bogdan Voicu, Horațiu Rusu, Claudiu Tufiș 
(editori) http://editura.ubbcluj.ro/www/ro/ebook2.php?id=2842</t>
  </si>
  <si>
    <t xml:space="preserve"> Horațiu Rusu, Livia‐Dana Pogan</t>
  </si>
  <si>
    <t>ISBN 978‐606‐37‐0987‐6</t>
  </si>
  <si>
    <t>Valențele muncii la români. Intrinsec, extrinsec sau mixt? în Bogdan Voicu, Horațiu Rusu, Claudiu Tufiș (2020). Atlasul valorilor sociale. România la 100 de ani.</t>
  </si>
  <si>
    <t>Rusu Horațiu, Livia Pogan</t>
  </si>
  <si>
    <t xml:space="preserve"> Presa Universitară Clujeană</t>
  </si>
  <si>
    <t>978-606-37-0987-6</t>
  </si>
  <si>
    <t>Solidaritatea socială în Romania contemporană: absență, declin sau nici una dintre ele? în Bogdan Voicu, Horațiu Rusu, Claudiu Tufiș (2020). Atlasul valorilor sociale. România la 100 de ani.</t>
  </si>
  <si>
    <t xml:space="preserve">Despre dimensiunea etnică şi dimensiunea civică a identității naționale: ce valorizează românii. în Bogdan Voicu, Horațiu Rusu, Claudiu Tufiș (2020). Atlasul valorilor sociale. România la 100 de ani. </t>
  </si>
  <si>
    <t xml:space="preserve">25 de ani de sondare a valorilor in Romania în Bogdan Voicu, Horațiu Rusu, Claudiu Tufiș (2020). Atlasul valorilor sociale. România la 100 de ani. </t>
  </si>
  <si>
    <t xml:space="preserve"> Bogdan Voicu, Horațiu Rusu, Claudiu Tufiș</t>
  </si>
  <si>
    <t>978-606-37-0987-7</t>
  </si>
  <si>
    <t>Delicii prozaice: bârfa ca practică socială a vieții cotidiene</t>
  </si>
  <si>
    <t>Institutul European</t>
  </si>
  <si>
    <t>978-606-24-0278-5</t>
  </si>
  <si>
    <t>martie</t>
  </si>
  <si>
    <t>Geographies of Remembrance: Observing the National Day of Commemorating the Holocaust in Romania’s Educational System. În Catrina, Sonia (Ed.). Holocaust Memoryscapes: Contemporary Memorialisation of the Holocaust in Central and Eastern European Countries (pp. 278-306)</t>
  </si>
  <si>
    <t xml:space="preserve">978-606-28-1097-9 </t>
  </si>
  <si>
    <t>Communication, environnement et développement durable: études de cas. (La polarisation des thèmes narratifs de l’environnement pendant la pandémie COVID‐19
Ioana Silistraru)</t>
  </si>
  <si>
    <t>Valentina Marinescu, Daniela Rovența‐Frumuşani</t>
  </si>
  <si>
    <t>Narațiunea Medicală În România În Domeniul Bolilor Cardiovasculare</t>
  </si>
  <si>
    <t>Tritonic</t>
  </si>
  <si>
    <t>978-606-749-502-7</t>
  </si>
  <si>
    <t>august</t>
  </si>
  <si>
    <t>Living in a culturally diverse Europe: evidence from German settings</t>
  </si>
  <si>
    <t>Ştefenel Delia</t>
  </si>
  <si>
    <t>Presa Universitara Clujeana</t>
  </si>
  <si>
    <t>978-606-37-0864-0</t>
  </si>
  <si>
    <t>83-104</t>
  </si>
  <si>
    <t xml:space="preserve">MANAGEMENTUL CRIZEI ÎN TIMPUL STĂRII DE URGENȚĂ: STUDIU DE CAZ ÎNTR-O ORGANIZAȚIE ROMÂNEASCĂ </t>
  </si>
  <si>
    <t>Mihai Balaban (UNIMAT SRL),Ştefenel Delia</t>
  </si>
  <si>
    <t>ProUniversitaria</t>
  </si>
  <si>
    <t>978-606-26-1244-3</t>
  </si>
  <si>
    <t>203-212</t>
  </si>
  <si>
    <t xml:space="preserve">EVALUAREA IMPLICĂRII ÎN MUNCĂ ÎN TIMPUL PANDEMIEI COVID-19
</t>
  </si>
  <si>
    <t>Ştefenel Delia, Mihai Balaban (UNIMAT SRL)</t>
  </si>
  <si>
    <t>222-232</t>
  </si>
  <si>
    <t xml:space="preserve">I8 - Editor volum ştiinţific 
(carte, volum conferinţă, îngrijitor colecţie ...) 
</t>
  </si>
  <si>
    <t>Decizia privind caracterul ştiinţific al publicaţiei se ia la nivel de departament.</t>
  </si>
  <si>
    <r>
      <rPr>
        <rFont val="arial narrow"/>
        <color theme="1"/>
        <sz val="10.0"/>
      </rPr>
      <t xml:space="preserve">Un </t>
    </r>
    <r>
      <rPr>
        <rFont val="Arial Narrow"/>
        <b/>
        <color theme="1"/>
        <sz val="10.0"/>
      </rPr>
      <t xml:space="preserve">volum / o carte este considerată internaţională / naţională </t>
    </r>
    <r>
      <rPr>
        <rFont val="Arial Narrow"/>
        <color theme="1"/>
        <sz val="10.0"/>
      </rPr>
      <t>dacă ISBN-ul este din străinătate, ȋntr-o limbă de circulație internațională, respectiv din ţară.</t>
    </r>
  </si>
  <si>
    <r>
      <rPr>
        <rFont val="Arial Narrow"/>
        <b/>
        <color theme="1"/>
        <sz val="10.0"/>
      </rPr>
      <t>Conferința este internațională</t>
    </r>
    <r>
      <rPr>
        <rFont val="Arial Narrow"/>
        <color theme="1"/>
        <sz val="10.0"/>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
Conferinţa care nu îndeplineşte criteriile minimale pentru a fi încadrată astfel are statutul de conferinţă naţională.
</t>
    </r>
    <r>
      <rPr>
        <rFont val="Arial Narrow"/>
        <b/>
        <color theme="1"/>
        <sz val="10.0"/>
      </rPr>
      <t>Criterii pentru conferinţa naţională</t>
    </r>
    <r>
      <rPr>
        <rFont val="Arial Narrow"/>
        <color theme="1"/>
        <sz val="10.0"/>
      </rPr>
      <t xml:space="preserve">, cel puţin: pagina web; program ştiinţific; comitet stiintific; volum al conferintei. Nu se iau în calcul volumele manifestărilor ştiinţifice studenţeşti, care se raportează la componenta didactică a SIEPAS. </t>
    </r>
  </si>
  <si>
    <t>Nu se ia în calcul calitatea de editor revistă / volum revistă care se raportează la I14.</t>
  </si>
  <si>
    <r>
      <rPr>
        <rFont val="Arial Narrow"/>
        <b/>
        <color theme="1"/>
        <sz val="10.0"/>
      </rPr>
      <t>* Punctaje de referință:</t>
    </r>
    <r>
      <rPr>
        <rFont val="Arial Narrow"/>
        <b/>
        <color theme="1"/>
        <sz val="10.0"/>
        <u/>
      </rPr>
      <t xml:space="preserve">
Volume științifice publicate în străinătate, la o editură de prestigiu internațional (lista diponibilă pe site-ul https://cercetare.ulbsibiu.ro/ro/platforma-siepas/metodologie-siepas-2017/):</t>
    </r>
    <r>
      <rPr>
        <rFont val="Arial Narrow"/>
        <color theme="1"/>
        <sz val="10.0"/>
      </rPr>
      <t xml:space="preserve">
</t>
    </r>
    <r>
      <rPr>
        <rFont val="Arial Narrow"/>
        <color theme="1"/>
        <sz val="10.0"/>
      </rPr>
      <t>•  750 puncte (nu se acceptă volume ale conferinţelor)
Se împarte punctajul la numărul editorilor din țară.
Plafoane maxime anual, cerinţe cumulative:
• 750 puncte / declarant, indiferent de numărul de volume editate 
• 750 puncte / volum, indiferent de numărul de declaranţi</t>
    </r>
    <r>
      <rPr>
        <rFont val="Arial Narrow"/>
        <color theme="1"/>
        <sz val="10.0"/>
      </rPr>
      <t xml:space="preserve">
</t>
    </r>
    <r>
      <rPr>
        <rFont val="Arial Narrow"/>
        <b/>
        <color theme="1"/>
        <sz val="10.0"/>
        <u/>
      </rPr>
      <t>Volume științifice / volume ale conferinţelor (proceedings)</t>
    </r>
    <r>
      <rPr>
        <rFont val="Arial Narrow"/>
        <color theme="1"/>
        <sz val="10.0"/>
      </rPr>
      <t xml:space="preserve">
• Volum ştiinţific publicat în străinătate sau volum (Proceedings) conferinţă internaţională = 200 puncte
• Volum ştiinţific publicat în ţară sau volum conferinţă naţională = 100 puncte
Se împarte punctajul la numărul editorilor din țară.
Plafoane maxime anual, cerinţe cumulative:
• 200 puncte / declarant, indiferent de numarul de volume editate 
• 200 puncte / volum, indiferent de numărul de declaranţi</t>
    </r>
  </si>
  <si>
    <t>Titlul volumului științific / 
Titlul volumului conferinței</t>
  </si>
  <si>
    <t>Numele și prenumele editorilor din țară</t>
  </si>
  <si>
    <t>Editura / Conferința</t>
  </si>
  <si>
    <t>Link editură / link conferință</t>
  </si>
  <si>
    <t>Punctaj total de referință*</t>
  </si>
  <si>
    <t>Conservare și restaurare 2020 (Icoane restaurate sub îndrumarea lect. univ. dr. Bucur Mirel)</t>
  </si>
  <si>
    <t>Editura ULBS</t>
  </si>
  <si>
    <t>978-606-12-1841-7</t>
  </si>
  <si>
    <t>Putere și abuz de putere</t>
  </si>
  <si>
    <t>Alexandru Ioniță &amp; Hans Klein</t>
  </si>
  <si>
    <t>978-606-37-0717-9</t>
  </si>
  <si>
    <t>https://alexandruionita.academia.edu/research#books</t>
  </si>
  <si>
    <t>Relații interetnice în Transilvania. Militaria Medievalia în Europa centrală și de sud-est</t>
  </si>
  <si>
    <t>PINTER Zeno-Karl, URDUZIA Claudia, NIȚOI Anca</t>
  </si>
  <si>
    <t>Editura ASTRA MUSEUM</t>
  </si>
  <si>
    <t>978-606-733-312-1</t>
  </si>
  <si>
    <t>Teachers Leaders</t>
  </si>
  <si>
    <t>FFSU 05</t>
  </si>
  <si>
    <t>ULBS</t>
  </si>
  <si>
    <t>978-606-12-1683-3</t>
  </si>
  <si>
    <t>https://editura.ulbsibiu.ro/ro/isbn.php</t>
  </si>
  <si>
    <t>Editura Universității Lucian Blaga din Sibiu</t>
  </si>
  <si>
    <t>ISSN 2558-9032 ISSN-L: 2558-9032</t>
  </si>
  <si>
    <t>https://sites.google.com/ulbsibiu.ro/conferintapipp/revista-conferintei?authuser=0</t>
  </si>
  <si>
    <t>Education beyond Crisis: Challenges and directions in a Multicultural World,</t>
  </si>
  <si>
    <t xml:space="preserve">Andron, Daniela, Roxana, Gruber, Gabriela, </t>
  </si>
  <si>
    <t>Brill/Sense</t>
  </si>
  <si>
    <t>ISBN-10: 9004432027; ISBN-13: 978-9004432024.</t>
  </si>
  <si>
    <t>https://brill.com/view/title/57601</t>
  </si>
  <si>
    <t>Education beyond Crisis. Challenges and Directions in a Multicultural World</t>
  </si>
  <si>
    <t>Daniela Roxana Andron and Gabriela Gruber</t>
  </si>
  <si>
    <t>Brill Sense, Leiden/Boston</t>
  </si>
  <si>
    <t>978-90-04-43202-4</t>
  </si>
  <si>
    <t>https://brill.com/</t>
  </si>
  <si>
    <t>Arts and Social Studies Research Vol. 1</t>
  </si>
  <si>
    <t>Alina Georgeta Mag</t>
  </si>
  <si>
    <t>Book Publisher International</t>
  </si>
  <si>
    <t xml:space="preserve">	
978-93-89816-78-5 (Print)
978-93-89816-79-2 (eBook)</t>
  </si>
  <si>
    <t>https://www.bookpi.org/bookstore/product/arts-and-social-studies-research-vol-1/</t>
  </si>
  <si>
    <t>New Horizons in Education and Social Studies Vol. 4</t>
  </si>
  <si>
    <t xml:space="preserve">	
978-93-90431-44-1 (Print)
978-93-90431-46-5 (eBook)</t>
  </si>
  <si>
    <t>https://www.bookpi.org/bookstore/product/new-horizons-in-education-and-social-studies-vol-4/</t>
  </si>
  <si>
    <t>Remigrant children in European schools 
Research on methodological aspects  of reintegrating the remigrants</t>
  </si>
  <si>
    <t xml:space="preserve">Popa Maria Cristina (ULBS) &amp; Silviu Brebuleț (CJRAE Vrancea) </t>
  </si>
  <si>
    <t>Alternative educaționale</t>
  </si>
  <si>
    <t>CIP nr. 08188 / 08.04.2020</t>
  </si>
  <si>
    <t xml:space="preserve"> Rethinking applied psychology: research
paradigms vs. practical approaches/ 13 th International Conference on
MODERN RESEARCH IN PSYCHOLOGY
November 2020, Sibiu, Romania</t>
  </si>
  <si>
    <t>Marius Milcu</t>
  </si>
  <si>
    <t>Editura Universitara București</t>
  </si>
  <si>
    <t xml:space="preserve">978-606-28-1219-5 </t>
  </si>
  <si>
    <t>http://www.multidisciplinary-research.com/</t>
  </si>
  <si>
    <t>Close Ties in European Local Governance
Linking Local State and Society, 
Editors: Teles, F., Gendźwiłł, A., Stănuș, C., Heinelt, H.,</t>
  </si>
  <si>
    <t>Stănuș, Cristina</t>
  </si>
  <si>
    <t>Palgrave</t>
  </si>
  <si>
    <t>ISBN 978-3-030-44794-6</t>
  </si>
  <si>
    <t>2020 (on-line) 2021 (print)</t>
  </si>
  <si>
    <t>https://www.palgrave.com/gp/book/9783030447939</t>
  </si>
  <si>
    <t>Conexiuni</t>
  </si>
  <si>
    <t>Grozea Lucian, Ion Mircioagă, Lavinia Hulea</t>
  </si>
  <si>
    <t>TehnoMedia</t>
  </si>
  <si>
    <t>978-606--616-381-1</t>
  </si>
  <si>
    <t>https://www.casastudentilorsibiu.ro/cenaclu_literar.php</t>
  </si>
  <si>
    <t>Atlasul valorilor sociale. România la 100 de ani.</t>
  </si>
  <si>
    <t>Rusu Horatiu, Voicu Bogdan, Tufiș Claudiu</t>
  </si>
  <si>
    <t>http://editura.ubbcluj.ro/www/ro/ebook.php?id=2842</t>
  </si>
  <si>
    <t xml:space="preserve">I9 - Citări </t>
  </si>
  <si>
    <r>
      <rPr>
        <rFont val="Arial Narrow"/>
        <b/>
        <color theme="1"/>
        <sz val="10.0"/>
      </rPr>
      <t>Auto-citările</t>
    </r>
    <r>
      <rPr>
        <rFont val="Arial Narrow"/>
        <color theme="1"/>
        <sz val="10.0"/>
      </rPr>
      <t xml:space="preserve"> (citări în articole ale oricăruia dintre autori) </t>
    </r>
    <r>
      <rPr>
        <rFont val="Arial Narrow"/>
        <b/>
        <color theme="1"/>
        <sz val="10.0"/>
      </rPr>
      <t>se exclud</t>
    </r>
    <r>
      <rPr>
        <rFont val="Arial Narrow"/>
        <color theme="1"/>
        <sz val="10.0"/>
      </rPr>
      <t>.</t>
    </r>
  </si>
  <si>
    <r>
      <rPr>
        <rFont val="Arial Narrow"/>
        <b/>
        <color theme="1"/>
        <sz val="10.0"/>
      </rPr>
      <t>Citarile în teze de doctorat / lucrări de disertaţie / lucrări de licenţă</t>
    </r>
    <r>
      <rPr>
        <rFont val="Arial Narrow"/>
        <color theme="1"/>
        <sz val="10.0"/>
      </rPr>
      <t xml:space="preserve"> susţinute în România</t>
    </r>
    <r>
      <rPr>
        <rFont val="Arial Narrow"/>
        <b/>
        <color theme="1"/>
        <sz val="10.0"/>
      </rPr>
      <t xml:space="preserve"> se exclud</t>
    </r>
    <r>
      <rPr>
        <rFont val="Arial Narrow"/>
        <color theme="1"/>
        <sz val="10.0"/>
      </rPr>
      <t>.</t>
    </r>
  </si>
  <si>
    <r>
      <rPr>
        <rFont val="Arial Narrow"/>
        <b/>
        <color theme="1"/>
        <sz val="10.0"/>
      </rPr>
      <t>* Punctaje de referință:</t>
    </r>
    <r>
      <rPr>
        <rFont val="Arial Narrow"/>
        <color theme="1"/>
        <sz val="10.0"/>
      </rPr>
      <t xml:space="preserve">
• Citare în WoS TR şi SCOPUS = 50 puncte.
• Citare în alte baze date, sau în cărţi = 15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</si>
  <si>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Numele și prenumele autorilor lucrării citate (se menționează în paranteză afilierea)</t>
  </si>
  <si>
    <t>Lucrarea citată (titlu)</t>
  </si>
  <si>
    <t>Publicația în care este citată lucrarea (autori, titlu, revistă ...)</t>
  </si>
  <si>
    <t>Link către publicația în care este citată lucrarea</t>
  </si>
  <si>
    <t>Baza de date în care este citată lucrarea (WoS / SCOPUS / altă bază de date sau carte)</t>
  </si>
  <si>
    <t>Albu Ioan (ULBS)</t>
  </si>
  <si>
    <t>Ioan Albu, Memoria epigrafică în Europa centrală și de sud-est. (Evul Mediu și Epoca Premodernă), Editura Astra Museum, Sibiu, 2014.</t>
  </si>
  <si>
    <t>Ciprian Firea, MEMORIE, LOC ȘI RITUAL
ÎN BISERICI ȘI CAPELE DIN TRANSILVANIA MEDIEVALĂ.
CÂTEVA CAZURI SEMNIFICATIVE, în Studii și Materiale de Istorie Medie, XXXVIII, 2020, p. 29-58.</t>
  </si>
  <si>
    <t>https://dbh.nsd.uib.no/publiseringskanaler/erihplus/periodical/info.action;jsessionid=CohDORNjrsgr17grfFHLDm6I.undefined?id=482393</t>
  </si>
  <si>
    <t>Erih+, Scopus</t>
  </si>
  <si>
    <t>Ioan
Albu: Inschriften der Stadt Hermannstadt aus dem Mittelalter und der Frühen
Neuzeit. Hermannstadt–Heidelberg 2002.</t>
  </si>
  <si>
    <t>Lővei Pál: Vörösmárvány sírkőtöredékek Nagyváradon
és a Stibor-síremlékek mestere, Nagyvárad és Bihar
a Zsigmond-korban
Tanulmányok Biharország történetéről 8., Nagyvarad, 2020, pp. 227-261.</t>
  </si>
  <si>
    <t>http://real.mtak.hu/116626/</t>
  </si>
  <si>
    <t>Ioan Albu: Forme de
scriere în epigrafia transilvăneană în context central-european (sec. XII–XVII).
Studia Universitatis Cibiniensis Series Historica I. (2004)</t>
  </si>
  <si>
    <t>Ioan Albu, „Inscripțiile din capela Sf. Ladislau – Piața Huet”, în Studia Universitatis Cibiniensis, Series historica, 3-4 (2006-2007), 85-103</t>
  </si>
  <si>
    <t xml:space="preserve">Constantin Ittu, Barlaam et Josaphat: un incunabul din Biblioteca Brukenthal
cu însemnul de proprietate al lui Albert Huet. Anuarul Institutului de Cercetări Socio-Umane, Sibiu, 220, pp. </t>
  </si>
  <si>
    <t>https://www.ceeol.com/search/article-detail?id=919419</t>
  </si>
  <si>
    <t>Dora Merai, “THIS SINGLE SLAB OF MARBLE DOES NOT SHOW YOU ONE SINGLE FACE”1
FUNERARY MONUMENTS FROM THE SAINT MICHAEL CATHEDRAL
IN ALBA IULIA FROM THE SIXTEENTH AND SEVENTEENTH CENTURIES, Acta Historiae Artium, 61, 2020.</t>
  </si>
  <si>
    <t>https://akjournals.com/view/journals/170/61/1/article-p81.xml</t>
  </si>
  <si>
    <t>WoS, Erih +, Scopus</t>
  </si>
  <si>
    <t>Albu Ioan, Inscripțiile marianice de la portalul vestic al bisericii Fecioarei
Maria din Sibiu. In: Studia Universitatis Cibiniensis. Series Historica, 5,
Sibiu (2008), pp. 81-119</t>
  </si>
  <si>
    <t>Mihaela Sanda SALONTAI Visual Documents as Sources in Medieval Architecture Research, BAM XV, 2, 2020, pp. 169-188</t>
  </si>
  <si>
    <t>https://www.scopus.com/sourceid/21100223157</t>
  </si>
  <si>
    <t>Ioan Albu, “Eine Hermannstädter Gräbervisitation aus
dem Jahre 1692,” Forschungen zur Volks- und Landeskunde 41/ 1-2 (1998)</t>
  </si>
  <si>
    <t>Daniela Dâmboiu, Identificarea comanditarului frescelor din interiorul casei depe str. Mitropoliei, nr. 17, Sibiu. SUCSH, XVII, 2020, pp. 125-139.</t>
  </si>
  <si>
    <t>Ioan Albu,
Inschriften der Stadt Hermannstadt aus dem Mittelalter und der Frühen Neuzeit (Sibiu, 2002)</t>
  </si>
  <si>
    <t>Ioan Albu, „Taxe de înmormântare în Sibiul secolelor XVI-XVII,” Brukenthal Acta
Musei IV.1 (2009), 257-270.</t>
  </si>
  <si>
    <t>Ioan Albu, Memoria epigrafică în Europa Centrală şi de
Sud-Est (evul mediu şi epoca premodernă) (Sibiu: Editura Astra Museum, 2014),</t>
  </si>
  <si>
    <t>Ioan Albu, “The Epigraphic Self-Representation of Transylvanian Towns in the Middle Ages,”
Studia Universitatis Cibiniensis. Series Historica XIV Supplement (2017), 83-97;</t>
  </si>
  <si>
    <t>Ioan Albu,
„Autoreprezentarea epigrafică a oraşelor transilvane în evul mediu,” Cluj-Kolozsvár-Klausenburg
700. Várostörténeti tanulmányok. Studii de istorie urban ă, Főszerk. Lupescu Makó Mária. Szerk.
Ionuţ Costea, Ovidiu Ghitta, Sipos Gábor, Rüsz-Fogarasi Enikő, editori (Kolozsvár: Erdélyi
Múzeum-Egyesület, 2018), 129-136.</t>
  </si>
  <si>
    <t>Ioan Albu, „Weapons and
Trophies of the «Vanitas Vanitatum» Theme in the Transylvanian Mannerist and Proto-Baroque
Funerary Art,” Brukenthal Acta Musei VI/2 (2011), 262-264.</t>
  </si>
  <si>
    <t>Sebastian Corneanu, De la Doamna cu coasa la “Punks not Dead”. Atribute iconice
ale reprezentărilor Morţii din Evul Mediu până în epoca
muzicii rock</t>
  </si>
  <si>
    <t>Ioan Albu, Inscripții marianice de la portalul vestic al bisericii Fecioarei Maria din Sibiu,
„Studia Universitatis Cibiniensis”, Sibiu, nr. 5, 2008</t>
  </si>
  <si>
    <t>Lidia Gross. "Patronaj și pietate în Bistrița medievală (secolele XV-XVI)". Anuarul Institutului
de Istorie »George Bariţiu« - Series HISTORICA 59:19-44.</t>
  </si>
  <si>
    <t>https://www.ceeol.com/search/viewpdf?id=952958</t>
  </si>
  <si>
    <t>Erih+, Ebsco</t>
  </si>
  <si>
    <t>Dăneasă CM (2013) The study of conservation state of a wooden church from Bozvillage Hunedoara county Romania. Int J Conserv Sci 4(1):53–64</t>
  </si>
  <si>
    <t>Mohaimeen IslamEmail authorHuda Mohammed FaisalMd. Tawhidur Rashid, Co-existence: Migrated Settlement Redefining Cultural Heritage – A Case from Bangladesh</t>
  </si>
  <si>
    <t>https://link.springer.com/chapter/10.1007/978-3-030-25879-5_18</t>
  </si>
  <si>
    <t>Part of the Springer Geography book series (SPRINGERGEOGR)   https://link.springer.com/chapter/10.1007/978-3-030-25879-5_18   https://www.researchgate.net/publication/341495287_Co-existence_Migrated_Settlement_Redefining_Cultural_Heritage_-_A_Case_from_Bangladesh</t>
  </si>
  <si>
    <t>Suita militară din necropola de la Alba Iulia- Izvorul Împăratului (sec. X)/The Military Suite from Alba Iulia-Emperor’s Spring’s Necropolis</t>
  </si>
  <si>
    <t>Yuliana Sri Purbiyati , Vincentia Devina Setyawati, Implementasi spiritualitas manajemen keuangan pada pengelolaan keuangan gereja katolik , în: Syntax Idea: p-ISSN : 2684-6853 e- ISSN-: 2684-883X vol. 2, No. 11, , November 2020.</t>
  </si>
  <si>
    <t>file:///C:/Users/win8/Downloads/661-1-1920-1-10-20201120.pdf</t>
  </si>
  <si>
    <t>Reprezentări ale morţii în Transilvania secolelor XVI-XX</t>
  </si>
  <si>
    <t>Circa, Adrian. "Propovedaniile la 210 ani de la tipărire. Semnificaţii teologice." Petru Maior și prietenii 3.I (2020): 97-110.</t>
  </si>
  <si>
    <t>https://www.ceeol.com/search/article-detail?id=879420</t>
  </si>
  <si>
    <t>Grancea Mihaiela</t>
  </si>
  <si>
    <t>Mihaela Grancea, Cornel Moșneag</t>
  </si>
  <si>
    <t>“The Issue of the War Victims in the Romanian Ecclesiastical Press of Transylvania (1919–1929)</t>
  </si>
  <si>
    <t>Holom, Crinela Elena. "“Recovering the Wounds of War”: Transylvanian Soldiers and their Families during and After the First World War." Transylvanian Review 29.1 (2020): 18-31.</t>
  </si>
  <si>
    <t>http://www.centruldestudiitransilvane.ro/Lista.aspx?t=TRnr2/2020</t>
  </si>
  <si>
    <t>https://www.ceeol.com/search/article-detail?id=855330</t>
  </si>
  <si>
    <t>Cãlãtori strãini prin Principatele Dunãrene, Transilvania şi Banat (1683-1789): Identitate şi alteritate</t>
  </si>
  <si>
    <t>ŞIPOŞ, SORIN. "Viaggiatori stranieri nello spazio romeno: Dalle capitali degli imperi alle corti dei Principati (1710-1810)." Transylvanian Review 29 (2020).</t>
  </si>
  <si>
    <t>http://www.centruldestudiitransilvane.ro/Lista.aspx?t=Suppl12020</t>
  </si>
  <si>
    <t>https://www.ceeol.com/search/article-detail?id=876520</t>
  </si>
  <si>
    <t>Retorica morţii eroice în epitaful revoluţionarilor din decembrie ’89, în Revoluţia română din decembrie 1989. Istorie şi Memorie. Coordonator Bogdan Murgescu</t>
  </si>
  <si>
    <t>BĂŢĂGUI, Florina, and Răzvan BĂŢĂGUI. "REVOLUŢIA DIN 1989–METODE DE PREDARE-ÎNVĂŢARE ÎN ŞCOALĂ ŞI ÎN AFARA EI." (2020).</t>
  </si>
  <si>
    <t>https://sai.cercetare.org/ojs/index.php/sai/article/download/377/256</t>
  </si>
  <si>
    <t>REVOLUŢIA DIN 1989–METODE DE PREDARE-ÎNVĂŢARE ÎN ŞCOALĂ ŞI ÎN AFARA EI." (2020).</t>
  </si>
  <si>
    <t>Călători străini prin Principatele Dunărene, Transilvania şi Banat (1683-1 789). Identitate şi alteritate</t>
  </si>
  <si>
    <t>Șipoș, Sorin, Between stereotypes and reality: Romanians’ Image in the Accounts of the Foreign Travelers (1710-1810). Research Methodology.Journal for the Study of Religions and Ideologies 19.57 (2020): 145-162.</t>
  </si>
  <si>
    <t>https://www.jsri.ro/</t>
  </si>
  <si>
    <t>http://jsri.ro/ojs/index.php/jsri/article/download/1351/863</t>
  </si>
  <si>
    <t>Mihaela Grancea, Sonoc Alexandru</t>
  </si>
  <si>
    <t>Consideraţii  cu  privire  la  procesul  de  formarea  identităţii naţionale, in: Bocşan Nicolae – Mitu Sorin  –  Nicoara  Toader:  Identitate şi  alteritate.  Studii  de  imagologie.</t>
  </si>
  <si>
    <t>Tamási, Zsolt-József. "A forradalom és a szabadságharc mellett vagy ellen (2.)." Keresztény Szó 31.10 (2020): 15-26.</t>
  </si>
  <si>
    <t>https://keresztenyszo.verbumkiado.ro/archivum/2018/december/tartalom.html</t>
  </si>
  <si>
    <t>https://www.ceeol.com/search/article-detail?id=923066</t>
  </si>
  <si>
    <t>Mihaela Grancea, Ioan Popa</t>
  </si>
  <si>
    <t>Viața cotidianã în Sibiul secolelor XIX–XX</t>
  </si>
  <si>
    <t>Nicolaescu, Alexandru. "The Union of Transylvania with Romania in the Discourse to the Central Press of the First Interwar Decade (1919–1929)." Transylvanian Review 29.1 (2020): 32-48.</t>
  </si>
  <si>
    <t>http://www.centruldestudiitransilvane.ro/Detaliu.aspx?t=prezentare</t>
  </si>
  <si>
    <t>https://www.ceeol.com/search/article-detail?id=855331</t>
  </si>
  <si>
    <t>Interferenţe culturale   în Sibiul secolelor XVIII-XX</t>
  </si>
  <si>
    <t>Oancea, Constantin, and Ioan Ovidiu Abrudan. "The Donation Act of Hagi Constantin Pop’s Family for the Annunciation Church in Sibiu." Religions 11.3 (2020): 108.</t>
  </si>
  <si>
    <t>https://www.mdpi.com/2077-1444/11/3/108/pdf</t>
  </si>
  <si>
    <t>https://www.researchgate.net/publication/339573767_The_Donation_Act_of_Hagi_Constantin_Pop's_Family_for_the_Annunciation_Church_in_Sibiu</t>
  </si>
  <si>
    <t>„Dacismul şi avatarurile discursului istoriografic postcomunist”</t>
  </si>
  <si>
    <t>Ursa, Anca. "Hand Over Heart: National Identity and Ritual in the Romanian Anthem." Studia Universitatis Babes-Bolyai-Philologia 65.1 (2020): 229-242.</t>
  </si>
  <si>
    <t>https://www.academia.edu/download/63051815/Hand_over_heart__anthems20200422-23092-18ltaim.pdf</t>
  </si>
  <si>
    <t>https://www.ceeol.com/search/journal-detail?id=561</t>
  </si>
  <si>
    <t>Reprezentări ale morții în România epocii comuniste. Trei studii de an-tropologie funerară</t>
  </si>
  <si>
    <t>Platon, Alexandru-Florin. "Regimurile totalitare și imaginarul corpului: repere pentru o antropologie comparată." Caiete de Antropologie Istorică 36 (2020): 41-60.</t>
  </si>
  <si>
    <t>https://www.caieteantropologieistorica.ro/</t>
  </si>
  <si>
    <t>https://www.ceeol.com/search/viewpdf?id=903290</t>
  </si>
  <si>
    <t>Mihaela Grancea, Olga Grădinariu</t>
  </si>
  <si>
    <t>“Ecaterina Teodoroiu’s Mythologization in Romanian Films”.</t>
  </si>
  <si>
    <t>Adrian-Silvan Ionescu, Marian Țuțui, Savaș Arslan (eds.), Balkan Cinema and the Great Wars: Our Story, Peter Lang Publishing, Berlin -Berna, (Switzerland) (2020), pp. 87-101. ...citată la pagina 165</t>
  </si>
  <si>
    <t>https://www.peterlang.com/view/title/70802</t>
  </si>
  <si>
    <t>Balkan Cinema and the Great Wars: Our Story, Peter Lang Publishing, Berlin -Berna</t>
  </si>
  <si>
    <t xml:space="preserve">Mihaela Păunoiu, THE CULT OF HEROES DURING THE AUTHORITY MONARCHY OF KING CAROL II: OLTENIA (1938 – 1940), în BRVKENTHAL. ACTA MVSEI XV. 5, BRUKENTHALIA, Romanian Cultural History Review,  no. 10, 2020 pp. 1054-1066,  </t>
  </si>
  <si>
    <t>https://dbh.nsd.uib.no/publiseringskanaler/erihplus/periodical/info?id=484924</t>
  </si>
  <si>
    <t>Despre problematica asistării sociale a orfanilor
Primului Război Mondial în presa confesională din Transilvania (1919-
1925)”. In: Revista istorică, tom XXII, nr. 5-6, pp. 565-575, (2011)</t>
  </si>
  <si>
    <t>Elena Andreea TRIF-BOIA, THE “SPANISH” FLU AS IT WAS REFLECTED IN THE ROMANIAN PUBLICATIONS OF TRANSYLVANIA (1918-1919), pp. 917-924, citată în: BRVKENTHAL. ACTA MVSEI XV. 5, BRUKENTHALIA, Romanian Cultural History Review,  no. 10, 2020, p. 921.</t>
  </si>
  <si>
    <t xml:space="preserve">
(PDF) BRVKENTHAL. ACTA MVSEI XV. 5 BRUKENTHALIA ...https://www.researchgate.net ›</t>
  </si>
  <si>
    <t>Mădălina Pojoga, ADRIAN-SILVAN IONESCU, MARIAN ȚUȚUI, SAVAȘ ARSLAN (editori), Balkan Cinema and the Great Wars: Our Story, Peter Lang, Berlin, 2020, 282 p, Mădălina Pojoga, în STUDII ŞI CERCET. IST. ART., Teatru, Muzică, Cinematografie, serie nouă, t. 14 (58)</t>
  </si>
  <si>
    <t>http://www.scia.istoria-artei.ro/</t>
  </si>
  <si>
    <t>https://doaj.org/</t>
  </si>
  <si>
    <r>
      <rPr>
        <rFont val="arial narrow"/>
        <color theme="1"/>
        <sz val="10.0"/>
      </rPr>
      <t>Márta Júlia Guttmann</t>
    </r>
    <r>
      <rPr>
        <rFont val="Arial Narrow"/>
        <color theme="1"/>
        <sz val="10.0"/>
        <vertAlign val="superscript"/>
      </rPr>
      <t>1</t>
    </r>
    <r>
      <rPr>
        <rFont val="Arial Narrow"/>
        <color theme="1"/>
        <sz val="10.0"/>
      </rPr>
      <t>, Anna Lluveras-Tenorio</t>
    </r>
    <r>
      <rPr>
        <rFont val="Arial Narrow"/>
        <color theme="1"/>
        <sz val="10.0"/>
        <vertAlign val="superscript"/>
      </rPr>
      <t>2</t>
    </r>
    <r>
      <rPr>
        <rFont val="Arial Narrow"/>
        <color theme="1"/>
        <sz val="10.0"/>
      </rPr>
      <t>, Alessia Andreotti</t>
    </r>
    <r>
      <rPr>
        <rFont val="Arial Narrow"/>
        <color theme="1"/>
        <sz val="10.0"/>
        <vertAlign val="superscript"/>
      </rPr>
      <t>2</t>
    </r>
    <r>
      <rPr>
        <rFont val="Arial Narrow"/>
        <color theme="1"/>
        <sz val="10.0"/>
      </rPr>
      <t>, Maria Perla Colombini</t>
    </r>
    <r>
      <rPr>
        <rFont val="Arial Narrow"/>
        <color theme="1"/>
        <sz val="10.0"/>
        <vertAlign val="superscript"/>
      </rPr>
      <t>2</t>
    </r>
    <r>
      <rPr>
        <rFont val="Arial Narrow"/>
        <color theme="1"/>
        <sz val="10.0"/>
      </rPr>
      <t>, Luminiţa Silaghi-Dumitrescu</t>
    </r>
    <r>
      <rPr>
        <rFont val="Arial Narrow"/>
        <color theme="1"/>
        <sz val="10.0"/>
        <vertAlign val="superscript"/>
      </rPr>
      <t>1</t>
    </r>
    <r>
      <rPr>
        <rFont val="Arial Narrow"/>
        <color theme="1"/>
        <sz val="10.0"/>
      </rPr>
      <t>, Olimpia Coman-Sipeanu</t>
    </r>
    <r>
      <rPr>
        <rFont val="Arial Narrow"/>
        <color theme="1"/>
        <sz val="10.0"/>
        <vertAlign val="superscript"/>
      </rPr>
      <t xml:space="preserve">3                       1 </t>
    </r>
    <r>
      <rPr>
        <rFont val="Arial Narrow"/>
        <color theme="1"/>
        <sz val="10.0"/>
      </rPr>
      <t xml:space="preserve">UBB Cluj, </t>
    </r>
    <r>
      <rPr>
        <rFont val="Arial Narrow"/>
        <color theme="1"/>
        <sz val="10.0"/>
        <vertAlign val="superscript"/>
      </rPr>
      <t>2</t>
    </r>
    <r>
      <rPr>
        <rFont val="Arial Narrow"/>
        <color theme="1"/>
        <sz val="10.0"/>
      </rPr>
      <t xml:space="preserve"> Universitatea din Pisa, </t>
    </r>
    <r>
      <rPr>
        <rFont val="Arial Narrow"/>
        <color theme="1"/>
        <sz val="10.0"/>
        <vertAlign val="superscript"/>
      </rPr>
      <t xml:space="preserve">3 </t>
    </r>
    <r>
      <rPr>
        <rFont val="Arial Narrow"/>
        <color theme="1"/>
        <sz val="10.0"/>
      </rPr>
      <t>Muzeul ASTRA, Sibiu</t>
    </r>
  </si>
  <si>
    <t>Transylvanian glass icons: A GC/MS study on the binding media</t>
  </si>
  <si>
    <t>Journal of Physics: Conference Series</t>
  </si>
  <si>
    <t>https://iopscience.iop.org/article/10.1088/1742-6596/1533/2/022033/meta</t>
  </si>
  <si>
    <r>
      <rPr>
        <rFont val="arial narrow"/>
        <b/>
        <color theme="1"/>
        <sz val="10.0"/>
      </rPr>
      <t>GUTTMANN M</t>
    </r>
    <r>
      <rPr>
        <rFont val="Calibri"/>
        <b/>
        <color theme="1"/>
        <sz val="10.0"/>
      </rPr>
      <t>Á</t>
    </r>
    <r>
      <rPr>
        <rFont val="Arial Narrow"/>
        <b/>
        <color theme="1"/>
        <sz val="10.0"/>
      </rPr>
      <t>RTA J</t>
    </r>
    <r>
      <rPr>
        <rFont val="Calibri"/>
        <b/>
        <color theme="1"/>
        <sz val="10.0"/>
      </rPr>
      <t>Ú</t>
    </r>
    <r>
      <rPr>
        <rFont val="Arial Narrow"/>
        <b/>
        <color theme="1"/>
        <sz val="10.0"/>
      </rPr>
      <t>LIA</t>
    </r>
  </si>
  <si>
    <t>Márta Júlia Guttmann (ULBS) - expert pentru veriunea în limba maghiară a EwaGlos</t>
  </si>
  <si>
    <t>EwaGlos-European illustrated glossary of conservation terms for wall paintings and architectural surfaces</t>
  </si>
  <si>
    <t>Gazi Üniversitesi Mühendislik Mimarlık Fakültesi Dergisi</t>
  </si>
  <si>
    <t>https://dergipark.org.tr/en/pub/gazimmfd/issue/58008/690320</t>
  </si>
  <si>
    <r>
      <rPr>
        <rFont val="arial narrow"/>
        <b/>
        <color theme="1"/>
        <sz val="10.0"/>
      </rPr>
      <t>GUTTMANN M</t>
    </r>
    <r>
      <rPr>
        <rFont val="Calibri"/>
        <b/>
        <color theme="1"/>
        <sz val="10.0"/>
      </rPr>
      <t>Á</t>
    </r>
    <r>
      <rPr>
        <rFont val="Arial Narrow"/>
        <b/>
        <color theme="1"/>
        <sz val="10.0"/>
      </rPr>
      <t>RTA J</t>
    </r>
    <r>
      <rPr>
        <rFont val="Calibri"/>
        <b/>
        <color theme="1"/>
        <sz val="10.0"/>
      </rPr>
      <t>Ú</t>
    </r>
    <r>
      <rPr>
        <rFont val="Arial Narrow"/>
        <b/>
        <color theme="1"/>
        <sz val="10.0"/>
      </rPr>
      <t>LIA</t>
    </r>
  </si>
  <si>
    <t>International Journal on Advances in Intelligent Systems</t>
  </si>
  <si>
    <t>https://www.researchgate.net/profile/Tobias-Hellmund/publication/338611843_Implementing_the_HERACLES_Ontology_-_An_Ontology_as_backbone_for_a_Knowledge_Base_in_the_Cultural_Heritage_Protection_Domain/links/5e2015a9a6fdcc10156c3809/Implementing-the-HERACLES-Ontology-An-Ontology-as-backbone-for-a-Knowledge-Base-in-the-Cultural-Heritage-Protection-Domain.pdf</t>
  </si>
  <si>
    <r>
      <rPr>
        <rFont val="arial narrow"/>
        <b/>
        <color theme="1"/>
        <sz val="10.0"/>
      </rPr>
      <t>GUTTMANN M</t>
    </r>
    <r>
      <rPr>
        <rFont val="Calibri"/>
        <b/>
        <color theme="1"/>
        <sz val="10.0"/>
      </rPr>
      <t>Á</t>
    </r>
    <r>
      <rPr>
        <rFont val="Arial Narrow"/>
        <b/>
        <color theme="1"/>
        <sz val="10.0"/>
      </rPr>
      <t>RTA J</t>
    </r>
    <r>
      <rPr>
        <rFont val="Calibri"/>
        <b/>
        <color theme="1"/>
        <sz val="10.0"/>
      </rPr>
      <t>Ú</t>
    </r>
    <r>
      <rPr>
        <rFont val="Arial Narrow"/>
        <b/>
        <color theme="1"/>
        <sz val="10.0"/>
      </rPr>
      <t>LIA</t>
    </r>
  </si>
  <si>
    <t>Cursaru-Herlea Simona Maria (ULBS)</t>
  </si>
  <si>
    <t>Ceramica medievală de la Capidava (secolele IX—XI). Sibiu: Astra Museum, 2016</t>
  </si>
  <si>
    <t>Б. Ш. Шмoниевский (Краков, Польша), В. Вoинa (Констанца, Румыния), Ключи Добруджи: что говорят раннесредневековые находки о людях, живших в пещерах. În: Stratum Plus Journal. 2020, Issue 5, p.295-312.</t>
  </si>
  <si>
    <t xml:space="preserve"> https://www.e-anthropology.com/Katalog/Arheologia/STM_DWL_6CRu_uurMFEK2WhrE.aspx</t>
  </si>
  <si>
    <t>SCOPUS; EBSCO;CLARIVATE ANALITYCS; SCIENCE INDEX</t>
  </si>
  <si>
    <t>Ioniță Alexandru (Centrul de Cercetare Ecumenică, ULBS)</t>
  </si>
  <si>
    <t>"Nostra aetate – une lecture personnelle d’un point de vue de la théologie orthodoxe", in: MIKHTAV 73-74 (2015), 143-159</t>
  </si>
  <si>
    <t>Thérèse M. Andrevon (ed), Permanence d'Israël et silence de la Théologie, une question pour les Eglises, Parole, Paris, 2020, p. 127, n. 43.</t>
  </si>
  <si>
    <t>https://www.laprocure.com/permanence-israel-silence-theologie-question-pour-eglises-pablo-arteaga/9782889591251.html</t>
  </si>
  <si>
    <t>carte</t>
  </si>
  <si>
    <t>Alexandru Ioniță &amp; Daniel Mihoc (eds), Sfânta Scriptură în Biserică și Istorie. Studii în onoarea Pr. Prof. Dr. Vasile Mihoc, Editura Andreiana/Editura ASTRA Museum, Sibiu 2018</t>
  </si>
  <si>
    <t>Stelian Pașca-Tușa, „God’s Mercy or Jonah’s Anger? An Orthodox Approach to the Case of Nineveh”, STUDIA THEOLOGIA ORTHODOXA 65, no. 1 (2020): 23-37, DOI:10.24193/subbto.2020.1.02 , p. 27, n. 18.</t>
  </si>
  <si>
    <t>http://journals.orth.ro/index.php/subbto/article/view/314</t>
  </si>
  <si>
    <t>ERIH PLUS, CEEOL, EBSCO</t>
  </si>
  <si>
    <t>Ioan Chirilă, „Let there be Light! Gen. 1:3 in the Interpretation of the Primordial Light”, STUDIA THEOLOGIA ORTHODOXA 65, no. 1 (2020): 5-22, p. 7, n. 12. DOI:10.24193/subbto.2020.1.01</t>
  </si>
  <si>
    <t>http://journals.orth.ro/index.php/subbto/article/view/317/256</t>
  </si>
  <si>
    <t xml:space="preserve"> Alexandru Ioniță (ed.), Imnografia liturgică bizantină: Perspective critice, Studia O
ecumenica 13, Cluj-
 Napoca, Presa UniversitarăClujeană, 2019</t>
  </si>
  <si>
    <t>Doru Costache, „Sfântul Maxim Mărturisitorul despre gen, căsătorie și sfințenie (Ambigua 10 și 41)”, Altarul Reîntregirii 25 (2/2020), 41-72, p. 49, n. 38.</t>
  </si>
  <si>
    <t>http://fto.ro/altarul-reintregirii/wp-content/uploads/2020/12/2020-2-4.-Doru-COSTACHE.pdf</t>
  </si>
  <si>
    <t>B+</t>
  </si>
  <si>
    <t>PINTER, Z.K.</t>
  </si>
  <si>
    <t>Spada și sabia medievală în Transilvania și Banat, Reșița 1999</t>
  </si>
  <si>
    <t>NIȚOI, Anca, Arms and Armour from the Medieval Paintings of the Church of Mălâncrav (Sibiu County), în Relații Interetnice în Transilvania. Militaria Medievalia în Europa centrală și de sud-est, Sibiu, 2020, p. 35, 38</t>
  </si>
  <si>
    <t>https://www.academia.edu/44477737/Rela%C8%9Bii_Interetnice_%C3%AEn_Transilvania_Militaria_Mediaevalia_%C3%AEn_Europa_central%C4%83_%C8%99i_de_sud_est_Sibiu_2020</t>
  </si>
  <si>
    <t>LANGA, Paul Victor, The Sword and the Saber – Symbols of Social Positions in the VotiveImages of Medieval Transzlvania, în Relații Interetnice în Transilvania. Militaria Medievalia în Europa centrală și de sud-est, Sibiu, 2020, p. 66, 67</t>
  </si>
  <si>
    <t xml:space="preserve">https://www.academia.edu/44477737/Rela%C8%9Bii_Interetnice_%C3%AEn_Transilvania_Militaria_Mediaevalia_%C3%AEn_Europa_central%C4%83_%C8%99i_de_sud_est_Sibiu_2020 </t>
  </si>
  <si>
    <t>Roșcani, Biserica monument istoric, Deva, 2001</t>
  </si>
  <si>
    <t>LANGA, Paul Victor, The Sword and the Saber – Symbols of Social Positions in the VotiveImages of Medieval Transzlvania, în Relații Interetnice în Transilvania. Militaria Medievalia în Europa centrală și de sud-est, Sibiu, 2020, p. 67</t>
  </si>
  <si>
    <t xml:space="preserve">https://www.academia.edu/44477737/Rela%C8%9Bii_Interetnice_%C3%AEn_Transilvania_Militaria_Mediaevalia_%C3%AEn_Europa_central%C4%83_%C8%99i_de_sud_est_Sibiu_2020  </t>
  </si>
  <si>
    <t>PINTER, Z.K, SANA, D. V.</t>
  </si>
  <si>
    <t>O descoperire arheologică mai mult sau mai puţin întâmplătoare. Spada medievală de la Şeica Mare, în Transilvania / Serie nouă, anul XLVI (CL), 3/2018</t>
  </si>
  <si>
    <t>CIUTĂ Marius Mihai, TOTOIANU Radu, A FLANGED-AXE DISCOVERED AT PETREȘTI-DEALUL NETOTU (ALBA COUNTY)AND SOME REMARQUES ABOUT THE DETECTORISTS în Journal of Ancient History and Archaeology, 7-3/2020, p. 65</t>
  </si>
  <si>
    <t>http://jaha.org.ro/index.php/JAHA/issue/view/30</t>
  </si>
  <si>
    <t>SCOPUS</t>
  </si>
  <si>
    <t>NIEDEMAIER P., IACOB D. D., PALL J., PINTER Z.K., SALONTAI M. S.</t>
  </si>
  <si>
    <t>Atlas istoric al orașelor din România. Transilvania. Sebeș, Seria C, Fascicula 2, București, 2004</t>
  </si>
  <si>
    <r>
      <rPr>
        <rFont val="arial narrow"/>
        <color theme="1"/>
        <sz val="10.0"/>
      </rPr>
      <t xml:space="preserve">POP Răzvan C., </t>
    </r>
    <r>
      <rPr>
        <rFont val="Arial Narrow"/>
        <i/>
        <color theme="1"/>
        <sz val="10.0"/>
      </rPr>
      <t>Perspective asupra aspectului urban în sudul Transilvaniei în secolul al XVII-lea</t>
    </r>
    <r>
      <rPr>
        <rFont val="Arial Narrow"/>
        <color theme="1"/>
        <sz val="10.0"/>
      </rPr>
      <t xml:space="preserve">, în </t>
    </r>
    <r>
      <rPr>
        <rFont val="Arial Narrow"/>
        <i/>
        <color theme="1"/>
        <sz val="10.0"/>
      </rPr>
      <t>Relații Interetnice în Transilvania. Militaria Medievalia în Europa centrală și de sud-est</t>
    </r>
    <r>
      <rPr>
        <rFont val="Arial Narrow"/>
        <color theme="1"/>
        <sz val="10.0"/>
      </rPr>
      <t>, Sibiu, 2020, p. 165</t>
    </r>
  </si>
  <si>
    <t>Repere arheologice privind orașele medeivale ale diferitelor zone. Transilvania în izvoare privind istoria timpurie a orașelor din România (până în anul 1301), în Historia Urbana, XIII/1-2, București, 2005</t>
  </si>
  <si>
    <r>
      <rPr>
        <rFont val="arial narrow"/>
        <color theme="1"/>
        <sz val="10.0"/>
      </rPr>
      <t xml:space="preserve">POP Răzvan C., </t>
    </r>
    <r>
      <rPr>
        <rFont val="Arial Narrow"/>
        <i/>
        <color theme="1"/>
        <sz val="10.0"/>
      </rPr>
      <t>Perspective asupra aspectului urban în sudul Transilvaniei în secolul al XVII-lea</t>
    </r>
    <r>
      <rPr>
        <rFont val="Arial Narrow"/>
        <color theme="1"/>
        <sz val="10.0"/>
      </rPr>
      <t>, în Relații Interetnice în Transilvania. Militaria Medievalia în Europa centrală și de sud-est, Sibiu, 2020, p. 164</t>
    </r>
  </si>
  <si>
    <t>Spada şi sabia medievală în Transilvania şi Banat (secolele IX–XIV), Sibiu, 2007</t>
  </si>
  <si>
    <r>
      <rPr>
        <rFont val="arial narrow"/>
        <color rgb="FF000000"/>
        <sz val="10.0"/>
      </rPr>
      <t xml:space="preserve">PETR ŽÁKOVSKÝ – JIŘÍ HOŠEK – PATRICK BÁRTA – ADAM FOJTÍK – MIROSLAV, </t>
    </r>
    <r>
      <rPr>
        <rFont val="Arial Narrow"/>
        <i/>
        <color rgb="FF000000"/>
        <sz val="10.0"/>
      </rPr>
      <t>Románský meč z Hoštic na Kroměřížsku / A Romanesque sword from Hoštice in the Kroměříž region / Ein romanisches Schwert aus Hoštice in der Region Kroměříž, în Archaeologia historica 45, 1, 2020, p. 368</t>
    </r>
    <r>
      <rPr>
        <rFont val="Arial Narrow"/>
        <color rgb="FF000000"/>
        <sz val="10.0"/>
      </rPr>
      <t xml:space="preserve">
POPELKA</t>
    </r>
  </si>
  <si>
    <t>https://digilib.phil.muni.cz/handle/11222.digilib/142972</t>
  </si>
  <si>
    <t>SCOPUS, ERIH+</t>
  </si>
  <si>
    <t>Ioana Rusu, Alessandra Modi, Stefania Vai, Elena Pilli, Cristina Mircea, Claudia Radu, Claudia Urduzia, Zeno Karl Pinter, Vitalie Bodolică, Cătălin Dobrinescu, Montserrat Hervella, Octavian Popescu, Martina Lari, David Caramelli, Beatrice Kelemen</t>
  </si>
  <si>
    <t>Maternal DNA lineages at the gate of Europe in the 10th century AD, in PLoS One 13 (3), e0193578</t>
  </si>
  <si>
    <r>
      <rPr>
        <rFont val="arial narrow"/>
        <color rgb="FF000000"/>
        <sz val="10.0"/>
      </rPr>
      <t xml:space="preserve">Amer, Sayed A. M.; Asiri, Abdulaziz S.; Al-Shalaan, Ziad F.; Kassab, Ahmed Ch.; Refaat, Ahmed M., Forensic Application of ATP6 Gene Haplogroups in a Cohort of Obese Saudis, in </t>
    </r>
    <r>
      <rPr>
        <rFont val="Arial Narrow"/>
        <i/>
        <color rgb="FF000000"/>
        <sz val="10.0"/>
      </rPr>
      <t>Indian Journal of Forensic Medicine &amp; Toxicology</t>
    </r>
    <r>
      <rPr>
        <rFont val="Arial Narrow"/>
        <color rgb="FF000000"/>
        <sz val="10.0"/>
      </rPr>
      <t xml:space="preserve"> , Oct-Dec 2020, Vol. 14 Issue 4, p. 3462</t>
    </r>
  </si>
  <si>
    <t>http://www.ijfmt.com/issues.html</t>
  </si>
  <si>
    <t>Scopus, EMBASE, EBSCO</t>
  </si>
  <si>
    <t>S. A. Luca, Z. K. Pinter, A. Georgescu</t>
  </si>
  <si>
    <t>Repertoriul arheologic al județului Sibiu (Situri, monumente arheologice și istorice) (Sibiu, 2003)</t>
  </si>
  <si>
    <t>PURECE Silviu, Argint pentru războinici. Un tezaur de tetradrahme „de tip thasian” din colecția Muzeului Național Brukenthal / Silver for Warriors. A Hoard with “Thasian Type” Tetradrachms from Brukenthal National Museum’s Collection, în 2020, Studia Universitatis Cibiniensis. Series Historica, p. 41, 42</t>
  </si>
  <si>
    <t>https://www.academia.edu/44905837/Argint_pentru_r%C4%83zboinici_Un_tezaur_de_tetradrahme_de_tip_thasian_din_colec%C8%9Bia_Muzeului_Na%C8%9Bional_Brukenthal_Silver_for_Warriors_A_Hoard_with_Thasian_Type_Tetradrachms_from_Brukenthal_National_Museum_s_Collection</t>
  </si>
  <si>
    <t>SCOPUS (Elsevier), ERIH+, CEEOL, Ebsco, Index Copernicus, Scipio</t>
  </si>
  <si>
    <t>Repertoriul arheologic al județului Sibiu (Situri, monumente arheologice și istorice), Sibiu, 2003</t>
  </si>
  <si>
    <t xml:space="preserve">BUCUR, Alexandru, DESCOPERIRI ARHEOLOGICE DIN DIVERSE PERIOADE ÎN LOCALITATEA VEŞTEM (JUD. SIBIU), în CULTURA MEDIEŞANĂ IX, Mediaș, 2020, p. 5, 6
</t>
  </si>
  <si>
    <t>https://www.academia.edu/44507647/Cultura_Medie%C5%9Fan%C4%83_IX_Media%C5%9F_2020</t>
  </si>
  <si>
    <t>Pinter Z. K., Urduzia C.</t>
  </si>
  <si>
    <t>Custodes confiniorum, vulgo ewrii… Cercetări arheologice în aşezareamedievală de la Miercurea Băi-Cunţa, Bucureşti, 2015</t>
  </si>
  <si>
    <t xml:space="preserve">BUCUR, Alexandru, DESCOPERIRI ARHEOLOGICE DIN DIVERSE PERIOADE ÎN LOCALITATEA VEŞTEM (JUD. SIBIU), în CULTURA MEDIEŞANĂ IX, Mediaș, 2020, p. 7, 8
</t>
  </si>
  <si>
    <t>Dan Dumitru Iacob (coord.), Paul Niedermaier, Judit Pál, Zeno-Karl Pinter, Mihaela-Sanda Salontai (autori)</t>
  </si>
  <si>
    <t>Sebeş. Atlas istoric al oraşelor din România , vol. III, fascicula 2, Bucureşti, 2004.</t>
  </si>
  <si>
    <t>Cristian I. POPA, O genealogie necesară: completări şi rectificări pe marginea istoriei familiei pictorului Sava Henţia, în Terra Sebus, 12, 2020, p. 451</t>
  </si>
  <si>
    <t>https://www.academia.edu/45348064/Cristian_I_Popa_O_genealogie_necesar%C4%83_complet%C4%83ri_%C5%9Fi_rectific%C4%83ri_pe_marginea_istoriei_familiei_pictorului_Sava_Hen%C5%A3ia_%C3%AEn_Terra_Sebus_12_2020_p_427_520</t>
  </si>
  <si>
    <t>SCOPUS, ERIH PLUS, DOAJ, CITEFACTOR</t>
  </si>
  <si>
    <t>Pinter Z. K.</t>
  </si>
  <si>
    <t>Piese de armament şi echipament militar de provenienţă carolingianădin Valea Mureşului, în Studii şi cercetări de istorie veche şi arheologie, 49/2, 1998.</t>
  </si>
  <si>
    <t>Aleksandar SAJDL, Early Medieval winged spearheads from present-day Serbia, în 2020, Гласник Српског археолошког друштва 36 / Journal of Serbian Archaeological Society 36, p. 129</t>
  </si>
  <si>
    <t>https://www.academia.edu/45050482/Early_Medieval_winged_spearheads_from_present_day_Serbia</t>
  </si>
  <si>
    <t>Dimensions, ERIH PLUS, DOAJ</t>
  </si>
  <si>
    <t>Spada și sabia medievală în Transilvania și Banat (Secolele IX-XIV), Sibiu 2007</t>
  </si>
  <si>
    <t>Călin Cosma, The military equipment of the 7 th -8 th century warriors from Transylvania / Echipamentul militar al războinicilor din Transilvania secolelor VII-VIII, Cluj-Napoca, 2020, p. 9, 10</t>
  </si>
  <si>
    <t>https://www.academia.edu/44658740/C%C4%83lin_Cosma_The_military_equipment_of_the_7_th_8_th_century_warriors_from_Transylvania_Echipamentul_militar_al_r%C4%83zboinicilor_din_Transilvania_secolelor_VII_VIII</t>
  </si>
  <si>
    <t>Adian N. Șovrea, Considerații asupra evoluției istorice a bazinului Târnavei Mari în secolele X-XIII din perspectivă toponimică și arheologică (II)/ Überlegungen zur geschichtlichen Entwicklung des Großen Kokel Becken aus archäologischer und toponymischer Perspektive zwischen den 10.-13. Jahrhunderten (II), în ALT-SCHAESSBURG Istorie.Patrimoniu, Sighișoara, 2020, p. 8</t>
  </si>
  <si>
    <t>https://www.academia.edu/44641510/Considera%C8%9Bii_asupra_evolu%C8%9Biei_istorice_a_bazinului_T%C3%A2rnavei_Mari_%C3%AEn_secolele_X_XIII_din_perspectiv%C4%83_toponimic%C4%83_%C8%99i_arheologic%C4%83_II_%C3%9Cberlegungen_zur_geschichtlichen_Entwicklung_des_Gro%C3%9Fen_Kokel_Becken_aus_arch%C3%A4ologischer_und_toponymischer_Perspektive_zwischen_den_10_13_Jahrhunderten_II_</t>
  </si>
  <si>
    <t>Tezaurul dacic de la Măldărești, județul Vâlcea. Monedă și comerț în sud-estul Europei., V, 2013, p. 21-26.</t>
  </si>
  <si>
    <t>Cătălin N. Pătroi, DACII DIN OLTENIA REPERTORIUL DE AȘEZĂRI ȘI DESCOPERIRI ÎNAINTE DE CUCERIREA ROMANĂ, Turnu Sverin, 2020, p. 432.</t>
  </si>
  <si>
    <t>https://gumroad.com/l/ZbHeUO?recommended_by=search</t>
  </si>
  <si>
    <t>Carte</t>
  </si>
  <si>
    <t>Date despre trei noi descoperiri monetare. Două tetradrahme de imitaţie din judeţul Olt şi un denar roman imperial din judeţul Sibiu. Acta Terrae Septemcastrensis, II, 2003, p. 127-133</t>
  </si>
  <si>
    <t>CCătălin N. Pătroi, DACII DIN OLTENIA REPERTORIUL DE AȘEZĂRI ȘI DESCOPERIRI ÎNAINTE DE CUCERIREA ROMANĂ, Turnu Sverin, 2020, p. 100.</t>
  </si>
  <si>
    <t>Prezența imitațiilor de tip Macedonia Prima pe teritoriul Daciei. Probleme metodologice. Acta Terrae Septemcastrensis, III, 2004, p. 159-166.</t>
  </si>
  <si>
    <t>Cătălin N. Pătroi, DACII DIN OLTENIA REPERTORIUL DE AȘEZĂRI ȘI DESCOPERIRI ÎNAINTE DE CUCERIREA ROMANĂ, Turnu Sverin, 2020, p. 428.</t>
  </si>
  <si>
    <t>Tezaure Romane Imperiale din Colecția Muzeului Județean Vâlcea. Observații cu privire la fenomenul tezaurizării în spațiul Olteniei romane. Editura Astra Museum, Sibiu.</t>
  </si>
  <si>
    <t>CCătălin N. Pătroi, DACII DIN OLTENIA REPERTORIUL DE AȘEZĂRI ȘI DESCOPERIRI ÎNAINTE DE CUCERIREA ROMANĂ, Turnu Sverin, 2020, p. 428.</t>
  </si>
  <si>
    <t>A roman group of coins from Vâlcea county museum. Acta Terrae Septemcastrensis, V,, 2006, p. 183-192.</t>
  </si>
  <si>
    <t>Cătălin N. Pătroi, DACII DIN OLTENIA REPERTORIUL DE AȘEZĂRI ȘI DESCOPERIRI ÎNAINTE DE CUCERIREA ROMANĂ, Turnu Sverin, 2020, p. 455.</t>
  </si>
  <si>
    <t>Monede republicane descoperite izolat la Buridava (Ocnița, județul Vâlcea), aflate în colecția Muzeului Județean ,,Aurelian Sacerdoțeanu,, Vâlcea. Buridava. Studii și materiale, IX, 2011,  p. 132-139.</t>
  </si>
  <si>
    <t>Cătălin N. Pătroi, DACII DIN OLTENIA REPERTORIUL DE AȘEZĂRI ȘI DESCOPERIRI ÎNAINTE DE CUCERIREA ROMANĂ, Turnu Sverin, 2020, p. 456.</t>
  </si>
  <si>
    <t>Isolated finds of roman republican coins from Buridava, contained in the collection of Vâlcea County Museum. Brukenthal. Acta Musei, VI.1, 2011, p. 105-111.</t>
  </si>
  <si>
    <t>Monedele romane imperiale descoperite la Buridava (Ocnița, jud. Vâlcea) aflate în colecția Muzeului Județean Vâlcea. Studia Universitatis Cibiniensis, Seria Historica, Supplement, vol. X, 2013, p. 41-48.</t>
  </si>
  <si>
    <t>Silviu I. Purece, Ionuț Tuțulescu</t>
  </si>
  <si>
    <t>Descoperiri monetare din posibilul centru administrativ roman al exploatării salinifere din zona Ocnelor Mari. Transilvania, 10, 2016, p. 1-6.</t>
  </si>
  <si>
    <t>Salt, ancient coins and the Olt Valley. Studia Universitatis Cibiniensis, Seria Historica, Supplement, vol. XIII, 2016, p. 109-119.</t>
  </si>
  <si>
    <t>Cătălin N. Pătroi, DACII DIN OLTENIA REPERTORIUL DE AȘEZĂRI ȘI DESCOPERIRI ÎNAINTE DE CUCERIREA ROMANĂ, p. 456.</t>
  </si>
  <si>
    <t>Evoluţia tipologică a monedelor celtice de tip Larissa-Apollo Amphipolis. Buridava, XII/1, 2015, p. 463-473.</t>
  </si>
  <si>
    <t>Preistoria, istoria antică și premedievală. Enciclopedia Județului Vâlcea. Râmnicu-Vâlcea, 2010,  p. 99-118.</t>
  </si>
  <si>
    <t>Cătălin N. Pătroi, DACII DIN OLTENIA REPERTORIUL DE AȘEZĂRI ȘI DESCOPERIRI ÎNAINTE DE CUCERIREA ROMANĂ, p. 432.</t>
  </si>
  <si>
    <t>Monede romane descoperite la Buridava romană (Stolniceni, județul Vâlcea) aflate în colecția Muzeulu Județean Vâlcea. Monedă și comerț în sud-estul Europei., I, 2007, p. 111-118.</t>
  </si>
  <si>
    <t>The Typlogical Evolution of the Celtic Coins from the Larissa-Apollo Amphipolis Type. Oltenia. Studii şi comunicări. Arheologie-Istorie, Craiova, XX-XXI, 2014, p. 125-133.</t>
  </si>
  <si>
    <t>Sabin A. Luca, Cosmin Suciu, Silviu I. Purece</t>
  </si>
  <si>
    <t>Descoperiri arheologice din Banatul românesc: repertoriu</t>
  </si>
  <si>
    <t>M Pisz, A Tomas, A Hegyi, Non‐destructive research in the surroundings of the Roman Fort Tibiscum (today Romania), Archaeological Prospection, 2020.</t>
  </si>
  <si>
    <t>https://onlinelibrary.wiley.com/journal/10990763</t>
  </si>
  <si>
    <t>Scopus</t>
  </si>
  <si>
    <t>Discuții privind momentul ascunderii tezaurului de la Flămânda-Cremenari (Județul Vâlcea). Studia Universitatis Cibiniensis, Seria Historica, Supplement, vol. VIII,2011, p. 27-32.</t>
  </si>
  <si>
    <t>Sorin Radu, Oliver Jens Schmitt (eds.), Politics and Peasants in Interwar Romania: Perceptions, Mentalities, Propaganda, Cambridge Scholars Publishing, UK, 2017</t>
  </si>
  <si>
    <t>Zoltan Bretter, Cultural Trauma – The Case of the Winner, In „Politics in Central Europe”, 16, S1, 2020, p. 77.</t>
  </si>
  <si>
    <t>https://sciendo.com/article/10.2478/pce-2020-0004</t>
  </si>
  <si>
    <t>Scopus, Publons, Erih Plus</t>
  </si>
  <si>
    <t>Emanuel MODOC, Daiana GÂRDAN, Ștefan BAGHIU, Andreea COROIAN-GOLDIȘ, Radu VANCU, Vlad POJOGA, Geografia romanului românesc (1901-1932): arealul național, in „Transilvania”, 10/2020, p. 20.</t>
  </si>
  <si>
    <t>https://revistatransilvania.ro/geografia-romanului-romanesc-1901-1932-arealul-national/</t>
  </si>
  <si>
    <t>Vlad POJOGA, Daiana GÂRDAN, Ștefan BAGHIU, Cosmin BORZA, Iunis MINCULETE, Denisa FRĂTEAN, Diversitate identitară în romanul românesc (1844-1932), in „Transilvania”, 10, 2020, p. 42</t>
  </si>
  <si>
    <t>https://revistatransilvania.ro/diversitate-identitara-in-romanul-romanesc-1844-1932/</t>
  </si>
  <si>
    <t>Albert Weber, Zensurresilienz in historischen deutschsprachigen Zeitungen des östlichen Europas: Eine Fallstudie zur jüdischen und deutschen Presse Großrumäniens (1919-1940), in „Transilvanian Review”, 3/2020, p.86.</t>
  </si>
  <si>
    <t>http://www.centruldestudiitransilvane.ro/detaliu.aspx?eID=913&amp;t=TR3/2020</t>
  </si>
  <si>
    <t>WOS/AHCI</t>
  </si>
  <si>
    <t>Gábor Egry (2020) Unruly borderlands: border-making, peripheralization and layered regionalism in post-First World War Maramureș and the Banat, European Review of History: Revue européenne d'histoire, 27:6, p. 728</t>
  </si>
  <si>
    <t>https://www.tandfonline.com/doi/full/10.1080/13507486.2020.1747403?scroll=top&amp;needAccess=true</t>
  </si>
  <si>
    <t xml:space="preserve">Sorin Radu, Al. Nicolaescu, The Parliamentary Elite of the Romanian National Party (1919-1926), în „Studia Universitatis Cibiniensis”, 9/2012 </t>
  </si>
  <si>
    <t>Gábor Egry (2020) Unruly borderlands: border-making, peripheralization and layered regionalism in post-First World War Maramureș and the Banat, European Review of History: Revue européenne d'histoire, 27:6, p. 727</t>
  </si>
  <si>
    <t xml:space="preserve">Gábor Egry (2020) Unruly borderlands: border-making, peripheralization and layered regionalism in post-First World War Maramureș and the Banat, European Review of History: Revue européenne d'histoire, 27:6, p.728 </t>
  </si>
  <si>
    <t>Radu, Sorin</t>
  </si>
  <si>
    <t>Countryside and Communism in Eastern Europe: Perceptions, Attitudes, Propaganda, ed. Sorin Radu and Cosmin Budeanca, Zürich: LIT, 2016</t>
  </si>
  <si>
    <r>
      <rPr>
        <rFont val="arial narrow"/>
        <color theme="1"/>
        <sz val="10.0"/>
      </rPr>
      <t xml:space="preserve">Agnes Eitler, </t>
    </r>
    <r>
      <rPr>
        <rFont val="Arial Narrow"/>
        <i/>
        <color theme="1"/>
        <sz val="10.0"/>
      </rPr>
      <t>Heritage-Making in theMetropolitan Area. The Case of the „Weddingat Ecser”, in „Acta Ethnografica Hungarica”, 65(1), 2020, 81-104</t>
    </r>
  </si>
  <si>
    <t>https://akjournals.com/view/journals/022/65/1/article-p81.xml</t>
  </si>
  <si>
    <t>SCOPUS; Sociological Abstracts; Worldwide Political Science Abstracts; Elsevier GEO Abstracts
International Bibliographies IBZ and IBR</t>
  </si>
  <si>
    <t>Dragos Petrescu, One Bloody Regime Change and Three Political Paradoxes. The Romanian Revolution of 1989 and Its Legacy, in „Cuadernos de Historia Contemporánea”, 42/2020, p. 127.</t>
  </si>
  <si>
    <t>https://revistas.ucm.es/index.php/CHCO/article/view/71894/4564456554748</t>
  </si>
  <si>
    <t>Erih Plus, America History and Life (AHL), Directory of Open Access Jornals (DOAJ), Emerging Sources Citation Index (ESCI), Historical Abstracts (HA)</t>
  </si>
  <si>
    <t>Zsuzsanna Varga, The Hungarian Agricultural Miracle?: Sovietization and Americanization in a Communist Country, Rowman &amp; Littlefield, 2020, p. XXVIII, 67, 306, 3011</t>
  </si>
  <si>
    <t>https://books.google.ro/books/about/The_Hungarian_Agricultural_Miracle.html?id=aXwGEAAAQBAJ&amp;redir_esc=y</t>
  </si>
  <si>
    <t>15 X 4 citări=60</t>
  </si>
  <si>
    <t>Sorin Radu, Romania and the Great War: Political, Territorial, Economic and Social, in „Pamięć i Sprawiedliwość”, Polonia, 31/1/2018</t>
  </si>
  <si>
    <t>Zoltan Bretter, Cultural Trauma – The Case of the Winner, In „Politics in Central Europe”, 16, S1, 2020, p. 72.</t>
  </si>
  <si>
    <t>Vasile Ciobanu, Sorin RADU, eds., Partide politice și minorități naționale din România în secolul XX, Volume 4, Sibiu 2009</t>
  </si>
  <si>
    <t>Csaba Zoltán Novák, The Intellectuals of Politics and the Policies of Intellectuals: The Role of the Ethnic Hungarian Workers’ Council in the Political Integration of the Ethnic Hungarian Cultural Elite during the Ceaușescu Regime, in „Transilvanian Review”, 3/2020, p.110.</t>
  </si>
  <si>
    <t>http://www.centruldestudiitransilvane.ro/Document_Files/TR3/2020/00000914/tt1ba_TR%203%202020%20Novak.pdf</t>
  </si>
  <si>
    <t>Vasile Ciobanu, Sorin RADU, eds., Partide politice și minorități naționale din România în secolul XX, Volume 5, Sibiu 2010</t>
  </si>
  <si>
    <t>Csaba Zoltán Novák, The Intellectuals of Politics and the Policies of Intellectuals: The Role of the Ethnic Hungarian Workers’ Council in the Political Integration of the Ethnic Hungarian Cultural Elite during the Ceaușescu Regime, in „Transilvanian Review”, 3/2020, p.113.</t>
  </si>
  <si>
    <t>Vasile Ciobanu, Sorin RADU, eds., Partide politice și minorități naționale din România în secolul XX, Volume 3, Sibiu 2008</t>
  </si>
  <si>
    <t>Albert Weber, Zensurresilienz in historischen deutschsprachigen Zeitungen des östlichen Europas: Eine Fallstudie zur jüdischen und deutschen Presse Großrumäniens (1919-1940), in „Transilvanian Review”, 3/2020, p.88.</t>
  </si>
  <si>
    <t>Cenzura presei în timpul alegerilor parlamentare și locale din România interbelică (1918-1937), în „Transilvania”, Sibiu, nr. 3, 2003</t>
  </si>
  <si>
    <t>Albert Weber, Zensurresilienz in historischen deutschsprachigen Zeitungen des östlichen Europas: Eine Fallstudie zur jüdischen und deutschen Presse Großrumäniens (1919-1940), in „Transilvanian Review”, 3/2020, p.89.</t>
  </si>
  <si>
    <t>Sorin Radu, Electoratul din România în anii democraţiei parlamentare (1919-1937) (Iaşi: Editura Institutul European, 2004)</t>
  </si>
  <si>
    <t>Ana-Maria UNGUREANU-ILINCA, Alegeri comunale din anul 1930. Studiu de caz: comuna Ocna Sibiului, Judeţul Sibiu, în „Studia Universitatis Cibiniensis. Series Historica”, 17/2020, p. 212</t>
  </si>
  <si>
    <t>https://centers.ulbsibiu.ro/ccpisc/language/en/alegeri-comunale-din-anul-1930-studiu-de-caz-comuna-ocna-sibiului-judetul-sibiu/</t>
  </si>
  <si>
    <t>Scopus, Erih Plus, Ebsco, CEEOL</t>
  </si>
  <si>
    <t>Sorin Radu, Administratia si procesul electoral din Romania în perioada 1919-1937, partea a II-a, în „Annales Universitatis Apulensis”, Historica, tomul 8, 2004</t>
  </si>
  <si>
    <t>Alegerile comunale si judetene din februarie 1926, în „Apulum”, Tomul XXXVIII/2, 2001</t>
  </si>
  <si>
    <t>Ana-Maria UNGUREANU-ILINCA, Alegeri comunale din anul 1930. Studiu de caz: comuna Ocna Sibiului, Judeţul Sibiu, în „Studia Universitatis Cibiniensis. Series Historica”, 17/2020, p. 214</t>
  </si>
  <si>
    <t>Ana-Maria UNGUREANU-ILINCA, Alegeri comunale din anul 1930. Studiu de caz: comuna Ocna Sibiului, Judeţul Sibiu, în „Studia Universitatis Cibiniensis. Series Historica”, 17/2020, p. 216</t>
  </si>
  <si>
    <t>Sorin Radu, Alegerile comunale si judetene din februarie 1926, în „Apulum”, Tomul XXXVIII/2, 2001</t>
  </si>
  <si>
    <t>Ana-Maria UNGUREANU-ILINCA, Alegeri comunale din anul 1930. Studiu de caz: comuna Ocna Sibiului, Judeţul Sibiu, în „Studia Universitatis Cibiniensis. Series Historica”, 17/2020, p. 217</t>
  </si>
  <si>
    <t>Ana-Maria UNGUREANU-ILINCA, Alegeri comunale din anul 1930. Studiu de caz: comuna Ocna Sibiului, Judeţul Sibiu, în „Studia Universitatis Cibiniensis. Series Historica”, 17/2020, p. 218</t>
  </si>
  <si>
    <t>Sorin Radu, Semnele electorale ale partidelor politice in perioada 1918-1937, in Apulum, 39/2002</t>
  </si>
  <si>
    <t>Ana-Maria UNGUREANU-ILINCA, Alegeri comunale din anul 1930. Studiu de caz: comuna Ocna Sibiului, Judeţul Sibiu, în „Studia Universitatis Cibiniensis. Series Historica”, 17/2020, p. 219</t>
  </si>
  <si>
    <t>Ana-Maria UNGUREANU-ILINCA, Alegeri comunale din anul 1930. Studiu de caz: comuna Ocna Sibiului, Judeţul Sibiu, în „Studia Universitatis Cibiniensis. Series Historica”, 17/2020, p. 232</t>
  </si>
  <si>
    <t>Ana-Maria UNGUREANU-ILINCA, Alegeri comunale din anul 1930. Studiu de caz: comuna Ocna Sibiului, Judeţul Sibiu, în „Studia Universitatis Cibiniensis. Series Historica”, 17/2020, p. 235</t>
  </si>
  <si>
    <t>Mathias Beer, Sorin Radu, Florian Kührer-Wielach Germanii din România – migrație și patrimoniu cultural, Editura Academiei, București, 2019</t>
  </si>
  <si>
    <t>Ramona BESOIU, Bleiben oder gehen? Abbild der Auswanderungsgünde Rumäniendeutscher in der Erinnerungsliteratur (1939-1947), „Studia Universitatis Cibiniensis. Series Historica”, 17/2020, p.304</t>
  </si>
  <si>
    <t>https://centers.ulbsibiu.ro/ccpisc/language/en/bleiben-oder-gehen-abbild-der-auswanderungsgunde-rumaniendeutscher-in-der-erinnerungsliteratur-1939-1947-2/</t>
  </si>
  <si>
    <t>Hannelore Baier, Ramona Besoiu, Sorin Radu, Impactul migrației etnicilor germani din Transilvania asupra patrimoniului imaterial săsesc. Instituția „vecinătății” în localitățile de pe Valea Hârtibaciului, in Migrații, politici de stat și identități culturale în spațiul românesc și european, Vol. II, Germanii din România. Migrație și patrimoniu cultural după 1945, Mathias Beer, Sorin Radu, Florian Kührer-Wielach (eds.) (București: Editura Academiei Române, 2019)</t>
  </si>
  <si>
    <t>Sorin Radu, Învățământul de partid și școlile de cadre în România comunistă. Context național și regional, postfață de Mihai Dinu Gheorghiu, Editura Universității „Alexandru Ioan Cuza” din Iași, 2014</t>
  </si>
  <si>
    <t xml:space="preserve">Paul-Florin MARICA, Norme şi practici în recrutarea elevilor pentru şcolile judeţene de partid (1947-1953), in „Studia Universitatis Cibiniensis. Series Historica”, 17/2020, p.308
</t>
  </si>
  <si>
    <t>https://centers.ulbsibiu.ro/ccpisc/language/en/norme-si-practici-in-recrutarea-elevilor-pentru-scolile-judetene-de-partid-1947-1953/</t>
  </si>
  <si>
    <t xml:space="preserve">Paul-Florin MARICA, Norme şi practici în recrutarea elevilor pentru şcolile judeţene de partid (1947-1953), in „Studia Universitatis Cibiniensis. Series Historica”, 17/2020, p.311
</t>
  </si>
  <si>
    <t>Sorin Radu, Al. Nicolaescu, 8. „Procesul de verificare a membrilor şi reorganizarea Frontului Plugarilor în anii 1947-1953”, în Cosmin Budeancă, Florentin Olteanu (coord.), Stalinizare și destalinizare. Evoluții instituționale și impact social, Polirom, Iași, 2014</t>
  </si>
  <si>
    <t>Ana-Maria UNGUREANU-ILINCA,Recenzie, Bogdan Murgescu, Andrei Florin Sora, România Mare votează – Alegerile parlamentare din 1919 „la firul ierbii” (Iași: Polirom, 2019),  în „Studia Universitatis Cibiniensis. Series Historica”, 17/2020, p. 326</t>
  </si>
  <si>
    <t>Sorin Radu.Modernizarea sistemului electoral din Romania (1866-1937), Institutul European, Iasi, 2005</t>
  </si>
  <si>
    <t>Alin Burlec, recenzie: Adi Dohotaru, Socialiștii, O moștenire (1835-1921) (Chișinău: Editura Cartier, 2019),,  în „Studia Universitatis Cibiniensis. Series Historica”, 17/2020, p. 332</t>
  </si>
  <si>
    <t>C.Măruţoiu (UBB)I.Bratu (UBB)M.I.Ţiplic(ULBS)V.C.Măruţoiu(UBB)O.F.Nemeş(UBB)C.Neamţu(UBB)A.Hernanz(UNED, Madrid)</t>
  </si>
  <si>
    <t>FTIR analysis and 3D restoration of Transylvanian popular pottery from the XVI-XVIII centuries</t>
  </si>
  <si>
    <t>N.S. Geweely, H.A. Afifi, D.M. Ibrahim &amp; M.M. Soliman (2020) Inhibitory Effect of Essential Oils on Growth and Physiological Activity of Deteriorated Fungal Species Isolated from Three Archeological Objects, Saqqara excavation, Egypt, Geomicrobiology Journal, 37:6, 520-533, DOI: 10.1080/01490451.2020.1731021</t>
  </si>
  <si>
    <t>https://www.tandfonline.com/doi/abs/10.1080/01490451.2020.1731021</t>
  </si>
  <si>
    <t>WoS, SCOPUS</t>
  </si>
  <si>
    <t>FeIII in pottery: Identifying firing temperature and ambiguity
Author links open overlay panelD.F.LimaaR.ToledoaA.MartinsbT.O.LimabL.C.BertolinocR.W.A.Franco, Applied Clay Science</t>
  </si>
  <si>
    <t>https://www.sciencedirect.com/science/article/pii/S0169131720301460?casa_token=LLk_TXuB_hAAAAAA:1pKc9VvFKwNMHQ3budaT8l1XZNYxeJpoCu7ROkpDTp1wwTi6La_5DUIONVXbgF449-_KtylmEbY</t>
  </si>
  <si>
    <t>Börükçü Kurtarma Kazısındaki Arkeolojik Seramik Örneklerin SpektroskopikAnalizleriSpectroscopic Analysis of Archaeological Ceramic Samples in Börükçü Salvage Excavationİlker IŞIKhttps://orcid.org/0000-0003-4510-6100İsmail TARHANhttps://orcid.org/0000-0003-3353-8635</t>
  </si>
  <si>
    <t>http://journal.phaselis.org/wp-content/uploads/2020/12/Pha.20013.pdf</t>
  </si>
  <si>
    <t>ErihPLUS</t>
  </si>
  <si>
    <t>Cao M., Hu P., Li M. (2020) Research and Implementation of Virtual Pottery. In: Pan Z., Cheok A., Müller W., Zhang M. (eds) Transactions on Edutainment XVI. Lecture Notes in Computer Science, vol 11782. Springer, Berlin, Heidelberg. https://doi.org/10.1007/978-3-662-61510-2_4</t>
  </si>
  <si>
    <t>https://link.springer.com/chapter/10.1007/978-3-662-61510-2_4</t>
  </si>
  <si>
    <t>SprinherLink</t>
  </si>
  <si>
    <t>An in-depth chemometric study: Archaeometric characterization of ceramic shards excavated from the sanctuary of Hecate at Lagina in Muğla (Turkey) by FTIR spectroscopy and multivariate data analysis, in: Vibrational Spectroscopy
Volume 111, November 2020, 103172</t>
  </si>
  <si>
    <t>https://www.sciencedirect.com/science/article/abs/pii/S0924203120301764?casa_token=wHg1uIm-VoQAAAAA:I9QRgYQsKXG35TG23R3JEkp4DRyHMIujVCfHe6OkALfrd6gskcujx_5MNydsSnpG9RoTx80ZOZ8#!</t>
  </si>
  <si>
    <t>Organizarea defensivă a Transilvaniei în Evul Mediu: secolele X-XIV</t>
  </si>
  <si>
    <t>Маджару, А, Печенеги в Трансильвании. Вторжения, колонизации, миграции, Stratum Plus Journal . 2020, Issue 5, p177-189. 13p.</t>
  </si>
  <si>
    <t>https://web.b.ebscohost.com/abstract?direct=true&amp;profile=ehost&amp;scope=site&amp;authtype=crawler&amp;jrnl=16089057&amp;AN=146897090&amp;h=ayHM6yCXx4SMoKM6VqpqJDarCrXpCVgVSwKLEF1RoCKyaVgF%2bOTFiMF6hQDteH6oRWYhHKIVl17nwrL3%2fcBR3w%3d%3d&amp;crl=c&amp;resultNs=AdminWebAuth&amp;resultLocal=ErrCrlNotAuth&amp;crlhashurl=login.aspx%3fdirect%3dtrue%26profile%3dehost%26scope%3dsite%26authtype%3dcrawler%26jrnl%3d16089057%26AN%3d146897090</t>
  </si>
  <si>
    <t>ESCI, SCOPUS</t>
  </si>
  <si>
    <t>CC Roman, D Diaconescu, M Tiplic</t>
  </si>
  <si>
    <t>Archaeological excavations at Hunedoara—The Corvins' Castle—The sacristy of the chapel</t>
  </si>
  <si>
    <t xml:space="preserve"> Multi-Analytical Characterization of Corvins’ Castle—Deserted Tower. Construction Materials and Conservation Tests
by Rodica Mariana Ion
1,2,* [OrcID] , Lorena Iancu
1,2, Madalina Elena David
1,2 [OrcID] , Ramona Marina Grigorescu
1, Bogdan Trica
1, Raluca Somoghi
1, Sorina Florentina Vasile
1, Ioana Daniela Dulama
3 [OrcID] , Anca Irina Gheboianu
3 [OrcID] and Sorin Tincu
4  in Heritage</t>
  </si>
  <si>
    <t>https://www.mdpi.com/2571-9408/3/3/51</t>
  </si>
  <si>
    <t>Menschenrechte als kirchentrennender Faktor? Die Debatte um das russisch-orthodoxe Positionspapier von 2008, in: Zeitschrift für Theologie und Kirche 107 (2010), 325-347</t>
  </si>
  <si>
    <t>Sigrid Müller, Stephanie Höllinger, Bettina Baldt (Hg.), Werte im Beruf. Ethik und Praxis im Gespräch, Studien der Moraltheologie – Neue Folge Bd. 14, Aschendorff Verlag, Münster 2020</t>
  </si>
  <si>
    <t>https://www.aschendorff-buchverlag.de/detailview?no=11953</t>
  </si>
  <si>
    <t>Rezeption und Bedeutung der Menschenrechtsidee in der evangelischen Kirche, in: Oekumenische Rundschau 59 (2010), 388-402</t>
  </si>
  <si>
    <t xml:space="preserve">Dragisa Jerkic, Mut zur Freiheit? Antworten der orthodoxen Theologie des 20. Jahrhunderts auf eine Menschheitsfrage, Schriften des Ostkircheninstituts der Diözese Regensburg, 5, Regensburg: Verlag Friedrich Pustet, 2020 </t>
  </si>
  <si>
    <t>https://www.verlag-pustet.de/shop/item/9783791731971/mut-zur-freiheit-von-dragisa-jerkic-kartoniertes-buch</t>
  </si>
  <si>
    <t>Jesu Gottverlassenheit als Heilsereignis in der Spiritualität Chiara Lubichs. Ein Beitrag zur Überwindung der Sprachnot in der Soteriologie</t>
  </si>
  <si>
    <t>G. Rossé/P. Coda, Il grido d'abbandono. Scrittura, mistica, teologia, Roma 2020.</t>
  </si>
  <si>
    <t>https://www.ibs.it/grido-dell-abbandono-scrittura-mistica-libro-gerard-rosse-piero-coda/e/9788831170512?inventoryId=249247572</t>
  </si>
  <si>
    <t xml:space="preserve">A. Tudorie, Aspecte tehnologice ale ceramicii Starčevo-Criș din Transilvania, BB, LXVI, Sibiu, 2013. </t>
  </si>
  <si>
    <t>Alexandru Bărbat, Monica Mărgărit, Marius Gheorghe Barbu, First Farmers Adornments from the Early Neolithic Settlement at Tărtăria-Pietroșița (Alba County, Romania), în Beauty and the Eye of the Beholder, Editura Cetatea de Scaun, Târgoviște, 2020.</t>
  </si>
  <si>
    <t>https://www.academia.edu/43626588/First_Farmers_Adornments_from_the_Early_Neolithic_Settlement_at_Tărtăria_Pietroșița_Alba_County_Romania_?email_work_card=view-paper</t>
  </si>
  <si>
    <t xml:space="preserve">ISBN 978-606-537-461-4 </t>
  </si>
  <si>
    <t>fSSU2</t>
  </si>
  <si>
    <t xml:space="preserve">A. Tudorie, Typologic Catalogues and Dictionaries for Starčevo-Criş Pottery, în ActaTS 10 (2011), p. 7-16 </t>
  </si>
  <si>
    <t>Sabin Adrian Luca, I.2,  Un oraș preistoric din Europa. TUDRAȘ-LUNCĂ. Sector A, Editura Universității ”Lucian Blaga” din Sibiu, 2020</t>
  </si>
  <si>
    <t>https://www.academia.edu/44546955/Sabin_Adrian_LUCA_Un_oraș_preistoric_din_Europa_TURDAȘ_Luncă_Sectorul_A_I_2</t>
  </si>
  <si>
    <t>ISBN 978-606-12-1650-5</t>
  </si>
  <si>
    <t>Cosmin Ioan Suciu, Florentina Marțiș, Anca Nițoi, Florina Maria Nițu, Raluca Teodorescu, Anamaria Tudorie (ULBS)</t>
  </si>
  <si>
    <t>Punct ValeaGârbovei – Autostrada Orăştie-Sibiu, lotul 3, km 49+400 – 49+550, în Cercetarea preventivă, Provocarea arheologică a zilelor noastre, Brukenthal National Museum, Sibiu, 2013.</t>
  </si>
  <si>
    <t>Dragoș Diaconescu, Florina Maria Nițu, Cosmin Suciu, The early Vinča culture in Transylvania: Considerations regarding its chronological position using correspondence analysis, Quaternary International, Volumes 560–561, 20 September 2020, Pages 65-77</t>
  </si>
  <si>
    <t>https://reader.elsevier.com/reader/sd/pii/S1040618220302536?token=289D2348D0BB406C9E422F5A5D776DD9C3D54BDBC6436F82842A6A5752C94E18680DB0A936DB1449D4C03D6B03FB6010</t>
  </si>
  <si>
    <t>The Teacher of Z Generation</t>
  </si>
  <si>
    <t>Teza de doctorat, Anna Carlesso</t>
  </si>
  <si>
    <t xml:space="preserve">Universitatea din Padova, </t>
  </si>
  <si>
    <t>Dușe Carmen</t>
  </si>
  <si>
    <t>The Teacher of the Generation Z.</t>
  </si>
  <si>
    <t>Sociological perspectives</t>
  </si>
  <si>
    <t>https://journals.sagepub.com/doi/10.1177/0731121420919590</t>
  </si>
  <si>
    <t>How important is mentoring in education? .</t>
  </si>
  <si>
    <t>INTERACTIVE, MEANINGFUL AND ATTRACTIVE ONLINE LEARNING AS AN EFFORT TO OPTIMIZE THE LEARNING PROCESS AMID COVID-19 PANDEMIC</t>
  </si>
  <si>
    <t>http://ppm.ejournal.id/index.php/pengabdian/article/view/647</t>
  </si>
  <si>
    <t>Crossref, DOAJ</t>
  </si>
  <si>
    <t>How important is mentoring in education? </t>
  </si>
  <si>
    <t xml:space="preserve"> International Journal of Learning, Teaching and Educational Reserch</t>
  </si>
  <si>
    <t>http://ijlter.org/index.php/ijlter/article/view/2183/pdf</t>
  </si>
  <si>
    <t>The importance of OER in engineering education.</t>
  </si>
  <si>
    <t>Enhancing Interactive Teaching of Engineering Topics Using Digital Materials of the MERLOT Database</t>
  </si>
  <si>
    <t>https://link.springer.com/chapter/10.1007/978-3-030-57799-5_31</t>
  </si>
  <si>
    <t>SpringerLink</t>
  </si>
  <si>
    <t>THE EFFECT OF COVID-19 ON DIFFERENT GENERATIONS IN TERMS OF EDUCATION</t>
  </si>
  <si>
    <t>http://www.sssjournal.com/Makaleler/722186152_15_66_6_ID2441_Tezel_3186-3193--.pdf</t>
  </si>
  <si>
    <t>Academic Resources, DRJI, CiteFactor, Index Copernicus</t>
  </si>
  <si>
    <t>Mara Daniel, ULBS, Mara Elena Lucia, ULBS</t>
  </si>
  <si>
    <t>Characteristics of Learning Process at Children with Down Syndrom. Procedia-Social Behav. Sci. 30, 73–78 (2011).</t>
  </si>
  <si>
    <t>Memorization of daily routines by children with Down syndrome assisted by a playful virtual environment, Ovidio Lopes da Cruz Netto, Silvia Cristina Martini Rodrigues, Marcus Vasconcelos de Castro, Diego Pereira da Silva, Robson Rodrigues da Silva, Richard Ribeiro Brancato de Souza, Adriana A. Ferreira de Souza &amp; Marcia Aparecida Silva Bissaco</t>
  </si>
  <si>
    <t>https://www.nature.com/articles/s41598-020-60014-5</t>
  </si>
  <si>
    <t>Nature Publishing Group, nature.com</t>
  </si>
  <si>
    <t>Curriculum Adaption in Inclusive Education. Procedia—Social and Behavioral Sciences, 46, 4004-4009, 2012</t>
  </si>
  <si>
    <t>Achieving Functional Independence of Children with Cerebral Palsy at the Mainstream School: An Overview, Md Mahmudul Hasan1*, Tamjidul Islam2</t>
  </si>
  <si>
    <t>https://www.scirp.org/html/102176_102176.htm</t>
  </si>
  <si>
    <t>Scientific Research, SCIRB.ORG</t>
  </si>
  <si>
    <t>Curriculum adaption in inclusive education, Procedia-Social and Behavioral Sciences
Volumul 46, Pagini, 4004-4009, Editor, Elsevier</t>
  </si>
  <si>
    <t>Dynamic assessment and teachers' knowledge of children's mathematical thinking: a case study in children's mathematics, Lio Moscardini  Chiara Moscardini</t>
  </si>
  <si>
    <t>https://doi.org/10.1111/1467-9604.12331</t>
  </si>
  <si>
    <t>Current Guidance during the orientation in career counseling, Procedia-Social and Behavioral Sciences
Volumul, 5, Pagini, 2351-2354
Editor Elsevier</t>
  </si>
  <si>
    <t>BASIC APPROACHES TO CAREER COUNSELING FOR YOUNG PARENTS ABROAD, LEVKOVSKAYA NA 1 , PETROVA EA 1</t>
  </si>
  <si>
    <t>https://elibrary.ru/item.asp?id=43823013</t>
  </si>
  <si>
    <t xml:space="preserve">DOI:  10.17922 / 2412-5466-2020-6-1-92-98	</t>
  </si>
  <si>
    <t>Improve student career certainty using self-information, Syarifuddin Dahlan</t>
  </si>
  <si>
    <t>https://www.un-pub.eu/ojs/index.php/cjes/article/view/5292</t>
  </si>
  <si>
    <t>DOI: https://doi.org/10.18844/cjes.v15i6.5292</t>
  </si>
  <si>
    <t>RFID to Bring Literacy to Children with Special Needs: A quantitative approach, J Jadán-Guerrero, LA Guerrero, T Sharma</t>
  </si>
  <si>
    <t>https://www.researchgate.net/profile/Janio-Jadan-Guerrero/publication/313809173_Improving_the_interaction_of_Down_syndrome_students_through_the_use_of_RFID_technology/links/59b76bfaa6fdcc7415bec380/Improving-the-interaction-of-Down-syndrome-students-through-the-use-of-RFID-technology.pdf</t>
  </si>
  <si>
    <t>researchgate.net</t>
  </si>
  <si>
    <t>Mara Daniel, ULBS, Mara Elena Lucia, ULBS, Daniel Hunyadi, ULBS</t>
  </si>
  <si>
    <t>The Development of the Teachers’ Competences and Abilities Concerning the Educational Mentoring of the Disabled☆
Author links open overlay panelDanielMaraDanielHunyadiElena LuciaMara, Procedia - Social and Behavioral Sciences
Volume 209, 3 December 2015, Pages 316-322</t>
  </si>
  <si>
    <t>El nuevo diseño institucional sobre educación superior y los cambios en la producción científica del profesorado en la pontificia Universidad Católica del Ecuador, Flores Núñez, Querubín Patricio</t>
  </si>
  <si>
    <t>https://www.tdx.cat/handle/10803/670114#page=1</t>
  </si>
  <si>
    <t>ISBN: 9788449093555</t>
  </si>
  <si>
    <t>The Development of the Teachers’ Competences and Abilities Concerning the Educational Mentoring of the Disabled☆
Procedia - Social and Behavioral Sciences
Volume 209, 3 December 2015, Pages 316-322</t>
  </si>
  <si>
    <r>
      <rPr>
        <rFont val="Arial"/>
        <b/>
        <color rgb="FF333333"/>
        <sz val="10.0"/>
      </rPr>
      <t>ISBN:</t>
    </r>
    <r>
      <rPr>
        <rFont val="Arial"/>
        <b val="0"/>
        <color rgb="FF333333"/>
        <sz val="10.0"/>
      </rPr>
      <t> 9788449093555</t>
    </r>
  </si>
  <si>
    <t>Cretu Daniela (ULBS)</t>
  </si>
  <si>
    <t>Fostering 21st century skills for future teachers. (2017). The European Proceedings of Social &amp; Behavioural Sciences, 23, 672-681. doi: http://dx.doi.org/10.15405/epsbs.2017.05.02.82.</t>
  </si>
  <si>
    <t xml:space="preserve">Prayati, Z. (2020). The effect of team product to improve students‟ creativity in writing at SMPN 1 Jonggat. JOLLT Journal of Languages and Language Teaching, 8(1) pp. 40-47. DOI: https://doi.org/10.33394/jollt.v8i1.2213 </t>
  </si>
  <si>
    <t xml:space="preserve">https://doi.org/10.33394/jollt.v8i1.2213 </t>
  </si>
  <si>
    <t>Google Scholar, Mendeley, ISJD, Crossref, DOAJ, Garuda</t>
  </si>
  <si>
    <t>Crețu Daniela Maria</t>
  </si>
  <si>
    <t>Arsih, F., Zubaidah, S., Suwano, H., Gofur, A. (2020). Critical thinking skills of prospective biology teachers: A preliminary analysis, AIP Conference Proceedings 2215, 030001 (2020); https://doi.org/10.1063/5.0000538</t>
  </si>
  <si>
    <t>https://doi.org/10.1063/5.0000538</t>
  </si>
  <si>
    <t xml:space="preserve">WoS, Scopus </t>
  </si>
  <si>
    <t>Rahayu, N., Alyani, F. (2020). Kemampuan berpikir kritis matematis ditinjau dari adversity quotient.  Prima: Jurnal Pendidikan Matematika Vol. 4, No. 2, pag. 121-136</t>
  </si>
  <si>
    <t>http://jurnal.umt.ac.id/index.php/prima/article/view/2668/0</t>
  </si>
  <si>
    <t>Google Scholar, CiteFactor, Index Copernicus, Scilit, DOAJ, Garuda</t>
  </si>
  <si>
    <t>Firman, M.A. (2020). Developing of student work sheet on global warming topics based of inquiry based-learning models to improving student collaboration skills of junior high school. Universitas Lampung.</t>
  </si>
  <si>
    <t>http://digilib.unila.ac.id/61696/</t>
  </si>
  <si>
    <t>Digital Repository Unila http://digilib.unila.ac.id/61696/12/TESIS%20TANPA%20BAB%20PEMBAHASAN.pdf</t>
  </si>
  <si>
    <t xml:space="preserve">Köroğlu, Z.,Tüm, G. (2020).Asynchronous Computer Mediated Communication (Acmc): An Innovative Tool in Teaching Foreign Languages. In Yilmaz, O., Comez, P. (Eds.),Innovation Principles and Practices (pp. 177-191).Ankara: Gazikitabevi </t>
  </si>
  <si>
    <t>http://openaccess.cag.edu.tr/xmlui/handle/20.500.12507/1473#sthash.0jGvFv4W.dpbs</t>
  </si>
  <si>
    <t xml:space="preserve">Tandika, P.B.  (2020) Instructional Materials and the Development of Young Children’s 21st Century Skills: Perspectives From Early Educators in Ukerewe, Tanzania, Journal of Research in Childhood Education, DOI: 10.1080/02568543.2020.1834473 </t>
  </si>
  <si>
    <t>https://www.tandfonline.com/doi/full/10.1080/02568543.2020.1834473</t>
  </si>
  <si>
    <t>Web of Science</t>
  </si>
  <si>
    <t xml:space="preserve"> Salimi, M.,  Dardiri, A.,  Sujarwo, S (2020).  Learning Activities for Social Skills in Elementary School.  Universal Journal of Educational Research, 8(11), 5222-5236. DOI: 10.13189/ujer.2020.081123 </t>
  </si>
  <si>
    <t>https://www.researchgate.net/publication/345414528_Learning_Activities_for_Social_Skills_in_Elementary_School</t>
  </si>
  <si>
    <t>Kundu, A., Bej, T. (2020). Indian Trainee Teachers’ Perceptions of 21st Century Skills. Voices of Teachers and Teacher Educators.IX (II).36-49</t>
  </si>
  <si>
    <t>https://ncert.nic.in/pdf/publication/journalsandperiodicals/vtte/VTTE_Journal_2020_Decmber.pdf</t>
  </si>
  <si>
    <t>Google Scholar</t>
  </si>
  <si>
    <t xml:space="preserve">Vebrianto, R., Jannah, M., Putriani, Z., Syafaren, A., Gafur, I. A. (2020). Comparative analysis of strengtheningof skills of the 21stcentury teaching candidates in Indonesia and Malaysia. Espacios, 41(23), 50-61. </t>
  </si>
  <si>
    <t>https://www.revistaespacios.com/a20v41n23/a20v41n23p05.pdf</t>
  </si>
  <si>
    <t>ErihPlus, Google Scholar, LatinRev, Crossref</t>
  </si>
  <si>
    <t>Otlu, Ş. (2020). Exploring language teachers' 21st century skills practices and perceptions.Çağ Üniversitesi Sosyal Bilimler Enstitüsü.</t>
  </si>
  <si>
    <t>http://openaccess.cag.edu.tr/xmlui/bitstream/handle/20.500.12507/1392/633851.pdf?sequence=3</t>
  </si>
  <si>
    <t>Permana, A. (2020). Efektivitas pembelajaran field trip berbasis focused strategy pada keterampilan berpikir kritis dan pemecahan masalah siswa pada materi ekosistem (Doctoral dissertation, Universitas Pendidikan Indonesia).</t>
  </si>
  <si>
    <t>http://repository.upi.edu/51309/2/T_BIO_1707110_Title.pdf</t>
  </si>
  <si>
    <t>Creţu, D., Nicu, A.  (ULBS)</t>
  </si>
  <si>
    <t>Pedagogie şi elemente de psihologie (2004)  Sibiu: Editura Universităţii Lucian Blaga din Sibiu.</t>
  </si>
  <si>
    <r>
      <rPr>
        <rFont val="arial narrow"/>
        <color theme="1"/>
        <sz val="10.0"/>
      </rPr>
      <t xml:space="preserve">Carabet, N. (2020). Impactul teoriei constructiviste și calității cadrelor didactice în formarea-dezvoltarea tineretului studios, în </t>
    </r>
    <r>
      <rPr>
        <rFont val="Arial Narrow"/>
        <i/>
        <color rgb="FF000000"/>
        <sz val="10.0"/>
      </rPr>
      <t xml:space="preserve">Orientări axiologice ale constructivismului în educaţia modernă </t>
    </r>
    <r>
      <rPr>
        <rFont val="Arial Narrow"/>
        <color rgb="FF000000"/>
        <sz val="10.0"/>
      </rPr>
      <t>(pg. 303-307).</t>
    </r>
    <r>
      <rPr>
        <rFont val="Arial Narrow"/>
        <i/>
        <color rgb="FF000000"/>
        <sz val="10.0"/>
      </rPr>
      <t xml:space="preserve"> </t>
    </r>
    <r>
      <rPr>
        <rFont val="Arial Narrow"/>
        <color rgb="FF000000"/>
        <sz val="10.0"/>
      </rPr>
      <t>Chişinău. ISBN 978-9975-76-299-1</t>
    </r>
  </si>
  <si>
    <t>https://ibn.idsi.md/sites/default/files/imag_file/Orient%C4%83ri_axiologice_UST_2020_0.pdf</t>
  </si>
  <si>
    <t xml:space="preserve">Muste, D. (2020). Stimularea motivației învățării la elevi prin intermediul unui program educațional specific. Cluj-Napoca. Presa Universitara Clujeana. </t>
  </si>
  <si>
    <t>https://libraria.ubbcluj.ro/produs/stimularea-motivatiei-invatarii-la-elevi-prin-intermediul-unui-program-educational-specific/</t>
  </si>
  <si>
    <t>Creţu Daniela  (ULBS)</t>
  </si>
  <si>
    <t>Motivatia invatarii (2005)  Sibiu: Editura Universităţii Lucian Blaga din Sibiu.</t>
  </si>
  <si>
    <t>Cretu, D. (2019). Designing rigorous and relevant learning experiences for future teachers. MATEC Web of Conferences. Retrieved from http://creativecommons.org/licenses/by/4.0/</t>
  </si>
  <si>
    <t>Kurumsal Akademic Arsih DSpace@Çağ</t>
  </si>
  <si>
    <t xml:space="preserve">Crețu, D.M. (2019). (coord.). Predarea și învățarea în învățământul 
superior. Aspecte teoretice și practice. București, Editura Universitară
</t>
  </si>
  <si>
    <t xml:space="preserve"> Radu-Pop, A.M.  (2020). "Perspective și limite ale aplicării învățării bazate pe probleme în predarea limbii române contemporane în învățământul 
superior: studiu de caz". Studii de Ştiinţă şi Cultură 2:39-44.
</t>
  </si>
  <si>
    <t>https://www.ceeol.com/search/article-detail?id=874988</t>
  </si>
  <si>
    <t xml:space="preserve">CEEOL, EBSCO HOST Publishing,  INDEX COPERNICUS,  DOAJ , SCIPIO, THE LINGUIST LIST, ERIH PLUS </t>
  </si>
  <si>
    <t xml:space="preserve">Crețu, D.M. (2019). (coord.). Predarea și învățarea în învățământul 
superior. Aspecte teoretice și practice. București: Editura Universitară
</t>
  </si>
  <si>
    <t xml:space="preserve">Herlo, D. (coord.) (2020). Devenirea în profesorat. Cluj Napoca: Presa Universitară Clujeana. </t>
  </si>
  <si>
    <t>https://www.researchgate.net/profile/Camelia_Nadia_Bran</t>
  </si>
  <si>
    <t xml:space="preserve">Jugănaru, M.,  Moraru, A.D. (2020).Higher Education Graduates' Cross-Cutting Competences and Skills and Employability. “Ovidius” University Annals, Economic Sciences Series, 20 (2). 709-713.
https://stec.univ-ovidius.ro/html/anale/RO/wp-content/uploads/2021/03/Section%204/19.pdf
</t>
  </si>
  <si>
    <t>https://stec.univ-ovidius.ro/html/anale/RO/ovidius-university-annals-economic-sciences-series-volume-xx-issue-2/</t>
  </si>
  <si>
    <t>Ebsco, DOAJ, ErihPlus, Index Copernicus, InfoBase Index, ResearchBIB etc.</t>
  </si>
  <si>
    <t>Crețu, D.M. (2011). Developing teaching skills of prospective teachers. Management of Sustainable Development, UNESCO Special Issue, 113-116, http://www.cedc.ro/pages/english/conference-and-journal/msd-journal/papers/special-issue-unesco-2011.php</t>
  </si>
  <si>
    <t>Ullah, M.N, Malik, M., Mehmood, W. (2020) An Investigation  into Training of Elementary and Secondary Level Teachers Regarding  Modern Teaching Skills. Research Journal of Social Sciences &amp; Economics Review., 1(3). 200-211.</t>
  </si>
  <si>
    <t>http://ojs.rjsser.org.pk/index.php/rjsser/article/view/104/41</t>
  </si>
  <si>
    <t>Google Scholar, ESJI, DRJI, Crossref,  INDEX COPERNICUS,  DOAJ , Researchbib, WorldCat Academy</t>
  </si>
  <si>
    <t>Cretu, D.M. (2018). Learning to Teach Students with Attention Deficit Hyperactivity Disorder: Training Experiences for Teachers. In C. J. Fitzgerald,  S.L. Fitzgerald, C. Popa (eds.). Handbook of Research on Student-Centered Strategies in Online Adult Learning Environments, IGI Global</t>
  </si>
  <si>
    <t xml:space="preserve">Malechwanzi, J.M. (2020) "TVET in Kenya." Effects of Engagement and Resources on Learning Outcomes in Vocational Colleges: Emerging Research and Opportunities, IGI Global, 2020, pp.48-61. http://doi:10.4018/978-1-5225-9250-1.ch003 </t>
  </si>
  <si>
    <t>http://doi:10.4018/978-1-5225-9250-1.c</t>
  </si>
  <si>
    <t>Creţu, D. (2017). Hopes and fears of teacher candidates concerning the teaching profession. MATEC Web of Conferences,121(12002)</t>
  </si>
  <si>
    <t xml:space="preserve"> Stará, J., Wildová, R., Popelková, S. (2020).The Teaching Profession from the Perspective of Novice Primary School Teachers – Responsibility and Joy. Pedagogika, 2020, 70(4), 614–639.</t>
  </si>
  <si>
    <t>file:///C:/Users/Daniela/AppData/Local/Temp/1687-Text%20%C4%8Dl%C3%A1nku-9721-1-10-20201230.pdf</t>
  </si>
  <si>
    <t>DOAJ, ERIH PLUS, EBSCO and Ulrich’s</t>
  </si>
  <si>
    <r>
      <rPr>
        <rFont val="Arial Narrow"/>
        <color rgb="FF000000"/>
        <sz val="10.0"/>
      </rPr>
      <t xml:space="preserve">Regalado, P. M. (2020). The Reality of Philippine Education: A Photovoice Participatory Action Research. In </t>
    </r>
    <r>
      <rPr>
        <rFont val="Arial Narrow"/>
        <i/>
        <color rgb="FF000000"/>
        <sz val="10.0"/>
      </rPr>
      <t xml:space="preserve">International Forum Journal, </t>
    </r>
    <r>
      <rPr>
        <rFont val="Arial Narrow"/>
        <color rgb="FF000000"/>
        <sz val="10.0"/>
      </rPr>
      <t xml:space="preserve"> 23 (2), 22-39.</t>
    </r>
  </si>
  <si>
    <t>https://journals.aiias.edu/info/article/view/310</t>
  </si>
  <si>
    <t xml:space="preserve">Creţu, D. (2003). Dezvoltarea motivaţiei învăţării, Ed. Psihomedia, Sibiu. </t>
  </si>
  <si>
    <t xml:space="preserve">Cretu, D.M. (2015). A model for promoting academic motivation
Procedia-Social and Behavioral Sciences, 180, 751-758.
</t>
  </si>
  <si>
    <t xml:space="preserve">Sanjamsai, S. (2020). Flow Experience in Learning Among Thai University. Silpakorn Education and Research Journal, 11(2), 131-145 </t>
  </si>
  <si>
    <t>https://so05.tci-thaijo.org/index.php/suedureasearchjournal/article/view/200520</t>
  </si>
  <si>
    <t>Crețu, D. (1999). Psihopedagogie. Elemente de formare a profesorilor. Sibiu, Imago.</t>
  </si>
  <si>
    <t>TÓDOR, E.M. (2020). Predarea-învăţarea limbii române ca limbă nematernă. O alternativă a lingvisticii aplicate. Cluj-Napoca: Editura Scientia.</t>
  </si>
  <si>
    <t>https://issuu.com/scientiakiado/docs/todorerika_predarea-invatarea_issuu</t>
  </si>
  <si>
    <t>Popa, V.C.  (2020). The importance of religious education in school. Journal of Romanian Literary Studies, 20, 1474-1482</t>
  </si>
  <si>
    <t>https://old.upm.ro/jrls/JRLS-20/Volume%2020.pdf</t>
  </si>
  <si>
    <t xml:space="preserve">CEEOL, Global Impact Factor and Google Scholar, ERIH-PLUS </t>
  </si>
  <si>
    <t xml:space="preserve">Ministerul Educației, Culturii și Cercetării, Centrul Republican pentru Copii și Tineret (2020) Recomandări pentru organizarea reuniunilor metodice 2020-2021.Chișinău.
</t>
  </si>
  <si>
    <t>http://artico.md/wp-content/uploads/2020/08/Reuniune-metodica-14.08-evaluarea.pdf</t>
  </si>
  <si>
    <t xml:space="preserve">Patrichi, A. R. (2020). De ce învățare interactivă? EduȘcoala.
</t>
  </si>
  <si>
    <t>https://eduscoala.ro/resurse/de-ce-invatare-interactiva</t>
  </si>
  <si>
    <t>EduForm (2020).  Relaţia dintre educaţia formală, nonformală şi informală.</t>
  </si>
  <si>
    <t>https://www.eduform.snsh.ro/baza-de-date-online-cu-resurse-educationale-pentru-sustinerea-educatiei-incluzive-de-calitate/relatia-dintre-educatia-formala-nonformala-si-informala</t>
  </si>
  <si>
    <t xml:space="preserve">Cretu D., Nicu A. (2004) Pedagogie şi elemente de psihologie pentru formarea continuă a cadrelor didactice, Ed Universităţii Lucian Blaga, Sibiu </t>
  </si>
  <si>
    <t>Popescu, E.D. (2020). Motivația de a deveni un dascăl și mai bun formarea continuă a cadrelor didactice. Inovatie in Educatie, 6, 34-36</t>
  </si>
  <si>
    <t>https://revistaeducatie.ro/wp-content/uploads/simple-file-list/INOVATIE-IN-EDUCATIE-NR.-6-APRILIE-2020.pdf</t>
  </si>
  <si>
    <t>Zӧldi, V. A. (2020). Instrumente de evaluare la disciplina istorie-Referatul. Universul scolii, 1, 40-41.</t>
  </si>
  <si>
    <t>http://www.ccdab.ro/Site%20vechi/ccdab/Editura/US_1_2020.pdf#page=38</t>
  </si>
  <si>
    <t>Oprea, O.M, (2020). Modalități de implicare a elevilor în procesul de evaluare. Calitate în educație –imperativ al societății contemporane, vol. 2, Chișinău, 193-197</t>
  </si>
  <si>
    <t>https://ibn.idsi.md/sites/default/files/imag_file/Conf_Decembrie_Vol_II_2020_UPS.pdf</t>
  </si>
  <si>
    <t>Creţu D., &amp; Nicu A., (2009). PEDAGOGIE pentru definitivat şi gradul didactic II.  Sibiu: Editura Universităţii “Lucian Blaga“.</t>
  </si>
  <si>
    <t>Drumeși, A. E. (2020).  Egalitatea de sanse – o provocare în școala românească. Revista Nova Didact, 10. 84-85.</t>
  </si>
  <si>
    <t>http://www.ccdvl.ro/images/docs/AN_SCOLAR_2019_2020/Revista_nd_10_electronica_iulie_2020.pdf</t>
  </si>
  <si>
    <t xml:space="preserve">Curelea, D. (2020). Consideraţii privind comportamentul educaţional şi atitudinea faţă de valorile educaţiei la elevii din liceu privind formarea competenţelor generale şi specifice pe întreg parcursul vieţii in Noroc, L., Ursu, V. (coord.). Educaţia în spiritul valorilor naţionale şi universale din perspectiva dialogului pedagogic (pp. 361-370). Chişinău. </t>
  </si>
  <si>
    <t>https://ibn.idsi.md/sites/default/files/imag_file/Volum_Simpozion_2020_UPS_Creanga.pdf</t>
  </si>
  <si>
    <t>Costea, F.E. (2020) Egalitatea de șanse în sistemul educațional românesc. Sport și antidiscriminare, 5, 177-178.</t>
  </si>
  <si>
    <t>https://issuu.com/elena1r/docs/revista_sport_si_antidiscriminare_-nr.5-_august_20</t>
  </si>
  <si>
    <t>Pițigoiu, N. (2020). Gestionarea conflictelor în sălile de clasă. Managementul educațional: realizari și perspective de dezvoltare, Balti, 498-501</t>
  </si>
  <si>
    <t>https://ibn.idsi.md/vizualizare_articol/117940</t>
  </si>
  <si>
    <t>Glava, A. (2020). Invatarea prin proiecte în învățământul simultan. In H. Catalano &amp; I. Albulescu, Ghidul profesorului în învățământul primar simultan (pg. 283-318). Didactica Publishing House</t>
  </si>
  <si>
    <t>https://www.edituradph.ro/ghidul-profesorului-din-invatamantul-primar-simultan.html</t>
  </si>
  <si>
    <t xml:space="preserve">Cretu, D.M.; Morandau, F. Initial Teacher Education for Inclusive Education: A Bibliometric Analysis of Educational Research. Sustainability 2020, 12, 4923. </t>
  </si>
  <si>
    <t xml:space="preserve">Arellano, E. G. R., Vergaray, J. M., Franco, Y. J. H., Garro-Aburto, L. L., &amp; Navarro, E. R. (2020). 
Educational inclusion in times of COVID-19: talking with female inclusive teachers in Lima-Peru. International Journal of Pharmaceutical Research, 12(9). 3719-3728
</t>
  </si>
  <si>
    <t>https://doi.org/10.31838/ijpr/2020.12.01.408</t>
  </si>
  <si>
    <t>CAS, Embase, Google Scholar</t>
  </si>
  <si>
    <t xml:space="preserve">Rodríguez-Sabiote, C.; Úbeda-Sánchez, Á.M.; Álvarez-Rodríguez, J.; Álvarez-Ferrándiz, D. Active Learning in an Environment of Innovative Training and Sustainability. Mapping of the Conceptual Structure of Research Fronts through a Bibliometric Analysis. Sustainability 2020, 12, 8012. </t>
  </si>
  <si>
    <t>https://www.mdpi.com/2071-1050/12/19/8012/htm</t>
  </si>
  <si>
    <t>Web of Science, Scopus</t>
  </si>
  <si>
    <t xml:space="preserve">Phan, Thanh-Thao and Nguyen, Yen-Chi and Hoang, Anh-Duc and Pham, Hiep-Hung, Homework is a long lever to elevate education, but where is the fulcrum? (December 11, 2020). </t>
  </si>
  <si>
    <t xml:space="preserve">https://ssrn.com/abstract=3746820 or http://dx.doi.org/10.2139/ssrn.3746820 </t>
  </si>
  <si>
    <r>
      <rPr>
        <rFont val="arial narrow"/>
        <color theme="1"/>
        <sz val="9.0"/>
      </rPr>
      <t xml:space="preserve">Creţu, D., </t>
    </r>
    <r>
      <rPr>
        <rFont val="Arial Narrow"/>
        <b/>
        <color rgb="FF000000"/>
        <sz val="9.0"/>
      </rPr>
      <t xml:space="preserve">Nicu, A. </t>
    </r>
    <r>
      <rPr>
        <rFont val="Arial Narrow"/>
        <color rgb="FF000000"/>
        <sz val="9.0"/>
      </rPr>
      <t>(ULBS)</t>
    </r>
  </si>
  <si>
    <t>Pedagogie şi elemente de psihologie (2004), Sibiu: Editura Universităţii Lucian Blaga din Sibiu.</t>
  </si>
  <si>
    <r>
      <rPr>
        <rFont val="arial narrow"/>
        <color theme="1"/>
        <sz val="9.0"/>
      </rPr>
      <t xml:space="preserve">Carabet, N. (2020). Impactul teoriei constructiviste și calității cadrelor didactice în formarea-dezvoltarea tineretului studios. </t>
    </r>
    <r>
      <rPr>
        <rFont val="Arial Narrow"/>
        <i/>
        <color rgb="FF000000"/>
        <sz val="9.0"/>
      </rPr>
      <t xml:space="preserve">Orientări axiologice ale constructivismului în educaţia modernă, </t>
    </r>
    <r>
      <rPr>
        <rFont val="Arial Narrow"/>
        <color rgb="FF000000"/>
        <sz val="9.0"/>
      </rPr>
      <t xml:space="preserve"> 303-307.</t>
    </r>
    <r>
      <rPr>
        <rFont val="Arial Narrow"/>
        <i/>
        <color rgb="FF000000"/>
        <sz val="9.0"/>
      </rPr>
      <t xml:space="preserve"> </t>
    </r>
    <r>
      <rPr>
        <rFont val="Arial Narrow"/>
        <color rgb="FF000000"/>
        <sz val="9.0"/>
      </rPr>
      <t xml:space="preserve">Chişinău. ISBN 978-9975-76-299-1. </t>
    </r>
  </si>
  <si>
    <t>accesat în data de 11.03.2020</t>
  </si>
  <si>
    <r>
      <rPr>
        <rFont val="arial narrow"/>
        <color theme="1"/>
        <sz val="9.0"/>
      </rPr>
      <t>Creţu, D.,</t>
    </r>
    <r>
      <rPr>
        <rFont val="Arial Narrow"/>
        <b/>
        <color theme="1"/>
        <sz val="9.0"/>
      </rPr>
      <t xml:space="preserve"> Nicu, A.</t>
    </r>
    <r>
      <rPr>
        <rFont val="Arial Narrow"/>
        <color theme="1"/>
        <sz val="9.0"/>
      </rPr>
      <t xml:space="preserve"> (ULBS)</t>
    </r>
  </si>
  <si>
    <r>
      <rPr>
        <rFont val="arial narrow"/>
        <color theme="1"/>
        <sz val="9.0"/>
      </rPr>
      <t>Creţu, D.,</t>
    </r>
    <r>
      <rPr>
        <rFont val="Arial Narrow"/>
        <b/>
        <color theme="1"/>
        <sz val="9.0"/>
      </rPr>
      <t xml:space="preserve"> Nicu, A.</t>
    </r>
    <r>
      <rPr>
        <rFont val="Arial Narrow"/>
        <color theme="1"/>
        <sz val="9.0"/>
      </rPr>
      <t xml:space="preserve"> (ULBS)</t>
    </r>
  </si>
  <si>
    <r>
      <rPr>
        <rFont val="arial narrow"/>
        <color theme="1"/>
        <sz val="9.0"/>
      </rPr>
      <t>Creţu, D.,</t>
    </r>
    <r>
      <rPr>
        <rFont val="Arial Narrow"/>
        <b/>
        <color theme="1"/>
        <sz val="9.0"/>
      </rPr>
      <t xml:space="preserve"> Nicu, A.</t>
    </r>
    <r>
      <rPr>
        <rFont val="Arial Narrow"/>
        <color theme="1"/>
        <sz val="9.0"/>
      </rPr>
      <t xml:space="preserve"> (ULBS)</t>
    </r>
  </si>
  <si>
    <t>Muste, D. (2020). Stimularea motivației învățării la elevi prin intermediul unui program educațional specific. Cluj-Napoca: Presa Universitara Clujeana.</t>
  </si>
  <si>
    <r>
      <rPr>
        <rFont val="arial narrow"/>
        <color theme="1"/>
        <sz val="9.0"/>
      </rPr>
      <t xml:space="preserve">Creţu, D., </t>
    </r>
    <r>
      <rPr>
        <rFont val="Arial Narrow"/>
        <b/>
        <color theme="1"/>
        <sz val="9.0"/>
      </rPr>
      <t>Nicu, A</t>
    </r>
    <r>
      <rPr>
        <rFont val="Arial Narrow"/>
        <color theme="1"/>
        <sz val="9.0"/>
      </rPr>
      <t>. (ULBS)</t>
    </r>
  </si>
  <si>
    <r>
      <rPr>
        <rFont val="arial narrow"/>
        <color theme="1"/>
        <sz val="9.0"/>
      </rPr>
      <t xml:space="preserve">Creţu, D., </t>
    </r>
    <r>
      <rPr>
        <rFont val="Arial Narrow"/>
        <b/>
        <color theme="1"/>
        <sz val="9.0"/>
      </rPr>
      <t>Nicu, A.</t>
    </r>
    <r>
      <rPr>
        <rFont val="Arial Narrow"/>
        <color theme="1"/>
        <sz val="9.0"/>
      </rPr>
      <t xml:space="preserve"> (ULBS)</t>
    </r>
  </si>
  <si>
    <r>
      <rPr>
        <rFont val="arial narrow"/>
        <color theme="1"/>
        <sz val="9.0"/>
      </rPr>
      <t xml:space="preserve">Popescu, E.D. (2020). Motivația de a deveni un dascăl și mai bun. Formarea continuă a cadrelor didactice. </t>
    </r>
    <r>
      <rPr>
        <rFont val="Arial Narrow"/>
        <i/>
        <color rgb="FF000000"/>
        <sz val="9.0"/>
      </rPr>
      <t>Inovatie in Educatie</t>
    </r>
    <r>
      <rPr>
        <rFont val="Arial Narrow"/>
        <color rgb="FF000000"/>
        <sz val="9.0"/>
      </rPr>
      <t>, 6, 34-36</t>
    </r>
  </si>
  <si>
    <r>
      <rPr>
        <rFont val="arial narrow"/>
        <color theme="1"/>
        <sz val="9.0"/>
      </rPr>
      <t xml:space="preserve">Creţu, D., </t>
    </r>
    <r>
      <rPr>
        <rFont val="Arial Narrow"/>
        <b/>
        <color theme="1"/>
        <sz val="9.0"/>
      </rPr>
      <t>Nicu, A.</t>
    </r>
    <r>
      <rPr>
        <rFont val="Arial Narrow"/>
        <color theme="1"/>
        <sz val="9.0"/>
      </rPr>
      <t xml:space="preserve"> (ULBS)</t>
    </r>
  </si>
  <si>
    <t>PEDAGOGIE pentru definitivat şi gradul didactic II.</t>
  </si>
  <si>
    <r>
      <rPr>
        <rFont val="arial narrow"/>
        <color theme="1"/>
        <sz val="9.0"/>
      </rPr>
      <t xml:space="preserve">Drumeși, A. E. (2020).  Egalitatea de sanse – o provocare în școala românească. </t>
    </r>
    <r>
      <rPr>
        <rFont val="Arial Narrow"/>
        <i/>
        <color rgb="FF000000"/>
        <sz val="9.0"/>
      </rPr>
      <t>Revista Nova Didact</t>
    </r>
    <r>
      <rPr>
        <rFont val="Arial Narrow"/>
        <color rgb="FF000000"/>
        <sz val="9.0"/>
      </rPr>
      <t>, 10. 84-85.</t>
    </r>
  </si>
  <si>
    <r>
      <rPr>
        <rFont val="arial narrow"/>
        <color theme="1"/>
        <sz val="9.0"/>
      </rPr>
      <t xml:space="preserve">Creţu, D., </t>
    </r>
    <r>
      <rPr>
        <rFont val="Arial Narrow"/>
        <b/>
        <color theme="1"/>
        <sz val="9.0"/>
      </rPr>
      <t>Nicu, A.</t>
    </r>
    <r>
      <rPr>
        <rFont val="Arial Narrow"/>
        <color theme="1"/>
        <sz val="9.0"/>
      </rPr>
      <t xml:space="preserve"> (ULBS)</t>
    </r>
  </si>
  <si>
    <r>
      <rPr>
        <rFont val="arial narrow"/>
        <color theme="1"/>
        <sz val="9.0"/>
      </rPr>
      <t xml:space="preserve">Curelea, D. (2020). Consideraţii privind comportamentul educaţional şi atitudinea faţă de valorile educaţiei la elevii din liceu privind formarea competenţelor generale şi specifice pe întreg parcursul vieţii in Noroc, L., Ursu, V. (coord.). </t>
    </r>
    <r>
      <rPr>
        <rFont val="Arial Narrow"/>
        <i/>
        <color rgb="FF000000"/>
        <sz val="9.0"/>
      </rPr>
      <t xml:space="preserve">Educaţia în spiritul valorilor naţionale şi universale din perspectiva dialogului pedagogic, </t>
    </r>
    <r>
      <rPr>
        <rFont val="Arial Narrow"/>
        <color rgb="FF000000"/>
        <sz val="9.0"/>
      </rPr>
      <t xml:space="preserve">(pg. 361-370). Chişinău. </t>
    </r>
  </si>
  <si>
    <t xml:space="preserve">https://ibn.idsi.md/sites/default/files/imag_file/361-370.pdf </t>
  </si>
  <si>
    <r>
      <rPr>
        <rFont val="arial narrow"/>
        <color theme="1"/>
        <sz val="9.0"/>
      </rPr>
      <t xml:space="preserve">Creţu, D., </t>
    </r>
    <r>
      <rPr>
        <rFont val="Arial Narrow"/>
        <b/>
        <color theme="1"/>
        <sz val="9.0"/>
      </rPr>
      <t>Nicu, A.</t>
    </r>
    <r>
      <rPr>
        <rFont val="Arial Narrow"/>
        <color theme="1"/>
        <sz val="9.0"/>
      </rPr>
      <t xml:space="preserve"> (ULBS)</t>
    </r>
  </si>
  <si>
    <r>
      <rPr>
        <rFont val="arial narrow"/>
        <color theme="1"/>
        <sz val="9.0"/>
      </rPr>
      <t xml:space="preserve">Creţu, D., </t>
    </r>
    <r>
      <rPr>
        <rFont val="Arial Narrow"/>
        <b/>
        <color theme="1"/>
        <sz val="9.0"/>
      </rPr>
      <t>Nicu, A.</t>
    </r>
    <r>
      <rPr>
        <rFont val="Arial Narrow"/>
        <color theme="1"/>
        <sz val="9.0"/>
      </rPr>
      <t xml:space="preserve"> (ULBS)</t>
    </r>
  </si>
  <si>
    <t>Pițigoiu, N. (2020). Gestionarea conflictelor în sălile de clasă. Managementul educațional: realizari și perspective de dezvoltare, 498-501</t>
  </si>
  <si>
    <t>Strategii de formare a gândirii critice</t>
  </si>
  <si>
    <t>Platon, T. (2020). Redarea în desen a temei studiate – tehnică de învățare și de dezvoltare a gândirii critice</t>
  </si>
  <si>
    <t>https://ibn.idsi.md/sites/default/files/imag_file/150-152_10.pdf</t>
  </si>
  <si>
    <r>
      <rPr>
        <rFont val="arial narrow"/>
        <color theme="1"/>
        <sz val="9.0"/>
      </rPr>
      <t xml:space="preserve">Volovici R., Capatana A. (2020). International Journal of Advanced Statistics and IT&amp;C for Economics and Life Sciences. </t>
    </r>
    <r>
      <rPr>
        <rFont val="Arial Narrow"/>
        <i/>
        <color rgb="FF000000"/>
        <sz val="9.0"/>
      </rPr>
      <t>Reading in Research and Information Centres. Case Study of LBUS</t>
    </r>
  </si>
  <si>
    <t>https://www.researchgate.net/publication/348439221_Reading_in_Research_and_Information_Centres_Case_Study_of_LBUS</t>
  </si>
  <si>
    <t>Mihăilă, Maria, &amp; Petrovschi, Nina. (2020). A new vision on teaching strategies. Revista univers pedagogic, 4(68), 55–60. http://doi.org/10.5281/zenodo.4415227</t>
  </si>
  <si>
    <t>https://zenodo.org/record/4415227#.YJPGNrUzZPZ</t>
  </si>
  <si>
    <r>
      <rPr>
        <rFont val="arial narrow"/>
        <color theme="1"/>
        <sz val="9.0"/>
      </rPr>
      <t xml:space="preserve">Strategii de formare a gândirii critice - </t>
    </r>
    <r>
      <rPr>
        <rFont val="Arial Narrow"/>
        <color rgb="FFDD0806"/>
        <sz val="9.0"/>
      </rPr>
      <t>citarea apare doar în text (pag. 28) nu și in referințe</t>
    </r>
  </si>
  <si>
    <r>
      <rPr>
        <rFont val="arial narrow"/>
        <color theme="1"/>
        <sz val="9.0"/>
      </rPr>
      <t>Saranciuc-Gordea, Liliana. Valorificarea tipurilor de interacțiuni educaționale la disciplina “dezvoltare personală” în clasele primare. In: </t>
    </r>
    <r>
      <rPr>
        <rFont val="Arial Narrow"/>
        <i/>
        <color theme="1"/>
        <sz val="9.0"/>
      </rPr>
      <t>Calitate în educație - imperativ al societății contemporane</t>
    </r>
    <r>
      <rPr>
        <rFont val="Arial Narrow"/>
        <color theme="1"/>
        <sz val="9.0"/>
      </rPr>
      <t>. Vol.2, 4-5 decembrie 2020, Chişinău. Chișinău, Republica Moldova: Universitatea Pedagogică de Stat ‖Ion Creangă‖ din Chișinău, 2020, pp. 25-31. ISBN 978-9975-46-482-6; 978-9975-46-484-0.</t>
    </r>
  </si>
  <si>
    <t>https://ibn.idsi.md/vizualizare_articol/117567</t>
  </si>
  <si>
    <r>
      <rPr>
        <rFont val="arial narrow"/>
        <color theme="1"/>
        <sz val="9.0"/>
      </rPr>
      <t xml:space="preserve">Croitoriu, D., Metode interactive - exemple de bune practici în activitatea de la clasă. În: Revista „Educație și noi orizonturi”, nr. 3/noiembrie 2020 </t>
    </r>
    <r>
      <rPr>
        <rFont val="Arial Narrow"/>
        <i/>
        <color rgb="FF000000"/>
        <sz val="9.0"/>
      </rPr>
      <t>Cum menținem activ interesul elevilor pentru școală</t>
    </r>
  </si>
  <si>
    <t>https://academiaabc.ro/wp-content/uploads/2020/12/Cum-mentinem-activ-interesul-elevilor-pentru-scoala.pdf</t>
  </si>
  <si>
    <r>
      <rPr>
        <rFont val="arial narrow"/>
        <color theme="1"/>
        <sz val="9.0"/>
      </rPr>
      <t>Bocancea, Viorel; Neagu, Marieta. Formarea gândirii critice prin metoda investigației. In: </t>
    </r>
    <r>
      <rPr>
        <rFont val="Arial Narrow"/>
        <i/>
        <color theme="1"/>
        <sz val="9.0"/>
      </rPr>
      <t>Probleme ale științelor socioumanistice și modernizării învățământului</t>
    </r>
    <r>
      <rPr>
        <rFont val="Arial Narrow"/>
        <color theme="1"/>
        <sz val="9.0"/>
      </rPr>
      <t>. Seria 22, Vol.2, 8-9 octombrie 2020, Chişinău. Chişinău: Universitatea Pedagogică de Stat „Ion Creangă‖, 2020, pp. 79-83. ISBN 978-9975-46-449-9; 978-9975-46-451-2.</t>
    </r>
  </si>
  <si>
    <t>http://dir.upsc.md:8080/xmlui/bitstream/handle/123456789/2118/Conf_UPSC_2020_Vol_II_p79-83.pdf?sequence=1&amp;isAllowed=y</t>
  </si>
  <si>
    <t>Particularities of axiology in preschool education, Journal of Education Sciences and Psychology, Vol. VI, No LXVIII, pp. 196-203, 2016</t>
  </si>
  <si>
    <t>Zdanevych. L.-V., Syrova, Y-V., Kolosova, S.-V., Pyvovarenko, M.-S., Kurhannikova, 0.-0., Universal Journal of Educational Research 8(11B): 5991-5999, 2020 Instilling the System of Values in Preschool Children in
the Cultural and Educational Space</t>
  </si>
  <si>
    <t>https://www.researchgate.net/publication/346394375_Instilling_the_System_of_Values_in_Preschool_Children_in_the_Cultural_and_Educational_Space</t>
  </si>
  <si>
    <t>Policy and practice of initial teacher training. Procedia Soc. Behav. Sci. 2015, 180, 80–86. [CrossRef]</t>
  </si>
  <si>
    <r>
      <rPr>
        <rFont val="arial narrow"/>
        <color theme="1"/>
        <sz val="9.0"/>
      </rPr>
      <t xml:space="preserve">Cioca, L.-I., Bratu, M.-L. (2020). </t>
    </r>
    <r>
      <rPr>
        <rFont val="Arial Narrow"/>
        <i/>
        <color rgb="FF000000"/>
        <sz val="9.0"/>
      </rPr>
      <t xml:space="preserve">Sustainability </t>
    </r>
    <r>
      <rPr>
        <rFont val="Arial Narrow"/>
        <color rgb="FF000000"/>
        <sz val="9.0"/>
      </rPr>
      <t xml:space="preserve"> Sustainability of Youth Careers in Romania - Study on the Correlation of Students’ Personal Interests with the Selected University Field of Study</t>
    </r>
  </si>
  <si>
    <t>https://doi.org/10.3390/su13010229</t>
  </si>
  <si>
    <t>The Importance of Mastering Pedagogy Knowledge in Initial Teacher Training, Eur. Proc. Soc. Behav. Sci. 2017, 23, 772–780.
[CrossRef]</t>
  </si>
  <si>
    <r>
      <rPr>
        <rFont val="arial narrow"/>
        <color theme="1"/>
        <sz val="9.0"/>
      </rPr>
      <t xml:space="preserve">Cioca, L.-I., Bratu, M.-L. (2020). </t>
    </r>
    <r>
      <rPr>
        <rFont val="Arial Narrow"/>
        <i/>
        <color rgb="FF000000"/>
        <sz val="9.0"/>
      </rPr>
      <t xml:space="preserve">Sustainability </t>
    </r>
    <r>
      <rPr>
        <rFont val="Arial Narrow"/>
        <color rgb="FF000000"/>
        <sz val="9.0"/>
      </rPr>
      <t xml:space="preserve"> Sustainability of Youth Careers in Romania - Study on the Correlation of Students’ Personal Interests with the Selected University Field of Study</t>
    </r>
  </si>
  <si>
    <t>Educational policies on initial teacher training for preschool and primary education. Journal Plus Education, 3, 16-27</t>
  </si>
  <si>
    <r>
      <rPr>
        <rFont val="arial narrow"/>
        <color theme="1"/>
        <sz val="9.0"/>
      </rPr>
      <t xml:space="preserve">Kiru, R., </t>
    </r>
    <r>
      <rPr>
        <rFont val="Arial Narrow"/>
        <i/>
        <color rgb="FF000000"/>
        <sz val="9.0"/>
      </rPr>
      <t>IJRDO - Journal of Educational Research</t>
    </r>
    <r>
      <rPr>
        <rFont val="Arial Narrow"/>
        <color rgb="FF000000"/>
        <sz val="9.0"/>
      </rPr>
      <t xml:space="preserve"> 5(3), 39-48, 2020 Beginner teachers and the challenges of the tenure exams: A longitudinal zonal analysis of official data from pre-secondary education </t>
    </r>
  </si>
  <si>
    <t>https://www.researchgate.net/profile/Ramona-Kiru/publication/347848834</t>
  </si>
  <si>
    <t xml:space="preserve">Spătărelu, E., Beginner Teachers in Primary Education: Comparisons Among European Countries (April 30, 2020). Journal of Education Studies (JES), 2020, </t>
  </si>
  <si>
    <t>Beginner Teachers in Primary Education: Comparisons Among European Countries by Eliza Spătărelu :: SSRN</t>
  </si>
  <si>
    <t>Instrumente de învățare prin cooperare</t>
  </si>
  <si>
    <t>Popovici, A. (2020). Communication and interrelationship in education. Opportunities and challenges in contemporary learning. In education in the perspective of values (pp. 126-134). Editura Eikon</t>
  </si>
  <si>
    <t>https://www.ceeol.com/search/chapter-detail?id=944226</t>
  </si>
  <si>
    <t>Chișiu Carmen Maria, Marcuț Ioana</t>
  </si>
  <si>
    <t>FSSU 5</t>
  </si>
  <si>
    <t>Heutagogy–An appropriate framework for computer aided learning course with post-graduate teacher students</t>
  </si>
  <si>
    <r>
      <rPr>
        <rFont val="arial narrow"/>
        <color rgb="FF333333"/>
        <sz val="10.0"/>
      </rPr>
      <t xml:space="preserve">Andika Bagus Nur Rahma Putra, Agung Winarno, Muhammad Afnan Habibi, Nailul Insani, Lee Ming Foong, Ahmad Mursyidun Nidhom, </t>
    </r>
    <r>
      <rPr>
        <rFont val="Arial Narrow"/>
        <i/>
        <color rgb="FF333333"/>
        <sz val="10.0"/>
      </rPr>
      <t>The design of Smart Consultation Based Hybrid E-Government System to Increase Citizen's Awareness in Vocational Education</t>
    </r>
    <r>
      <rPr>
        <rFont val="Arial Narrow"/>
        <color rgb="FF333333"/>
        <sz val="10.0"/>
      </rPr>
      <t>,  2020 4th International Conference on Vocational Education and Training (ICOVET)</t>
    </r>
  </si>
  <si>
    <t>https://ieeexplore.ieee.org/document/9230190</t>
  </si>
  <si>
    <r>
      <rPr>
        <rFont val="arial narrow"/>
        <color theme="1"/>
        <sz val="10.0"/>
      </rPr>
      <t xml:space="preserve">Andika Bagus Nur Rahma Putra, Haris Anwar Syafrudie, Jailani Md Yunos, Ahmad Mursyidum Nidhom, Azhar Ahmad Smaragdina, Andrew Irfano Sembiring, </t>
    </r>
    <r>
      <rPr>
        <rFont val="Arial Narrow"/>
        <i/>
        <color theme="1"/>
        <sz val="10.0"/>
      </rPr>
      <t xml:space="preserve">Analysis of the Necessity for Heutagogical Approach Through 4Cs Skills as Innovation for Vocational Lectures in the Education 4.0, </t>
    </r>
    <r>
      <rPr>
        <rFont val="Arial Narrow"/>
        <color theme="1"/>
        <sz val="10.0"/>
      </rPr>
      <t xml:space="preserve">
Proceedings of the 1st Vocational Education International Conference (VEIC 2019)</t>
    </r>
  </si>
  <si>
    <t>https://www.atlantis-press.com/proceedings/veic-19/125927423</t>
  </si>
  <si>
    <t>CPCI, CNKI,  Google Scholar, Compendex and Scopus</t>
  </si>
  <si>
    <r>
      <rPr>
        <rFont val="arial narrow"/>
        <color theme="1"/>
        <sz val="10.0"/>
      </rPr>
      <t>Amat Mukhadis, Andika Bagus Nur Rahma Putra, Windra Irdianto, Affero Ismail, Fendi Achmad</t>
    </r>
    <r>
      <rPr>
        <rFont val="Arial Narrow"/>
        <i/>
        <color theme="1"/>
        <sz val="10.0"/>
      </rPr>
      <t>, Analysis of Self Concept and Graduation Capability in the Era of Industrial Revolution 4.0 to Increase Absorption of Vocational Student Graduates</t>
    </r>
    <r>
      <rPr>
        <rFont val="Arial Narrow"/>
        <color theme="1"/>
        <sz val="10.0"/>
      </rPr>
      <t>, Proceedings of the 1st Vocational Education International Conference (VEIC 2019)</t>
    </r>
  </si>
  <si>
    <t>https://www.atlantis-press.com/proceedings/veic-19/125927431</t>
  </si>
  <si>
    <t>The influence of classroom design on training primary school students through hidden curriculum</t>
  </si>
  <si>
    <r>
      <rPr>
        <rFont val="arial narrow"/>
        <color theme="1"/>
        <sz val="10.0"/>
      </rPr>
      <t xml:space="preserve">Mirza Basyiruddin, Rukayah, Roemintoyo, </t>
    </r>
    <r>
      <rPr>
        <rFont val="Arial Narrow"/>
        <i/>
        <color theme="1"/>
        <sz val="10.0"/>
      </rPr>
      <t>Teaching Strategies as a Powerful Hidden Curriculum: A Review Study</t>
    </r>
    <r>
      <rPr>
        <rFont val="Arial Narrow"/>
        <color theme="1"/>
        <sz val="10.0"/>
      </rPr>
      <t>, Proceedings of the 3rd International Conference on Learning Innovation and Quality Education (ICLIQE 2019)</t>
    </r>
  </si>
  <si>
    <t>https://www.atlantis-press.com/proceedings/icliqe-19/125933471</t>
  </si>
  <si>
    <t>Extracurricular activities, an alternative for interdisciplinary learning</t>
  </si>
  <si>
    <r>
      <rPr>
        <rFont val="arial narrow"/>
        <color theme="1"/>
        <sz val="10.0"/>
      </rPr>
      <t xml:space="preserve">Cherise Marcella Mbaye, </t>
    </r>
    <r>
      <rPr>
        <rFont val="Arial Narrow"/>
        <i/>
        <color theme="1"/>
        <sz val="10.0"/>
      </rPr>
      <t xml:space="preserve">Exploring the Reflective Experiences of Disadvantaged Children in 4-H: A Phenomenological Study, </t>
    </r>
    <r>
      <rPr>
        <rFont val="Arial Narrow"/>
        <color theme="1"/>
        <sz val="10.0"/>
      </rPr>
      <t>DOCTORAL DISSERTATIONS AND PROJECTS at Liberty University from Lynchburg, Virginia</t>
    </r>
  </si>
  <si>
    <t>https://digitalcommons.liberty.edu/doctoral/2208/</t>
  </si>
  <si>
    <t>Google Scholar, EBSCO</t>
  </si>
  <si>
    <t>Emotional intelligence-self-education and education by example</t>
  </si>
  <si>
    <r>
      <rPr>
        <rFont val="arial narrow"/>
        <color rgb="FF333333"/>
        <sz val="10.0"/>
      </rPr>
      <t xml:space="preserve">Giuseppe Lorini, Stefano Moroni, </t>
    </r>
    <r>
      <rPr>
        <rFont val="Arial Narrow"/>
        <i/>
        <color rgb="FF333333"/>
        <sz val="10.0"/>
      </rPr>
      <t>Ruling without Rules: Not Only Nudges. Regulation beyond Normativity,</t>
    </r>
    <r>
      <rPr>
        <rFont val="Arial Narrow"/>
        <color rgb="FF333333"/>
        <sz val="10.0"/>
      </rPr>
      <t xml:space="preserve"> Global Jurist
Volume 20 Issue 3</t>
    </r>
  </si>
  <si>
    <t>https://www.degruyter.com/document/doi/10.1515/gj-2019-0051/html</t>
  </si>
  <si>
    <t>SCOPUS, CNKI Scholar (China National Knowledge Infrastructure), CNPIEC - cnpLINKer, Dimensions,
EBSCO (relevant databases),
EBSCO Discovery Service, JournalGuide, JournalTOCs, QOAM (Quality Open Access Market), ReadCube, SCImago (SJR)</t>
  </si>
  <si>
    <t>Montessori Pedagogy, an educational alternative, from Romania. Evolution from the beginning of the 20th century until the Second World War contribution.</t>
  </si>
  <si>
    <r>
      <rPr>
        <rFont val="arial narrow"/>
        <color theme="1"/>
        <sz val="10.0"/>
      </rPr>
      <t xml:space="preserve">Glavaš Katarina, </t>
    </r>
    <r>
      <rPr>
        <rFont val="Arial Narrow"/>
        <i/>
        <color theme="1"/>
        <sz val="10.0"/>
      </rPr>
      <t xml:space="preserve">Montessori obrazovanje i praksa: pregled literature i znanstvenih istraživanja objavljenih u razdoblju od 2013. do 2018, </t>
    </r>
    <r>
      <rPr>
        <rFont val="Arial Narrow"/>
        <color theme="1"/>
        <sz val="10.0"/>
      </rPr>
      <t xml:space="preserve"> Croatian Digital Theses Repository
National and University Library in Zagreb</t>
    </r>
  </si>
  <si>
    <t>https://zir.nsk.hr/islandora/object/foozos:1112</t>
  </si>
  <si>
    <t>Dabar,  ZIR.NSK.HR, Google Scholar, National and University  Library in Zagreb</t>
  </si>
  <si>
    <t>The Teaching Practice for Romanian Students in Social Sciences: The Romanian Student’s Teaching Practice on Civic Culture. The International Journal of Interdisciplinary Social Sciences, 5 (6),178-180.</t>
  </si>
  <si>
    <r>
      <rPr>
        <rFont val="Arial"/>
        <color rgb="FF333333"/>
        <sz val="10.0"/>
      </rPr>
      <t>Experiential Learning for Health Sciences Education Students: An Op</t>
    </r>
    <r>
      <rPr>
        <rFont val="Arial"/>
        <color rgb="FF333333"/>
        <sz val="12.0"/>
      </rPr>
      <t xml:space="preserve">en </t>
    </r>
    <r>
      <rPr>
        <rFont val="Arial"/>
        <color rgb="FF333333"/>
        <sz val="10.0"/>
      </rPr>
      <t>Distance Learning (ODL) Context, TOJET: The Turkish Online Journal of Educational Technology, July 2020, volume 19 issue 3, indexed ERIC</t>
    </r>
  </si>
  <si>
    <t>http://tojet.net/articles/v19i3/1934.pdf</t>
  </si>
  <si>
    <t>https://eric.ed.gov/?q=source%3A%22Turkish+Online+Journal+of+Educational+Technology+%22</t>
  </si>
  <si>
    <t>Teaching issues of contemporary history using historical sources and modern
teaching methods. MATEC Web of Conferences, 2017, 121, 1-7.</t>
  </si>
  <si>
    <t>Kaviza M, Penggunaan Sumber Dokumen Teks dalam Subjek Sejarah: SatuSorotan Kajian, Malaysian Journal of Social Sciences and Huanities, vol 5, Issue 10, 2020, indexed Directory of Research Journal Indexing(DRJI); Directory of Open Access Scholarly Resources ( ROAD); Worldcat</t>
  </si>
  <si>
    <t>https://msocialsciences.com/index.php/mjssh/article/view/523</t>
  </si>
  <si>
    <t>http://olddrji.lbp.world/</t>
  </si>
  <si>
    <t>Teaching issues of contemporary history using historical sources and modern teaching methods. MATEC Web of Conferences, 121, 1-7.</t>
  </si>
  <si>
    <t>M. Kaviza, Penggunaan Sumber Dokumen Teks dalam Subjek Sejarah: Satu Sorotan Kajian,Malaysian Journal of Social Sciences and Humanities (MJSSH)
Volume 5, Issue 2, February 2020, indexed Directory of Research Journal Indexing (DRJI); Diretory of Open Access Scolarly Resoources ( ROAD); Worldcat</t>
  </si>
  <si>
    <t>https://msocialsciences.com/index.php/mjssh/article/view/413</t>
  </si>
  <si>
    <t>Didactica istoriei și firmarea de competențe</t>
  </si>
  <si>
    <t>I Bucătaru, V.Bucătaru, Modalități de formare a competențelor specifice la Istorie prin prisma studierii unității naționale românești, Revista Didactica pro. Revistă de teorie și practică educațională, nr 6,(118), 2019, disponibil februarie 2020</t>
  </si>
  <si>
    <t>https://ibn.idsi.md/sites/default/files/imag_file/49-52_15.pdf</t>
  </si>
  <si>
    <t>https://scholar.google.com/scholar?oi=bibs&amp;hl=ro&amp;cites=8355031871376345938</t>
  </si>
  <si>
    <r>
      <rPr>
        <rFont val="arial narrow"/>
        <color theme="1"/>
        <sz val="10.0"/>
      </rPr>
      <t>Zoppelt Diana (Colegiul Național Pedagogic Andrei Șaguna)/Hermann Adriana (Centrul de Formare Continuă în Limba Germană Mediaș),/</t>
    </r>
    <r>
      <rPr>
        <rFont val="Arial Narrow"/>
        <b/>
        <color theme="1"/>
        <sz val="10.0"/>
      </rPr>
      <t>Iunesch Liana Regina</t>
    </r>
    <r>
      <rPr>
        <rFont val="Arial Narrow"/>
        <color theme="1"/>
        <sz val="10.0"/>
      </rPr>
      <t xml:space="preserve">, Mihaiu Tita (Centrul de Formare Continuă în limba germană Mediaș) </t>
    </r>
  </si>
  <si>
    <t>Deutschsprachiger Unterricht in Rumänien - ein Überblick über die Wahrnehmung der Stärken, Probleme und Chancen</t>
  </si>
  <si>
    <t xml:space="preserve"> SavaD. (2020). German as a Historical Regional Language in Transylvania. Linguistica, 60(2), 117-129. https://doi.org/10.4312/linguistica.60.2.117-129</t>
  </si>
  <si>
    <t>https://revije.ff.uni-lj.si/linguistica/issue/view/724/LIN%202020%202</t>
  </si>
  <si>
    <t>Aspekte der Grundschullehrerausbildung nach 1990</t>
  </si>
  <si>
    <t>Rudolf, Gerhild (2020): Sprachverlust und Spracherhalt. Chancen der deutschen Sprache in Rumänien. In: Forschungen zur Volks- und Landeskunde 63/2020</t>
  </si>
  <si>
    <t>https://www.ceeol.com/search/article-detail?id=922779  https://www.ceeol.com/search/viewpdf?id=951311</t>
  </si>
  <si>
    <t xml:space="preserve">Frăticiu, L., (ULBS) Mihăescu, D., (ULBS) &amp; Andănuţ, M.(extern Allianz Tiriac)  </t>
  </si>
  <si>
    <t>Culture-Civilization-Organizational Culture and Managerial Performance. Procedia Economics and Finance, 27(15), 69–72.</t>
  </si>
  <si>
    <r>
      <rPr>
        <rFont val="Times New Roman"/>
        <color rgb="FF000000"/>
        <sz val="12.0"/>
      </rPr>
      <t>Sosyal Ekonomik Araştırmalar Dergisi, Year 2020, Volume 20 , Issue 39,</t>
    </r>
    <r>
      <rPr>
        <rFont val="Times New Roman"/>
        <color rgb="FF000000"/>
        <sz val="12.0"/>
        <u/>
      </rPr>
      <t xml:space="preserve"> </t>
    </r>
    <r>
      <rPr>
        <rFont val="Times New Roman"/>
        <color rgb="FF000000"/>
        <sz val="12.0"/>
      </rPr>
      <t xml:space="preserve">Pages 147 – 164, Örgüt kültürü algisinin örgütsel çeviklik üzerindeki etkisinin incelenmesi, </t>
    </r>
    <r>
      <rPr>
        <rFont val="Times New Roman"/>
        <color rgb="FF000000"/>
        <sz val="12.0"/>
      </rPr>
      <t xml:space="preserve">Suzan BASRI </t>
    </r>
    <r>
      <rPr>
        <rFont val="Times New Roman"/>
        <color rgb="FF000000"/>
        <sz val="12.0"/>
        <vertAlign val="superscript"/>
      </rPr>
      <t xml:space="preserve"> </t>
    </r>
    <r>
      <rPr>
        <rFont val="Times New Roman"/>
        <color rgb="FF000000"/>
        <sz val="12.0"/>
      </rPr>
      <t xml:space="preserve">, Kürşad ZORLU </t>
    </r>
  </si>
  <si>
    <t>https://dergipark.org.tr/en/pub/susead/issue/54099/705821</t>
  </si>
  <si>
    <t>researchgate</t>
  </si>
  <si>
    <r>
      <rPr>
        <rFont val="calibri"/>
        <color theme="1"/>
        <sz val="11.0"/>
      </rPr>
      <t xml:space="preserve">Buana Ilmu, Vol 5 No 1, 2020, Kurikulum Program Studi Pendidikan Pancasila dan Kewarganegaraan Berbasis Digital di Era Revolusi Industri 4.0, </t>
    </r>
    <r>
      <rPr>
        <rFont val="Times New Roman"/>
        <color rgb="FF000000"/>
        <sz val="12.0"/>
      </rPr>
      <t xml:space="preserve">Yogi Nugraha, Sapriya, Endang Danial, Rahmat </t>
    </r>
  </si>
  <si>
    <t xml:space="preserve">http://journal.ubpkarawang.ac.id/index.php/BuanaIlmu/article/view/1248 </t>
  </si>
  <si>
    <t>Mihăescu, D., &amp; Frăticiu, L.</t>
  </si>
  <si>
    <t>. Operational highlights in the educational project management. Revista Economică, 68(6).</t>
  </si>
  <si>
    <t>Arquivos analíticos de políticas educativas, Revista acadêmica, avaliada por pares,  independente, de acesso aberto, e multilíngue, Volume 28, Número 116, 11 de agosto de 2020, Sistema de Indicadores para Gestão de Projetos Multidisciplinares de Ensino, Flávia Eizerik, Ângela de Moura Ferreira Danilevicz, Istefani Carisio de Paula, Universidade Federal do Rio Grande do Sul Brasil</t>
  </si>
  <si>
    <t xml:space="preserve">https://epaa.asu.edu/ojs/article/view/4980 </t>
  </si>
  <si>
    <t>Cândea, G (Ropardo)., Kifor, S., Constantinescu, C., (Fraunhofer Institute for Industrial Engineering IAO, Stuttgart, Germany )</t>
  </si>
  <si>
    <t xml:space="preserve">Usage of case-based reasoning in FMEA-driven software , 
Procedia CIRP 
25(C), pp. 93-99 </t>
  </si>
  <si>
    <t>Al-Shdifat, Ali; Emmanouilidis, Christos; Khan, Muhammad; et al., Ontology based context resolution in internet of things enabled diagnostics,  4th International-Federation-of-Automatic-Control (IFAC) Workshop on Advanced Maintenance Engineering, Services and Technologies (AMEST) Location: ‏ Cambridge, ENGLAND Date: ‏ SEP 10-11, 2020 
Sponsor(s): ‏Int Federat Automat Control; Int Federat Automat Control Tech Comm 5 1 Mfg Plant Control; Int Federat Automat Control Tech Comm 5 2 Mfg Modelling Management &amp; Control; Int Federat Automat Control Tech Comm 5 3 Enterprise Integrat &amp; Networking; Univ Cambridge; Ctr Digital Built Britain; Construct Innovat Hub; Int Federat Automat Control Tech Comm 6 4
IFAC PAPERSONLINE   Volume: ‏ 53   Issue: ‏ 3   Pages: ‏ 251-256   Published: ‏ 2020</t>
  </si>
  <si>
    <t>https://apps-webofknowledge-com.am.e-nformation.ro/full_record.do?product=WOS&amp;search_mode=CitingArticles&amp;qid=28&amp;SID=C419lwvOHyTSyKS14tj&amp;page=1&amp;doc=1</t>
  </si>
  <si>
    <t>WoS</t>
  </si>
  <si>
    <t>Kifor Ștefania</t>
  </si>
  <si>
    <t>Burggräf, P., Wagner, J., Weißer, T., Knowledge-based problem solving in physical product development––A methodological review, Expert Systems with Applications: X
5,100025, 2020</t>
  </si>
  <si>
    <t>https://www-scopus-com.am.e-nformation.ro/results/citedbyresults.uri?sort=plf-f&amp;refeid=2-s2.0-84923306532&amp;src=s&amp;imp=t&amp;sid=96b184d336543771a14943177b4a4831&amp;sot=ctocbw&amp;sdt=a&amp;sl=15&amp;s=PUBYEAR+IS+2020&amp;origin=cto&amp;citeCnt=1_DELIM_1_DELIM_CTODS_1321435510_DELIM_1&amp;txGid=5ff51111671cc0fba387c826c42e27d8</t>
  </si>
  <si>
    <t>CF Daiberl, Driving Networked Service Productivity, Springer Book, 2020</t>
  </si>
  <si>
    <t>https://scholar.google.com/scholar?as_ylo=2020&amp;hl=ro&amp;as_sdt=2005&amp;sciodt=0,5&amp;cites=2177769565273443243&amp;scipsc=</t>
  </si>
  <si>
    <t>اثیر پیاده سازی PFMEA با رویکرد فازی در ارتقای اثربخشی کلی, 2020 تجهیزات در صنایع قند‎</t>
  </si>
  <si>
    <t xml:space="preserve">
M Baghbani, S Iranzadeh… Impact of PFMEA Implementation with Fuzzy Approach on Improving Overall Equipment Effectiveness in the Sugar Industry, Public Management research, DOI 10.22111/JMR.2020.30009.4580, 2020</t>
  </si>
  <si>
    <t>https://jmr.usb.ac.ir/article_5262.html?lang=en</t>
  </si>
  <si>
    <t>IG Marcut, S Kifor</t>
  </si>
  <si>
    <t>How did I become a good teacher? Implications for teacher education, Balkan Region Conference on Engineering and Business Education 3 (1), 223-232</t>
  </si>
  <si>
    <t xml:space="preserve">P Ramesh, P Krishnan, Professional competence of teachers in Indian higher agricultural education, Current Science, 2020 </t>
  </si>
  <si>
    <t>https://scholar.google.com/scholar?as_ylo=2020&amp;hl=ro&amp;as_sdt=2005&amp;sciodt=0,5&amp;cites=7701038386302281888&amp;scipsc=</t>
  </si>
  <si>
    <t>T Ülikooli, K Kõiv, TARTU ÜLIKOOLI ÕPETAJAKOOLITUSE TUDENGITE HINNANGUD KUTSESTANDARDI KOMPETENTSIDELE  core.ac.uk, 2020</t>
  </si>
  <si>
    <t>https://scholar.google.com/scholar?oi=bibs&amp;hl=ro&amp;cites=7701038386302281888</t>
  </si>
  <si>
    <t xml:space="preserve">
Rehman, Z. (COMSATS Institute of Information Technology, Islamabad, Pakistan )
 Kifor, S. </t>
  </si>
  <si>
    <t>Teaching natural language processing (NLP) using ontology based education design, Balkan region conference on engineering and business education, 2015</t>
  </si>
  <si>
    <t>J Fernández Avelino, G Alor Hernandez… - Generación automática de interfaces de usuario de aplicaciones para dispositivos móviles para el ámbito de cuidado de la salud mediante comandos de voz - repositorios.orizaba.tecnm.mx, 2020</t>
  </si>
  <si>
    <t>https://scholar.google.com/scholar?as_ylo=2020&amp;hl=ro&amp;as_sdt=2005&amp;sciodt=0,5&amp;cites=16528596961204771589&amp;scipsc=</t>
  </si>
  <si>
    <t>A Conceptual Architecture of Ontology Based KM System for Failure Mode and Effects Analysis‎</t>
  </si>
  <si>
    <t>Rehman, Z ; Kifor, CV ; Jabeen, F  ; Naz, S  ; Waqar, M , Automatic Acquisition of Failure Mode and Effect Analysis Ontology for Sustainable Risk Management, SUSTAINABILITY
Volume: 12  Issue: 23
Article Number: 10208
DOI: 10.3390/su122310208
Published: DEC 2020</t>
  </si>
  <si>
    <t>https://apps-webofknowledge-com.am.e-nformation.ro/full_record.do?product=WOS&amp;search_mode=CitingArticles&amp;qid=15&amp;SID=C419lwvOHyTSyKS14tj&amp;page=1&amp;doc=2</t>
  </si>
  <si>
    <t>Liang, Jeremy S., A process-based automotive troubleshooting service and knowledge management system in collaborative environment, ROBOTICS AND COMPUTER-INTEGRATED MANUFACTURING   Volume: ‏ 61     Article Number: 101836   Published: ‏ FEB 2020</t>
  </si>
  <si>
    <t>https://apps-webofknowledge-com.am.e-nformation.ro/full_record.do?product=WOS&amp;search_mode=CitingArticles&amp;qid=20&amp;SID=C419lwvOHyTSyKS14tj&amp;page=1&amp;doc=3</t>
  </si>
  <si>
    <t>Mag Alina Georgeta (ULBS), S. Sinfield and T. Burns (London Metropolitan University)</t>
  </si>
  <si>
    <t>The benefits of inclusive education: new challenges for university teachers</t>
  </si>
  <si>
    <r>
      <rPr>
        <rFont val="arial narrow"/>
        <color theme="1"/>
        <sz val="10.0"/>
      </rPr>
      <t>Bekithemba Dube, R</t>
    </r>
    <r>
      <rPr>
        <rFont val="Arial Narrow"/>
        <i/>
        <color theme="1"/>
        <sz val="10.0"/>
      </rPr>
      <t>ural online learning in the context of COVID 19 in South Africa: Evoking an inclusive education approach</t>
    </r>
    <r>
      <rPr>
        <rFont val="Arial Narrow"/>
        <color theme="1"/>
        <sz val="10.0"/>
      </rPr>
      <t>, REMIE - Multidisciplinary Journal of Educational Research, vol 10, nr.2, ISSN: 2014-2862</t>
    </r>
  </si>
  <si>
    <t>https://www.hipatiapress.com/hpjournals/index.php/remie/article/view/5607</t>
  </si>
  <si>
    <t>Hipatia Press, Open Acces</t>
  </si>
  <si>
    <r>
      <rPr>
        <rFont val="arial narrow"/>
        <color theme="1"/>
        <sz val="10.0"/>
      </rPr>
      <t xml:space="preserve">Toby J. Karten, Wendy W. Murawski, </t>
    </r>
    <r>
      <rPr>
        <rFont val="Arial Narrow"/>
        <i/>
        <color theme="1"/>
        <sz val="10.0"/>
      </rPr>
      <t>Co-Teaching Do's, Don'ts, and Do Betters</t>
    </r>
    <r>
      <rPr>
        <rFont val="Arial Narrow"/>
        <color theme="1"/>
        <sz val="10.0"/>
      </rPr>
      <t>, book, Alexadria, VA, USA, ISBN 9781416629566</t>
    </r>
  </si>
  <si>
    <t>https://books.google.ro/books?hl=en&amp;lr=&amp;id=suvyDwAAQBAJ&amp;oi=fnd&amp;pg=PP1&amp;ots=13OGJa5cHC&amp;sig=gGD4LoPvebs9MQmlfDFd6iKmQmo&amp;redir_esc=y#v=onepage&amp;q&amp;f=false</t>
  </si>
  <si>
    <t>Library of Congress Cataloging-in-Publication Data</t>
  </si>
  <si>
    <t xml:space="preserve"> Mag Alina Georgeta (ULBS), S. Sinfield and T. Burns (London Metropolitan University)</t>
  </si>
  <si>
    <r>
      <rPr>
        <rFont val="arial narrow"/>
        <color theme="1"/>
        <sz val="10.0"/>
      </rPr>
      <t xml:space="preserve">Jess Whitley, Amy Klan,Bianca D’Agostino , </t>
    </r>
    <r>
      <rPr>
        <rFont val="Arial Narrow"/>
        <i/>
        <color theme="1"/>
        <sz val="10.0"/>
      </rPr>
      <t>Narratives of funding related to inclusive education: Canadian news media from 2014 to 2019</t>
    </r>
    <r>
      <rPr>
        <rFont val="Arial Narrow"/>
        <color theme="1"/>
        <sz val="10.0"/>
      </rPr>
      <t>, International Journal of Inclusive Education, Print ISSN: 1360-3116 Online ISSN: 1464-5173</t>
    </r>
  </si>
  <si>
    <t>https://doi.org/10.1080/13603116.2020.1821446</t>
  </si>
  <si>
    <t>Australian Education Index (AEI); Australian Research Council (ARC) Ranked Journal List; British Education Index; Contents Pages in Education; Educational Research Abstracts online (ERA); EBSCOhost EJS; Education Resources Information Center ( ERIC); ERIH (European Reference Index for the Humanities, Pedagogical and Educational Research); FRANCIS; National Database for Research into International Education (NDRI); SCOPUS® Social Sciences Citation Index® and Sociological Abstracts.</t>
  </si>
  <si>
    <r>
      <rPr>
        <rFont val="arial narrow"/>
        <color theme="1"/>
        <sz val="10.0"/>
      </rPr>
      <t xml:space="preserve">Cappuccilli, Nicholas, </t>
    </r>
    <r>
      <rPr>
        <rFont val="Arial Narrow"/>
        <i/>
        <color theme="1"/>
        <sz val="10.0"/>
      </rPr>
      <t>Lend a Helping Hand! Case Study of Strategies for ADHD/LD Students in Foreign Language Classes</t>
    </r>
  </si>
  <si>
    <t>https://search.proquest.com/openview/6383e02314a94d7411a28456b62e1fcd/1?pq-origsite=gscholar&amp;cbl=18750&amp;diss=y</t>
  </si>
  <si>
    <t>Northcentral University, ProQuest Dissertations Publishing</t>
  </si>
  <si>
    <r>
      <rPr>
        <rFont val="arial narrow"/>
        <color theme="1"/>
        <sz val="10.0"/>
      </rPr>
      <t>Ruxandra Folostina, Claudia I. Iacob,</t>
    </r>
    <r>
      <rPr>
        <rFont val="Arial Narrow"/>
        <i/>
        <color theme="1"/>
        <sz val="10.0"/>
      </rPr>
      <t xml:space="preserve"> The Inclusion of Children With Special Education Needs: A Theoretical Approach</t>
    </r>
    <r>
      <rPr>
        <rFont val="Arial Narrow"/>
        <color theme="1"/>
        <sz val="10.0"/>
      </rPr>
      <t xml:space="preserve">, capitol in volumul </t>
    </r>
    <r>
      <rPr>
        <rFont val="Arial Narrow"/>
        <i/>
        <color theme="1"/>
        <sz val="10.0"/>
      </rPr>
      <t>Analyzing Paradigms Used in Education and Educational Psychology</t>
    </r>
    <r>
      <rPr>
        <rFont val="Arial Narrow"/>
        <color theme="1"/>
        <sz val="10.0"/>
      </rPr>
      <t>, IGI Global Publisher of Timely Knowledge</t>
    </r>
  </si>
  <si>
    <t>DOI: 10.4018/978-1-7998-1427-6.ch009</t>
  </si>
  <si>
    <t>Clarivate Analytics' Book Citation Index, Scopus®, ERIC, and PsycINFO®.</t>
  </si>
  <si>
    <r>
      <rPr>
        <rFont val="arial narrow"/>
        <color theme="1"/>
        <sz val="10.0"/>
      </rPr>
      <t xml:space="preserve">A Alanazi, </t>
    </r>
    <r>
      <rPr>
        <rFont val="Arial Narrow"/>
        <i/>
        <color theme="1"/>
        <sz val="10.0"/>
      </rPr>
      <t>Critical Analysis of the Challenges Faced in Implementing Inclusive
Education Practices for Students with Intellectual Disabilities in
Saudi Arab</t>
    </r>
  </si>
  <si>
    <t>https://www.eimj.org/uplode/images/photo/Critical_Analysis_of_the_Challenges_Faced_in_Implementing_Inclusive_Education_Practices..pdf</t>
  </si>
  <si>
    <t xml:space="preserve">Electronic Interdisciplinary Miscellaneous Journal </t>
  </si>
  <si>
    <r>
      <rPr>
        <rFont val="arial narrow"/>
        <color theme="1"/>
        <sz val="10.0"/>
      </rPr>
      <t xml:space="preserve">A Magauova, Z Makhambetova, </t>
    </r>
    <r>
      <rPr>
        <rFont val="Arial Narrow"/>
        <i/>
        <color theme="1"/>
        <sz val="10.0"/>
      </rPr>
      <t>THE READINESS OF FUTURE SOCIAL PEDAGOGUES TO WORK IN INCLUSIVE EDUCATION: RESULTS OF A DIAGNOSTIC RESEARCH,  Vol 62 No 1 (2020): Journal of Educational Sciences</t>
    </r>
  </si>
  <si>
    <t>https://bulletin-pedagogic-sc.kaznu.kz/index.php/1-ped/article/view/636</t>
  </si>
  <si>
    <t>CrossRef database, Kazakhstani Citation Database of JSC "National Center for State Scientific and Technical Expertise",Russian Science Citation Index</t>
  </si>
  <si>
    <r>
      <rPr>
        <rFont val="arial narrow"/>
        <color theme="1"/>
        <sz val="10.0"/>
      </rPr>
      <t xml:space="preserve">Farokh Feizi, Morteza Bakhtiarvand - Randwick, </t>
    </r>
    <r>
      <rPr>
        <rFont val="Arial Narrow"/>
        <i/>
        <color theme="1"/>
        <sz val="10.0"/>
      </rPr>
      <t>Online Teaching of Rural Multi-Grade Classes in the Context of COVID-19: Proposing a Holistic Approach</t>
    </r>
    <r>
      <rPr>
        <rFont val="Arial Narrow"/>
        <color theme="1"/>
        <sz val="10.0"/>
      </rPr>
      <t>, Vol. 1 No. 3 (2020), Desember, Randwick International of Education and Linguistics Science (RIELS) Journal</t>
    </r>
  </si>
  <si>
    <t>https://doi.org/10.47175/rielsj.v1i3.134</t>
  </si>
  <si>
    <t>Google Scholar, Index Copernicus, Clarivate Analytics, CrossRef</t>
  </si>
  <si>
    <r>
      <rPr>
        <rFont val="arial narrow"/>
        <color theme="1"/>
        <sz val="10.0"/>
      </rPr>
      <t xml:space="preserve">Xolani Khalo, Msimelelo Nkohla, </t>
    </r>
    <r>
      <rPr>
        <rFont val="Arial Narrow"/>
        <i/>
        <color theme="1"/>
        <sz val="10.0"/>
      </rPr>
      <t xml:space="preserve">THE RISE OF VIRTUAL LEARNING DURING COVID-19 LOCKDOWN:
A REVIEW OF LIMITATIONS AND SUCCESSES, </t>
    </r>
    <r>
      <rPr>
        <rFont val="Arial Narrow"/>
        <color theme="1"/>
        <sz val="10.0"/>
      </rPr>
      <t xml:space="preserve"> Chapter Thirty, in volumul Multidisciplinary Research Reports from Africa</t>
    </r>
  </si>
  <si>
    <t>https://globaledunet.org/wp-content/uploads/2021/01/PROCEEDINGS-FINAL-.pdf#page=264</t>
  </si>
  <si>
    <t>Google Scholar, Index Copernicus, Infobase Index</t>
  </si>
  <si>
    <r>
      <rPr>
        <rFont val="arial narrow"/>
        <color theme="1"/>
        <sz val="10.0"/>
      </rPr>
      <t>Dr. Y. Mpu, Prof. N. Duku &amp; Prof. E.O. Adu, T</t>
    </r>
    <r>
      <rPr>
        <rFont val="Arial Narrow"/>
        <i/>
        <color theme="1"/>
        <sz val="10.0"/>
      </rPr>
      <t>HE SOUTH AFRICAN UNIVERSITY STUDENTS’ CONCEPTIONS AND
EXPERIENCES OF INCLUSIVE EDUCATION AND DIVERSITY, Chapter Twenty Three</t>
    </r>
    <r>
      <rPr>
        <rFont val="Arial Narrow"/>
        <color theme="1"/>
        <sz val="10.0"/>
      </rPr>
      <t xml:space="preserve"> in volumul Multidisciplinary Research Reports from Africa</t>
    </r>
  </si>
  <si>
    <t>https://globaledunet.org/wp-content/uploads/2021/01/PROCEEDINGS-FINAL-.pdf#page=209</t>
  </si>
  <si>
    <r>
      <rPr>
        <rFont val="arial narrow"/>
        <color theme="1"/>
        <sz val="10.0"/>
      </rPr>
      <t xml:space="preserve">Chetan J Bhal, </t>
    </r>
    <r>
      <rPr>
        <rFont val="Arial Narrow"/>
        <i/>
        <color theme="1"/>
        <sz val="10.0"/>
      </rPr>
      <t>Present education urge: inclusive education</t>
    </r>
    <r>
      <rPr>
        <rFont val="Arial Narrow"/>
        <color theme="1"/>
        <sz val="10.0"/>
      </rPr>
      <t>, International Journal of Social Impact
ISSN: 2455-670X
Volume 5, Issue 3,July - September, 2020</t>
    </r>
  </si>
  <si>
    <t>DOI: 10.25215/2455/0503001; https://ijsi.in/articles/0503001/</t>
  </si>
  <si>
    <r>
      <rPr>
        <rFont val="arial narrow"/>
        <color theme="1"/>
        <sz val="10.0"/>
      </rPr>
      <t>R. Suharyadi, Iswari Nur Hidayati, Wuri Handayani,</t>
    </r>
    <r>
      <rPr>
        <rFont val="Arial Narrow"/>
        <i/>
        <color theme="1"/>
        <sz val="10.0"/>
      </rPr>
      <t xml:space="preserve"> Penyusunan Basis Data Spasial Fasilitas Bangunan Gedung bagi Penyandang Disabilitas (Universitas Gadjah Mada Menuju Kampus Inklusi), </t>
    </r>
    <r>
      <rPr>
        <rFont val="Arial Narrow"/>
        <color theme="1"/>
        <sz val="10.0"/>
      </rPr>
      <t>Vol 34, No 1 (2020), Majalah Geografi Indonesia.</t>
    </r>
  </si>
  <si>
    <t>https://journal.ugm.ac.id/mgi/article/view/50199</t>
  </si>
  <si>
    <t>DOAJ
ISJD
GARUDA
GOOGLE SCHOLAR
INDONESIA ONE SEARCH
SINTA
CROSSREF</t>
  </si>
  <si>
    <t>Mag Alina Georgeta (ULBS)</t>
  </si>
  <si>
    <t>Parents and early teachers: Sharing education</t>
  </si>
  <si>
    <r>
      <rPr>
        <rFont val="arial narrow"/>
        <color theme="1"/>
        <sz val="10.0"/>
      </rPr>
      <t xml:space="preserve">Melanie Wong, </t>
    </r>
    <r>
      <rPr>
        <rFont val="Arial Narrow"/>
        <i/>
        <color theme="1"/>
        <sz val="10.0"/>
      </rPr>
      <t xml:space="preserve">How giftedness is understood and practised in initial teacher education programmes in Aotearoa New Zealand, </t>
    </r>
    <r>
      <rPr>
        <rFont val="Arial Narrow"/>
        <color theme="1"/>
        <sz val="10.0"/>
      </rPr>
      <t>Australasian Journal of Gifted Education, v29 n1 p41-51 Jun 2020</t>
    </r>
  </si>
  <si>
    <t>https://eric.ed.gov/?id=EJ1250972</t>
  </si>
  <si>
    <t>ERIC</t>
  </si>
  <si>
    <t>Challenges and transformations in teachers’ training</t>
  </si>
  <si>
    <r>
      <rPr>
        <rFont val="arial narrow"/>
        <color theme="1"/>
        <sz val="10.0"/>
      </rPr>
      <t xml:space="preserve">F Núñez, Q Patricio, </t>
    </r>
    <r>
      <rPr>
        <rFont val="Arial Narrow"/>
        <i/>
        <color theme="1"/>
        <sz val="10.0"/>
      </rPr>
      <t>El nuevo diseño institucional sobre educación superior y los cambios en la producción científica del profesorado en la pontificia Universidad Católica del Ecuador</t>
    </r>
    <r>
      <rPr>
        <rFont val="Arial Narrow"/>
        <color theme="1"/>
        <sz val="10.0"/>
      </rPr>
      <t>,volum, Universitatea din Barcelona,ISBN: 9788449093555</t>
    </r>
  </si>
  <si>
    <t>The value of students’ feedback</t>
  </si>
  <si>
    <r>
      <rPr>
        <rFont val="arial narrow"/>
        <color theme="1"/>
        <sz val="10.0"/>
      </rPr>
      <t xml:space="preserve">J Sharma, A Sun, E Gonzalez, V Lesperance, </t>
    </r>
    <r>
      <rPr>
        <rFont val="Arial Narrow"/>
        <i/>
        <color theme="1"/>
        <sz val="10.0"/>
      </rPr>
      <t xml:space="preserve">SOCIAL-EMOTIONAL SKILLS AND LEADERSHIP QUALITIES: WHAT CHILDREN LOOK FOR IN LEADERS, </t>
    </r>
    <r>
      <rPr>
        <rFont val="Arial Narrow"/>
        <color theme="1"/>
        <sz val="10.0"/>
      </rPr>
      <t>Journal of the World Federation of Associations of Teacher Education
Vol. 3, Issue 2b</t>
    </r>
  </si>
  <si>
    <t>https://www.worldfate.org/docpdf/journal_03_2b.pdf#page=41</t>
  </si>
  <si>
    <t>Education of the Roma/Gypsy children in Romania</t>
  </si>
  <si>
    <r>
      <rPr>
        <rFont val="arial narrow"/>
        <color theme="1"/>
        <sz val="10.0"/>
      </rPr>
      <t xml:space="preserve">J Čvorović, </t>
    </r>
    <r>
      <rPr>
        <rFont val="Arial Narrow"/>
        <i/>
        <color theme="1"/>
        <sz val="10.0"/>
      </rPr>
      <t>Stature and education among Roma women: Taller stature is associated with better educational and economic outcomes</t>
    </r>
    <r>
      <rPr>
        <rFont val="Arial Narrow"/>
        <color theme="1"/>
        <sz val="10.0"/>
      </rPr>
      <t>,Journal of Biosocial Science , Volume 52 , Issue 2 , March 2020 , pp. 260 - 271, Cambridge University Press</t>
    </r>
  </si>
  <si>
    <t>https://doi.org/10.1017/S0021932019000427</t>
  </si>
  <si>
    <t>Google Scholar,Cambridge University Press - Open access</t>
  </si>
  <si>
    <t>Early childhood identity: ethnicity and acculturation</t>
  </si>
  <si>
    <t>Using SFBC Group Techniques to Increase Latino Academic Self-Esteem
Brogan, Justin; Bloomdahl, Susana Contreras; Rowlett, W. Harper; Dunham, Mardis
Journal of School Counseling, v18 n11 2020</t>
  </si>
  <si>
    <t>https://scholar.google.com/citations?user=3BrGq7QAAAAJ&amp;hl=ro</t>
  </si>
  <si>
    <t>BICULTURAL IDENTITY AND ITS RELATION WITH EFL LEARNER
BELIEFS OF TURKISH-GERMAN BILINGUALS http://openaccess.cag.edu.tr/xmlui/bitstream/handle/20.500.12507/1409/638440.pdf?sequence=3</t>
  </si>
  <si>
    <t>Shifting between cultural identities: The voice of preschool children</t>
  </si>
  <si>
    <t>SOCIALIZING MORAL IN PRESCHOOLERS:
A CROSS-CULTURAL COMPARISON BETWEEN GERMAN AND INDONESIAN
PRESCHOOL TEACHERS IN URBAN CONTEXTS https://d-nb.info/1204999805/34</t>
  </si>
  <si>
    <t>Leonhardmair Teresa (= Leonhard Teresa, lect. univ. ULBS)</t>
  </si>
  <si>
    <t>Bewegung in der Musik: eine transdisziplinäre Perspektive auf ein musikimmanentes Phänomen</t>
  </si>
  <si>
    <t>Spyridon-Georgios Soulis, Kessler-Kakoulidis Lucia, Inklusive Kulturschöpfung. Wie Menschen mit und ohne Behinderungen zur Entwicklung unserer Gesellschaft beitragen, Psychosozial Verlag</t>
  </si>
  <si>
    <t>https://www.nomos-elibrary.de/10.30820/9783837976809/inklusive-kulturschoepfung?hitid=1&amp;search-click</t>
  </si>
  <si>
    <t>Man, M. &amp; Ticu, C.</t>
  </si>
  <si>
    <t>Subjective well-being and professional performance</t>
  </si>
  <si>
    <t>PERANAN SUBJECTIVE WELL-BEING KARYAWAN TERHADAP KINERJA KARYAWAN PADA PERUSAHAAN KELUARGA DI INDONESIA</t>
  </si>
  <si>
    <t>http://jurnal.untag-sby.ac.id/index.php/JEM17/article/view/3622</t>
  </si>
  <si>
    <t>Researchgate</t>
  </si>
  <si>
    <t>MAN MIHAELA</t>
  </si>
  <si>
    <t>Man, M.</t>
  </si>
  <si>
    <t>BEHAVIOR INTENDED TO DAMAGE THE ORGANIZATION OR MEMBERS OF THE ORGANIZATION</t>
  </si>
  <si>
    <t>Asian Journal of Education and Training</t>
  </si>
  <si>
    <t>https://files.eric.ed.gov/fulltext/EJ1267237.pdf</t>
  </si>
  <si>
    <t>Google  Scholar, ERIC( the Education Resources Information Center), CNKI Scholar, PKP Open Archives Harvester, etc</t>
  </si>
  <si>
    <r>
      <rPr>
        <rFont val="Times New Roman"/>
        <color rgb="FF000000"/>
        <sz val="10.0"/>
      </rPr>
      <t xml:space="preserve">M.Stoica, A.T. Brate, </t>
    </r>
    <r>
      <rPr>
        <rFont val="Times New Roman"/>
        <b/>
        <color rgb="FF000000"/>
        <sz val="10.0"/>
      </rPr>
      <t>M.Bucuta,</t>
    </r>
    <r>
      <rPr>
        <rFont val="Times New Roman"/>
        <color rgb="FF000000"/>
        <sz val="10.0"/>
      </rPr>
      <t xml:space="preserve"> H.Dura, S.Morar </t>
    </r>
  </si>
  <si>
    <t>THE ASSOCIATION OF LONELINESS AT THE WORKPLACE WITH ORGANISATIONAL VARIABLES</t>
  </si>
  <si>
    <t>Gümüş Dönmez, Filiz, and Cafer Topaloğlu."Otel Çalışanlarında Algılanan Örgütsel Destek, İş Yeri Yalnızlığı ve İş Tatmini İlişkisi." In İş ve İnsan Dergisiǀ The Journal of Human and Work,Vol.7, Issue 2 (2020). doi: 10.18394/iid.703526 e-ISSN 2148-967X</t>
  </si>
  <si>
    <t>http://acikerisim.mu.edu.tr/xmlui/handle/20.500.12809/9101</t>
  </si>
  <si>
    <t>BUCUŢA MIHAELA</t>
  </si>
  <si>
    <r>
      <rPr>
        <rFont val="Times New Roman"/>
        <color rgb="FF000000"/>
        <sz val="10.0"/>
      </rPr>
      <t>M.Stoica, A.T. Brate,</t>
    </r>
    <r>
      <rPr>
        <rFont val="Times New Roman"/>
        <b/>
        <color rgb="FF000000"/>
        <sz val="10.0"/>
      </rPr>
      <t xml:space="preserve"> M.Bucuta,</t>
    </r>
    <r>
      <rPr>
        <rFont val="Times New Roman"/>
        <color rgb="FF000000"/>
        <sz val="10.0"/>
      </rPr>
      <t xml:space="preserve"> H.Dura, S.Morar </t>
    </r>
  </si>
  <si>
    <t>Engin Kanbur, Aysun Kanbur
”Mediating Role of Perceived Internal Status on the Relationship Between Perceived Psychological Empowerment and Loneliness at Workplace” in Business and Economics Research Journal, 11/2020. Issue No.1</t>
  </si>
  <si>
    <t>https://www.ceeol.com/search/article-detail?id=827154</t>
  </si>
  <si>
    <t xml:space="preserve">M.Stoica, A.T. Brate, M.Bucuta, H.Dura, S.Morar </t>
  </si>
  <si>
    <t>Sajjad, M., Riaz, A., Chani, M., &amp; Hussain, R.  Innovations in Human Resources Management: Mediating Role of Intrinsic Motivation. In Marketing and Management of Innovations, 1, 110-120.</t>
  </si>
  <si>
    <t xml:space="preserve"> http://doi.org/10.21272/mmi.2020.1-08  https://mmi.fem.sumdu.edu.ua/en/journals/2020/1/110-120</t>
  </si>
  <si>
    <t>WoS TR</t>
  </si>
  <si>
    <t xml:space="preserve">Wang, D., &amp; Liu, H. (2020). Effects of job autonomy on workplace loneliness among knowledge workers. in Chinese Management Studies. </t>
  </si>
  <si>
    <t>https://www.emerald.com/insight/content/doi/10.1108/CMS-04-2020-0175/full/html</t>
  </si>
  <si>
    <t>WoS TR,SCOPUS</t>
  </si>
  <si>
    <r>
      <rPr>
        <rFont val="Times New Roman"/>
        <color rgb="FF000000"/>
        <sz val="10.0"/>
      </rPr>
      <t xml:space="preserve">I.Testoni, L.Mauchigna , G.L.Marinoni, A. Zamperini, </t>
    </r>
    <r>
      <rPr>
        <rFont val="Times New Roman"/>
        <b/>
        <color rgb="FF000000"/>
        <sz val="10.0"/>
      </rPr>
      <t xml:space="preserve">M.Bucuță, </t>
    </r>
    <r>
      <rPr>
        <rFont val="Times New Roman"/>
        <color rgb="FF000000"/>
        <sz val="10.0"/>
      </rPr>
      <t>G.Dima (UTV)</t>
    </r>
  </si>
  <si>
    <t>Solastalgia's mourning and the slowly evolving effect of asbestos pollution: A qualitative study in Italy</t>
  </si>
  <si>
    <t>Rubio-Mozos, E., García-Muiña, F. E., &amp; Fuentes-Moraleda, L. (2020). Application of Ecosophical Perspective to Advance to the SDGs: Theoretical Approach on Values for Sustainability in a 4S Hotel Company. Sustainability, 12(18), 7713</t>
  </si>
  <si>
    <t>https://www.mdpi.com/2071-1050/12/18/7713</t>
  </si>
  <si>
    <t>I.Testoni, L.Mauchigna , G.L.Marinoni, A. Zamperini, M.Bucuță, G.Dima (UTV)</t>
  </si>
  <si>
    <t>Testoni I, Franco C, Palazzo L, Iacona E, Zamperini A, Wieser MA. The Endless Grief in Waiting: A Qualitative Study of the Relationship between Ambiguous Loss and Anticipatory Mourning amongst the Relatives of Missing Persons in Italy. Behavioral Sciences. 2020; 10(7):110</t>
  </si>
  <si>
    <t>https://doi.org/10.3390/bs10070110</t>
  </si>
  <si>
    <t xml:space="preserve"> Neither God nor others: a qualitative study of strategies for avoiding suicide among homeless people. Trends in psychiatry and psychotherapy, 42(2), 171-178.Testoni, I., Russotto, S., Zamperini, A., Pompele, S., &amp; De Leo, D. (2020).</t>
  </si>
  <si>
    <t>https://www.scielo.br/scielo.php?pid=S2237-60892020000200171&amp;script=sci_arttext</t>
  </si>
  <si>
    <t>SciELO; SJR</t>
  </si>
  <si>
    <t xml:space="preserve"> The Last Glance: How Aesthetic Observation of Corpses Facilitates Detachment in Grief Work. Illness, Crisis &amp; Loss, 1054137320933592.Testoni, I., Zielo, A., Schiavo, C., &amp; Iacona, E. (2020). </t>
  </si>
  <si>
    <t>https://journals.sagepub.com/doi/abs/10.1177/1054137320933592</t>
  </si>
  <si>
    <t>A gender-sensitive intervention in jail: A study of Italian men convicted of assaulting women or femicide. The Arts in Psychotherapy, 71, 101704 Testoni, I., Pedot, M., Arbien, M., Keisari, S., Cataldo, E., Ubaldi, C., ... &amp; Zamperini, A. (2020).</t>
  </si>
  <si>
    <t>https://www.sciencedirect.com/science/article/abs/pii/S0197455620300770?via%3Dihub</t>
  </si>
  <si>
    <t>I.Testoni, L.Mauchigna , G.L.Marinoni, A. Zamperini, M.Bucuță, G.Dima (UTBV)</t>
  </si>
  <si>
    <t xml:space="preserve"> Gestión Estratégica Sostenible y Agenda 2030: Propuesta ecosistémica con enfoque ecosófico para pymes hoteleras del Cuarto Sector.Rubio Mozos, E. (2020).</t>
  </si>
  <si>
    <t>https://burjcdigital.urjc.es/handle/10115/17508</t>
  </si>
  <si>
    <r>
      <rPr>
        <rFont val="Times New Roman"/>
        <b/>
        <color rgb="FF000000"/>
        <sz val="10.0"/>
      </rPr>
      <t>Bucuţă, M. D</t>
    </r>
    <r>
      <rPr>
        <rFont val="Times New Roman"/>
        <color rgb="FF000000"/>
        <sz val="10.0"/>
      </rPr>
      <t xml:space="preserve">., Dima, G.(UTBV), &amp; Testoni, I. </t>
    </r>
  </si>
  <si>
    <t>(2018). “When you thought that there is no one and nothing”: the value of psychodrama in working with abused women. Frontiers in psychology, 9, 1518.</t>
  </si>
  <si>
    <t>Testoni, I., Russotto, S., Zamperini, A., Pompele, S., &amp; De Leo, D. (2020). Neither God nor others: a qualitative study of strategies for avoiding suicide among homeless people. Trends in psychiatry and psychotherapy, 42(2), 171-178.</t>
  </si>
  <si>
    <t>SciELO Analitics                       Google Scholar</t>
  </si>
  <si>
    <t xml:space="preserve">Bucuţă, M. D., Dima, G.(UTBV), &amp; Testoni, I. </t>
  </si>
  <si>
    <t>Testoni, I., Pedot, M., Arbien, M., Keisari, S., Cataldo, E., Ubaldi, C., ... &amp; Zamperini, A. (2020). A gender-sensitive intervention in jail: A study of Italian men convicted of assaulting women or femicide. The Arts in Psychotherapy, 71, 101704</t>
  </si>
  <si>
    <t>https://doi.org/10.1016/j.aip.2020.101704.</t>
  </si>
  <si>
    <t xml:space="preserve">Dima, G., &amp; Bucuta, M. D. </t>
  </si>
  <si>
    <t>The Process of Transition from Public Care to Independent Living: A Resilience-Based Approach. Revista de Cercetare si Interventie Sociala, 50.,2015</t>
  </si>
  <si>
    <t>Ben-Yisrael, F. (2020). Child Welfare Professionals' Experiences with Facilitating the Transition Out of Foster Care (Doctoral dissertation, Capella University).</t>
  </si>
  <si>
    <t>https://www.proquest.com/openview/51df55a7b4f57d8b04ca428e17a38ef9/1?pq-origsite=gscholar&amp;cbl=18750&amp;diss=y</t>
  </si>
  <si>
    <t>ProQUEST</t>
  </si>
  <si>
    <t>Dima, G., &amp; Bucuță, M. D</t>
  </si>
  <si>
    <t>The method of Interpretative Phenomenological Analysis in psychodrama research. Zeitschrift für Psychodrama und Soziometrie, 15(1), 69-81.2016</t>
  </si>
  <si>
    <t>Peck, M. W. (2020). Digital Immigrant Teachers’ Technology Integration and In-Service Professional Development: An Interpretative Phenomenological Analysis.</t>
  </si>
  <si>
    <t>https://digitalcommons.liberty.edu/doctoral/2466/</t>
  </si>
  <si>
    <t>Googe Scholar</t>
  </si>
  <si>
    <r>
      <rPr>
        <rFont val="Times New Roman"/>
        <color rgb="FF000000"/>
        <sz val="10.0"/>
      </rPr>
      <t xml:space="preserve">Testoni, I., Armenti, A., Ronconi, L., Verdi, S., Wieser, </t>
    </r>
    <r>
      <rPr>
        <rFont val="Times New Roman"/>
        <b/>
        <color rgb="FF000000"/>
        <sz val="10.0"/>
      </rPr>
      <t>M., Bucuta</t>
    </r>
    <r>
      <rPr>
        <rFont val="Times New Roman"/>
        <color rgb="FF000000"/>
        <sz val="10.0"/>
      </rPr>
      <t>, M., ... &amp; Tarashoeva, G</t>
    </r>
  </si>
  <si>
    <t>Developing spontaneity and well-being in women victims of domestic violence. La camera blu. Rivista di studi di genere, (11).2014.</t>
  </si>
  <si>
    <t>Kaya, F., &amp; Deniz, H. (2020). The effects of using psychodrama on the psychological wellbeing of university students. Perspectives in psychiatric care, 56(4), 905-912.</t>
  </si>
  <si>
    <t>https://onlinelibrary.wiley.com/doi/epdf/10.1111/ppc.12510</t>
  </si>
  <si>
    <t>Wos TR</t>
  </si>
  <si>
    <t xml:space="preserve">GIURCĂ, I. C.(MApN), CĂTANĂ, A., Sassu, R., &amp; BUCUȚĂ, M. D. </t>
  </si>
  <si>
    <t>THE COPING, THE HARDINESS, AND THE SENSE OF COHERENCE AS MAINTAINING FACTORS FOR MILITARY PERSONNEL'S MENTAL HEALTH. TPM: Testing, Psychometrics, Methodology in Applied Psychology, 24(3).2017</t>
  </si>
  <si>
    <t>Корнилова, Т. В. (2020). СОВрЕМЕННыЕ зАрубЕжНыЕ ИССЛЕДОВАНИя фЕНОМЕНА жИзНЕСТОйКОСТИ (hArDiNESS). Вестник Костромского государственного университета. Серия: Педагогика. Психология. Социокинетика, 26(4).</t>
  </si>
  <si>
    <t>https://cyberleninka.ru/article/n/sovremennye-zarubezhnye-issledovaniya-fenomena-zhiznestoykosti-hardiness</t>
  </si>
  <si>
    <t>elibrary</t>
  </si>
  <si>
    <r>
      <rPr>
        <rFont val="Times New Roman"/>
        <color rgb="FF000000"/>
        <sz val="10.0"/>
      </rPr>
      <t xml:space="preserve">I Testoni, A Armenti, M Wieser, A Bertoldo, </t>
    </r>
    <r>
      <rPr>
        <rFont val="Times New Roman"/>
        <b/>
        <color rgb="FF000000"/>
        <sz val="10.0"/>
      </rPr>
      <t>M Bucuta</t>
    </r>
  </si>
  <si>
    <t xml:space="preserve">G.	The effectiveness of the EMPoWER project and intervention: psychodrama and the elaboration of domestic violence in Italy, Austria, Bulgaria, Portugal, Romania, and Albania in Teaching Against Violence reassessing the toolbox, 2014 </t>
  </si>
  <si>
    <t>Miller, B. B. (2020). Experiences of Immigrant Students and the Challenges of Accessing the Community College ( Temple University. Libraries).</t>
  </si>
  <si>
    <t>https://scholarshare.temple.edu/handle/20.500.12613/607</t>
  </si>
  <si>
    <t>Milcu, M. (2013). Analiza psiho-dinamică a grupului infracţional, în vol. M. Milcu, Cercetarea aplicativă în psihologia modernă: Premise metodologice, Ed. Univ. Bucureşti, pp. 171-175.</t>
  </si>
  <si>
    <t xml:space="preserve">Marius Milcu, Adrian Brate, Alin Sumedrea - Noi direcții și perspective ale cercetării științifice 
în contexte atipice
</t>
  </si>
  <si>
    <t>carte atașată, p.54</t>
  </si>
  <si>
    <t>Milcu, M. (2014). “The social group in criminal activities: a forensic analysis”, in vol. Marius Milcu, Julian Achim, Saul Neves de Jesus Individuals, social and work groups, organizations: modern research in applied psychology, Ed. Univ. Bucureşti, 2014, pp. 143-152.</t>
  </si>
  <si>
    <t xml:space="preserve">Marius Milcu, Adrian Brate, Alin Sumedrea -  Noi direcții și perspective ale cercetării științifice 
în contexte atipice
</t>
  </si>
  <si>
    <t>Milcu, M. (2005). Psihologia relaţiilor interpersonale.Competiţie şi conflict, Editura Polirom Iaşi</t>
  </si>
  <si>
    <t>Ana Ulmadă, Strategii de stimulare a relațiilor constructive la nivelul clasei de elevi (Managementul educaţional: realizări şi perspective de dezvoltare
Ediția 3-a, 2020)</t>
  </si>
  <si>
    <t>https://ibn.idsi.md/sites/default/files/imag_file/557-563_0.pdf</t>
  </si>
  <si>
    <t>articol, p. 563</t>
  </si>
  <si>
    <t>Ancuta Stamatoiu, Interpersonal Relationship in the school team, Horizons for sustainability „Constantin Brâncuşi” University of Târgu-Jiu, Issue 2/2020</t>
  </si>
  <si>
    <t>http://ippase.utgjiu.ro/wp-content/uploads/2020/09/10.-Ancu%C8%9Ba-STAMATOIU-INTERPERSONAL-RELATIONS-IN-THE-SCHOOL-TEAM.pdf</t>
  </si>
  <si>
    <t>articol, p. 83</t>
  </si>
  <si>
    <r>
      <rPr>
        <rFont val="Arial"/>
        <color rgb="FF333333"/>
        <sz val="10.0"/>
      </rPr>
      <t>Gherman, A., Schnur, J., Montgomery, G.,</t>
    </r>
    <r>
      <rPr>
        <rFont val="Arial"/>
        <b/>
        <color rgb="FF333333"/>
        <sz val="10.0"/>
      </rPr>
      <t xml:space="preserve"> Sassu, R</t>
    </r>
    <r>
      <rPr>
        <rFont val="Arial"/>
        <color rgb="FF333333"/>
        <sz val="10.0"/>
      </rPr>
      <t xml:space="preserve">., Veresiu, I., &amp; David, D. (2011). How are adherent people more likely to think? A meta-analysis of health beliefs and diabetes self-care. </t>
    </r>
    <r>
      <rPr>
        <rFont val="Arial"/>
        <i/>
        <color rgb="FF333333"/>
        <sz val="10.0"/>
      </rPr>
      <t>The Diabetes Educator</t>
    </r>
    <r>
      <rPr>
        <rFont val="Arial"/>
        <color rgb="FF333333"/>
        <sz val="10.0"/>
      </rPr>
      <t xml:space="preserve">, </t>
    </r>
    <r>
      <rPr>
        <rFont val="Arial"/>
        <i/>
        <color rgb="FF333333"/>
        <sz val="10.0"/>
      </rPr>
      <t>37</t>
    </r>
    <r>
      <rPr>
        <rFont val="Arial"/>
        <color rgb="FF333333"/>
        <sz val="10.0"/>
      </rPr>
      <t>(3), 392-408.</t>
    </r>
  </si>
  <si>
    <t>How are adherent people more likely to think? A meta-analysis of health beliefs and diabetes self-care. The Diabetes Educator, 37(3), 392-408.</t>
  </si>
  <si>
    <r>
      <rPr>
        <rFont val="Arial"/>
        <color rgb="FF333333"/>
        <sz val="8.0"/>
      </rPr>
      <t>Knowles, S. R., Apputhurai, P., O’Brien, C. L., Ski, C. F., Thompson, D. R., &amp; Castle, D. J. (2020). Exploring the relationships between illness perceptions, self-efficacy, coping strategies, psychological distress and quality of life in a cohort of adults with diabetes mellitus. </t>
    </r>
    <r>
      <rPr>
        <rFont val="Arial"/>
        <i/>
        <color rgb="FF333333"/>
        <sz val="8.0"/>
      </rPr>
      <t>Psychology, health &amp; medicine</t>
    </r>
    <r>
      <rPr>
        <rFont val="Arial"/>
        <color rgb="FF333333"/>
        <sz val="8.0"/>
      </rPr>
      <t>, </t>
    </r>
    <r>
      <rPr>
        <rFont val="Arial"/>
        <i/>
        <color rgb="FF333333"/>
        <sz val="8.0"/>
      </rPr>
      <t>25</t>
    </r>
    <r>
      <rPr>
        <rFont val="Arial"/>
        <color rgb="FF333333"/>
        <sz val="8.0"/>
      </rPr>
      <t>(2), 214-228.</t>
    </r>
  </si>
  <si>
    <t>https://www.tandfonline.com/doi/abs/10.1080/13548506.2019.1695865</t>
  </si>
  <si>
    <t>1.706 (2019) Impact Factor</t>
  </si>
  <si>
    <r>
      <rPr>
        <rFont val="Arial"/>
        <color rgb="FF333333"/>
        <sz val="8.0"/>
      </rPr>
      <t>Stühmann, L. M., Paprott, R., Heidemann, C., Ziese, T., Hansen, S., Zahn, D., ... &amp; Gellert, P. (2020). Psychometric properties of a nationwide survey for adults with and without diabetes: the “disease knowledge and information needs–diabetes mellitus (2017)” survey. </t>
    </r>
    <r>
      <rPr>
        <rFont val="Arial"/>
        <i/>
        <color rgb="FF333333"/>
        <sz val="8.0"/>
      </rPr>
      <t>BMC public health</t>
    </r>
    <r>
      <rPr>
        <rFont val="Arial"/>
        <color rgb="FF333333"/>
        <sz val="8.0"/>
      </rPr>
      <t>, </t>
    </r>
    <r>
      <rPr>
        <rFont val="Arial"/>
        <i/>
        <color rgb="FF333333"/>
        <sz val="8.0"/>
      </rPr>
      <t>20</t>
    </r>
    <r>
      <rPr>
        <rFont val="Arial"/>
        <color rgb="FF333333"/>
        <sz val="8.0"/>
      </rPr>
      <t>(1), 192.</t>
    </r>
  </si>
  <si>
    <t>https://link.springer.com/article/10.1186/s12889-020-8296-6</t>
  </si>
  <si>
    <r>
      <rPr>
        <rFont val="Arial"/>
        <color rgb="FF333333"/>
        <sz val="8.0"/>
      </rPr>
      <t>Breland, J. Y., Wong, J. J., &amp; McAndrew, L. M. (2020). Are Common Sense Model constructs and self-efficacy simultaneously correlated with self-management behaviors and health outcomes: A systematic review. </t>
    </r>
    <r>
      <rPr>
        <rFont val="Arial"/>
        <i/>
        <color rgb="FF333333"/>
        <sz val="8.0"/>
      </rPr>
      <t>Health psychology open</t>
    </r>
    <r>
      <rPr>
        <rFont val="Arial"/>
        <color rgb="FF333333"/>
        <sz val="8.0"/>
      </rPr>
      <t>, </t>
    </r>
    <r>
      <rPr>
        <rFont val="Arial"/>
        <i/>
        <color rgb="FF333333"/>
        <sz val="8.0"/>
      </rPr>
      <t>7</t>
    </r>
    <r>
      <rPr>
        <rFont val="Arial"/>
        <color rgb="FF333333"/>
        <sz val="8.0"/>
      </rPr>
      <t>(1), 2055102919898846.</t>
    </r>
  </si>
  <si>
    <t>https://journals.sagepub.com/doi/full/10.1177/2055102919898846</t>
  </si>
  <si>
    <t xml:space="preserve">Scopus </t>
  </si>
  <si>
    <r>
      <rPr>
        <rFont val="Arial"/>
        <color rgb="FF333333"/>
        <sz val="8.0"/>
      </rPr>
      <t>Kim, J. S. R., Risbud, R., Gray, C., Banerjee, D., &amp; Trivedi, R. (2020). The Dyadic experience of managing heart failure: a qualitative investigation. </t>
    </r>
    <r>
      <rPr>
        <rFont val="Arial"/>
        <i/>
        <color rgb="FF333333"/>
        <sz val="8.0"/>
      </rPr>
      <t>Journal of Cardiovascular Nursing</t>
    </r>
    <r>
      <rPr>
        <rFont val="Arial"/>
        <color rgb="FF333333"/>
        <sz val="8.0"/>
      </rPr>
      <t>, </t>
    </r>
    <r>
      <rPr>
        <rFont val="Arial"/>
        <i/>
        <color rgb="FF333333"/>
        <sz val="8.0"/>
      </rPr>
      <t>35</t>
    </r>
    <r>
      <rPr>
        <rFont val="Arial"/>
        <color rgb="FF333333"/>
        <sz val="8.0"/>
      </rPr>
      <t>(1), 12-18.</t>
    </r>
  </si>
  <si>
    <t>https://journals.lww.com/jcnjournal/Abstract/2020/01000/The_Dyadic_Experience_of_Managing_Heart_Failure__A.5.aspx?context=FeaturedArticles&amp;collectionId=2</t>
  </si>
  <si>
    <t>Impact Factor: 1.675</t>
  </si>
  <si>
    <r>
      <rPr>
        <rFont val="Arial"/>
        <color rgb="FF333333"/>
        <sz val="8.0"/>
      </rPr>
      <t>Paterson, R. E., Taggart, L., Hoyle, L., &amp; Brown, M. (2020). Characteristics of diabetes medication‐taking in people with mild to moderate intellectual disability compared to those without: a mixed‐methods study. </t>
    </r>
    <r>
      <rPr>
        <rFont val="Arial"/>
        <i/>
        <color rgb="FF333333"/>
        <sz val="8.0"/>
      </rPr>
      <t>Diabetic Medicine</t>
    </r>
    <r>
      <rPr>
        <rFont val="Arial"/>
        <color rgb="FF333333"/>
        <sz val="8.0"/>
      </rPr>
      <t>, </t>
    </r>
    <r>
      <rPr>
        <rFont val="Arial"/>
        <i/>
        <color rgb="FF333333"/>
        <sz val="8.0"/>
      </rPr>
      <t>37</t>
    </r>
    <r>
      <rPr>
        <rFont val="Arial"/>
        <color rgb="FF333333"/>
        <sz val="8.0"/>
      </rPr>
      <t>(12), 2035-2043.</t>
    </r>
  </si>
  <si>
    <t>https://onlinelibrary.wiley.com/doi/full/10.1111/dme.14365</t>
  </si>
  <si>
    <t>Impact factor:3.083</t>
  </si>
  <si>
    <r>
      <rPr>
        <rFont val="Arial"/>
        <color rgb="FF333333"/>
        <sz val="8.0"/>
      </rPr>
      <t>Skinner, T. C., Joensen, L., &amp; Parkin, T. (2020). Twenty‐five years of diabetes distress research. </t>
    </r>
    <r>
      <rPr>
        <rFont val="Arial"/>
        <i/>
        <color rgb="FF333333"/>
        <sz val="8.0"/>
      </rPr>
      <t>Diabetic Medicine</t>
    </r>
    <r>
      <rPr>
        <rFont val="Arial"/>
        <color rgb="FF333333"/>
        <sz val="8.0"/>
      </rPr>
      <t>, </t>
    </r>
    <r>
      <rPr>
        <rFont val="Arial"/>
        <i/>
        <color rgb="FF333333"/>
        <sz val="8.0"/>
      </rPr>
      <t>37</t>
    </r>
    <r>
      <rPr>
        <rFont val="Arial"/>
        <color rgb="FF333333"/>
        <sz val="8.0"/>
      </rPr>
      <t>(3), 393-400.</t>
    </r>
  </si>
  <si>
    <t>https://onlinelibrary.wiley.com/doi/full/10.1111/dme.14157</t>
  </si>
  <si>
    <t>Kato, A., Yoshiuchi, K., Fujimaki, Y., Fujimori, S., Kobayashi, Y., Yamada, T., ... &amp; Kadowaki, T. (2020). Understanding the experiences of long-term maintenance of self-worth in persons with type 2 diabetes in Japan: a qualitative study. BMJ open, 10(8), e034758.</t>
  </si>
  <si>
    <t>https://bmjopen.bmj.com/content/10/8/e034758.abstract</t>
  </si>
  <si>
    <t>Impact Factor
2.496</t>
  </si>
  <si>
    <r>
      <rPr>
        <rFont val="Arial"/>
        <color rgb="FF333333"/>
        <sz val="8.0"/>
      </rPr>
      <t>Ranjbaran, S., Shojaeizadeh, D., Dehdari, T., Yaseri, M., &amp; Shakibazadeh, E. (2020). Determinants of medication adherence among Iranian patients with type 2 diabetes: An application of health action process approach. </t>
    </r>
    <r>
      <rPr>
        <rFont val="Arial"/>
        <i/>
        <color rgb="FF333333"/>
        <sz val="8.0"/>
      </rPr>
      <t>Heliyon</t>
    </r>
    <r>
      <rPr>
        <rFont val="Arial"/>
        <color rgb="FF333333"/>
        <sz val="8.0"/>
      </rPr>
      <t>, </t>
    </r>
    <r>
      <rPr>
        <rFont val="Arial"/>
        <i/>
        <color rgb="FF333333"/>
        <sz val="8.0"/>
      </rPr>
      <t>6</t>
    </r>
    <r>
      <rPr>
        <rFont val="Arial"/>
        <color rgb="FF333333"/>
        <sz val="8.0"/>
      </rPr>
      <t>(7), e04442.</t>
    </r>
  </si>
  <si>
    <t>https://www.sciencedirect.com/science/article/pii/S240584402031286X</t>
  </si>
  <si>
    <t>Nielsen, M. H., Jensen, A. L., Bo, A., &amp; Maindal, H. T. (2020). To Tell or Not to Tell: Disclosure and Self-Management among Adults with Early-Onset Type 2 Diabetes: A Qualitative Study. The Open Diabetes Journal, 10(1).</t>
  </si>
  <si>
    <t>https://benthamopen.com/ABSTRACT/TODIAJ-10-11</t>
  </si>
  <si>
    <t>EMBASE, Chemical Abstracts Service/SciFinder, Scilit, PubsHub, Index Copernicus, J-Gate, Genamics JournalSeek, MediaFinder®-Standard Periodical Directory, EBSCO-Biomedical Reference Collection, ROAD Directory and QOAM.</t>
  </si>
  <si>
    <r>
      <rPr>
        <rFont val="Arial"/>
        <color rgb="FF333333"/>
        <sz val="8.0"/>
      </rPr>
      <t>Bezze, S., Ausili, D., Erba, I., Redini, S., Re, S., &amp; Di Mauro, S. (2020). Development of a subset of ICNP Nursing Diagnoses for the promotion of self-care in people with diabetes mellitus: a multi-center observational study. </t>
    </r>
    <r>
      <rPr>
        <rFont val="Arial"/>
        <i/>
        <color rgb="FF333333"/>
        <sz val="8.0"/>
      </rPr>
      <t>Ann Ig</t>
    </r>
    <r>
      <rPr>
        <rFont val="Arial"/>
        <color rgb="FF333333"/>
        <sz val="8.0"/>
      </rPr>
      <t>, </t>
    </r>
    <r>
      <rPr>
        <rFont val="Arial"/>
        <i/>
        <color rgb="FF333333"/>
        <sz val="8.0"/>
      </rPr>
      <t>32</t>
    </r>
    <r>
      <rPr>
        <rFont val="Arial"/>
        <color rgb="FF333333"/>
        <sz val="8.0"/>
      </rPr>
      <t>(1), 38-49.</t>
    </r>
  </si>
  <si>
    <t>Development of a subset of ICNP Nursing Diagnoses for the promotion of self-care in people with diabetes mellitus: a multi-center observational study - PubMed (nih.gov)</t>
  </si>
  <si>
    <t>PubMed</t>
  </si>
  <si>
    <t>Hassan-Gillani, A., Saeed, A., Khanum, F., Uz-Zaman, M. Q., &amp; Akbar, J. (2020). Evaluation of factors associated with medication adherence and hypertension among diabetic patients in Pakistan. Medicina Universitaria, 22(1), 27-37.</t>
  </si>
  <si>
    <t>https://www.researchgate.net/profile/Jamshaid-Sheikh/publication/340175787_Evaluation_of_factors_associated_with_medication_adherence_and_hypertension_among_diabetic_patients_in_Pakistan/links/5e7c9601a6fdcc139c04c3cf/Evaluation-of-factors-associated-with-medication-adherence-and-hypertension-among-diabetic-patients-in-Pakistan.pdf</t>
  </si>
  <si>
    <t>semantic scholar</t>
  </si>
  <si>
    <t>Mustamu, A. C., Sjarfan, S., &amp; Hasim, N. H. (2020). Support and Coping Towards Motivation of Diabetes Melitus Treatments. Jurnal Keperawatan, 12(3), 459-466.</t>
  </si>
  <si>
    <t>Support and Coping Towards Motivation of Diabetes Melitus Treatments | Jurnal Keperawatan (stikeskendal.ac.id)</t>
  </si>
  <si>
    <t>http://journal.stikeskendal.ac.id/index.php/Keperawatan/navigationMenu/view/indexing</t>
  </si>
  <si>
    <t>Taner, N., Tatlıpınar, M. E., Aydın, A. N. ve Omurtag, G. Z. (2020). Investigation of the diabetic patients’ knowledge on diabetes and the role of clinical pharmacist in providing pharmaceutical care to them. Acta Pharmaceutica Sciencia, 58(4), 481-496. https://dx.doi.org/10.23893/1307-2080.APS.05827</t>
  </si>
  <si>
    <t>https://sso.medipol.edu.tr/xmlui/handle/20.500.12511/6157?locale-attribute=en</t>
  </si>
  <si>
    <r>
      <rPr>
        <rFont val="Arial"/>
        <color rgb="FF333333"/>
        <sz val="8.0"/>
      </rPr>
      <t>Bangun, A. V., Jatnika, G., &amp; Herlina, H. (2020). Hubungan antara Dukungan Keluarga dengan Kepatuhan Diet pada Penderita Diabetes Mellitus Tipe 2. </t>
    </r>
    <r>
      <rPr>
        <rFont val="Arial"/>
        <i/>
        <color rgb="FF333333"/>
        <sz val="8.0"/>
      </rPr>
      <t>Jurnal Ilmu Keperawatan Medikal Bedah</t>
    </r>
    <r>
      <rPr>
        <rFont val="Arial"/>
        <color rgb="FF333333"/>
        <sz val="8.0"/>
      </rPr>
      <t>, </t>
    </r>
    <r>
      <rPr>
        <rFont val="Arial"/>
        <i/>
        <color rgb="FF333333"/>
        <sz val="8.0"/>
      </rPr>
      <t>3</t>
    </r>
    <r>
      <rPr>
        <rFont val="Arial"/>
        <color rgb="FF333333"/>
        <sz val="8.0"/>
      </rPr>
      <t>(1), 66-76.</t>
    </r>
  </si>
  <si>
    <t>http://journal.ppnijateng.org/index.php/jikmb/article/view/368</t>
  </si>
  <si>
    <t>Google Scholar
PKP Index
BASE
Index Copernicus
Crossref
Garuda
Dimension</t>
  </si>
  <si>
    <t>Chloranyta, S. (2020). Gambaran Self Efficacy Pada Pasien Diabetes Tipe 2 di Poliklinik Penyakit Dalam RSUPN Dr. Cipto Mangunkusumo Jakarta. Jurnal Ilmu Keperawatan Medikal Bedah, 3(2), 42-48.</t>
  </si>
  <si>
    <t>http://journal.ppnijateng.org/index.php/jikmb/article/view/604</t>
  </si>
  <si>
    <t>Putra, M. M., Kusnanto, C. P. A., Sukartini, T., Bintoro, T., Astriani, N. M. D. Y., &amp; Dewi, P. I. S. (2020). Self Care Behaviour of the Diabetic Patients in a Primary Health Center in Bali. EXECUTIVE EDITOR, 11(01), 1229.</t>
  </si>
  <si>
    <t>https://web.a.ebscohost.com/abstract?direct=true&amp;profile=ehost&amp;scope=site&amp;authtype=crawler&amp;jrnl=09760245&amp;AN=142236864&amp;h=Leu4lm6ubDDLHaYzaq2fdRjIJgviLZDietPjoDlvaLWJNhtgdKA6umISS0cFAF%2bxG6cKL3kvqAtPzhapVZ7QRw%3d%3d&amp;crl=c&amp;resultNs=AdminWebAuth&amp;resultLocal=ErrCrlNotAuth&amp;crlhashurl=login.aspx%3fdirect%3dtrue%26profile%3dehost%26scope%3dsite%26authtype%3dcrawler%26jrnl%3d09760245%26AN%3d142236864</t>
  </si>
  <si>
    <t>scopus</t>
  </si>
  <si>
    <t>Mustamu, A. C., Sjarfan, S., &amp; Hasim, N. H. (2020). Dukungan dan Koping Keluarga dalam Motivasi Pengobatan Penderita Diabetes Melitus. Jurnal Kesehatan Terpadu (Integrated Health Journal), 11(1), 22-27.</t>
  </si>
  <si>
    <t>https://www.jurnalpoltekkesmaluku.com/index.php/JKT/article/view/68</t>
  </si>
  <si>
    <t xml:space="preserve">google scholar, garuda, sinta </t>
  </si>
  <si>
    <t>A Gherman, IA Veresiu, RA Sassu, JB Schnur, BL Scheckner, GH Montgomery</t>
  </si>
  <si>
    <t>Psychological insulin resistance: a critical review of the literature</t>
  </si>
  <si>
    <t>Balogh, E. G., Perez-Nieves, M., Cao, D., Hadjiyianni, I. I., Ashraf, N., Desai, U., ... &amp; Sturt, J. A. (2020). Key Strategies for Overcoming Psychological Insulin Resistance in Adults with Type 2 Diabetes: The UK Subgroup in the EMOTION Study. Diabetes Therapy, 11(8), 1735-1744.</t>
  </si>
  <si>
    <t>https://link.springer.com/article/10.1007/s13300-020-00856-4</t>
  </si>
  <si>
    <t>3.179 (2019)
Impact factor</t>
  </si>
  <si>
    <t>Kong, S. Y., &amp; Cho, M. K. (2020). Factors Related to Self-care in Patients with Type 2 Diabetes. The Open Nursing Journal, 14(1).</t>
  </si>
  <si>
    <t>Scopus, TOC Premier, Scilit, Google Scholar, Chemical Engineering and Biotechnology Abstracts (CEABA-VTB), Index Copernicus, GFMER, Open J-Gate, J-Gate, Genamics JournalSeek, MediaFinder®-Standard Periodical Directory, CNKI Scholar, ROAD Directory and QOAM.</t>
  </si>
  <si>
    <t>Mundeta, X., de Santosc, M. R., Perez-Nievesd, M., Desaie, U., Caod, D., &amp; Fisherf, L. (2020). medicina general y de familia.</t>
  </si>
  <si>
    <t>http://mgyf.org/wp-content/uploads/2020/05/MGYF2020_009.pdf</t>
  </si>
  <si>
    <t>Lilly, S. A. Cómo vencer la resistencia psicológica a la insulina.</t>
  </si>
  <si>
    <t>Sassu, R. (2007). THE EVALUATION OF SCHOOL READINESS FOR 5-8 YEARS OLD CHILDREN--COGNITIVE, SOCIAL--EMOTIONAL, AND MOTOR COORDINATION AND PHYSICAL HEALTH PERSPECTIVES. Cognitie, Creier, Comportament/Cognition, Brain, Behavior, 11(1).</t>
  </si>
  <si>
    <t>THE EVALUATION OF SCHOOL READINESS FOR 5-8 YEARS OLD CHILDREN--COGNITIVE, SOCIAL--EMOTIONAL, AND MOTOR COORDINATION AND PHYSICAL HEALTH PERSPECTIVES.</t>
  </si>
  <si>
    <t>GÜNGÖR, T. A. (2020). Comparing Social and Academic Competence of High School Graduated Students in Turkey and Georgia. Türk Psikolojik Danışma ve Rehberlik Dergisi, 10(59), 617-630.</t>
  </si>
  <si>
    <t>https://dergipark.org.tr/en/pub/tpdrd/issue/58832/848817</t>
  </si>
  <si>
    <r>
      <rPr>
        <rFont val="Arial"/>
        <color rgb="FF333333"/>
        <sz val="8.0"/>
      </rPr>
      <t>GIURCĂ, I. C., CĂTANĂ, A., Sassu, R., &amp; BUCUȚĂ, M. D. (2017). THE COPING, THE HARDINESS, AND THE SENSE OF COHERENCE AS MAINTAINING FACTORS FOR MILITARY PERSONNEL'S MENTAL HEALTH. </t>
    </r>
    <r>
      <rPr>
        <rFont val="Arial"/>
        <i/>
        <color rgb="FF333333"/>
        <sz val="8.0"/>
      </rPr>
      <t>TPM: Testing, Psychometrics, Methodology in Applied Psychology</t>
    </r>
    <r>
      <rPr>
        <rFont val="Arial"/>
        <color rgb="FF333333"/>
        <sz val="8.0"/>
      </rPr>
      <t>, </t>
    </r>
    <r>
      <rPr>
        <rFont val="Arial"/>
        <i/>
        <color rgb="FF333333"/>
        <sz val="8.0"/>
      </rPr>
      <t>24</t>
    </r>
    <r>
      <rPr>
        <rFont val="Arial"/>
        <color rgb="FF333333"/>
        <sz val="8.0"/>
      </rPr>
      <t>(3).</t>
    </r>
  </si>
  <si>
    <t>THE COPING, THE HARDINESS, AND THE SENSE OF COHERENCE AS MAINTAINING FACTORS FOR MILITARY PERSONNEL'S MENTAL HEALTH.</t>
  </si>
  <si>
    <t>https://www.elibrary.ru/item.asp?id=44656386</t>
  </si>
  <si>
    <t xml:space="preserve">Feurer, E., Sassu, R., Cimeli, P., &amp; Roebers, C. M. (2015). </t>
  </si>
  <si>
    <t>Development of meta-representations: Procedural metacognition and the relationship to Theory of Mind. Journal of Educational and Developmental Psychology, 5(1), 6.</t>
  </si>
  <si>
    <t>The Impact of Teacher-Initiated Activities on Identifying and Verbalizing Ways of Metacognitive Monitoring and Control in Six-Year-Old Children</t>
  </si>
  <si>
    <t>https://ressat.org/index.php/ressat/article/view/423</t>
  </si>
  <si>
    <t>ERIC (Educational Resources Information Center)
Directory of Open Access Journals (DOAJ)
EBCO
Crossref
NORWEGIAN REGISTER
ERIHPLUS
OpenAIRE
LearnTechLib
Index Copernicus 
DHET Accredited Journal List (Department of Higher Education and Training of South Africa) 
WorldCat
Directory of Research Journals Indexing
Directory of Open Access Scholarly Resources  (ROAD)
PKP INDEX
Bielefeld Academic Search Engine (BASE)
Google Scholar
Semantic Scholar 
Scilit
J-Gate
SafetyLit EBSCO
Crossref
NORWEGIAN REGISTER
ERIHPLUS
OpenAIRE</t>
  </si>
  <si>
    <t>Daniela Botone, Blanca Grama</t>
  </si>
  <si>
    <t>The role of emotions in organizational behaviour</t>
  </si>
  <si>
    <t xml:space="preserve">Sahoo, Hind Yousif and Krotov, Vlad, "Sentiment Analysis of UAE Social Media: Some Philosophical Issues" (2020). AMCIS 2020 Proceedings. 2.
</t>
  </si>
  <si>
    <t>https://aisel.aisnet.org/amcis2020/philosophical_is/philosophical_is/2</t>
  </si>
  <si>
    <t xml:space="preserve">https://aisel.aisnet.org/    ,   DPLP computer science bibliography, Researchgate,  AIS Library </t>
  </si>
  <si>
    <t>Organizational Citizenship Behavior, Predictor Of Job Performance</t>
  </si>
  <si>
    <t>Organisational Commitment and Job Satisfaction among Government Employees, Lorena Candelarioa,  Darin Jan Tindowenb,  Marie Jean Mendezabalc, Pyrene Quilangd, International Journal of Innovation, Creativity and Change, Volume 13, Issue 10, 2020, http://www.ijicc.net/</t>
  </si>
  <si>
    <t>https://www.researchgate.net/profile/Darin-Jan-Tindowen/publication/344447018_Organisational_Commitment_and_Job_Satisfaction_among_Government_Employees/links/5f767f5c92851c14bca79f8e/Organisational-Commitment-and-Job-Satisfaction-among-Government-Employees.pdf</t>
  </si>
  <si>
    <t>Google Scholar, Ulrich's, Resurchify and Academic</t>
  </si>
  <si>
    <t>Covaș Lilia. „Managementul dezvoltării durabile a întreprinderilor din Republica Moldova prin prisma culturii organizaționale”. Teză de doctor habilitat în ştiinţe economice”, Chişinău, 2020</t>
  </si>
  <si>
    <t>http://irek.ase.md/jspui/handle/1234567890/815</t>
  </si>
  <si>
    <t xml:space="preserve">DSPACE, GOOGLE SCHOLAR </t>
  </si>
  <si>
    <t>The Relationship between Work Engagement, Organizational Cynism and Job Satisfaction in a Romania Private Company</t>
  </si>
  <si>
    <t xml:space="preserve">Ahmet Melih GÜNEŞ (2020). The Relationship Among Teachers' Perceptions of Transactional Leadership, Perceptions
of Organizational Cynicism and Organizational Commitment, International Journal of Education Technology
and Scientific Researches, Vol: 5, Issue: 12, pp. (1051-1073).
</t>
  </si>
  <si>
    <t>http://www.ijetsar.com/Makaleler/1593400263_12.%201051-1073%20ahmet%20melih%20g%c3%bcne%c5%9f.pdf</t>
  </si>
  <si>
    <t>WILSON, AKADEMIA ASOS, SOBIAD, Academic Resource Index, CiteFactor, Academic Journal Index, DRJI, TEI, International Scientific Index, DIIF, EURASIAN Scientifc Journal Index</t>
  </si>
  <si>
    <t xml:space="preserve">Man, Gabriela-Maria </t>
  </si>
  <si>
    <t xml:space="preserve"> Psihologia vârstei a treia și a patra. </t>
  </si>
  <si>
    <r>
      <rPr>
        <rFont val="Times New Roman"/>
        <color rgb="FF000000"/>
        <sz val="10.0"/>
      </rPr>
      <t xml:space="preserve">Man. Mihaela (2020). </t>
    </r>
    <r>
      <rPr>
        <rFont val="Times New Roman"/>
        <i/>
        <color rgb="FF000000"/>
        <sz val="10.0"/>
      </rPr>
      <t>Performanța profesională dimensiuni și relați</t>
    </r>
    <r>
      <rPr>
        <rFont val="Times New Roman"/>
        <color rgb="FF000000"/>
        <sz val="10.0"/>
      </rPr>
      <t>i, Editura Technomedia</t>
    </r>
  </si>
  <si>
    <t>https://www.technomedia.ro</t>
  </si>
  <si>
    <t>MAN GABRIELA</t>
  </si>
  <si>
    <t>THE IMPLICATIONS OF USING STEREOTYPES</t>
  </si>
  <si>
    <r>
      <rPr>
        <rFont val="Times New Roman"/>
        <color rgb="FF000000"/>
        <sz val="10.0"/>
      </rPr>
      <t xml:space="preserve">Man. Mihaela (2020). </t>
    </r>
    <r>
      <rPr>
        <rFont val="Times New Roman"/>
        <i/>
        <color rgb="FF000000"/>
        <sz val="10.0"/>
      </rPr>
      <t>Performanța profesională dimensiuni și relații</t>
    </r>
    <r>
      <rPr>
        <rFont val="Times New Roman"/>
        <color rgb="FF000000"/>
        <sz val="10.0"/>
      </rPr>
      <t>. Editura Technomedia</t>
    </r>
  </si>
  <si>
    <t>Brate, A. T. (Lucian Blaga University of Sibiu)</t>
  </si>
  <si>
    <t>Brate, A. T. (2014). Diagnosing occupational stress in romanian organisations. Procedia-Social and Behavioral Sciences, 127, 559-564.</t>
  </si>
  <si>
    <t>KDV Prasad &amp; Mruthyanjaya Rao Mangipudi (2020). Development of occupational stress,Coping, motivation and performance Scales: Data analysis and reporting, International Journal of Management (IJM), Volume 11, Issue 8, August 2020, pp. 1060-1074, Article ID: IJM_11_08_096, ISSN Print: 0976-6502 and ISSN Online: 0976-6510, DOI: 10.34218/IJM.11.8.2020.096</t>
  </si>
  <si>
    <t>https://iaeme.com/MasterAdmin/Journal_uploads/IJM/VOLUME_11_ISSUE_8/IJM_11_08_096.pdf</t>
  </si>
  <si>
    <t>Akinrinde, Olawale &amp; Tegbe, Seun. (2020). BokoHaram Terrorism and The Futurology of Nigeria’s Development. Annals of Spiru Haret University Economic Series. 20. 117-140. 10.26458/2035.</t>
  </si>
  <si>
    <t>https://www.researchgate.net/publication/344452781</t>
  </si>
  <si>
    <t>ERIHPLUS, IndexCopernicus etc. http://anale-economie.spiruharet.ro/indexing.html</t>
  </si>
  <si>
    <t xml:space="preserve">Brate, T. A., Bucuta, M., Dura, H., &amp; Morar, S. </t>
  </si>
  <si>
    <t>Stoica, M., Brate, T. A., Bucuta, M., Dura, H., &amp; Morar, S. (2014). The association of loneliness at the workplace with organisational variables. European Journal of Science and Theology, 10(5), 101-112.</t>
  </si>
  <si>
    <t>Sajjad, Muhammad &amp; Riaz, Anam &amp; ., Orangzab &amp; Chani, Muhammad &amp; Hussain, Rai. (2020). Innovations in Human Resources Management: Mediating Role of Intrinsic Motivation. Marketing and Management of Innovations. 110-120. 10.21272/mmi.2020.1-08.</t>
  </si>
  <si>
    <t>https://www.researchgate.net/publication/340899054</t>
  </si>
  <si>
    <t>https://mmi.fem.sumdu.edu.ua/en/journals/2020/1/110-120</t>
  </si>
  <si>
    <t>Kanbur, Engin &amp; Kanbur, Aysun. (2020). Mediating Role of Perceived Internal Status on the Relationship Between Perceived Psychological Empowerment and Loneliness at Workplace. 11. 11. 10.20409/berj.2020.246.</t>
  </si>
  <si>
    <t>https://www.researchgate.net/publication/338825992</t>
  </si>
  <si>
    <t>https://www.berjournal.com/abstracting-indexing.html</t>
  </si>
  <si>
    <t>Hosgor, Haydar &amp; Cin, Saadet. (2020). Relationship Between Workplace Loneliness and Organizational Cynicism: Practice in an Education and Research Hospital. Turkish Studies. 15. 2449-2461. 10.7827/TurkishStudies.44851.</t>
  </si>
  <si>
    <t>https://www.researchgate.net/publication/344188541</t>
  </si>
  <si>
    <t>https://turkishstudies.net/files/turkishstudies/c44df68d-bce3-4a1f-ba63-9ba9c9cf0441.pdf</t>
  </si>
  <si>
    <t>Gümüş Dönmez, Filiz. (2020). THE RELATIONSHIP AMONG WORKPLACE LONELINESS, PERCEIVED ORGANIZATIONAL SUPPORT AND JOB SATISFACTION. MTCON'20 Conference on Managing Tourism Across Continents, PROCEEDINGS, November.</t>
  </si>
  <si>
    <t>https://www.researchgate.net/publication/345992378</t>
  </si>
  <si>
    <t>Conference on Managing Tourism Across Continents</t>
  </si>
  <si>
    <t>Gümüş Dönmez, Filiz &amp; Topaloglu, Cafer. (2020). Otel Çalışanlarında Algılanan Örgütsel Destek, İş Yeri Yalnızlığı Ve İş Tatmini İlişkisi. İş ve İnsan Dergisi. 10.18394/iid.703526.</t>
  </si>
  <si>
    <t>https://www.researchgate.net/publication/344716364</t>
  </si>
  <si>
    <t>https://dergipark.org.tr/tr/pub/iid/issue/57138/703526</t>
  </si>
  <si>
    <t>Marcu, G., Iordanescu, C., &amp; Iordanescu, E.</t>
  </si>
  <si>
    <t>The influence of the psychological factors upon the entrepreneurial tendency in crisis environments</t>
  </si>
  <si>
    <t>Cogent Business &amp; Management, Gonçalo Rodrigues Brás &amp; Elias Soukiazis | Pantea Foroudi (Reviewing editor) (2020) Entrepreneurship in secondary and tertiary sectors: The same determinants?, Cogent Business &amp; Management</t>
  </si>
  <si>
    <t>https://doi.org/10.1080/23311975.2020.1748790</t>
  </si>
  <si>
    <t>Directory of Open Access Journals (DOAJ) 
Emerging Sources Citation Index - ESCI (Clarivate Analytics) 
Google Scholar 
RePEc 
Scopus 
Web of Science (Clarivate Analytics)</t>
  </si>
  <si>
    <t>MARCU GABRIELA</t>
  </si>
  <si>
    <t>Mitiu, R.D.,
Zidaru, A., Badiu, D.,
Marcu, G., &amp; Iordanescu,
E.</t>
  </si>
  <si>
    <t>The nudge effect in
supermarket customers
behaviour</t>
  </si>
  <si>
    <t>Journal of Sustainable Development</t>
  </si>
  <si>
    <t xml:space="preserve">jsd.ccsenet.org </t>
  </si>
  <si>
    <r>
      <rPr>
        <rFont val="Times New Roman"/>
        <color rgb="FF000000"/>
        <sz val="11.0"/>
      </rPr>
      <t xml:space="preserve">Benedict C. Jones, Lisa M. DeBruine, Jessica K. Flake, Marco Tullio Liuzza, Jan Antfolk, [...], </t>
    </r>
    <r>
      <rPr>
        <rFont val="Times New Roman"/>
        <b/>
        <color rgb="FF000000"/>
        <sz val="10.0"/>
      </rPr>
      <t>Gabriela M. Marcu (ULBS)</t>
    </r>
    <r>
      <rPr>
        <rFont val="Times New Roman"/>
        <color rgb="FF000000"/>
        <sz val="10.0"/>
      </rPr>
      <t xml:space="preserve">, […], Patrick S. Forscher, Christopher R. Chartier &amp; Nicholas A. Coles </t>
    </r>
  </si>
  <si>
    <t>To which world regions does the valence–dominance model of social perception apply?</t>
  </si>
  <si>
    <t xml:space="preserve">Adaptive Human Behavior and Physiology, Terrizzi, B.F. Conceptual Development and Change Precede Adults’ Judgments About Powerful Appearance. Adaptive Human Behavior and Physiology 6, 194–211 (2020). </t>
  </si>
  <si>
    <t>https://doi.org/10.1007/s40750-020-00135-3</t>
  </si>
  <si>
    <t>W0S</t>
  </si>
  <si>
    <r>
      <rPr>
        <rFont val="Times New Roman"/>
        <color rgb="FF000000"/>
        <sz val="11.0"/>
      </rPr>
      <t xml:space="preserve">Benedict C. Jones, Lisa M. DeBruine, Jessica K. Flake, Marco Tullio Liuzza, Jan Antfolk, [...], </t>
    </r>
    <r>
      <rPr>
        <rFont val="Times New Roman"/>
        <b/>
        <color rgb="FF000000"/>
        <sz val="10.0"/>
      </rPr>
      <t>Gabriela M. Marcu (ULBS)</t>
    </r>
    <r>
      <rPr>
        <rFont val="Times New Roman"/>
        <color rgb="FF000000"/>
        <sz val="10.0"/>
      </rPr>
      <t xml:space="preserve">, […], Patrick S. Forscher, Christopher R. Chartier &amp; Nicholas A. Coles </t>
    </r>
  </si>
  <si>
    <t>Forscher, P. S., Wagenmakers, E., Coles, N. A., Silan, M. A., Dutra, N. B., Basnight-Brown, D., &amp; IJzerman, H. (2020, May 20). A Manifesto for Big Team Science</t>
  </si>
  <si>
    <t>https://doi.org/10.31234/osf.io/2mdxh</t>
  </si>
  <si>
    <t>PsyArXiv</t>
  </si>
  <si>
    <r>
      <rPr>
        <rFont val="Times New Roman"/>
        <color rgb="FF000000"/>
        <sz val="11.0"/>
      </rPr>
      <t xml:space="preserve">Benedict C. Jones, Lisa M. DeBruine, Jessica K. Flake, Marco Tullio Liuzza, Jan Antfolk, [...], </t>
    </r>
    <r>
      <rPr>
        <rFont val="Times New Roman"/>
        <b/>
        <color rgb="FF000000"/>
        <sz val="10.0"/>
      </rPr>
      <t>Gabriela M. Marcu (ULBS)</t>
    </r>
    <r>
      <rPr>
        <rFont val="Times New Roman"/>
        <color rgb="FF000000"/>
        <sz val="10.0"/>
      </rPr>
      <t xml:space="preserve">, […], Patrick S. Forscher, Christopher R. Chartier &amp; Nicholas A. Coles </t>
    </r>
  </si>
  <si>
    <t>Durkee, P., &amp; Ayers, J. D. (2020, April 25). Is facial width-to-height ratio reliably associated with social inferences? A large cross-national examination.</t>
  </si>
  <si>
    <t>https://doi.org/10.31234/osf.io/tpngz</t>
  </si>
  <si>
    <r>
      <rPr>
        <rFont val="Times New Roman"/>
        <color rgb="FF000000"/>
        <sz val="11.0"/>
      </rPr>
      <t xml:space="preserve">Benedict C. Jones, Lisa M. DeBruine, Jessica K. Flake, Marco Tullio Liuzza, Jan Antfolk, [...], </t>
    </r>
    <r>
      <rPr>
        <rFont val="Times New Roman"/>
        <b/>
        <color rgb="FF000000"/>
        <sz val="10.0"/>
      </rPr>
      <t>Gabriela M. Marcu (ULBS)</t>
    </r>
    <r>
      <rPr>
        <rFont val="Times New Roman"/>
        <color rgb="FF000000"/>
        <sz val="10.0"/>
      </rPr>
      <t xml:space="preserve">, […], Patrick S. Forscher, Christopher R. Chartier &amp; Nicholas A. Coles </t>
    </r>
  </si>
  <si>
    <t>Chandrashekar, S. (2020, May 11). The Facial Width-to-Height Ratio (fWHR) and Perceived Dominance and Trustworthiness: Moderating Role of Social Identity Cues (Gender and Race) and Ecological Factor (Pathogen Prevalence)</t>
  </si>
  <si>
    <t>https://doi.org/10.31234/osf.io/64t9s</t>
  </si>
  <si>
    <r>
      <rPr>
        <rFont val="Times New Roman"/>
        <color rgb="FF000000"/>
        <sz val="11.0"/>
      </rPr>
      <t xml:space="preserve">Benedict C. Jones, Lisa M. DeBruine, Jessica K. Flake, Marco Tullio Liuzza, Jan Antfolk, [...], </t>
    </r>
    <r>
      <rPr>
        <rFont val="Times New Roman"/>
        <b/>
        <color rgb="FF000000"/>
        <sz val="10.0"/>
      </rPr>
      <t>Gabriela M. Marcu (ULBS)</t>
    </r>
    <r>
      <rPr>
        <rFont val="Times New Roman"/>
        <color rgb="FF000000"/>
        <sz val="10.0"/>
      </rPr>
      <t xml:space="preserve">, […], Patrick S. Forscher, Christopher R. Chartier &amp; Nicholas A. Coles </t>
    </r>
  </si>
  <si>
    <t>Ackerman, L. S., &amp; Chopik, W. J. (2020). Cross-Cultural Comparisons in Implicit and Explicit Age Bias. Personality and Social Psychology Bulletin.</t>
  </si>
  <si>
    <t>https://doi.org/10.1177/0146167220950070</t>
  </si>
  <si>
    <r>
      <rPr>
        <rFont val="Times New Roman"/>
        <color rgb="FF000000"/>
        <sz val="11.0"/>
      </rPr>
      <t xml:space="preserve">Benedict C. Jones, Lisa M. DeBruine, Jessica K. Flake, Marco Tullio Liuzza, Jan Antfolk, [...], </t>
    </r>
    <r>
      <rPr>
        <rFont val="Times New Roman"/>
        <b/>
        <color rgb="FF000000"/>
        <sz val="10.0"/>
      </rPr>
      <t>Gabriela M. Marcu (ULBS)</t>
    </r>
    <r>
      <rPr>
        <rFont val="Times New Roman"/>
        <color rgb="FF000000"/>
        <sz val="10.0"/>
      </rPr>
      <t xml:space="preserve">, […], Patrick S. Forscher, Christopher R. Chartier &amp; Nicholas A. Coles </t>
    </r>
  </si>
  <si>
    <t xml:space="preserve">Crosby, C. L., Durkee, P., Sedlacek, A., &amp; Buss, D. M. (2020, June 1). Mate Availability and Sexual Disgust. </t>
  </si>
  <si>
    <t>https://doi.org/10.31219/osf.io/g9us7</t>
  </si>
  <si>
    <t>OSF Preprints</t>
  </si>
  <si>
    <r>
      <rPr>
        <rFont val="Times New Roman"/>
        <color rgb="FF000000"/>
        <sz val="11.0"/>
      </rPr>
      <t xml:space="preserve">Benedict C. Jones, Lisa M. DeBruine, Jessica K. Flake, Marco Tullio Liuzza, Jan Antfolk, [...], </t>
    </r>
    <r>
      <rPr>
        <rFont val="Times New Roman"/>
        <b/>
        <color rgb="FF000000"/>
        <sz val="10.0"/>
      </rPr>
      <t>Gabriela M. Marcu (ULBS)</t>
    </r>
    <r>
      <rPr>
        <rFont val="Times New Roman"/>
        <color rgb="FF000000"/>
        <sz val="10.0"/>
      </rPr>
      <t xml:space="preserve">, […], Patrick S. Forscher, Christopher R. Chartier &amp; Nicholas A. Coles </t>
    </r>
  </si>
  <si>
    <t>Lin C, Keles U, Adolphs R. Four dimensions characterizing comprehensive trait judgments of faces. Research Square; 2020</t>
  </si>
  <si>
    <t>https://doi.org/10.21203/rs.3.rs-41215/v1</t>
  </si>
  <si>
    <t>Research Square</t>
  </si>
  <si>
    <t>Răulea Ciprian (ULBS)</t>
  </si>
  <si>
    <t xml:space="preserve">The Impact of Electronic Communication Technology on Teamwork. </t>
  </si>
  <si>
    <r>
      <rPr>
        <rFont val="arial narrow"/>
        <color theme="1"/>
        <sz val="10.0"/>
      </rPr>
      <t xml:space="preserve">Pikhart, Marcel &amp; Klimova, Blanka (2020) </t>
    </r>
    <r>
      <rPr>
        <rFont val="Arial Narrow"/>
        <i/>
        <color theme="1"/>
        <sz val="10.0"/>
      </rPr>
      <t>Information and Communication Technology-Enhanced Business and Managerial Communication in SMEs in the Czech Republic</t>
    </r>
    <r>
      <rPr>
        <rFont val="Arial Narrow"/>
        <color theme="1"/>
        <sz val="10.0"/>
      </rPr>
      <t>.  In: ICT Enhanced Social Sciences and Humanitie (https://doi.org/10.3390/info11060336)</t>
    </r>
  </si>
  <si>
    <t>https://www.mdpi.com/2078-2489/11/6/336</t>
  </si>
  <si>
    <t>SCOPUS: https://www.mdpi.com/ (Information 2020, 11(6), 336; https://doi.org/10.3390/info11060336)</t>
  </si>
  <si>
    <t>Răulea Ciprian</t>
  </si>
  <si>
    <r>
      <rPr>
        <rFont val="arial narrow"/>
        <color theme="1"/>
        <sz val="10.0"/>
      </rPr>
      <t xml:space="preserve">Zulfiqar, Ahmed (2020) </t>
    </r>
    <r>
      <rPr>
        <rFont val="Arial Narrow"/>
        <i/>
        <color theme="1"/>
        <sz val="10.0"/>
      </rPr>
      <t>Impact of IT Tools on Project Value: Mediating Role of Team Coordination and Moderating Role of Top Management Support</t>
    </r>
    <r>
      <rPr>
        <rFont val="Arial Narrow"/>
        <color theme="1"/>
        <sz val="10.0"/>
      </rPr>
      <t>.  In: PhD thesis, Capital University of Science &amp; Technology, Islamabad, Pakistan</t>
    </r>
  </si>
  <si>
    <t>https://thesis.cust.edu.pk/UploadedFiles/Zulfiqar%20Ahmed-MPM181040.pdf</t>
  </si>
  <si>
    <t>https://thesis.cust.edu.pk/</t>
  </si>
  <si>
    <t>The impact of electronic communication technology on teamwork</t>
  </si>
  <si>
    <r>
      <rPr>
        <rFont val="arial narrow"/>
        <color theme="1"/>
        <sz val="10.0"/>
      </rPr>
      <t xml:space="preserve">ProQuest, Alliant International University, ProQuest Dissertations Publishing, 2019. 13879188, Ajiduah, Patrick Enweazu, </t>
    </r>
    <r>
      <rPr>
        <rFont val="Arial Narrow"/>
        <i/>
        <color theme="1"/>
        <sz val="10.0"/>
      </rPr>
      <t>Evaluation of an Intervention to Develop Interpersonal Relationships in Virtual Teams</t>
    </r>
  </si>
  <si>
    <t>https://www.proquest.com/openview/2faf83968f824bcc7b218b99333aca51/1?pq-origsite=gscholar&amp;cbl=18750&amp;diss=y</t>
  </si>
  <si>
    <t>ProQuest</t>
  </si>
  <si>
    <t>Opinions about Distance
Learning in Romania – A Comparative Research // The Internet and Higher Education.
2011. Vol. 14. Pp. 129–135</t>
  </si>
  <si>
    <t>Zolotykh N.V., Maksyutova N.N. (2020). The possibility of transition of secondary vocational education institutions
to distance learning. World of Science. Pedagogy and psychology, [online] 3(8). Available at:
https://mir-nauki.com/PDF/22PDMN320.pdf (in Russian)</t>
  </si>
  <si>
    <t>https://mir-nauki.com/PDF/22PDMN320.pdf</t>
  </si>
  <si>
    <t>WoS: https://mir-nauki.com/</t>
  </si>
  <si>
    <t>Opinions about Distance Learning in Romania. A comparative research. Procedia - Social And Behavioral Sciences, EUA, v. 69, n. l, p.2151-2155, dez. 2012.</t>
  </si>
  <si>
    <t>Daniela Karine Ramos &amp; Fabiana Lopes Ribeiro, `For more democratic management in education: contributions of a distance formation for the professional performance of its graduates`</t>
  </si>
  <si>
    <t>https://www.researchgate.net/publication/337852286_Por_uma_gestao_mais_democratica_na_educacao_contribuicoes_de_uma_formacao_a_distancia_para_atuacao_profissional_de_seus_egressos</t>
  </si>
  <si>
    <t>https://creativecommons.org/licenses/by-nc/4.0/</t>
  </si>
  <si>
    <t>Opinions about Distance Learning in Romania – A Comparative Research. Procedia - Social and Behavioral Sciences Volume 69, 2151-2155.</t>
  </si>
  <si>
    <t>Vladimir BABAYEV, Dmytro ROSLAVTSEV, Kateryna SOROKINA, `Vocational Employer-Sponsored Education of Employees of the Water Supply and Sewage`</t>
  </si>
  <si>
    <t>https://www.researchgate.net/publication/341646101_Vocational_Employer-Sponsored_Education_of_Employees_of_the_Water_Supply_and_Sewage</t>
  </si>
  <si>
    <t>www.researchgate.net
DOI: 10.2478/cplbu-2020-0027</t>
  </si>
  <si>
    <t>Giurcă, I. (Academia Forțelor Terestre) C., Cătană (ULBS), A., Sassu R.(ULBS), Bucuță, D.M (ULBS)</t>
  </si>
  <si>
    <t xml:space="preserve">The coping, the hardiness, and the sense of coherence as maintaining factors for military personnel`s mental health </t>
  </si>
  <si>
    <t>КОРНИЛОВА ТАТЬЯНА ВЛАДИМИРОВНА (2020), СОВРЕМЕННЫЕ ЗАРУБЕЖНЫЕ ИССЛЕДОВАНИЯ ФЕНОМЕНА ЖИЗНЕСТОЙКОСТИ (HARDINESS), ВЕСТНИК КОСТРОМСКОГО ГОСУДАРСТВЕННОГО УНИВЕРСИТЕТА. СЕРИЯ: ПЕДАГОГИКА. ПСИХОЛОГИЯ. СОЦИОКИНЕТИКА, 26(4).</t>
  </si>
  <si>
    <t>Racna, CA, Iordanescu, E.</t>
  </si>
  <si>
    <t>Assessment of organizational trust: preliminary data for Romanian adaptation of the organizational trust inventory short form</t>
  </si>
  <si>
    <t>Multiple mediating effects in the relationship between employees’ trust in organizational safety and safety participation behavior</t>
  </si>
  <si>
    <t>https://doi.org/10.1016/j.ssci.2020.104611</t>
  </si>
  <si>
    <t>Elsevier, ScienceDirect</t>
  </si>
  <si>
    <t>Ranca, CA, Iordanescu, E.</t>
  </si>
  <si>
    <t xml:space="preserve">HoseinZadeh Bahremand, A, EbrahimiParkouh, T. Investigating the Effect of Employee Trust on Behavioral Loyalty with the Mediating Role of Employee Satisfaction, Attitude Loyalty and Organizational Commitment. Arch Pharma Pract 2020;11(S1):140-51. </t>
  </si>
  <si>
    <t>https://archivepp.com/storage/models/article/0XNC0sHun96KBmJ23xQcDCKOU0IDb3fhhiImUFSZG2V0Fna14HkABcl0wqpA/investigating-the-effect-of-employee-trust-on-behavioral-loyalty-with-the-mediating-role-of-employ.pdf</t>
  </si>
  <si>
    <t xml:space="preserve">Archives of Pharmacy Practice ¦ Volume 11 ¦ Issue S1 ¦ January-March 2020 </t>
  </si>
  <si>
    <t>Iordanescu, E, Iordanescu, C., Draghici, A.</t>
  </si>
  <si>
    <t>Time and Gender Influence in Sexual Behavior of Romanian Adolescents</t>
  </si>
  <si>
    <t>Murdiningsih  S. The effect of adolescent reproductive health education on premarital sexual behavior. International Journal of Public Health Science</t>
  </si>
  <si>
    <t>https://doi.org/10.11591/IJPHS.V9I4.20444</t>
  </si>
  <si>
    <t>Scopus, Sinta</t>
  </si>
  <si>
    <t xml:space="preserve">Pavel, FA, Iordanescu, E., </t>
  </si>
  <si>
    <t>The influence of facial expression on recognition performance in facial identity</t>
  </si>
  <si>
    <t>Alrubaish, H.H., The Effects of Facial Expressions on Face Biometric System’s Reliability</t>
  </si>
  <si>
    <t>https://doi.org/10.3390/info11100485</t>
  </si>
  <si>
    <t>Scopus, ESCI (WoS)</t>
  </si>
  <si>
    <t>Like parents, like Teenagers: a Romanian Youth Smoking Overview</t>
  </si>
  <si>
    <t>Fithria, F et all, Indonesian adolescents perspectives on smoking habits: a qualitative study</t>
  </si>
  <si>
    <t xml:space="preserve">https://doi.org/10.21203/rs.3.rs-15655/v6 </t>
  </si>
  <si>
    <t>Scopus BDI</t>
  </si>
  <si>
    <t>A RANDOMIZED CONTROLLED TRIAL ON THE ISLAMIC-BASED PROGRAM USING FAMILY APPROACHES IN PREVENTING ADOLESCENTS’ SMOKING BEHAVIOR IN INDONESIA: A STUDY PROTOCOL, Belitung Nursing Journal</t>
  </si>
  <si>
    <t>DOI: https://doi.org/10.33546/bnj.1112 </t>
  </si>
  <si>
    <t>CrosRef, PKP, Scopus, Google Scholar</t>
  </si>
  <si>
    <t>Can "Tipe A Behavior" predict health risk behavior for Romanian youth?</t>
  </si>
  <si>
    <t>Niken, a et all. The Roles of Personality Types and Coping Mechanisms in Coronary Heart Disease: A Systematic Review in The Roles of Personality Types and Coping Mechanisms in CHD</t>
  </si>
  <si>
    <t>https://pjmhsonline.com/2020/jan_march/pdf/499.pdf</t>
  </si>
  <si>
    <t>WoS, BDI</t>
  </si>
  <si>
    <t>Ati, N.A.L., et all. The Role of Personality and coping mechanis, in coronary heart diseas. Pakistan Journal of Medical and Helath Science</t>
  </si>
  <si>
    <t>https://www.elibrary.ru/item.asp?id=44288060</t>
  </si>
  <si>
    <t>Grama Blanca, Todericiu Ramona</t>
  </si>
  <si>
    <t>Change, resistance to change and organizational cynicism</t>
  </si>
  <si>
    <t>Journal of Organizational Change Management</t>
  </si>
  <si>
    <t>https://www.emerald.com/insight/content/doi/10.1108/JOCM-02-2020-0063/full/html</t>
  </si>
  <si>
    <t>https://www.emeraldgrouppublishing.com/journal/jocm?distinct_id=17957105ffa39d-0dcf4964492199-113b6050-13c680-17957105ffb82a&amp;_ga=2.132802062.140708887.1620915788-457283233.1620663362#indexing-and-rankings</t>
  </si>
  <si>
    <t>GRAMA BLANCA</t>
  </si>
  <si>
    <t>https://www.emerald.com/insight/content/doi/10.1108/JOCM-05-2019-0141/full/html</t>
  </si>
  <si>
    <t>Review of Public Personnel Administrtion</t>
  </si>
  <si>
    <t>https://journals.sagepub.com/doi/abs/10.1177/0734371X20923010</t>
  </si>
  <si>
    <t>https://journals.sagepub.com/metrics/ROP</t>
  </si>
  <si>
    <t>Journal of Nursing Management</t>
  </si>
  <si>
    <t>https://onlinelibrary.wiley.com/doi/abs/10.1111/jonm.13133</t>
  </si>
  <si>
    <t>https://onlinelibrary.wiley.com/page/journal/13652834/homepage/productinformation.html</t>
  </si>
  <si>
    <t>EJBRM</t>
  </si>
  <si>
    <t>https://academic-publishing.org/index.php/ejbrm/article/view/2031</t>
  </si>
  <si>
    <t>https://academic-publishing.org/index.php/ejbrm/index</t>
  </si>
  <si>
    <t>lucrare de dizertatie</t>
  </si>
  <si>
    <t>https://www.proquest.com/openview/06c4ba1d20f2364dfb9519b50ad6b883/1?pq-origsite=gscholar&amp;cbl=51922&amp;diss=y</t>
  </si>
  <si>
    <t>https://www.mdpi.com/2071-1050/12/16/6543</t>
  </si>
  <si>
    <t>https://www.mdpi.com/journal/sustainability</t>
  </si>
  <si>
    <t>Acta Universitatis Sapientiae Social Analysis</t>
  </si>
  <si>
    <t>https://www.ceeol.com/search/article-detail?id=904676</t>
  </si>
  <si>
    <t>Academic Journals Databaes, COPAC, CNKI Scholar, ERIC, Google Scholar Citations, IE Library, Infotrieve, JournalTOCs, LOCKSS, MIAR, Open J-Gate, PKP Open Archives Harvester, Publons, ROAD, ScienceGate, SHERPA/RoMEO, The Keepers Registry, Ulrich's,</t>
  </si>
  <si>
    <t>Market Forces</t>
  </si>
  <si>
    <t>http://www.pafkiet.edu.pk/marketforces/index.php/marketforces/article/view/406</t>
  </si>
  <si>
    <t>http://www.pafkiet.edu.pk/marketforces/index.php/marketforces/indexing</t>
  </si>
  <si>
    <t>Lucrare de dizertatie</t>
  </si>
  <si>
    <t>https://www.proquest.com/openview/51df55a7b4f57d8ba1b9fb26aaff582c/1?pq-origsite=gscholar&amp;cbl=18750&amp;diss=y</t>
  </si>
  <si>
    <t>Europe PMC</t>
  </si>
  <si>
    <t>https://europepmc.org/article/pmc/pmc7784639</t>
  </si>
  <si>
    <t>https://europepmc.org/About</t>
  </si>
  <si>
    <t>Lucrare de doctorat</t>
  </si>
  <si>
    <t>https://firescholars.seu.edu/coe/68/</t>
  </si>
  <si>
    <t>SEUFIRE SCHOLARS</t>
  </si>
  <si>
    <t>https://scholarworks.waldenu.edu/dissertations/8982/</t>
  </si>
  <si>
    <t>ScholarWorks</t>
  </si>
  <si>
    <t>https://www.proquest.com/openview/02ab19e2ba36efe88eddd55f592eb8d7/1?pq-origsite=gscholar&amp;cbl=18750&amp;diss=y</t>
  </si>
  <si>
    <t>proQuest</t>
  </si>
  <si>
    <t>https://repositorio.iscte-iul.pt/handle/10071/20706</t>
  </si>
  <si>
    <t>ISCTE</t>
  </si>
  <si>
    <t>capitol in carte</t>
  </si>
  <si>
    <t>https://library.oapen.org/bitstream/handle/20.500.12657/46121/2021_Book_DigitalTransformationOfLearnin.pdf?sequence=1#page=233</t>
  </si>
  <si>
    <t>digital book</t>
  </si>
  <si>
    <t>https://www.vdu.lt/cris/handle/20.500.12259/106282</t>
  </si>
  <si>
    <t>Google scholar</t>
  </si>
  <si>
    <t>https://www.proquest.com/openview/c7d1e1965f2a9742a1091c6f5377c9a4/1?pq-origsite=gscholar&amp;cbl=18750&amp;diss=y</t>
  </si>
  <si>
    <t>https://digitalcommons.georgefox.edu/dbadmin/27/</t>
  </si>
  <si>
    <t>https://scholarworks.waldenu.edu/dissertations/8861/</t>
  </si>
  <si>
    <t>https://www.proquest.com/openview/6008aff596387f2e75f8218306072713/1?pq-origsite=gscholar&amp;cbl=18750&amp;diss=y</t>
  </si>
  <si>
    <t>https://www.proquest.com/openview/03da60e1e53a0837d5de9be18e2f9f5c/1?pq-origsite=gscholar&amp;cbl=18750&amp;diss=y</t>
  </si>
  <si>
    <t xml:space="preserve">International Journal of
 Business and Management Research (IJBMR) </t>
  </si>
  <si>
    <t>https://ijbmr.forexjournal.co.in/papers-pdf/ijbmr-080304.pdf</t>
  </si>
  <si>
    <t>GOOGLE Scholar</t>
  </si>
  <si>
    <t>Psychological Journal</t>
  </si>
  <si>
    <t>https://apsijournal.com/index.php/psyjournal/article/view/847</t>
  </si>
  <si>
    <t>https://www.apsijournal.com/index.php/psyjournal/indexing</t>
  </si>
  <si>
    <t>fSSU7</t>
  </si>
  <si>
    <t>Cynicism in organizational change</t>
  </si>
  <si>
    <t xml:space="preserve">BMC Health Services Research </t>
  </si>
  <si>
    <t>https://link.springer.com/article/10.1186/s12913-020-4999-8</t>
  </si>
  <si>
    <t>https://bmchealthservres.biomedcentral.com/about</t>
  </si>
  <si>
    <t>Int. J. Environ. Res. Public Health</t>
  </si>
  <si>
    <t>https://www.mdpi.com/1660-4601/17/8/2944</t>
  </si>
  <si>
    <t>https://www.mdpi.com/journal/ijerph/indexing</t>
  </si>
  <si>
    <t>Journal of Qualitative Researchi in Health Sciences</t>
  </si>
  <si>
    <t>http://jqr1.kmu.ac.ir/article_90923.html</t>
  </si>
  <si>
    <t>http://jqr1.kmu.ac.ir/journal/indexing</t>
  </si>
  <si>
    <t>Quarterly Journal  of Nursing Management</t>
  </si>
  <si>
    <t>http://ijnv.ir/browse.php?a_id=711&amp;sid=1&amp;slc_lang=en</t>
  </si>
  <si>
    <t>Islamic World Science Citation Center (ISC), Scientific Information Database (SID), Magiran, ,Google scholar, Iran Medex.</t>
  </si>
  <si>
    <t>European Journal  of Education Studies</t>
  </si>
  <si>
    <t>https://oapub.org/edu/index.php/ejes/article/view/3186</t>
  </si>
  <si>
    <t>https://oapub.org/edu/index.php/ejes/pages/view/indexing</t>
  </si>
  <si>
    <t>https://www.proquest.com/openview/aec427c4c117e46eb6eef7a251f65933/1?pq-origsite=gscholar&amp;cbl=18750&amp;diss=y</t>
  </si>
  <si>
    <t>Grama Blanca, Botone Daniela</t>
  </si>
  <si>
    <t>The role of emotions in organizational behavior</t>
  </si>
  <si>
    <t>Sentiment Analysis of UAE Social Media</t>
  </si>
  <si>
    <t>https://www.researchgate.net/profile/Vlad-Krotov/publication/340902026_Sentiment_Analysis_of_UAE_Social_Media_Some_Philosophical_Issues_Emergent_Research_Forum_ERF_Papers/links/5ea31f7e45851553faaae38b/Sentiment-Analysis-of-UAE-Social-Media-Some-Philosophical-Issues-Emergent-Research-Forum-ERF-Papers.pdf</t>
  </si>
  <si>
    <t>Reseach gate</t>
  </si>
  <si>
    <t>International Journal of Research Publication and Reviews</t>
  </si>
  <si>
    <t>https://www.ijrpr.com/uploads/V2ISSUE4/IJRPR378.pdf</t>
  </si>
  <si>
    <t>https://www.ijrpr.com/International-journal-with-high-impact-factor.php</t>
  </si>
  <si>
    <t>What makes work meaningful</t>
  </si>
  <si>
    <t>https://thesis.cust.edu.pk/UploadedFiles/Muhammad%20Usman%20Khan%20-%20MMS183023.pdf</t>
  </si>
  <si>
    <t>hesis.cust.edu.pk</t>
  </si>
  <si>
    <t>Teza de disertatie</t>
  </si>
  <si>
    <t>https://repositorio.iscte-iul.pt/handle/10071/21885</t>
  </si>
  <si>
    <t>http://hdl.handle.net/10071/21885</t>
  </si>
  <si>
    <t>Organizational cynicism: Its relationship with job satisfaction</t>
  </si>
  <si>
    <t>Gomal University Journal of Research</t>
  </si>
  <si>
    <t>https://web.a.ebscohost.com/abstract?direct=true&amp;profile=ehost&amp;scope=site&amp;authtype=crawler&amp;jrnl=10198180&amp;AN=148239565&amp;h=WUGAeYnOKwax%2fh6xWJbaiRykzGq80RgOKVyQMHBIX8OqXAK48E44QYRAJXndJlZwmuKd5N7ewe6e6sLjvg6Q1A%3d%3d&amp;crl=c&amp;resultNs=AdminWebAuth&amp;resultLocal=ErrCrlNotAuth&amp;crlhashurl=login.aspx%3fdirect%3dtrue%26profile%3dehost%26scope%3dsite%26authtype%3dcrawler%26jrnl%3d10198180%26AN%3d148239565</t>
  </si>
  <si>
    <t>http://www.gujr.com.pk/index.php/GUJR/abstracting-indexing</t>
  </si>
  <si>
    <t xml:space="preserve">Journal of Occupational Health and Epidemiology. </t>
  </si>
  <si>
    <t>http://eprints.rums.ac.ir/28747/</t>
  </si>
  <si>
    <t>http://johe.rums.ac.ir/page/69/Indexing--YW_AND--Abstracting</t>
  </si>
  <si>
    <t>Jurnal Riset Ekonomi dan Bisnis</t>
  </si>
  <si>
    <t>https://journals.usm.ac.id/index.php/jreb/article/view/2183</t>
  </si>
  <si>
    <t>https://journals.usm.ac.id/index.php/jreb/index</t>
  </si>
  <si>
    <t>IJETSAR (International Journal of Education Technology and Scientific Researches) (ISSN: 2587-0238)</t>
  </si>
  <si>
    <t>http://ijetsar.com/Makaleler/1593400263_12.%201051-1073%20ahmet%20melih%20g%c3%bcne%c5%9f.pdf</t>
  </si>
  <si>
    <t>http://www.ijetsar.com/Defaultx.Aspx?ID=11</t>
  </si>
  <si>
    <t>Grama Blanca, Băiaș Minela</t>
  </si>
  <si>
    <t>Organizational support, emotional labor and burnout regarding the medical staff</t>
  </si>
  <si>
    <t>lucrare de doctorat</t>
  </si>
  <si>
    <t>https://www.proquest.com/openview/90b18e9babe588cdc831f24710ff93dc/1?pq-origsite=gscholar&amp;cbl=44156</t>
  </si>
  <si>
    <t>https://www.proquest.com/openview/cce9dcd48d8ad62f9d6302dd709b9538/1?pq-origsite=gscholar&amp;cbl=18750&amp;diss=y</t>
  </si>
  <si>
    <t>Organizational citizenship behavior, predictor of job performance</t>
  </si>
  <si>
    <t>International Journal of Innovation, Creativity and Change</t>
  </si>
  <si>
    <t>https://www.resurchify.com/all_ranking_details_2.php?id=18730</t>
  </si>
  <si>
    <t>http://irek.ase.md/xmlui/bitstream/handle/1234567890/815/Covas_Lilia_teza_habilitat.pdf?sequence=1&amp;isAllowed=y</t>
  </si>
  <si>
    <t>http://irek.ase.md/</t>
  </si>
  <si>
    <t>The Relationship between Work Engagement, Organizational Cynism and Job Satisfaction in a...</t>
  </si>
  <si>
    <t>IJETSAR (International Journal of Education Technology and Scientific Researches)</t>
  </si>
  <si>
    <t xml:space="preserve">S.I.Surugiu (Univ. Bucuresti), C.Moșoiu (ULBS) </t>
  </si>
  <si>
    <t>FSSU 7</t>
  </si>
  <si>
    <t>The aggressive behavior of adolescents in institutionalized system</t>
  </si>
  <si>
    <t>M. Chumakova, M. Zhukova, S. Kornilov. Psychological, Social and Emotional Well-Being of Adults with a History of Institutionalization; PSYCHOLOGY. Journal of the Higher School of Economics</t>
  </si>
  <si>
    <t>https://psy-journal.hse.ru/data/2020/04/23/1559881051/102-117.pdf</t>
  </si>
  <si>
    <t>SCOPUS, EBSCO, UlrichsWeb</t>
  </si>
  <si>
    <t>Dragoman Dragos (ULBS)</t>
  </si>
  <si>
    <t>Regional Inequalities, Decentralization and the Performance of Local Governments in Post-Communist Romania</t>
  </si>
  <si>
    <t xml:space="preserve">Bacau Simona, Gradinaru Simona, Hersperger Anna, Spatial plan as relational data, Land Use Policy, 92, </t>
  </si>
  <si>
    <t>https://www.sciencedirect.com/science/article/pii/S0264837719316059</t>
  </si>
  <si>
    <t>Anatoly Buzev, Svetlana Cebotari (Academia Militară a Forțelor Armate „Alexandru cl Bun” din Chișinău)</t>
  </si>
  <si>
    <t>Străuțiu, Eugen, The Transnistrian Conflict Files, TechnoMedia, Sibiu, 2017</t>
  </si>
  <si>
    <t>Anatoly Buzev, Svetlana Cebotari, MIGRATIA ILEGALĂ PE SEGMENTUL CENTRAL (TRANSNISTREAN) AL FRONTIEREI DE STAT A REPUBLICII MOLDOVA, „Anuarul Laboratorului pentru Analiza Conflictului Transnistrean”, IV, nr. 1/2020, p. 12</t>
  </si>
  <si>
    <t>https://www.ceeol.com/search/journal-detail?id=2116</t>
  </si>
  <si>
    <t>CEEOL, Index Copernicus, e-Library</t>
  </si>
  <si>
    <t>Grigore Gorincioi (Universitatea „1 Decembrie” din Alba Iulia)</t>
  </si>
  <si>
    <t>Grigore Gorincioi, IDENTITATEA ETNICĂ A REPUBLICII MOLDOVA ŞI CONFLICTUL TRANSNISTREAN (1989-1992), „Anuarul Laboratorului pentru Analiza Conflictului Transnistrean”, IV, nr. 1/2020, p. 56</t>
  </si>
  <si>
    <t>Eugen Străuțiu, Forțele armate în regiunea transnistreană. Evaluări cantitative și calitative, „Studia Securitatis”, Vol. VIII, No. 2, 2014</t>
  </si>
  <si>
    <t>Mihai Melintei (ULBS)</t>
  </si>
  <si>
    <t xml:space="preserve"> Mihai Melintei, PROBLEMA TELECOMUNICAȚIILOR ÎN PROCESUL DE REGLEMENTARE A CONFLICTULUI TRANSNISTREAN, „Anuarul Laboratorului pentru Analiza Conflictului Transnistrean”, IV, nr. 1/2020, p. 71</t>
  </si>
  <si>
    <t>Marius Șpechea (ULBS)</t>
  </si>
  <si>
    <t>Marius Șpechea, ACTIVITATEA GRUPURILOR SECTORIALE DE LUCRU ȘI EVOLUȚIA PROCESULUI DE REGLEMENTARE TRANSNISTREANĂ (ANUL 2020),  „Anuarul Laboratorului pentru Analiza Conflictului Transnistrean”, IV, nr. 1/2020p. 118</t>
  </si>
  <si>
    <t>DIANA BENCHECI, Bencheci Marcel, KURTSKHALIA Alexander (Universitatea de Stat a Moldovei din Chișinău)</t>
  </si>
  <si>
    <t>DIANA BENCHECI, Bencheci Marcel, KURTSKHALIA Alexander, STRATEGII ŞI TACTICI DE SOLUŢIONARE A CONFLICTELOR TERITORIALE DIN REPUBLICA MOLDOVA ȘI GEORGIA PRIN PRISMA DREPTULUI INTERNAŢIONAL,  „Anuarul Laboratorului pentru Analiza Conflictului Transnistrean”, IV, nr. 1/2020</t>
  </si>
  <si>
    <t>https://www.ceeol.com/search/article-detail?id=821575</t>
  </si>
  <si>
    <t>Aurelian Lavric (Academia Militară a Forțelor Armate „Alexandru cel Bun” din Chișinău)</t>
  </si>
  <si>
    <t>Aurelian Lavric, PĂRȚILE STATULUI MOLDOVENESC DE PE MALURILE DREPT ȘI STÂNG ALE NISTRULUI: VALORI ȘI INTERESE COMUNE, „Anuarul Laboratorului pentru Analiza Conflictului Transnistrean”, IV, nr. 1/2020</t>
  </si>
  <si>
    <t>https://www.ceeol.com/search/article-detail?id=821573</t>
  </si>
  <si>
    <t>Veaceslav Popescul (Universitatea Taras Sevcenco din Tiraspol)</t>
  </si>
  <si>
    <t>Veaceslav Popescul, СОБЛЮДЕНИЕ ПРАВ ЧЕЛОВЕКА В ПРИДНЕСТРОВЬЕ: ПРОБЛЕМЫ, ОСОБЕННОСТИ И НЕЗАВИСИМЫЕ ОТЧЕТЫ, „Anuarul Laboratorului pentru Analiza Conflictului Transnistrean”, IV, nr. 1/2020, p.  124</t>
  </si>
  <si>
    <t>Mihai Melintei, Marius Șpechea (ULBS)</t>
  </si>
  <si>
    <t>Mihai Melintei, Marius Șpechea, ASPECTE IDENTITAR RELIGIOASE ÎN REGIUNEA TRANSNISTREANĂ. RETROSPECTIVE ȘI PERSPECTIVE, „Anuarul Laboratorului pentru Analiza Conflictului Transnistrean”, IV, nr. 1/2020, p. 141</t>
  </si>
  <si>
    <t>Luca Sabina (ULBS)</t>
  </si>
  <si>
    <t>FSSU 3</t>
  </si>
  <si>
    <t>Identitatea socioculturala a tinerilor, Iasi, Institutul European, 2010</t>
  </si>
  <si>
    <t>Maria Epatov, Jurnalul ca forma de memorie culturala. Identitate si alteritate in scrierile lui Arșavir Acterian, in EISH (Etudes Interdisciplinaires on Sciences humaines, n2 7, 2020</t>
  </si>
  <si>
    <t>https://ojs.iliauni.edu.ge/index.php/eish/article/view/486</t>
  </si>
  <si>
    <t>OJS</t>
  </si>
  <si>
    <t xml:space="preserve">Munteanu Nicoleta Annemarie </t>
  </si>
  <si>
    <t>Media component of the military conflicts [Componenta mediatică a conflictelor militare]</t>
  </si>
  <si>
    <t>Studia Securitatis, Eugen Străuțiu, An Analytical and Normative Approach to Mass-media Operation, in Comlementarity wirh Modern Military Operation, Studia Securitatis, vol. XIV, nr.1/2020, ISSN 1843-1925</t>
  </si>
  <si>
    <t>CEEOL, EBSCO, INDEX COPERNICUS, ULRICH'S PERIODICAL DIRECTORY, INFOBASE INDEX, SOCIONET.RURESEARCHBIBMIAR,GLOBAL IMPACT&amp;QUALITY FACTOR</t>
  </si>
  <si>
    <t>Requirements of Freedom of Speech in Media [Exigențe ale libertății de exprimare în mass-media], Burg Publisher, Sibiu, 2009</t>
  </si>
  <si>
    <t xml:space="preserve">Illegal Migration. Approach from the Perspective of Open Source Intelligence (OSINT), ”Research and Science Today Journal”, Vol. 18, No. 2, 2019, pp. 103-116; </t>
  </si>
  <si>
    <t>Cyber Security Threats. Combating Fake News. The European Commission Vision, ”Studia Securitatis”, ISSN 1843-1925, Vol. XIII, No. 1, 2019, pp. 56-70</t>
  </si>
  <si>
    <t>Advertising Terrorism. Retrospective of the Year 2017, ”Studia Securitatis”, ISSN 1843-1925, Vol. XII, No. 2, 2018, pp. 47-67</t>
  </si>
  <si>
    <t>The Transnistrian Conflict files, edited by Eugen Străuțiu, ”Yearbook of the Laboratory for the Transnistrian Conflict Analysis”, ISSN: 2601-117, Vol. I, No. 1, 2017, pp. 93-97</t>
  </si>
  <si>
    <t>Considerations on Mass-media in Transnistria, ”Studia Securitatis”, ISSN 1843-1925, No. 2, 2017, pp. 134-148</t>
  </si>
  <si>
    <t>Factors that Influence the Modern Military Operation, ”Studia Securitatis”, ISSN 1843-1925, Vol. XI, No. 1, 2017, pp. 57-66</t>
  </si>
  <si>
    <t xml:space="preserve">Specific Structures and Activities regarding Media Operations in Romania, ”Studia Securitatis”, ISSN 1843-1925, Vol. X, No. 1, 2016, pp. 123-128; </t>
  </si>
  <si>
    <t xml:space="preserve">NATO Public Information Policy. Institutional Architecture, Revista ”Studia Securitatis”, CNCSIS, B+, ISSN 1843-1925, Vol. IX, No. 2/2015, pp. 140-146; </t>
  </si>
  <si>
    <t>The Transformation of Media Operation into Media War, ”Studia Securitatis”, ISSN 1843-1925, Vol. X, No. 1, 2015, pp. 85-93;</t>
  </si>
  <si>
    <t>Web Communication Structures in Transnistrian Authorities Case, ”Studia Securitatis”, ISSN 1843-1925, Vol. X, No. 3, 2015, pp. 55-63</t>
  </si>
  <si>
    <t>Measurements and Space in Modern Military Operations, ”Studia Securitatis” , ISSN 1843-1925, Vol. IX, No. 3, 2014,  pp. 79-84</t>
  </si>
  <si>
    <t>Media operation. Complementarity of Modern Military Actions, ”Magazine of Land Forces Academy „Nicolae Bălcescu”,  Vol. 76, No. 4(76), 2014, pp.359-365</t>
  </si>
  <si>
    <t>Mass-media Operations and Modern Military Operations. Civil-military Cooperation CIMIC, ”Studia Securitatis”, ISSN 1843-1925, Vol. IX, No. 2, 2014, pp. 151-159</t>
  </si>
  <si>
    <t>The Influence of Mediate Communication on the Military Organizations, ”Magazine of Land Forces Academy Nicolae Bălcescu” Sibiu, ISSN 1582-6384, Vol. XVIII, No.2(70)/2013, pp. 124-130</t>
  </si>
  <si>
    <t>History` Pages of the Romanian Human Security: Freedom of Speech and Press until the Revolution in 1989,  ”Studia Securitatis”, ISSN 1843-1925, Vol. VII, No. 2, 2012</t>
  </si>
  <si>
    <t>Communication in Crises. Interferences With Human Security, ”Studia Securitatis”, ISSN 1843-1925, Vol. VII, No. 1, 2012</t>
  </si>
  <si>
    <t>Mass Communication: Component of the Strategy to Ensure Human Security in Crisis and Conflict Management, ”Review of Land Forces Academy Nicolae Bălcescu” of Sibiu ISSN 2247-840X, ISSN-L 1582-6384, Vol. XVII, No. 3 (67), 2012, pp. 249-255</t>
  </si>
  <si>
    <t>International Communication, an essential Element of European Integration, ”History&amp;Politics”, Year V, No. 2(10), Chișinău, 2012, pp. 147-157</t>
  </si>
  <si>
    <t>Effects of Globalization on Mass Communication, ”Review of Land Forces Academy Nicolae Bălcescu” ISSN 1582-6384, Sibiu, Vol. XVI, No. 4 (64), 2011, pp. 426-433</t>
  </si>
  <si>
    <t>Organizational Communication. Case Study: Military Organization, "Studia Securitatis", ISSN 1843-1925, Sibiu, Vol. VI, No. 3, 2011, pp. 44-45</t>
  </si>
  <si>
    <t>Media Challenges: Conflict Prevention, “Moldoscopie. Issues of Political Analyze”, No. 1 (LII), 2011, pp. 147-156</t>
  </si>
  <si>
    <t>Mass-media Role in Conflict Prevention, ”Review of Land Forces Academy Nicolae Bălcescu” Sibiu, ISSN 1582-6384, Vol. XVI, No. 1(61), 2011, pp. 29-36</t>
  </si>
  <si>
    <t>International Humanitarian Law – Guarantor for War Correspondent Security?,  "Studia Securitatis", ISSN 1843-1925, Vol. V, No. 3, 2010, pp. 122-127</t>
  </si>
  <si>
    <t>Communication Process in Post conflict Period, ”Scientific Bulletin of Land Forces Academy Nicolae Bălcescu” Sibiu, ISSN 1224-5178, Vol. XV, No. 1 (29), 2010, https://www.armyacademy.ro/cercetare/bul1_2010.pdf;</t>
  </si>
  <si>
    <t>Media Networks and Security. Case Study: Al-Jazeera, "Studia Securitatis",ISSN 1843-1925, Vol. IV, No. 5, 2009</t>
  </si>
  <si>
    <t>Communication in Crises”, "Studia Securitatis", CNCSIS, B+, ISSN 1843-1925, Vol. IV, No. 4/2009</t>
  </si>
  <si>
    <t>Terrorist Actions and Media Violence, "Studia Securitatis", CNCSIS, B+, ISSN 1843-1925, vol. III, No. 4/2008</t>
  </si>
  <si>
    <t>Communication – Intrinsic Element of Negotiation and Diplomacy” "Studia Securitatis", CNCSIS, B+, ISSN 1843-1925, Vol. III, No. 2/2008</t>
  </si>
  <si>
    <t>Media. Terrorism Weapon, "Studia Securitatis", CNCSIS, B+, ISSN 1843-1925, Vol. II, No.5-6/2007</t>
  </si>
  <si>
    <t>Operația mass-media, Complementaritate a operației militare moderne, Techno Media, Sibiu, 2019, p. 16</t>
  </si>
  <si>
    <t>Alexandru Rioşanu (1892-1941), un colonel la datorie, în „Revista Militară”. Studii de securitate şi apărare. Publicaţie ştiinţifică. Academia Militară a Forţelor Armate „Alexandru cel Bun”. Ministerul Apărării al Republicii Moldova. Nr. 2 (12)/2014, pp. 146-155.</t>
  </si>
  <si>
    <t xml:space="preserve">Bălan Emanuel, Evreii şi „Steaua lui David” în timpul regimului Antonescu (1940-1944), în „Analele Liceului „Vasile Conta” Târgu-Neamţ”. Seria Istorie. Volumul II, nr. 1, iunie 2020, p. 184. </t>
  </si>
  <si>
    <t>https://papers.ssrn.com/sol3/papers.cfm?abstract_id=3733517#page=183</t>
  </si>
  <si>
    <t>CEEOL, https://www.ceeol.com/search/article-detail?id=933196</t>
  </si>
  <si>
    <t>Participarea Jandarmeriei române la campania de eliberare a Basarabiei şi nordului Bucovinei (1941), în „Revista de Istorie a Moldovei”. Institutul de Istorie al Moldovei, nr. 3 (103), iulie-septembrie 2015, pp. 99-120.</t>
  </si>
  <si>
    <t xml:space="preserve">Ioan Valentin, Pregătirea ofiţerilor jandarmi în anul 1935 pentru îndeplinirea Serviciului Pretoral, în „Analele Liceului „Vasile Conta” Târgu-Neamţ”. Seria Istorie. Volumul II, nr. 1, iunie 2020, p. 225. </t>
  </si>
  <si>
    <t>CEEOL, https://www.ceeol.com/search/article-detail?id=933208</t>
  </si>
  <si>
    <t xml:space="preserve">Ioan Marcel, Legiunea de Jandarmi Covurlui în perioada 1940-1941, în „Analele Liceului „Vasile Conta” Târgu-Neamţ”. Seria Istorie. Volumul II, nr. 1, iunie 2020, p. 231. </t>
  </si>
  <si>
    <t>CEEOL, https://www.ceeol.com/search/article-detail?id=933209</t>
  </si>
  <si>
    <t>Serviciile secrete şi Basarabia (1918-1991). Dicţionar. Ed. Militară, Bucureşti, 2008, 319 pg.</t>
  </si>
  <si>
    <t xml:space="preserve">Aparaschivei Sorin, Nicolae Ştefănescu – at the Service of the Romanian State and Nation, în „Romanian Military Thinking”, nr. 3/ 2020, p. 251. </t>
  </si>
  <si>
    <t>https://en-gmr.mapn.ro/app/webroot/fileslib/upload/files/arhiva%20reviste/RMT/2020/3%202020%20rmt/RMT_3_2020.pdf#page=137</t>
  </si>
  <si>
    <t>CEEOL, https://www.ceeol.com/search/article-detail?id=913113</t>
  </si>
  <si>
    <t>Moraru P., Urmaşii lui Felix Dzerjinski: organele securităţii statului din Republica Sovietică Socialistă Moldovenească (1940-1991). Colecţia „Sinteze”. Institutul Naţional pentru Studiul Totalitarismului al Academiei Române, Bucureşti, 2008, 288 pg.</t>
  </si>
  <si>
    <t xml:space="preserve">Malacenco Alexandru, NKGB, tineretul și intelectualii în RSS Moldovenească în primii ani postbelici, în „Conferința O utopie devenită realitate: învăţământul superior în RSS Moldovenească – de la planificare la reproducere, Chişinău, Moldova, 15-17 octombrie 2020”. Responsabili de ediţie Rotaru L., Xenofontov I., Tipografia „Lexon-Prim”, Chişinău, 2020, p., 124. </t>
  </si>
  <si>
    <t>https://www.academia.edu/44316901/NKGB_youth_and_intellectuals_in_Moldavian_SSR_in_the_first_post_war_years_NKGB_TINERETUL_%C8%98I_INTELECTUALII_%C3%8EN_RSS_MOLDOVENEASC%C4%82_%C3%8EN_PRIMII_ANI_POSTBELICI</t>
  </si>
  <si>
    <t>Moraru P., SMERŞ în Basarabia. 1944-1954. Editura Militară, Bucureşti, 2013, 334 pg.</t>
  </si>
  <si>
    <t>Organizarea şi activitatea structurilor securităţii statului din R.S.S.M. (1940-1991), în „Panorama comunismului în Moldova Sovietică. Context, surse, interpretări”. Editor: Liliana Corobca. Ed. „Polirom”, Iași, 2019, pp. 304-336.</t>
  </si>
  <si>
    <t xml:space="preserve">Malacenco Alexandru, Serviciile de securitate în teritoriile „eliberate” de către URSS în primii ani postbelici, în „Faţete ale comunismului în România și în R(A)SS Moldovenească: politică, societate și economie”. Coordonatori: Cristina Preutu, Anatol Petrencu, Editura Universităţii „Alexandru Ioan Cuza” din Iaşi, 2020, p. 66. </t>
  </si>
  <si>
    <t>https://www.academia.edu/44598091/State_Security_Services_in_the_Territories_Liberated_by_the_USSR_in_the_First_Post_War_Years_SERVICIILE_DE_SECURITATE_%C3%8EN_TERITORIILE_ELIBERATE_DE_C%C4%82TRE_URSS_%C3%8EN_PRIMII_ANI_POSTBELICI</t>
  </si>
  <si>
    <t xml:space="preserve"> Urmaşii lui Felix Dzerjinski: organele securităţii statului din Republica Sovietică Socialistă Moldovenească (1940-1991). Colecţia „Sinteze”. Institutul Naţional pentru Studiul Totalitarismului al Academiei Române, Bucureşti, 2008, 288 pg.</t>
  </si>
  <si>
    <t>Malacenco Alexandru, First directives of the soviet NKGB in Bessarabia, March-August 1944, în „Istorie, Cultură şi Cercetare”, Vol. IV, coordonatori: Dumitru-Cătălin Rogojanu, Gherghina Boda, Ed. „Cetatea de Scaun”, Târgovişte 2020, p. 184.</t>
  </si>
  <si>
    <t>https://www.academia.edu/44493912/FIRST_DIRECTIVES_OF_THE_SOVIET_NKGB_IN_BESSARABIA_MARCH_AUGUST_1944</t>
  </si>
  <si>
    <t>Kharlamova, G. (Taras Shevchenko National University of Kyiv), Nate, S.(Lucian Blaga University of Sibiu), Chernyak, O. (Taras Shevchenko National University of Kyiv).</t>
  </si>
  <si>
    <t>Renewable Energy and Security for Ukraine: Challenge or Smart Way? Journal of International Studies 9(1), 88-115 (2016) DOI: 10.14254/2071-8330.2016/9-1/7</t>
  </si>
  <si>
    <t>Rabe, M., Streimikiene, D., &amp; Bilan, Y. (2020). Model of Optimization of Wind Energy Production in the Light of Legal Changes in Poland. Energies, 13(7), 1557. MDPI AG. Retrieved from http://dx.doi.org/10.3390/en13071557</t>
  </si>
  <si>
    <t>https://www.mdpi.com/1996-1073/13/7/1557</t>
  </si>
  <si>
    <t>Academic OneFile (Gale), AGRIS, CABI,
CAB Abstracts &amp; Global Health / CAB Direct, CAPlus / SciFinder, DOAJ, EBSCO, Engineering Village, Ei, Compendex, Inspec, LAPSE - Living, Archive for Process Systems, Engineering, ProQuest, RePEc, EconPapers, IDEAS
Scopus
Web of Science
SCIE, Current Contents - Engineering, Computing &amp; Technology.</t>
  </si>
  <si>
    <t>Sabishchenko, O., Rębilas, R., Sczygiol, N., &amp; Urbański, M. (2020). Ukraine Energy Sector Management Using Hybrid Renewable Energy Systems. Energies, 13(7), 1776. MDPI AG. Retrieved from http://dx.doi.org/10.3390/en13071776</t>
  </si>
  <si>
    <t>https://www.mdpi.com/1996-1073/13/7/1776</t>
  </si>
  <si>
    <t>Svistunov, O. (2020). A Forecast Model of Energy Security Level in The System of Managing Energy Efficiency at Enterprises.
 ISSN 1613-0073</t>
  </si>
  <si>
    <t>http://ceur-ws.org/Vol-2623/paper25.pdf</t>
  </si>
  <si>
    <t>Google Scholar, UlrichsWeb,
Directory of Open Access Journals.</t>
  </si>
  <si>
    <t>Siemiątkowski, P., Tomaszewski, P., Marszałek-Kawa, J., &amp; Gierszewski, J. (2020). The Financing of Renewable Energy Sources and the Level of Sustainable Development of Poland’s Provinces in the Area of Environmental Order. Energies, 13(21), 5591. MDPI AG. Retrieved from http://dx.doi.org/10.3390/en13215591</t>
  </si>
  <si>
    <t>https://www.mdpi.com/1996-1073/13/21/5591</t>
  </si>
  <si>
    <t>Vesela, N., Rodchenko, V., &amp; Hampel, D. (2020, November). PROSPECTS FOR ATTRACTING FOREIGN INVESTMENT IN THE CONTEXT OF GREEN TRANSFORMATION IN UKRAINE. In European Scientific Conference of Doctoral Students (p. 207).</t>
  </si>
  <si>
    <t>https://pefnet.mendelu.cz/wcd/w-rek-pefnet/pefnet20_extended_abstracts_web_final_version3.pdf#page=207</t>
  </si>
  <si>
    <t xml:space="preserve"> Proceedings Vol. ISBN 978-80-7509-749-1, published by Mendel University Press</t>
  </si>
  <si>
    <t>Tomczyk, P., &amp; Wiatkowski, M. (2020). Challenges in the Development of Hydropower in Selected European Countries. Water, 12(12), 3542. MDPI AG. Retrieved from http://dx.doi.org/10.3390/w12123542</t>
  </si>
  <si>
    <t>https://www.mdpi.com/2073-4441/12/12/3542</t>
  </si>
  <si>
    <t>Vasylieva, T., Machová, V., Vysochyna, A., Podgórska, J., &amp; Samusevych, Y. (2020). Setting up architecture for environmental tax system under certain socioeconomic conditions. Journal of International Studies Vol, 13(4).</t>
  </si>
  <si>
    <t>https://www.jois.eu/files/19-20_1084_Vasylieva%20et%20al.pdf</t>
  </si>
  <si>
    <t>Index Copernicus, ICV 2012: 6.78
GESIS,
EBSCOhost Online research databases,
Business Source International
SCIENCE INDEX, EconLit, BazEkon,
Norwegian Social Science Data Services (NSD), Ulrich's Periodicals Directory, Cabell's Directory, WorldCat, ERIH PLUS, BazHum, DOAJ,
SCOPUS, JUFO.
SJR 2019 0.485 | Q2 Business and International Management
h-index - 16 (2020) (Scopus®)</t>
  </si>
  <si>
    <t>Piven, V. S. (2020). The Economic Instruments for the Development of the Renewable Energy Sector in the EU and Ukraine.
https://doi.org/10.21272/mer.2020.88.15</t>
  </si>
  <si>
    <t>https://essuir.sumdu.edu.ua/bitstream-download/123456789/82285/1/Piven_mer_2_2020.pdf</t>
  </si>
  <si>
    <t>Index Copernicus, Research Papers in Economics (RePEc, US).</t>
  </si>
  <si>
    <t>Radomska, M. M., Ponomarenko, M. S., &amp; Nazarkov, T. I. (2020). THE ASSESSMENT OF UKRAINE’S PROSPECTS FOR THE FOSSIL FUELS PHASE-OUT. Science-Based Technologies, 48(4).
DOI: 10.18372/2310-5461.48.15090</t>
  </si>
  <si>
    <t>http://jrnl.nau.edu.ua/index.php/SBT/article/view/15090</t>
  </si>
  <si>
    <t>EBSCO, Simle Search Metadata (SSM)
Research Bible
Sjournals Index
The Vernadsky National Library of Ukraine
Universal Impact Factor
Directory of Research Journal Indexing (DRJI)
Google Scholar
Bielefeld Academic Search Engine (BASE)
Beardslee Library Journals
ISSN
Ulrichsweb global serials directory</t>
  </si>
  <si>
    <t>Kharlamova G. (Taras Shevchenko National University of Kyiv), Stavytskyy А. (Taras Shevchenko National University of Kyiv), Nate S. (Lucian Blaga University of Sibiu).</t>
  </si>
  <si>
    <t>Estimation of Renewable Energy Sources Application in the Synergy with European Union Policy, in Bulletin of Taras Shevchenko National University of Kyiv. Economics (ЕКОНОМІКА).   2018, Vol. 3,
Iss. 198, pp. 54–65. DOI: 10.17721/1728-2667.2018/198-3/7.</t>
  </si>
  <si>
    <t>Rozenský, L., Hajek, M., Vrba, Z., Pokorný, R., Hansen, J., &amp; Lipa, J. (2020). An analysis of renewable energy consumption efficiency in terms of greenhouse gas production in selected European countries. BioResources, 15(4), 7714.
DOI:10.15376/biores.15.4.7714-7729</t>
  </si>
  <si>
    <t>https://ojs.cnr.ncsu.edu/index.php/BioRes/article/view/BioRes_15_4_Rozensky_Renewable_Energy_Consumption_Efficiency
https://www.proquest.com/docview/2519352589?pq-origsite=gscholar&amp;fromopenview=true</t>
  </si>
  <si>
    <t>Nate, S. (ULBS), Buda, D. (ULBS)</t>
  </si>
  <si>
    <t>Eastern European geopolitics and
ecclesial autocephaly for the Ukrainian Orthodox Church: A hard way for Ukraine',
Teologia 80(3), 2019, 11-38.</t>
  </si>
  <si>
    <t>Morariu, I. M. (2020). The new Ukrainian Autocephalous Church and its image in the ecumenical space. HTS Theological Studies, 76(3), 1-6.</t>
  </si>
  <si>
    <t>https://hts.org.za/index.php/hts/article/view/6012</t>
  </si>
  <si>
    <t>Clarivate Analytics (Web of Science / ISI), Elsevier Scopus, Norwegian Scientific Register and SciELO SA,</t>
  </si>
  <si>
    <t>Stănuș, C. 2011. Politics and the ‘Ideology’ of Journalism in Romania: Results from Local Case Studies. Social Change Review, 9(2), 109-134.)</t>
  </si>
  <si>
    <t>Gulyas, A., &amp; Baines, D. (Eds.). (2020). The Routledge Companion to Local Media and Journalism. Routledge.</t>
  </si>
  <si>
    <t>https://books.google.ro/books?hl=en&amp;lr=&amp;id=3AXeDwAAQBAJ&amp;oi=fnd&amp;pg=PT22&amp;ots=wz9wtSMOex&amp;sig=zzT9ZghKzTzU95QSCP27uW-H1x8&amp;redir_esc=y#v=onepage&amp;q=st%C4%83nu%C8%99&amp;f=false</t>
  </si>
  <si>
    <t>Carte la editură internațională de prestigiu</t>
  </si>
  <si>
    <t>Bădescu, Gabriel (UBB), Comșa, Mircea (UBB), Gheorghiţă, Andrei (ULBS), Stănuș, Cristina (ULBS), Tufiș, Claudiu (UB)</t>
  </si>
  <si>
    <t>Bădescu, Gabriel, Comșa, Mircea, Gheorghiţă, Andrei, Stănuș, Cristina, Tufiș, Claudiu, Implicarea civică și politică a tinerilor, Constanţa: Editura Dobrogea, 2010.</t>
  </si>
  <si>
    <t>Sólyom, A. (2020). About the System of Prejudices among the Hungarian Youth in Romania, Slovakia, Serbia, and Ukraine. Acta Universitatis Sapientiae, Social Analysis, (10), 27-55.</t>
  </si>
  <si>
    <t>https://www.ceeol.com/search/article-detail?id=904675, http://www.acta.sapientia.ro/acta-social/C10/social10-02.pdf</t>
  </si>
  <si>
    <t>CEEOL, EBSCO, DOAJ</t>
  </si>
  <si>
    <t xml:space="preserve">Pop.D. (CRDE), Stănuș C. </t>
  </si>
  <si>
    <t>Pop.D., Stănuș C. 2014. The Governance of Educational Welfare Markets. Oxford: Peter Lang.</t>
  </si>
  <si>
    <t>Silova, I., &amp; Niyozov, S. (Eds.). (2020). Globalization on the margins: Education and post-socialist transformations in Central Asia. IAP.</t>
  </si>
  <si>
    <t>https://books.google.ro/books?redir_esc=y&amp;id=MlzXDwAAQBAJ&amp;q=st%C4%83nu%C8%99#v=snippet&amp;q=st%C4%83nu%C8%99&amp;f=false</t>
  </si>
  <si>
    <t xml:space="preserve">Carte la editură internațională  </t>
  </si>
  <si>
    <t>Teles, Filipe (U Aveiro), Gendzwill, Adam (U Varșovia), Stănuș, Cristina &amp; Hubert Heinelt (TU Darmstadt)</t>
  </si>
  <si>
    <t>Teles, Filipe, Gendzwill, Adam, Stănuș, Cristina &amp; Hubert Heinelt (eds.). 2020. Close Ties in European Local Governance: Linking Local State and Society. Cham: Palgrave</t>
  </si>
  <si>
    <t>Sack, D., Heinelt, H., &amp; Egner, B. (2020). Institutionalisierte Beziehungen zwischen lokalem Staat, Zivilgesellschaft und Wirtschaft–Politikfeldspezifische Unterschiede. In Neue Koalitionen–alte Probleme (pp. 81-99). Springer VS, Wiesbaden.</t>
  </si>
  <si>
    <t>https://link.springer.com/chapter/10.1007/978-3-658-28452-7_5</t>
  </si>
  <si>
    <t>Stănuș, C.</t>
  </si>
  <si>
    <t>Stănuș, C. (2016). Political Representation and Governance: The Case of Second-Tier Councilors in Romania. Transylvanian Review of Administrative Sciences, 12(48), 124-144.</t>
  </si>
  <si>
    <t xml:space="preserve">Radzik-Maruszak, K., Haveri, A., &amp; Pawłowska, A. (2020). Pro-Civic Representation? Citizens’ Participation in the Opinion of Finnish and Polish Local Councilors. Transylvanian Review of Administrative Sciences, 16(60), 85-103. </t>
  </si>
  <si>
    <t>https://www.rtsa.ro/tras/index.php/tras/article/view/630, https://apps-webofknowledge-com.am.e-nformation.ro/full_record.do?product=WOS&amp;search_mode=GeneralSearch&amp;qid=5&amp;SID=C5TGNvkykyimM1wN2JA&amp;page=1&amp;doc=2</t>
  </si>
  <si>
    <t>Trotman, Dave. 2020. Selected papers on education. Education Studies Press, Birmingham.</t>
  </si>
  <si>
    <t>https://www.researchgate.net/profile/Roger-Willoughby/publication/340256938_Dave_Trotman's_Selected_Papers_on_Education/links/6026ab0c92851c4ed56a8a72/Dave-Trotmans-Selected-Papers-on-Education.pdf#page=292</t>
  </si>
  <si>
    <t>C.-F. Dobre. (2020)Communism as a Frame of Reference in Romania: Public and Private Recollections. Sensus Historiae 41(4).</t>
  </si>
  <si>
    <t>http://sensushistoriae.epigram.eu/english/index.php/sensus/article/view/431</t>
  </si>
  <si>
    <t>EBSCO, ERIH PLUS</t>
  </si>
  <si>
    <t>Dragoș DRAGOMAN, Andreea ZAMFIRA</t>
  </si>
  <si>
    <t>« 2016 Romanian Regional Elections Report », Regional and Federal Studies, Vol. 28, No. 1, 2018, pp. 295-408.</t>
  </si>
  <si>
    <t>Mansyur Achmad, "Regional Autonomy In Literature: Indonesian And International", Al Kodiri: Jurnal Pendidikan, Sosial dan Keagamaan,  Vol .18, No. 2 (2020).</t>
  </si>
  <si>
    <t>http://ejournal.kopertais4.or.id/tapalkuda/index.php/qodiri/article/view/3932/2840</t>
  </si>
  <si>
    <t>http://ejournal.kopertais4.or.id/tapalkuda/index.php/qodiri/index</t>
  </si>
  <si>
    <t>Andreea ZAMFIRA</t>
  </si>
  <si>
    <t>« Methodological Limitations in Studying the Effect of (Inter)ethnicity on Voting Behaviour, with Examples from Bulgaria, Romania and Slovakia », Erdkunde, Bonn, Vol. 69, No. 2, 2015, pp. 161-173.</t>
  </si>
  <si>
    <t>B.KONECKA-SZYDŁOWSKA, T.HERODOWICZ, R.PERDAŁ, "DOES HISTORY MATTER? DEVELOPMENT DIFFERENCES IN POLAND",  in J.Bański (ed.). Dilemmas of regional and local development, Routledge. Routledge Exploration in Development Studies, 2020.</t>
  </si>
  <si>
    <t>https://www.researchgate.net/publication/339900711_Does_History_Matter_Development_Differences_in_Poland</t>
  </si>
  <si>
    <t>Carte publicată la Routledge</t>
  </si>
  <si>
    <t>Amrit Kumar, Shyam Prasad Phuyel, Kamal Kumar Poudel, "Vote Shifting Patterns: Comparative Cases from the Constituent Assembly Elections in Nepal", Vote Shifting Patterns: Comparative Cases from the Constituent Assembly Elections in Nepal, Journal of Social and Political Sciences, Vol.3 No.1, 2020.</t>
  </si>
  <si>
    <t>https://papers.ssrn.com/sol3/papers.cfm?abstract_id=3516662</t>
  </si>
  <si>
    <t>https://www.asianinstituteofresearch.org/jsp</t>
  </si>
  <si>
    <t>Rusu Horatiu (ULBS)
Bejenaru Anca (ULBS)</t>
  </si>
  <si>
    <t>Factors influencing school success in rural Romania: A case study based on data collected with the school success profile instrument. Studia Universitatis BabesBolyai Sociologia, LV(1), 2010, 71–88.</t>
  </si>
  <si>
    <t>Irina Elena Ion, Radu Lupu &amp; Elena Nicolae (2020) Academic achievement and professional aspirations: between the impacts of family, self-efficacy and school counselling, Journal of Family Studies, DOI: 10.1080/13229400.2020.1746685</t>
  </si>
  <si>
    <t>https://www.tandfonline.com/doi/citedby/10.1080/13229400.2020.1746685?scroll=top&amp;needAccess=true</t>
  </si>
  <si>
    <t>WoS; Scopus; EBSCOhost; Gale; PubMed; PsycINFO; ProQuest</t>
  </si>
  <si>
    <t>Bejenaru Anca (ULBS)
Roth Maria (UBB)</t>
  </si>
  <si>
    <t>Romanian adoptive families: Stressors, coping strategies and resources. Children &amp; Youth Services Review, 34(7), 1317_x0080__x0093_-1324, 2012. doi:10.1016/j.childyouth.2012.03.011</t>
  </si>
  <si>
    <t>Wrobel, G.M., Helder, E., &amp; Marr, E. (Eds.). (2020). The Routledge Handbook of Adoption (1st ed.). Routledge. https://doi.org/10.4324/9780429432040</t>
  </si>
  <si>
    <t>https://www.taylorfrancis.com/books/edit/10.4324/9780429432040/routledge-handbook-adoption-gretchen-miller-wrobel-emily-helder-elisha-marr</t>
  </si>
  <si>
    <t>Taylor &amp; Francis</t>
  </si>
  <si>
    <t>Bejenaru Anca (ULBS)
Tucker Stan (Newman University, Birmingham)</t>
  </si>
  <si>
    <t>An examination of the views of young people in the Romanian residential care system regarding their relationship with biological family members and the option of reintegration. Journal of Youth Studies, 20(7), 2017 855–871. https://doi.org/10.1080/13676261.2016.1273517</t>
  </si>
  <si>
    <t>Goodman, M. L., Gibson, D. C., Baker, L., &amp; Seidel, S. E. (2020). Family-level factors to reintegrate street-involved children in low- and middle-income countries: A scoping review. Children and Youth Services Review, 109, 104664. https://doi.org/10.1016/j.childyouth.2019.104664</t>
  </si>
  <si>
    <t>https://www.sciencedirect.com/science/article/pii/S0190740918309149?casa_token=B9mxxMPnMiQAAAAA:tmdYNyiMkhbtaSNQe2VB-1XEH6PHkaw3KqjrJWEecy6G3qhfqfWgwQvWUXctGrjVhpI26-KUtA#bb0055</t>
  </si>
  <si>
    <t>WoS; Scopus etc.</t>
  </si>
  <si>
    <t>Adrian V. Rus (Southwestern Christian Univ. USA)
Sheri R. Parris (Texas Christian Univ. USA)
Ecaterina Stativax (Institutul pentru Sanatatea Mamei si Copilului, Bucuresti)
Bejenaru Anca (ULBS)
Rebeca Webster (Southwestern Christian Univ. USA)
Jeremy Wente (Southwestern Christian Univ. USA)
Cojocaru Stefan (UAIC, RO)</t>
  </si>
  <si>
    <t xml:space="preserve"> An introduction to maltreatment in institutionalized children. In: Rus AV, Parris SR, Stativa E, eds.
Child maltreatment in residential care. Basel: Springer, 2017: 1–25</t>
  </si>
  <si>
    <t>van IJzendoorn, M. H., Bakermans-Kranenburg, M. J., Duschinsky, R., Fox, N. A., Goldman, P. S., Gunnar, M. R., Johnson, D. E., Nelson, C. A., Reijman, S., Skinner, G. C. M., Zeanah, C. H., &amp; Sonuga-Barke, E. J. S. (2020). Institutionalisation and deinstitutionalisation of children 1: A systematic and integrative review of evidence regarding effects on development. The Lancet Psychiatry, 7(8), 703–720. https://doi.org/10.1016/S2215-0366(19)30399-2</t>
  </si>
  <si>
    <t>https://pubmed.ncbi.nlm.nih.gov/32589867/</t>
  </si>
  <si>
    <t>WoS, PubMed</t>
  </si>
  <si>
    <t>Adrian V. Rus (Southwestern Christian Univ. USA)
Sheri R. Parris (Texas Christian Univ. USA)
Ecaterina Stativax (Institutul pentru Sanatatea Mamei si Copilului, Bucuresti, RO)
Bejenaru Anca (ULBS)
Rebeca Webster (Southwestern Christian Univ. USA)
Jeremy Wente (Southwestern Christian Univ. USA)
Cojocaru Stefan (UAIC, RO)</t>
  </si>
  <si>
    <t>An introduction to maltreatment
in institutionalized children. In: Rus AV, Parris SR, Stativa E, eds.
Child maltreatment in residential care. Basel: Springer, 2017: 1–25</t>
  </si>
  <si>
    <t xml:space="preserve">Zijlstra, A. E., Menninga, M. C., van Os, E. C. C., &amp; Kalverboer, M. E. (2020). They ask for protection: An exploratory study into experiences with violence among unaccompanied refugee children in Dutch reception facilities. Child Abuse &amp; Neglect, 103, 104442. https://doi.org/10.1016/j.chiabu.2020.104442
</t>
  </si>
  <si>
    <t>https://www.sciencedirect.com/science/article/abs/pii/S0145213420300971?casa_token=L_i48NJTuBMAAAAA:HkWu4JOlO334v5qzlzxxBpEVIZOGpwLxdecnFRqZabGGssy8DXr2tXvs3syG8gSGHoIF3p_sAQ</t>
  </si>
  <si>
    <t>WoS, Scopus etc.</t>
  </si>
  <si>
    <t>An introduction to maltreatment in institutionalized children. In: Rus AV, Parris SR, Stativa E, eds.
Child maltreatment in residential care. Basel: Springer, 2017: 1–25</t>
  </si>
  <si>
    <t xml:space="preserve">Cordisco Tsai, L., Lim, V., &amp; Nhanh, C. (2020). Perspectives of boys on their experiences in human trafficking shelter programming in Cambodia. Journal of Human Behavior in the Social Environment, 1–16. https://doi.org/10.1080/10911359.2020.1845902
</t>
  </si>
  <si>
    <t>https://www.tandfonline.com/doi/abs/10.1080/10911359.2020.1845902</t>
  </si>
  <si>
    <t>WoS, PsychInfo/Psychological Abstracts; Scopus.</t>
  </si>
  <si>
    <t>Immigration, transition to parenthood, and parenting. In I. Vlase &amp; B. Voicu (Eds.), Gender, family, and adaptation of migrants in Europe. Cham, Switzerland: Palgrave Macmillan. 2018.</t>
  </si>
  <si>
    <t xml:space="preserve">Haan, M., Koeman, M., &amp; Winter, M. (2020). Reshaping Parental Ethnotheories of Dutch‐Moroccan Immigrant Parents in the Netherlands: Networking in Multiple Worlds. New Directions for Child and Adolescent Development, 2020(170), 171–193. https://doi.org/10.1002/cad.20339
</t>
  </si>
  <si>
    <t>https://onlinelibrary.wiley.com/doi/full/10.1002/cad.20339</t>
  </si>
  <si>
    <t>Romanian adoptive families: Stressors, coping strategies and
resources. Children and Youth Services Review, 34(7), 2012, 1317–1324.
doi:10.1016/j .childyouth.2012.03.011</t>
  </si>
  <si>
    <t>You, Soo-Bin, "Korean American Immigrant Mothers’ Child Launching Experiences : Understanding of Parenting and Mother-Child Relationships in Midlife" (2020). Theses, Dissertations and Culminating Projects. 541.</t>
  </si>
  <si>
    <t>https://digitalcommons.montclair.edu/etd/541/</t>
  </si>
  <si>
    <t>Montclair State University Digital Commons</t>
  </si>
  <si>
    <t xml:space="preserve">Challenging dominant representations of residential childcare in Romania: An exploration of the views of children and young people living in the care system. Journal of Youth Studies, 17(10), 1292–1305, 2014. https://doi.org/10.1080/13676261.2014.918250
</t>
  </si>
  <si>
    <t>Rus, A. V., Lee, C. W., Bautista Salas, D. B., Parris, S. R, Webster, R. D., Lobo, A. R., Stativa, E., &amp; Popa, C. O. (2020). Bronfenbrenner’s ecological system theory and the experience of institutionalization of Romanian children. In Popa, C., Lee, W. C., &amp; Rus, A. V. (Eds.) (2020). New approaches in behavioral sciences (pp. 237-251). University Press, 2020</t>
  </si>
  <si>
    <t xml:space="preserve">https://librarie.umfst.ro/new-approaches-behavioral-sciences </t>
  </si>
  <si>
    <t>University Press
(dovada atasata)</t>
  </si>
  <si>
    <t>Anatolie Coșciug</t>
  </si>
  <si>
    <t>Research notes on social capital formation in religious organizations among Polish young migrants in the UK</t>
  </si>
  <si>
    <t>Katarzyna Leszczynska, Sylwia Urbanska, Katarzyna Zielinska. 2020.Poza granicami. Płeć społeczno-kulturowa w katolickich organizacjach migracyjnych. Publisher: Zakład Wydawniczy NOMOSISBN: 978-83-7688-566-7</t>
  </si>
  <si>
    <t>https://www.researchgate.net/publication/326126593_'We_Don't_Differentiate_between_Old_and_New_Arrivals'_Research_Notes_on_Social_Capital_Formation_in_Religious_Organizations_among_Polish_Young_Migrants_in_the_UK/citations</t>
  </si>
  <si>
    <t>RG Anghel (ISPMN), A Botezat (AR), A Coșciug, I Manafi (ASE), M Roman (ASE)</t>
  </si>
  <si>
    <t>International Migration, Return Migration, and Their Effects: A Comprehensive Review on the Romanian Case</t>
  </si>
  <si>
    <t>Mihalache, Flavius. (2020). Mediul rural între 1990 și 2020. Transformări și decalaje. Cluj-Napoca: Presa Universitară Clujeană.</t>
  </si>
  <si>
    <t>https://www.researchgate.net/publication/343600085_Mediul_rural_1990-2020_Transformari_si_decalaje</t>
  </si>
  <si>
    <t>Groth, Stefan, Sarah May, and Johannes Müske, eds. Vernetzt, entgrenzt, prekär?: Kulturwissenschaftliche Perspektiven auf Arbeit im Wandel. Vol. 17. Campus Verlag GmbH, 2020.</t>
  </si>
  <si>
    <t>https://books.google.ro/books?id=q8bPDwAAQBAJ&amp;pg=PA83&amp;lpg=PA83&amp;dq=%22International+Migration+Return+Migration+and+Their+Effects+A+Comprehensive+Review+on+the+Romanian+Case%22&amp;source=bl&amp;ots=vFEw9-sh9F&amp;sig=ACfU3U05MZHZJ_mQgDC6Vek0-mX6paW1AQ&amp;hl=en&amp;sa=X&amp;ved=2ahUKEwjF57XHirnuAhVFEncKHV3gDMY4KBDoATAIegQIBhAC#v=onepage&amp;q=%22International%20Migration%20Return%20Migration%20and%20Their%20Effects%20A%20Comprehensive%20Review%20on%20the%20Romanian%20Case%22&amp;f=false</t>
  </si>
  <si>
    <t>Horobet, Alexandra, Lucian Belascu, Persefoni Polychronidou, and Anastasios Karasavvoglou. Global, Regional and Local Perspectives on the Economies of Southeastern Europe. Springer, 2020.</t>
  </si>
  <si>
    <t>https://books.google.ro/books?id=vZAOEAAAQBAJ&amp;pg=PA104&amp;lpg=PA104&amp;dq=%22International+Migration+Return+Migration+and+Their+Effects+A+Comprehensive+Review+on+the+Romanian+Case%22&amp;source=bl&amp;ots=4SZIhOlR2q&amp;sig=ACfU3U1mg1f1ucvvhGTt8PYHQ_uFiM_LjQ&amp;hl=en&amp;sa=X&amp;ved=2ahUKEwjF57XHirnuAhVFEncKHV3gDMY4KBDoATAEegQIBxAC#v=onepage&amp;q=%22International%20Migration%20Return%20Migration%20and%20Their%20Effects%20A%20Comprehensive%20Review%20on%20the%20Romanian%20Case%22&amp;f=false</t>
  </si>
  <si>
    <t>Cristina Raluca Iacob Bâra. 2020. Cauzele determinante ale fenomenului brain drain în România. Dublă perspectivă: discursul mass-media și opinia emigranților cu studii superioare. SNSPA</t>
  </si>
  <si>
    <t>http://comunicare.ro/en/uploads/BurseSpiruHaret/Proj-RalCI.pdf</t>
  </si>
  <si>
    <t xml:space="preserve">Google Scholar </t>
  </si>
  <si>
    <t xml:space="preserve">Dominik Hammer, Gabriella Fazakas, Adél Kiss, Malika Murzagali, dr Iwona Nowak, Boglárka Péter. 2020. </t>
  </si>
  <si>
    <t>https://jimdo-storage.global.ssl.fastly.net/file/0c09f6f4-102b-45b6-8089-766be7fa8769/NAMED_Study.pdf</t>
  </si>
  <si>
    <t>Lafleur, Jean-Michel, and Daniela Vintila. Migration and social protection in Europe and beyond (Volume 2): Comparing consular services and diaspora policies. Springer Nature, 2020.</t>
  </si>
  <si>
    <t>https://books.google.ro/books?id=FmMGEAAAQBAJ&amp;pg=PA425&amp;lpg=PA425&amp;dq=%22Cosciug,+A.%22&amp;source=bl&amp;ots=IfKFw-wVeH&amp;sig=ACfU3U27XSi7iKzlKy0X2DfnYMDGo2Edbw&amp;hl=en&amp;sa=X&amp;ved=2ahUKEwjn0djX9LfuAhUNiYsKHYWDDNQ4MhDoATAIegQICxAC#v=onepage&amp;q=%22Cosciug%2C%20A.%22&amp;f=false</t>
  </si>
  <si>
    <t>VASILESCU, Maria-Antoaneta. "EVALUATION OF ADAPTATION CAPACITY AND THE IMPORTANCE OF COMMUNICATION BETWEEN CHILDREN AND PARENTS WHO EMIGRATE.No. 3, Year 2/2020. https://doi.org/10.26520/peijes.2020.3.2.37-46"</t>
  </si>
  <si>
    <t>http://peijes.com/gallery/no.3-year2-2020-4-proedu-antoaneta-vasilescu.pdf</t>
  </si>
  <si>
    <t>Ciocan, Ioana-Tatiana, and Mădălina Hususan. 2020. "INTERCULTURAL COMMUNICATION IN THE CONTEXT OF MIGRATION AS A FORM OF SOCIAL ACCOMMODATION AND INTEGRATION." MULTIDISCIPLINARY RESEARCH JOURNAL: 114.</t>
  </si>
  <si>
    <t>http://cogito.ucdc.ro/COGITO23decembrie2020.pdf#page=114</t>
  </si>
  <si>
    <t>Ilea, Codrin Dan Nicolae, Lucia Georgeta Daina, Simona Bungau, Delia Mirela Tit, Diana Uivarosan, Lavinia Moleriu, Ion Petre, Constantin Bungau, and Izabella Petre. "Sustainable Management, Instable Legislation Regarding Wages, and Employee Satisfaction/Motivation in Two Romanian Hospitals." Sustainability 12, no. 3 (2020): 909.</t>
  </si>
  <si>
    <t>https://www.mdpi.com/2071-1050/12/3/909</t>
  </si>
  <si>
    <t>WoS / SCOPUS</t>
  </si>
  <si>
    <t>Prada, Elena-Maria. "The Relationship Between Sustainable Development Goals and Migration. An EU-28 Perspective." Journal of Social and Economic Statistics 9, no. 1 (2020): 28-45.</t>
  </si>
  <si>
    <t>https://content.sciendo.com/view/journals/jses/9/1/article-p28.xml</t>
  </si>
  <si>
    <t>Saa, Isabella Loaiza, Matej Novak, Alfredo J. Morales, and Alex Pentland. "Looking for a better future: modeling migrant mobility." Applied Network Science 5, no. 1 (2020): 1-19.</t>
  </si>
  <si>
    <t>https://link.springer.com/article/10.1007/s41109-020-00308-9</t>
  </si>
  <si>
    <t>Iordache, Mihaela, and Mihaela Matei. "Explaining Recent Romanian Migration: A Modified Gravity Model with Panel Data." Journal of Social and Economic Statistics 9, no. 1 (2020): 46-64.</t>
  </si>
  <si>
    <t>https://content.sciendo.com/view/journals/jses/9/1/article-p46.xml</t>
  </si>
  <si>
    <t>Tankovsky, Oleg, and Viktória Endrődi-Kovács. "The Economic Integration Maturity of Romania and Bulgaria." In Global, Regional and Local Perspectives on the Economies of Southeastern Europe, pp. 91-104. Springer, Cham, 2020.</t>
  </si>
  <si>
    <t>https://link.springer.com/chapter/10.1007/978-3-030-57953-1_6</t>
  </si>
  <si>
    <t>Gherheș, Vasile, Gabriel-Mugurel Dragomir, and Mariana Cernicova-Buca. "Migration intentions of Romanian engineering students." Sustainability 12, no. 12 (2020): 4846.</t>
  </si>
  <si>
    <t>https://www.mdpi.com/2071-1050/12/12/4846</t>
  </si>
  <si>
    <t>Croitoru, Alin. "Great Expectations: A Regional Study of Entrepreneurship Among Romanian Return Migrants." Sage Open 10, no. 2 (2020): 2158244020921149.</t>
  </si>
  <si>
    <t>https://econpapers.repec.org/article/saesagope/v_3a10_3ay_3a2020_3ai_3a2_3ap_3a2158244020921149.htm</t>
  </si>
  <si>
    <t>Nica, Felicia, and Madalina Moraru. "Diaspora policies, consular services and social protection for Romanian citizens abroad." Migration and Social Protection in Europe and Beyond (Volume 2) (2020): 409.</t>
  </si>
  <si>
    <t>https://www.researchgate.net/profile/Kristyna_Janurova/publication/345714095_Diaspora_Policies_Consular_Services_and_Social_Protection_for_Czech_Citizens_Abroad/links/5fab8d87299bf18c5b64c5f0/Diaspora-Policies-Consular-Services-and-Social-Protection-for-Czech-Citizens-Abroad.pdf#page=408</t>
  </si>
  <si>
    <t>Eisch-Angus, Katharina, Sarah Scholl-Schneider, and Marketa Spiritova, eds. Jahrbuch Kulturelle Kontexte des östlichen Europa. Vol. 60. Waxmann Verlag, 2020.</t>
  </si>
  <si>
    <t>https://books.google.ro/books?hl=en&amp;lr=&amp;id=iNoSEAAAQBAJ&amp;oi=fnd&amp;pg=PA197&amp;dq=%22anatolie+cosciug%22&amp;ots=pJijKfJ4kL&amp;sig=_XAkIVU8GXEf_9tPzAeMW9yiM8I&amp;redir_esc=y#v=onepage&amp;q&amp;f=false</t>
  </si>
  <si>
    <t>RG Anghel (ISPMN), A Coșciug</t>
  </si>
  <si>
    <t>Patterns and Mechanisms of Return Migration to Romania</t>
  </si>
  <si>
    <t>Croitoru, Alin. "Stimulating return migration to Romania: a multi-method study of returnees’ endorsement of entrepreneurship policies." Journal of Contemporary European Studies (2020): 1-18.</t>
  </si>
  <si>
    <t>https://www.tandfonline.com/doi/abs/10.1080/14782804.2020.1824896</t>
  </si>
  <si>
    <t>Croitoru, Alin. "Great Expectations: A Regional Study of Entrepreneurship Among Romanian Return Migrants." Sage Open 10, no. 2 (2020): 2158244020921149.</t>
  </si>
  <si>
    <t>https://journals.sagepub.com/doi/full/10.1177/2158244020921149</t>
  </si>
  <si>
    <t xml:space="preserve">“Socioeconomic effects of migration: Patterns, mechanisms and effects of return migration to Romania”, RCCMS Working Paper Series. 1, pp. 1-19. </t>
  </si>
  <si>
    <t>Bermudez, Anastasia, and Claudia Paraschivescu. "Diverse Ways of Thinking and Performing Return Migration: Colombians and Romanians in Europe." International Migration (2020).</t>
  </si>
  <si>
    <t>https://doi.org/10.1111/imig.12759</t>
  </si>
  <si>
    <t>https://ideas.repec.org/a/vrs/jsesro/v9y2020i1p28-45n4.html</t>
  </si>
  <si>
    <t>Livia Dana Pogan, 2020. " Mapping integration. Understanding immigration," Sociology and Social Work Review, International Society for projects in Education and Research, vol. 4(2), pages 79-86</t>
  </si>
  <si>
    <t>https://globalresearchpublishing.com/wp-content/uploads/2020/12/Mapping-integration.-Understanding-immigration.pdf</t>
  </si>
  <si>
    <t>RePEc</t>
  </si>
  <si>
    <t xml:space="preserve">Livia Dana Pogan, 2020. " Mapping integration. Understanding immigration," Sociology and Social Work Review, International Society for projects in Education and Research, vol. 4(2), pages 79-86, </t>
  </si>
  <si>
    <t>Anatolie Coșciug, Silviu Marian Ciobanu (IGPR), József Benedek</t>
  </si>
  <si>
    <t>The safety of transnational imported second-hand cars</t>
  </si>
  <si>
    <t xml:space="preserve">Baskin, Ariadne, Rob de Jong, Elisa Dumitrescu, Jane Akumu, Veronica Ruiz Stannah, Amos Mwangi, Fatou Diabate, Luis Felipe Quirama, and George Maina. 2020. "Used Vehicles and the Environment: A Global Overview of Used Light Duty Vehicles-Flow, Scale and Regulation." United Nations Environment Programme: Nairoby. </t>
  </si>
  <si>
    <t>https://www.actu-environnement.com/media/pdf/news-36380-rapport-pnue-vehicules-occasion-europe-afrique.pdf</t>
  </si>
  <si>
    <t>ZOTIC, Vasile, Diana-Elena ALEXANDRU, and István-Oliver EGRESI. 2020 "GENERAL FEATURES OF ROAD CRASHES IN CLUJ COUNTY, ROMANIA. SPATIALITY AND CAUSALITY." TERRITORIAL IDENTITY AND DEVELOPMENT. Volume 5 / No. 1, Spring 2020</t>
  </si>
  <si>
    <t xml:space="preserve">DOI: http://doi.org/10.23740/TID120205 </t>
  </si>
  <si>
    <t>Kołsut, Bartłomiej. "The import of used cars to Poland after EU accession." Prace Komisji Geografii Przemysłu Polskiego Towarzystwa Geograficznego 34, no. 2 Wybrane Problemy Rozwoju Regionalnego i Lokalnego w Polsce i Europie= Selected Problems of Regional and Local Development in Poland and Europe (2020): 129-143.</t>
  </si>
  <si>
    <t>http://cejsh.icm.edu.pl/cejsh/element/bwmeta1.element.ojs-issn-2449-903X-year-2020-volume-34-issue-2-article-7223/c/7223-6632.pdf#page=129</t>
  </si>
  <si>
    <t>The Impact of International Student Mobility in Romania</t>
  </si>
  <si>
    <t>Azamat Maksüdünov, Hasan Gül, Meerim Asanbekova. 2020. Yüksek Öğretimde Türkiye'nin İmajı ve Cazibe Düzeyi. Publisher: İksad publishing houseISBN: 978-625-7897-13-6</t>
  </si>
  <si>
    <t>https://www.researchgate.net/publication/342096925_Yuksek_Ogretimde_Turkiye'nin_Imaji_ve_Cazibe_Duzeyi</t>
  </si>
  <si>
    <t>Botezat, Alina, and Andreea Moraru. "Brain drain from Romania: what do we know so far about the Romanian medical diaspora?." Eastern Journal of European Studies 11, no. 1 (2020).</t>
  </si>
  <si>
    <t>https://www.ceeol.com/search/article-detail?id=888012</t>
  </si>
  <si>
    <t>Religion, return migration and change in an emigration country</t>
  </si>
  <si>
    <t xml:space="preserve">Bridget Kelly. 2020. Transylvanian villagers and the domestication of european developemnt. PhD thesis, CEU. </t>
  </si>
  <si>
    <t>http://www.etd.ceu.edu/2020/kelly_bridget.pdf</t>
  </si>
  <si>
    <t>COJOCARU, Teodor-Marian. "Labor Mobility in the European Union. Economic and Social Implications." Journal of Advanced Research in Management (JARM) 11, no. 21 (2020): 39-50.</t>
  </si>
  <si>
    <t>https://www.ceeol.com/search/article-detail?id=910004</t>
  </si>
  <si>
    <t>Anatolie Coșciug, Andreea Vornicu, Bogdan Radu, Carmen Greab, Ovidiu Oltean, Toma Burean</t>
  </si>
  <si>
    <t>Indexul Integrării Imigranților în România</t>
  </si>
  <si>
    <t xml:space="preserve">ALEXANDRA BUCUR (IOAN). 2020. IMMIGRATION AND INTEGRATION OF IMMIGRANTS. PhD thesis, SNSPA.  </t>
  </si>
  <si>
    <t>http://webcache.googleusercontent.com/search?q=cache:uquO_tu70W0J:doctorat.snspa.ro/wp-content/uploads/2020/09/rezumat-englez%25C4%2583-Bucur-Ioan-Alexandra.docx+&amp;cd=48&amp;hl=en&amp;ct=clnk&amp;gl=ro</t>
  </si>
  <si>
    <t>Pogan, Livia Dana. 2020. "Mapping integration. Understanding immigration."</t>
  </si>
  <si>
    <t>Rehejeh, Fawzia G. "To Come or Not to Come: A Content Analysis of the Refugee Crisis in the Romanian Mass Media." SAECULUM 50, no. 2 (2020): 159-173.</t>
  </si>
  <si>
    <t>https://content.sciendo.com/view/journals/saec/50/2/article-p159.xml</t>
  </si>
  <si>
    <t>Dovigo, Fabio. 2020. An Overview of Refugee Education in Europe. Aarhus: Aarhus University. ISBN: 87-7684-526-5</t>
  </si>
  <si>
    <t>Erdal Bivand, Marta (PRIO), Bertelli Davide (PRIO), Cosciug Anatolie, Kussy Angelina, Mikiewicz Gabriella, Tulbure Corina and Kacper Szulecki (UiO)</t>
  </si>
  <si>
    <t xml:space="preserve">To vote or Not to Vote? External Voting and Transnational Politics in the Eyes of Polish and Romanian Migrants. Presented in the 2020 ECPR General Conference. </t>
  </si>
  <si>
    <t>Umpierrez de Reguero, Sebastián; Finn, Victoria; Cartagena, Vivian y Gabriela Baquerizo. 2020. “El sufragio multiterritorial. Evidencia de migrantes andinos en Ecuador”. Revista Andina de Estudios Políticos 10 (1): 126-151.</t>
  </si>
  <si>
    <t>https://doi.org/10.35004/raep.v10i1.187</t>
  </si>
  <si>
    <t>Crețu Ioana-Narcisa (Universitatea "Lucian Blaga" din Sibiu)/Mihail Guzun (Universitatea de Stat din Moldova)/Lyubov Vasylyjk, (Universitatea Națională "Iurii Fedkovici" Cernăuți, Ucraina)</t>
  </si>
  <si>
    <t>Crossmedia, un ghid pentru studenții specializărilor de jurnalism,</t>
  </si>
  <si>
    <t>Ciocan Ioana-Tatiana, Abordări jurnalistice actuale: crossmedia, transmedia, multimedia în:Saeculum, 2/2020., p. 128</t>
  </si>
  <si>
    <t>https://revistasaeculum1943.files.wordpress.com/2020/12/13-ioana-tatiana-ciocan-1.pdf</t>
  </si>
  <si>
    <t>Ciocan Ioana-Tatiana, Abordări jurnalistice actuale: crossmedia, transmedia, multimedia în:Saeculum, 2/2020., p. 136</t>
  </si>
  <si>
    <t>Crețu Ioana-Narcisa (Universitatea "Lucian Blaga" Sibiu)</t>
  </si>
  <si>
    <t>Introducere în științele comunicării</t>
  </si>
  <si>
    <t>Ciocan Ioana-Tatiana/Hususan Mădălina,  Intercultural Communication in the context of migration as a form of social accomodation and integration, în:Cogito, 4/2020, p. 126</t>
  </si>
  <si>
    <t>http://cogito.ucdc.ro/COGITO23decembrie2020.pdf </t>
  </si>
  <si>
    <t>Croitoru, A. (2012). Schumpeter, J.A., 1934 (2008), The theory of economic development: An inquiry into profits, capital, credit, interest and the business cycle, translated from the German by Redvers Opie, New Brunswick (USA) and London (UK): Transaction Publishers. A review. Journal Of Comparative Research In Anthropology And Sociology, 3(2), 137–148.</t>
  </si>
  <si>
    <t>Babajide, A., Lawal, A., Asaleye, A., Okafor, T., &amp; Osuma, G. (2020). Financial stability and entrepreneurship development in sub-Sahara Africa: Implications for sustainable development goals. COGENT SOCIAL SCIENCES, 6(1). doi:10.1080/23311886.2020.1798330</t>
  </si>
  <si>
    <t>https://www.tandfonline.com/doi/full/10.1080/23311886.2020.1798330</t>
  </si>
  <si>
    <t>Wos/Scopus</t>
  </si>
  <si>
    <t>Vlase Ionela (ULBS) și Croitoru Alin</t>
  </si>
  <si>
    <t>Vlase, I., &amp; Croitoru, A. (2019). Nesting self-employment in education, work and family trajectories of Romanian migrant returnees. Current Sociology, 67(5), 778-797.</t>
  </si>
  <si>
    <t>Bermudez, A., &amp; Paraschivescu, C. (2020). Diverse Ways of Thinking and Performing Return Migration: Colombians and Romanians in Europe. International Migration. doi:10.1111/imig.12759</t>
  </si>
  <si>
    <t>https://onlinelibrary.wiley.com/doi/abs/10.1111/imig.12759</t>
  </si>
  <si>
    <t xml:space="preserve">Croitoru, A. The Theory of Economic Development: Inquiry into Profits, Capital, Credit, Interest and the Business Cycle. J. Comp. Res. Anthropol. Sociol. 2012, 2, 137–148. </t>
  </si>
  <si>
    <t>Coghlan, C., Labrecque, J., Ma, Y., &amp; Dube, L. (2020). A Biological Adaptability Approach to Innovation for Small and Medium Enterprises (SMEs): Strategic Insights from and for Health-Promoting Agri-Food Innovation. SUSTAINABILITY, 12(10). doi:10.3390/su12104227</t>
  </si>
  <si>
    <t>https://www.mdpi.com/2071-1050/12/10/4227/htm</t>
  </si>
  <si>
    <t>Croitoru, A. (2012) ‘Schumpeter, J.A., 1934 (2008) The theory of economic development: an
inquiry into profits, capital, credit, interest and the business cycle: a review to a book that is
100 years old’, Journal of Comparative Research in Anthropology and Sociology, Vol. 3,
No. 2, pp.137–148.</t>
  </si>
  <si>
    <t xml:space="preserve">Dai, R. M., &amp; Raharja, S. J. (2020). Effects of innovation factors on SME performance: Study on SMEs in food and beverages centers in Cimahi, Indonesia. International Journal of Monetary Economics and Finance, 13(3), 306-316. </t>
  </si>
  <si>
    <t>http://www.inderscience.com/offer.php?id=108823</t>
  </si>
  <si>
    <t>Denier, N., &amp; Masferrer, C. (2020). Returning to a New Mexican Labor Market? Regional Variation in the Economic Incorporation of Return Migrants from the US to Mexico. POPULATION RESEARCH AND POLICY REVIEW, 39(4), 617-641. doi:10.1007/s11113-019-09547-w</t>
  </si>
  <si>
    <t>https://link.springer.com/article/10.1007/s11113-019-09547-w</t>
  </si>
  <si>
    <t>. Croitoru, A. (2012). Schumpeter, JA, 1934 (2008), The
theory of economic development: An inquiry into profits,
capital, credit, interest and the business cycle. Journal of
comparative research in anthropology and sociology, 3(02),
137-148.</t>
  </si>
  <si>
    <t xml:space="preserve">Dhas, B. D., &amp; Vetrivel, S. C. (2020). Cyberspace has greatly helped entrepreneurs to flourish. Journal of Critical Reviews, 7(7), 149-152. </t>
  </si>
  <si>
    <t>https://www.scopus.com/sourceid/21100920227</t>
  </si>
  <si>
    <t>Șerban Monica (Academia Română) și Alin Croitoru</t>
  </si>
  <si>
    <t>Șerban, M.; Croitoru, A. Do Return Migration Policies Matter? A typology of young Romanian returnees’ attitudes towards return policies. Soc. Chang. Rev. Sciendo 2018, 16, 9–34.</t>
  </si>
  <si>
    <t>Gherhes, V., Dragomir, G. M., &amp; Cernicova-Buca, M. (2020). Migration Intentions of Romanian Engineering Students. SUSTAINABILITY, 12(12). doi:10.3390/su12124846</t>
  </si>
  <si>
    <t>https://www.mdpi.com/2071-1050/12/12/4846/htm</t>
  </si>
  <si>
    <t>Croitoru, A. (2012). The theory of economic development: An
inquiry into profits, capital, credit, interest and the business
cycle. Journal of Comparative Research in Anthropology and
Sociology, 3(02), 137–148.</t>
  </si>
  <si>
    <t xml:space="preserve">Jurevičienė, D., &amp; Rauličkis, D. (2020). Forecasting banks return on equity using leading economic indicators. Business: Theory and PracticeOpen Access, 21(2), 460-468. </t>
  </si>
  <si>
    <t>https://journals.vgtu.lt/index.php/BTP/indexing</t>
  </si>
  <si>
    <t>Croitoru A., Schumpeter J.A. Business Cycles: A theoretical, historical, and statistical analysis of the capitalist process. New York and London, McGraw–Hill Book Company Inc. Journal of Comparative Research in Anthropology and Sociology, 2017, vol. 8, no. 1, pp. 67–80.</t>
  </si>
  <si>
    <t>Kremin, A. E., &amp; Rossoshanskii, A. I. (2020). Small Business and Living Standards of the Population: Mutual Influence and Management Issues. ECONOMIC AND SOCIAL CHANGES-FACTS TRENDS FORECAST, 13(2), 214-229. doi:10.15838/esc.2020.2.68.14</t>
  </si>
  <si>
    <t>http://esc.vscc.ac.ru/article/28542?info=references&amp;_lang=en</t>
  </si>
  <si>
    <t>Schumpeter, J. A., &amp; Redvers, O. (1934). Theorie Der Wirtschaftlichen Entwicklung. The Theory Of Economic Development. An Inquiry Into Profits, Capital, Credit, Interest, And The Business Cycle. Journal Of Comparative Research In Anthropology And Sociology. 3(2) 137-148.</t>
  </si>
  <si>
    <t xml:space="preserve">Lestari, S. D., Muhdaliha, E., &amp; Putra, A. H. P. K. (2020). E-commerce performance based on knowledge management and organizational innovativeness. Journal of Distribution Science, 18(2), 49-58. </t>
  </si>
  <si>
    <t>https://www.koreascience.or.kr/article/JAKO202014862061010.view?orgId=kodisa</t>
  </si>
  <si>
    <t>CROITORU, A. (2012) SCHUMPETER, J. A. 1934 (2008) The Theory of Economic Development: An Inquiry into Profits, Capital, Credit, Interest and the Business Cycle, translated from the German by Redvers Opie, New Brunswick (U.S.A) and London (U.K.): Transaction Publishers. Journal Of Comparative Research In Anthropology And Sociology, v. 3, n. 2, ISSN 2068 – 0317</t>
  </si>
  <si>
    <t>Ozbey, D. O., &amp; Kapusuz, A. G. (2020). DO THE STRATEGIC INNOVATIVE ORGANIZATIONS REDUCE SOCIAL LOAFING BEHAVIORS? INDEPENDENT JOURNAL OF MANAGEMENT &amp; PRODUCTION, 11(6), 1994-2008. doi:10.14807/ijmp.v11i6.1123</t>
  </si>
  <si>
    <t>http://www.paulorodrigues.pro.br/ojs/ijmp/index.php/ijmp/about</t>
  </si>
  <si>
    <t>Mihalache Flavius (Academia Română) și Alin Croitoru</t>
  </si>
  <si>
    <t>Mihalache F., Croitoru A., (2011). „The Romanian Rural Area: Evolutions and Involutions. Social change and entrepreneurship”, Editura Expert, Bucharest</t>
  </si>
  <si>
    <t>Paul, L. (2020). RURAL DEVELOPMENT IN ROMANIA - A FEW CONSIDERATIONS. STUDIES IN BUSINESS AND ECONOMICS, 15(2), 165-174. doi:10.2478/sbe-2020-0032</t>
  </si>
  <si>
    <t>https://sciendo.com/journal/SBE</t>
  </si>
  <si>
    <t>Croitoru, A. Gendered migratory pathways: Exploring the work trajectories of long-term Romanian migrants(2018) Gender, Family, and Adaptation of Migrants in Europe: A Life Course Perspective, pp. 93-115. Cited 6 times.
http://www.springer.com/in/book/9783319766560</t>
  </si>
  <si>
    <t xml:space="preserve">Ricucci, R., &amp; Schroot, T. (2020). Highly qualified female immigration networks and social mobility strategies. A research on the Romanian community. Studi Emigrazione, 57(219), 439-455. </t>
  </si>
  <si>
    <t>https://iris.unito.it/handle/2318/1762296#.YJQd_bUzYuU</t>
  </si>
  <si>
    <t>Croitoru, A. 2012. A review to a book that is 100 years old. Journal of Comparative Research in Anthropology and Sociology 3: 137–48.</t>
  </si>
  <si>
    <t>Rusu, M. S. (2020). The privatization of death: the emergence of private cemeteries in Romania's postsocialist deathscape. SOUTHEAST EUROPEAN AND BLACK SEA STUDIES, 20(4), 571-591. doi:10.1080/14683857.2020.1845471</t>
  </si>
  <si>
    <t>Schumpeter, J.A.The theory of economic development: An inquiry into profts, capital, credit, interest and the business cycle, J. Comp. Res. Anthropol. Sociol., 3 (2), pp. 137-148.</t>
  </si>
  <si>
    <t xml:space="preserve">Salas, C. A. V., Prado, S. M. M., &amp; Quiñonez, V. O. A. (2020). Is the Economic Growth of a Country Explained by the Banking System or the Capital Marketff the ARDL Model Applied in the Analysis for Ecuador. ACM International Conference Proceeding Series. 4th International Conference on E-commerce, E-Business and E-Government, ICEEG 2020, 54-57. https://doi.org/10.1145/3409929.3414737. </t>
  </si>
  <si>
    <t>https://dl.acm.org/doi/10.1145/3409929.3414737</t>
  </si>
  <si>
    <t>Croitoru, A. (2018), Gendered Migratory Pathways: Exploring the Work Trajectories of Long-Term Romanian Migrants. In
Gender, Family, and Adaptation of Migrants in Europe (pp. 93–115). Palgrave Macmillan, Cham.</t>
  </si>
  <si>
    <t xml:space="preserve">Șerban, P.-R. (2020). The demographic decline in maramureȘ region (Romania) throughout the post-communist period. Romanian Journal of Geography, 64(1), 71-84. </t>
  </si>
  <si>
    <t>http://www.rjgeo.ro/atasuri/revue%20roumaine%2064_1/Serban%20P-R..pdf</t>
  </si>
  <si>
    <t>Mihalache, F., &amp; Croitoru, A. (2011). Mediul rural românesc: evoluţii şi involuţii. Schimbare socialăşi antreprenoriat. Bucharest: Edit. Expert</t>
  </si>
  <si>
    <t>Stoica, I. V., Tulla, A. F., Zamfir, D., &amp; Petrisor, A. I. (2020). Exploring the Urban Strength of Small Towns in Romania. SOCIAL INDICATORS RESEARCH, 152(3), 843-875. doi:10.1007/s11205-020-02465-x</t>
  </si>
  <si>
    <t>https://link.springer.com/article/10.1007/s11205-020-02465-x</t>
  </si>
  <si>
    <t>Schumpeter, J.A. (1934). The Theory of Economic Development: An Inquiry into Profits, Capital, Credit, Interest and the Business Cycle. translated from the German by Redvers Opie, New Brunswick (USA) and London: Transaction
Publishers. Journal of Comparative Research in Anthropology and Sociology,
3(2).</t>
  </si>
  <si>
    <t xml:space="preserve">Tsunga, K. R., Moores-Pitt, P., &amp; McCullough, K. (2020). A non-linear analysis of South African exports and selected macroeconomic variables. International Journal of Economics and Finance Studies, 12(2), 436-452. </t>
  </si>
  <si>
    <t>https://portal.issn.org/resource/ISSN/1309-8055</t>
  </si>
  <si>
    <t>The Theory of Economic Development: An Inquiry into Profits, Capital, Credit, Interest and the Business Cycle, New Brunswick (U.S.A) and London (U.K.)
By: Croitoru, A.; Schumpeter, J.A. J. Comp. Res. Anthropol. Sociol. ‏  Volume: ‏ 3   Pages: ‏ 137-148   Published: ‏ 2012</t>
  </si>
  <si>
    <t>Zahedi, M. R., &amp; Khanachah, S. N. (2020). The effect of knowledge management processes on organizational innovation through intellectual capital development in Iranian industrial organizations. JOURNAL OF SCIENCE AND TECHNOLOGY POLICY MANAGEMENT. doi:10.1108/JSTPM-11-2019-0113</t>
  </si>
  <si>
    <t>https://www.emerald.com/insight/content/doi/10.1108/JSTPM-11-2019-0113/full/html</t>
  </si>
  <si>
    <t xml:space="preserve">The theory of economic development: An inquiry into profits, capital, credit, interest and the business cycle
By: Schumpeter, J.A. J. Comp. Res. Anthropol. Sociol. ‏  Volume: ‏ 46   Pages: ‏ 137-148   </t>
  </si>
  <si>
    <t xml:space="preserve">Zeb, A., &amp; Ihsan, A. (2020). Innovation and the entrepreneurial performance in women-owned small and medium-sized enterprises in Pakistan. Women's Studies International Forum, 79, https://doi.org/10.1016/j.wsif.2020.102342. </t>
  </si>
  <si>
    <t>https://www.sciencedirect.com/science/article/abs/pii/S0277539519303668?via%3Dihub</t>
  </si>
  <si>
    <r>
      <rPr>
        <rFont val="arial narrow"/>
        <color theme="1"/>
        <sz val="10.0"/>
      </rPr>
      <t xml:space="preserve">AUDREY LENOËL (INED  France)
MARCELA CERRUTTI (National University of San Martín, Argentina)
</t>
    </r>
    <r>
      <rPr>
        <rFont val="Arial Narrow"/>
        <b/>
        <color theme="1"/>
        <sz val="10.0"/>
      </rPr>
      <t>ALIN CROITORU</t>
    </r>
    <r>
      <rPr>
        <rFont val="Arial Narrow"/>
        <color theme="1"/>
        <sz val="10.0"/>
      </rPr>
      <t xml:space="preserve"> (România)
TETIANA HNATYUK (National Academy of Sciences, Ukraine)
ALICIA MAGUID (CONICET, Argentina)
MĂDĂLINA MANEA (ICCV, Academia Română)
IRYNA MAIDANIK (National Academy of Sciences, Ukraine)
OLEXIY POZNIAK (National Academy of Sciences, Ukraine)
MONICA ŞERBAN (ICCV, Academia Română)
ADRIEN VANDENBUNDER (INED  France)</t>
    </r>
  </si>
  <si>
    <t>Lenoël A., Cerrutti M., Croitoru A., Hnatyuk T., Maguid A., Manea M., Maidanik I., Pozniak O., Şerban M.,
Vandenbunder A. (2019). Report on Non-Economic Impacts of Temporary, Circular and Permanent Migration. TEMPER EU project, Working paper #12.</t>
  </si>
  <si>
    <t>Vakhitova, H., &amp; Fihel, A. (2020). International Migration from Ukraine: Will Trends Increase or Go into Reverse? Central and Eastern European Migration Review. Vol. 9, No. 2, 2020, pp. 125–141. doi: 10.17467/ceemr.2020.14</t>
  </si>
  <si>
    <t>http://www.ceemr.uw.edu.pl/</t>
  </si>
  <si>
    <t>Croitoru, A. (2015). Antreprenoriatul în migraţia românească. Bucureşti: Tritonic.</t>
  </si>
  <si>
    <t>Mihalache, F. (2020). Mediul rural intre 1990 si 2020. Transformari si decalaje. Cluj-Napoca: Presa Universitara Clujeana.</t>
  </si>
  <si>
    <t>http://editura.ubbcluj.ro/www/ro/ebook2.php?id=2673</t>
  </si>
  <si>
    <t xml:space="preserve">Citare în alte baze date, sau în cărţi </t>
  </si>
  <si>
    <t>Rehejeh, F. (2020). To Come or Not to Come: A Content Analysis of the Refugee Crisis in the Romanian Mass Media. SAECULUM, 50(2), 159-173.</t>
  </si>
  <si>
    <t>https://www.ceeol.com/search/article-detail?id=915713</t>
  </si>
  <si>
    <t>Croitoru, A. (2019). Antreprenoriat şi migraţie de revenire în România. Bucureşti: Pro Universitaria.</t>
  </si>
  <si>
    <t>Rusu Horațiu și Livia-Dana pogan. (2020). Valențele muncii la români. Intrinsec, extrinsec sau mixt. în TUFIȘ Claudiu D., RUSU Horațiu, VOICU Bogdan. (Eds).  Atlasul valorilor sociale România la 100 de ani Presa Univeristară Clujană. ISBN: 978‐606‐37‐0987‐6</t>
  </si>
  <si>
    <t>http://editura.ubbcluj.ro/www/ro/ebook2.php?id=2842</t>
  </si>
  <si>
    <t>Croitoru, A. (2019). Antreprenoriat și migrație de revenire în România. ProUniversitaria</t>
  </si>
  <si>
    <t>BĂLAN, M., &amp; STĂNESCU, S. M. (2020). Human Mobility under the Impact of Environmental Changes. Scientific Annals of the “Alexandru Ioan Cuza” University, Iaşi. New Series SOCIOLOGY AND SOCIAL WORK Section, 13(1).</t>
  </si>
  <si>
    <t>https://www.ceeol.com/search/article-detail?id=897038</t>
  </si>
  <si>
    <t>Croitoru Alin, Mihalache Florin, (2014), Organizarea teritorială a spațiului rural în contextul reformei administrative, Revista Transilvană de Ştiinţe Administrative 2(35), Cluj-Napoca, p. 57.</t>
  </si>
  <si>
    <t>BONACIU, C. G. (2020). EUROPEAN RURAL AREA AND THE CONCEPT OF RURAL DEVELOPMENT. INTERDISCIPLINARY PERSPECTIVES. Analele Universităţii din Oradea. Relaţii Internationale şi Studii Europene (RISE), 12(12), 185-198.</t>
  </si>
  <si>
    <t>https://www.ceeol.com/search/article-detail?id=898453</t>
  </si>
  <si>
    <t>Croitoru, A. (2018) ‘Gendered Migratory Pathways: Exploring the Work
Trajectories of Long-Term Romanian Migrants’, in Vlase, I., Voicu, B.
(eds.), Gender, Family, and Adaptation of Migrants in Europe, Cham:
Springer International Publishing, 93-115</t>
  </si>
  <si>
    <t>Degani, P., &amp; De Stefani, P. (2020). Addressing Migrant Women’s Intersecting Vulnerabilities. Refugee Protection, Anti-trafficking and Anti-violence Referral Patterns in Italy. Peace Human Rights Governance, 4(1).</t>
  </si>
  <si>
    <t>http://phrg.padovauniversitypress.it/2020/1/5</t>
  </si>
  <si>
    <t>CROITORU, A. Schumpeter, J.A., 1934 (2008), The Theory of Economic Development: An Inquiry into
Profits, Capital, Credit, Interest and the Business Cycle. Journal of Comparative Research in
Anthropology and Sociology, v. 3, n. 02, p. 137–148, 2012</t>
  </si>
  <si>
    <t>Medeiros, D. N. (2020). O design de vitrines web para transferência de tecnologia no contexto de universidades e institutos de pesquisa públicos brasileiros. Área de Informação da Sede-Tese/dissertação (ALICE).</t>
  </si>
  <si>
    <t>https://www.alice.cnptia.embrapa.br/handle/doc/1127007</t>
  </si>
  <si>
    <t xml:space="preserve">CROITORU, Alin (Org.). The Theory of Economic Development: An Inquiry into Profits, Capital, Credit, Interest and the Business Cycle, traducido del alemán por Redvers Opie, New Brunswick (EE. UU.) Y Londres (Reino Unido): Transaction Publishers.: Revisión de un libro que: tiene 100 años. Ournal de Investigación Comparada en Antropología y Sociología. Europa, Feb. 2012. p. 137-148. Disponible en: &lt;http://compaso.eu/wp-content/uploads/2013/01/Compaso2012-32-Croitoru.pdf&gt;. </t>
  </si>
  <si>
    <t>Gargioni, M. C., Hartmann, T., Ruwer, L. M. E., &amp; Kleinowski, H. L. (2020). DIFERENÇAS E SIMILARIDADES ENTRE ABORDAGENS DE PLANO DE NEGÓCIO E MVP: aplicação em empresas do setor alimentício. Revista de Empreendedorismo e Gestão de Micro e Pequenas Empresas, 5(03), 84-101.</t>
  </si>
  <si>
    <t>https://www.revistas.editoraenterprising.net/index.php/regmpe/article/view/253</t>
  </si>
  <si>
    <t>Croitoru, A., 2012. Schumpeter, J.A., 1934 (2008), The Theory of Economic Development: An Inquiry into Profits, Capital, Credit, Interest and the Business Cycle, translated from the German by Redvers Opie News Brunswick (U.S.A) and London (U.K.): Transaction Publishers. A re’, Journal of Comparative Research in Anthropology and Sociology, 3(2), pp. 137–148. doi: 10.2307/1812657.</t>
  </si>
  <si>
    <t>Butnariu, A. R. (2020). Mechanisms of an Ubiquitous Power-Source in the Knowledge-based Economy: Innovation and Competitive Advantage in Companies. Ovidius University Annals, Economic Sciences Series, 20(1), 298-305.</t>
  </si>
  <si>
    <t>https://stec.univ-ovidius.ro/html/anale/ENG/</t>
  </si>
  <si>
    <t>Croitoru, A., Schumpeter, J.A., 1934 (2008). The Theory of Economic Development: An Inquiry into Profits, Capital, Credit, Interest and the Business Cycle, translated from the German by Redvers Opie, New Brunswick (U.S.A) and London (U.K.): Transaction Publishers. In: Journal of Comparative Research in Anthropology and Sociology, 2012, Volume 3, Number 2, 137-148.</t>
  </si>
  <si>
    <t>ȚÎȚU, A. M., POPc, A. B., TARNU, L., &amp; OPREAN, C. 2020. CREATION AND IMPLEMENTATION OF AN INNOVATION STRATEGY IN A KNOWLEDGE-BASED ORGANIZATION.</t>
  </si>
  <si>
    <t>http://conferinta.management.ase.ro/archives/2020/PDF/2_14.pdf</t>
  </si>
  <si>
    <t>Croitoru, A.J.J.o.C.R.i.A. &amp; Sociology, Schumpeter,
JA, 1934 (2008 The Theory of Economic Development:
An Inquiry into Profits, Capital, Credit, Interest and the
Business Cycle, translated from the German by Redvers
Opie, New Brunswick (USA) and London (UK):
Transaction Publishers, vol. 3, no. 2, pp. 1-13.</t>
  </si>
  <si>
    <t>Sadatrasoul, S. M., Ebadati, O., &amp; Saedi, R. (2020). A Hybrid Business Success Versus Failure Classification Prediction Model: A Case of Iranian Accelerated Start-ups. Journal of AI and Data Mining, 8(2), 279-287.</t>
  </si>
  <si>
    <t>http://jad.shahroodut.ac.ir/article_1681_198.html</t>
  </si>
  <si>
    <t>Dineri, E. (2020). THE IMPORTANCE OF INNOVATION AND HUMAN CAPITAL. LABOR MARKET AND SOCIETY, 121.</t>
  </si>
  <si>
    <t>https://books.google.ro/books?hl=en&amp;lr=&amp;id=9HgZEAAAQBAJ&amp;oi=fnd&amp;pg=PA121&amp;ots=kpIyNyW2eK&amp;sig=jMkU3V8y4DRRJqwcft-ejVYm4RA&amp;redir_esc=y#v=onepage&amp;q&amp;f=false</t>
  </si>
  <si>
    <t>Croitoru, A. (2012). Book review: Schumpeter, J.A., 1934 - The Theory of
Economic Development: An Inquiry into Profits, Capital, Credit, Interest
and the Business Cycle</t>
  </si>
  <si>
    <t>Lucic, B. (2020). Persönlichkeitsmerkmale eines Entrepreneurs und ihre Relevanz. Analyse anhand des Fünf-Faktoren-Modells. GRIN Verlag.</t>
  </si>
  <si>
    <t>Ladimeji, O. A. (2020). Future of the. Fourth Industrial Revolution, 34.</t>
  </si>
  <si>
    <t>https://core.ac.uk/download/pdf/333886521.pdf</t>
  </si>
  <si>
    <t>A. Croitoru, “Schumpeter, Joseph Alois, 1939, Business Cycles: A Theoretical, 
Bibliography 93 Historical, and Statistical Analysis of the Capitalist Process,” J. Comp. Res. Anthropol. Sociol., vol. 8, no. 1, pp. 2068–317, 2017</t>
  </si>
  <si>
    <t>Resbeut, M. (2021). On Economic Resilience: A Theoretical Investigation of The Influence of Clusters (Doctoral dissertation, Université de Fribourg).</t>
  </si>
  <si>
    <t>https://doc.rero.ch/record/330348/files/ResbeutM.pdf</t>
  </si>
  <si>
    <t xml:space="preserve">Croitoru, A. (2012). Schumpeter, J. A., 1934, (2008). The theory of economic
development: An inquiry into profits, capital, credit, interest, and the business
cycle. Journal of comparative research in anthropology and sociology, 3(02),
137-148. </t>
  </si>
  <si>
    <t>Madein, O. (2020). Nigerian Women Entrepreneurs’ Strategies for Financial Inclusion: A Generic Qualitative Inquiry (Doctoral dissertation, Walden University).</t>
  </si>
  <si>
    <t>https://scholarworks.waldenu.edu/dissertations/9970/</t>
  </si>
  <si>
    <t>Croitoru, A. (2017). Schumpeter, Joseph Alois, 1939, “Business Cycles: A Theoretical,
Historical, and Statistical Analysis of the Capitalist Process, “New York and
London, McGraw–Hill Book Company Inc. Journal of comparative research in
anthropology and sociology, 8(01), 67-80.</t>
  </si>
  <si>
    <t>Croitoru, A. (2017). Schumpeter, Joseph Alois, 1939, Business Cycles: A Theoretical, Historical, and Statistical Analysis of the Capitalist Process, New York and London, McGraw – Hill Book Company Inc. Journal of Comparative Research in Anthropology and Sociology, 67-79.</t>
  </si>
  <si>
    <t>Ramos-Mallarino, J. C. (2020). Les mécanismes de gouvernance des entreprises innovantes dans un marché mature. Cas du marché des motocyclettes en Colombie (Doctoral dissertation, Université Paris-Nord-Paris XIII).</t>
  </si>
  <si>
    <t>https://tel.archives-ouvertes.fr/tel-03162584/document</t>
  </si>
  <si>
    <t>Croitoru, Alin. 2017. Schumpeter, Joseph Alois, 1939, Business cycles: A theoretical, historical, and statistical analysis of the capitalist process. Journal of Comparative Research in Anthropology and Sociology 8 (1): 70.</t>
  </si>
  <si>
    <t>Reinhardt, K. (2020). Digitale Innovation: Strategische Erneuerung digital beschleunigen. In Digitale Transformation der Organisation (pp. 257-284). Springer Gabler, Wiesbaden.</t>
  </si>
  <si>
    <t>https://link.springer.com/chapter/10.1007/978-3-658-28630-9_10</t>
  </si>
  <si>
    <t>Croitoru, A. (2017). Schumpeter, Joseph Alois, 1939, Business Cycles: A Theoretical, Historical, and Statistical Analysis of the Capitalist Process. Journal of Comparative Research in Anthropology and Sociology, 8(1), 2068–2317</t>
  </si>
  <si>
    <t>Vera Chacón, H. E. (2020). La gestión de la innovación en las empresas turísticas. UNIVERSIDAD TÉCNICA DEL NORTE</t>
  </si>
  <si>
    <t>http://repositorio.utn.edu.ec/bitstream/123456789/10456/2/02%20IEF%20244%20TRABAJO%20GRADO.pdf</t>
  </si>
  <si>
    <t>Alin Croitoru. Schumpeter, joseph alois, 1939, business cycles: A theoretical, historical, and statistical analysis of the capitalist process. JOURNAL OF COMPARATIVE RESEARCH IN ANTHROPOLOGY AND SOCIOLOGY, 8:67–80, 08 2017</t>
  </si>
  <si>
    <t>葉家豪. (2020). 航運物流業的創新運營模式—以 C 新創公司為例. 臺灣大學臺大 _ 復旦 EMBA 境外專班學位論文, 1-63.</t>
  </si>
  <si>
    <t>https://www.airitilibrary.com/Publication/alDetailedMesh1?DocID=U0001-0701202115483800#References</t>
  </si>
  <si>
    <t>Croitoru, A. (2012). A Review to a Book that Is 100 Years Old. Journal of Comparative Research in Anthropology and Sociology, 3(2), 137–148.</t>
  </si>
  <si>
    <t>Petrakis, P. E., Valsamis, D. G., &amp; Kafka, K. I. (2020). Growth Prototypes and Economic Policy. In Economic Growth and Development Policy (pp. 71-90). Palgrave Macmillan, Cham.</t>
  </si>
  <si>
    <t>https://link.springer.com/chapter/10.1007/978-3-030-43181-5_3</t>
  </si>
  <si>
    <t>Croitoru, A. (2012). A Review to a Book. Journal of Comparative Research in Anthropology and Sociology, 3(2), 137–148.</t>
  </si>
  <si>
    <t>Silungwe, A., &amp; Silungwe, W. (2020). Women’s Entrepreneurship and Sustainable Livelihoods in Lusaka Urban. In Supporting Inclusive Growth and Sustainable Development in Africa-Volume II (pp. 125-143). Palgrave Macmillan, Cham.</t>
  </si>
  <si>
    <t>https://link.springer.com/chapter/10.1007/978-3-030-41983-7_10</t>
  </si>
  <si>
    <t>Croitoru, A. (2012). Book review: Schumpeter, J.A., 1934 (2008), the theory of economic development: an inquiry into profits, capital, credit, interest and the business cycle. Journal of Comparative Research in Anthropology and Sociology, 3(2), 137-148.</t>
  </si>
  <si>
    <t xml:space="preserve">Beltrán Clavijo, K. S. (2020). Análisis del sector lechero y aplicaciones tecnológicas de la industria 4.0., Universidad de La Salle, Bogotá </t>
  </si>
  <si>
    <t>https://ciencia.lasalle.edu.co/economia/1621/</t>
  </si>
  <si>
    <t>Croitoru, A. (2012). Book review: Schumpeter, J.A., 1934 (2008), The Theory of Economic Development: An Inquiry into Profits, Capital, Credit, Interest and the Business Cycle. Journal of Comparative Research in Anthropology and Sociology, 3(2). 137-148.</t>
  </si>
  <si>
    <t>ศรี สุดา ทา เจริญ. (2020). การ บริหาร การ ฝัง ลึก ความ รับผิดชอบ ต่อ สังคม และ การ เทิดทูน ศาสตร์ พระ ราชา ที่ ส่ง ผล ต่อ การ สนับสนุน ของ ลูกค้า. Research Journal Phranakhon Rajabhat: Social Sciences and Humanity, 15(1), 35-51.</t>
  </si>
  <si>
    <t>https://so05.tci-thaijo.org/index.php/PNRU_JHSS/article/view/195797</t>
  </si>
  <si>
    <t>Croitoru A 2012 Alin Croitoru/Book review: Schumpeter, J. A., 1934 (2008), The theory of economic development: An inquiry into profits, capital, credit, interest and the business cycle. Journal of Comparative Research in Anthropology and Sociology, 3, 137–148.</t>
  </si>
  <si>
    <t>Loo, S., &amp; Sutton, B. (2020). Informal Learning, Practitioner Inquiry and Occupational Education. An Epistemological Perspective. Routledge. ISBN 9780367894849</t>
  </si>
  <si>
    <t>https://www.routledge.com/Informal-Learning-Practitioner-Inquiry-and-Occupational-Education-An-Epistemological/Loo-Sutton/p/book/9780367894849</t>
  </si>
  <si>
    <t>Croitoru, A. (2012), “Schumpeter, JA, 1934 (2008), The theory of economic development: An inquiry into profits, capital, credit, interest and the business cycle”, Journal of Comparative Research in Anthropology and Sociology, Vol. 3 No. 2, pp. 137–148.</t>
  </si>
  <si>
    <t>Owalla, B., Vorley, T., Coogan, T., Lawton-Smith, H., &amp; Wing, K. (2020). Absent or overlooked? Promoting diversity among entrepreneurs with public support needs. International Journal of Entrepreneurial Venturing.</t>
  </si>
  <si>
    <t>https://eprints.bbk.ac.uk/id/eprint/40998/</t>
  </si>
  <si>
    <t>Croitoru, A. (2012). Schumpeter, JA, 1934 (2008), The theory of economic development: An inquiry into profits, capital, credit, interest and the business cycle. Journal of comparative research in anthropology and sociology, 3(02), 137-148.</t>
  </si>
  <si>
    <t>BabinDhas, M. D., &amp; Vetrivel, S. C. (2020). Information Technology Helped Entrepreneurs to Flourish. International Journal of Psychosocial Rehabilitation, 24(10).</t>
  </si>
  <si>
    <t>https://www.psychosocial.com/article-category/issue-10/</t>
  </si>
  <si>
    <t>Croitoru, A. (2012). Schumpeter, JA, 1934 (2008), The Theory of Economic Development: An Inquiry into Profits, Capital, Credit, Interest and the Business Cycle, translated from the German by Redvers Opie, New Brunswick (USA) and London (UK): Transaction Publishers. Journal of Comparative Research in Anthropology and Sociology, 3(2), 1-13</t>
  </si>
  <si>
    <t>Schmitz, E., &amp; Silva, T. (2020). Financial Intermediation, Human Capital Development and Economic Growth (No. 533). Banco Central Do Brasil.</t>
  </si>
  <si>
    <t>https://www.bcb.gov.br/pec/wps/ingl/wps533.pdf</t>
  </si>
  <si>
    <t>RIMBERE, A. G. (2020). Factors influencing growth of cereals enterprises owned by women in Meru County. A survey of enterprises in Nkubu Town (Doctoral dissertation, KeMU).</t>
  </si>
  <si>
    <t>http://repository.kemu.ac.ke/handle/123456789/926</t>
  </si>
  <si>
    <t>Croitoru, A. (2012). Schumpeter, J. A., 1934 (2008), The Theory of Economic Development: An Inquiry into Profits, Capital, Credit, Interest and the Business Cycle. New Brunswick, NJ and London: Transaction Publishers.</t>
  </si>
  <si>
    <t>Petrakis, P. E., &amp; Kostis, P. C. (2020). The Formation of Idiosyncratic Structure of Institutions and Culture. In The Evolution of the Greek Economy (pp. 77-99). Palgrave Macmillan, Cham.</t>
  </si>
  <si>
    <t>https://link.springer.com/chapter/10.1007/978-3-030-47210-8_4</t>
  </si>
  <si>
    <t>Croitoru, A. (2012). Schumpeter, J.A., 1934 (2008), The Theory of Economic
Development: An Inquiry into Profits, Capital, Credit, Interest and the
Business Cycle. A review to a book that is 100 years old. Journal of
Comparative Research in Anthropology and Sociology, 3(2), 137-148.</t>
  </si>
  <si>
    <t>Sundell, M., &amp; Hormez, A. (2020). Improving the innovative work. CHALMERS UNIVERSITY OF TECHNOLOGY, Gothenburg, Sweden.</t>
  </si>
  <si>
    <t>https://odr.chalmers.se/handle/20.500.12380/300946</t>
  </si>
  <si>
    <t>Croitoru, A. (2012). Schumpeter, J.A., 1934 (2008), the theory of economic development: An
inquiry into profits, capital, credit, interest and the business cycle. Journal of
Comparative Research in Anthropology and Sociology, 3(2), 137-148.</t>
  </si>
  <si>
    <t>Gautam, S. (2020). Self-employment as a strategy for Indian immigrants' settlement in New Zealand. University of Canterbury</t>
  </si>
  <si>
    <t>https://ir.canterbury.ac.nz/bitstream/handle/10092/101465/Gautam%20Sunita_Final%20PhD%20Thesis%202021_1.pdf?sequence=4&amp;isAllowed=y</t>
  </si>
  <si>
    <t>CROITORU, A. The Theory of Economic Development: An Inquiry into Profits, Capital, Credit, Interest and the Business Cycle. Journal of Comparative Research in Anthropology and Sociology, v. 3, n. 2, p.137-148</t>
  </si>
  <si>
    <t>BARBOSA CORREIO, H. Á. V. I. L. A., ABREU, M., LOPES CÂMARA JÚNIOR, S. U. E. L. D. O., ANDRÉA SEVERO, E. L. I. A. N. A., FERRO DE GUIMARÃES, J. C., &amp; DA SILVA BARRETO, L. K. (2020). EMPREENDEDORISMO NO RIO GRANDE DO NORTE: FATORES FACILITADORES E DIFICULTADORES. Revista Pretexto, 21(3).</t>
  </si>
  <si>
    <t>http://revista.fumec.br/index.php/pretexto/article/view/6461</t>
  </si>
  <si>
    <t>Čižikienė, J. (2020). Vadovų lyderystė pasirenkant diegti Europos socialinių paslaugų kokybės užtikrinimo sistemą (Doctoral dissertation, Mykolo Romerio universitetas).</t>
  </si>
  <si>
    <t>https://repository.mruni.eu/bitstream/handle/007/17047/Disertacija_%c4%8ci%c5%beikien%c4%97.pdf?sequence=1&amp;isAllowed=y</t>
  </si>
  <si>
    <t>Croitoru, A. 2012. The theory of economic development: An inquiry into profits,
capital, credit, interest and the business cycle. Journal of Comparative Research in Anthropology and Sociology, vol 3(2): 137-148.</t>
  </si>
  <si>
    <t>Mouton, D. A. (2020). Evaluating the Namibia Youth Credit Scheme (NYCS) entrepreneurship programme: the case of the Walvis Bay beneficiaries (Doctoral dissertation, Stellenbosch: Stellenbosch University).</t>
  </si>
  <si>
    <t>http://scholar.sun.ac.za/handle/10019.1/109376</t>
  </si>
  <si>
    <t>CROITORU, A. et al. Schumpeter, ja, 1934 (2008), the theory of economic development: An inquiry into profits, capital, credit, interest and the business cycle. Journal of comparative research in anthropology and sociology, v. 3, n. 02, p. 137–148, 2012.</t>
  </si>
  <si>
    <t>D'Oliveira, B. R. (2020). Relação entre inovação financeira, competição bancária e crescimento econômico: evidências do caso brasileiro. Universidade de Brasília.</t>
  </si>
  <si>
    <t>https://repositorio.unb.br/handle/10482/38741</t>
  </si>
  <si>
    <t>Croitoru A. Schumpeter, JA, 1934 (2008), The theory of economic development: An inquiry into profits, capital, credit, interest and the business cycle / Croitoru A. et al. // Journal of comparative research
in anthropology and sociology. 2012. Vol. 3. № 02. P. 137–148</t>
  </si>
  <si>
    <t>Яковлев, Е. О. (2020). Место и роль высокотехнологичных инновационных компаний на российском и зарубежном рынках. Гуманитарные, социально-экономические и общественные науки, (9).</t>
  </si>
  <si>
    <t>https://cyberleninka.ru/article/n/mesto-i-rol-vysokotehnologichnyh-innovatsionnyh-kompaniy-na-rossiyskom-i-zarubezhnom-rynkah</t>
  </si>
  <si>
    <t>Croitoru, A. (2012). Schumpeter, J.A., 1934 (2008), The Theory of Economic Development: An Inquiry into Profits, Capital, Credit, Interest and the Business Cycle, translated from the German by Redvers Opie, New Brunswick (U.S.A) and London (U.K.): Transaction Publishers. Journal Of Comparative Research In Anthropology And Sociology.</t>
  </si>
  <si>
    <t>DICUONZO, G., DONOFRIO, F., RANALDO, S., &amp; Vittorio, D. A. (2020) SUSTAINABILITY, DIGITAL TECHNOLOGIES AND FIRM’S PERFORMANCE: AN EMPIRICAL ANALYSIS. Economics Business and Organization Research, 309-324.</t>
  </si>
  <si>
    <t>https://dergipark.org.tr/en/pub/ebor/issue/58610/850506</t>
  </si>
  <si>
    <t>Croitoru, A. (2008). Schumpeter, J.A., 1934 (2008), The Theory of Economic Development: An Inquiry into Profits, Capital, Credit, Interest and the Business Cycle, translated from the German by Redvers Opie. Journal of Comparative Research in Anthropology and Sociology, 137-148.</t>
  </si>
  <si>
    <t>BALAN, E., &amp; SAEED, M. (2020). China -Central Asia’s Economic Geography and Globalization:A Literature Overview, Journal of BusinessManagement, Commerce &amp; Research, Vol.-VIII, ISSUE NO-1, June-2020 (ISSN 2319-250X).</t>
  </si>
  <si>
    <t>https://www.jbmcr.org/#!/Archives</t>
  </si>
  <si>
    <t xml:space="preserve">Croitoru, A. (2012). The theory of economic development – An inquiry into profits, capital, credit, interest, and the business cycle. Regional Studies, 51(4), 654–655. </t>
  </si>
  <si>
    <t>Peña Merchán, S. D. (2020). Características determinantes de los emprendimientos FinTech para su transformación en modelos de negocio atractivos a financiación. Universidad Nacional de Colombia</t>
  </si>
  <si>
    <t>https://repositorio.unal.edu.co/handle/unal/78487</t>
  </si>
  <si>
    <t>Croitoru Alin, 2017, Der rumänische ländliche Raum und die Falle der Saisonmigration, in Martin Rosswog Kolchoz und Bauernhof – Ländliches Leben und Arbeiten in Europa, LVR – Freilichtmuseum Kommern, München</t>
  </si>
  <si>
    <t>Madaras, S. (2020). Innováció menedzsment. Presa Universitară Clujană.</t>
  </si>
  <si>
    <t>http://www.editura.ubbcluj.ro/www/ro/ebook2.php?id=2839</t>
  </si>
  <si>
    <t>A. Croitoru, Great Expectations: A Regional Study of
Entrepreneurship among Romanian Return Migrants,
Open Sage, 2020, doi.org/10.1177/2158244020921149.</t>
  </si>
  <si>
    <t>Anghel, R. G., &amp; Roman, M. (2020). Lessons from Romania on Highly Qualified Returnees: Processes, Policies, Effects. In V. Esch, V. Palm, H. Brey, &amp; C. Hagemann (Eds.), EMIGRATION FROM THE WESTERN BALKANS (pp. 83-89). Berlin: The Aspen Institute Deutschland.</t>
  </si>
  <si>
    <t>https://www.sogde.org/de/publikationen/southeast-europe-in-focus/</t>
  </si>
  <si>
    <t>Croitoru, A. (2008). Schumpeter, J. (1934). TheTheory of Economic
Development: An InquiryintoProfits, Capital, Credit,
Interestandthe Business Cycle.
TranslatedfromtheGermanbyRedversOpie, New Brunswick
(U.S.A) andLondon (U.K.): TransactionPublishers</t>
  </si>
  <si>
    <t>Balli, E., Tekeoglu, M., Özsaatcı, B., Gül, F., Ekinci, G., Akyılmaz, B., . . . Evisen, N. (2020). The Last T The Last Technological Inno echnological Innovations and Its E ations and Its Effects on Gr ects on Growth Process, Labor Market and Society Social, Humanity and Administrative Sciences. 33.</t>
  </si>
  <si>
    <t xml:space="preserve">https://academicworks.livredelyon.com/soc_hum_ad_sci/33. </t>
  </si>
  <si>
    <t xml:space="preserve">Shumpeter, J. (1934). The theory of economic development. Journal of Comparative Research in Anthropology and Sociology, 3 (2), 137–148. Obtenido de http://compaso.eu/wpd/wp-content/uploads/2013/01/Compaso2012-32-Croitoru.pdf </t>
  </si>
  <si>
    <t>Garza, J. G. Q. (2020). Motivos Para Emprender Micronegocios Familiares En México Y Su Relación Con La Expectativa De Continuidad De Sus Propietarios. Universidad Autónoma de Nuevo León.</t>
  </si>
  <si>
    <t>http://eprints.uanl.mx/19595/1/1080314256.pdf</t>
  </si>
  <si>
    <t>Croitoru, A. (2017). Schumpeter, Joseph Alois, 1939, Business Cycles: A
Theoretical, Historical, and Statistical Analysis of the Capitalist Process, New
York and London, McGraw – Hill Book Company Inc. Journal of Comparative
Research in Anthropology and Sociology, 8 (1), 67-80.</t>
  </si>
  <si>
    <t>Kaw, M. T. M. (2020). Intellectual Capital,Value Creation Andfirm Performance In Singapore. Cardiff Metropolitan University.</t>
  </si>
  <si>
    <t xml:space="preserve">https://figshare.cardiffmet.ac.uk/articles/thesis/Intellectual_Capital_Value_Creation_and_Firm_Performance_in_Singapore/14176607/files/26746484.pdf. </t>
  </si>
  <si>
    <t>Croitoru, Alin. "Schumpeter, JA, 1934 (2008), The theory of economic development: An
inquiry into profits, capital, credit, interest and the business cycle." Journal of
comparative research in anthropology and sociology 3, no. 02 (2012): 137-148.
Iqbal, S. Role of Youth in Pakistan. December 3, 2017.</t>
  </si>
  <si>
    <t>Khalid, A., &amp; Asad, A. Z. (2020). Social Entrepreneurship is one of the Way Forward to Youth Empowerment in Pakistan. Pakistan Vision, 20(1), 1-7</t>
  </si>
  <si>
    <t>https://www.prdb.pk/article/social-entrepreneurship-is-one-of-the-way-forward-to-youth-e-566</t>
  </si>
  <si>
    <t>Croitoru, A. (2012). A review to a book that is 100 years old, Journal of
Comparative Research in Anthropology and Sociology, Volume 3,
Number 2, Winter.</t>
  </si>
  <si>
    <t>διατριβή, Δ. (2020). The Relative Creditworthiness of Development and Growth Theory. Pergamon.</t>
  </si>
  <si>
    <t>https://pergamos.lib.uoa.gr/uoa/dl/frontend/file/lib/default/data/2896430/theFile</t>
  </si>
  <si>
    <t>Croitoru, A. (2017). Schumpeter, Joseph Alois, 1939, Negocios ciclos: una teoría, análisis histórico y estadístico de la capitalt proceso, Nueva York y Londres,  McGraw – Hill book company inc. Journal de Comparative Anthrophology y  Sociology, (8)1, 67–70.</t>
  </si>
  <si>
    <t>Egusquiza Estupiñan, Milene Lizeth. (2020). El Internet en la Innovación Empresarial de una empresa de servicios, distrito La Victoria, 2019-2020. Universidad César Vallejo</t>
  </si>
  <si>
    <t>https://repositorio.ucv.edu.pe/handle/20.500.12692/53367</t>
  </si>
  <si>
    <t>A. Croitoru, “Schumpeter, Joseph Alois, 1939, Business Cycles: A Theoretical, 
Historical, and Statistical Analysis of the Capitalist Process,” J. Comp. Res. Anthropol. Sociol., vol. 8, no. 1, pp. 2068–317, 2017</t>
  </si>
  <si>
    <t>Wangai, A. W. (2020). Sustainability-focused models to support the strategic rail development processes in emerging countries. Budapest University of Technology and Economics.</t>
  </si>
  <si>
    <t>https://repozitorium.omikk.bme.hu/bitstream/handle/10890/13528/ertekezes.pdf?sequence=2</t>
  </si>
  <si>
    <t>Croitoru, A. (2012) Schumpeter, J.A., 1934 (2008). The Theory of Economic
Development: An Inquiry into Profits, Capital, Credit, Interest and the
Business Cycle,</t>
  </si>
  <si>
    <t>Sund, A. (2020). Möjliggörare eller bromsklossar?: En studie om myndigheters påverkan på företagsutveckling inom de gröna näringarna i Jämtland.</t>
  </si>
  <si>
    <t>http://www.diva-portal.org/smash/record.jsf?pid=diva2%3A1512890&amp;dswid=-6954</t>
  </si>
  <si>
    <t>Croitoru, A. (2012). Schumpeter, J. A., 1934 (2008). The Theory of Economic Development: An Inquiry into Profits, Capital, Credit, Interest and the Business Cycle. Translated from the German by Redvers Opie, New Brunswick (USA) and London (UK): Transaction Publishers. Journal of Comparative Research in Anthropology and Sociology, 3(2), 1-13.</t>
  </si>
  <si>
    <t>Portnova, I., &amp; Peiseniece, L. (2020). LEADERS'COMPETENCES FOR SUCCESSFUL LEADERSHIP OF INVENTION AND IMPLEMENTATION OF INNOVATION: A CONCEPTUAL MODEL. Journal of Business Management, 6(1).</t>
  </si>
  <si>
    <t>http://www.theaspd.com/resources/JBM%20Vol%206-1-3.pdf</t>
  </si>
  <si>
    <t>A. Croitoru, “Schumpeter, J.A., 1934 (2008), The  Theory  of  Economic  Development:  An Inquiry  into  Profits,  Capital,  Credit,  Interest and  the  Business  Cycle,  translated  from  the German  by  Redvers  Opie,  New  Brunswick (U.S.A)    and    London    (U.K.):    Transaction Publishers.  A  re,” J.  Comp.  Res.  Anthropol. Sociol., vol. 3, no. 2, pp. 137–148, 2012</t>
  </si>
  <si>
    <t xml:space="preserve">Arviansyah, M. R. (2020). Faktor untuk Meningkatkan Inovasi di Negara  Berkembang – Tinjauan Literatur Sistematis. Business Innovation &amp; Entrepreneurship Journal, 2(3), 173-179. </t>
  </si>
  <si>
    <t>http://ejournals.fkwu.uniga.ac.id/index.php/BIEJ/article/view/132</t>
  </si>
  <si>
    <t>Stanciu Raluca, David Anca (Universitatea „Lucian Blaga”, Sibiu)</t>
  </si>
  <si>
    <t>“Marginal Thinking Knowledge and Communication in the
Postmodern Era”</t>
  </si>
  <si>
    <t xml:space="preserve">  Ciocan Ioana-Tatiana, Hususan Mădălina, „Intercultural  Communication in  the
Context of Migration as a form  of Social
Accomodation and Integration”, Cogito Journal, Vol. XII, no. 4/December, 2020, p. 119   </t>
  </si>
  <si>
    <t> https://cogito.ucdc.ro/COGITO23decembrie2020.pdf</t>
  </si>
  <si>
    <t>La critique - entre fleuret et marteau</t>
  </si>
  <si>
    <t>Gabriel Hasmațuchi. 2020. Ion Dur's Hermeneutics and the Critical Spirit. Cogito XII(3): 51-71.</t>
  </si>
  <si>
    <t>http://cogito.ucdc.ro/COGITO%20septembrie%202020.pdf</t>
  </si>
  <si>
    <t>Terapii critice neconvenționale</t>
  </si>
  <si>
    <t>Bădescu Gabriel (UBB), Comșa Mircea (UBB), Gheorghiță Andrei (ULBS), Stănuș Cristina (ULBS), Tufiș Claudiu D. (UB)</t>
  </si>
  <si>
    <t>Bădescu, Gabriel, Mircea Comșa, Andrei Gheorghiţă, Cristina Stănuş şi Claudiu D. Tufiş (2010) Implicarea civică şi politică a tinerilor. Constanţa: Editura Dobrogea.</t>
  </si>
  <si>
    <t>Andrea Sólyom. 2020. „About the System of Prejudices among the Hungarian Youth in Romania, Slovakia, Serbia, and Ukraine”. Acta Univ. Sapientiae, Social Analysis 10: 27–55.</t>
  </si>
  <si>
    <t>https://sciendo.com/article/10.2478/aussoc-2020-0002</t>
  </si>
  <si>
    <t>CEEOL, DOAJ, EBSCO</t>
  </si>
  <si>
    <t>Comșa Mircea (UBB), Gheorghiță Andrei (ULBS), Tufiș Claudiu D. (UB)</t>
  </si>
  <si>
    <t>Comșa, Mircea, Andrei Gheorghiță și Claudiu D. Tufiș (eds.) (2010) Alegerile pentru Parlamentul European. România 2009. Iaşi: Polirom.</t>
  </si>
  <si>
    <t>Alexandru Radu. 2020. „A Pattern of European Parliament Elections in Romania (2007-2019)”. În 2019 European Elections: The EU Party Democracy and the Challenge of National Populism, eds. Radu Carp &amp; Cristina Matiuța, 238-259. Leiden: Brill.</t>
  </si>
  <si>
    <t>https://books.google.ro/books?id=v-8eEAAAQBAJ&amp;printsec=frontcover&amp;dq=2019+European+Elections:+The+EU+Party+Democracy+and+the+Challenge+of+National+Populism&amp;hl=ro&amp;sa=X&amp;ved=2ahUKEwj_2Pn7vrfwAhXmmIsKHTB7AcgQ6AEwAHoECAAQAg#v=onepage&amp;q=2019%20European%20Elections%3A%20The%20EU%20Party%20Democracy%20and%20the%20Challenge%20of%20National%20Populism&amp;f=false</t>
  </si>
  <si>
    <t>Gheorghiță Andrei (ULBS)</t>
  </si>
  <si>
    <t>Gheorghiță, Andrei (2006) „Discurs politic şi construcţia imaginii candidaţilor în alegerile prezidenţiale din 2000”, în Studia Universitatis Babeş-Bolyai. Seria Politica, Nr. 1.</t>
  </si>
  <si>
    <t xml:space="preserve">Mihai Stelian Rusu. 2020. Delicii prozaice: Bârfa ca practică socială a vieții cotidiene. Iași: Institutul European. </t>
  </si>
  <si>
    <t>https://www.euroinst.ro/titlu.php?id=1668</t>
  </si>
  <si>
    <t>Mihaela Ivănescu. 2020. „Tales of Post-Communist Transition and Right-Wing Extremism. An Analysis of the 2000 Romanian Elections, 20 Years after”. Revista de Științe Politice 66: 83-94.</t>
  </si>
  <si>
    <t>https://cis01.central.ucv.ro/revistadestiintepolitice/files/numarul66_2020/7.pdf</t>
  </si>
  <si>
    <t>EBSCO, ProQuest, Index Copernicus</t>
  </si>
  <si>
    <t>Rusu Horațiu (ULBS), Gheorghiță Andrei (ULBS)</t>
  </si>
  <si>
    <t>Rusu, Horațiu și Andrei Gheorghiță (2014) „Transnational Solidarity and Public Support for the EU Enlargement”, în Sociologia. Slovak Sociological Review, vol. 46, no. 3, pp. 261-282.</t>
  </si>
  <si>
    <t>Linda Basile, Rossella Borri &amp; Luca Verzichelli. 2020. „Crisis and the complex path of burden-sharing in the EU”. În The EU through Multiple Crises. Representation and Cohesion Dilemmas for a “sui generis” Polity, eds. Maurizio Cotta &amp; Pierangelo Isernia, 95-132. London: Routledge.</t>
  </si>
  <si>
    <t>https://books.google.ro/books?id=v977DwAAQBAJ&amp;printsec=frontcover&amp;dq=The+EU+through+Multiple+Crises.+Representation+and+Cohesion+Dilemmas+for+a+%E2%80%9Csui+generis%E2%80%9D+Polity&amp;hl=ro&amp;sa=X&amp;ved=2ahUKEwi3vcbVvrfwAhXNlosKHVtIDtkQ6AEwAHoECAUQAg#v=onepage&amp;q=The%20EU%20through%20Multiple%20Crises.%20Representation%20and%20Cohesion%20Dilemmas%20for%20a%20%E2%80%9Csui%20generis%E2%80%9D%20Polity&amp;f=false</t>
  </si>
  <si>
    <t>Volum indexat SCOPUS (https://www.elsevier.com/?a=91123)</t>
  </si>
  <si>
    <t>Gheorghiță, Andrei. 2014. „Determining the Components of Leader Effects in a Post-Communist Context”, în Marina Costa Lobo și John Curtice (eds.), Personality Politics? The Role of Leader Evaluations in Democratic Elections, Oxford: Oxford University Press, 2014, pp. 261-282.</t>
  </si>
  <si>
    <t>Giorgian Guțoiu. 2020. „Urban Administrative Fragmentation and Its Consequences on Electoral Behaviors at Romanian National Legislative Elections. A Case Study on Bucharest”. European Quarterly of Political Attitudes and Mentalities – EQPAM 9(4):14-37.</t>
  </si>
  <si>
    <t>EBSCO, DOAJ, ERIHPlus</t>
  </si>
  <si>
    <t>Michal Marek. 2020. „Personalizace politické komunikace na sociálních sítích na příkladu facebookové stránky Andreje Babiše”. BA Diss. Prague: Charles University.</t>
  </si>
  <si>
    <t>https://dspace.cuni.cz/bitstream/handle/20.500.11956/118634/130281787.pdf?sequence=1</t>
  </si>
  <si>
    <t>Charles University Digital Repository</t>
  </si>
  <si>
    <t>Gheorghiță, Andrei. 2005. „Transmiterea intergeneraţională a opţiunilor politice: o abordare conceptuală”, în Studia Universitatis Babeş-Bolyai. Seria Politica, Nr. 1.</t>
  </si>
  <si>
    <t>Alin Tomuș și Ovidiu Valentin Boc. 2020. „Theoretical Aspects Related to the Citizen Participation and the Party Attachment for the Young People”. Revista Universitară de Sociologie XVI(1): 93-103.</t>
  </si>
  <si>
    <t>http://www.sociologiecraiova.ro/revista/wp-content/uploads/2020/06/00.-FULL-VERSION-93-103.pdf</t>
  </si>
  <si>
    <t>Hein Online, CEEOL, RePec, DOAJ</t>
  </si>
  <si>
    <t>Gheorghiță, Andrei (2010) „Trecutul comunist în conştiinţa adolescenţilor”. În Gabriel Bădescu, Mircea Comşa, Andrei Gheorghiţă, Cristina Stănuş şi Claudiu D. Tufiş, Implicarea civică şi politică a tinerilor. Constanţa: Editura Dobrogea.</t>
  </si>
  <si>
    <t>Mihai Stelian Rusu. 2019. „’Civilising’ the Transitional Generation: The Politics of Civic Education in Post-Communist Romania”. Social Change Review 17(1): 116-141. (Online 02.10.2020)</t>
  </si>
  <si>
    <t>https://sciendo.com/article/10.2478/scr-2019-0005</t>
  </si>
  <si>
    <t>CEEOL, EBSCO, Index Copernicus, DOAJ</t>
  </si>
  <si>
    <t>Claudia-Florentina Dobre. 2020. „Communism as a Frame of Reference in Romania: Public and Private Recollections”. Sensus Historiae XLI(4): 155-169.</t>
  </si>
  <si>
    <t>http://www.sensushistoriae.epigram.eu/index.php/czasopismo/article/view/569/575</t>
  </si>
  <si>
    <t>Index Copernicus, EBSCO, ERIH Plus</t>
  </si>
  <si>
    <t>Grozea Lucian (Universitatea  ”Lucian Blaga”  din Sibiu)</t>
  </si>
  <si>
    <t>Istoria presei religioase din România (istoric, evoluție, tendințe)</t>
  </si>
  <si>
    <t xml:space="preserve">Nedelcu Silviu-Constantin, Revoluția din Decembrie 89 prin  ”ochii revistei”  ”Mitropolia Ardealului” de la Sibiu (I), Revista Saeculum, nr. 50/2, 2020, p. 139, ISSN 1221-2245  </t>
  </si>
  <si>
    <t>Electoral geography and the post-socialist city: Is the pre-world war II urban tissue still important? Evidence from Bucharest at the Romanian parliamentary elections of 2016</t>
  </si>
  <si>
    <t>The City as an Onion? Case Studies of Electoral Geography in Prague and Warsaw (Daniel Kerekes, Sociológia 2020, Vol. 52 No. 3: 245-272)</t>
  </si>
  <si>
    <t>https://www.sav.sk/journals/uploads/06221234Kerekes%203-2020.pdf</t>
  </si>
  <si>
    <t>The Intercultural Communication in European Union. A few significant aspects</t>
  </si>
  <si>
    <t>Cogito (Ciocan, Ioana-Tatiana, &amp; Hususan, Madalina, Intercultural communication in the
context of migration as a form of social
accommodation and integration, Cogito, Vol. XII, no. 4/December, 2020)</t>
  </si>
  <si>
    <t>https://cogito.ucdc.ro/COGITO23decembrie2020.pdf</t>
  </si>
  <si>
    <t xml:space="preserve">“Nichifor Crainic and the Interwar “New 
Spirituality.” </t>
  </si>
  <si>
    <t>The “CHRISTIAN NATIONALISM” of Nichifor Crainic reflected in his work from the 4th decade of the 20th century (Morariu, Iuliu-Marius, Presa Universitară Clujeană, 2020)</t>
  </si>
  <si>
    <t>https://www.researchgate.net/publication/342736398_The_CHRISTIAN_NATIONALISM_of_Nichifor_Crainic_reflected_in_his_work_from_the_4th_decade_of_the_20th_century</t>
  </si>
  <si>
    <t>Ruediger Schmtt-Beck(Unversitatea din Mannheim), Oana Lup</t>
  </si>
  <si>
    <t>Seeking the soul of democracy: A review of recent research into citizens' political talk culture</t>
  </si>
  <si>
    <t>Hyunjin Song, Jaeho Cho, Grace A. Benefield, The Dynamics of Message Selection in Online Political Discussion Forums: Self-Segregation or Diverse Exposure?, Communication Research, 2020, 47:1</t>
  </si>
  <si>
    <t>https://journals.sagepub.com/doi/full/10.1177/0093650218790144</t>
  </si>
  <si>
    <t>WOS</t>
  </si>
  <si>
    <t>David Nicolas Hopmann, Camilla Bjarnøe, Anke Wonneberger, Responding to Interpersonal Political Disagreement, International Journal of Public Opinion Research, 2020, 32: 1</t>
  </si>
  <si>
    <t>https://academic.oup.com/ijpor/article-abstract/32/1/66/5488586</t>
  </si>
  <si>
    <t>Alyssa C. Morey &amp; Masahiro Yamamoto, Exploring Political Discussion Motivations: Relationships with Different Forms of Political Talk, Communication Studies, 2020, 71:1</t>
  </si>
  <si>
    <t>https://www.tandfonline.com/doi/abs/10.1080/10510974.2019.1692885</t>
  </si>
  <si>
    <t>Susan Vermeer, Sanne Kruikemeier,  Damian Trilling, Claes H. de Vreese, WhatsApp with Politics?!: Examining the Effects of Interpersonal Political Discussion in Instant Messaging Apps, The International Journal of Press/Politics, 2020, 26:2</t>
  </si>
  <si>
    <t>https://journals.sagepub.com/doi/full/10.1177/1940161220925020</t>
  </si>
  <si>
    <t xml:space="preserve">Melinda Burrell, Why Would I Want To Talk To Them? An Exploration of Perceptions of Talking Across Political Divides, Nova Southeastern University, 2020 </t>
  </si>
  <si>
    <t>https://nsuworks.nova.edu/shss_dcar_etd/151/</t>
  </si>
  <si>
    <t>Teza de docttorat US</t>
  </si>
  <si>
    <t xml:space="preserve">Felix Flemming, Die Ängste der Wähler, Springer, 2020 </t>
  </si>
  <si>
    <t>https://neukirchener-verlage.de/catalog/product/view/_ignore_category/1/id/1894620/s/die-angste-der-wahler-9783658299033/</t>
  </si>
  <si>
    <t xml:space="preserve">Carte Springer/ Springer Link  </t>
  </si>
  <si>
    <t>Nolas, Sevasti-Melissa, Christos Varvantakis, and Vinnarasan Aruldoss. "Ativismo político ao longo da vida." PAULUS: Revista de Comunicação da FAPCOM 4, no. 7 (2020).</t>
  </si>
  <si>
    <t>https://www.fapcom.edu.br/revista/index.php/revista-paulus/article/view/373</t>
  </si>
  <si>
    <t>Open Journal Access</t>
  </si>
  <si>
    <t>Tausendpfund, Markus. "Niveau und Determinanten politischen Wissens." In Politisches Wissen in Deutschland, pp. 89-126. Springer VS, Wiesbaden, 2020.</t>
  </si>
  <si>
    <t>https://www.springer.com/de/book/9783658304911</t>
  </si>
  <si>
    <t>Salgueiro Marques, Â. C., Moriceau, J. L., &amp; Guimarães, B. M. A. (2020). Médiatisation du croire. Invectives, police et économie morale dans les espaces de commentaires sur la loi relative au statut de la famille au Brésil. Communication. Information médias théories pratiques, 37(1).</t>
  </si>
  <si>
    <t>https://journals.openedition.org/communication/11253</t>
  </si>
  <si>
    <t xml:space="preserve">Open Edition </t>
  </si>
  <si>
    <t>Oana Lup</t>
  </si>
  <si>
    <t>Interpersonal political communication in election campaigns in a comparative perspective</t>
  </si>
  <si>
    <t>Marquart, F., Goldberg, A. C., &amp; de Vreese, C. H. (2020). ‘This time I’m (not) voting’: A comprehensive overview of campaign factors influencing turnout at European Parliament elections. European Union Politics, 21(4), 680-705.</t>
  </si>
  <si>
    <t>https://journals.sagepub.com/doi/full/10.1177/1465116520943670</t>
  </si>
  <si>
    <t>Oana Lup, Cristina Elena Mitrea (ULBS)</t>
  </si>
  <si>
    <t>Ștefenel, D. and Neagoș, I. (2020). Measuring academic engagement among university students in Romania during Covid-19 pandemic. Thesis, 9 (2), 3-29</t>
  </si>
  <si>
    <t>https://www.ceeol.com/search/article-detail?id=938301</t>
  </si>
  <si>
    <t xml:space="preserve">Mitrea Elena Cristina (ULBS),  Mühlböck Monika (Universitatea din Viena) și Warmuth Julia (Universitatea din Viena) </t>
  </si>
  <si>
    <t>Extreme Pessimists? Expected Socioeconomic Downward Mobility and the Political Attitudes of Young Adults</t>
  </si>
  <si>
    <t>Stewart, A. J., McCarty, N. &amp; Bryson J. J. (2020) Polarization under rising inequality and economic decline. Science Advances, 6.50 DOI: 10.1126/sciadv.abd4201</t>
  </si>
  <si>
    <t>https://advances.sciencemag.org/content/6/50/eabd4201</t>
  </si>
  <si>
    <t>Lup Oana (ULBS), Mitrea Elena Cristina (ULBS)</t>
  </si>
  <si>
    <t>Ștefenel, D. and Neagoș, I. (2020). Measuring academic engagement among university students
in Romania during Covid-19 pandemic. Thesis, 9 (2), 3-29</t>
  </si>
  <si>
    <t>Învățământul Universitar din România în Contextul Pandemiei COVID-19 Experiențele Studenților</t>
  </si>
  <si>
    <t xml:space="preserve"> Neștian, Ș. A.; Vodă, A.I.;
Tiță, S. M.; Guță, A.L.; Turnea, E.-S.
Does Individual Knowledge
Management in Online Education Prepare Business Students for Employability in Online Businesses? Sustainability 2021, 13 (4)
2091. https://doi.org/10.3390/
su13042091</t>
  </si>
  <si>
    <t xml:space="preserve">https://www.mdpi.com/2071-1050/13/4/2091 </t>
  </si>
  <si>
    <t>Rodriguez-Sabiote, Clemente; Ubeda-Sanchez, Alvaro Manuel; Alvarez-Rodriguez, Jose; Alvarez-Ferrandiz, Daniel.2020.  Active Learning in an Environment of Innovative Training and Sustainability. Mapping of the Conceptual Structure of Research Fronts through a Bibliometric Analysis. Sustainability 2020, 12(19), 8012.  https://doi.org/10.3390/su12198012</t>
  </si>
  <si>
    <t>https://www.mdpi.com/2071-1050/12/19/8012</t>
  </si>
  <si>
    <t>Arellano, E. G. R., Vergaray, J. M., Franco, Y. J. H., Garro-Aburto, L. L., &amp; Navarro, E. R. (2020).
Educational inclusion in times of COVID-19: talking with female inclusive teachers in Lima-Peru. International Journal of Pharmaceutical Research, 12(9). 3719-3728
https://doi.org/10.31838/ijpr/2020.12.01.408</t>
  </si>
  <si>
    <t>http://www.ijpronline.com/ViewArticleDetail.aspx?ID=19042</t>
  </si>
  <si>
    <t>Nguyen, Y. C., Hoang, A. D., Pham, P. T., Nguyen, T. T., &amp; Pham, H. H. (2020). Homework is a long lever to elevate education but where is the fulcrum? Available at SSRN 3746820. (2020). Available at SSRN: https://ssrn.com/abstract=3746820 or http://dx.doi.org/10.2139/ssrn.3746820</t>
  </si>
  <si>
    <t>https://papers.ssrn.com/sol3/papers.cfm?abstract_id=3746820</t>
  </si>
  <si>
    <t>ELSEVIER</t>
  </si>
  <si>
    <t>Sălcudean Minodora, Muresan Raluca (ULBS)</t>
  </si>
  <si>
    <t>The emotional impact of traditional and new media in social events</t>
  </si>
  <si>
    <t>DE DIOS, Sabina Civila; ROMERO-RODRIGUEZ, Luis M.  e  AGUADED, Ignacio. El lenguaje como creador de realidades y opinión pública: análisis crítico a la luz del actual ecosistema mediático. Íconos [online]. 2020, n.67, pp.139-157. ISSN 1390-8065.  https://doi.org/10.17141/iconos.67.2020.3942.</t>
  </si>
  <si>
    <t>http://scielo.senescyt.gob.ec/scielo.php?script=sci_arttext&amp;pid=S1390-12492020000200139</t>
  </si>
  <si>
    <t>Social Media and Critical Thinking: A Hermeneutic, Phenomenological Study of Business Professors
Trout, Richard. University of the Southwest, ProQuest Dissertations Publishing, 2020. 27738799.</t>
  </si>
  <si>
    <t>https://search.proquest.com/openview/d024466d6803bdf10298c222a70a537d/1?pq-origsite=gscholar&amp;cbl=51922&amp;diss=y</t>
  </si>
  <si>
    <t>Noles Monserrate, D.L., Vinces V.Sanchez, J.A. (2020) Análisis de la adaptación de las radios del cantón pasaje al ecosistema mediático en el 2020 (trabajo de titulación). UTMACH, Facultad De ciencias Sociales, Machala, Ecuador. 154 p.</t>
  </si>
  <si>
    <t>http://repositorio.utmachala.edu.ec/bitstream/48000/16411/1/T-3962_NOLES%20MONSERRATE%20DOMENICA%20LILIBETH.pdf</t>
  </si>
  <si>
    <t xml:space="preserve">Repositorio Digital de la UTMACH </t>
  </si>
  <si>
    <t xml:space="preserve"> Muresan Raluca, Sălcudean Minodora (ULBS)</t>
  </si>
  <si>
    <t>Hate and the Roma of Romania: Failing to Moderate the Conversation</t>
  </si>
  <si>
    <t xml:space="preserve">Patric Plesa, The Anti-Self-Help Project: Existential Suffering in Neonihilism, Degree of
Doctor of Philosophy, York University, Ontario, Canada, April 2020. </t>
  </si>
  <si>
    <t>https://yorkspace.library.yorku.ca/xmlui/handle/10315/37989</t>
  </si>
  <si>
    <t>York University Library</t>
  </si>
  <si>
    <t>Elemente de dreptul comunicării</t>
  </si>
  <si>
    <t>Sălcudean, Minodora. “Visual Humor through Internet Memes (II) From harmless humour to the discriminatory potential of (anti)memes. Case Study: ‘The Transgender Bathroom Debate’.” Transilvania, no. 11-12 (2020): 94-100. https://doi.org/10.51391/trva.2020.12.12.</t>
  </si>
  <si>
    <t>Pogan Livia Dana (ULBS)</t>
  </si>
  <si>
    <t>Changing work values in a liquid world</t>
  </si>
  <si>
    <t>Gori, Alessio; Topino, Eleonora. 2020. "Predisposition to Change Is Linked to Job Satisfaction: Assessing the Mediation Roles of Workplace Relation Civility and Insight" Int. J. Environ. Res. Public Health 17, no. 6: 2141. https://doi.org/10.3390/ijerph17062141</t>
  </si>
  <si>
    <t>https://www.mdpi.com/1660-4601/17/6/2141</t>
  </si>
  <si>
    <t>Scopus, SCIE and SSCI (Web of Science), PubMed, MEDLINE, PMC, GEOBASE, Embase, CAPlus / SciFinder</t>
  </si>
  <si>
    <t>Ebrahimi, M., Hamian, Z., Yarahmadi, Y., Jadidi, H., Ahmadiyan, H. (2020). The Effectiveness of Positive Psychology Training on the Resiliency and Job Satisfaction of Government Employees. International Journal of Behavioral Sciences, 14(2), 79-84. doi: 10.30491/ijbs.2020.206270.1153</t>
  </si>
  <si>
    <t>http://www.behavsci.ir/article_111231.html</t>
  </si>
  <si>
    <t>EBSCO
Academic Search Complete
Academic Search Elite
 Index Copernicus
DOAJ
ISC
SID
Iranmedex
Magiran</t>
  </si>
  <si>
    <t>Work-Family Conflict in the Context of Demographic Change</t>
  </si>
  <si>
    <t>Stuckert, R. (2020). Einfluss transformationaler Führung auf Work-Family-Conflict und Work-Family-Enrichment: Die Rolle von Identifikation und der Wahrnehmung von Unternehmensvergangenheit. GRIN Verlag.</t>
  </si>
  <si>
    <t>https://scholar.google.com/scholar?oi=bibs&amp;hl=ro&amp;cites=13415814424585197362</t>
  </si>
  <si>
    <t>Einfluss transformationaler Führung auf Work-Family-Conflict und Work-Family-Enrichment: Die Rolle von Identifikation und der Wahrnehmung von Unternehmensvergangenheit. GRIN Verlag.</t>
  </si>
  <si>
    <t>Impact of organizational environment on job satisfaction and job performance</t>
  </si>
  <si>
    <t>LUZ MARINA VALENCIA GARCÍA (2020). Gestión del talento humano y comunicación interna en la productividad
laboral de los trabajadores, Municipalidad Metropolitana de Lima - 2019</t>
  </si>
  <si>
    <t>https://repositorio.ucv.edu.pe/handle/20.500.12692/40431</t>
  </si>
  <si>
    <t>Repositorio de la Universidad César Vallejo https://hdl.handle.net/20.500.12692/40431</t>
  </si>
  <si>
    <t>Engagement focused leadership</t>
  </si>
  <si>
    <t xml:space="preserve">Singh, Bipul and Townsley, Matt (2020) "Making Sense of Georgia School Leader Evaluation: Climate, Engagement and the District Office," Georgia Educational Researcher: Vol. 17 : Iss. 1 , Article 4.
DOI: 10.20429/ger.2020.170104
</t>
  </si>
  <si>
    <t xml:space="preserve"> https://digitalcommons.georgiasouthern.edu/gerjournal/vol17/iss1/4</t>
  </si>
  <si>
    <t>Educational Leadership Commons, Other Educational Administration and Supervision Commons, Urban Education Commons</t>
  </si>
  <si>
    <t>Angelique de Rijk, Ziv Amir, Miri Cohen, Tomislav Furlan, Lode Godderis, Bojana Knezevic, Massimo Miglioretti, Fehmidah Munir,  Adela Elena Popa (ULBS), Maria Sedlakova, Steffen Torp, Dana Yagil, Sietske Tamminga, Angela de Boer*</t>
  </si>
  <si>
    <t>The challenge of return to work in workers with cancer: employer priorities despite variation in social policies related to work and health, (Journal of Cancer Survivorship)</t>
  </si>
  <si>
    <t>Greidanus, MA, de Boer, AGEM, Tiedtke, CM et al. 2020. Supporting employers to enhance the return to work of cancer survivors: development of a web-based intervention (MiLES intervention). Journal of Cancer Survivorship, 14(2): 200-210</t>
  </si>
  <si>
    <t>https://pubmed.ncbi.nlm.nih.gov/31938966/</t>
  </si>
  <si>
    <t xml:space="preserve">de Boer, AGEM, Greidanus, MA, Dewa, CS. 2020. Introduction to special section on: current topics in cancer survivorship and work. Journal of Cancer Survivorship, 14(2): 101-105 </t>
  </si>
  <si>
    <t>https://link.springer.com/article/10.1007/s11764-020-00868-w</t>
  </si>
  <si>
    <t xml:space="preserve">Amir, Ziv, Popa, Adela (ULBS), Tamminga, Sietske, Yagil, Dana, Munir, Fehmidah, de Boer, Angela* </t>
  </si>
  <si>
    <t>Employer’s management of employees affected by cancer (Supportive Care in Cancer)</t>
  </si>
  <si>
    <t>Tiedtke, C., De Rijk, A., Van den Broeck, A., et al. 2020. Employers' Experience on Involvement in Sickness Absence/Return to Work Support for Employees with Cancer in Small Enterprises. Journal of Occupational Rehabilitation</t>
  </si>
  <si>
    <t>https://pubmed.ncbi.nlm.nih.gov/32246294/</t>
  </si>
  <si>
    <t>Lamort-Bouche, M., Peron, J., Broc, G., et al. 2020. Breast cancer specialists' perspective on their role in their patients' return to work: A qualitative study. Scandinavian Journal OF Work Environement &amp; Health, 46(2): 177-187</t>
  </si>
  <si>
    <t>https://pubmed.ncbi.nlm.nih.gov/31433060/</t>
  </si>
  <si>
    <t>De Boer Angela GEM, Torp Steffen, Popa Adela (ULBS), Horsboel Trine, Zadnik Vesna, Rottenberg Yakir, Bardi Edit, Bultmann Ute &amp; Sharp Linda *</t>
  </si>
  <si>
    <t>Long-term work retention after treatment for cancer: a systematic review and meta-analysis (Journal of Cancer Survivorship)</t>
  </si>
  <si>
    <t>Nekhlyudov, Lariss, Duijts, Saskia; Hudson, Shawna V.; et al. 2020. Addressing the needs of cancer survivors during the COVID-19 pandemic.  Journal of Cancer Survivorship, Early Access</t>
  </si>
  <si>
    <t>https://pubmed.ncbi.nlm.nih.gov/32335850/</t>
  </si>
  <si>
    <t>A. R. Bosma, C. R. L. Boot, F. G. Schaafsma, G. Kok &amp; J. R. Anema. 2020. Development of an Intervention to Create a Supportive Work Environment for Employees with Chronic Conditions: An Intervention Mapping Approach. Journal of Occupational Rehabilitation</t>
  </si>
  <si>
    <t>https://link.springer.com/article/10.1007/s10926-020-09885-z</t>
  </si>
  <si>
    <t>O'Dell, Catharine Lee. 2020. Delaware Cancer Survivor Work Optimization Needs Assessment. Wilmington University (Delaware), ProQuest Dissertations Publishing</t>
  </si>
  <si>
    <t>https://search.proquest.com/openview/f9db0324f1fb611a9798f53f47591681/1?pq-origsite=gscholar&amp;cbl=18750&amp;diss=y</t>
  </si>
  <si>
    <t>Popa, Adela Elena (ULBS) &amp; Dragoman, Dragos (ULBS)</t>
  </si>
  <si>
    <t xml:space="preserve">Social change and new challenges for the health care system: Introduction to social change review special issue, 2015, Social Change Review, 12(2), 115–118 </t>
  </si>
  <si>
    <t xml:space="preserve">Angeleta Zipporah Robinson. 2020. A Systematic Review of Structured Communication Among Interprofessional Teams. Doctoral thesis, Walden University </t>
  </si>
  <si>
    <t>(https://scholarworks.waldenu.edu/cgi/viewcontent.cgi?article=9601&amp;context=dissertations)</t>
  </si>
  <si>
    <t>Walden University</t>
  </si>
  <si>
    <t>Horsbøl, T.A., Dalton, S.O., Ammitzbøll, G. et al. 2020. Gynaecological cancer leads to long-term sick leave and permanently reduced working ability years after diagnosis. J Cancer Surviv 14, 867–877</t>
  </si>
  <si>
    <t>https://link-springer-com.am.e-nformation.ro/article/10.1007/s11764-020-00899-3</t>
  </si>
  <si>
    <t>Birgit Brusletto, Roy A Nielsen, Harald Engan, Line Oldervoll, Camilla M Ihlebæk, Nina Helen Mjøsund, Steffen Torp, 2020. Labor-force participation and working patterns among women and men who have survived cancer: A descriptive 9-year longitudinal cohort study, 49(2):188-196</t>
  </si>
  <si>
    <t>https://pubmed.ncbi.nlm.nih.gov/32883170/</t>
  </si>
  <si>
    <t xml:space="preserve">Greidanus, M.A., de Rijk, A.E., Frings-Dresen, M.H.W. et al. 2020. The Use and Perceived Usefulness of an Online Toolbox Targeted at Employers (MiLES Intervention) for Enhancing Successful Return to Work of Cancer Survivors. J Occup Rehabil </t>
  </si>
  <si>
    <t>https://link-springer-com.am.e-nformation.ro/article/10.1007/s10926-020-09929-4</t>
  </si>
  <si>
    <t>Kong, YC., Rauf, N., Subramaniam, S. et al. 2020. Working after cancer: in-depth perspectives from a setting with limited employment protection policies. J Cancer Surviv. https://doi-org.am.e-nformation.ro/10.1007/s11764-020-00962-z</t>
  </si>
  <si>
    <t>https://link-springer-com.am.e-nformation.ro/article/10.1007/s11764-020-00962-z#citeas</t>
  </si>
  <si>
    <t>Hemming, Sally (2020): Do workers with long-term health conditions need self-management support at work?. Loughborough University. Thesis. https://doi.org/10.26174/thesis.lboro.13325912.v1</t>
  </si>
  <si>
    <t>https://repository.lboro.ac.uk/articles/thesis/Do_workers_with_long-term_health_conditions_need_self-management_support_at_work_/13325912/1</t>
  </si>
  <si>
    <t>Loughborough University Repository</t>
  </si>
  <si>
    <t>Jennifer M Jones, PhD, Hina Saeed, MD, Matthew S Katz, MD, Maryam B Lustberg, MD, MPH, Victoria J Forster, PhD, Larissa Nekhlyudov, MD, MPH, 2020. Readdressing the Needs of Cancer Survivors During COVID-19: A Path Forward, JNCI: Journal of the National Cancer Institute</t>
  </si>
  <si>
    <t>https://academic.oup.com/jnci/advance-article/doi/10.1093/jnci/djaa200/6050827?login=true</t>
  </si>
  <si>
    <t>Kenryo Ohara, Mariko Suzuki, Naoko Niigata, Chika Shirai, Yasuko Idoguti, Machiko Kawahira, Factors associated with unemployment or job change due to the treatment of designated intractable diseases, SANGYO EISEIGAKU ZASSHI (Occupational Hygiene Magazine)</t>
  </si>
  <si>
    <t>https://www.jstage.jst.go.jp/article/sangyoeisei/advpub/0/advpub_2020-039-B/_pdf</t>
  </si>
  <si>
    <t>J-Stage</t>
  </si>
  <si>
    <t xml:space="preserve">Popa Adela (ULBS) </t>
  </si>
  <si>
    <t>„Sat bogat, sat sărac. Comunitate, identitate, proprietate în ruralul romînesc”, 2010, Iasi, Editura Institutul European, ISBN 978-973-611-674-2, 334 pagini.</t>
  </si>
  <si>
    <t>Bonaciu, CG. 2020. The village - the main component of the European rural area, Anuarul Institutului de Istorie »George Bariţiu« - Series HISTORICA - Supliment, LIX(2): 501-508.</t>
  </si>
  <si>
    <t>https://www.ceeol.com/search/article-detail?id=916165</t>
  </si>
  <si>
    <t>Popa Radu-Ioan (ULBS), Florin Alin Sava (UVT)</t>
  </si>
  <si>
    <t>Personality types based on the Big Five model. A cluster analysis over the Romanian population.</t>
  </si>
  <si>
    <t>Mădălina Elena Costache,
Andreas Frick, Kristoffer Månsson, Jonas Engman,
Vanda Faria, Olof Hjorth, Johanna M. Hoppe, Malin Gingnell, Örjan Frans, Johannes Björkstrand, Jörgen Rosén, Iman Alaie,
Fredrik Åhs, Clas Linnman,
Kurt Wahlstedt, Maria Tillfors, Ina Marteinsdottir,
Mats Fredrikson, Tomas Furmark. Higher-and lower-order personality traits and cluster subtypes in social anxiety disorder. PLOS ONE,  https://doi.org/10.1371/journal.pone.0232187.</t>
  </si>
  <si>
    <t>https://journals.plos.org/plosone/article?id=10.1371/journal.pone.0232187</t>
  </si>
  <si>
    <t xml:space="preserve">Shalini Sahni, Shyama Kumari, Prachi Pachaury. Building Emotional Resilience with Big Five Personality Model Against COVID-19 Pandemic. FIIB Business Review, https://doi.org/10.1177/2319714520954559
</t>
  </si>
  <si>
    <t>https://journals.sagepub.com/doi/10.1177/2319714520954559</t>
  </si>
  <si>
    <t>André Kerber, Marcus Roth, Philipp Yorck Herzberg. Personality types revisited-a literature-informed and data-driven approach to an integration of prototypical and dimensional constructs of personality description. Academic PLOS ONE,  https://doi.org/10.1371/journal.pone.0244849.</t>
  </si>
  <si>
    <t>https://pubmed.ncbi.nlm.nih.gov/33411758/</t>
  </si>
  <si>
    <t>Popa Radu-Ioan (ULBS)</t>
  </si>
  <si>
    <t>An experimental perspective over personality and leadership styles inside Romanian organizations</t>
  </si>
  <si>
    <t>The Leadership Style of Kiai Manshur in Forming Anfa’linnas Students.
Case Study at Pondok Pesantren Tahfidz Yanbu'ul Qur'an Menawan. Journal of Management and Entrepreneurship Research. DOI: https://doi.org/10.34001/jmer.2020.12.01.2-9.</t>
  </si>
  <si>
    <t>https://journal.unisnu.ac.id/jmer/article/view/2020.12.01.2-9</t>
  </si>
  <si>
    <t>BASE - Bielefeld Academic Search Engine</t>
  </si>
  <si>
    <t>Theoretical perspectives upon the return to work of cancer patients: The difficult path of integration in the organization</t>
  </si>
  <si>
    <t xml:space="preserve">M. A. Greidanus, A. G. E. M. de Boer, C. M. Tiedtke, M. H. W. Frings-Dresen, A. E. de Rijk, S. J. Tamminga. Supporting employers to enhance the return to work of cancersurvivors: development of a web-based intervention(MiLES intervention). Journal of Cancer Survivorship. https://doi.org/10.1007/s11764-019-00844-z. </t>
  </si>
  <si>
    <t>https://link.springer.com/content/pdf/10.1007/s11764-019-00844-z.pdf</t>
  </si>
  <si>
    <t>WOS/SCOPUS</t>
  </si>
  <si>
    <t>Rusu H &amp; Gheorghita A</t>
  </si>
  <si>
    <t>Transnational Solidarity and Public support for the EU enlargement. Sociologia 46(3)]</t>
  </si>
  <si>
    <t>Nägel, C., Lutter, M. The Christmas Market Attack in Berlin and Attitudes Toward Refugees: A Natural Experiment with Data from the European Social Survey. Eur J Secur Res 5, 199–221 (2020). https://doi.org/10.1007/s41125-020-00066-w</t>
  </si>
  <si>
    <t>https://link.springer.com/article/10.1007%2Fs41125-020-00066-w</t>
  </si>
  <si>
    <t>EBSCO, ProQuest-ExLibris Primo, OCLC WorldCat Discovery Service, CNKI, TD Net Discovery Service, Institute of Scientific and Technical Information of China,
Naver</t>
  </si>
  <si>
    <t>Linda Basile, Rossella Borri, Luca Verzichelli (2020) Crisis and the complex path of burden-sharing in the EU. In Maurizio Cotta, Pierangelo Isernia (eds)The EU through Multiple Crises Representation and Cohesion Dilemmas for a “sui generis” Polity. London: Routdledge.</t>
  </si>
  <si>
    <t>https://www.taylorfrancis.com/chapters/edit/10.4324/9780429331688-5/crisis-complex-path-burden-sharing-eu-linda-basile-rossella-borri-luca-verzichelli</t>
  </si>
  <si>
    <t>RUSU H &amp; Anca Bejenaru</t>
  </si>
  <si>
    <t>Factors Influencing School Success in Rural Romania: A Case Study Based on Data Collected with the School Success Profile Instrument. în Studia Sociologia, Vol 55, Nr.1, pp 71-88</t>
  </si>
  <si>
    <t>Irina Elena Ion, Radu Lupu &amp; Elena Nicolae (2020) Academic achievement and professional aspirations: between the impacts of family, self-efficacy and school counselling, Journal of Family Studies, DOI: 10.1080/13229400.2020.1746685</t>
  </si>
  <si>
    <t>https://www.tandfonline.com/doi/abs/10.1080/13229400.2020.1746685</t>
  </si>
  <si>
    <t>RUSU H</t>
  </si>
  <si>
    <t>Measuring social solidarity. Some research notes. Social Change Review, 10(1)  2012, 71–91</t>
  </si>
  <si>
    <t xml:space="preserve">Abdurachman, Andi Dody May Putra Agustang, Andi Agustang (2020) Culture Of Shame-Heart And Social Solidarity Of Kaitetu People Central Maluku District, Indonesia. in INTERNATIONAL JOURNAL OF SCIENTIFIC &amp; TECHNOLOGY RESEARCH 9(2) </t>
  </si>
  <si>
    <t>http://www.ijstr.org/final-print/feb2020/Culture-Of-Shame-heart-And-Social-Solidarity-Of-Kaitetu-People-Central-Maluku-District-Indonesia.pdf</t>
  </si>
  <si>
    <t>Teorii ale identităţii colective: între esenţialism şi constructivism. De la identitate la identificare. Sociologie Romaneasca.2009</t>
  </si>
  <si>
    <t>Ioana Miruna Popescu (2020) THE ROLE OF STATE IN SUPPORTING NATIONAL IDENTITY in Redefining Community in Intercultural Context. 9(1). Pp 241-248</t>
  </si>
  <si>
    <t>https://www.ceeol.com/search/article-detail?id=874407</t>
  </si>
  <si>
    <t>CEEOL, Index Copernicus,</t>
  </si>
  <si>
    <t>Schimbare socială şi identitate socioculturală. Iași: Institutul European</t>
  </si>
  <si>
    <t>N Vicol -Un incipit al profesionalizării pedagogice: profesorul Mentalese in  Pogolşa L. (2020) Educația: factor primordial în dezvoltarea societății,.Chișinău: Institutul de Științe ale Educatiei. ISBN  978-9975-48-178-6 2020</t>
  </si>
  <si>
    <t>https://ibn.idsi.md/vizualizare_articol/113786</t>
  </si>
  <si>
    <t>Oludele Solaja Mayowa. SOCIAL CHANGE IN CONTEMPORARY NIGERIA: A THEORETICAL DISCOURSE in Research in Social Change 12(1) pp 57-82</t>
  </si>
  <si>
    <t>https://www.fuds.si/wp-content/uploads/2020/09/solaja_mayowa_oludele_57-82.pdf</t>
  </si>
  <si>
    <t xml:space="preserve">(https://www.fuds.si/en/research-and-social-change/) RSC is included in Applied Social Sciences Index and Abstracts (ASSIA) and CSA Sociological Abstracts. </t>
  </si>
  <si>
    <t>RUSU H, Balasoiu R.</t>
  </si>
  <si>
    <t>Identitate etnică şi patrimoniu cultural imaterial.  Revista de Sociologie,  I, 2003</t>
  </si>
  <si>
    <t>Angelica-Nicoleta NECULĂESEI (ONEA) (2020) DIFFICULTIES IN THE RESEARCH OF ETHNIC GROUPS. Management Intercultural XXII (44), pp. 7-15</t>
  </si>
  <si>
    <t>http://seaopenresearch.eu/Journals/articles/MI_44_1.pdf</t>
  </si>
  <si>
    <t>Ebsco, RePEc, DOAJ, CEEOL etc.</t>
  </si>
  <si>
    <t>RUSU H, Voicu B. Popa A.</t>
  </si>
  <si>
    <t>Este Romania altfel? Societatea si sociologia... incotro?</t>
  </si>
  <si>
    <t xml:space="preserve">Breaz, A. M. (2020). Increasing the quality of life for the older in residential care by cultural programs. Revista De Asistenta Sociala, (2), 58-72. </t>
  </si>
  <si>
    <t>http://www.swreview.ro/index.pl/increasing_the_quality_of_life_for_the_older_in_residential_care_by_cultural_programs?op=aartlist&amp;aid=1089</t>
  </si>
  <si>
    <t>ProQuest,EBSCO, Social Work Abstracts, CEEOL,Index Copernicus,SCIPIO,GESIS,IBSS si ERIH+</t>
  </si>
  <si>
    <t>Rusu, M. S. ‘Transitional Politics of Memory:
Political Strategies of Managing the Past in Post-communist Romania’, 69 Europe-Asia Studies
(2017) 1257–1279,</t>
  </si>
  <si>
    <t>Adriana Mihaela Soaita &amp; Barend Wind (2020) Urban Narratives on the Changing Nature of Social Capital in Post-Communist Romania, Europe-Asia Studies, 72:4, 712-738, DOI: 10.1080/09668136.2020.1718064</t>
  </si>
  <si>
    <t>https://www.tandfonline.com/doi/abs/10.1080/09668136.2020.1718064</t>
  </si>
  <si>
    <t>Janine Natalya Clark, Emotional Legacies, Transitional Justice and Alethic Truth: A Novel Basis for Exploring Reconciliation, Journal of International Criminal Justice, Volume 18, Issue 1, March 2020, Pages 141–165, https://doi.org/10.1093/jicj/mqaa011</t>
  </si>
  <si>
    <t>https://academic.oup.com/jicj/article-abstract/18/1/141/5815622</t>
  </si>
  <si>
    <t>Rusu, M.S. (2019). Shifting urban namescapes: Street name politics and toponymic change in a Romanian(ised) city. Journal of Historical Geography. 65, 48-58.</t>
  </si>
  <si>
    <t>Zeynep Gamze Mert &amp; Filiz Ertürk (2020). “Yer” in Anlamının Araştırıcısı Olarak Sokak İsimleri: İzmit/Akçakoca Tarihi Bölge Örneği. Idealkent, DOI:10.31198/idealkent.746082</t>
  </si>
  <si>
    <t>https://dergipark.org.tr/tr/pub/idealkent/issue/58572/746082</t>
  </si>
  <si>
    <t>EBSCO, Scilit</t>
  </si>
  <si>
    <t>Rusu, M. S. (2020). Political patterning of urban namescapes and post-socialist toponymic change: A quantitative analysis of three Romanian cities. Cities, Vol. 103. https://doi.org/10.1016/j.cities.2020.102773</t>
  </si>
  <si>
    <t>Lorena Oprica (2020). The symbolic geography of Sibiu in the online environment. Bulletin of the Transilvania University of Braşov Series VII: Social Sciences • Law • Vol. 13(62) No. 2 https://doi.org/10.31926/but.ssl.2020.13.62.2.10</t>
  </si>
  <si>
    <t>https://www.ceeol.com/search/article-detail?id=932447</t>
  </si>
  <si>
    <t>Rusu, M. S. (2017). Celebrities’ Memorial Afterlives: Obituaries,
Tributes, and Posthumous Gossip in the Romanian
Media Deathscape. OMEGA-Journal of Death and Dying, January</t>
  </si>
  <si>
    <t>Valentino Sabbatino, Laura Bostan, Roman Klinger (2020). Automatic Section Recognition in Obituaries</t>
  </si>
  <si>
    <t>https://www.aclweb.org/anthology/2020.lrec-1.102/</t>
  </si>
  <si>
    <t>ACLWeb</t>
  </si>
  <si>
    <t>RUSU M S, Shifting urban namescapes: street name politics and toponymic change in a Romanian
(ised) city. JHG 65 1 (2019) 48–58.</t>
  </si>
  <si>
    <t>Andrew McTominey (2020). Bibliography of urban history 2020. Urban History. Urban History (2020), 47, 705–753, doi:10.1017/S0963926820000620</t>
  </si>
  <si>
    <t>https://www.cambridge.org/core/journals/urban-history/article/bibliography-of-urban-history-2020/6538D97C6524BBAB91907364E8F76BE2</t>
  </si>
  <si>
    <t>Cambridge Core</t>
  </si>
  <si>
    <t>Frederik Buylaert, Gerrit Verhoeven, Reinoud Vermoesen and Tim Verlaan (2020). Review of periodical articles. Urban History, (2020), 47, 327–347
doi:10.1017/S0963926820000012</t>
  </si>
  <si>
    <t>https://www.cambridge.org/core/journals/urban-history/article/review-of-periodical-articleserratum/FF1CC4FF799A585123C275384E095CAC</t>
  </si>
  <si>
    <t>Rusu, Mihai Stelian. 2018. “Theorising love in sociological thought: Classical contributions to a sociology of love.” Journal of Classical Sociology 18(1): 3–20.</t>
  </si>
  <si>
    <t xml:space="preserve">Charlotte Nell (2020). The Relevance of Bourdieusian Theory for a “Sociology of Love” – A Critical Discussion. Revista Scientifica FOZ, </t>
  </si>
  <si>
    <t>https://revista.ivc.br/index.php/revistafoz/article/view/172</t>
  </si>
  <si>
    <t>Google Academic, LivRe, REDIB, CiteFactor</t>
  </si>
  <si>
    <t>Rusu, Mihai Stelian. “Battling over Romanian Red Past. The Memory of Communism between Elitist Cultural Trauma and Popular Collective Nostalgia.” Romanian Journal of Society and Politics X (I), 2015: 24-48.</t>
  </si>
  <si>
    <t>George A. Condrache (2020). Between a Harmless Game and a Bittersweet Disease: Forms of Nostalgia in Post-Socialist Central and Eastern Europe. Phd thesis, The University of Western Ontario</t>
  </si>
  <si>
    <t>https://ir.lib.uwo.ca/cgi/viewcontent.cgi?article=9951&amp;context=etd</t>
  </si>
  <si>
    <t>Western Libraries Electronic Thesis Repository</t>
  </si>
  <si>
    <t>Knox, David, Schacht, Caroline, Chang, I. Joyce (2020). Choices in Relationships. 13th edition. Sage Publications.</t>
  </si>
  <si>
    <t>https://us.sagepub.com/en-us/nam/choices-in-relationships/book267856</t>
  </si>
  <si>
    <t>Sage</t>
  </si>
  <si>
    <t>Rusu M (2012) Multi-paradigmaticity, scattered cumulativity, multi-localized ignorance: The tumultuous condition of sociological knowledge. Revista de Cercetare si Interventie Social 39: 187–203.</t>
  </si>
  <si>
    <t>Ron Johnston and Kelvyn Jones (2020). A classic that wasn’t: Statistical Geography and paths only later taken. Progress in Human Geography, 44(2), 357-373</t>
  </si>
  <si>
    <t>https://journals.sagepub.com/doi/abs/10.1177/0309132519826684</t>
  </si>
  <si>
    <t>Rusu, M. S. (2013). History and Collective Memory: The Succeeding Incarnations of an Evolving Relationship. Philobiblon. Transylvanian Journal of Multidisciplinary Research in Humanities, 18, 2, pp. 260–282.</t>
  </si>
  <si>
    <t>JPE Abellera (2020). The persistence of false memory: Rey Carlos III in Pangil, Laguna and José Rizal in Lucban, Quezon. the 2019 Tayabas Studies Conference</t>
  </si>
  <si>
    <t>https://www.academia.edu/40002852/THE_PERSISTENCE_OF_FALSE_MEMORY_REY_CARLOS_III_IN_PANGIL_LAGUNA_AND_JOS%C3%89_RIZAL_IN_LUCBAN_QUEZON</t>
  </si>
  <si>
    <t>Academia.edu</t>
  </si>
  <si>
    <t>Nichols, L. T. (2020). Sorokin’s Amitology and Lewis’s four loves: Integrating scientific and artistic imaginations. Human Arenas, 3(1), 23-37.</t>
  </si>
  <si>
    <t>https://link.springer.com/article/10.1007/s42087-019-00074-w</t>
  </si>
  <si>
    <t>Springer</t>
  </si>
  <si>
    <t>Mangone, E., &amp; Dolgov, A. (2020). Sorokin’s “altruistic creative love”: Genesis, methodological issues, and applied aspects. Human Arenas, 3(1), 6-22.</t>
  </si>
  <si>
    <t>https://link.springer.com/article/10.1007/s42087-019-00058-w</t>
  </si>
  <si>
    <t>Ruban, D. A. (2020). Unawareness and Theorizing in Modern Geology: Two Examples Based on Citation Analysis. Earth, 1(1), 1-14.</t>
  </si>
  <si>
    <t>https://www.mdpi.com/2673-4834/1/1/1Magnetic</t>
  </si>
  <si>
    <t>MDPI</t>
  </si>
  <si>
    <t>Mangone, E. (2020). Pitirim A. Sorokin’s contribution to the theory and practice of altruism. European Journal of Social Sciences, 58, 1.</t>
  </si>
  <si>
    <t>https://www.cairn-int.info/journal-revue-europeenne-des-sciences-sociales-2020-1-page-149.htm?WT.tsrc=cairnPdf</t>
  </si>
  <si>
    <t>Cairn</t>
  </si>
  <si>
    <t>Short, M. (2020). The Anglican Church of Australia engaging with people living with disabilities and people from culturally and linguistically diverse backgrounds in rural, regional and remote communities. Charles Sturt University</t>
  </si>
  <si>
    <t>https://researchoutput.csu.edu.au/ws/portalfiles/portal/89197646/Monica_Short_thesis_copy_for_registering_final.pdf</t>
  </si>
  <si>
    <t>researchoutput.csu.edu.au</t>
  </si>
  <si>
    <t>Avram, K. (2020). Courts as a Site to Tell the “Truth”. The Impact of Human Rights Prosecutions, 51.</t>
  </si>
  <si>
    <t>https://books.google.ro/books?hl=ro&amp;lr=&amp;id=VysEEAAAQBAJ&amp;oi=fnd&amp;pg=PA51&amp;ots=RYYM_cbPAq&amp;sig=iCWZo6q-8KtNDrh2rj1IF7Kkwg4&amp;redir_esc=y#v=onepage&amp;q&amp;f=false</t>
  </si>
  <si>
    <t>Google Books</t>
  </si>
  <si>
    <t>Rusu, M. S. (2016). The Sacralization of Martyric Death in Romanian Legionary Movement: Self-sacrificial Patriotism, Vicarious Atonement, and Thanatic Nationalism. Politics, Religion &amp; Ideology, 17(2-3), pp. 249–273, DOI: 10.1080/21567689.2016.1232196.</t>
  </si>
  <si>
    <t>Stynen, A., Van Ginderachter, M., &amp; Seixas, X. M. N. (Eds.). (2020). Emotions and everyday nationalism in modern European history. Routledge.</t>
  </si>
  <si>
    <t>https://books.google.ro/books?hl=ro&amp;lr=&amp;id=-u7eDwAAQBAJ&amp;oi=fnd&amp;pg=PT11&amp;ots=SOend9W3F0&amp;sig=uH05H3Heleq6lD7bCV_DGzR3HtI&amp;redir_esc=y#v=onepage&amp;q&amp;f=false</t>
  </si>
  <si>
    <t>Hoření, K., &amp; Ripka, V. (2020). The Anti-communist Resistance in Czechoslovakia in a Pedagogical Perspective. In Violent Resistance (pp. 218-244). Ferdinand Schöningh.</t>
  </si>
  <si>
    <t>https://brill.com/view/book/9783657703043/BP000017.xml</t>
  </si>
  <si>
    <t>Brill</t>
  </si>
  <si>
    <t>Rusu, M. S. (2020). Political Patterning of Urban Namescapes and Post-socialist Toponymic Change: A Quantitative Analysis of Three Romanian Cities. Cities: The International Journal of Urban Policy and Planning, 103, 102773, pp. 1–12, DOI: 10.1016/j.cities.2020.102773, IF 2018 = 3.853.</t>
  </si>
  <si>
    <t>Basik, S. (2020). Rethinking the toponymic politics in Belarus in the 20–21 centuries: toward the post-colonial perspective. Journal of Geography, Politics and Society, 10(3), 5-15.</t>
  </si>
  <si>
    <t>https://czasopisma.bg.ug.edu.pl/index.php/JGPS/article/download/4986/4368</t>
  </si>
  <si>
    <t>CEEOL, CEON, CEJSH, ERIH PLUS</t>
  </si>
  <si>
    <t>Oprică, L. (2020). The Symbolic Geography of Brasov in the Online Environment. Bulletin of the Transilvania University of Braşov, Series VII: Social Sciences and Law, 13(2), 219-230.</t>
  </si>
  <si>
    <t>DOAJ, CEEOL, ERIH PLUS</t>
  </si>
  <si>
    <t>Rusu, M. S. (2016). Domesticating Viragos: The Politics of Womanhood in the Romanian Legionary Movement. Fascism. Journal of Comparative Fascist Studies, 5(2), 149–176.</t>
  </si>
  <si>
    <t>Ciobanu, M. (2020). Repression, Resistance and Collaboration in Stalinist Romania 1944-1964: Post-communist Remembering. Routledge.</t>
  </si>
  <si>
    <t>https://books.google.ro/books?hl=ro&amp;lr=&amp;id=0cP4DwAAQBAJ&amp;oi=fnd&amp;pg=PT6&amp;ots=SMI7tQBJ7S&amp;sig=QIiXg3v3SG0senV4G1Ojgc8pvOY&amp;redir_esc=y#v=onepage&amp;q&amp;f=false</t>
  </si>
  <si>
    <t>Rusu, Mihai Stelian. “Transitional Politics of Memory: Political Strategies of Managing the
Past in Post-Communist Romania”. Europe-Asia Studies 69, no. 8 (September 14,
2017): 1257–79. https://doi.org/10.1080/09668136.2017.1380783.</t>
  </si>
  <si>
    <t>Petrescu, C. (2020). Mapping the Cultural Heritage of Dissent. New Sources, New Knowledge and New Narrative(s) on European Identity. Cuadernos De Historia Contemporánea, 42, 79-86. https://doi.org/10.5209/chco.71892</t>
  </si>
  <si>
    <t>https://revistas.ucm.es/index.php/CHCO/article/view/71892</t>
  </si>
  <si>
    <t>America History and Life (AHL)
Dialnet
Directory of Open Access Jornals (DOAJ)
Emerging Sources Citation Index (ESCI)</t>
  </si>
  <si>
    <t>Mitroiu, Simona (2020). Narațiuni feminine în postcomunism. În Dragoș Petrescu (Ed.). Comunismul în România: memorie și istorie. București: Pro Universitaria, pp. 57-82</t>
  </si>
  <si>
    <t>https://www.prouniversitaria.ro/carte/comunismul-in-romania-memorie-si-istorie/</t>
  </si>
  <si>
    <t>Gnatiuk, O., &amp; Melnychuk, A. (2020). Geopolitics of geographical urbanonyms: evidence from Ukrainian cities. AUC Geographica, 55(2), 255-268.</t>
  </si>
  <si>
    <t>http://www.aucgeographica.com/index.php/aucg/article/download/226/149</t>
  </si>
  <si>
    <t>EBSCO, GeoBibline, SCOPUS, Ulrichsweb</t>
  </si>
  <si>
    <t>Mihai Stelian Rusu, ”Battling over Romanian Red Past. The Memory of Communism between Elitist Cultural Trauma and Popular Collective Nostalgia”, în Romanian Journal of Society and Politics, 10(1), 18, 2015, pp. 41-42</t>
  </si>
  <si>
    <t>Anton, M. (2020). Comunismul în postcomunism. Nostalgii și nostalgici. Polis. Journal of Political Science, 8(3 (29)), 5-33.</t>
  </si>
  <si>
    <t>http://revistapolis.ro/documente/revista/2020/3(29)/1.%20Editorial%20NOSTALGIA%20Mioara%20AntonX.pdf</t>
  </si>
  <si>
    <t>CEEOL, DOAJ</t>
  </si>
  <si>
    <t>Rusu Mihai Stelian (2015), Battling over Romanian Red Past. The Memory of Communism between
Elitist Cultural Trauma and Popular Collective Nostalgia, „Romanian Journal of Society and
Politics”, nr 10 (1), s. 24–48</t>
  </si>
  <si>
    <t>Ostolski, A. (2020). Gra w antykomunizm. Przyczynek do analizy dyskursu. Studia Socjologiczno-Polityczne. Seria Nowa, 13(2), 99-124.</t>
  </si>
  <si>
    <t>https://www.ceeol.com/content-files/document-970592.pdf?casa_token=tLhONoqjdWMAAAAA:H5GNUWR1dEaL-J1Ov8_LAnrh5tfeiz2rB9a8nWVOSL-DF3Unz04ToRlvu-w_Ul3ltx2JxgnpTg</t>
  </si>
  <si>
    <t>Rusu, Mihai Stelian &amp; Kantola, Ismo (University of Turku, Finland). (2016). Celebrating the Royal Liturgy within the National Calendrical Memory:
Th e Politics of Festive Time in the Romanian Kingdom, 1866–1947. Journal of Comparative Research in Anthropology and Sociology 7. 1. 127–159.</t>
  </si>
  <si>
    <t xml:space="preserve">Balatonyi Judit (2020). Pünkösd a gyimesbükki ezeréves határon. Etnikus és vallási versengések és ünnepi együttműködések. Erdélyi Múzeum-Egyesület, pp. 479-511	</t>
  </si>
  <si>
    <t>https://eda.eme.ro/xmlui/handle/10598/31786</t>
  </si>
  <si>
    <t>Dspace Repository eda.eme.ro</t>
  </si>
  <si>
    <t>RUSU, Mihai Stelian
2014 (Hi)Story-telling the Nation. Th e Narrative Construction of Romanianism
in the Late 19 th Century. Journal of Comparative Research in Anthropology
and Sociology 5. 1. 101–120.</t>
  </si>
  <si>
    <t>Mihai Stelian Rusu, “The
Sacralisation of Martyric Death in Romanian Legionary Movement: Self-sacrificial Patriotism, Vicarious Atonement, and Thanatic Nationalism”, Politics, Religion &amp;
Ideology, 2-3 (2016), 249-273</t>
  </si>
  <si>
    <t>Pătru, Marian (2020). „Restaurarea Românismului în Destinul său Istoric”.
Imaginea Legiunii „Arhanghelul Mihail” în Presa Bisericii Ortodoxe Române între 1936-1941. Studiu de Caz: Ziarele
Oficiale ale Mitropoliei Ardealului</t>
  </si>
  <si>
    <t>https://www.ceeol.com/search/article-detail?id=928846</t>
  </si>
  <si>
    <t>Lucas Boonen (2020). Ronddwalen over Revolutionaire Pleinen Over Herinneren en Vergeten te midden van het Debris van Postsocialistisch Roemenië. Thesis, KU Leuven</t>
  </si>
  <si>
    <t>https://www.scriptiebank.be/scriptie/2020/ronddwalen-over-revolutionaire-pleinen-over-herinneren-en-vergeten-te-midden-van-het</t>
  </si>
  <si>
    <t>www.scriptiebank.be</t>
  </si>
  <si>
    <t>Ionut Chiruta (2020). Using the past in populist communicational strategies: How the
memory of Securitate is instrumentalised in Romanian politics? Populism, 3(2), 223-256</t>
  </si>
  <si>
    <t>https://brill.com/view/journals/popu/3/2/article-p223_5.xml?language=en</t>
  </si>
  <si>
    <t>Mureșan Raluca, Sălcudean Minodora (ULBS)</t>
  </si>
  <si>
    <t xml:space="preserve"> Hate and the Roma of Romania: Failing to Moderate thwe
Conversation</t>
  </si>
  <si>
    <t>Plesa Patric, The Anti-Self-Help Project: Existential Suffering in Neonihilism/Teză de Doctorat/York University/Toronto-Ontario</t>
  </si>
  <si>
    <t>http://130.63.180.190/xmlui/handle/10315/37989</t>
  </si>
  <si>
    <t>Teză de Doctorat/York University/Toronto-Ontario</t>
  </si>
  <si>
    <t>Sălcudean Minodora, Mureșan Raluca (ULBS)</t>
  </si>
  <si>
    <t>Civila de Dios, Sabina
Romero Rodríguez, Luis M.
Aguaded, Ignacio/El lenguaje como creador de realidades y opinión pública: análisis crítico a la luz del actual ecosistema mediático.
/Revista Íconos No. 67, may. 2020n.º 67, vol. XXIV (2do. cuatrimestre)
ISSN 1390-1249 / e-ISSN: 1390-8065
www.revistaiconos.ec</t>
  </si>
  <si>
    <t>Noles Monserrate, D.L., Vinces V.Sanchez, J.A. (2020) Análisis de la adaptación de las radios del cantón pasaje al ecosistema mediático en el 2020 (trabajo de titulación). UTMACH, Facultad De ciencias Sociales,</t>
  </si>
  <si>
    <t>Trout, Richard, Social Media and Critical Thinking: A Hermeneutic, Phenomenological Study of Business Professors, University of the Southwest, ProQuest Dissertations Publishing, 2020. 27738799.</t>
  </si>
  <si>
    <t>New media, Social media și jurnalismul actual</t>
  </si>
  <si>
    <t>Ciocan, Ioana, Fake news în mass-media românescă: teme și ipostaze, în Negoita, Catalin (coord.), Mediamorfoze V - Reflectare, (de)formare și face news în spațiul mediatic și cultural,</t>
  </si>
  <si>
    <t>Volum, Editura Tritonic</t>
  </si>
  <si>
    <t>Eman Alaslani, 2019, Thesis of Dissertation, "Insta-Tweet" Appeal among Saudi Women: A Uses-and-gratifications Perspective, St. Mary's University</t>
  </si>
  <si>
    <t xml:space="preserve">https://commons.stmarytx.edu/dissertations/26/ </t>
  </si>
  <si>
    <t>Minodora Sălcudean (ULBS)</t>
  </si>
  <si>
    <t>Simona-Nicoleta Voicu, 2020, Digital Diplomacy. A New Micro-Sphere of Public Communication, in Postmodern Openings, Volume 11, Issue 3, pages: 
160-176, DOI: https://doi.org/10.18662/po/11.3/205, National Institute for Research and Development in Informatics - I.C.I Bucharest</t>
  </si>
  <si>
    <t>https://lumenpublishing.com/journals/index.php/po/article/view/3038/2522</t>
  </si>
  <si>
    <t xml:space="preserve">Web of Science (WOS); EBSCO; ERIH+;… </t>
  </si>
  <si>
    <t>FSSS6</t>
  </si>
  <si>
    <t>Iluzie, seducție și autenticitate în scrierea confesivă</t>
  </si>
  <si>
    <t>Hasmațuchi Gabriel, Ion Dur's hermeneutics and the critical spirit - books, ideas and reception, in Cogito, vol XII, nr.3/sept.2020, pp.51-71</t>
  </si>
  <si>
    <t>https://cogito.ucdc.ro/arhiva.html</t>
  </si>
  <si>
    <t xml:space="preserve"> Ciocan Ioana-Tatiana, Hususan Mădălina, „Intercultural  Communication in  the
Context of Migration as a form  of Social
Accomodation and Integration”, Cogito Journal, Vol. XII, no. 4/December, 2020, p.119   </t>
  </si>
  <si>
    <t> “My husband is a patriot!”: Gender and Romanian family return migration from Italy. Journal of Ethnic and Migration Studies, 39(5), 741–758.</t>
  </si>
  <si>
    <t xml:space="preserve">  Croitoru, A. (2020). Great Expectations: A Regional Study of Entrepreneurship Among Romanian Return Migrants. SAGE Open. https://doi.org/10.1177/2158244020921149</t>
  </si>
  <si>
    <t>https://journals.sagepub.com/doi/full/10.1177/2158244020921149#articleCitationDownloadContainer</t>
  </si>
  <si>
    <t>Women’s social remittances and their implications at household level: A case study of Romanian migration to Italy. Migration Letters, 10(1), 81–90.</t>
  </si>
  <si>
    <t>Men’s migration, adulthood, and the performance of masculinities. In Vlase, I., Voicu, B. (Eds.), Gender, family, and adaptation of migrants in Europe (pp. 195–225). Palgrave Macmillan.</t>
  </si>
  <si>
    <t>Ionela Vlase, Alin Croitoru</t>
  </si>
  <si>
    <t> Nesting self-employment in education, work and family trajectories of Romanian migrant returnees. Current Sociology, 67(5), 778–797</t>
  </si>
  <si>
    <t xml:space="preserve">Ionela Vlase, Bogdan Voicu </t>
  </si>
  <si>
    <t>Vlase, I, Voicu, B (2018) Introduction: Uncertain biographies? A focus on migrants’ life course. In: Vlase, I, Voicu, B (eds) Gender, Family and Adaptation of Migrants in Europe. A Life Course Perspective. London: Palgrave Macmillan, pp. 1–12.</t>
  </si>
  <si>
    <t xml:space="preserve">  
   Farcy J-B, Smit S. Status (Im)Mobility and the Legal Production of Irregularity: A Sociolegal Analysis of Temporary Migrants’ Lived Experiences. Social &amp; Legal Studies. 2020;29(5):629-649. doi:10.1177/0964663919894726
  </t>
  </si>
  <si>
    <t>https://journals.sagepub.com/doi/10.1177/0964663919894726#articleCitationDownloadContainer</t>
  </si>
  <si>
    <t>Vlase, Ionela, and Voicu, Bogdan, eds. 2018. Gender, Family, and Adaptation of Migrants in Europe. A Life Course Perspective. Basingstoke: Palgrave Macmillan.</t>
  </si>
  <si>
    <t>Gherghina, S., &amp; Plopeanu, A. (2020). Who Wishes to Return? Ties to Home Country among the Romanian Migrants. Nationalities Papers, 1-15. doi:10.1017/nps.2019.72</t>
  </si>
  <si>
    <t>https://www.cambridge.org/core/journals/nationalities-papers/article/who-wishes-to-return-ties-to-home-country-among-the-romanian-migrants/45A446F4DD7A98D2A2454A056A570EE0</t>
  </si>
  <si>
    <t>Social Sciences Citation Index (SSCI) SCOPUS</t>
  </si>
  <si>
    <t>Vlase, Ionela. 2013. “‘My Husband Is a Patriot!’: Gender and Romanian Family Return Migration from Italy.” Journal of Ethnic and Migration Studies 39 (5): 741–758.</t>
  </si>
  <si>
    <t>Gherghina, S., &amp; Plopeanu, A. (2020). Who Wishes to Return? Ties to Home Country among the Romanian Migrants. Nationalities Papers, 1-15. doi:10.1017/nps.2019.73</t>
  </si>
  <si>
    <t>https://www.cambridge.org/core/journals/nationalities-papers/article/who-wishes-to-return-ties-to-home-country-among-the-romanian-migrants/45A446F4DD7A98D2A2454A056A570EE1</t>
  </si>
  <si>
    <t>Vlase, Ionela. 2012. „Gender and Migration‐Driven Changes in Rural Eastern Romania. Migrants’ Perspectives”. International Review of Social Research 2(2):21‐38</t>
  </si>
  <si>
    <t>Flavius Mihalache (2020) Mediul rural 1990-2020. Transformări și decalaje. Presa Universitara Clujeana</t>
  </si>
  <si>
    <t>Ionela Vlase, Bogdan Voicu</t>
  </si>
  <si>
    <t xml:space="preserve"> Vlase, I, Voicu, B (eds) Gender, Family, and Adaptation of Migrants in Europe: A Life Course Perspective. Cham: Springer International, pp. 67–89.</t>
  </si>
  <si>
    <t>Bolzman, C., Fokkema, T., Guissé, I., &amp; Van Dalen, D. (2021). Starting a new life in the South? Swiss, Dutch and Flemish ageing in Morocco: A lifecourse perspective. Ageing and Society, 1-27. doi:10.1017/S0144686X20001804</t>
  </si>
  <si>
    <t>https://www.cambridge.org/core/journals/ageing-and-society/article/abs/starting-a-new-life-in-the-south-swiss-dutch-and-flemish-ageing-in-morocco-a-lifecourse-perspective/8E02B4ACADA2E47EF16D0F2815F1C6E4</t>
  </si>
  <si>
    <t xml:space="preserve">    Bolzman CA, Bridji S. Older immigrants living in Switzerland and ambivalence related to return around the retirement period. International Journal of Comparative Sociology. 2019;60(1-2):14-36. doi:10.1177/0020715218824634</t>
  </si>
  <si>
    <t>https://journals.sagepub.com/doi/10.1177/0020715218824634#articleCitationDownloadContainer</t>
  </si>
  <si>
    <t>Ionela Vlase, Malina Voicu (GESIS, Germania)</t>
  </si>
  <si>
    <t>Vlase, I. &amp; Voicu, M. (2014) Romanian Roma migration: The interplay between structures and agency. Ethnic and Racial Studies 37(13), 2418-2437.</t>
  </si>
  <si>
    <t xml:space="preserve">M BĂLAN, SM STĂNESCU (2020) Human Mobility under the Impact of Environmental Changes. Scientific Annals of the “Alexandru Ioan Cuza” University of Iasi. (New Series) Sociology and Social Work Section,  13(1)
</t>
  </si>
  <si>
    <t>https://anale.fssp.uaic.ro/index.php/asas/article/viewFile/595/518</t>
  </si>
  <si>
    <t>Alta</t>
  </si>
  <si>
    <t>Preoteasa, A. M. (ICCV), Vlase, I., &amp; Tufă, L. A. (ICCV)</t>
  </si>
  <si>
    <t>(2018). Intergenerational support as a reaction to socio-economic crisis: Alteration of solidarity within precarious Romanian households. European Societies, 20, 111-130. doi:10.1080/14616696.2017.1402123</t>
  </si>
  <si>
    <t xml:space="preserve">Terry, P. N. (2020). Preventing intergenerational welfare dependency among single african american mothers (Order No. 28030659). Available from ProQuest Central. (2438396370). </t>
  </si>
  <si>
    <t>https://search.proquest.com/docview/2438396370?accountid=8083</t>
  </si>
  <si>
    <t>alta</t>
  </si>
  <si>
    <t>Vlase, Ionela</t>
  </si>
  <si>
    <t>M De Silva( 2020) Beyond the age lens: Older migrants negotiation of intersectional identities over the lifecourse. In Handbook on Gender in Asia.</t>
  </si>
  <si>
    <t>https://www.elgaronline.com/view/edcoll/9781788112901/9781788112901.00025.xml</t>
  </si>
  <si>
    <t>Kureková, L. - Žilinčíková, Z.(2020) Determinants of Successful Labour Market Reintegration for Highly Educated Return Migrants in Slovakia. Sociologia . 2020, Vol. 52 Issue 6, p624-647.</t>
  </si>
  <si>
    <t>https://www.sav.sk/?lang=en&amp;doc=journal-list&amp;part=article_response_page&amp;journal_article_no=25003</t>
  </si>
  <si>
    <t xml:space="preserve">Alexandra Voivozeanu¹ (2020) “I wanted to see how to make money there too”: Mobility strategies of Romanian seasonal workers in the agricultural sector abroad. Social Change Review. Vol 18, pp 13-38
</t>
  </si>
  <si>
    <t>http://socialchangereview.ro/index.php/SCR/index</t>
  </si>
  <si>
    <t>Saar, M. and Saar, E. (2020), Can the Concept of Lifestyle Migration be applied to Return Migration? The Case of Estonians in the UK. Int Migr, 58: 52-66. doi:10.1111/imig.12601</t>
  </si>
  <si>
    <t>https://onlinelibrary.wiley.com/doi/abs/10.1111/imig.12601</t>
  </si>
  <si>
    <t>Fawzia Rehejeh (2020) To come or not to come: A Content Analysis of the Refugee Crisis in The Romanian Mass Media. Saeculum. Vol 50(2) pp. 159-173</t>
  </si>
  <si>
    <t>Mihaela Simionescu(2020) THE STATUS ON LABOUR MARKET OF THE ROMANIAN IMMIGRANTS FROM ITALY. Torun International Studies , 1(13)</t>
  </si>
  <si>
    <t>https://apcz.umk.pl/czasopisma/index.php/TSM/article/view/TIS.2020.003</t>
  </si>
  <si>
    <t>ERIH PLUS, DOAJ, BAZEKON, CEEOL, Electronic Journals Library, CiteFactor</t>
  </si>
  <si>
    <t>Dušan Drbohlav &amp; Dagmar Dzúrová (2020) Social Remittances upon Closer Examination: Moldovan Migrants in Prague, Czechia and Turin, Italy, Problems of Post-Communism, DOI: 10.1080/10758216.2020.1760723</t>
  </si>
  <si>
    <t>https://www.tandfonline.com/doi/abs/10.1080/10758216.2020.1760723</t>
  </si>
  <si>
    <t>Ivlevs, Artjoms, Does Emigration Affect Pro-Environmental Behaviour Back Home? A Long-Term, Local-Level Perspective. IZA Discussion Paper No. 12984, Available at SSRN: https://ssrn.com/abstract=3542653</t>
  </si>
  <si>
    <t>https://papers.ssrn.com/sol3/papers.cfm?abstract_id=3542653</t>
  </si>
  <si>
    <t xml:space="preserve">Migraţia de întoarcere a românilor din Italia. Studiu de caz în Vulturu, Vrancea. CALITATEA VIEŢII, XXII, nr. 2, 2011, p. 155–176, </t>
  </si>
  <si>
    <t>Elina Apsite‐Berina  Mădălina‐Elena Manea  Maris Berzins (2019) The Ambiguity of Return Migration: Prolonged Crisis and Uncertainty in the Life Strategies of Young Romanian and Latvian Returnees. International Migration https://doi.org/10.1111/imig.12580</t>
  </si>
  <si>
    <t>https://onlinelibrary.wiley.com/doi/full/10.1111/imig.12580</t>
  </si>
  <si>
    <t>Voicu, Bogdan and Ionela Vlase</t>
  </si>
  <si>
    <t xml:space="preserve"> Voicu, Bogdan and Ionela Vlase. (2014) High-Skilled Immigrants and Social Integration in Times of Crisis. A Cross-European Analysis. International Journal of Intercultural Relations, vol 42, pp. 25-37. IF 1,058</t>
  </si>
  <si>
    <t>Cheryl Zlotnick, Laura Dryjanska (2020), Immigrants’ Health, Acculturation, and the Work–Retirement Continuum, Health &amp; Social Work, 45(1); 13–22, https://doi.org/10.1093/hsw/hlz039</t>
  </si>
  <si>
    <t>https://academic.oup.com/hsw/article-abstract/45/1/13/5715788</t>
  </si>
  <si>
    <t>Voicu, Bogdan and Ionela Vlase. (2014) High-Skilled Immigrants and Social Integration in Times of Crisis. A Cross-European Analysis. International Journal of Intercultural Relations, vol 42, pp. 25-37. IF 1,058</t>
  </si>
  <si>
    <t>Anita Røysum (2020) The job-seeking experiences of resourceful female immigrants and the impact on their self-efficacy beliefs, European Journal of Social Work, 23:1, 173-184, DOI: 10.1080/13691457.2018.1476328</t>
  </si>
  <si>
    <t>https://www.tandfonline.com/doi/abs/10.1080/13691457.2018.1476328</t>
  </si>
  <si>
    <t>66  Voicu, Bogdan and Ionela Vlase. (2014) High-Skilled Immigrants and Social Integration in Times of Crisis. A Cross-European Analysis. International Journal of Intercultural Relations, vol 42, pp. 25-37. IF 1,058</t>
  </si>
  <si>
    <t>Ruedin, Didier. (2020) Corrélations entre migration, intégration et retour : analyse de la littérature sur mandat du SEM en réponse au postulat 16.3790 « Migration. Conséquences à long terme de l’intégration »</t>
  </si>
  <si>
    <t>https://doc.rero.ch/record/328510</t>
  </si>
  <si>
    <t>Precupetu, I., Vasile, M., Vlase, I.</t>
  </si>
  <si>
    <t>Precupetu, I., Vasile, M., Vlase, I. (2013). Individual and contextual factors in self-rated health inequalities: A comparison between Romania, 10NMS and EU15. Revista de Cercetare și Intervenție Socială, 41: 28–39</t>
  </si>
  <si>
    <t xml:space="preserve">THE ASSOCIATION BETWEEN SELF-REPORTED HEALTH STATUS AND PHYSICAL ACTIVITY: EVIDENCE FROM ROMANIA. Journal of public Administration Finance and Law, </t>
  </si>
  <si>
    <t>http://www.jopafl.com/uploads/issue17/THE_ASSOCIATION_BETWEEN_SELFREPORTED_HEALTH_STATUS_AND_PHYSICAL_ACTIVITY_EVIDENCE_FROM_ROMANIA.pdf</t>
  </si>
  <si>
    <t>Ana Maria Preoteasa, Ionela Vlase &amp; Laura A. Tufă</t>
  </si>
  <si>
    <t>Ana Maria Preoteasa, Ionela Vlase &amp; Laura A. Tufă (2018) Intergenerational support as a reaction to socio-economic crisis: alteration of solidarity within precarious Romanian households, European Societies, 20:1, 111-130, DOI: 10.1080/14616696.2017.1402123</t>
  </si>
  <si>
    <t>Gerlinde Verbist, Ron Diris, Frank Vandenbroucke. (2019) Solidarity between Generations in Extended Families: Old-Age Income as a Way Out of Child Poverty?. European Sociological Review 17</t>
  </si>
  <si>
    <t>https://academic.oup.com/esr/article-abstract/36/2/317/5586503</t>
  </si>
  <si>
    <t>Maria-Carmen Pantea (2020) Perceived reasons for pursuing vocational education and training among young people in Romania, Journal of Vocational Education &amp; Training, 72:1, 136-156, DOI: 10.1080/13636820.2019.1599992.</t>
  </si>
  <si>
    <t>https://www.tandfonline.com/doi/abs/10.1080/13636820.2019.1599992</t>
  </si>
  <si>
    <t>Herlofson K, Daatland SO, Veenstra M. Generasjoner imellom. Holdninger til familiens ansvar øst og vest i Europa. Nordisk Østforum. 2019;33:34-53</t>
  </si>
  <si>
    <t>https://oda-hioa.archive.knowledgearc.net/bitstream/handle/10642/8344/Generasjoner-imellom_Nordisk%25C3%2598stforum.pdf?sequence=1&amp;isAllowed=y</t>
  </si>
  <si>
    <t>ALTA</t>
  </si>
  <si>
    <t>Denier, N., Masferrer, C. Returning to a New Mexican Labor Market? Regional Variation in the Economic Incorporation of Return Migrants from the U.S. to Mexico. Popul Res Policy Rev 39, 617–641 (2020). https://doi.org/10.1007/s11113-019-09547-w</t>
  </si>
  <si>
    <t xml:space="preserve">Alin Croitoru (2020) Stimulating return migration to Romania: a multi-method study of returnees’ endorsement of entrepreneurship policies, Journal of Contemporary European Studies, DOI: 10.1080/14782804.2020.1824896
</t>
  </si>
  <si>
    <t>Bermudez, A. and Paraschivescu, C. (2020), Diverse Ways of Thinking and Performing Return Migration: Colombians and Romanians in Europe. Int Migr. doi:10.1111/imig.12759</t>
  </si>
  <si>
    <t>Vlase, Ionela and Ana Maria Preoteasa</t>
  </si>
  <si>
    <t xml:space="preserve"> (2018) Gendered life–course patterns in post-socialist Romania: An illustration from households situated in precarious prosperity. Journal of Balkan and Near Eastern Studies, 20:1, 31-48, DOI: 10.1080/19448953.2017.1375625</t>
  </si>
  <si>
    <t>Francesca Alice Vianello &amp; Angela M. Toffanin (2020) Young adult migrants’ representation of ethnic, gender and generational disadvantage in Italy, Ethnic and Racial Studies, DOI: 10.1080/01419870.2020.1726429</t>
  </si>
  <si>
    <t>https://www.tandfonline.com/doi/abs/10.1080/01419870.2020.1726429</t>
  </si>
  <si>
    <t>Ivlevs, A. (2020) Does Emigration Affect Pro‐environmental Behaviour Back Home? A Long‐Term, Local‐Level Perspective. Kyklos, https://doi.org/10.1111/kykl.12257.</t>
  </si>
  <si>
    <t>https://onlinelibrary.wiley.com/doi/full/10.1111/kykl.12257</t>
  </si>
  <si>
    <t>Luncă, D. (2020). Migrant Women of a Certain Age: Certain Age Midlife Searches for Self, Love, and Sex among Romanian Women in Rome. Etnofoor, 32(2), 49-66. doi:10.2307/26964287</t>
  </si>
  <si>
    <t>https://www.jstor.org/stable/26964287?seq=1</t>
  </si>
  <si>
    <t>Vlase, Ionela. 2015. „Romanian Households Dealing with Precariousness: A Life-Course Approach”. European Societies 17 (4): 513–34. https://doi.org/10.1080/14616696.2015.1061682. Voicu,</t>
  </si>
  <si>
    <t>Voicu, B., Rusu, H., &amp; Tufiș, C. (eds). (2020). Atlasul valorilor sociale. România la 100 de ani. Cluj-Napoca: Presa Universitară Clujeană.</t>
  </si>
  <si>
    <t>Precupetu, Iuliana, Preoteasa Ana Maria, Vlase Ionela</t>
  </si>
  <si>
    <t xml:space="preserve">Precupețu, Iuliana, Ana Maria Preoteasa, și Ionela Vlase. 2015. „Beyond Poverty in Romania: An Analysis of Household-Level Factors of Poverty and Precarious Prosperity”. Sociológia - Slovak Sociological Review 47 (3): 253–71. </t>
  </si>
  <si>
    <t>Iuliana Precupețu, Marian Vasile, Vlase, Ionela</t>
  </si>
  <si>
    <t>Iuliana Precupețu, Marian Vasile, Vlase, Ionela. 2013. „Individual and Contextual Factors in Self-Rated Health Inequalities: A Comparison between Romania, 10NMS and EU15”. Revista de Cercetare Şi Intervenţie Socială 41 (June): 28–39</t>
  </si>
  <si>
    <t>Vlase I (2006) Donne rumene migranti e lavoro domestico in Italia. Studi Emigrazione. N 161, pp 6-22</t>
  </si>
  <si>
    <t xml:space="preserve">García Aguilar, María del Carmen (2020) Trabajo y modo de reproducción: De la crítica a la teoría feminista de la reproducción hacia los lineamientos para una teoría unitaria. Teza doctorat </t>
  </si>
  <si>
    <t>https://repositorioinstitucional.buap.mx/handle/20.500.12371/10076?show=full</t>
  </si>
  <si>
    <t>L’insertion des femmes roumaines sur le marché du travail à Rome: un moyen de développement personnel et collectif</t>
  </si>
  <si>
    <t>Gomez-Perez, Muriel, and Cédric Jourde. “Introduction to the Special Issue on Religious Entrepreneurship.” Africa Today, vol. 67, no. 2-3, 2020, pp. 3–15. JSTOR, www.jstor.org/stable/10.2979/africatoday.67.2-3.01. Accessed 19 Apr. 2021.</t>
  </si>
  <si>
    <t>https://www.jstor.org/stable/10.2979/africatoday.67.2-3.01?seq=1</t>
  </si>
  <si>
    <t xml:space="preserve">Vlase, Ionela </t>
  </si>
  <si>
    <t>Gender and Migration-Driven Changes in Rural Eastern Romania. Migrants' Perspectives.</t>
  </si>
  <si>
    <t>Cîrstea, Ana-Maria (2020) ‘Coming from Abroad’: Exploring Romanian Migrants’ Transnational Social Networks through the Prism of Temporary Return. Lithuanian Ethnology: Studies in Social Anthropology &amp; Ethnology / Lietuvos Etnologija: Socialines Antropologijos ir Etnologijos Studijos. 2020, Issue 20, p169-180. 12p.</t>
  </si>
  <si>
    <t>http://web.b.ebscohost.com/ehost/detail/detail?vid=0&amp;sid=51ccb863-07b0-4f6f-bd16-ac0a687f1100%40sessionmgr101&amp;bdata=JnNpdGU9ZWhvc3QtbGl2ZQ%3d%3d#AN=149316666&amp;db=a9h</t>
  </si>
  <si>
    <t>Pantea M-C. Parents as Gatekeepers? An Indirect Account on the Image of Vocational Education in Historical Context. Journal of Family History. 2020;45(4):411-428. doi:10.1177/0363199019895995</t>
  </si>
  <si>
    <t>https://journals.sagepub.com/doi/abs/10.1177/0363199019895995</t>
  </si>
  <si>
    <t xml:space="preserve">Precupetu, I.(ICCV), Vasile, M. (ICCV), Vlase, Ionela (ULBS) </t>
  </si>
  <si>
    <t>Dănuț-Vasile JEMNA, Mihaela DAVID (2020) THE ASSOCIATION BETWEEN SELF-REPORTED HEALTH
STATUS AND PHYSICAL ACTIVITY: EVIDENCE FROM ROMANIA  Journal of Public Administration, Finance and Law, vol 17, pp 214-232</t>
  </si>
  <si>
    <t>Ionela Vlase (ULBS), Ana Maria Preoteasa (ICCV), Iuliana Precupetu (ICCV)</t>
  </si>
  <si>
    <t>Giedrė Svirbutaitė-Krutkienė, Arvydas Guogis (2020) Why is it Difficult to Talk About the (Coherent) Post-Communist Welfare State Model? Comparative Analysis of the Czech Republic, Lithuania and Romania</t>
  </si>
  <si>
    <t>https://www.lmaleidykla.lt/ojs/index.php/filosofija-sociologija/article/view/4345</t>
  </si>
  <si>
    <t xml:space="preserve">Peens, Michelle(2020) The precarious non-poor in Post-Apartheid South Africa : striving for prosperity in Cape Town and Newcastle. </t>
  </si>
  <si>
    <t>http://uir.unisa.ac.za/handle/10500/27233</t>
  </si>
  <si>
    <t>Laura Tufa (2020) AMBIGUITIES OF ENERGY POVERTY AND THE SEARCH FOR “HIDDEN ENERGY TRANSFERS”. A REVIEW OF ENERGY VULNERABILITY NARRATIVES. Calitatea Vietii. Vol 31(2):245-261</t>
  </si>
  <si>
    <t>https://www.revistacalitateavietii.ro/2020/CV-3-2020/03.pdf</t>
  </si>
  <si>
    <t>Ionela Vlase (ULBS), Rebekka Sieber (Universitatea Neuchatel)</t>
  </si>
  <si>
    <t>Vlase, I. &amp; Sieber, R. 2016. Narrating well-being in the context of precarious prosperity: An account of agency framed by culturally embedded happiness and gender beliefs. European Journal of Women’s Studies. 23(2):185–199.</t>
  </si>
  <si>
    <t>Laura Merla &amp; Sarah Smit (2020) Enforced temporariness and skilled migrants’ family plans: examining the friction between institutional, biographical and daily timescales, Journal of Ethnic and Migration Studies, DOI: 10.1080/1369183X.2020.1857228</t>
  </si>
  <si>
    <t>https://www.tandfonline.com/doi/abs/10.1080/1369183X.2020.1857228</t>
  </si>
  <si>
    <t>Ionela Vlase (ULBS), Ana Maria Preoteasa (ICCV), Laura Tufa (ICCV)</t>
  </si>
  <si>
    <t xml:space="preserve"> Preoteasa, A.M., Vlase, I. &amp; Tufă, L.A. 2018. Intergenerational support as a reaction to socioeconomic crisis: alteration of solidarity within precarious Romanian households. European Societies. 20(1):111–130.</t>
  </si>
  <si>
    <t>Steinbach A, Mahne K, Klaus D, Hank K. Stability and Change in Intergenerational Family Relations Across Two Decades: Findings From the German Ageing Survey, 1996-2014. J Gerontol B Psychol Sci Soc Sci. 2020 Mar 9;75(4):899-906. doi: 10.1093/geronb/gbz027. PMID: 30901059.</t>
  </si>
  <si>
    <t>https://pubmed.ncbi.nlm.nih.gov/30901059/</t>
  </si>
  <si>
    <t xml:space="preserve">Peens, Michelle (2020) The precarious non-poor in Post-Apartheid South Africa : striving for prosperity in Cape Town and Newcastle. </t>
  </si>
  <si>
    <r>
      <rPr>
        <rFont val="arial narrow"/>
        <color rgb="FF000000"/>
        <sz val="10.0"/>
      </rPr>
      <t>Jia He (Tilburg University, The Netherlands), Fons J. R. van de Vijver ( Tilburg University, The Netherlands), Alejandra Dominguez Espinosa ( Ibero-American University, Mexico City, Mexico), Amina Abubakar ( Utrecht University, The Netherlands), Radosveta Dimitrova ( Stockholm University, Sweden), Byron G. Adams (Tilburg University, The Netherlands ), Arzu Aydinli (Tilburg University, The Netherlands ), Kokou Atitsogbe ( University of Lomé, Togo), Itziar Alonso-Arbiol (University of the Basque Country, Leioa, Spain ), Magdalena Bobowik ( University of the Basque Country, Leioa, Spain), Ronald Fischer (Victoria University of Wellington, New Zealand ), Venzislav Jordanov ( National Sports Academy, Sofia, Bulgaria), Stefanos Mastrotheodoros ( University of Athens, Greece), Félix Neto ( University of Porto, Portugal), Yael J. Ponizovsky ( Hebrew University of Jerusalem, Israel), Jochen Reb (Singapore Management University, Singapore ), Samantha Sim ( Singapore Management University, Singapore), Laurent Sovet (National Conservatory of Arts and Crafts, Paris, France ), </t>
    </r>
    <r>
      <rPr>
        <rFont val="Arial Narrow"/>
        <b/>
        <color rgb="FF000000"/>
        <sz val="10.0"/>
      </rPr>
      <t>Delia Stefenel</t>
    </r>
    <r>
      <rPr>
        <rFont val="Arial Narrow"/>
        <color rgb="FF000000"/>
        <sz val="10.0"/>
      </rPr>
      <t xml:space="preserve"> (Lucian Blaga University of Sibiu, Romania ), Angela O. Suryani ( Atma Jaya Catholic University of Indonesia, Jakarta, Indonesia), Ergyul Tair (Bulgarian Academy of Sciences, Sofia, Bulgaria ), Arnaud Villieux ( Université de Rouen, France)</t>
    </r>
  </si>
  <si>
    <t>Socially desirable responding: Enhancement and denial in 20 countries</t>
  </si>
  <si>
    <t>Kingsley Purdam, Joseph Sakshaug, Mollie Bourne &amp; David Bayliss (2020) Understanding ‘Don't know’ answers to survey questions - an International comparative analysis using interview paradata, Innovation: The European Journal of Social Science Research, DOI: 10.1080/13511610.2020.1752631</t>
  </si>
  <si>
    <t>https://www.tandfonline.com/action/showCitFormats?doi=10.1080%2F13511610.2020.1752631&amp;area=0000000000000001</t>
  </si>
  <si>
    <t>Web of Science https://apps-webofknowledge-com.am.e-nformation.ro/full_record.do?product=WOS&amp;search_mode=CitingArticles&amp;qid=9&amp;SID=F6UoNk6Fq7C93gSceL2&amp;page=1&amp;doc=2&amp;cacheurlFromRightClick=no</t>
  </si>
  <si>
    <r>
      <rPr>
        <rFont val="arial narrow"/>
        <color rgb="FF000000"/>
        <sz val="10.0"/>
      </rPr>
      <t>Jia He (Tilburg University, The Netherlands), Fons J. R. van de Vijver ( Tilburg University, The Netherlands), Alejandra Dominguez Espinosa ( Ibero-American University, Mexico City, Mexico), Amina Abubakar ( Utrecht University, The Netherlands), Radosveta Dimitrova ( Stockholm University, Sweden), Byron G. Adams (Tilburg University, The Netherlands ), Arzu Aydinli (Tilburg University, The Netherlands ), Kokou Atitsogbe ( University of Lomé, Togo), Itziar Alonso-Arbiol (University of the Basque Country, Leioa, Spain ), Magdalena Bobowik ( University of the Basque Country, Leioa, Spain), Ronald Fischer (Victoria University of Wellington, New Zealand ), Venzislav Jordanov ( National Sports Academy, Sofia, Bulgaria), Stefanos Mastrotheodoros ( University of Athens, Greece), Félix Neto ( University of Porto, Portugal), Yael J. Ponizovsky ( Hebrew University of Jerusalem, Israel), Jochen Reb (Singapore Management University, Singapore ), Samantha Sim ( Singapore Management University, Singapore), Laurent Sovet (National Conservatory of Arts and Crafts, Paris, France ), </t>
    </r>
    <r>
      <rPr>
        <rFont val="Arial Narrow"/>
        <b/>
        <color rgb="FF000000"/>
        <sz val="10.0"/>
      </rPr>
      <t>Delia Stefenel</t>
    </r>
    <r>
      <rPr>
        <rFont val="Arial Narrow"/>
        <color rgb="FF000000"/>
        <sz val="10.0"/>
      </rPr>
      <t xml:space="preserve"> (Lucian Blaga University of Sibiu, Romania ), Angela O. Suryani ( Atma Jaya Catholic University of Indonesia, Jakarta, Indonesia), Ergyul Tair (Bulgarian Academy of Sciences, Sofia, Bulgaria ), Arnaud Villieux ( Université de Rouen, France)</t>
    </r>
  </si>
  <si>
    <t>Liebe, U., Moumouni, I. M., Bigler, C., Ingabire, C., &amp; Bieri, S. (2020). Using Factorial Survey Experiments to Measure Attitudes, Social Norms, and Fairness Concerns in Developing Countries. Sociological Methods &amp; Research, 49(1), 161–192. https://doi.org/10.1177/0049124117729707</t>
  </si>
  <si>
    <t>https://journals.sagepub.com/doi/pdf/10.1177/0049124117729707</t>
  </si>
  <si>
    <t>Web of Science https://apps-webofknowledge-com.am.e-nformation.ro/full_record.do?product=WOS&amp;search_mode=CitingArticles&amp;qid=9&amp;SID=F6UoNk6Fq7C93gSceL2&amp;page=1&amp;doc=3</t>
  </si>
  <si>
    <r>
      <rPr>
        <rFont val="arial narrow"/>
        <color theme="1"/>
        <sz val="10.0"/>
      </rPr>
      <t>Jia He (Tilburg University, The Netherlands), Fons J. R. van de Vijver ( Tilburg University, The Netherlands), Alejandra Dominguez Espinosa ( Ibero-American University, Mexico City, Mexico), Amina Abubakar ( Utrecht University, The Netherlands), Radosveta Dimitrova ( Stockholm University, Sweden), Byron G. Adams (Tilburg University, The Netherlands ), Arzu Aydinli (Tilburg University, The Netherlands ), Kokou Atitsogbe ( University of Lomé, Togo), Itziar Alonso-Arbiol (University of the Basque Country, Leioa, Spain ), Magdalena Bobowik ( University of the Basque Country, Leioa, Spain), Ronald Fischer (Victoria University of Wellington, New Zealand ), Venzislav Jordanov ( National Sports Academy, Sofia, Bulgaria), Stefanos Mastrotheodoros ( University of Athens, Greece), Félix Neto ( University of Porto, Portugal), Yael J. Ponizovsky ( Hebrew University of Jerusalem, Israel), Jochen Reb (Singapore Management University, Singapore ), Samantha Sim ( Singapore Management University, Singapore), Laurent Sovet (National Conservatory of Arts and Crafts, Paris, France ), </t>
    </r>
    <r>
      <rPr>
        <rFont val="Arial Narrow"/>
        <b/>
        <color rgb="FF000000"/>
        <sz val="10.0"/>
      </rPr>
      <t>Delia Stefenel</t>
    </r>
    <r>
      <rPr>
        <rFont val="Arial Narrow"/>
        <color rgb="FF000000"/>
        <sz val="10.0"/>
      </rPr>
      <t xml:space="preserve"> (Lucian Blaga University of Sibiu, Romania ), Angela O. Suryani ( Atma Jaya Catholic University of Indonesia, Jakarta, Indonesia), Ergyul Tair (Bulgarian Academy of Sciences, Sofia, Bulgaria ), Arnaud Villieux ( Université de Rouen, France)</t>
    </r>
  </si>
  <si>
    <t>Fronczyk, K.,  &amp; Witkowska, E. (2020). Social desirability dimensionality: one or two continua?. Current Issues in Personality Psychology, 8(3), 229-242. https://doi.org/10.5114/cipp.2020.99946</t>
  </si>
  <si>
    <t>https://www.termedia.pl/Social-desirability-dimensionality-one-or-two-continua-,75,42065,0,1.html</t>
  </si>
  <si>
    <t>Web of Science       https://apps-webofknowledge-com.am.e-nformation.ro/full_record.do?product=WOS&amp;search_mode=CitingArticles&amp;qid=19&amp;SID=F6UoNk6Fq7C93gSceL2&amp;page=1&amp;doc=4&amp;cacheurlFromRightClick=no</t>
  </si>
  <si>
    <r>
      <rPr>
        <rFont val="arial narrow"/>
        <color rgb="FF000000"/>
        <sz val="10.0"/>
      </rPr>
      <t>Meyers, M. C.,  (Tilburg University, The Netherlands), Adams, B. G., (Tilburg University, The Netherlands), Sekaja, L., University of Johannesburg,
Johannesburg, South Africa), Buzea, C. (Transilvania University of Brasov, Romania), Cazan, A-M., (Transilvania University of Brasov, Romania) Gotea, M. (Transilvania University of Brasov, Romania) ,</t>
    </r>
    <r>
      <rPr>
        <rFont val="Arial Narrow"/>
        <b/>
        <color rgb="FF000000"/>
        <sz val="10.0"/>
      </rPr>
      <t xml:space="preserve"> Stefenel, D</t>
    </r>
    <r>
      <rPr>
        <rFont val="Arial Narrow"/>
        <color rgb="FF000000"/>
        <sz val="10.0"/>
      </rPr>
      <t xml:space="preserve">.,(Lucian Blaga University of Sibiu) &amp; van Woerkom, M. (Tilburg University, Netherlands) </t>
    </r>
  </si>
  <si>
    <t xml:space="preserve">Perceived organizational support for the use of employees’ strengths and employee well‑being: A cross‑country comparison. </t>
  </si>
  <si>
    <t>Ding, H., Yu, E., &amp; Li, Y. (2020). Core self-evaluation, perceived organizational support for strengths use and job performance: Testing a mediation model. Current Psychology: A Journal for Diverse Perspectives on Diverse Psychological Issues. Advance online publication. https://doi.org/10.1007/s12144-020-01029-z</t>
  </si>
  <si>
    <t>https://link.springer.com/article/10.1007%2Fs12144-020-01029-z</t>
  </si>
  <si>
    <t>Web of Science https://apps-webofknowledge-com.am.e-nformation.ro/full_record.do?product=UA&amp;search_mode=CitingArticles&amp;qid=54&amp;SID=F6UoNk6Fq7C93gSceL2&amp;page=1&amp;doc=4</t>
  </si>
  <si>
    <r>
      <rPr>
        <rFont val="arial narrow"/>
        <color theme="1"/>
        <sz val="10.0"/>
      </rPr>
      <t xml:space="preserve">Meyers, M. C.,  (Tilburg University, The Netherlands), Adams, B. G., (Tilburg University, The Netherlands), Sekaja, L., University of Johannesburg,Johannesburg, South Africa), Buzea, C. (Transilvania University of Brasov, Romania), Cazan, A-M., (Transilvania University of Brasov, Romania) Gotea, M. (Transilvania University of Brasov, Romania) , </t>
    </r>
    <r>
      <rPr>
        <rFont val="Arial Narrow"/>
        <b/>
        <color rgb="FF000000"/>
        <sz val="10.0"/>
      </rPr>
      <t>Stefenel, D</t>
    </r>
    <r>
      <rPr>
        <rFont val="Arial Narrow"/>
        <color rgb="FF000000"/>
        <sz val="10.0"/>
      </rPr>
      <t xml:space="preserve">.,(Lucian Blaga University of Sibiu) &amp; van Woerkom, M. (Tilburg University, Netherlands) </t>
    </r>
  </si>
  <si>
    <t>Guan, X. and Frenkel, S. (2020), "Organizational support and employee thriving at work: exploring the underlying mechanisms", Personnel Review, Vol. 50 No. 3, pp. 935-953. https://doi.org/10.1108/PR-10-2019-0569</t>
  </si>
  <si>
    <t>https://www.emerald.com/insight/content/doi/10.1108/PR-10-2019-0569/full/html</t>
  </si>
  <si>
    <t>Web of Science   https://apps-webofknowledge-com.am.e-nformation.ro/full_record.do?product=WOS&amp;search_mode=CitingArticles&amp;qid=76&amp;SID=F6UoNk6Fq7C93gSceL2&amp;page=1&amp;doc=5</t>
  </si>
  <si>
    <r>
      <rPr>
        <rFont val="arial narrow"/>
        <color theme="1"/>
        <sz val="10.0"/>
      </rPr>
      <t xml:space="preserve">Meyers, M. C.,  (Tilburg University, The Netherlands), Adams, B. G., (Tilburg University, The Netherlands), Sekaja, L., University of Johannesburg,Johannesburg, South Africa), Buzea, C. (Transilvania University of Brasov, Romania), Cazan, A-M., (Transilvania University of Brasov, Romania) Gotea, M. (Transilvania University of Brasov, Romania) , </t>
    </r>
    <r>
      <rPr>
        <rFont val="Arial Narrow"/>
        <b/>
        <color rgb="FF000000"/>
        <sz val="10.0"/>
      </rPr>
      <t>Stefenel, D.</t>
    </r>
    <r>
      <rPr>
        <rFont val="Arial Narrow"/>
        <color rgb="FF000000"/>
        <sz val="10.0"/>
      </rPr>
      <t xml:space="preserve">,(Lucian Blaga University of Sibiu,Romania) &amp; van Woerkom, M. (Tilburg University, Netherlands) </t>
    </r>
  </si>
  <si>
    <t>Niska, M., Prakash, K., Siukola, A., Kosonen, H., Luomanen, J., Lumme-Sandt, K., Neupane, S., Nikander, P., &amp; Nygård, C.-H. (2020). Evaluation of Lifelong Work Satisfaction among Former Postal Service Workers. Nordic Journal of Working Life Studies, 10(1). https://doi.org/10.18291/njwls.v10i1.118677</t>
  </si>
  <si>
    <t>https://tidsskrift.dk/njwls/article/view/118677/166571</t>
  </si>
  <si>
    <t>Web of Science  https://apps-webofknowledge-com.am.e-nformation.ro/full_record.do?product=WOS&amp;search_mode=CitingArticles&amp;qid=69&amp;SID=F6UoNk6Fq7C93gSceL2&amp;page=1&amp;doc=6</t>
  </si>
  <si>
    <r>
      <rPr>
        <rFont val="arial narrow"/>
        <color theme="1"/>
        <sz val="10.0"/>
      </rPr>
      <t xml:space="preserve">Meyers, M. C.,  (Tilburg University, The Netherlands), Adams, B. G., (Tilburg University, The Netherlands), Sekaja, L., University of Johannesburg,Johannesburg, South Africa), Buzea, C. (Transilvania University of Brasov, Romania), Cazan, A-M., (Transilvania University of Brasov, Romania) Gotea, M. (Transilvania University of Brasov, Romania) , </t>
    </r>
    <r>
      <rPr>
        <rFont val="Arial Narrow"/>
        <b/>
        <color rgb="FF000000"/>
        <sz val="10.0"/>
      </rPr>
      <t>Stefenel, D.</t>
    </r>
    <r>
      <rPr>
        <rFont val="Arial Narrow"/>
        <color rgb="FF000000"/>
        <sz val="10.0"/>
      </rPr>
      <t xml:space="preserve">,(Lucian Blaga University of Sibiu,Romania) &amp; van Woerkom, M. (Tilburg University, Netherlands) </t>
    </r>
  </si>
  <si>
    <t>Harzer, C. Fostering character strengths to promote thriving and flourishing in organizations. Organisationsberat Superv Coach 27, 37–50 (2020). https://doi.org/10.1007/s11613-020-00636-w</t>
  </si>
  <si>
    <t>https://link.springer.com/article/10.1007%2Fs11613-020-00636-w#citeas</t>
  </si>
  <si>
    <t>https://link.springer.com/content/pdf/10.1007/s11613-020-00636-w.pdf</t>
  </si>
  <si>
    <r>
      <rPr>
        <rFont val="arial narrow"/>
        <color theme="1"/>
        <sz val="10.0"/>
      </rPr>
      <t xml:space="preserve">Meyers, M. C.,  (Tilburg University, The Netherlands), Adams, B. G., (Tilburg University, The Netherlands), Sekaja, L., University of Johannesburg,Johannesburg, South Africa), Buzea, C. (Transilvania University of Brasov, Romania), Cazan, A-M., (Transilvania University of Brasov, Romania) Gotea, M. (Transilvania University of Brasov, Romania) , </t>
    </r>
    <r>
      <rPr>
        <rFont val="Arial Narrow"/>
        <b/>
        <color rgb="FF000000"/>
        <sz val="10.0"/>
      </rPr>
      <t>Stefenel, D.</t>
    </r>
    <r>
      <rPr>
        <rFont val="Arial Narrow"/>
        <color rgb="FF000000"/>
        <sz val="10.0"/>
      </rPr>
      <t xml:space="preserve">,(Lucian Blaga University of Sibiu,Romania) &amp; van Woerkom, M. (Tilburg University, Netherlands) </t>
    </r>
  </si>
  <si>
    <t>Wulandini Gouvara, Sahala Harahap, Hilmy Wahdi, KESIAPAN MENGHADAPI PERUBAHAN PADA GURU SEKOLAH DASAR TERHADAP JENIS BUDAYA DAN DUKUNGAN ORGANISASI, 2020, Jurnal Adminitrasi dan Manajemen Pendidikan, 3 (4), 359-369</t>
  </si>
  <si>
    <t>http://journal2.um.ac.id/index.php/jamp/article/view/16819/7210</t>
  </si>
  <si>
    <t>ResearchGate https://www.researchgate.net/publication/349343937_PERAN_KEPALA_SEKOLAH_DALAM_MENUMBUHKAN_SEMANGAT_SUPERVISI_PARA_PENDIDIK_BARU_SEBAGAI_ALTERNATIF_MEMAJUKAN_KUALITAS_PENDIDIKAN</t>
  </si>
  <si>
    <r>
      <rPr>
        <rFont val="arial narrow"/>
        <color theme="1"/>
        <sz val="10.0"/>
      </rPr>
      <t xml:space="preserve">Meyers, M. C.,  (Tilburg University, The Netherlands), Adams, B. G., (Tilburg University, The Netherlands), Sekaja, L., University of Johannesburg,Johannesburg, South Africa), Buzea, C. (Transilvania University of Brasov, Romania), Cazan, A-M., (Transilvania University of Brasov, Romania) Gotea, M. (Transilvania University of Brasov, Romania) , </t>
    </r>
    <r>
      <rPr>
        <rFont val="Arial Narrow"/>
        <b/>
        <color rgb="FF000000"/>
        <sz val="10.0"/>
      </rPr>
      <t>Stefenel, D.</t>
    </r>
    <r>
      <rPr>
        <rFont val="Arial Narrow"/>
        <color rgb="FF000000"/>
        <sz val="10.0"/>
      </rPr>
      <t xml:space="preserve">,(Lucian Blaga University of Sibiu,Romania) &amp; van Woerkom, M. (Tilburg University, Netherlands) </t>
    </r>
  </si>
  <si>
    <t>Muhammad Hanif Nurfian Wangsapraja, Eka Gatari, The Mediating Role of Career Satisfaction in the Relationship Between Perceived Organizational Support and Life Satisfaction in Millennials,3rd International Conference on Intervention and Applied Psychology (ICIAP 2019) and the 4th Universitas Indonesia Psychology Symposium for Undergraduate Research, 507-522</t>
  </si>
  <si>
    <t>https://www.atlantis-press.com/proceedings/iciap-uipsur-19/125946638</t>
  </si>
  <si>
    <t>ResearchGate  https://www.researchgate.net/publication/347341461_The_Mediating_Role_of_Career_Satisfaction_in_the_Relationship_Between_Perceived_Organizational_Support_and_Life_Satisfaction_in_Millennials</t>
  </si>
  <si>
    <r>
      <rPr>
        <rFont val="arial narrow"/>
        <color rgb="FF000000"/>
        <sz val="10.0"/>
      </rPr>
      <t>Radosveta Dimitrova  ( Stockholm University, Sweden), Sevgi Bayram Özdemir (Orebro Univ, Orebro, Sweden), Diana Farcas (Inst Univ Lisboa ISCTE IUL, Lisbon, Portugal
Show more,  Ctr Invest &amp; Intervencao Social CIS IUL, Lisbon, Portugal), Marianna Kosic (Univ Pannonia, Veszprem, Hungary), Stefanos Mastrotheodoros (University of Utrecht, Utrecht, Netherlands,  Univ Athens, Athens, Greece), Justyna Michałek (Univ Warmia &amp; Mazury, Olsztyn, Poland), </t>
    </r>
    <r>
      <rPr>
        <rFont val="Arial Narrow"/>
        <b/>
        <color rgb="FF000000"/>
        <sz val="10.0"/>
      </rPr>
      <t>Delia Stefenel</t>
    </r>
    <r>
      <rPr>
        <rFont val="Arial Narrow"/>
        <color rgb="FF000000"/>
        <sz val="10.0"/>
      </rPr>
      <t xml:space="preserve"> (Lucian Blaga Univ Sibiu, Sibiu, Romania)</t>
    </r>
  </si>
  <si>
    <t>Is There a Paradox of Adaptation in Immigrant Children and Youth Across Europe? A Literature Review</t>
  </si>
  <si>
    <t>Mera-Lemp MJ, Bilbao M and Basabe N (2020) School Satisfaction in Immigrant and Chilean Students: The Role of Prejudice and Cultural Self-Efficacy. Front. Psychol. 11:613585. doi: 10.3389/fpsyg.2020.613585</t>
  </si>
  <si>
    <t>https://www.frontiersin.org/articles/10.3389/fpsyg.2020.613585/full</t>
  </si>
  <si>
    <t>Web of Science https://apps-webofknowledge-com.am.e-nformation.ro/full_record.do?product=WOS&amp;search_mode=CitingArticles&amp;qid=94&amp;SID=F6UoNk6Fq7C93gSceL2&amp;page=1&amp;doc=1</t>
  </si>
  <si>
    <r>
      <rPr>
        <rFont val="arial narrow"/>
        <color rgb="FF000000"/>
        <sz val="10.0"/>
      </rPr>
      <t>Radosveta Dimitrova  ( Stockholm University, Sweden), Sevgi Bayram Özdemir (Orebro Univ, Orebro, Sweden), Diana Farcas (Inst Univ Lisboa ISCTE IUL, Lisbon, Portugal
Show more,  Ctr Invest &amp; Intervencao Social CIS IUL, Lisbon, Portugal), Marianna Kosic (Univ Pannonia, Veszprem, Hungary), Stefanos Mastrotheodoros (University of Utrecht, Utrecht, Netherlands,  Univ Athens, Athens, Greece), Justyna Michałek (Univ Warmia &amp; Mazury, Olsztyn, Poland), </t>
    </r>
    <r>
      <rPr>
        <rFont val="Arial Narrow"/>
        <b/>
        <color rgb="FF000000"/>
        <sz val="10.0"/>
      </rPr>
      <t xml:space="preserve">Delia Stefenel </t>
    </r>
    <r>
      <rPr>
        <rFont val="Arial Narrow"/>
        <color rgb="FF000000"/>
        <sz val="10.0"/>
      </rPr>
      <t>(Lucian Blaga Univ Sibiu, Sibiu, Romania)</t>
    </r>
  </si>
  <si>
    <t>Korol, L., &amp; Stattin, H. (2020). Why Do Ethnically Harassed Immigrant Adolescents Engage in Violent Behaviors? The Role of Affiliation With Violent Peers. The Journal of Early Adolescence, 41(6), 809–839. https://doi.org/10.1177/0272431620961458</t>
  </si>
  <si>
    <t>https://journals.sagepub.com/doi/abs/10.1177/0272431620961458?journalCode=jeaa</t>
  </si>
  <si>
    <t xml:space="preserve"> Web of Science   https://apps-webofknowledge-com.am.e-nformation.ro/full_record.do?product=WOS&amp;search_mode=CitingArticles&amp;qid=98&amp;SID=F6UoNk6Fq7C93gSceL2&amp;page=1&amp;doc=2</t>
  </si>
  <si>
    <r>
      <rPr>
        <rFont val="arial narrow"/>
        <color theme="1"/>
        <sz val="10.0"/>
      </rPr>
      <t>Radosveta Dimitrova  ( Stockholm University, Sweden), Sevgi Bayram Özdemir (Orebro Univ, Orebro, Sweden), Diana Farcas (Inst Univ Lisboa ISCTE IUL, Lisbon, Portugal
Show more,  Ctr Invest &amp; Intervencao Social CIS IUL, Lisbon, Portugal), Marianna Kosic (Univ Pannonia, Veszprem, Hungary), Stefanos Mastrotheodoros (University of Utrecht, Utrecht, Netherlands,  Univ Athens, Athens, Greece), Justyna Michałek (Univ Warmia &amp; Mazury, Olsztyn, Poland), </t>
    </r>
    <r>
      <rPr>
        <rFont val="Arial Narrow"/>
        <b/>
        <color rgb="FF000000"/>
        <sz val="10.0"/>
      </rPr>
      <t xml:space="preserve">Delia Stefenel </t>
    </r>
    <r>
      <rPr>
        <rFont val="Arial Narrow"/>
        <color rgb="FF000000"/>
        <sz val="10.0"/>
      </rPr>
      <t>(Lucian Blaga Univ Sibiu, Sibiu, Romania)</t>
    </r>
  </si>
  <si>
    <t>Özdemir M., Bayram Özdemir S. (2020) Why Do Some Immigrant Children and Youth Do Well in School Whereas Others Fail?: Current State of Knowledge and Directions for Future Research. In: Güngör D., Strohmeier D. (eds) Contextualizing Immigrant and Refugee Resilience. Advances in Immigrant Family Research. Springer, Cham. https://doi.org/10.1007/978-3-030-42303-2_4</t>
  </si>
  <si>
    <t>https://link.springer.com/chapter/10.1007/978-3-030-42303-2_4</t>
  </si>
  <si>
    <t>https://citations.springernature.com/item?doi=10.1007/978-3-319-68363-8_18</t>
  </si>
  <si>
    <t>Delia Stefenel (Lucian Blaga Univ Sibiu, Sibiu, Romania)</t>
  </si>
  <si>
    <t>How Much Culture is in Conflict Communication? A Cross-cultural Approach of Two European Countries</t>
  </si>
  <si>
    <t>Dwi, I.,  Adnyana, I Made,  Gede, Wayan, Supartha, Gede, I.,  Riana, Bagus, Ida &amp; Surya, Ketut. (2020). Organizational Commitment and Governance for Supply Chain Success in Christian Protestant Churches in Bali,Journal of Supply Chain Management 9(2):792-799</t>
  </si>
  <si>
    <t>http://ojs.excelingtech.co.uk/index.php/IJSCM/article/view/4719/2370</t>
  </si>
  <si>
    <t>ResearchGate, EBSCO, DOAJ, http://ojs.excelingtech.co.uk/index.php/IJSCM/article/view/4719</t>
  </si>
  <si>
    <t xml:space="preserve">Dunaievska, Olha &amp; Chaiuk, Tetyana. (2020). Modifying “Breaking Bad News” Communication: Cross-Cultural and Cognitive-Semantic Approaches. Academic Journal of Interdisciplinary Studies. 9. 1. 10.36941/ajis-2020-0017. </t>
  </si>
  <si>
    <t>https://www.richtmann.org/journal/index.php/ajis/article/view/10699</t>
  </si>
  <si>
    <t>Scopus  https://www.scopus.com/record/display.uri?eid=2-s2.0-85082074466&amp;origin=resultslist&amp;sort=plf-f&amp;src=s&amp;sid=eca2e5f59d205c3d817137086ee973a7&amp;sot=b&amp;sdt=b&amp;sl=23&amp;s=AUTHOR-NAME%28Dunaievska%29&amp;relpos=1&amp;citeCnt=0&amp;searchTerm=</t>
  </si>
  <si>
    <r>
      <rPr>
        <rFont val="arial narrow"/>
        <color theme="1"/>
        <sz val="10.0"/>
      </rPr>
      <t>Dimitrova R. ( Stockholm University, Sweden), Musso P.(Università degli Studi di Bari), Abubakar A.(Tilburg University, The Netherlands), , Solcova I.P.(The Czech Academy of Sciences</t>
    </r>
    <r>
      <rPr>
        <rFont val="Arial Narrow"/>
        <b/>
        <color rgb="FF000000"/>
        <sz val="10.0"/>
      </rPr>
      <t>)</t>
    </r>
    <r>
      <rPr>
        <rFont val="Arial Narrow"/>
        <color rgb="FF000000"/>
        <sz val="10.0"/>
      </rPr>
      <t>, Stefenel D. (Lucian Blaga Univ Sibiu, Sibiu, Romania), Uka F. (University of Prishtina), Zahaj S.(University of Tirana, (...), Jordanov V.(University of National and World Economy)</t>
    </r>
  </si>
  <si>
    <t>Identity resources for positive adaptation of Roma ethnic minority youth in Albania, Bulgaria, the Czech Republic, Italy, Kosovo, and Romania</t>
  </si>
  <si>
    <t>Rocco Servidio, Pasquale Musso, Maria Giuseppina Bartolo, Angela Costabile, Anti-Roma attitudes in a Southern Italian context: Exploring the validity characteristics of the Attitudes Toward Roma Scale, in "Psicologia sociale, Rivista quadrimestrale" 3/2020, pp. 439-464, doi: 10.1482/98464</t>
  </si>
  <si>
    <t>https://www.rivisteweb.it/doi/10.1482/98464</t>
  </si>
  <si>
    <t>SCOPUS https://www.scopus.com/record/display.uri?eid=2-s2.0-85099357985&amp;doi=10.1482%2f98464&amp;origin=inward&amp;txGid=ad39cd5129b2a159d06a76207e980ec7</t>
  </si>
  <si>
    <t>I10 - Brevete OSIM/ internaţionale/ triadice</t>
  </si>
  <si>
    <t>Se va anexa documentul doveditor (înregistrarea în buletinul oficial aferent) şi înregistrarea la Serviciul CDI / CTC HPI-ULBS; respectiv dovada indexării ȋn TR.</t>
  </si>
  <si>
    <r>
      <rPr>
        <rFont val="Arial Narrow"/>
        <b/>
        <color theme="1"/>
        <sz val="10.0"/>
      </rPr>
      <t>* Punctaje de referință:</t>
    </r>
    <r>
      <rPr>
        <rFont val="Arial Narrow"/>
        <color theme="1"/>
        <sz val="10.0"/>
      </rPr>
      <t xml:space="preserve">
• Brevet OSIM = 1000 puncte
• Brevet internaţional = 2000 puncte 
• Brevet triadic = 3000 puncte
• Cerere de brevet indexată în TR = 100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</si>
  <si>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brevetului/ Numărul brevetului</t>
  </si>
  <si>
    <t>Numele și prenumele inventatorilor (se menționează în paranteză afilierea)</t>
  </si>
  <si>
    <t>Data înregistrării în buletinul oficial / Data indexarii cererii de brevet in TR</t>
  </si>
  <si>
    <t>I11 - Modele de utilitate (micul brevet)</t>
  </si>
  <si>
    <t>Se va anexa documentul doveditor pentru modelul de utilitate (înregistrarea în buletinul oficial aferent) şi înregistrarea la Serviciul CDI / CTC HPI-ULBS.</t>
  </si>
  <si>
    <r>
      <rPr>
        <rFont val="Arial Narrow"/>
        <b/>
        <color theme="1"/>
        <sz val="10.0"/>
      </rPr>
      <t>* Punctaje de referință:</t>
    </r>
    <r>
      <rPr>
        <rFont val="Arial Narrow"/>
        <color theme="1"/>
        <sz val="10.0"/>
      </rPr>
      <t xml:space="preserve">
• Model de utilitate = 300 puncte
Plafon anual: maxim 600 puncte / declarant.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</si>
  <si>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modelului de utilitate / Numărul modelului de utilitate</t>
  </si>
  <si>
    <t xml:space="preserve">Data înregistrării în buletinul oficial </t>
  </si>
  <si>
    <t>I12 - Evenimente artistice (doar pentru domeniul Artele spectacolului), expoziţii (doar pentru domeniul Arte vizuale) şi concerte de muzică religioasă (doar pentru domeniul Teologie)</t>
  </si>
  <si>
    <t>Se va verifica existenţa siglei ULBS pe materialele promoţionale ale evenimentului respectiv.</t>
  </si>
  <si>
    <t>Se va anexa documentul doveditor evenimentului (site / pagina Facebook, afiş, promovare în mass media, cronică de spectacol, link www etc.).</t>
  </si>
  <si>
    <t>Expozitiile trebuie să facă dovada existenţei unei pagini web, a unui catalog şi a unor documente care să ateste abordarea lor din perspectivă critică.</t>
  </si>
  <si>
    <r>
      <rPr>
        <rFont val="Arial Narrow"/>
        <b/>
        <color theme="1"/>
        <sz val="10.0"/>
      </rPr>
      <t>*Punctaje de referință:</t>
    </r>
    <r>
      <rPr>
        <rFont val="Arial Narrow"/>
        <b/>
        <color theme="1"/>
        <sz val="10.0"/>
        <u/>
      </rPr>
      <t xml:space="preserve">
A. Evenimente artistice şi expoziţii (domeniul artele spectacolului):</t>
    </r>
    <r>
      <rPr>
        <rFont val="Arial Narrow"/>
        <b/>
        <color theme="1"/>
        <sz val="10.0"/>
      </rPr>
      <t xml:space="preserve">
</t>
    </r>
    <r>
      <rPr>
        <rFont val="Arial Narrow"/>
        <b/>
        <color theme="1"/>
        <sz val="10.0"/>
        <u/>
      </rPr>
      <t xml:space="preserve">Organizare eveniment artistic: </t>
    </r>
    <r>
      <rPr>
        <rFont val="Arial Narrow"/>
        <color theme="1"/>
        <sz val="10.0"/>
      </rPr>
      <t xml:space="preserve">
• 200 puncte / echipă organizatorică, pentru fiecare spectacol în cadrul unui festival, turneu, în străinătate
• 100 puncte / echipă organizatorica, pentru fiecare spectacol în cadrul unui festival, expozitie, turneu în ţară 
• 40 puncte / echipă organizatorică, pentru fiecare reprezentaţie a unui spectacol de la sediul TNRS, expozitie in Sibiu 
Punctajul se acorda managerului de spectacol. Acesta poate decide distribuirea punctajului între membrii echipei. 
</t>
    </r>
    <r>
      <rPr>
        <rFont val="Arial Narrow"/>
        <b/>
        <color theme="1"/>
        <sz val="10.0"/>
        <u/>
      </rPr>
      <t>Rol în spectacol / film:</t>
    </r>
    <r>
      <rPr>
        <rFont val="Arial Narrow"/>
        <color theme="1"/>
        <sz val="10.0"/>
      </rPr>
      <t xml:space="preserve">
• 800 puncte = rol în film
• 80 puncte = rol in scurt metraj video
• 180 puncte = rol în spectacol nou
• 50 puncte = pentru rol în reprezentaţia unui spectacol de la sediul TNRS (se raportează o singură dată pe anul calendaristic, indiferent de numărul de reprezentaţii)
• 50 puncte = fiecare rol în reprezentația unui spectacol în cadrul unui festival/ turneu naţional 
• 100 puncte = fiecare rol în reprezentația unui spectacol în cadrul unui festival/ turneu în străinătate și în cadrul FITS
</t>
    </r>
    <r>
      <rPr>
        <rFont val="Arial Narrow"/>
        <b/>
        <color theme="1"/>
        <sz val="10.0"/>
        <u/>
      </rPr>
      <t>Producţie artistică:</t>
    </r>
    <r>
      <rPr>
        <rFont val="Arial Narrow"/>
        <color theme="1"/>
        <sz val="10.0"/>
      </rPr>
      <t xml:space="preserve">
• Regie spectacol: 300 puncte în străinătate / 50 puncte în ţară
• Asistenţă regie spectacol: 40 puncte în străinătate / 20 puncte în ţară
• Producţie scurt metraj video: 200 puncte
• Workshop artistic: 60 puncte în străinătate / 40 puncte în ţară
• Coordonare muzicală spectacol: 40 puncte în străinătate / 20 puncte în ţară. 
• Coordonare mişcare scenică: 40 puncte în străinătate / 20 puncte în ţară. 
• Concept video: 40 puncte în străinătate / 20 puncte în ţară</t>
    </r>
    <r>
      <rPr>
        <rFont val="Arial Narrow"/>
        <color theme="1"/>
        <sz val="10.0"/>
      </rPr>
      <t xml:space="preserve">
</t>
    </r>
    <r>
      <rPr>
        <rFont val="Arial Narrow"/>
        <b/>
        <color theme="1"/>
        <sz val="10.0"/>
        <u/>
      </rPr>
      <t>B. Expoziţii (domeniul arte vizuale):</t>
    </r>
    <r>
      <rPr>
        <rFont val="Arial Narrow"/>
        <color theme="1"/>
        <sz val="10.0"/>
      </rPr>
      <t xml:space="preserve">
- expoziţie personală în străinătate – 200 puncte / eveniment
- expoziţie personală în ţară – 100 puncte / eveniment
- participare la expoziţie internaţională: 50 puncte / eveniment
- participare la expoziţie naţională: 30 puncte / eveniment
Plafoane maxime anual, cerinţe cumulative: 1000 puncte / declarant 
</t>
    </r>
    <r>
      <rPr>
        <rFont val="Arial Narrow"/>
        <b/>
        <color theme="1"/>
        <sz val="10.0"/>
        <u/>
      </rPr>
      <t>C. Concerte internationale / naţionale de muzică religioasă (domeniul teologie):</t>
    </r>
    <r>
      <rPr>
        <rFont val="Arial Narrow"/>
        <color theme="1"/>
        <sz val="10.0"/>
      </rPr>
      <t xml:space="preserve">
• 50 / 20 puncte / concert. 
Plafon maxim: 100 puncte / declarant.</t>
    </r>
  </si>
  <si>
    <t xml:space="preserve">Numele și prenumele </t>
  </si>
  <si>
    <t>Titlu eveniment</t>
  </si>
  <si>
    <t>Tipul evenimentului</t>
  </si>
  <si>
    <t>Data evenimentului</t>
  </si>
  <si>
    <t>Link-ul către site-ul evenimentului/ catolog/ pagină de FB etc.</t>
  </si>
  <si>
    <t xml:space="preserve">Punctaj individual </t>
  </si>
  <si>
    <t>Badila Daniela Maria</t>
  </si>
  <si>
    <t>Sens si sensibilitate. Artiste din Sibiu si invitate</t>
  </si>
  <si>
    <t>Expozitie Nationala, organizata de Filiala U.A.P Sibiu.</t>
  </si>
  <si>
    <t>06.03-03.05 2020</t>
  </si>
  <si>
    <t>ISBN 978-6-6-8815-63-3, p.18-19</t>
  </si>
  <si>
    <t>Blank2</t>
  </si>
  <si>
    <t>Salon Interjudetean, organizat la Galeriile de Arta ale Municipiului Alba-Iulia. Coorganizator al evenimentului din partea U.A.P. Filiala Sibiu.</t>
  </si>
  <si>
    <t>06.03-30.04 2020</t>
  </si>
  <si>
    <t>https://www.facebook.com/photo/?fbid=478349423043462&amp;set=a.153286808883060&amp;__cft__[0]=AZWyfTJRQf_iQs3_PakJysX4_64XBMAhDZZSpcsOQaa8jeyR5nF2MVY4O2quO5KaCtC3AJH3VP0J-ukQLm2kJQ4nkFRLSzP2qT1Xsl2vXfeZe70Nx7yp_QAvnNlP7JQ2WP8&amp;__tn__=EH-R</t>
  </si>
  <si>
    <t>Salon Interjudetean, organizat la Galeriile de Arta ale Municipiului Alba-Iulia. Paricipare cu 2 lucrari.</t>
  </si>
  <si>
    <t>05.03-30.04.2020</t>
  </si>
  <si>
    <t>https://www.facebook.com/photo/?fbid=2290723451228058&amp;set=pcb.2290731184560618&amp;__cft__[0]=AZWRCwo3BvS_0RanSke0bvcJuiPzU8ecFUZ8PuSNCirfaP_9gshGmyJTgOHcb0b34cqk38V845Imhcc_rgfmJrBwae_ax9e8PdAJylPcaxoXqNwlCPVuyUi5BqIbnJMLljA&amp;__tn__=*bH-R</t>
  </si>
  <si>
    <t>Brukenthal von Studio PORTMOMENT</t>
  </si>
  <si>
    <t>Noaptea alba a Galeriilor. Galeria Habitus.</t>
  </si>
  <si>
    <t>https://www.facebook.com/photo/?fbid=3121736481270258&amp;set=pcb.3121738687936704&amp;__cft__[0]=AZVLgQufSLZhI3G5GFUIvQ6iho2iPvuTVuK0ZNmFTfdXes0HqZ_P6tbulhiF_r3DniA9cD02ybI0_fD0GeQJIBSs9YqE5d1QqYiDPvy3psXTGR8pQdZwAKhXrAjeWSncp6AjsXDCpaNf9jopia3KG4sw&amp;__tn__=*bH-y-R</t>
  </si>
  <si>
    <t>Artisti sibieni ai filialei UAP si invitatii lor la Salonul de Arte Plastice si Decorative.</t>
  </si>
  <si>
    <r>
      <rPr>
        <rFont val="Arial Narrow"/>
        <color rgb="FF000000"/>
        <sz val="10.0"/>
      </rPr>
      <t>Premiul I pentru Pictura</t>
    </r>
    <r>
      <rPr>
        <rFont val="Arial Narrow"/>
        <color rgb="FF000000"/>
        <sz val="11.0"/>
      </rPr>
      <t>.</t>
    </r>
    <r>
      <rPr>
        <rFont val="Arial Narrow"/>
        <color rgb="FF000000"/>
        <sz val="10.0"/>
      </rPr>
      <t xml:space="preserve"> Salonul Interjudetean de Arte vizuale</t>
    </r>
    <r>
      <rPr>
        <rFont val="Arial Narrow"/>
        <color rgb="FF000000"/>
        <sz val="11.0"/>
      </rPr>
      <t xml:space="preserve"> </t>
    </r>
  </si>
  <si>
    <t>05.11-30.12.2020</t>
  </si>
  <si>
    <t>ISBN 978-606-8815-73-2</t>
  </si>
  <si>
    <t>"Refugiu"</t>
  </si>
  <si>
    <t>Concursul National de Pictura si Grafica</t>
  </si>
  <si>
    <t>https://fb.watch/5pc4wUSp82/</t>
  </si>
  <si>
    <t>Bucur Mirel-Vasile</t>
  </si>
  <si>
    <t xml:space="preserve">Retrospective (IX). Conservarea-restaurarea patrimoniului cultural. </t>
  </si>
  <si>
    <t xml:space="preserve">organizator expozitie </t>
  </si>
  <si>
    <t>21 februarie 2020</t>
  </si>
  <si>
    <t xml:space="preserve">https://www.facebook.com/groups/617731998400166/search/?q=salonul </t>
  </si>
  <si>
    <t>Bucur Mirel-Vasile, Balan Alexanrda</t>
  </si>
  <si>
    <t xml:space="preserve">participare cu poster </t>
  </si>
  <si>
    <t>Dăneasă Cristina Maria</t>
  </si>
  <si>
    <t>Salonul de postere al Asociatiei Conservatorilor si Restauratorilor din Romania editia a VII-a</t>
  </si>
  <si>
    <t>Expoziție de grup</t>
  </si>
  <si>
    <t>21.02.2020</t>
  </si>
  <si>
    <t>Herlea Simona Maria</t>
  </si>
  <si>
    <t>Expoziția anuală de panouri a Asociației Conservatorilor și Restauratorilor din România</t>
  </si>
  <si>
    <t>Expoziție națională</t>
  </si>
  <si>
    <t>21 februarie</t>
  </si>
  <si>
    <t>https://sites.google.com/totaleurosolutions.com/acrro/</t>
  </si>
  <si>
    <t xml:space="preserve">Expoziție națională - Expoziție de artă vizuală „Grigorie Minea și invitații”, eveniment organizat de Muzeul Național Brukenthal și Uniunea Artiștilor Plastici din România. Locație: Muzeul Național Brukenthal, Sala Multimedia din Casa Albastră, Sibiu, Piața Mare, nr. 5  </t>
  </si>
  <si>
    <t>Expoziție colectivă / Membri ai Uniunii artiștilor plastici din România</t>
  </si>
  <si>
    <t xml:space="preserve">Vernisaj: 12 martie 2020, ora 13.00                                               </t>
  </si>
  <si>
    <t>https://www.facebook.com/brukenthalnationalmuseum/photos/gm.213586629697398/3125029714196273/?type=3&amp;theater</t>
  </si>
  <si>
    <t xml:space="preserve">Ionescu Alina </t>
  </si>
  <si>
    <t xml:space="preserve">Expoziție națională - Expoziție „Interferențe - Vasile Dobre și invitații”, eveniment organizat de Uniunea Artiștilor Plastici din România, Locație: Galeria Orizont, Bd. N. Bălcescu nr. 23, București 
</t>
  </si>
  <si>
    <t>Expoziție colectivă de artă plastică: Tapiserie (Vasile Dobre),  Pictură (Geanina Ionescu, Dinu Mihai Fălcoianu, Rodica Ion), sculptură (Grigorie Minea) / Membri ai Uniunii artiștilor plastici din România</t>
  </si>
  <si>
    <t xml:space="preserve">Vernisaj: 10 septembrie 2020, ora 18.30
</t>
  </si>
  <si>
    <t>https://uap.ro/vasile-dobre-si-invitatii-orizont/</t>
  </si>
  <si>
    <t>Expoziție națională - „Salonul Anual al Artelor Vizuale 2020 online”, Ediția 90, Uniunea Artiștilor Plastici din România,  Filiala Timișoara</t>
  </si>
  <si>
    <r>
      <rPr>
        <rFont val="arial narrow"/>
        <color theme="1"/>
        <sz val="8.0"/>
      </rPr>
      <t xml:space="preserve">
</t>
    </r>
    <r>
      <rPr>
        <rFont val="Arial Narrow"/>
        <color rgb="FF000000"/>
        <sz val="10.0"/>
      </rPr>
      <t>decembrie 2020 - martie 2021</t>
    </r>
  </si>
  <si>
    <t xml:space="preserve">http://www.salonuapt.com/.                                    https://www.salonuapt.com/allartists/ionescu-gean.   </t>
  </si>
  <si>
    <t>Expoziție personală în țară_Eveniment cultural în cadrul Simpozionului „Zilele Francisc I Rainer” Antropologie și Tradiții</t>
  </si>
  <si>
    <t xml:space="preserve">Expoziție personală Geanina Ionescu: STRUCTURI K1, Biblioteca Academiei Române, Calea Victoriei 125, București, eveniment organizat în cadrul Simpozionul „Zilele Francisc I Rainer” Antropologie și Tradiții
</t>
  </si>
  <si>
    <t>8-10 octombrie 2020</t>
  </si>
  <si>
    <t>https://www.antropology.ro/doc/2020/RAINER%202020%20B%20-%20INVITATIE%20SIMPOZION.pdf</t>
  </si>
  <si>
    <t>Leonhard Teresa (Workshop, Producție, Regie, Concept, Coordonare mișcare scenică, Film Editing), Ilea Tudor (Camera), Marcovici Andrei (Muzica), Compania Dis.Place (dans)</t>
  </si>
  <si>
    <r>
      <rPr>
        <rFont val="Arial Narrow"/>
        <i/>
        <color rgb="FF000000"/>
        <sz val="10.0"/>
      </rPr>
      <t>Totul este atât de fragil</t>
    </r>
    <r>
      <rPr>
        <rFont val="Arial Narrow"/>
        <color rgb="FF000000"/>
        <sz val="10.0"/>
      </rPr>
      <t xml:space="preserve">, cu Compania Dis.Place, Primarie Sibiu </t>
    </r>
  </si>
  <si>
    <t xml:space="preserve">Workshop și Video Scurt Metraj </t>
  </si>
  <si>
    <t>Octombrie 2020</t>
  </si>
  <si>
    <t>https://www.youtube.com/watch?v=CTD2J3HF3tg</t>
  </si>
  <si>
    <t>Leonhard Teresa (Producție, Concept. Performance, FilmEditing), Falch Leutert Brita (Concept, Muzică), Leutert Jürg și Dörr Kilian (Camera)</t>
  </si>
  <si>
    <r>
      <rPr>
        <rFont val="Arial Narrow"/>
        <i/>
        <color rgb="FF000000"/>
        <sz val="10.0"/>
      </rPr>
      <t>Performing Austria 2020 (Forumul cultural Austriac): Corp.Sunet.Spațiu</t>
    </r>
    <r>
      <rPr>
        <rFont val="Arial Narrow"/>
        <color rgb="FF000000"/>
        <sz val="10.0"/>
      </rPr>
      <t>, Biserica evanghelică din Sibiu</t>
    </r>
  </si>
  <si>
    <t xml:space="preserve">Video Scurt Metraj </t>
  </si>
  <si>
    <t>https://www.youtube.com/watch?v=BGRQre_HXXM</t>
  </si>
  <si>
    <t>Leonhard Teresa  (dans, coordonare mișcare scenică, voce), Cotîrlea Iuliana (vioară) &amp; Falch Leutert Brita  (Orgă), Asamblul vocal al Corului Bach din Sibiu</t>
  </si>
  <si>
    <r>
      <rPr>
        <rFont val="Arial Narrow"/>
        <i/>
        <color rgb="FF000000"/>
        <sz val="10.0"/>
      </rPr>
      <t>Spiegel im Spiegel,</t>
    </r>
    <r>
      <rPr>
        <rFont val="Arial Narrow"/>
        <color rgb="FF000000"/>
        <sz val="10.0"/>
      </rPr>
      <t xml:space="preserve"> Performance, în cadru concertului </t>
    </r>
    <r>
      <rPr>
        <rFont val="Arial Narrow"/>
        <i/>
        <color rgb="FF000000"/>
        <sz val="10.0"/>
      </rPr>
      <t>Musica Aeterna - Perpetuum mobile</t>
    </r>
    <r>
      <rPr>
        <rFont val="Arial Narrow"/>
        <color rgb="FF000000"/>
        <sz val="10.0"/>
      </rPr>
      <t xml:space="preserve">, Biserica evanghelică din Sibiu 
</t>
    </r>
  </si>
  <si>
    <t>Performance și Concert</t>
  </si>
  <si>
    <t>https://www.youtube.com/watch?v=6Oe5CP5O3l8</t>
  </si>
  <si>
    <t>Leonhard Teresa (percuție, voce), Leutert Jürg, Falch Leutert Brita (dirijori), Gunesch Elisa (solist vocal), Asamblul vocal a corului Bach din Sibiu</t>
  </si>
  <si>
    <r>
      <rPr>
        <rFont val="Arial Narrow"/>
        <i/>
        <color rgb="FF000000"/>
        <sz val="10.0"/>
      </rPr>
      <t>Vesper Gaudete</t>
    </r>
    <r>
      <rPr>
        <rFont val="Arial Narrow"/>
        <color rgb="FF000000"/>
        <sz val="10.0"/>
      </rPr>
      <t>, Biserica evanghelică din Sibiu</t>
    </r>
  </si>
  <si>
    <t>Concert</t>
  </si>
  <si>
    <t>Leonhard Teresa (Workshop artistic)</t>
  </si>
  <si>
    <r>
      <rPr>
        <rFont val="Arial Narrow"/>
        <i/>
        <color rgb="FF000000"/>
        <sz val="10.0"/>
      </rPr>
      <t>ERASMUS+ Entrepreneurial Journey – Reanimating Craftsmanship</t>
    </r>
    <r>
      <rPr>
        <rFont val="Arial Narrow"/>
        <color rgb="FF000000"/>
        <sz val="10.0"/>
      </rPr>
      <t>, CN „Samuel von Brukenthal“ din Sibiu</t>
    </r>
  </si>
  <si>
    <t>Workshop and Showing</t>
  </si>
  <si>
    <t>https://adz.ro/meinung-und-bericht/artikel-meinung-und-bericht/artikel/handwerk-hat-goldenen-boden-und-braucht-strahlende-pflege</t>
  </si>
  <si>
    <t>I13 -  Evenimente sportive (doar pentru domeniul Sport)</t>
  </si>
  <si>
    <t>Se va anexa documentul doveditor evenimentului (site / pagina Facebook, afiş, promovare în mass media etc.).</t>
  </si>
  <si>
    <r>
      <rPr>
        <rFont val="Arial Narrow"/>
        <b/>
        <color theme="1"/>
        <sz val="10.0"/>
      </rPr>
      <t>Caracterul competiţiei</t>
    </r>
    <r>
      <rPr>
        <rFont val="Arial Narrow"/>
        <color theme="1"/>
        <sz val="10.0"/>
      </rPr>
      <t xml:space="preserve"> / campionatului se dovedește cu o listă de participanţi înscrişi în concurs, afişată pe site-un evenimentului.
• Competiţie internaţională = minim 50% din participanţi sunt din străinătate
• Competiţie naţională = minim 50% din participanţi sunt din alte judeţe
• Competiţie locala = minim 50% din participanţi sunt din judeţul Sibiu</t>
    </r>
  </si>
  <si>
    <r>
      <rPr>
        <rFont val="Arial Narrow"/>
        <b/>
        <color theme="1"/>
        <sz val="10.0"/>
      </rPr>
      <t xml:space="preserve">*Punctaje de referință:
</t>
    </r>
    <r>
      <rPr>
        <rFont val="Arial Narrow"/>
        <b/>
        <color theme="1"/>
        <sz val="10.0"/>
        <u/>
      </rPr>
      <t>Organizare eveniment sportiv:</t>
    </r>
    <r>
      <rPr>
        <rFont val="Arial Narrow"/>
        <b/>
        <color theme="1"/>
        <sz val="10.0"/>
      </rPr>
      <t xml:space="preserve"> </t>
    </r>
    <r>
      <rPr>
        <rFont val="Arial Narrow"/>
        <color theme="1"/>
        <sz val="10.0"/>
      </rPr>
      <t xml:space="preserve">
• 500 puncte / echipa organizatorică, pentru fiecare competiţie internatională
• 300 puncte / echipa organizatorică, pentru fiecare competiţie naţională
• 100 puncte / echipa organizatorică, pentru fiecare competiţie locală 
Punctajul se acordă organizatorului principal. Acesta poate decide distribuirea punctajului între membrii echipei. Se va verifica apartenenţa persoanei la comitetul de organizare.
</t>
    </r>
    <r>
      <rPr>
        <rFont val="Arial Narrow"/>
        <b/>
        <color theme="1"/>
        <sz val="10.0"/>
      </rPr>
      <t>Performanța sportivă a cadrului didactic afiliat la ULBS:</t>
    </r>
    <r>
      <rPr>
        <rFont val="Arial Narrow"/>
        <color theme="1"/>
        <sz val="10.0"/>
      </rPr>
      <t xml:space="preserve">
• 800 puncte = participare la competiţii de nivel internaţional
• 300 puncte = participare competiţii de nivel naţional
• 100 puncte = participare la competiţii de nivel regional
Punctajul pentru performanţa sportivă se acordă pentru cadrul didactic (şi nu pentru studenţi).
</t>
    </r>
  </si>
  <si>
    <r>
      <rPr>
        <rFont val="Arial Narrow"/>
        <b/>
        <color theme="1"/>
        <sz val="10.0"/>
      </rPr>
      <t>Plafoane maxime anual</t>
    </r>
    <r>
      <rPr>
        <rFont val="Arial Narrow"/>
        <color theme="1"/>
        <sz val="10.0"/>
      </rPr>
      <t>, cerinţe cumulative: 1000 puncte / declarant.</t>
    </r>
  </si>
  <si>
    <t>I14 - Membru în comitetul editorial al unei reviste ştiinţifice indexate BDI</t>
  </si>
  <si>
    <t xml:space="preserve">Se verifica prin lista comitetului editorial al revistei, afişată pe site-ul revistei. </t>
  </si>
  <si>
    <t>În cazul în care activitatea editorului implică muncă de recenzare / calitatea de membru în comitetul ştiinţific, raportarea se face doar la indicatorul I15.</t>
  </si>
  <si>
    <t>În lista comitetului editorial se precizează afilierea la ULBS a declarantului.</t>
  </si>
  <si>
    <r>
      <rPr>
        <rFont val="Arial Narrow"/>
        <b/>
        <color rgb="FF000000"/>
        <sz val="10.0"/>
      </rPr>
      <t>* Punctaje de referință:</t>
    </r>
    <r>
      <rPr>
        <rFont val="Arial Narrow"/>
        <color rgb="FF000000"/>
        <sz val="10.0"/>
      </rPr>
      <t xml:space="preserve">
• Revistă indexată WoS = 200 puncte 
• Revistă indexată în Scopus: 100 puncte
• Revistă indexată în cel puţin două BDI = 50 puncte 
Pentru revistele ULBS indexate în minim 2 BDI: max 400 puncte / revistă, pentru tot comitetul editorial. Punctajul individual se acordă pe baza unei adrese semnate de Editorul şef.
Plafoane maxime anuale: 200 puncte / declarant, indiferent de numărul de reviste declarate.</t>
    </r>
  </si>
  <si>
    <t>Denumirea revistei</t>
  </si>
  <si>
    <t>Baza de date în care e idexată revista (WoS, Scopus, minim două BDI)</t>
  </si>
  <si>
    <t>Site www al revistei (link-ul unde este menționată componența comitetului editorial)</t>
  </si>
  <si>
    <t>Forschungen zur Volks- und Landeskunde</t>
  </si>
  <si>
    <t>CEEOL, INDEX COPERNICUS</t>
  </si>
  <si>
    <t xml:space="preserve">http://icsusib.ro/periodice/forschungen </t>
  </si>
  <si>
    <t>Studia Universitatis Cibiniensis Series Historica</t>
  </si>
  <si>
    <t>Scoipus, Erih+</t>
  </si>
  <si>
    <t>http://ccpisc.ulbsibiu.ro/language/en/editorial/</t>
  </si>
  <si>
    <t>Scopus, CEEOL</t>
  </si>
  <si>
    <t>Brukenthal. Acta Musei (Romanian Cultural History Review Brukenthalia)</t>
  </si>
  <si>
    <t>Scopus, Erihplus, Index Copernicus, Ebscohost</t>
  </si>
  <si>
    <t xml:space="preserve">Ioniță Alexandru </t>
  </si>
  <si>
    <t>Review of Ecumenical Studies</t>
  </si>
  <si>
    <t>Erih Plus, Scipio, Ebsco, Ceeol, Religious and Theological Abstracts</t>
  </si>
  <si>
    <t>http://www.res.ecum.ro/editorial-team/ (vezi scrisoarea de la Prof. Stefan Tobler)</t>
  </si>
  <si>
    <t>Annales d Universite Valahia Targoviste</t>
  </si>
  <si>
    <t>Ebsco, Elsevier, Copernicus</t>
  </si>
  <si>
    <t>https://www.annalesfsu.ro/sitero/comitetul_stiintific.htm</t>
  </si>
  <si>
    <t>Buridava. Studii și Materiale</t>
  </si>
  <si>
    <t>Copernicus, Scipio</t>
  </si>
  <si>
    <t>http://www.muzee-valcea.ro/buridava/colegiul_stiintific.html</t>
  </si>
  <si>
    <t>Ziridava. Studia Archaeologica, Arad</t>
  </si>
  <si>
    <t>Ebsco, Scipio</t>
  </si>
  <si>
    <t>http://www.z-studarch.ro/</t>
  </si>
  <si>
    <t>http://arheologie.ulbsibiu.ro/study.htm</t>
  </si>
  <si>
    <t>Brukenthal. Acta Musei, 1-4</t>
  </si>
  <si>
    <t>Copernicus, Scopus, Erih Plus, Ebsco</t>
  </si>
  <si>
    <t>https://www.brukenthalmuseum.ro/pdf/Colegiul%20de%20redactie.pdf</t>
  </si>
  <si>
    <t>Pinter Zeno-KARL</t>
  </si>
  <si>
    <t>SCOPUS, INDEX COPERNICUS, EBSCOHOST, ERIH PLUS</t>
  </si>
  <si>
    <t>http://www.brukenthalmuseum.ro/pdf/Colegiul%20de%20redactie.pdf</t>
  </si>
  <si>
    <t>Index Copernicus, SCIPIO, EBSCO</t>
  </si>
  <si>
    <t>http://arheologie.ulbsibiu.ro/publicatii/ats/colegiul%20de%20redactie%20(2).pdf</t>
  </si>
  <si>
    <t>CEEOL, INDEX COPERNICUS, EBSCO</t>
  </si>
  <si>
    <t>http://forschungen.icsusib.ro/forschungen</t>
  </si>
  <si>
    <t>Ebsco, CEEOL, Scopus</t>
  </si>
  <si>
    <t>Erih +, Ceeol</t>
  </si>
  <si>
    <t>http://socio-umane.ulbsibiu.ro/dep.istorie/cercetarereviste.html</t>
  </si>
  <si>
    <t>Scopus, EBSCO, CEEOL, Index Copernicus, ERIH Plus</t>
  </si>
  <si>
    <t>http://ccpisc.ulbsibiu.ro/language/en/studia-en/</t>
  </si>
  <si>
    <t>The Annals of the „Ovidius” University of Constanta – Political Science Series</t>
  </si>
  <si>
    <t>CEEOL, Index Copernicus, Erih PLUS</t>
  </si>
  <si>
    <t>http://annals-politics.univ-ovidius.ro/editorial-board/</t>
  </si>
  <si>
    <t xml:space="preserve">Parliaments, Estates &amp; Representation </t>
  </si>
  <si>
    <t>History and Life; Current Abstracts; ERIH Plus; Historical Abstracts; Periodicals Index Online; Scopus</t>
  </si>
  <si>
    <t>https://www.tandfonline.com/action/journalInformation?show=editorialBoard&amp;journalCode=rper20</t>
  </si>
  <si>
    <t>Stanciu Maria-Daniela</t>
  </si>
  <si>
    <t>CEEOL, ERIH Plus, Index Copernicus, Scopus (sub evaluare)</t>
  </si>
  <si>
    <t>Atașată adeverință</t>
  </si>
  <si>
    <t>CEEOL, ERIHPLUS</t>
  </si>
  <si>
    <t>http://arhin.by.host4u.ro/echipa/</t>
  </si>
  <si>
    <t>Studia Universitatis Cibiniensis</t>
  </si>
  <si>
    <t>https://centers.ulbsibiu.ro/ccpisc/language/en/editorial/</t>
  </si>
  <si>
    <t>Tobler Stefan Andreas</t>
  </si>
  <si>
    <r>
      <rPr>
        <rFont val="arial narrow"/>
        <i/>
        <color rgb="FF000000"/>
        <sz val="10.0"/>
      </rPr>
      <t>International Journal for the Study of the Christian Church</t>
    </r>
    <r>
      <rPr>
        <rFont val="Arial Narrow"/>
        <i val="0"/>
        <color rgb="FF000000"/>
        <sz val="10.0"/>
      </rPr>
      <t xml:space="preserve"> (IJSCC), Routledge Publishing, Tailor &amp; Francis online</t>
    </r>
  </si>
  <si>
    <t>Scopus, Current Abstracts; Emerging Sources Citation Index (ESCI); OCLC; Religious &amp; Theological Abstracts</t>
  </si>
  <si>
    <t>http://www.tandfonline.com/loi/rjsc20#.U5aOIihqNyw</t>
  </si>
  <si>
    <t xml:space="preserve">Review of Ecumenical Studies </t>
  </si>
  <si>
    <t>ERIH Plus, Ebsco, De Gruyter Open, ATLA</t>
  </si>
  <si>
    <t>www.res.ecum.ro</t>
  </si>
  <si>
    <t>Acta Terrae Septemcastrensis (2020)</t>
  </si>
  <si>
    <t>Erih Plus, Sciendo, Ebsco; index Copernicus</t>
  </si>
  <si>
    <t>http://arheologie.ulbsibiu.ro/studii.htm</t>
  </si>
  <si>
    <t>FSSU</t>
  </si>
  <si>
    <t>Journal of Education Teaching and Learning</t>
  </si>
  <si>
    <t>EBSCO.WORLDCAT, HARVARD LIBRARY</t>
  </si>
  <si>
    <t>https://journal.stkipsingkawang.ac.id/index.php/JETL/about/editorialTeam</t>
  </si>
  <si>
    <t>World Journal of Education</t>
  </si>
  <si>
    <t>ERIC,Index Copernicus,HOLLIS (Harvard Library) ResearchBib</t>
  </si>
  <si>
    <t>http://www.sciedupress.com/journal/index.php/wje/about/editorialTeam</t>
  </si>
  <si>
    <t>SN Social Science</t>
  </si>
  <si>
    <t>https://www.editorialmanager.com/snss/default.aspx</t>
  </si>
  <si>
    <t>The European Journal of Teaching and Education</t>
  </si>
  <si>
    <t>DRJI, Scientific Index Factor</t>
  </si>
  <si>
    <t>https://dpublication.com/journal/EJTE</t>
  </si>
  <si>
    <t>International Journal of Innovation and Research in Educational Sciences (IJIRES)</t>
  </si>
  <si>
    <t>Index Copernicus, Research Gate</t>
  </si>
  <si>
    <t>https://www.ijires.org/index.php/editors/editorial-board-of-ijires</t>
  </si>
  <si>
    <t>International Journal of Vocational Education and Training</t>
  </si>
  <si>
    <t>World Cat, DRJI, Cross Ref</t>
  </si>
  <si>
    <t>http://www.sciencepublishinggroup.com/journal/editorialboard?journalid=372</t>
  </si>
  <si>
    <t>Education and Applied Didactics</t>
  </si>
  <si>
    <t>ERICH PLUS, CEEOL</t>
  </si>
  <si>
    <t>http://socioumane.ro/blog/ead/home/editorial-board/</t>
  </si>
  <si>
    <t>Cretu Daniela Maria</t>
  </si>
  <si>
    <t xml:space="preserve">International Journal of Education and Learning (IJEL) </t>
  </si>
  <si>
    <t>GOOGLE SCHOLAR
CROSSREF</t>
  </si>
  <si>
    <t>https://nadiapub.com/journals/ijel/ijel-editorial-board/</t>
  </si>
  <si>
    <t xml:space="preserve">Education Quarterly Reviews </t>
  </si>
  <si>
    <t xml:space="preserve">CrossRef, Index Copernicus, Zenodo, Google Scholar, Road, OpenAIRE, Academic Resource Index  </t>
  </si>
  <si>
    <t>https://www.asianinstituteofresearch.org/eqr</t>
  </si>
  <si>
    <t>Directory of Research Journals Indexing,  CNCSIS classification B+ category
 Ulrich's,     IndexCopernicus,     EBSCO,  DOAJ, CEEOL
CrossReff  WorldCat.org</t>
  </si>
  <si>
    <t>https://www.uav.ro/jour/index.php/jpe/about/editorialTeam</t>
  </si>
  <si>
    <t>Teacher Education and Curriculum Studies</t>
  </si>
  <si>
    <t>WorldCat, CrossRef, AcademicKeys, ResearchBib, Polish Scholarly Bibliography, Directory of Research Journals Indexing</t>
  </si>
  <si>
    <t>http://www.sciencepublishinggroup.com/journal/editorialboard?journalid=240</t>
  </si>
  <si>
    <t>International Education Studies (IES)</t>
  </si>
  <si>
    <t>CrossRef, DESY Publication Database, DTU Findit (DTU Library), Education Resources Information Center (ERIC), 
Educational Research Abstracts,
Electronic Journals Library
Elektronische Zeitschriftenbibliothek (EZB), Excellence in Research for Australia (ERA)</t>
  </si>
  <si>
    <t>http://www.ccsenet.org/journal/index.php/ies/editor</t>
  </si>
  <si>
    <t xml:space="preserve">European Scientific Journal </t>
  </si>
  <si>
    <t xml:space="preserve">EBSCO, Crossref, Index Copernicus, Ulrich's, Electronic Journals Library, Scirus, 
West European Librarian,  Directory of Research Journals Indexing
</t>
  </si>
  <si>
    <t>https://eujournal.org/index.php/esj/editorial_board</t>
  </si>
  <si>
    <t>AcademicKeys, Academic Journals Database, ACNP, BASE, CNKI, Electronic Journals Library, Educational Research Abstracts, ERA, ERIC, Genamics JournalSeek, GETIT@YALE (Yale University Library), Google Scholar, Harvard Library E-Journals, JournalTOCs, Lockss, MIAR, Mir@bel, NewJour, OAJI, Open J-Gate, PBN, PKP Open Archives Harvester, Publons, ResearchGate, ROAD, Technische Informationsbibliothek (TIB)</t>
  </si>
  <si>
    <t>Journal of Education Culture and Society</t>
  </si>
  <si>
    <t>Emerging Sources Citation Index (Web of Science)EBSCO, DOAJ, BazHum, Index Copernicus, Ulrich'sCEEOLCEJSH</t>
  </si>
  <si>
    <t xml:space="preserve">https://jecs.pl/index.php/jecs/about/editorialTeam </t>
  </si>
  <si>
    <t>Education and Self Development</t>
  </si>
  <si>
    <t>https://en.eandsdjournal.org/editorial-board/maria-cristina-popa/</t>
  </si>
  <si>
    <t xml:space="preserve"> Innovare Journal of Education</t>
  </si>
  <si>
    <t>OAI,
CNKI (China Knowledge Resource Integrated Database)
LOCKKS
Open J-Gate
Google Scholar
OCLC (World Digital Collection Gateway)
UIUC</t>
  </si>
  <si>
    <t>https://innovareacademics.in/journals/index.php/ijoe</t>
  </si>
  <si>
    <t>FSSU8</t>
  </si>
  <si>
    <t>Humanities and Social Sciences (HSS)</t>
  </si>
  <si>
    <t>AcademicKeys, Crossreff etc</t>
  </si>
  <si>
    <t xml:space="preserve">http://www.hssjournal.org/editorialboard </t>
  </si>
  <si>
    <t>Crînguș Costin</t>
  </si>
  <si>
    <t>Studii și Cercetări de Antropologie</t>
  </si>
  <si>
    <t>Doaj, Erihplus, Central and Eastern European Online Library, Crossref, Oaji, Road, J-Gate, Directory of Research Journals Indexing</t>
  </si>
  <si>
    <t>https://www.journalstudiesanthropology.ro/en/editors.html</t>
  </si>
  <si>
    <t>Cringus Costin</t>
  </si>
  <si>
    <t>Eugen Iordanescu</t>
  </si>
  <si>
    <t>International Journal of Applied Behavioral Economics (IJABE)</t>
  </si>
  <si>
    <t>Ulrich's Periodicals Directory, The Standard Periodical Directory, RePEc, JournalTOCs, INSPEC, cabewll's, BMD, MF</t>
  </si>
  <si>
    <t>http://www.igi-global.com/journal/international-journal-applied-behavioral-economics/49170</t>
  </si>
  <si>
    <t>EUGEN IORDANESCU</t>
  </si>
  <si>
    <t>Eurasian Journal of Educational Research</t>
  </si>
  <si>
    <t>Scopus, ESCI, ERIC, EBSCO Host, ULAKBIM National Index, HERDC, ERA, APA</t>
  </si>
  <si>
    <t>http://www.ejer.com.tr/?git=5</t>
  </si>
  <si>
    <t>Revista Economica</t>
  </si>
  <si>
    <t>http://economice.ulbsibiu.ro/revista.economica/editorialboard.php</t>
  </si>
  <si>
    <t>Revista de Psihologie, Academia Romana</t>
  </si>
  <si>
    <t>http://revistadepsihologie.ipsihologie.ro/index.php/redactia</t>
  </si>
  <si>
    <t>Journal of Politics and Law</t>
  </si>
  <si>
    <t xml:space="preserve">EBSCOhost
ERA
ESCI
HeinOnline
Lockss
NewJournal
Open J-Gate
PKP Open Archives Harvester
SHERPA/RoMEO
Ulrich's
Universe Digital Library
</t>
  </si>
  <si>
    <t>http://ccsenet.org/journal/index.php/jpl/about/editorialTeam</t>
  </si>
  <si>
    <t>Public Administration Research</t>
  </si>
  <si>
    <t>EBSCOhost
Google Scholar
LOCKSS
Open J-Gate
PKP Open Archives Harvester
SHERPA/RoMEO
Ulrich's
Universe Digital Library</t>
  </si>
  <si>
    <t>http://www.ccsenet.org/journal/index.php/par/about/editorialPolicies#custom-0</t>
  </si>
  <si>
    <t>International Law Research</t>
  </si>
  <si>
    <t>EBSCOhost, Google Scholar, LOCKSS, Open J-Gate, PKP Open Archives Harvester, ProQuest, SHERPA/RoMEO, Ulrich's, Universe Digital Library</t>
  </si>
  <si>
    <t>http://www.ccsenet.org/journal/index.php/ilr</t>
  </si>
  <si>
    <t>Studia Politica. Romainan Political Science Review</t>
  </si>
  <si>
    <t>Scopus, EBSCO, ERIH PLUS, ProQuest</t>
  </si>
  <si>
    <t>https://www.studiapolitica.eu/Editorial-board</t>
  </si>
  <si>
    <t>Polis. Revista de stiinte politice</t>
  </si>
  <si>
    <t>https://revistapolis.ro/redactia-revistei/</t>
  </si>
  <si>
    <t>http://site.magazines.ulbsibiu.ro/studiasecuritatis/</t>
  </si>
  <si>
    <t>Eugen Străuțiu</t>
  </si>
  <si>
    <t>Anuarul Laboratorului pentru Analiza Conflictului Transnistrean</t>
  </si>
  <si>
    <t>https://lact.ro/board/</t>
  </si>
  <si>
    <t>Caspium Securitatis</t>
  </si>
  <si>
    <t xml:space="preserve"> e-Library, CrossRef</t>
  </si>
  <si>
    <t>https://caspiumsecuritatis.ru/index.php/csj/about/editorialTeam</t>
  </si>
  <si>
    <t>Studii Naționale de Securitate</t>
  </si>
  <si>
    <t>Genamics JournalSeek, Instrumentul Bibliometric Național</t>
  </si>
  <si>
    <t>https://inis.sis.md/sites/default/files/Echipa_Revistei_SNS.pdf</t>
  </si>
  <si>
    <t>Șerban Gabriel</t>
  </si>
  <si>
    <t>CEEOL, EBSCO, INDEX COPERNICUS, ULRICH'S PERIODICAL DIRECTORY, INFOBASE INDEX, SOCIONET.RU, RESEARCHBIB, MIAR, GLOBAL IMPACT&amp;QUALITY FACTOR</t>
  </si>
  <si>
    <t>http://reviste.ulbsibiu.ro/studiasecuritatis/</t>
  </si>
  <si>
    <t>Gheorghita Bogdan</t>
  </si>
  <si>
    <t>ANUARUL LABORATORULUI PENTRU ANALIZA CONFLICTULUI TRANSNISTREAN” (ISSN: 2601-1174)</t>
  </si>
  <si>
    <t>CEEOL, Index Copernicus, Socionet.ru.</t>
  </si>
  <si>
    <t xml:space="preserve">Marius Șpechea </t>
  </si>
  <si>
    <t xml:space="preserve">CEEOL, EBSCO, ERIHPLUS, INDEX COPERNICUS, DIRECTORUL PERIODIC AL ULRICH, INDEX INFOBASE, SOCIONET.RU, RESEARCHBIB, </t>
  </si>
  <si>
    <t>http://site.magazines.ulbsibiu.ro/studiasecuritatis/?page_id=5</t>
  </si>
  <si>
    <t>CEEOL, Index Copernicus, Repec/Socionet</t>
  </si>
  <si>
    <t>http://www.lact.ro/anuar-yearbook/</t>
  </si>
  <si>
    <t xml:space="preserve">Analele științifice ale Academiei “Ștefan cel Mare” a M.A.I. al Republicii Moldova”, </t>
  </si>
  <si>
    <t>CEEOL, HeinOnline</t>
  </si>
  <si>
    <t>http://www.academy.police.md/assets/files/revista/anale_st_nr_12_2020.pdf</t>
  </si>
  <si>
    <t>Bulletin of Taras Shevchenko, Taras Shevchenko University Kiev, Ucraina, ISSN 1728-3817.</t>
  </si>
  <si>
    <t>РИНЦ (E-Library), Science Index, Ulrich’s Periodicals Directory, Google Scholar, RepEc, Socionet, Index Copernicus (ICV 2017: 100.00), CyberLeninka, OCLC WorldCat, CrossRef, J-Gate, Microsoft Academic Search, Bielefeld Academic Search Engine (BASE), Registry of Open Access Repositories (ROAR), The Directory of Open Access Repositories (OpenDOAR), IDEAS, EconPapers, CiteFactor (indexed), Maksymovych Scientific Library of Taras Shevchenko National University of Kyiv, National Library of Ukraine Vernadsky, DOAJ, ProQuest, CitEc, Directory of Open Access scholarly Resources (ROAD), JIC Index (09/2017) = 0.340 (C group), Cabells Journal Whitelist.</t>
  </si>
  <si>
    <t>http://bulletin-econom.univ.kiev.ua/editorial-board</t>
  </si>
  <si>
    <t xml:space="preserve">Gândirea Militară Românească -  revistă editată de către Statul Major al Apărării 
ISSN Print: 1454-0460
ISSN Online: 1842-8231 </t>
  </si>
  <si>
    <t>CEEOL, Index Copernicus, EBSCO, ROAD-ISSN Portal. 
Revistă științifică cu prestigiu recunoscut CNATDCU din domeniul „Științe militare, informații și ordine publică“.</t>
  </si>
  <si>
    <t>https://gmr.mapn.ro/pages/view/79</t>
  </si>
  <si>
    <t>Revista Geopolitica, Ed. TopForm,1583-543X</t>
  </si>
  <si>
    <t>Ulrich’s Periodicals Directory, CrossRef, Index Copernicus, Registry of Open Access Repositories (ROAR).
Revistă științifică cu prestigiu recunoscut CNATDCU, echivalent BDI:
- Comisia pentru Sociologie, Ştiinţe Politice şi Administrative, Categoria Edituri A2, poz. 17; Comisia pentru Ştiinţe Militare, Informaţii şi Ordine Publică, Categoria Edituri A2, poz. 16.</t>
  </si>
  <si>
    <t>https://www.geopolitic.ro/in/revista-geopolitica/
https://www.geopolitic.ro/2020/11/2020-amurgul-democratiei-punct-si-de-la-capat-ii/</t>
  </si>
  <si>
    <t>Urban Research &amp; Practice</t>
  </si>
  <si>
    <t>https://www.tandfonline.com/action/journalInformation?show=editorialBoard&amp;journalCode=rurp20</t>
  </si>
  <si>
    <t>Andreea Zamfira</t>
  </si>
  <si>
    <t>Studia Politica is indexed in the following academic databases: CEEOL (since 2005); GESIS-GESIS-SSOAR (since 2005); EBSCO (since 2011); Scopus (since 2013); ProQuest (since 2013); ERIH PLUS (since 2018).</t>
  </si>
  <si>
    <t>https://www.studiapolitica.eu/indexing</t>
  </si>
  <si>
    <t>Bejenaru, Anca</t>
  </si>
  <si>
    <t>ErihPlus, EBSCO, CEEOL. DOAJ, Semantic Scholar etc.</t>
  </si>
  <si>
    <t>https://www.sciendo.com/journal/SCR</t>
  </si>
  <si>
    <t>https://revistasaeculum1943.wordpress.com/editorial-board/</t>
  </si>
  <si>
    <t>Social Sciences and Education Research Revieuw</t>
  </si>
  <si>
    <t>DOAJ, CEEOL, ICI Journals Master List,, Erih Plus, Google Scolar etc.</t>
  </si>
  <si>
    <t>http://sserr.ro/editorial-board/</t>
  </si>
  <si>
    <t>Calitatea Vieții</t>
  </si>
  <si>
    <t>http://www.revistacalitateavietii.ro/colegiu.html</t>
  </si>
  <si>
    <t>Social Change Review (guest editor)</t>
  </si>
  <si>
    <t>http://sciendo.com/journal/scr</t>
  </si>
  <si>
    <t>EBSCO, CEEOL, SCIENDO-DE GRUYTER</t>
  </si>
  <si>
    <t>ALKEMIE – Revue semestrielle de littérature et philosophie</t>
  </si>
  <si>
    <t>CEEOL, Index Copernicus, EBSCO</t>
  </si>
  <si>
    <t>http://www.revue-alkemie.com/_02-alkemie-redaction.html</t>
  </si>
  <si>
    <t>CEEOL, DOAJ, EBSCO, RePeC</t>
  </si>
  <si>
    <t>socialchangereview.ro</t>
  </si>
  <si>
    <t>SAECULUM</t>
  </si>
  <si>
    <t>CEEOL, CEEOL, SCIENDO</t>
  </si>
  <si>
    <t>Social Sciences and Education Research Review (SSERR)</t>
  </si>
  <si>
    <t>https://sserr.ro/editorial-board/</t>
  </si>
  <si>
    <t>Muresan Raluca</t>
  </si>
  <si>
    <t>Pavelescu Amalia Ludmila</t>
  </si>
  <si>
    <t>CEEOL și Copernicus</t>
  </si>
  <si>
    <t>http://www.icsusib.ro/periodice/studii-si-comunicari</t>
  </si>
  <si>
    <t>https://globalresearchpublishing.com/wp-content/uploads/2021/01/Sociology-and-Social-Work-Review-Volume-4-Number-2-December-2020-2.pdf</t>
  </si>
  <si>
    <t>International Journal of Traffic and Transportation Psychology</t>
  </si>
  <si>
    <t>Index Copernicus International, Scipio</t>
  </si>
  <si>
    <t>http://www.ijttp.ro/editorial-board/journal/editorial-board</t>
  </si>
  <si>
    <t>Romanian Journal of Experimental Applied Psychology</t>
  </si>
  <si>
    <t>Index Copernicus International, Scipio, Proquest, Crossref, Ebsco</t>
  </si>
  <si>
    <t>http://www.rjeap.ro/editorial-board/journal/editorial-board</t>
  </si>
  <si>
    <t>CEEOL; ProQuest Sociological Abstracts; EBSCO SocINDEX with Full Text; ULRICHSWEB; Index Copernicus; GESIS (Knowledge Base Social Sciences Eastern Europe)</t>
  </si>
  <si>
    <t>http://www.arsociologie.ro/37-recenzie-socol-1-1993</t>
  </si>
  <si>
    <t>CEEOL; Index Copernicus;
Public Affairs Information Service (PAIS); SCOPUS; Sociological Abstracts; Ulrichsweb</t>
  </si>
  <si>
    <t xml:space="preserve">http://www.revistacalitateavietii.ro/colegiu.html </t>
  </si>
  <si>
    <t>Journal of Research in Higher Education</t>
  </si>
  <si>
    <t>CEEOL, Index Copernicus (https://journals.indexcopernicus.com/search/details?id=48517)</t>
  </si>
  <si>
    <t>http://jrehe.reviste.ubbcluj.ro/index.php/editorial-board/</t>
  </si>
  <si>
    <t>CEEOL, EBSCO (CEEAS, A&amp;I,), Celdes
CNPIEC
EBSCO Discovery Service
Google Scholar, J-Gate
Naviga (Softweco)
Primo Central (ExLibris)
Summon (Serials Solutions/ProQuest)
TDOne (TDNet)
WorldCat (OCLC), RePEc</t>
  </si>
  <si>
    <t>http://socialchangereview.ro/index.php/SCR/about/editorialTeam</t>
  </si>
  <si>
    <t>https://journals.sagepub.com/topic/sgo-subjects/3042/sgo</t>
  </si>
  <si>
    <t>Revista Universitara de Sociologie</t>
  </si>
  <si>
    <t>http://www.sociologiecraiova.ro/revista/indexare-bdi/</t>
  </si>
  <si>
    <t>http://www.sociologiecraiova.ro/revista/colectivul-redactional/</t>
  </si>
  <si>
    <t>https://revistasaeculum1943.wordpress.com/redactia-3/</t>
  </si>
  <si>
    <t xml:space="preserve">Vlase Ionela </t>
  </si>
  <si>
    <t>Calitatea Vietii</t>
  </si>
  <si>
    <t>Scopus CEEOL</t>
  </si>
  <si>
    <t>http://revistacalitateavietii.ro/</t>
  </si>
  <si>
    <t>Central and Eastern European Migration Review</t>
  </si>
  <si>
    <t>WoS-ESCI Core Collection, CEEOL </t>
  </si>
  <si>
    <t xml:space="preserve">I15 - Referent ştiinţific al unei reviste indexate în minim 2 BDI sau al unei conferinţe internaţionale </t>
  </si>
  <si>
    <t>Calitatea de referent ştiinţific se dovedeşte prin raportul de recenzare (corespondenţa de recenzare).</t>
  </si>
  <si>
    <t>Revista trebuie sa fie indexată în minim 2 BDI.</t>
  </si>
  <si>
    <r>
      <rPr>
        <rFont val="Arial Narrow"/>
        <b/>
        <color rgb="FF000000"/>
        <sz val="10.0"/>
      </rPr>
      <t>O conferinţă este considerata internaţională</t>
    </r>
    <r>
      <rPr>
        <rFont val="Arial Narrow"/>
        <color rgb="FF000000"/>
        <sz val="10.0"/>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t>
    </r>
  </si>
  <si>
    <r>
      <rPr>
        <rFont val="Arial Narrow"/>
        <b/>
        <color rgb="FF000000"/>
        <sz val="10.0"/>
      </rPr>
      <t>*Punctaje de referință:</t>
    </r>
    <r>
      <rPr>
        <rFont val="Arial Narrow"/>
        <color rgb="FF000000"/>
        <sz val="10.0"/>
      </rPr>
      <t xml:space="preserve">
• Revistă indexată WoS = 50 puncte 
• Revistă indexată în cel puţin două BDI / conferinţă internaţională = 25 puncte 
Plafoane maxime anual: 200 puncte / declarant, indiferent de numărul de reviste, conferinţe sau articole recenzate declarate.
</t>
    </r>
  </si>
  <si>
    <t>Numele revistei / Numele conferinței</t>
  </si>
  <si>
    <t>Site-ul revistei / site-ul conferinței internaționale</t>
  </si>
  <si>
    <t>Data raportului de recenzare</t>
  </si>
  <si>
    <t xml:space="preserve">BRUKENTHAL ACTA MUSEI XV.4 </t>
  </si>
  <si>
    <t>p. 648  https://www.brukenthalmuseum.ro/pdf/BAM/BAM%20XV.4.pdf</t>
  </si>
  <si>
    <t>12.08-19.10.2020</t>
  </si>
  <si>
    <t>Brukenthal Acta Musei XV 4</t>
  </si>
  <si>
    <t>http://www.brukenthalmuseum.ro/publicatii_en/01_4.htm</t>
  </si>
  <si>
    <t xml:space="preserve">august - septembrie </t>
  </si>
  <si>
    <t>Guttmann Márta-Júlia</t>
  </si>
  <si>
    <t>Acta Musei Brukenthal</t>
  </si>
  <si>
    <t>http://www.brukenthalmuseum.ro/publicatii/01_4.htm</t>
  </si>
  <si>
    <t>4 sept. 2020</t>
  </si>
  <si>
    <r>
      <rPr>
        <rFont val="arial narrow"/>
        <b/>
        <color theme="1"/>
        <sz val="10.0"/>
      </rPr>
      <t>GUTTMANN M</t>
    </r>
    <r>
      <rPr>
        <rFont val="Calibri"/>
        <b/>
        <color theme="1"/>
        <sz val="10.0"/>
      </rPr>
      <t>Á</t>
    </r>
    <r>
      <rPr>
        <rFont val="Arial Narrow"/>
        <b/>
        <color theme="1"/>
        <sz val="10.0"/>
      </rPr>
      <t>RTA J</t>
    </r>
    <r>
      <rPr>
        <rFont val="Calibri"/>
        <b/>
        <color theme="1"/>
        <sz val="10.0"/>
      </rPr>
      <t>Ú</t>
    </r>
    <r>
      <rPr>
        <rFont val="Arial Narrow"/>
        <b/>
        <color theme="1"/>
        <sz val="10.0"/>
      </rPr>
      <t>LIA</t>
    </r>
  </si>
  <si>
    <t>https://www.epa.oszk.hu/html/vgi/boritolapuj.phtml?id=402</t>
  </si>
  <si>
    <t>iulie 2020</t>
  </si>
  <si>
    <r>
      <rPr>
        <rFont val="arial narrow"/>
        <b/>
        <color theme="1"/>
        <sz val="10.0"/>
      </rPr>
      <t>GUTTMANN M</t>
    </r>
    <r>
      <rPr>
        <rFont val="Calibri"/>
        <b/>
        <color theme="1"/>
        <sz val="10.0"/>
      </rPr>
      <t>Á</t>
    </r>
    <r>
      <rPr>
        <rFont val="Arial Narrow"/>
        <b/>
        <color theme="1"/>
        <sz val="10.0"/>
      </rPr>
      <t>RTA J</t>
    </r>
    <r>
      <rPr>
        <rFont val="Calibri"/>
        <b/>
        <color theme="1"/>
        <sz val="10.0"/>
      </rPr>
      <t>Ú</t>
    </r>
    <r>
      <rPr>
        <rFont val="Arial Narrow"/>
        <b/>
        <color theme="1"/>
        <sz val="10.0"/>
      </rPr>
      <t>LIA</t>
    </r>
  </si>
  <si>
    <t>Pinter Zeno-Karl</t>
  </si>
  <si>
    <t xml:space="preserve">Ziridava. Studia Archaeologica </t>
  </si>
  <si>
    <t xml:space="preserve">http://www.z-studarch.ro/ </t>
  </si>
  <si>
    <t>28.08.2020</t>
  </si>
  <si>
    <t>ACTA MILITARIA MEDIAEVALIA</t>
  </si>
  <si>
    <t>http://muzeum.sanok.pl/en/dzialalnosc-wydawnicza/acta-militaria-mediaevalia</t>
  </si>
  <si>
    <t>11-15.06.2020</t>
  </si>
  <si>
    <t>Revista Apulum. Series Archaeologica et Anthropologica</t>
  </si>
  <si>
    <t>https://revista-apulum.ro/colegiul-stintific/</t>
  </si>
  <si>
    <t>18.06.2020</t>
  </si>
  <si>
    <t>Acta Musei Napocensis</t>
  </si>
  <si>
    <t>https://www.mnit.ro/acta-mvsei-napocensis-amn/</t>
  </si>
  <si>
    <t>9.07.2020</t>
  </si>
  <si>
    <t>The International Journal of the History of Sport</t>
  </si>
  <si>
    <t>https://www.tandfonline.com/toc/fhsp20/current</t>
  </si>
  <si>
    <t>25.05.2020</t>
  </si>
  <si>
    <t>26th EAA Virtual Annual Meeting, 24-30 August 2020</t>
  </si>
  <si>
    <t>https://www.e-a-a.org/eaa2020virtual</t>
  </si>
  <si>
    <t>http://anuarul.icsusib.ro/anuarul</t>
  </si>
  <si>
    <t>the 5th International Conference on Education Science and Development (ICESD 2020)</t>
  </si>
  <si>
    <t>http://www.icesd-2020.com/page/html/Committees.php</t>
  </si>
  <si>
    <t>ian 2020</t>
  </si>
  <si>
    <t>IJIRES 2020                                  ISSN (Online): 2349 - 5219)</t>
  </si>
  <si>
    <t>http://www.ijires.org/index.php/editors/editorial-board-of-ijires</t>
  </si>
  <si>
    <t>feb.2020</t>
  </si>
  <si>
    <t>wmsci2020</t>
  </si>
  <si>
    <t>http://www.iiis2020.org/wmsci/website/default.asp?vc=1</t>
  </si>
  <si>
    <t>mai 2020</t>
  </si>
  <si>
    <t>EELSS 2020 : 2020 International Conference on Education, E-learning and Social Science (EELSS2020)</t>
  </si>
  <si>
    <t>http://www.eelss2020</t>
  </si>
  <si>
    <t>iunie 2020</t>
  </si>
  <si>
    <t>Global Conference on Education</t>
  </si>
  <si>
    <t>https://www.globalet.org/committee/</t>
  </si>
  <si>
    <t>ICATE-the 4th International Conference on Advanced Research in Teaching and Education</t>
  </si>
  <si>
    <t>https://www.icate.org/</t>
  </si>
  <si>
    <t>EDUCATION, TEACHING and LEARNING CONFERENCE</t>
  </si>
  <si>
    <t>https://www.ivcetl.org/scientific-committee/</t>
  </si>
  <si>
    <t>  The 3rd International Conference on Education Technology Management 2020</t>
  </si>
  <si>
    <t>http://www.icetm.org/com.html</t>
  </si>
  <si>
    <t>dec.2020</t>
  </si>
  <si>
    <t>International Management Conference ASE Bucharest</t>
  </si>
  <si>
    <t>MARA DANIEL</t>
  </si>
  <si>
    <t>The International Non-formal Education Conference</t>
  </si>
  <si>
    <t>http://site.conferences.ulbsibiu.ro/inec/ro/</t>
  </si>
  <si>
    <t>10.08.2020</t>
  </si>
  <si>
    <t xml:space="preserve">6th International Conference on Higher Education Advances (HEAd’20)
June 2 – 5, 2020 · Valencia (Spain)
</t>
  </si>
  <si>
    <t>http://headconf.org/organization/#pc</t>
  </si>
  <si>
    <t>12.02.2020      19.02.2020         19.02.2020                     (3 lucrari)</t>
  </si>
  <si>
    <t>Education and Self development</t>
  </si>
  <si>
    <t>https://en.eandsdjournal.org/</t>
  </si>
  <si>
    <t>3.03.2020                 14.05.2020         27.08.2020                    (3 lucrari)</t>
  </si>
  <si>
    <t xml:space="preserve">International Journal of Curriculum Development and Learning Measurement </t>
  </si>
  <si>
    <t>https://www.igi-global.com/journal/international-journal-curriculum-development-learning/229386</t>
  </si>
  <si>
    <r>
      <rPr>
        <rFont val="Arial Narrow"/>
        <color rgb="FF000000"/>
        <sz val="9.0"/>
      </rPr>
      <t xml:space="preserve">Sustainability </t>
    </r>
    <r>
      <rPr>
        <rFont val="Arial Narrow"/>
        <color rgb="FFDD0806"/>
        <sz val="9.0"/>
      </rPr>
      <t>(indexata WoS)</t>
    </r>
  </si>
  <si>
    <t>26.10.2020           15.12.2020                       (2 lucrari)</t>
  </si>
  <si>
    <r>
      <rPr>
        <rFont val="Arial Narrow"/>
        <color rgb="FF000000"/>
        <sz val="9.0"/>
      </rPr>
      <t xml:space="preserve">SAGE open </t>
    </r>
    <r>
      <rPr>
        <rFont val="Arial Narrow"/>
        <color rgb="FFDD0806"/>
        <sz val="9.0"/>
      </rPr>
      <t>(indexata WoS)</t>
    </r>
  </si>
  <si>
    <t>https://journals.sagepub.com/home/sgo</t>
  </si>
  <si>
    <t>International  Education Studies</t>
  </si>
  <si>
    <r>
      <rPr>
        <rFont val="Arial Narrow"/>
        <color rgb="FF000000"/>
        <sz val="9.0"/>
      </rPr>
      <t>Revista Romaneasca pentru Educatie Multiculturala</t>
    </r>
    <r>
      <rPr>
        <rFont val="Arial Narrow"/>
        <color rgb="FFDD0806"/>
        <sz val="9.0"/>
      </rPr>
      <t xml:space="preserve"> (indexata WoS)</t>
    </r>
  </si>
  <si>
    <t>https://lumenpublishing.com/journals/index.php/rrem/index</t>
  </si>
  <si>
    <t>02.10.2020         8.10.2020                      (2 lucrari)</t>
  </si>
  <si>
    <t>European Scientific Journal</t>
  </si>
  <si>
    <t>http://eujournal.org/index.php/esj</t>
  </si>
  <si>
    <t>12th International Conference on Education, Training and Informatics: ICETI 2021, March 9 - 12, 2021, Orlando, Florida, USA.</t>
  </si>
  <si>
    <t>http://www.iiis-spring21.org/icsit/Website/AdditionalReviewers.asp?vc=31</t>
  </si>
  <si>
    <t>The 19th International Conference on
Education and Information Systems,
Technologies and Applications: EISTA 2021©, July 18 - 21, Orlando, Florida, USA</t>
  </si>
  <si>
    <t>http://www.iiis2021.org/imsci/Website/AdditionalReviewers.asp?vc=5</t>
  </si>
  <si>
    <t>2 .11.2020</t>
  </si>
  <si>
    <t>Review of European Studies</t>
  </si>
  <si>
    <t>http://www.ccsenet.org/journal/index.php/res/editor</t>
  </si>
  <si>
    <t>The New Directions în the Humanities Journal Collection, Common Ground Research Networks</t>
  </si>
  <si>
    <t>https://thehumanities.com/</t>
  </si>
  <si>
    <t>American Journal of Educational Research</t>
  </si>
  <si>
    <t>http://www.sciepub.com/journal/EDUCATION/editors</t>
  </si>
  <si>
    <t>Andron Daniela Roxana</t>
  </si>
  <si>
    <t>IEEE Access</t>
  </si>
  <si>
    <t>IEEE Access – Multidisciplinary open access journal</t>
  </si>
  <si>
    <t>30.04.2020</t>
  </si>
  <si>
    <t>24.05.2020</t>
  </si>
  <si>
    <t>05.06.2020</t>
  </si>
  <si>
    <t>27.08.2020</t>
  </si>
  <si>
    <t>Iunesch Liana Regina</t>
  </si>
  <si>
    <t>http://www.icsusib.ro/de/zeitschriften/forschungen-zur-volks-und-landeskunde</t>
  </si>
  <si>
    <t>14. 08. 2020</t>
  </si>
  <si>
    <t>Revista internationala Higher Education Studies (HES)</t>
  </si>
  <si>
    <t>http://www.ccsenet.org/journal/index.php/hes/editor</t>
  </si>
  <si>
    <t>Revista internationala Journal of Education, Society &amp; Behavioural Science</t>
  </si>
  <si>
    <t>https://www.journaljesbs.com/index.php/JESBS/about/editorialTeam</t>
  </si>
  <si>
    <t>Revista internationala Journal of Education and Learning</t>
  </si>
  <si>
    <t>http://www.ccsenet.org/journal/index.php/jel/editor</t>
  </si>
  <si>
    <t>Revista internationala Asian Research Journal of Arts &amp; Social Sciences</t>
  </si>
  <si>
    <t>https://www.journalarjass.com/index.php/ARJASS/about/editorialTeam</t>
  </si>
  <si>
    <t>MAg Alina</t>
  </si>
  <si>
    <t>Revista internationala World Journal of Educational Research</t>
  </si>
  <si>
    <t>http://www.scholink.org/ojs/index.php/wjer/about/editorialTeam</t>
  </si>
  <si>
    <t>Revista internationala ASIAN JOURNAL OF EDUCATION AND TRAINING</t>
  </si>
  <si>
    <t>http://www.asianonlinejournals.com/index.php/EDU/about/editorialTeam</t>
  </si>
  <si>
    <t xml:space="preserve">Revista internationala International Journal of Higher Education </t>
  </si>
  <si>
    <t>http://www.sciedupress.com/journal/index.php/ijhe/about/editorialTeam</t>
  </si>
  <si>
    <t>Revista internationala Psychology Research</t>
  </si>
  <si>
    <t>http://www.davidpublisher.org/index.php/Home/Journal/detail?journalid=39&amp;jx=pr&amp;cont=editorial</t>
  </si>
  <si>
    <t>International Journal of Educational Policy Research and Review</t>
  </si>
  <si>
    <t>https://journalissues.org/ijeprr/indexing/</t>
  </si>
  <si>
    <t>https://uav.ro/jour/index.php/jpe/index</t>
  </si>
  <si>
    <t>20.10.2020</t>
  </si>
  <si>
    <t>Bucuță Mihaela Dana</t>
  </si>
  <si>
    <t>Community Mental Health Journal</t>
  </si>
  <si>
    <t>https://www.scijournal.org/impact-factor-of-community-ment-health-j.shtml</t>
  </si>
  <si>
    <t>25.05.2020                  re-review:25.10.2020</t>
  </si>
  <si>
    <t>Contemporary Family Therapy (COFT)</t>
  </si>
  <si>
    <t>https://www.scimagojr.com/journalsearch.php?q=13414&amp;tip=sid</t>
  </si>
  <si>
    <t>31.05.2020</t>
  </si>
  <si>
    <t>4 TH EASTERN EUROPEAN CONFERENCE OF MENTAL HEALTH - IN AND OUT OF YOUR MIND</t>
  </si>
  <si>
    <t>https://www.mhasee.org/conference2020</t>
  </si>
  <si>
    <t>10.11.2020</t>
  </si>
  <si>
    <t>12.11.2020</t>
  </si>
  <si>
    <t>14.11.2020</t>
  </si>
  <si>
    <t>15.11.2020</t>
  </si>
  <si>
    <t>13 th International Conference on
MODERN RESEARCH IN PSYCHOLOGY
November 2020, Sibiu, Romania</t>
  </si>
  <si>
    <t xml:space="preserve">http://www.multidisciplinary-research.com/ </t>
  </si>
  <si>
    <t>15/09/2020/21/13</t>
  </si>
  <si>
    <t>04/10/2020/13:01</t>
  </si>
  <si>
    <t>20/10/2020/09:14</t>
  </si>
  <si>
    <t>ANTHROPOLOGICAL RESEARCHES AND STUDIES(ISSN 2360-3445; ISSN-L 2360-3445)/
STUDII ȘI CERCETĂRI DE ANTROPOLOGIE(ISSN 2344-2824; ISSN-L 0039-3886)</t>
  </si>
  <si>
    <t>https://www.journalstudiesanthropology.ro/en/home.html</t>
  </si>
  <si>
    <t>20.03.2020</t>
  </si>
  <si>
    <t>Experimental and Therapeutic Medicine</t>
  </si>
  <si>
    <t>https://www.spandidos-publications.com/etm</t>
  </si>
  <si>
    <t>20.05.2020</t>
  </si>
  <si>
    <t>Sumedrea Alin Gilbert</t>
  </si>
  <si>
    <t>MODERN RESEARCH IN PSYCHOLOGY 14-th EDITION</t>
  </si>
  <si>
    <t>C. Moșoiu</t>
  </si>
  <si>
    <t>Prospecting advanced research in Health, Education and Social Sciences</t>
  </si>
  <si>
    <t>http://www.multidisciplinary-research.com/index.php?opt=organizare</t>
  </si>
  <si>
    <t>26.10.2020</t>
  </si>
  <si>
    <t>Corneliu Moșoiu</t>
  </si>
  <si>
    <t>Prospecting advanced research in Health, Education and Social Sciences, Sibiu / Hermannstadt, Romania, November 20 to 22, 2020.</t>
  </si>
  <si>
    <t>International Journal of Qualitative Methods, Indexata Clarivate Analytics: Social Science Citation Index</t>
  </si>
  <si>
    <t>https://publons.com/journal/39789/international-journal-of-qualitative-methods</t>
  </si>
  <si>
    <t>GABRIELA MARCU</t>
  </si>
  <si>
    <t>Sustainability (MDPI)</t>
  </si>
  <si>
    <r>
      <rPr>
        <rFont val="Times New Roman"/>
        <color rgb="FF000000"/>
        <sz val="11.0"/>
      </rPr>
      <t>MODERN RESEARCH IN PSYCHOLOGY – 13</t>
    </r>
    <r>
      <rPr>
        <rFont val="Times New Roman"/>
        <color rgb="FF000000"/>
        <sz val="11.0"/>
        <vertAlign val="superscript"/>
      </rPr>
      <t>th</t>
    </r>
    <r>
      <rPr>
        <rFont val="Times New Roman"/>
        <color rgb="FF000000"/>
        <sz val="11.0"/>
      </rPr>
      <t> edition. Prospecting advanced research in Health,
Education and Social Sciences</t>
    </r>
  </si>
  <si>
    <t>http://multidisciplinary-research.com/</t>
  </si>
  <si>
    <t>11.10.2020</t>
  </si>
  <si>
    <t>MODERN RESEARCH IN PSYCHOLOGY – 13th edition. Prospecting advanced research in Health,
Education and Social Sciences</t>
  </si>
  <si>
    <t>29.10.2020</t>
  </si>
  <si>
    <t>Division 52, APA Convention,,USA</t>
  </si>
  <si>
    <t>http://www.apa.org</t>
  </si>
  <si>
    <t>Division 15, APA Convention,,USA</t>
  </si>
  <si>
    <t>http://www.epia.ro</t>
  </si>
  <si>
    <t>Local Government Studies</t>
  </si>
  <si>
    <t>https://www.tandfonline.com/toc/flgs20/current</t>
  </si>
  <si>
    <t>http://site.magazines.ulbsibiu.ro/studiasecuritatis/?page_id=70</t>
  </si>
  <si>
    <t>Bulletin of Taras Shevchenko National University of Kyiv. Economics.</t>
  </si>
  <si>
    <t>http://bulletin-econom.univ.kiev.ua/editorial-board/our-peer-reviewers</t>
  </si>
  <si>
    <t>UNIVERSITAS EUROPAEA:
TOWARDS A KNOWLEDGE-BASED SOCIETY
THROUGH EUROPEANISATION AND GLOBALISATION</t>
  </si>
  <si>
    <t>Lex Localis</t>
  </si>
  <si>
    <t>http://pub.lex-localis.info/index.php/LexLocalis, WoS</t>
  </si>
  <si>
    <t>http://socialchangereview.ro/, EBSCO: DOAJ; CEEOL</t>
  </si>
  <si>
    <t>iulie</t>
  </si>
  <si>
    <t>Central European Journal of Public Policy</t>
  </si>
  <si>
    <t>https://sciendo.com/journal/cejpp, SCOPUS</t>
  </si>
  <si>
    <t>Children and Youth Services Review</t>
  </si>
  <si>
    <t>https://www.journals.elsevier.com/children-and-youth-services-review</t>
  </si>
  <si>
    <t>21 oct. 2020
27 nov. 2020
02 dec. 2020</t>
  </si>
  <si>
    <t>Journal of Child and Family Studies</t>
  </si>
  <si>
    <t>https://www.springer.com/journal/10826</t>
  </si>
  <si>
    <t>29 februrie 2020
28 aprilie 2020
25 iulie 2020
19 octombrie 2020
17 noiembrie 2020</t>
  </si>
  <si>
    <t>https://journals.sagepub.com/description/sgo</t>
  </si>
  <si>
    <t>25 mai 2020
25 ocotmbrie 2020</t>
  </si>
  <si>
    <t>3.12.2020</t>
  </si>
  <si>
    <t>Eastern Journal of European Studies (EJES)</t>
  </si>
  <si>
    <t>https://ejes.uaic.ro</t>
  </si>
  <si>
    <t>24.06.2020</t>
  </si>
  <si>
    <t>http://socialchangereview.ro</t>
  </si>
  <si>
    <t>24.02.2020</t>
  </si>
  <si>
    <t>ISPRS International Journal of Geo-Information</t>
  </si>
  <si>
    <t>http://www.mdpi.com/journal/ijgi/</t>
  </si>
  <si>
    <t>23.07.2020</t>
  </si>
  <si>
    <t>https://content.sciendo.com/view/journals/scr/scr-overview.xml</t>
  </si>
  <si>
    <t>FFSU</t>
  </si>
  <si>
    <t>International Sociology (ISI IF=1,242)</t>
  </si>
  <si>
    <t>https://journals.sagepub.com/home/iss</t>
  </si>
  <si>
    <t>Social Change Review (CEEOL, DOAJ, EBSCO, RePeC)</t>
  </si>
  <si>
    <t>http://socialchangereview.ro/</t>
  </si>
  <si>
    <t>iunie, noiembrie, 2020</t>
  </si>
  <si>
    <t>Glasul Bisericii</t>
  </si>
  <si>
    <t>http://www.glasulbisericii.ro/revista/recenzenti-externi/</t>
  </si>
  <si>
    <t>International Journal of Geo-Information</t>
  </si>
  <si>
    <t>https://www.mdpi.com/2220-9964/10/2/49/htm</t>
  </si>
  <si>
    <t>7.11.2020</t>
  </si>
  <si>
    <t xml:space="preserve">Lup Oana </t>
  </si>
  <si>
    <t>http://socialchangereview.ro/index.php/SCR</t>
  </si>
  <si>
    <t xml:space="preserve">European Societies </t>
  </si>
  <si>
    <t>https://revistasaeculum1943.wordpress.com/saeculum-ro-2/</t>
  </si>
  <si>
    <t>JOLIE</t>
  </si>
  <si>
    <t>jolie.uab.ro</t>
  </si>
  <si>
    <t>Popa Adela</t>
  </si>
  <si>
    <t>Supportive Care in Cancer</t>
  </si>
  <si>
    <t>https://www.springer.com/journal/520</t>
  </si>
  <si>
    <t>Scandinavian Journal of Public Health</t>
  </si>
  <si>
    <t>https://journals.sagepub.com/home/sjp</t>
  </si>
  <si>
    <t>British Journal of Guidance &amp; Counseling</t>
  </si>
  <si>
    <t>https://www.tandfonline.com/toc/cbjg20/current</t>
  </si>
  <si>
    <t>14.06.2020</t>
  </si>
  <si>
    <t>Internatonal Sociology</t>
  </si>
  <si>
    <t>29.05.2020</t>
  </si>
  <si>
    <t>Romanian Journal of Sociological Studeis</t>
  </si>
  <si>
    <t>https://journalofsociology.ro/</t>
  </si>
  <si>
    <t>09.06.2020</t>
  </si>
  <si>
    <t>Politics, Religion &amp; Ideology</t>
  </si>
  <si>
    <t>https://www.tandfonline.com/toc/ftmp21/current</t>
  </si>
  <si>
    <t>aprilie 2020</t>
  </si>
  <si>
    <t>Intersections. East European Journal of Society and Politics</t>
  </si>
  <si>
    <t>https://intersections.tk.mta.hu/index.php/intersections</t>
  </si>
  <si>
    <t>aprilie și iulie 2020</t>
  </si>
  <si>
    <t>Emotions and Society</t>
  </si>
  <si>
    <t>https://bristoluniversitypress.co.uk/journals/emotions-and-society</t>
  </si>
  <si>
    <t>august. 2020</t>
  </si>
  <si>
    <t>Human Arenas</t>
  </si>
  <si>
    <t>https://www.springer.com/journal/42087</t>
  </si>
  <si>
    <t>decembrie 2020</t>
  </si>
  <si>
    <t>Journal of Romanian Studies</t>
  </si>
  <si>
    <t>https://www.ibidem.eu/en/zeitschriften/jrs.html</t>
  </si>
  <si>
    <t>februarie 2020</t>
  </si>
  <si>
    <t>Journal of Geography, Politics and Society</t>
  </si>
  <si>
    <t>https://www.ejournals.eu/JGPS/</t>
  </si>
  <si>
    <t>Omega-Journal of Death and Dying</t>
  </si>
  <si>
    <t>https://journals.sagepub.com/home/ome</t>
  </si>
  <si>
    <t>Review of Religious Research</t>
  </si>
  <si>
    <t>https://www.springer.com/journal/13644</t>
  </si>
  <si>
    <t>Millennium: Journal of International Studies</t>
  </si>
  <si>
    <t>https://journals.sagepub.com/home/mil</t>
  </si>
  <si>
    <t>iulie și decembrie 2020</t>
  </si>
  <si>
    <t>Journal of Historical Geography</t>
  </si>
  <si>
    <t>https://www.journals.elsevier.com/journal-of-historical-geography</t>
  </si>
  <si>
    <t>octombrie 2020</t>
  </si>
  <si>
    <t>Cypriot Journal of Educational Sciences</t>
  </si>
  <si>
    <t>http://www.cjes.eu/</t>
  </si>
  <si>
    <t>septembrie 2020</t>
  </si>
  <si>
    <t>9 nov. 2020</t>
  </si>
  <si>
    <t>ANTHROPOLOGICAL RESEARCHES AND STUDIES</t>
  </si>
  <si>
    <t>Social change review</t>
  </si>
  <si>
    <t>International Migration and Integration</t>
  </si>
  <si>
    <t>https://www.springer.com/journal/12134</t>
  </si>
  <si>
    <t>Geoforum</t>
  </si>
  <si>
    <t>https://www.journals.elsevier.com/geoforum</t>
  </si>
  <si>
    <t>American Journal of Sociology</t>
  </si>
  <si>
    <t>https://www.journals.uchicago.edu/toc/ajs/current</t>
  </si>
  <si>
    <t>nov 2020</t>
  </si>
  <si>
    <t>I16 - Organizator principal / Membru în comitetul organizatoric al unei conferinţe internaţionale / naţionale</t>
  </si>
  <si>
    <t>Calitatea de membru în comitetul de organizare se dovedeşte prin lista comitetului organizatoric publicată pe site-ul conferinţei.</t>
  </si>
  <si>
    <r>
      <rPr>
        <rFont val="Arial Narrow"/>
        <b/>
        <color rgb="FF000000"/>
        <sz val="10.0"/>
      </rPr>
      <t xml:space="preserve">O conferinţă este considerată internaţională </t>
    </r>
    <r>
      <rPr>
        <rFont val="Arial Narrow"/>
        <color rgb="FF000000"/>
        <sz val="10.0"/>
      </rPr>
      <t>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 programul ştiinţific este publicat în format tipărit sau electronic într-o limbă străină de circulaţie internaţională; 
(d) lucrările conferinţei sunt desfăşurate exclusiv într-o limbă străină de circulaţie internaţională; 
(e) peste 25% sau 25 de participanţii cu lucrări înscrise în programul ştiinţific al conferinţei au afiliere instituţională în străinătate.
Conferinţă care nu îndeplineşte criteriile minimale pentru a fi încadrata astfel are statutul de</t>
    </r>
    <r>
      <rPr>
        <rFont val="Arial Narrow"/>
        <b/>
        <color rgb="FF000000"/>
        <sz val="10.0"/>
      </rPr>
      <t xml:space="preserve"> conferinţă naţională. </t>
    </r>
    <r>
      <rPr>
        <rFont val="Arial Narrow"/>
        <color rgb="FF000000"/>
        <sz val="10.0"/>
      </rPr>
      <t>Criterii pentru conferinţa naţională, cel puţin: pagina web; program ştiinţific; volum al conferintei.</t>
    </r>
  </si>
  <si>
    <r>
      <rPr>
        <rFont val="Arial Narrow"/>
        <b/>
        <color rgb="FF000000"/>
        <sz val="10.0"/>
      </rPr>
      <t>*Punctaj de referință:</t>
    </r>
    <r>
      <rPr>
        <rFont val="Arial Narrow"/>
        <color rgb="FF000000"/>
        <sz val="10.0"/>
      </rPr>
      <t xml:space="preserve">
• 100 puncte / conferinţă internaţională, în calitate de organizator principal
• 50 puncte / conferinţă internaţională, în calitate de membru în comitetul organizatoric
• 50 puncte / conferinţă naţională, în calitate de organizator principal
• 25 puncte / conferinţă naţională, în calitate de membru în organizatoric
Plafoane maxime anual:
• 100 puncte / declarant</t>
    </r>
  </si>
  <si>
    <t xml:space="preserve">Denumirea conferinței </t>
  </si>
  <si>
    <t>Tipul conferinței 
(internațională / națională)</t>
  </si>
  <si>
    <t>Site-ul conferinței</t>
  </si>
  <si>
    <t>Funcția în cadrul comitetului organizatoric (organizator principal sau membru)</t>
  </si>
  <si>
    <t>Data conferinței</t>
  </si>
  <si>
    <t>SESIUNEA NAȚIONALĂ DE COMUNICĂRI ȘTIINȚIFICE: Sub semnul lui Clio, 
ediţia a XVI-a,2020, Facultatea de Științe Socio-Umane, Departamentul de Istorie, Patrimoniu și Teologie Protestantă</t>
  </si>
  <si>
    <t>națională</t>
  </si>
  <si>
    <t>https://socioumane.ulbsibiu.ro/dep.iptp</t>
  </si>
  <si>
    <t>membru</t>
  </si>
  <si>
    <t>20 noiembrie 2020</t>
  </si>
  <si>
    <t>Ioniță Alexandru</t>
  </si>
  <si>
    <t xml:space="preserve">Simpozionul anual al Uniunii Bibliștilor din România: „Scriptura și autoritatea Scripturii astăzi” </t>
  </si>
  <si>
    <t>http://aubr.ro/simpozion-2020-scriptura-si-autoritatea-scripturii-astazi/</t>
  </si>
  <si>
    <t>28.02.2020</t>
  </si>
  <si>
    <t>Neoliticul și eneoliticul în centrul Europei/The Neolithic and The Aeneolithic in Central Europe</t>
  </si>
  <si>
    <t>Internațională</t>
  </si>
  <si>
    <t>https://www.brukenthalmuseum.ro/ro/stire/798</t>
  </si>
  <si>
    <t>Președinte comitet organizare</t>
  </si>
  <si>
    <t>6-7 noiembrie 2020</t>
  </si>
  <si>
    <t xml:space="preserve">Interethnic Relations in Transylvania. Medieval Patrimony and the history of central and South-Eastern Europe </t>
  </si>
  <si>
    <t xml:space="preserve">Conferința Internațională </t>
  </si>
  <si>
    <t>http://www.dri.gov.ro/w/conferinta-internationala-relatii-interetnice-in-transilvania-localnici-vecini-prieteni-si-inamici-medievali/</t>
  </si>
  <si>
    <t>15 - 18 octombrie 2020</t>
  </si>
  <si>
    <t>Națională</t>
  </si>
  <si>
    <t>https://socioumane.ulbsibiu.ro/dep.iptp/clio.html</t>
  </si>
  <si>
    <t>Organizator principal</t>
  </si>
  <si>
    <t>20 noiembrie</t>
  </si>
  <si>
    <t>Noi provocări în știinţele socio-umane la începutul mileniului III, ediția a III-a (online)</t>
  </si>
  <si>
    <t>https://socioumane.ulbsibiu.ro/studenti/conferinta-studenteasca/</t>
  </si>
  <si>
    <t>Membru în comitetul de organizare</t>
  </si>
  <si>
    <t>5 iunie</t>
  </si>
  <si>
    <t>internațională</t>
  </si>
  <si>
    <t>organizator principal</t>
  </si>
  <si>
    <t>26-30 august 2020</t>
  </si>
  <si>
    <t>TUdorie Anamaria</t>
  </si>
  <si>
    <t>Membru în comitetul științic și Membru în comitetul de organizare</t>
  </si>
  <si>
    <t>5 iunie 2020</t>
  </si>
  <si>
    <t>The 6th International Non-Formal Education Conference</t>
  </si>
  <si>
    <t>Internationala</t>
  </si>
  <si>
    <t>http://site.conferences.ulbsibiu.ro/inec/en/</t>
  </si>
  <si>
    <t>Oct. 2020</t>
  </si>
  <si>
    <t>The 6th International Nonformal Education Conference INEC 2020</t>
  </si>
  <si>
    <t>membru in comitetul organizatoric</t>
  </si>
  <si>
    <t>10.10.2020</t>
  </si>
  <si>
    <t>THE INTERNATIONAL CONFERENCE
Didactics: past, present and future perspectives</t>
  </si>
  <si>
    <t>http://www.didactica-alba.org/wp-content/uploads/2021/02/Organizatori-%E2%80%93-The-international-conference.htm</t>
  </si>
  <si>
    <t>15 – 16 MAI 2020 la CHIȘINĂU
22 – 23 MAI 2020 la ALBA IULIA</t>
  </si>
  <si>
    <t>Alternative educaționale Un alt fel de școală</t>
  </si>
  <si>
    <t>oganizator principal</t>
  </si>
  <si>
    <t>17 .10.2020</t>
  </si>
  <si>
    <t xml:space="preserve">Ionescu Alina Geanina
</t>
  </si>
  <si>
    <t>Simpozionul „Zilele Francisc I Rainer” 2020, Antropologie și Tradiții, Biblioteca Academiei Române, București</t>
  </si>
  <si>
    <t>Simpozion Național</t>
  </si>
  <si>
    <t>https://antropology.ro/doc/2020/RAINER%202020%20B%20-%20(9)%20COMITET%20ORGANIZARE%20vf.pdf</t>
  </si>
  <si>
    <t>Membru în Comitetul de organizare</t>
  </si>
  <si>
    <t>Ionescu Alina</t>
  </si>
  <si>
    <t xml:space="preserve">Ionescu Alina Geanina
</t>
  </si>
  <si>
    <t>Conferința ANTHROPOLOGY OF COMMUNICATION SIBIU Theosophy, Cybernetics Knowledge</t>
  </si>
  <si>
    <t>Conferință națională</t>
  </si>
  <si>
    <t>https://lobbyart-anthropology.ro/Anthropology--and--Communication.php</t>
  </si>
  <si>
    <t>Membru în Comitetul de organizare_dovadă atașată</t>
  </si>
  <si>
    <t>Conferința Națională PIPP -Alternative educaționale, ULBS, Sibiu 2020, online</t>
  </si>
  <si>
    <t>https://sites.google.com/ulbsibiu.ro/conferintapipp/comitet-de-organizare?authuser=0</t>
  </si>
  <si>
    <t>17 octombrie 2020</t>
  </si>
  <si>
    <t>Conferinţa Naţională PIPP - Ediţia a V-a
 Alternative educaționale. Un alt fel de școală</t>
  </si>
  <si>
    <t>nationala</t>
  </si>
  <si>
    <t>membru - comitet de organizare</t>
  </si>
  <si>
    <t>17.10.2020</t>
  </si>
  <si>
    <t>Alina Mag</t>
  </si>
  <si>
    <t>internationala</t>
  </si>
  <si>
    <t>10 octombrie 2020</t>
  </si>
  <si>
    <t xml:space="preserve">Conferinta nationala PIPP - Editia a Va. Alternative Educationale. Un alt fel de scoala </t>
  </si>
  <si>
    <t>https://sites.google.com/ulbsibiu.ro/conferintapipp</t>
  </si>
  <si>
    <t>Alternative educationale - Un alt fel de scoala</t>
  </si>
  <si>
    <t>17 oct 20202</t>
  </si>
  <si>
    <t>Conferința Națională Alternative educaționale - Un alt fel de școală</t>
  </si>
  <si>
    <t>https://sites.google.com/ulbsibiu.ro/conferintapipp/comitet-de-organizare</t>
  </si>
  <si>
    <t>Membru</t>
  </si>
  <si>
    <t xml:space="preserve"> 17 octombrie 2020</t>
  </si>
  <si>
    <t xml:space="preserve">Conferinţa Naţională PIPP - Ediţia a V-a
 Alternative educaționale. Un alt fel de școală
</t>
  </si>
  <si>
    <t xml:space="preserve">                 Sima Mihai</t>
  </si>
  <si>
    <t xml:space="preserve">     FSSU7</t>
  </si>
  <si>
    <t xml:space="preserve">      "In and out of your mind"</t>
  </si>
  <si>
    <t xml:space="preserve">       Internațională</t>
  </si>
  <si>
    <t>https://mhasee.ro/</t>
  </si>
  <si>
    <t>26-29 sept.2019</t>
  </si>
  <si>
    <t>Draghici Aurelia</t>
  </si>
  <si>
    <r>
      <rPr>
        <rFont val="Times New Roman"/>
        <b/>
        <color rgb="FF000000"/>
        <sz val="11.0"/>
      </rPr>
      <t>Conferinței Naționale a Tinerilor cu Scleroză multiplă</t>
    </r>
    <r>
      <rPr>
        <rFont val="Times New Roman"/>
        <color rgb="FF000000"/>
        <sz val="11.0"/>
      </rPr>
      <t>, 30 – 31 octombrie 2020, online</t>
    </r>
  </si>
  <si>
    <t>conferinta nationala</t>
  </si>
  <si>
    <t>https://www.afectiuni-neurodegenerative.ro/conferinta-nationala-tineri-cu-scleroza-multipla-2020/</t>
  </si>
  <si>
    <t>30 – 31 octombrie 2020</t>
  </si>
  <si>
    <t xml:space="preserve">Bucuță Mihaela </t>
  </si>
  <si>
    <t>www.mhasee.ro</t>
  </si>
  <si>
    <t>Membru în comitetul științific</t>
  </si>
  <si>
    <t>VIRTUAL 19 – 22 NOVEMBER 2020</t>
  </si>
  <si>
    <t>20-22 nov 2020</t>
  </si>
  <si>
    <t xml:space="preserve">internaționala </t>
  </si>
  <si>
    <t>http://www.mhasee.ro/</t>
  </si>
  <si>
    <t xml:space="preserve">Sumedrea Cristian </t>
  </si>
  <si>
    <t>MODERN RESEARCH IN PSYCHOLOGY -13th edition. Prospecting advanced research in Health, Education and Social Sciences</t>
  </si>
  <si>
    <t>http://www.multidisciplinary-research.com/index.php?opt=home&amp;titlu=home</t>
  </si>
  <si>
    <t xml:space="preserve">Membru </t>
  </si>
  <si>
    <t>20-22.11.2020</t>
  </si>
  <si>
    <t>Sumedrea Cristian</t>
  </si>
  <si>
    <t>4th Eastern European Conference of Mental Health "IN AND OUT OF YOUR MIND"</t>
  </si>
  <si>
    <t>19-22.11.2020</t>
  </si>
  <si>
    <t>20-22/11/2020</t>
  </si>
  <si>
    <t>4th EASTERN EUROPEAN CONFERENCE ON MENTAL HEALTH "IN AND OUT OF YOUR MIND"</t>
  </si>
  <si>
    <t>https://de15e980-585d-48fd-ad8e-a61b65384d58.filesusr.com/ugd/c96ce8_9005ad342d2242228f8c09e499e94ae0.pdf</t>
  </si>
  <si>
    <t>19-22/11/2020</t>
  </si>
  <si>
    <t xml:space="preserve">4 TH EASTERN EUROPEAN CONFERENCE OF MENTAL HEALTH - IN AND OUT OF YOUR MIND </t>
  </si>
  <si>
    <t xml:space="preserve">Internațională </t>
  </si>
  <si>
    <t>19-22 Noiembrie</t>
  </si>
  <si>
    <t>Corneliu Mosoiu</t>
  </si>
  <si>
    <t xml:space="preserve">Man Gabriela-Maria </t>
  </si>
  <si>
    <t xml:space="preserve">Conferință Studentească </t>
  </si>
  <si>
    <t>membru în comitetul de organizare</t>
  </si>
  <si>
    <t>Brate Adrian Tudor</t>
  </si>
  <si>
    <t>4th EASTERN EUROPEAN CONFERENCE OF MENTAL HEALTH, SIBIU, ROMANIA, NOVEMBER 19-22, 2020</t>
  </si>
  <si>
    <t>19-22 noiembrie 2020</t>
  </si>
  <si>
    <t>MODERN RESEARCH IN PSYCHOLOGY – 13th edition
 Prospecting advanced research in Health,
 Education and Social Sciences.
  Sibiu / Hermannstadt, Romania, November 20-22, 2020.</t>
  </si>
  <si>
    <t>20-22 noiembrie 2020</t>
  </si>
  <si>
    <t>Aplicaţii practice în dezvoltarea psihologiei
Asociaţia pentru Dezvoltarea Psihologiei SMART PSI</t>
  </si>
  <si>
    <t>naţională</t>
  </si>
  <si>
    <t xml:space="preserve">www.smartpsi.ro </t>
  </si>
  <si>
    <t>membru în comitetul de organizare, organizator workshop</t>
  </si>
  <si>
    <t>21-22 noiembrie 2020</t>
  </si>
  <si>
    <t>RAULEA CIPRIAN</t>
  </si>
  <si>
    <t>Modern Research in Psychology -13th edition, Prospecting advanced research in Health, Education and Social Sciences</t>
  </si>
  <si>
    <t>http://www.multidisciplinary-research.com</t>
  </si>
  <si>
    <t>20-22 Noiembrie 2020</t>
  </si>
  <si>
    <t>Antreprenoriatul - o provocare pentru Psihologia I/O</t>
  </si>
  <si>
    <t>internaţională</t>
  </si>
  <si>
    <t>http://conferinta.apio.ro/?page_id=446</t>
  </si>
  <si>
    <t>membru în comitetul de științific</t>
  </si>
  <si>
    <t>27-29 noiembrie 2020</t>
  </si>
  <si>
    <t>4th Eastern European Conference of Mental Health “In and Out of Your Mind”</t>
  </si>
  <si>
    <t>Virtual, 19 – 22 November 2020</t>
  </si>
  <si>
    <t>Political and Economical self-constitution: Citizenship Identity and Education</t>
  </si>
  <si>
    <t>http://idn.org.rs/en/blog/2020/11/23/politicko-i-ekonomsko-samo-konstituisanje-mediji-politicka-kultura-i-demokratija/</t>
  </si>
  <si>
    <t>international</t>
  </si>
  <si>
    <t>memebru in comitetul local de organizare</t>
  </si>
  <si>
    <t>Marius Șpechea</t>
  </si>
  <si>
    <t xml:space="preserve"> “The Impact of the Nagorno-Karabakh Armistice Agreement on the South Caucasus. Future Scenarios for Security, Economy and Social Developments”. </t>
  </si>
  <si>
    <t>https://centers.ulbsibiu.ro/csg/index.php/general-info/</t>
  </si>
  <si>
    <t>membru https://centers.ulbsibiu.ro/csg/index.php/nk_int_conference/organising-committee/</t>
  </si>
  <si>
    <t>ICASHSI 2021: 15. International Conference on Administrative Science, Human Security and Immigration</t>
  </si>
  <si>
    <t>https://waset.org/administrative-science-human-security-and-immigration-conference-in-april-2021-in-athens</t>
  </si>
  <si>
    <t xml:space="preserve">membru  https://waset.org/committees/law-and-political-sciences                   https://publications.waset.org/profile/4753795994 </t>
  </si>
  <si>
    <t>08-09 Aprilie 2021</t>
  </si>
  <si>
    <t>The Impact of the Nagorno-Karabakh Armistice Agreement on the South Caucasus. Future Scenarios for Security, Economy and Social Developments</t>
  </si>
  <si>
    <t>4-th Eastern European Conference of Menthal Health. In and Out of Your Mind</t>
  </si>
  <si>
    <t>19- 22 noiembrie 2020</t>
  </si>
  <si>
    <t>Conferința Națională Studențească: Noi provocări în științele socio-umane la începutul mileniului III</t>
  </si>
  <si>
    <t>Prima conferință a proiectului CRCMIS - CENTRUL ROMÂN DE CERCETARE A MIGRAȚIEI ȘI INCLUZIUNII SOCIALE.</t>
  </si>
  <si>
    <t xml:space="preserve">nationala </t>
  </si>
  <si>
    <t>http://migrationcenter.ro/wp/wp-content/uploads/2021/01/Agenda-conferinta-nationala-CRCMIS.pdf</t>
  </si>
  <si>
    <t>Organizator</t>
  </si>
  <si>
    <t xml:space="preserve">05 – 06 noiembrie 2020 </t>
  </si>
  <si>
    <t>A doua conferință a proiectului CRCMIS - CENTRUL ROMÂN DE CERCETARE A MIGRAȚIEI ȘI INCLUZIUNII SOCIALE.</t>
  </si>
  <si>
    <t>http://migrationcenter.ro/wp/wp-content/uploads/2021/01/Agenda-conferinta-CRCMIS-II.pdf</t>
  </si>
  <si>
    <t xml:space="preserve">10 – 11 decembrie 2020 </t>
  </si>
  <si>
    <t>56. Linguistisches Kolloquium</t>
  </si>
  <si>
    <t>https://sites.google.com/view/lingcoll/de/call-for-papers-de</t>
  </si>
  <si>
    <t>26-28.11.2020</t>
  </si>
  <si>
    <t>New Challenges in the Social Sciences and Humanities at the Beginning of the 3rd Millennium</t>
  </si>
  <si>
    <t>Natională</t>
  </si>
  <si>
    <t>The 4th International Conference Antropology of Communication</t>
  </si>
  <si>
    <t xml:space="preserve">Anthropology of communication. Theosophy, Cybernetics, &amp;Knowledge. Proceedings of 5th International Conference, Sibiu, September, 2020, Editura Astra Museum, Sibiu,ISBN978-606-733-290-2 </t>
  </si>
  <si>
    <t>Membru comitetul organizatoric</t>
  </si>
  <si>
    <t xml:space="preserve">Morândău, Felicia </t>
  </si>
  <si>
    <t>4-th Eastern European Conference of Mental Health. In and Out of Your Mind</t>
  </si>
  <si>
    <t>19-22 November, 2020</t>
  </si>
  <si>
    <t>Conferința științifică studențească națională - Noi provocări în științele socio-umane la începutul mileniului III
Ediția a III-a</t>
  </si>
  <si>
    <t>Conferința „Rolul relațiilor industriale în gestionarea reîntoarcerii la muncă a angajaților cu afecțiuni cronice”, Centrul pentru Cercetare Socială, ULBS, Sibiu</t>
  </si>
  <si>
    <t>http://centers.ulbsibiu.ro/csr/noutati/default.html</t>
  </si>
  <si>
    <t>14-15.01.2020</t>
  </si>
  <si>
    <t>4th Eastern European Conference of Mental Health „In and aut of your mind”</t>
  </si>
  <si>
    <t>Social Europe Days</t>
  </si>
  <si>
    <t>https://mahara.hm.edu/view/view.php?id=26149</t>
  </si>
  <si>
    <t>11-14.05.2020</t>
  </si>
  <si>
    <t>Anthropology of Communication</t>
  </si>
  <si>
    <t xml:space="preserve">https://lobbyart-anthropology.ro/Anthropology--and--Communication.php </t>
  </si>
  <si>
    <t>sept.2020</t>
  </si>
  <si>
    <t>I17 - Proiecte derulate cu terţii în evidenţa financiară a ULBS</t>
  </si>
  <si>
    <r>
      <rPr>
        <rFont val="arial narrow"/>
        <color rgb="FF000000"/>
        <sz val="10.0"/>
      </rPr>
      <t>Se iau în calcul doar proiectele pentru care există la</t>
    </r>
    <r>
      <rPr>
        <rFont val="Arial Narrow"/>
        <color rgb="FF000000"/>
        <sz val="10.0"/>
      </rPr>
      <t xml:space="preserve"> Serviciul CDI / CTC-HPI ULBS</t>
    </r>
    <r>
      <rPr>
        <rFont val="Arial Narrow"/>
        <color rgb="FFDD0806"/>
        <sz val="10.0"/>
      </rPr>
      <t xml:space="preserve"> </t>
    </r>
    <r>
      <rPr>
        <rFont val="Arial Narrow"/>
        <color rgb="FF000000"/>
        <sz val="10.0"/>
      </rPr>
      <t xml:space="preserve">o copie a contractului de colaborare, precum şi o copie a raportului anual de activitate. </t>
    </r>
  </si>
  <si>
    <t>Evidenţa financiară a proiectelor se face pe baza listei sumelor încasate de la Serviciul Financiar Contabil ULBS.</t>
  </si>
  <si>
    <r>
      <rPr>
        <rFont val="Arial Narrow"/>
        <b/>
        <color theme="1"/>
        <sz val="10.0"/>
      </rPr>
      <t>*Punctaj de referință:</t>
    </r>
    <r>
      <rPr>
        <rFont val="Arial Narrow"/>
        <color theme="1"/>
        <sz val="10.0"/>
      </rPr>
      <t xml:space="preserve">
• 100 puncte = pentru referinţă 10.000 lei sume încasate / an. 
Punctajul se acordă directorului de proiect. La decizia directorului, pe baza unei adrese scrise şi semnate, punctajul poate fi împărţit între director şi membrii proiectului. 
Se acceptă şi proiecte cu valoare mai mică sau mai mare de 10.000 lei, cu diminuarea respectiv majorarea proporţională a punctajului. 
În cazul proiectelor multianuale, punctajul anual se acorda proportional cu suma incasata anual.</t>
    </r>
  </si>
  <si>
    <t>Proiectele instituționale (contracte ESAYEP-SEE, POCU, Erasmus+ KA1, contracte FDI, contracte ROSE, proiecte depuse la Primărie, proiecte depuse la Consiliul Județean etc.) nu se raportează.</t>
  </si>
  <si>
    <t>Contractele de sponsorizare nu se iau în considerare la raportarea SIEPAS.</t>
  </si>
  <si>
    <t>Aplicațiile la proiectele de cercetare (inclusiv proiecte Erasmusm+ KA2) se raportează la I18. Nu se raportează niciun fel de proiecte aflate în derulare pentru care aplicația/contractul s-a punctat în anii precedenți la I.18.</t>
  </si>
  <si>
    <t>Plafon maxim anual: 450 puncte / proiect.</t>
  </si>
  <si>
    <t>Denumire proiect</t>
  </si>
  <si>
    <t>Finanțator</t>
  </si>
  <si>
    <t>Director de proiect</t>
  </si>
  <si>
    <t>Durata contractului (lună/an - lună/an)</t>
  </si>
  <si>
    <t xml:space="preserve">Suma contractului </t>
  </si>
  <si>
    <t>Suma încasată în anul de referință</t>
  </si>
  <si>
    <t>*Punctaj de referință</t>
  </si>
  <si>
    <t>Cercetare arheologică pentru autorizarea introducerii sistemului de canalizare menajeră în localitatea Curciu din comuna Dârlos, județul Sibiu</t>
  </si>
  <si>
    <t>Primăria comunei Dârlos, jud. Sibiu</t>
  </si>
  <si>
    <t xml:space="preserve">nr. 3267 / 27.08.2020 </t>
  </si>
  <si>
    <t>Cercetare arheologică în interiorul și exteriorul bisericii parohiale evanghelice din Ruja jud. Sibiu și supraveghere arheologică pe durata execuției lucrarilor de restaurare</t>
  </si>
  <si>
    <t>Parohia Evanghelică Agnita</t>
  </si>
  <si>
    <t>aprilie 2020 - septembrie 2021</t>
  </si>
  <si>
    <t>ULBS - o șansă la învățământul superior, o șansă la integrare, cod: CNFIS – FDI – 2020 – 0430</t>
  </si>
  <si>
    <t>FDI</t>
  </si>
  <si>
    <t xml:space="preserve">Morândău Felicia </t>
  </si>
  <si>
    <t>mai 2020-decembrie 2020</t>
  </si>
  <si>
    <t>310000 lei</t>
  </si>
  <si>
    <t>Morândău, Felicia</t>
  </si>
  <si>
    <t>”ULBS - o șansă la învățământul superior, o șansă la integrare”, cod: CNFIS – FDI – 2020 – 0430</t>
  </si>
  <si>
    <t>CNFIS</t>
  </si>
  <si>
    <t>Morândău ,Felicia</t>
  </si>
  <si>
    <t>„ULBS - o șansă la învățământul superior, o șansă la integrare”, cod: CNFIS – FDI – 2020 – 0430</t>
  </si>
  <si>
    <t xml:space="preserve">I18 - Aplicaţii la competiţii de cercetare </t>
  </si>
  <si>
    <t xml:space="preserve">Aplicaţia la proiect trebuie efectuată în numele ULBS şi trebuie notificată la Serviciul CDI. </t>
  </si>
  <si>
    <t xml:space="preserve">Punctajul se acordă în momentul afişării rezultatului competiţiei – mimin 60% din punctajul maxim. După caz, pot fi ataşate alte dovezi dacă nu există liste cu punctaje afişate. </t>
  </si>
  <si>
    <t xml:space="preserve">Punctajul se acordă directorului de proiect. La decizia directorului, pe baza unei adrese scrise şi semnate, punctajul poate fi împărţit între director şi membrii proiectului, fără a se depăși punctajul maxim admis / aplicație. </t>
  </si>
  <si>
    <t>Proiectul de cercetare-dezvoltare este identificat cel puţin prin următoarele elemente: scopul proiectului, domeniul de cercetare-dezvoltare, obiective, activităţi de cercetare-dezvoltare, perioada de desfăşurare, tipul sursei de finanţare, bugetul proiectului cu precizarea explicită a cheltuielilor cu salariile, categoria rezultatului, caracterul de noutate şi/sau inovativ al rezultatului.</t>
  </si>
  <si>
    <t>Proiectele de mobilitate de tip MC / MCD (https://www.uefiscdi.ro/p1-dezvoltarea-sistemului-national-de-cd) se raporteaza la I17.</t>
  </si>
  <si>
    <t>Proiectele instituționale (contracte ESAYEP-SEE, POCU, Erasmus+ KA1, contracte FDI, contracte ROSE, proiecte depuse la Primărie, proiecte depuse la Consiliul Județean, etc) nu se raportează.</t>
  </si>
  <si>
    <t>Un proiect se punctează o singură dată (aplicația la proiect), nu se punctează proiectele în derulare.</t>
  </si>
  <si>
    <r>
      <rPr>
        <rFont val="Arial Narrow"/>
        <b/>
        <color theme="1"/>
        <sz val="10.0"/>
      </rPr>
      <t>*Punctaj de referință:</t>
    </r>
    <r>
      <rPr>
        <rFont val="Arial Narrow"/>
        <color theme="1"/>
        <sz val="10.0"/>
      </rPr>
      <t xml:space="preserve">
</t>
    </r>
    <r>
      <rPr>
        <rFont val="Arial Narrow"/>
        <b/>
        <color theme="1"/>
        <sz val="10.0"/>
        <u/>
      </rPr>
      <t>Aplicatie la proiecte H2020:</t>
    </r>
    <r>
      <rPr>
        <rFont val="Arial Narrow"/>
        <color theme="1"/>
        <sz val="10.0"/>
      </rPr>
      <t xml:space="preserve">
• În calitate de beneficiar / coordonator = 1000 puncte / aplicatie
• În calitate de partener = 500 puncte / aplicaţie
Se acordă un coeficient de multiplicare de 1.5 pentru proiectele câstigate.
</t>
    </r>
    <r>
      <rPr>
        <rFont val="Arial Narrow"/>
        <b/>
        <color theme="1"/>
        <sz val="10.0"/>
        <u/>
      </rPr>
      <t>Aplicatie la alte proiecte de cercetare (ERASMUS+ şi SEE (doar proiectele de cercetare), PN3, alte proiecte administrate de UEFISCDI, Academia Română, ANCS etc):</t>
    </r>
    <r>
      <rPr>
        <rFont val="Arial Narrow"/>
        <color theme="1"/>
        <sz val="10.0"/>
      </rPr>
      <t xml:space="preserve">
• În calitate de beneficiar = 300 puncte / aplicatie
• În calitate de partener = 100 puncte / aplicaţie
Se acordă un coeficient de multiplicare de 1.5 pentru proiectele câstigate.</t>
    </r>
  </si>
  <si>
    <t>Denumire competiție</t>
  </si>
  <si>
    <t>Calitate ULBS 
(Beneficiar / coordonator)</t>
  </si>
  <si>
    <t>Site www cu rezultatele competiției</t>
  </si>
  <si>
    <t>Data la care s-au afișat rezultatele</t>
  </si>
  <si>
    <t>“Supuși sau cetățeni? Între cens și sufragiu universal: integrarea politică a țăranilor din România (1859-1939)”</t>
  </si>
  <si>
    <t>Programul 4 – Cercetare Fundamentală și de Frontieră – “Proiecte cercetare exploratorie”</t>
  </si>
  <si>
    <t>Beneficiar</t>
  </si>
  <si>
    <t>https://uefiscdi.gov.ro/resource-825837-pce2020_rezultate-finale_stiinte-umaniste.pdf</t>
  </si>
  <si>
    <t>De la zei la Dumnezeu. Arheologia creștinismului la nordul Dunării de Jos</t>
  </si>
  <si>
    <t>PCE2020</t>
  </si>
  <si>
    <t>Coordonator</t>
  </si>
  <si>
    <t>Ioan marian Țiplic</t>
  </si>
  <si>
    <t>Istoria, arheologia și biologia ca instrumente în analizarea evoluției comunităților umane de la preistorie și până în evul mediu timpuriu</t>
  </si>
  <si>
    <t>Florin Curta</t>
  </si>
  <si>
    <t>Duse C.S.</t>
  </si>
  <si>
    <t>Think like a computer</t>
  </si>
  <si>
    <t xml:space="preserve">Erasmus + </t>
  </si>
  <si>
    <t>Duse C.S,</t>
  </si>
  <si>
    <t> Parents help me to know the world - Conscious parenting</t>
  </si>
  <si>
    <t>Enhancing Digital Pedagogy for Learning and Teaching</t>
  </si>
  <si>
    <t>Financial Literacy Education for Roma Women</t>
  </si>
  <si>
    <t>“PROFESSIONAL’S MEDIA EMPOWERMENT TROUGH EDUCATIONAL SUITABILITY”- PROMETHEUS</t>
  </si>
  <si>
    <t>Erasmus+ KA2</t>
  </si>
  <si>
    <t>Partener</t>
  </si>
  <si>
    <t>https://www.erasmusplus.si/wp-content/uploads/2019/09/SKLEP-KA201_2020.pdf</t>
  </si>
  <si>
    <t>Blended Learning through Innovative Tools for
Sustainable and Safety Engineering and Social
Inclusion</t>
  </si>
  <si>
    <t>Cioca Lucian-Ionel</t>
  </si>
  <si>
    <t>https://www.erasmusplus.ro/library/Superior/2020/Rezultate_selectie_KA203_2020.pdf</t>
  </si>
  <si>
    <t>Study Of Religions Towards Intercultural
and Citizenship Education</t>
  </si>
  <si>
    <t>http://www.erasmusplus.it/wp-content/uploads/2014/03/KA201_ESITI_partenariati_strategici_2020.pdf</t>
  </si>
  <si>
    <t>Cooperative Learning for Inclusion in Europe</t>
  </si>
  <si>
    <t>http://www.easyerasmus.com/spanish-national-agency-ka229-results/</t>
  </si>
  <si>
    <t>ELLA - Ein Training zur Förderung der emotionalen und sozialen Kompetenzen mit viruteller Unterstützung</t>
  </si>
  <si>
    <t>ERASMUS+ K2</t>
  </si>
  <si>
    <t>partener</t>
  </si>
  <si>
    <t>05. 08. 2020</t>
  </si>
  <si>
    <t>Trust and Creativity for my future (T4T)</t>
  </si>
  <si>
    <t xml:space="preserve">H2020-SC1-PHE-CORONAVIRUS-2020-2-RTD </t>
  </si>
  <si>
    <t>https://ec.europa.eu/info/funding-tenders/opportunities/portal/screen/opportunities/topic-details/sc1-phe-coronavirus-2020-2c</t>
  </si>
  <si>
    <t>11.08.2020</t>
  </si>
  <si>
    <t>Mihaela BUCUȚĂ, Raluca SASSU, Anamaria CĂTANĂ,
 Anca BEJENARU, Viorica BOBIC, Adrian-Tudor BRATE</t>
  </si>
  <si>
    <t>H2020-SC1-PHE-CORONAVIRUS-2020-2-RTD</t>
  </si>
  <si>
    <t>Director de proiect: prof. Ines Testoni, Universitatea din Padova, Italia; coordonator ULBS Mihaela Bucuță</t>
  </si>
  <si>
    <t>11.08 2020</t>
  </si>
  <si>
    <t>Adrian Brate</t>
  </si>
  <si>
    <t>Anamaria Cătană</t>
  </si>
  <si>
    <t>prof. Ines Testoni, Universitatea din Padova, Italia; coordonator ULBS Mihaela Bucuță</t>
  </si>
  <si>
    <t>Străuțiu Eugen</t>
  </si>
  <si>
    <t>”No Prejudicial Ethnic 
Bullying at school (No-PEB)”</t>
  </si>
  <si>
    <t xml:space="preserve"> ”Rights, Equality and Citizenship Programme 
(REC)” - REC-RDAP-GBV-AG-2020</t>
  </si>
  <si>
    <t>Delia Ștefenel</t>
  </si>
  <si>
    <t>FFSU_3</t>
  </si>
  <si>
    <t>No Prejudicial Ethnic Bullying at school (No-PEB)</t>
  </si>
  <si>
    <t>Rights, Equality and Citizenship Programme (REC)” - REC-RDAP-GBV-AG-2020</t>
  </si>
  <si>
    <t xml:space="preserve">Ștefenel Delia </t>
  </si>
  <si>
    <t xml:space="preserve">https://ec.europa.eu/research/participants/grants/101005327?ticket=ST-106228746-GdPljdWbDx93uhqyewY0PgzVZmWn5JoKn1q8zoFEnXWdnPDs4sTfbpvmVkOh4QkE4UBWxrFLLLUkJzOpxEMvxzu-rS0vSrmBGYCG8uAMPtXpxK-a36IIw6u0Ghoikzpjr6GJCMn0kM6Ak5k9kBk51bUm2k6OXawJyxZU0YJfIpQJoraFVSb1IGRlocnRfUNfmH3l4#!/processes </t>
  </si>
  <si>
    <t>We are Europe: CommUNITY building for social inclusion and sustainable solutions” (UNITY)</t>
  </si>
  <si>
    <t>AMIF-2019-AG-CALL-02</t>
  </si>
  <si>
    <t>https://ec.europa.eu/research/participants/documents/download?documentIds=080166e5d33860c0&amp;appId=PPGMS&amp;rendition=true</t>
  </si>
  <si>
    <t>Guvernare prin cooperare: politică și politici publice privind cooperarea intermunicipală în România (PN-III-P1-1.1-TE-2019-1564, 77,6 puncte)</t>
  </si>
  <si>
    <t>Proiecte de cercetare pentru stimularea tinerelor echipe independente (TE) 2019</t>
  </si>
  <si>
    <t>https://uefiscdi.gov.ro/resource-829160-te2019_rezultate-preliminare_stiinte-sociale.pdf%20</t>
  </si>
  <si>
    <t>Niciodată prea greu de plasat: O perspectivă multi-informator asupra factorilor
care afectează reziliența familiei adoptive</t>
  </si>
  <si>
    <t>Proiecte de cercetare pentru stimularea tinerelor echipe independente 
(TE 2019)PN-III-P1-1.1-TE2019-0292</t>
  </si>
  <si>
    <t>Anca Bejenaru</t>
  </si>
  <si>
    <t>https://uefiscdi.gov.ro/proceedings/resource-829029-te2019_rezultate-finale_stiinte-sociale.pdf</t>
  </si>
  <si>
    <t>Provocările revenirii la muncă după o boală cronică în România: obstacole, factori facilitatori și colaborarea celor implicați</t>
  </si>
  <si>
    <t>„Proiecte de cercetare exploratorie (PCE 2020)</t>
  </si>
  <si>
    <t>Adela Popa</t>
  </si>
  <si>
    <t>https://uefiscdi.gov.ro/resource-825864-pce2020_rezultate-finale_stiinte-sociale-si-economice.pdf</t>
  </si>
  <si>
    <t>”Trust and Creativity for my future (T4T)”</t>
  </si>
  <si>
    <t>partener ULBS</t>
  </si>
  <si>
    <t>director partener ULBS, Bucuță Mihaela</t>
  </si>
  <si>
    <t>Migrație temporară, navetism sau antreprenoriat? Analiza principalelor traiectorii ocupaționale pentru evitarea agriculturii de subzistență în context rural românesc (PN-III-P1-1.1-TE2019-0625)</t>
  </si>
  <si>
    <t>UEFISCDI - Proiecte de cercetare pentru stimularea tinerelor echipe independente (TE 2019)</t>
  </si>
  <si>
    <t>https://uefiscdi.gov.ro/resource-829029-te2019_rezultate-finale_stiinte-sociale.pdf</t>
  </si>
  <si>
    <t>Politicile (re)denumirilor stradale: geografii 
simbolice și spații identitare în România postsocialistă” (PN-III-P1-1.1-TE-2019-0238)</t>
  </si>
  <si>
    <t>Comportamente electorale în spațiile urbane și peri-urbane ale României</t>
  </si>
  <si>
    <t>Proiecte de cercetare postdoctorală (PD 2019)</t>
  </si>
  <si>
    <t>https://uefiscdi.gov.ro/resource-829030-pd2019_rezultate-finale_stiinte-sociale.pdf</t>
  </si>
  <si>
    <t>Proiecte de cercetare exploratorie (PCE 2020)</t>
  </si>
  <si>
    <t>29.12.2020</t>
  </si>
  <si>
    <t>Provocările revenirii la muncă după o boală cronică în România: obstacole, factori facilitatori și colaborarea celor implicați (PN-III-P4-ID-PCE-2020-1384)</t>
  </si>
  <si>
    <t>Migrație temporară, navetism sau antreprenoriat? Analiza principalelor traiectorii ocupaționale pentru evitarea agriculturii de subzistență în context rural românesc  (PN-III-P1-1.1-TE2019-0625)</t>
  </si>
  <si>
    <t>“Proiectelor de cercetare pentru stimularea tinerelor echipe independente (TE 2019)”</t>
  </si>
  <si>
    <t>Alin Croitoru</t>
  </si>
  <si>
    <t xml:space="preserve">Sustainable Development Goals in Journalism Reporting	</t>
  </si>
  <si>
    <t>Project Reference: 609897-EPP-1-2019-1-ES-EPPKA2-CBHE-JP, Programme: Erasmus+, Key Action: Cooperation for innovation and the exchange of good practices, Action Type: Capacity Building in higher education</t>
  </si>
  <si>
    <t xml:space="preserve">Savescu Roxana (director)
Salcudean Minodora (membru)
Pintea Adina (membru)	</t>
  </si>
  <si>
    <t>https://ec.europa.eu/programmes/erasmus-plus/projects/eplus-project-details/#project/609897-EPP-1-2019-1-ES-EPPKA2-CBHE-JP</t>
  </si>
  <si>
    <t>InMEDIA (KA2 - Zusammenarbeit zur Förderung von Innovation und zum Austausch über bewährte Verfahren / DE02 Nationale Agentur Bildung für Europa beim Bundesinstitut für Berufsbildung)</t>
  </si>
  <si>
    <t>https://filmforum.pl/en/inmedia-en/</t>
  </si>
  <si>
    <t>„Provocările revenirii la muncă după o boală 
cronică în România: obstacole, factori facilitatori și colaborarea celor implicați” (PN-III_x0002_P4-ID-PCE-2020-1384)</t>
  </si>
  <si>
    <t>„Proiecte de 
cercetare exploratorie (PCE 2020)”</t>
  </si>
  <si>
    <t>https://uefiscdi.gov.ro/resource-825864-pce2020_rezultate-finale_stiinte-sociale-si_x0002_economice.pdf</t>
  </si>
  <si>
    <t>UEFISCDI
Proiecte de cercetare exploratorie</t>
  </si>
  <si>
    <t>300*1,5 = 450</t>
  </si>
  <si>
    <t>Rusu Horatiu M.</t>
  </si>
  <si>
    <t>“Crisis After Crisis? The Transformation of Solidarity in Europe (CriSolE)”</t>
  </si>
  <si>
    <t>Volkswagen Foundation - CHALLENGES FOR EUROPE 2020</t>
  </si>
  <si>
    <t>Lomazzi Vera</t>
  </si>
  <si>
    <t>nA  Vezi Anexe I18</t>
  </si>
  <si>
    <t>16.11.2020</t>
  </si>
  <si>
    <t>Politicile (re)denumirilor stradale: geografii simbolice și spații identitare în România postsocialistă</t>
  </si>
  <si>
    <t>Tinere Echipe 2019</t>
  </si>
  <si>
    <t>https://uefiscdi.gov.ro/proiecte-de-cercetare-pentru-stimularea-tinerelor-echipe-independente</t>
  </si>
  <si>
    <t>29.07.2020</t>
  </si>
  <si>
    <t>Migrație temporară, navetism sau antreprenoriat? Analiza principalelor traiectoriiocupaționale pentru evitarea agriculturii de subzistență în context rural românesc</t>
  </si>
  <si>
    <t>Croitoru, Alin</t>
  </si>
  <si>
    <t>InMedia</t>
  </si>
  <si>
    <t>KA2 - Zusammenarbeit zur Förderung von Innovation und zum Austausch über bewährte Verfahren / DE02 Nationale Agentur Bildung für Europa beim Bundesinstitut für Berufsbildung</t>
  </si>
  <si>
    <t>Roxana Săvescu</t>
  </si>
  <si>
    <t>https://cercetare.ulbsibiu.ro/ro/infrastructura-de-cercetare/proiecte-de-cercetare/proiecte-internationale/</t>
  </si>
  <si>
    <t>Ionela Vlase (coordonator ULBS)</t>
  </si>
  <si>
    <t>NASCENT - Narrative Accounts of Sexual Commerce, Exploitation, Normativity and Trafficking</t>
  </si>
  <si>
    <t>H2020-SC6-MIGRATION-2018-2019-202</t>
  </si>
  <si>
    <t>David Gadd, University of Manchester</t>
  </si>
  <si>
    <t>evaluare descarcata din portal Horizon 2020 (Evaluation Summary Report) cu scor peste pragul de 60%</t>
  </si>
  <si>
    <t>GENDER AND ROMANIAN LABOR MIGRANTS’ WELL-BEING IN NORWAY AND SPAIN. COMPARATIVE RESEARCH EVIDENCES AND POLICY IMPLICATIONS</t>
  </si>
  <si>
    <t xml:space="preserve">EEA proiecte colaborative de cercetare Romania - Norvegia competitia deschisa in 2019 https://uefiscdi.gov.ro/index.php </t>
  </si>
  <si>
    <t>coordonator</t>
  </si>
  <si>
    <t>evaluare descarcata din portal UEFISCDI cu scor peste pragul de 60%</t>
  </si>
  <si>
    <t>Gen, politici și muncă sexuală online: experiențele lucrătoarelor de videochat adult din România</t>
  </si>
  <si>
    <t>Programul 4 - Proiecte de Cercetare Exploratorie - PCE 2020</t>
  </si>
  <si>
    <t>https://uefiscdi.gov.ro/resource-825864-pce2020_rezultate-finale_stiinte-sociale-si-economice.pdf scor peste pragul de 60%</t>
  </si>
  <si>
    <t>Migrație temporară, navetism sau antreprenoriat? Analiza principalelor traiectorii ocupaționale pentru evitarea agriculturii de subzistență în context rural românesc” (PN-III-P1-1.1-TE2019-0625</t>
  </si>
  <si>
    <t>(PN-III-P1-1.1-TE2019-0625)</t>
  </si>
  <si>
    <t>beneficiar</t>
  </si>
  <si>
    <t>300 (conform document Adresa Alin Croitoru)</t>
  </si>
  <si>
    <t>I19 - Articol ştiințific în revistă neindexată BDI</t>
  </si>
  <si>
    <r>
      <rPr>
        <rFont val="Arial Narrow"/>
        <b/>
        <color theme="1"/>
        <sz val="10.0"/>
      </rPr>
      <t>* Punctaj de referință:</t>
    </r>
    <r>
      <rPr>
        <rFont val="Arial Narrow"/>
        <color theme="1"/>
        <sz val="10.0"/>
      </rPr>
      <t xml:space="preserve">
• Articol = 20 puncte 
Punctajul se împarte la numărul de autori cu afiliere la instituţiile de învăţământ şi cercetare din România, inclusiv la doctoranzi / studenţi; pentru autorii din străinătate sau autorii din mediul de afaceri, se menţionează în paranteză instituţia.
</t>
    </r>
    <r>
      <rPr>
        <rFont val="Arial Narrow"/>
        <b/>
        <color theme="1"/>
        <sz val="10.0"/>
      </rPr>
      <t>Plafoane maxime anual:</t>
    </r>
    <r>
      <rPr>
        <rFont val="Arial Narrow"/>
        <color theme="1"/>
        <sz val="10.0"/>
      </rPr>
      <t xml:space="preserve">
• 60 puncte / declarant</t>
    </r>
  </si>
  <si>
    <t>Volum / număr</t>
  </si>
  <si>
    <t>Site-ul revistei</t>
  </si>
  <si>
    <t>R-W.Seton Watson si relatiile romano-ungare in timpul scurtei existente a republicii ungare a sfaturilor.</t>
  </si>
  <si>
    <t>Racovitan, Radu; Cretu, Daniel</t>
  </si>
  <si>
    <t>Acta Moldaviae Meridionalis</t>
  </si>
  <si>
    <t>vol. 2/nr.XL</t>
  </si>
  <si>
    <t>101-113</t>
  </si>
  <si>
    <t>0257-7372</t>
  </si>
  <si>
    <t>FILM</t>
  </si>
  <si>
    <t>nr.2/2020</t>
  </si>
  <si>
    <t>https://ucin.ro/</t>
  </si>
  <si>
    <t>pp. 50-53</t>
  </si>
  <si>
    <t xml:space="preserve">2344-3960 </t>
  </si>
  <si>
    <t>„Reprezentări cinematografice ale mesagerilor Morții"</t>
  </si>
  <si>
    <t>nr.4/2020</t>
  </si>
  <si>
    <t>pp. 54-57</t>
  </si>
  <si>
    <t>Capete stilizate de bovidee din săpăturile de la Turdaș</t>
  </si>
  <si>
    <t>Magazin Istoric</t>
  </si>
  <si>
    <t>LIV</t>
  </si>
  <si>
    <t>https://magazinistoric.ro/anii-2020-2029/</t>
  </si>
  <si>
    <t>42-44</t>
  </si>
  <si>
    <t>ISSN 0541-881X</t>
  </si>
  <si>
    <t>Obiecte sacre dintr-o groapă ritualică de la Turdaș-Luncă</t>
  </si>
  <si>
    <t>LV</t>
  </si>
  <si>
    <t>61-63</t>
  </si>
  <si>
    <t>Punct: Capidava - Sectorul X (extra muros)</t>
  </si>
  <si>
    <t>Cătălin DOBRINESCU, Zeno Karl PINTER, Claudia URDUZIA</t>
  </si>
  <si>
    <t>CRONICA CERCETĂRILOR ARHEOLOGICE DIN ROMÂNIA 2020</t>
  </si>
  <si>
    <t>http://cronica.cimec.ro/</t>
  </si>
  <si>
    <t>375-391</t>
  </si>
  <si>
    <t>ISSN 2343 – 919X</t>
  </si>
  <si>
    <t>https://muzeu-vaslui.ro/index.php/publicatii</t>
  </si>
  <si>
    <t>În loc de concluzii...</t>
  </si>
  <si>
    <t>Revista de Antropologie Culturală, nr.3</t>
  </si>
  <si>
    <t>https://magazines.ulbsibiu.ro/rac/ro/</t>
  </si>
  <si>
    <t>p.71</t>
  </si>
  <si>
    <t>ISSN 2734 – 5793; ISSN 2734 – 6013 (ediția online) ISSN–L 2734 – 5793</t>
  </si>
  <si>
    <t>Datarea radiocarbon a unor probe de oase cremate din situl de la Păuca – Biserica Ungurească, județul Sibiu,</t>
  </si>
  <si>
    <t>Ioan Marian Țiplic, Corina Anca Simion, Oana Gâza, Tiberiu Bogdan Sava, Cristian Mănăilescu, Maria Valentina Ilie</t>
  </si>
  <si>
    <t>Argesis</t>
  </si>
  <si>
    <t>http://www.muzeul-judetean-arges.ro/editura-ordessos/argesis-studii-si-comunicari/seria-istorie</t>
  </si>
  <si>
    <t>1453 - 2182</t>
  </si>
  <si>
    <t>Considerații asupra evoluției istorice a bazinului Târnavei Mari în secolele X-XIII din perspectivă toponimică și arheologică (II)</t>
  </si>
  <si>
    <t>Șovrea Nicolae Adrian</t>
  </si>
  <si>
    <t>Alt-Schaessburg. Istorie. Patrimoniu</t>
  </si>
  <si>
    <t>5-28</t>
  </si>
  <si>
    <t>ISSN 1844-6302</t>
  </si>
  <si>
    <t>Aspecte arheologice și istorice privind valea Târnavei Mari în secolele IX-X</t>
  </si>
  <si>
    <t>Cultura Medieșană</t>
  </si>
  <si>
    <t>IX</t>
  </si>
  <si>
    <t>13-21</t>
  </si>
  <si>
    <t>ISSN 2285 – 4045</t>
  </si>
  <si>
    <t xml:space="preserve">Clasele simultane, valorificând elemente specifice alternativei Step by Step </t>
  </si>
  <si>
    <t>Conferința PIPP . Alternative educaționale</t>
  </si>
  <si>
    <t>PIPP_DPPD_ULBS - Lucrările conferintei (google.com)</t>
  </si>
  <si>
    <t>Ce înseamnă ,,O şcoală orientată spre elev?”</t>
  </si>
  <si>
    <t>MANAGEMENTUL EDUCAŢIONAL:
REALIZĂRI ŞI PERSPECTIVE DE DEZVOLTARE
Materialele Conferinţei ştiinţifico-practice internaţionale, ediția a III-a, 08 mai 2020</t>
  </si>
  <si>
    <t>97-104</t>
  </si>
  <si>
    <t>ISBN 978-9975-3422-5-4</t>
  </si>
  <si>
    <t>Salvarea picturii pe lemn din interiorul Bisericii din Vința, județul Alba / Retrieving the painting on wood inside the church of Vința, Alba County.</t>
  </si>
  <si>
    <t xml:space="preserve">      FSSU5</t>
  </si>
  <si>
    <t>Antropologie și management</t>
  </si>
  <si>
    <t>https://www.antropology.ro  revistă tipărită_dovadă atașată</t>
  </si>
  <si>
    <t xml:space="preserve">pp. 125-139
</t>
  </si>
  <si>
    <t>ISBN 978-973-27-3181-9</t>
  </si>
  <si>
    <t>RESTAURAREA VERSO-ULUI PERETELUI DESPĂRȚITOR DINTRE NAOS ȘI PRONAOS DIN INTERIORUL BISERICII DIN VINȚA, JUDEȚUL ALBA / RESTORATION OF THE BACK OF THE PARTITION WALL BETWEEN THE NAVE AND THE NARTHEX INSIDE THE CHURCH FROM VINȚA, ALBA COUNTY</t>
  </si>
  <si>
    <t>THE TRIBUNE Athropology of communication</t>
  </si>
  <si>
    <t>Nr. 1-2</t>
  </si>
  <si>
    <t>revistă tipărită_dovadă atașată</t>
  </si>
  <si>
    <t>pp. 69-74</t>
  </si>
  <si>
    <t>ISSN 2668-2583, ISSN-L 2668-2583</t>
  </si>
  <si>
    <t>IMAGE – IMAGINARY. LEARNING THROUGH STORIES</t>
  </si>
  <si>
    <t>Nr. 3-4</t>
  </si>
  <si>
    <t>pp. 93-99</t>
  </si>
  <si>
    <t>Neppendorfer Klettiten im Freilichtmuseum von Hermannstadt</t>
  </si>
  <si>
    <t xml:space="preserve">Konnerth Sara </t>
  </si>
  <si>
    <t>Nppendorfer Blätter</t>
  </si>
  <si>
    <t>60. Ausgabe</t>
  </si>
  <si>
    <t>pag 13-14</t>
  </si>
  <si>
    <t xml:space="preserve">RELATIONAREA CU STUDENTII. CE SCHIMBARI SUNT NECESARE?
</t>
  </si>
  <si>
    <t>Educatia din perspectiva valorilor TOM XVII Summa Theologiae, Octavian Moşin, Ioan Scheau, Dorin Opriş (editori)</t>
  </si>
  <si>
    <t>Volumul XVIII</t>
  </si>
  <si>
    <t xml:space="preserve">http://www.uab.ro/sesiuni_2020/educatia_din_perspectiva_valorilor/ </t>
  </si>
  <si>
    <t>132-135</t>
  </si>
  <si>
    <t>Chişinău, 28-29 septembrie 2020</t>
  </si>
  <si>
    <t>ISBN 978-606-49-0373-0</t>
  </si>
  <si>
    <t>Desenul ca sursa de identificare precoce a tulburarilor instrumntale le prescolarul mic</t>
  </si>
  <si>
    <t>Revista Conferinței PIPP 2020 Alternative educaționale,</t>
  </si>
  <si>
    <t>https://sites.google.com/ulbsibiu.ro/conferintapipp/revista-conferintei/lucr%C4%83rile-conferintei?authuser=0</t>
  </si>
  <si>
    <t>ISSN 2558 – 9032</t>
  </si>
  <si>
    <t>Procesul de predare - învățare – evaluare din perspectiva activității didactice centrate pe elev</t>
  </si>
  <si>
    <t>MANAGEMENTUL EDUCAŢIONAL:
REALIZĂRI ŞI PERSPECTIVE DE DEZVOLTARE
Materialele Conferinţei ştiinţifico-practice internaţionale, ediția a III-a
08 mai 2020</t>
  </si>
  <si>
    <t>178-185</t>
  </si>
  <si>
    <t xml:space="preserve">
Muzica, izvor nesecat de idei</t>
  </si>
  <si>
    <t>VICTOR PAPILIAN AND THE „SPIRITUALIST” DRAMA</t>
  </si>
  <si>
    <t>GLOBALIZATION, INTERCULTURAL DIALOGUE AND
NATIONAL IDENTITY</t>
  </si>
  <si>
    <t>7/2020</t>
  </si>
  <si>
    <t>https://old.upm.ro/gidni/GIDNI-07/GIDNI-07-Literature.pdf</t>
  </si>
  <si>
    <t>204-208</t>
  </si>
  <si>
    <t>ISBN: 978-606-8624-10-5</t>
  </si>
  <si>
    <t>Contextul istoric al înființării Alianței Nord-Atlantice</t>
  </si>
  <si>
    <t>Cohorta. Revistă de istorie militară.</t>
  </si>
  <si>
    <t xml:space="preserve"> nr. 1</t>
  </si>
  <si>
    <t>68-74</t>
  </si>
  <si>
    <t>1857-0100</t>
  </si>
  <si>
    <t>Cybersecurity and Hybrid Warfare
Challenges in the Black Sea Region</t>
  </si>
  <si>
    <t>Nate Silviu, Leca Leonela</t>
  </si>
  <si>
    <t>INTERNATIONAL JOURNAL OF CYBER DIPLOMACY</t>
  </si>
  <si>
    <t xml:space="preserve">2020, Volume 1, Issue 1 </t>
  </si>
  <si>
    <t>https://ijcd.ici.ro/documents/2020-vol1-issue1/IJCD-art6.pdf</t>
  </si>
  <si>
    <t>49-58</t>
  </si>
  <si>
    <t>ISSN 2668-8662
ISSN-L 2668-8662</t>
  </si>
  <si>
    <t>Aspects of Communication. Study case: The use of prepositions in Romania</t>
  </si>
  <si>
    <t>The Tribune. Antropology&amp;Communication</t>
  </si>
  <si>
    <t>nr. 1-2</t>
  </si>
  <si>
    <t>https://lobbyart-anthropology.ro/THE-TRIBUNE.php</t>
  </si>
  <si>
    <t>100-109</t>
  </si>
  <si>
    <t>2668-2583</t>
  </si>
  <si>
    <t>ETAPE ÎN DEZVOLTAREA FORMELOR DE ASISTENŢĂ
SOCIALĂ. ISTORICUL ASISTENŢEI SOCIALE ÎN PLAN
NAŢIONAL ȘI INTERNAŢIONAL</t>
  </si>
  <si>
    <t>Symposion:Relevanţa cercetării știinţifice socio-umane pentru Estul și Vestul Uniunii
Europene</t>
  </si>
  <si>
    <t>https://uadventus.ro/cercetare/symposion/</t>
  </si>
  <si>
    <t>79-95</t>
  </si>
  <si>
    <t>2392 – 8395</t>
  </si>
  <si>
    <t>Leni Riefenstahl- the fall from Olimp</t>
  </si>
  <si>
    <t>The Tribune. Anthropology &amp; Communication</t>
  </si>
  <si>
    <t>nr.1-2</t>
  </si>
  <si>
    <t>125-131</t>
  </si>
  <si>
    <t>Aspects of metalanguage in Advertising</t>
  </si>
  <si>
    <t>Stănese Radu Dumitru, Liliana Georgeta Popescu</t>
  </si>
  <si>
    <t xml:space="preserve">https://lobbyart-anthropology.ro/THE-TRIBUNE.php </t>
  </si>
  <si>
    <t>153-159</t>
  </si>
  <si>
    <t>I20 - Lucrări / experimente / demonstraţii / inovaţii prezentate sau publicate în volumul unor manifestări ştiinţifice</t>
  </si>
  <si>
    <r>
      <rPr>
        <rFont val="Arial Narrow"/>
        <b/>
        <color theme="1"/>
        <sz val="10.0"/>
      </rPr>
      <t>*Punctaj de referință:</t>
    </r>
    <r>
      <rPr>
        <rFont val="Arial Narrow"/>
        <color theme="1"/>
        <sz val="10.0"/>
      </rPr>
      <t xml:space="preserve">
• Lucrare = 40 / 20 puncte pentru conferinţă în străinătate / ţară
• Experiment / demonstraţie / inovaţie etc = 20 puncte / eveniment (indiferent de numărul standurilor de prezentare în cadrul evenimentului). 
Punctajul se împarte la numărul de autori / numărul de membri în echipă, cu afiliere la instituţiile de învăţământ şi cercetare din România, inclusiv la doctoranzi / studenţi; pentru autorii din străinătate sau autorii din mediul de afaceri, se menţionează în paranteză instituţia.
</t>
    </r>
    <r>
      <rPr>
        <rFont val="Arial Narrow"/>
        <b/>
        <color theme="1"/>
        <sz val="10.0"/>
      </rPr>
      <t>Plafoane maxime anual:</t>
    </r>
    <r>
      <rPr>
        <rFont val="Arial Narrow"/>
        <color theme="1"/>
        <sz val="10.0"/>
      </rPr>
      <t xml:space="preserve">
• 60 puncte / declarant</t>
    </r>
  </si>
  <si>
    <t>Titlul articolului / Denumirea experimentului</t>
  </si>
  <si>
    <t xml:space="preserve">Numele și prenumele autorilor </t>
  </si>
  <si>
    <t>Titlul conferinței / Denumirea evenimentului</t>
  </si>
  <si>
    <t>Site www al conferinței / evenimentului</t>
  </si>
  <si>
    <t xml:space="preserve">Data evenimentului </t>
  </si>
  <si>
    <t>„Über Stoff und Stein: Knotenpunkte von Textilkunst und Epigraphik”– 15. Internationale Fachtagung für mittelalterliche und frühneuzeitliche Epigraphik, Bayerische Akademie der Wissenschaften, München</t>
  </si>
  <si>
    <t>https://www.epigraphica-europea.uni-muenchen.de/15-internationale-fachtagung-fuer-mittelalterliche-und-fruehneuzeitliche-epigraphik-muenchen-12-14-2-2020/</t>
  </si>
  <si>
    <t>12-14. 02. 2020</t>
  </si>
  <si>
    <t>Științele socio-umane la începutul mileniului III, ed. XII, Academia Română, ICSU Sibiu</t>
  </si>
  <si>
    <t>Capella delle Dame, Arta si Restaurare</t>
  </si>
  <si>
    <t>Clio</t>
  </si>
  <si>
    <t>https://mail.google.com/mail/u/1?ui=2&amp;ik=073b8d62da&amp;attid=0.1&amp;permmsgid=msg-f:1683536030632808179&amp;th=175d1f19a0708ef3&amp;view=att&amp;disp=inline</t>
  </si>
  <si>
    <t>Icoane pe sticlă. Intervenții inadecvate</t>
  </si>
  <si>
    <t xml:space="preserve">Bucur Mirel-Vasile </t>
  </si>
  <si>
    <t>SUB SEMNUL LUI CLIO. Ediția a XVI-a</t>
  </si>
  <si>
    <t xml:space="preserve"> 20 noiembrie 2020</t>
  </si>
  <si>
    <t>Icoane lipovenești. Aspecte privind reprezentările iconografice și problematica de restaurare</t>
  </si>
  <si>
    <t xml:space="preserve">
„UNITATE, CONTINUITATE ŞI INDEPENDENŢĂ ÎN ISTORIA POPORULUI ROMÂN. 102 ani de la Marea Unire (1918 - 2020)” </t>
  </si>
  <si>
    <t>https://mnuai.ro/esiunea-stiintifica-unitate-continuitate-si-independenta-in-istoria-poporului-roman-102-ani-de-la-marea-unire-1918-2020-partea-a-ii-a/</t>
  </si>
  <si>
    <t>Din problematica de restaurare
a icoanelor pe sticlă</t>
  </si>
  <si>
    <t>Științele socio-umane la începutul mileniului III. Ediția a XII-a</t>
  </si>
  <si>
    <t xml:space="preserve">http://www.icsusib.ro/sesiunea_anuala_ICSUSIB_2020  </t>
  </si>
  <si>
    <t>Sibiu, 4 decembrie 2020</t>
  </si>
  <si>
    <t>Realitati socio-politice italiene la inceputul  anilor 20</t>
  </si>
  <si>
    <t>Cretu Daniel</t>
  </si>
  <si>
    <t>Romania si reinnoirea Triplei Aliante</t>
  </si>
  <si>
    <t xml:space="preserve">SESIUNEA NAȚIONALĂ DE COMUNICĂRI ȘTIINȚIFICE: Stiintele socio-umane la inceputul mileniului III, organizata de Institutul de Cercetari Socio-Umane, Sibiu. </t>
  </si>
  <si>
    <t>http://www.icsusib.ro/sesiunea_anuala_ICSUSIB_2020</t>
  </si>
  <si>
    <t>4 decembrie2020</t>
  </si>
  <si>
    <t>Interventii de restaurare asupra componentelor artistice din
Biserica Sfanta Ursula din Sibiu - studiu de caz - Crucifixul de pe masa altarului
secundar</t>
  </si>
  <si>
    <t>Sub semnul lui Clio, ediția a XVI-a</t>
  </si>
  <si>
    <t>Morminte din grupul Blandiana A- Alba Iulia descoperite la Stația de salvare în anii 1980-1981. Unitate</t>
  </si>
  <si>
    <t>Continuitate și Independență în istoria poporului român. 102 de ani de la Marea Unire (1918-2020) (partea a II- a)</t>
  </si>
  <si>
    <t>https://x.facebook.com/story.php?story_fbid=573362023518920&amp;id=268691526479664</t>
  </si>
  <si>
    <t>10 decembrie 2020</t>
  </si>
  <si>
    <t>Records of Natural Dyeing in Transylvania</t>
  </si>
  <si>
    <t>Dyes in History and Archaeology</t>
  </si>
  <si>
    <t>https://39dha2020sibiu.wordpress.com/programme/</t>
  </si>
  <si>
    <t>15-16 oct. 2020</t>
  </si>
  <si>
    <r>
      <rPr>
        <rFont val="arial narrow"/>
        <b/>
        <color theme="1"/>
        <sz val="10.0"/>
      </rPr>
      <t>GUTTMANN M</t>
    </r>
    <r>
      <rPr>
        <rFont val="Calibri"/>
        <b/>
        <color theme="1"/>
        <sz val="10.0"/>
      </rPr>
      <t>Á</t>
    </r>
    <r>
      <rPr>
        <rFont val="Arial Narrow"/>
        <b/>
        <color theme="1"/>
        <sz val="10.0"/>
      </rPr>
      <t>RTA J</t>
    </r>
    <r>
      <rPr>
        <rFont val="Calibri"/>
        <b/>
        <color theme="1"/>
        <sz val="10.0"/>
      </rPr>
      <t>Ú</t>
    </r>
    <r>
      <rPr>
        <rFont val="Arial Narrow"/>
        <b/>
        <color theme="1"/>
        <sz val="10.0"/>
      </rPr>
      <t>LIA</t>
    </r>
  </si>
  <si>
    <t>Analiza unor fire metalice</t>
  </si>
  <si>
    <t>Sub semnul lui Clio, Ediția a XVI-a</t>
  </si>
  <si>
    <t>https://socioumane.ulbsibiu.ro/dep.istorie/clio.html</t>
  </si>
  <si>
    <t>20 nov. 2020</t>
  </si>
  <si>
    <r>
      <rPr>
        <rFont val="arial narrow"/>
        <b/>
        <color theme="1"/>
        <sz val="10.0"/>
      </rPr>
      <t>GUTTMANN M</t>
    </r>
    <r>
      <rPr>
        <rFont val="Calibri"/>
        <b/>
        <color theme="1"/>
        <sz val="10.0"/>
      </rPr>
      <t>Á</t>
    </r>
    <r>
      <rPr>
        <rFont val="Arial Narrow"/>
        <b/>
        <color theme="1"/>
        <sz val="10.0"/>
      </rPr>
      <t>RTA J</t>
    </r>
    <r>
      <rPr>
        <rFont val="Calibri"/>
        <b/>
        <color theme="1"/>
        <sz val="10.0"/>
      </rPr>
      <t>Ú</t>
    </r>
    <r>
      <rPr>
        <rFont val="Arial Narrow"/>
        <b/>
        <color theme="1"/>
        <sz val="10.0"/>
      </rPr>
      <t>LIA</t>
    </r>
  </si>
  <si>
    <t xml:space="preserve">Considerații privind conservarea și restaurarea unei cahle din secolul al XIX-lea (Bistrița Năsăud) 
</t>
  </si>
  <si>
    <t>SESIUNEA NAȚIONALĂ DE COMUNICĂRI ȘTIINȚIFICE: Sub semnul lui Clio, 
ediţia a XVI-a,2020.</t>
  </si>
  <si>
    <t>The Conservation and Restoration of Roman-Byzantine Amphorae Unearthed in Capidav/ Conservarea si restaurarea unor amfore romano-bizantine descoperite la Capidava</t>
  </si>
  <si>
    <t>Sesiunea Ştiinţifică Internaţională PONTICA, a 53-a ediţie, 2020</t>
  </si>
  <si>
    <t>http://www.minac.ro/sesiunea-interna%C8%9Bional%C4%83-de-comunic%C4%83ri-%C8%99tiin%C8%9Bifice-pontica.html</t>
  </si>
  <si>
    <t>15-16 octombrie 2020</t>
  </si>
  <si>
    <t>Influența factorului uman asupra stării de conservare a picturilor murale. Observații privind starea de conservare a picturii unor lăcașuri de cult din Transilvania</t>
  </si>
  <si>
    <t>Langa Paul Victor</t>
  </si>
  <si>
    <t>Sesiunea Științifică Anuală „Sub semnul lui Clio”, ediția a XVI - a, Sibiu</t>
  </si>
  <si>
    <t>O descoperire veche într-o lumină nouă. Complexul arheologic de la Viscri – Deutsch-Weisskirch</t>
  </si>
  <si>
    <t>Zeno Karl Pinter</t>
  </si>
  <si>
    <t>volum „Relații interetnice în Transilvania. Militaria Medievalia în Europa centrală și de sud-est”</t>
  </si>
  <si>
    <t>O nouă descoperire arheologică in Sibiu – cimitirul de pe strada Lazaret</t>
  </si>
  <si>
    <t>Claudia Urduzia, Zeno-Karl Pinter, Anca Nițoi</t>
  </si>
  <si>
    <t>Sesiunea anuală de comunicări științifice Științele socio-umane la începutul mileniului III</t>
  </si>
  <si>
    <t>04 decembrie 2020</t>
  </si>
  <si>
    <t>An Unique Transylvanian Discovery: Two Ancient Weapons of Different Origins Found Together</t>
  </si>
  <si>
    <t>Zeno Karl Pinter, Claudia Urduzia</t>
  </si>
  <si>
    <t xml:space="preserve">Четверої Міжнародної Зброєзнавчої Конференції (The Fourth International Conference on the History of Arms and Armor) </t>
  </si>
  <si>
    <t>http://zbroeznav.com/?page_id=6814</t>
  </si>
  <si>
    <t>3-4 noiembrie 2020</t>
  </si>
  <si>
    <t>Recuperarea identității unor monede de tradiție celtică</t>
  </si>
  <si>
    <t>Pontica</t>
  </si>
  <si>
    <t>Patrimoniu pierdut și redescoperit, cazul unor tezaure din secolele III-II î. Hr</t>
  </si>
  <si>
    <t>Sub semnul lui Clio</t>
  </si>
  <si>
    <t>Sosirea coloniștilor norico-pannonici la Ocna Sibiului - Fața Vacilor / La Făgădău</t>
  </si>
  <si>
    <t>Sesiunea anuală de comunicări științifice: Științele socio-umane la începutul mileniului III</t>
  </si>
  <si>
    <t>4 decembrie 2020</t>
  </si>
  <si>
    <t>Aurel Popa - membru al Comitetului Național al Românilor emigrați din Austro-Ungaria</t>
  </si>
  <si>
    <r>
      <rPr>
        <rFont val="Arial"/>
        <i/>
        <color theme="1"/>
        <sz val="10.0"/>
      </rPr>
      <t>Războiul de acasă pentru românii din teritoriul ocupat (1916-1918)</t>
    </r>
    <r>
      <rPr>
        <rFont val="Arial"/>
        <i val="0"/>
        <color rgb="FF000000"/>
        <sz val="10.0"/>
      </rPr>
      <t xml:space="preserve"> </t>
    </r>
  </si>
  <si>
    <r>
      <rPr>
        <rFont val="Arial Narrow"/>
        <i/>
        <color theme="1"/>
        <sz val="10.0"/>
      </rPr>
      <t xml:space="preserve"> Între război și pace. Românii și Europa Central Răsăriteană la finalul primei conflagrații mondiale,</t>
    </r>
    <r>
      <rPr>
        <rFont val="Arial Narrow"/>
        <color theme="1"/>
        <sz val="10.0"/>
      </rPr>
      <t xml:space="preserve"> coordonatori: Ioan Bolovan, Oana Tămaș, Academia Română, Centrul de Studii Transilvane,  p. 75-93, volumul conferinţei  internaţionale : 1919 în Europa.Război şi pace, Cluj-Napoca, 9-11 noiembrie 2019</t>
    </r>
  </si>
  <si>
    <t>http://www.centruldestudiitransilvane.ro/Lista.aspx?t=Carti%202015%20-%202035</t>
  </si>
  <si>
    <t>Consiliul Dirigent și Arhiepiscopia Ortodoxă a Sibiului în 1919</t>
  </si>
  <si>
    <r>
      <rPr>
        <rFont val="Arial Narrow"/>
        <i/>
        <color theme="1"/>
        <sz val="10.0"/>
      </rPr>
      <t>Centenarele României. Centenarele Aradului ( 1918/1919-2018/2019)</t>
    </r>
    <r>
      <rPr>
        <rFont val="Arial Narrow"/>
        <color theme="1"/>
        <sz val="10.0"/>
      </rPr>
      <t xml:space="preserve">, coord. Corneliu Pădurean, Ioan Bolovan, Doru Sinaci, Ed. Școala Ardeleană, Cluj-Napoca, pp. 262-277, volumul  conferinței  internaționale </t>
    </r>
    <r>
      <rPr>
        <rFont val="Arial Narrow"/>
        <i/>
        <color theme="1"/>
        <sz val="10.0"/>
      </rPr>
      <t>Începuturile administrației  naționale în centrul și Sud-Estul Europei  după Mare Război</t>
    </r>
    <r>
      <rPr>
        <rFont val="Arial Narrow"/>
        <color theme="1"/>
        <sz val="10.0"/>
      </rPr>
      <t xml:space="preserve">, Arad, 2020, </t>
    </r>
  </si>
  <si>
    <t>https://scoalaardeleanacluj.ro/shop/%C5%9Ecoala-ardelean%C4%83-de-istorie-c-145/centenarele-rom%C3%A2niei-centenarele-aradului-1918191920182019-p-596.html</t>
  </si>
  <si>
    <r>
      <rPr>
        <rFont val="Arial"/>
        <color rgb="FF333333"/>
        <sz val="9.0"/>
      </rPr>
      <t xml:space="preserve">Participare </t>
    </r>
    <r>
      <rPr>
        <rFont val="Arial"/>
        <color rgb="FF333333"/>
        <sz val="9.0"/>
      </rPr>
      <t xml:space="preserve">cu următoarele acțiuni: </t>
    </r>
    <r>
      <rPr>
        <rFont val="Arial"/>
        <b/>
        <color rgb="FF333333"/>
        <sz val="9.0"/>
      </rPr>
      <t xml:space="preserve">lansarea cărții mele </t>
    </r>
    <r>
      <rPr>
        <rFont val="Arial"/>
        <b/>
        <i/>
        <color rgb="FF333333"/>
        <sz val="9.0"/>
      </rPr>
      <t>Ethnoesthétique d’un village de transylvanie : costume traditionnel et communication visuelle</t>
    </r>
    <r>
      <rPr>
        <rFont val="Arial"/>
        <color rgb="FF333333"/>
        <sz val="9.0"/>
      </rPr>
      <t>, Paris, Editura L’Harmattan, 2020; moderarea atelierului</t>
    </r>
    <r>
      <rPr>
        <rFont val="Arial"/>
        <i/>
        <color rgb="FF333333"/>
        <sz val="9.0"/>
      </rPr>
      <t xml:space="preserve"> Provocări ale prezentului. Un studiu de caz: Revista de antropologie culturală</t>
    </r>
    <r>
      <rPr>
        <rFont val="Arial"/>
        <color rgb="FF333333"/>
        <sz val="9.0"/>
      </rPr>
      <t xml:space="preserve">; prezentarea comunicării cu titlul </t>
    </r>
    <r>
      <rPr>
        <rFont val="Arial"/>
        <b/>
        <i/>
        <color rgb="FF333333"/>
        <sz val="9.0"/>
      </rPr>
      <t>Ofranda funerară și spațiile ei la Gura Râului (jud. Sibiu)</t>
    </r>
    <r>
      <rPr>
        <rFont val="Arial"/>
        <color rgb="FF333333"/>
        <sz val="9.0"/>
      </rPr>
      <t>.</t>
    </r>
  </si>
  <si>
    <r>
      <rPr>
        <rFont val="Arial"/>
        <color rgb="FF333333"/>
        <sz val="9.0"/>
      </rPr>
      <t xml:space="preserve">Cea de-a XVI-a ediție a Conferinței Anuale a Asociației de Științe Etnologice din România (ASER) – online – </t>
    </r>
    <r>
      <rPr>
        <rFont val="Arial"/>
        <i/>
        <color rgb="FF333333"/>
        <sz val="9.0"/>
      </rPr>
      <t>Etnologia română și provocările prezentului</t>
    </r>
  </si>
  <si>
    <t>https://www.facebook.com/Asocia%C8%9Bia-de-%C8%98tiin%C8%9Be-Etnologice-din-Rom%C3%A2nia-1687179884838274/</t>
  </si>
  <si>
    <t>18-20 noiembrie 2020</t>
  </si>
  <si>
    <r>
      <rPr>
        <rFont val="Arial"/>
        <color rgb="FF333333"/>
        <sz val="9.0"/>
      </rPr>
      <t xml:space="preserve">Participare </t>
    </r>
    <r>
      <rPr>
        <rFont val="Arial"/>
        <color rgb="FF333333"/>
        <sz val="9.0"/>
      </rPr>
      <t xml:space="preserve">cu comunicarea </t>
    </r>
    <r>
      <rPr>
        <rFont val="Arial"/>
        <b/>
        <i/>
        <color rgb="FF333333"/>
        <sz val="9.0"/>
      </rPr>
      <t>Clopotele din Gura Râului – ce ne comunică ele</t>
    </r>
    <r>
      <rPr>
        <rFont val="Arial"/>
        <color rgb="FF333333"/>
        <sz val="9.0"/>
      </rPr>
      <t>. Prezentarea, împreună cu studenții Departamentului, a numărului 3 al Revistei de Antropologie Culturală.</t>
    </r>
  </si>
  <si>
    <r>
      <rPr>
        <rFont val="Arial"/>
        <i/>
        <color rgb="FF333333"/>
        <sz val="9.0"/>
      </rPr>
      <t>Sesiunea Anuală de Comunicări Științifice a Departamentului de Istorie, Patrimoniu și Teologie Protestantă, Sub semnul lui Clio</t>
    </r>
    <r>
      <rPr>
        <rFont val="Arial"/>
        <color rgb="FF333333"/>
        <sz val="9.0"/>
      </rPr>
      <t>, ediția a XVI-a, online</t>
    </r>
  </si>
  <si>
    <t>Îmbrăcămintea miresei la Gura Râului, jud. Sibiu – evoluție în timp</t>
  </si>
  <si>
    <t>Colocviile Internaționale „Nedeia – Banatul viu la 2020“, Ediția a VI-a, Reșița, online</t>
  </si>
  <si>
    <t>27-28 noiembrie 2020</t>
  </si>
  <si>
    <t>„Datul mâinii” la Gura Râului (jud. Sibiu)</t>
  </si>
  <si>
    <r>
      <rPr>
        <rFont val="Arial"/>
        <color rgb="FF333333"/>
        <sz val="9.0"/>
      </rPr>
      <t xml:space="preserve">Sesiunea Anuală de Comunicări Științifice </t>
    </r>
    <r>
      <rPr>
        <rFont val="Arial"/>
        <i/>
        <color rgb="FF333333"/>
        <sz val="9.0"/>
      </rPr>
      <t>Științele socio-umane la începutul mileniului III</t>
    </r>
    <r>
      <rPr>
        <rFont val="Arial"/>
        <color rgb="FF333333"/>
        <sz val="9.0"/>
      </rPr>
      <t>, Ediția a XII-a Sibiu</t>
    </r>
  </si>
  <si>
    <t>Timp liber și divertisment în Sibiu și Timișoara în perioada 1900-1920. Concluziile cercetării </t>
  </si>
  <si>
    <t>Științele socio-umane la începutul mileniului III</t>
  </si>
  <si>
    <t>Program anexat SIEPAS-ului</t>
  </si>
  <si>
    <t>Loisir la început de secol XX în Transilvania. Comportament urban și etichetă socială</t>
  </si>
  <si>
    <t>Sesiunea științifică Sub semnul lui Clio</t>
  </si>
  <si>
    <t>Über Freizeit am Anfang des 20.
Jahrhunderts in der Doppelmonarchie Österreich - Ungarn. Tanzunter-
haltungen und Öffentlichkeit in Temeswar und Hermannstadt</t>
  </si>
  <si>
    <t>Sechstes Admoni Kolloquium der durch den DAAD geförderten internationalen Doktorandenschule</t>
  </si>
  <si>
    <t>13-15 noiembrie 2020</t>
  </si>
  <si>
    <t>The Archaeology of Romanesque Churches in Transylvania (11th–13th Centuries)</t>
  </si>
  <si>
    <t>Ioan Marian Țiplic, Maria Crîngaci Țiplic</t>
  </si>
  <si>
    <t>Ecclesiastical Landscapes in Medieval Europe: An Archaeological Perspective, José Carlos Sánchez-Pardo, Emmet Marron, Maria Crîngaci Țiplic (eds.)</t>
  </si>
  <si>
    <t>https://www.archaeopress.com/ArchaeopressShop/DMS/3530924E464444BE82D8A55C2872BF48/9781789695410-sample.pdf</t>
  </si>
  <si>
    <t>THE SHIFT BETWEEN PAGAN AND CHRISTIAN FUNERAL RITUAL IN EARLY MEDIEVAL TRANSYLVANIA (9TH TO 12TH CENTURY AD)</t>
  </si>
  <si>
    <t xml:space="preserve">Ioan Marian Țiplic, </t>
  </si>
  <si>
    <t>EAA Anual Meeting, Budapest, ARCHAEOLOGY OF CENTRAL PLACES IN EUROPE: POWER, CHRISTIANITY AND
FUNERAL RITUALS</t>
  </si>
  <si>
    <t>https://www.e-a-a.org/EAA2020virtual/Programme.aspx?WebsiteKey=79538f04-4210-43d4-90c1-704213a00c84&amp;hkey=e5eed11c-a2ea-404a-86f3-482344cb3829&amp;Program=2#Program</t>
  </si>
  <si>
    <t>24-30 august 2020</t>
  </si>
  <si>
    <t>Câteva idei privind fragmentarea ceramicii neolitice timpurii</t>
  </si>
  <si>
    <t>Anamaria Tudorie</t>
  </si>
  <si>
    <t>Sub semnul lui Clio, Ediția a XVI-a, 2020</t>
  </si>
  <si>
    <t>Experimente virtuale</t>
  </si>
  <si>
    <t>Chișiu Carmen Maria, Popa Daniela</t>
  </si>
  <si>
    <t xml:space="preserve">Noapatea cercetătorilor experimente virtuale – Proweb (sesiuni de 50 minute)
Public țintă: persoanele de peste 15 ani
 </t>
  </si>
  <si>
    <t>http://cercetare.ulbsibiu.ro/nc.html</t>
  </si>
  <si>
    <t>27.09.2019</t>
  </si>
  <si>
    <t>Pedagogie experiențială</t>
  </si>
  <si>
    <t xml:space="preserve">INEC -International Nonformal Education Conference </t>
  </si>
  <si>
    <t>RESTAURAREA BOLȚII DIN INTERIORUL BISERICII DIN VINȚA, JUDEȚUL ALBA / RESTORATION OF THE VAULT INSIDE THE CHURCH OF VINTA, ALBA COUNTY</t>
  </si>
  <si>
    <t xml:space="preserve">ANTHROPOLOGY OF COMMUNICATION Theosophy, Cybernetics Knowledge                                               </t>
  </si>
  <si>
    <t xml:space="preserve">The role of emotional intelligence in determining the satisfaction of primary school teachers - an exploratory study </t>
  </si>
  <si>
    <t>Mihăescu Diana</t>
  </si>
  <si>
    <t>ATEE 2020 - Winter Conference, Teacher Education for Promoting Well-Being in School</t>
  </si>
  <si>
    <t>https://www.google.com/url?sa=t&amp;rct=j&amp;q=&amp;esrc=s&amp;source=web&amp;cd=&amp;ved=2ahUKEwi109ye08nwAhWOgf0HHeJMCTIQFjABegQIBxAD&amp;url=https%3A%2F%2Fatee2020.education%2Fdoc%2FBook_of_Abstract_ATEE_2020.pdf&amp;usg=AOvVaw0zpCr_HuStLnJc0W_ZzFPn</t>
  </si>
  <si>
    <t>6-7 iulie, 2020</t>
  </si>
  <si>
    <t xml:space="preserve">SĂ NE UITĂM DIFERIT LA DIFERENȚE! </t>
  </si>
  <si>
    <t>Ce inseamna cercetarea si cum poti fi un cercetator de calitate; Max e de neoprit; Șșș, avem un plan- Cum sa ai o gandire flexibila si cum sa-ti exprimi propria parere; Cercetatori acasa - Sa descoperim ploaia, Desen in miscare, Milk-Art; Ne jucam online - Descopera comoara; Recunoaste imaginile care se potrivesc</t>
  </si>
  <si>
    <t>Noaptea Cercetatorilor</t>
  </si>
  <si>
    <t>https://cercetare.ulbsibiu.ro/ro/noaptea-cercetatorilor/</t>
  </si>
  <si>
    <t>27 noiembrie 2020</t>
  </si>
  <si>
    <t>Workshop pentru echipa de profesori din Cambodgia - Getting to know curriculum designand quality assessment
in Romanian higher education</t>
  </si>
  <si>
    <t xml:space="preserve">Proiectul Strengthening Quality Assurance In Cambodian Higher Education – SICA, ULBS partener
</t>
  </si>
  <si>
    <t>http://www.sica-project.eu/</t>
  </si>
  <si>
    <t>11 februarie 2020</t>
  </si>
  <si>
    <t>Educația fără separare - competențele profesorului secolului XXI</t>
  </si>
  <si>
    <t xml:space="preserve"> FSSU6</t>
  </si>
  <si>
    <t>Seminar județean</t>
  </si>
  <si>
    <t>20 februarie 2020</t>
  </si>
  <si>
    <t>Chișiu Carmen Maria, Popa Daniela Carmen, Dana Tufeanu</t>
  </si>
  <si>
    <t xml:space="preserve">Noapatea cercetătorilor experimente virtuale – Proweb (sesiuni de 50 minute) Public țintă: prescolar-gimnaziu
 </t>
  </si>
  <si>
    <t>27.11.2020</t>
  </si>
  <si>
    <t xml:space="preserve">Psihosomatica și relația cu propriul corp </t>
  </si>
  <si>
    <r>
      <rPr>
        <rFont val="Times New Roman"/>
        <b/>
        <color rgb="FF000000"/>
        <sz val="11.0"/>
      </rPr>
      <t>Conferinței Naționale a Tinerilor cu Scleroză multiplă</t>
    </r>
    <r>
      <rPr>
        <rFont val="Times New Roman"/>
        <color rgb="FF000000"/>
        <sz val="11.0"/>
      </rPr>
      <t>, 30 – 31 octombrie 2020, online</t>
    </r>
  </si>
  <si>
    <t>30 – 31 octombrie 2020, on line</t>
  </si>
  <si>
    <t>Changing the role of victim of intimate partner violence through psychodrama technics</t>
  </si>
  <si>
    <t>G. Dima (UTBV), M. Bucuta (Romania), I.Testoni (U.Padova, Italy)</t>
  </si>
  <si>
    <t>(VIRTUAL) 19 – 22 NOVEMBER 2020</t>
  </si>
  <si>
    <t>Intervenții non-farmacologice în managementul bbsd în centrele rezidențiale</t>
  </si>
  <si>
    <t>I.Botezat Antonescu (CNSMLA)Bucuță M, D.</t>
  </si>
  <si>
    <t xml:space="preserve">A X-a Conferință Națională Alzheimer - Actualități în domeniul demențelor </t>
  </si>
  <si>
    <t>https://ralcom.eventsair.com/cnalz-2020/program-stiintific</t>
  </si>
  <si>
    <t>19-22 februarire 2020</t>
  </si>
  <si>
    <t>Modelling the decision - an experimental approach</t>
  </si>
  <si>
    <t xml:space="preserve"> 13 th International Conference on
MODERN RESEARCH IN PSYCHOLOGY
November 2020, Sibiu, Romania</t>
  </si>
  <si>
    <t>Conflict assessment in pandemic context</t>
  </si>
  <si>
    <t>Pandemic behaviours - social and medical implications</t>
  </si>
  <si>
    <t>Theories of Change in Digital Wellbeing. Evidence based practices across the disciplines</t>
  </si>
  <si>
    <t xml:space="preserve">Sassu Raluca </t>
  </si>
  <si>
    <t>Keynote speakers - UAV Conferences</t>
  </si>
  <si>
    <t>26-28 June 2020</t>
  </si>
  <si>
    <t>Shadow symbolism analysis. Manifest content, latent content. Comparative perspectives.</t>
  </si>
  <si>
    <t>4th EASTERN EUROPEAN CONFERENCE OF MENTAL HEALTH "IN AND OUT OF YOUR MIND"</t>
  </si>
  <si>
    <t>Confronting schizophrenia from the perspective of remitted patient. An interpretative-phenomenological approach</t>
  </si>
  <si>
    <t>MODERN RESEARCH IN PSYCHOLOGY – 13th edition
Prospecting advanced research in Health,
Education and Social Sciences.</t>
  </si>
  <si>
    <t>http://www.multidisciplinary-research.com/continut/planning_works.pdf</t>
  </si>
  <si>
    <t>Projecting interior conflicts outside. Projection methods</t>
  </si>
  <si>
    <t>Tensional coherences between repeatable and unrepeatable</t>
  </si>
  <si>
    <t>Modern research in psychology 13th-edition</t>
  </si>
  <si>
    <t>An artificial intelligence engine for the dynamics of the psychological state</t>
  </si>
  <si>
    <t>Topological characteristics of the moments of life</t>
  </si>
  <si>
    <r>
      <rPr>
        <rFont val="Times New Roman"/>
        <color rgb="FF000000"/>
        <sz val="11.0"/>
      </rPr>
      <t xml:space="preserve">
</t>
    </r>
    <r>
      <rPr>
        <rFont val="Times New Roman"/>
        <color rgb="FF000000"/>
        <sz val="10.0"/>
      </rPr>
      <t xml:space="preserve">Endophenotype of depression - A RDoC perspective 
</t>
    </r>
  </si>
  <si>
    <t>STEREOTYPES IN MEDICAL PROFESSIONS AND OLDER ADULTS</t>
  </si>
  <si>
    <t xml:space="preserve">Man., Gabriela-Maria </t>
  </si>
  <si>
    <t>LITERATURE, DISCOURSE AND MULTICULTURAL DIALOGUE 8</t>
  </si>
  <si>
    <t>https://old.upm.ro</t>
  </si>
  <si>
    <t>12 decembrie 2020</t>
  </si>
  <si>
    <t>Engagement and support in organisations. Case study: medical and health care units (Mental Health at Workplace)</t>
  </si>
  <si>
    <t>Brate, A</t>
  </si>
  <si>
    <t>4TH EASTERN EUROPEAN
 CONFERENCE
 OF MENTAL HEALTH
 VIRTUAL 19-22 NOVEMBER 2020</t>
  </si>
  <si>
    <t>The influence of Covid-19 Pandemic on child maltreatment/ abuse and the relation to criminal/ violent behavior in
 adulthood</t>
  </si>
  <si>
    <t>Fulea A, Brate, A</t>
  </si>
  <si>
    <t>http://www.multidisciplinary-research.com/continut/schedule_of_events.pdf</t>
  </si>
  <si>
    <t>Evaluarea angajamentului organizational – oportunități și limite</t>
  </si>
  <si>
    <t>Cercetarea modernă în psihologie. Noi directii și perspective – ediția a 14-a, Sibiu, 19-22 noiembrie 2020.</t>
  </si>
  <si>
    <t>http://www.ascip.ro/continut/planificare_lucrari.pdf</t>
  </si>
  <si>
    <t>The Coping in Adolescence</t>
  </si>
  <si>
    <t>Catana Anamaria</t>
  </si>
  <si>
    <t>Psychological contract - moderator of the relationship
between support and organizational commitment for
medical staff</t>
  </si>
  <si>
    <t xml:space="preserve"> 4 TH EASTERN EUROPEAN CONFERENCE OF MENTAL HEALTH - IN AND OUT OF YOUR MIND</t>
  </si>
  <si>
    <t xml:space="preserve"> www.mhasee.ro</t>
  </si>
  <si>
    <t>Infrastructuri de date spațiale și bună guvernanță: cadru juridic, instituțional și social- economic pentru reforma sistemelor de administrare a terenurilor</t>
  </si>
  <si>
    <t>IMPACTUL CERCETĂRII DE EXCELENȚĂ ÎN ȘTIINȚELE ADMINISTRATIVE ASUPRA REGLEMENTĂRILOR ȘI PRACTICII ADMINISTRAȚIEI PUBLICE</t>
  </si>
  <si>
    <t xml:space="preserve">www.conference.rsasa.ro </t>
  </si>
  <si>
    <t>23 OCTOMBRIE 2020</t>
  </si>
  <si>
    <t>Fake-news în contextul pandemiei COVID-19 în România. Politicile oficiale și implicarea societății civile</t>
  </si>
  <si>
    <t>Nicoleta Munteanu, Eugen Străuțiu</t>
  </si>
  <si>
    <t>Masa rotundă "Combaterea știrilor false în condițiile provocărilor de securitate – COVID 19"</t>
  </si>
  <si>
    <t>https://ibn.idsi.md/vizualizare_articol/110644</t>
  </si>
  <si>
    <t>Fake-news în contextul pandemiei Covid 19 în România. Politicile oficiale și implicarea societății civile</t>
  </si>
  <si>
    <t xml:space="preserve">Munteanu Nicoleta Annemarie                               Străuțiu Eugen </t>
  </si>
  <si>
    <t>Combaterea știrilor false în condițiile provocărilor de securitate-Covid 19  Chișinău,2020                                                                                                   Publicare                                                                                                                               Articol publicat, Editura Garomont Studio, Chișinău https://ibn.idsi.md/vizualizare_articol/110644                                                                   https://ibn.idsi.md/sites/default/files/imag_file/90-108.pdf                                                     https://sis.md/sites/default/files/comunicate/fisiere/Materialele%20Mesei%20Rotunde.pdf?status=1</t>
  </si>
  <si>
    <t xml:space="preserve">https://ibn.idsi.md/ro/collection_view/667                                                                                                            </t>
  </si>
  <si>
    <t>Mental health of the elderly and care needs from the perspective of specialists</t>
  </si>
  <si>
    <t>4-thEastern European Conference of Menthal Health. In and Out of Your Mind</t>
  </si>
  <si>
    <t>Fake news în mass-media românească: teme și ipostaze</t>
  </si>
  <si>
    <t>Lucrare publicată în volumul conferinței  Mediamorfoze V - Reflectare, (de)formare șI fake news în spațiul mediatic șI cultural (Negoită, Cătălin, coord., București, Tritonic, 2020, p.173-182, Conferinţa Cultura și presa în spațiul european )</t>
  </si>
  <si>
    <t>https://uzp.org.ro/16094/conferinta-internationala-cultura-si-presa-in-spatiul-european-galati/</t>
  </si>
  <si>
    <t>Recovery and rehabilitation of people with mental health
problems from the perspective of the social worker</t>
  </si>
  <si>
    <t xml:space="preserve">Rezultate inițiale CRCMIS. Posibile implicații </t>
  </si>
  <si>
    <t xml:space="preserve">Prezentarea Indexului de Integrare a Migranților </t>
  </si>
  <si>
    <t>CENTRUL ROMÂN DE CERCETARE A MIGRAȚIEI ȘI INCLUZIUNII SOCIALE</t>
  </si>
  <si>
    <t>ECPR General Conference Online, Virtual Event</t>
  </si>
  <si>
    <t>https://ecpr.eu/Events/Event/PaperDetails/54771</t>
  </si>
  <si>
    <t>24 - 28 August 2020</t>
  </si>
  <si>
    <t>Sprache und Stil zu Corona-Zeiten</t>
  </si>
  <si>
    <t>https://sites.google.com/view/lingcoll/de</t>
  </si>
  <si>
    <t>Online Communication: From classical school to online school</t>
  </si>
  <si>
    <t>The International Conference "Antropology of Communication"</t>
  </si>
  <si>
    <t>Explorarea caracteristicilor imigranților antreprenori în
România pe baza studiului CRCMIS 2020</t>
  </si>
  <si>
    <t>Conferința națională CRCMIS- CENTRUL ROMÂN DE CERCETARE A MIGRAȚIEI ȘI INCLUZIUNII SOCIALE</t>
  </si>
  <si>
    <t>10-11 Dec 2020</t>
  </si>
  <si>
    <t>Dizabilitate și sexualitate. Abordări în educație și consiliere</t>
  </si>
  <si>
    <t>Conferinţa Naţională de Psihoterapie Pozitivă</t>
  </si>
  <si>
    <t>https://positum.ro/conferinta-nationala-de-psihoterapie-pozitiva-2020/</t>
  </si>
  <si>
    <t>Talking about sexuality with disablet people and their families</t>
  </si>
  <si>
    <t xml:space="preserve">Autism and sexuality </t>
  </si>
  <si>
    <t>https://prodeste.pl/autyzm-seksualnosc/</t>
  </si>
  <si>
    <t>4-5 decembrie 2020</t>
  </si>
  <si>
    <t>Perspectivele imigranților asupra integrării în România</t>
  </si>
  <si>
    <t>CRCMIS - CENTRUL ROMÂN DE CERCETARE A MIGRAȚIEI ȘI INCLUZIUNII SOCIALE</t>
  </si>
  <si>
    <t>11 decembrie 2020</t>
  </si>
  <si>
    <t>”Who is responsible for children's wellbeing? A sociological perspective"</t>
  </si>
  <si>
    <t>The Romanian Immigrants’ Integration Index – addressing integration in an emigration country</t>
  </si>
  <si>
    <t>Third edition of Forum on Studies of Society (FSS) International Conference
on Social and Humanistic Sciences</t>
  </si>
  <si>
    <t>https://fssconference.ro/fss-2020/</t>
  </si>
  <si>
    <t>21.11.2020                                    online</t>
  </si>
  <si>
    <t xml:space="preserve">Perspectivele populației autohtone asupra imigrației în România </t>
  </si>
  <si>
    <t xml:space="preserve">Conferința Națională
CRCMIS - CENTRUL ROMÂN DE CERCETARE A
MIGRAȚIEI ȘI INCLUZIUNII SOCIALE
</t>
  </si>
  <si>
    <t>10 – 11 decembrie 2020                  online</t>
  </si>
  <si>
    <t>STEPPING INTO THE AI ERA: A BRIEF ANALYSIS OVER HUMAN PERCEPTIONS, MINDSETS
AND INTERACTIVE ARTIFICIAL INTELLIGENT SYSTEMS AT WORK</t>
  </si>
  <si>
    <t xml:space="preserve"> Popa Radu Ioan  (ULBS)         Pogan Livia Dana    </t>
  </si>
  <si>
    <t>4th Eastern European Conference of Mental Health
“IN AND OUT OF YOUR MIND”</t>
  </si>
  <si>
    <t>19-22.11.2020                               online</t>
  </si>
  <si>
    <t>„Cancer and work in Romania”</t>
  </si>
  <si>
    <t xml:space="preserve">ONCOLOGY PATIENTS: "DO WE HAVE THE RIGHT TO WORK?" </t>
  </si>
  <si>
    <t>https://www.hdmr.hr/novosti-i-doga%C4%91anja/konferencija-onkoloski-pacijenti-imamo-li-pravo-na-rad-petak-20112020-u-1000h?fbclid=IwAR2Yz7Pqliw57aVvCflgBOwSker_yKAxsebg3HEuxVK04t4v57RNbKDjqEM</t>
  </si>
  <si>
    <t>Migration - the long way back to where?</t>
  </si>
  <si>
    <t>Stepping into the AI era: a brief analysis over human
perceptions, mindsets and interactive artificial intelligent
systems at work</t>
  </si>
  <si>
    <t>Popa Radu-Ioan, Pogan Livia</t>
  </si>
  <si>
    <t xml:space="preserve">“COVID-19 și orientări spre solidaritate. Cazul Spaniei, Ungariei și României“ </t>
  </si>
  <si>
    <t>Horatiu RUSU, Voicu Bogdan, Edurne Bartolome Peral (University of Deusto, Spain), Gergely Rosta (Pázmány Péter Catholic University in Budapest), Mircea Comșa, Octavian-Marian Vasile, Lluís Coromina (University of Girona, Spain), Claudiu D. Tufiș</t>
  </si>
  <si>
    <t>Simpozionului Granturilor Academiei Românie (SGAR-2020)</t>
  </si>
  <si>
    <t>https://academiaromana.ro/birouProiecte/doc2020/SGAR-2020/SGAR-2020-program.pdf</t>
  </si>
  <si>
    <t>26-27 Noiembrie 2020</t>
  </si>
  <si>
    <t>Patterns of Toponymic Decommunization: Dismantling the Urban Namescapes in Post-Socialist Romanian Cities</t>
  </si>
  <si>
    <t>East-Central Europe: From Communism to Populism. Political Agency, Institutional Design, Social Networks (online conference)</t>
  </si>
  <si>
    <t>fără website</t>
  </si>
  <si>
    <t>30 octombrie 2020</t>
  </si>
  <si>
    <t>How effective is e-learning during COVID-19 lockdown? Assessing academic self-efficacy and well-being among university students in Romania</t>
  </si>
  <si>
    <t>Ştefenel Delia, Petraki Anastasia (University of Crete)</t>
  </si>
  <si>
    <t>9th  WORLD CONFERENCE ON PSYCHOLOGY AND SOCIOLOGY</t>
  </si>
  <si>
    <t>https://globalcenter.info/psysoc/wp-content/uploads/2020/11/PSYSOC-PROGRAMME.pdf</t>
  </si>
  <si>
    <t>27 - 29 Noiembrie 2020</t>
  </si>
  <si>
    <t>Perceptions of discrimination and life satisfaction among first generation
immigrants in Greece</t>
  </si>
  <si>
    <t xml:space="preserve">International Conference Migration Dynamics and New Trends in
European (In)Security, Seventh Edition, Cluj-Napoca </t>
  </si>
  <si>
    <t xml:space="preserve">http://hiphi.ubbcluj.ro/Europe4Minorities/Files/Programme_MD_2020.pdf </t>
  </si>
  <si>
    <t xml:space="preserve">From work involvement to emotional drain: Assessing burnout among Romanian Healthcare providers </t>
  </si>
  <si>
    <t>Ştefenel Delia, Ştef Laura (ULBS)</t>
  </si>
  <si>
    <t>12th World Conference on Educational Sciences. Multicultural Education, Istanbul, Turcia</t>
  </si>
  <si>
    <t xml:space="preserve">https://www.globalcenter.info/wces/wp-content/uploads/2020/09/WCES-2020-Draft-Program-4-d%C3%B6n%C3%BC%C5%9Ft%C3%BCr%C3%BCld%C3%BC.pdf </t>
  </si>
  <si>
    <t>6-8 Februarie 2020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</si>
</sst>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Red]0"/>
    <numFmt numFmtId="165" formatCode="dd\.mm\.yyyy"/>
    <numFmt numFmtId="166" formatCode="0.00;[Red]0.00"/>
    <numFmt numFmtId="167" formatCode="d\.m\.yyyy"/>
  </numFmts>
  <fonts count="196">
    <font>
      <sz val="11.0"/>
      <color theme="1"/>
      <name val="Calibri"/>
    </font>
    <font>
      <sz val="10.0"/>
      <color rgb="FF000000"/>
      <name val="Arial narrow"/>
    </font>
    <font>
      <b/>
      <sz val="10.0"/>
      <color theme="1"/>
      <name val="Arial narrow"/>
    </font>
    <font>
      <sz val="10.0"/>
      <color theme="1"/>
      <name val="Arial narrow"/>
    </font>
    <font>
      <b/>
      <sz val="11.0"/>
      <color rgb="FF000000"/>
      <name val="Calibri"/>
    </font>
    <font>
      <sz val="11.0"/>
      <color rgb="FF000000"/>
      <name val="Calibri"/>
    </font>
    <font>
      <sz val="12.0"/>
      <color theme="1"/>
      <name val="Calibri"/>
    </font>
    <font>
      <b/>
      <sz val="12.0"/>
      <color rgb="FF000000"/>
      <name val="Arial narrow"/>
    </font>
    <font/>
    <font>
      <b/>
      <sz val="10.0"/>
      <color rgb="FF000000"/>
      <name val="Arial narrow"/>
    </font>
    <font>
      <b/>
      <sz val="9.0"/>
      <color rgb="FF000000"/>
      <name val="Arial narrow"/>
    </font>
    <font>
      <b/>
      <sz val="9.0"/>
      <color rgb="FF000000"/>
      <name val="Calibri"/>
    </font>
    <font>
      <u/>
      <sz val="11.0"/>
      <color theme="10"/>
      <name val="Calibri"/>
    </font>
    <font>
      <u/>
      <sz val="11.0"/>
      <color theme="10"/>
      <name val="Calibri"/>
    </font>
    <font>
      <sz val="10.0"/>
      <color theme="1"/>
      <name val="Times New Roman"/>
    </font>
    <font>
      <sz val="10.0"/>
      <color rgb="FF000000"/>
      <name val="Times New Roman"/>
    </font>
    <font>
      <sz val="11.0"/>
      <color theme="1"/>
      <name val="Times New Roman"/>
    </font>
    <font>
      <u/>
      <sz val="9.0"/>
      <color theme="10"/>
      <name val="Times New Roman"/>
    </font>
    <font>
      <sz val="10.0"/>
      <color rgb="FF333333"/>
      <name val="Times New Roman"/>
    </font>
    <font>
      <b/>
      <sz val="10.0"/>
      <color theme="1"/>
      <name val="Times New Roman"/>
    </font>
    <font>
      <b/>
      <sz val="10.0"/>
      <color rgb="FF333333"/>
      <name val="Times New Roman"/>
    </font>
    <font>
      <u/>
      <sz val="10.0"/>
      <color rgb="FF0000FF"/>
      <name val="Times New Roman"/>
    </font>
    <font>
      <u/>
      <sz val="11.0"/>
      <color theme="10"/>
      <name val="Times New Roman"/>
    </font>
    <font>
      <u/>
      <sz val="11.0"/>
      <color theme="10"/>
      <name val="Calibri"/>
    </font>
    <font>
      <b/>
      <sz val="10.0"/>
      <color rgb="FFDD0806"/>
      <name val="Arial narrow"/>
    </font>
    <font>
      <b/>
      <sz val="10.0"/>
      <color rgb="FF000000"/>
      <name val="Calibri"/>
    </font>
    <font>
      <sz val="11.0"/>
      <color theme="1"/>
      <name val="Palatino linotype"/>
    </font>
    <font>
      <i/>
      <sz val="11.0"/>
      <color theme="1"/>
      <name val="Palatino linotype"/>
    </font>
    <font>
      <i/>
      <sz val="10.0"/>
      <color rgb="FF000000"/>
      <name val="Arial narrow"/>
    </font>
    <font>
      <i/>
      <sz val="12.0"/>
      <color theme="1"/>
      <name val="Times New Roman"/>
    </font>
    <font>
      <sz val="11.0"/>
      <color theme="1"/>
      <name val="Times new roman bold"/>
    </font>
    <font>
      <sz val="9.0"/>
      <color rgb="FF333333"/>
      <name val="Arial"/>
    </font>
    <font>
      <sz val="9.0"/>
      <color theme="1"/>
      <name val="Arial narrow"/>
    </font>
    <font>
      <u/>
      <sz val="9.0"/>
      <color theme="10"/>
      <name val="Calibri"/>
    </font>
    <font>
      <b/>
      <sz val="9.0"/>
      <color theme="1"/>
      <name val="Arial narrow"/>
    </font>
    <font>
      <b/>
      <sz val="9.0"/>
      <color theme="1"/>
      <name val="Times New Roman"/>
    </font>
    <font>
      <sz val="9.0"/>
      <color theme="1"/>
      <name val="Times New Roman"/>
    </font>
    <font>
      <u/>
      <sz val="9.0"/>
      <color theme="1"/>
      <name val="Arial narrow"/>
    </font>
    <font>
      <u/>
      <sz val="9.0"/>
      <color theme="10"/>
      <name val="Calibri"/>
    </font>
    <font>
      <u/>
      <sz val="9.0"/>
      <color theme="10"/>
      <name val="Calibri"/>
    </font>
    <font>
      <u/>
      <sz val="9.0"/>
      <color theme="1"/>
      <name val="Arial narrow"/>
    </font>
    <font>
      <u/>
      <sz val="10.0"/>
      <color theme="1"/>
      <name val="Arial narrow"/>
    </font>
    <font>
      <u/>
      <sz val="10.0"/>
      <color theme="1"/>
      <name val="Arial narrow"/>
    </font>
    <font>
      <sz val="10.0"/>
      <color rgb="FF0000D4"/>
      <name val="Arial narrow"/>
    </font>
    <font>
      <b/>
      <sz val="12.0"/>
      <color theme="1"/>
      <name val="Arial narrow"/>
    </font>
    <font>
      <i/>
      <sz val="12.0"/>
      <color rgb="FF333333"/>
      <name val="Times New Roman"/>
    </font>
    <font>
      <b/>
      <sz val="11.0"/>
      <color theme="1"/>
      <name val="Calibri"/>
    </font>
    <font>
      <color theme="1"/>
      <name val="Calibri"/>
    </font>
    <font>
      <sz val="9.0"/>
      <color rgb="FF000000"/>
      <name val="Arial narrow"/>
    </font>
    <font>
      <u/>
      <sz val="9.0"/>
      <color rgb="FF0000FF"/>
      <name val="Times New Roman"/>
    </font>
    <font>
      <u/>
      <sz val="9.0"/>
      <color rgb="FF0000FF"/>
      <name val="Arial narrow"/>
    </font>
    <font>
      <u/>
      <sz val="9.0"/>
      <color theme="10"/>
      <name val="Arial narrow"/>
    </font>
    <font>
      <sz val="9.0"/>
      <color rgb="FF666699"/>
      <name val="Arial narrow"/>
    </font>
    <font>
      <sz val="9.0"/>
      <color theme="10"/>
      <name val="Arial narrow"/>
    </font>
    <font>
      <vertAlign val="subscript"/>
      <sz val="9.0"/>
      <color theme="1"/>
      <name val="Arial narrow"/>
    </font>
    <font>
      <sz val="9.0"/>
      <color rgb="FF333333"/>
      <name val="Arial narrow"/>
    </font>
    <font>
      <u/>
      <sz val="9.0"/>
      <color theme="10"/>
      <name val="Arial narrow"/>
    </font>
    <font>
      <u/>
      <sz val="9.0"/>
      <color theme="10"/>
      <name val="Calibri"/>
    </font>
    <font>
      <u/>
      <sz val="9.0"/>
      <color theme="10"/>
      <name val="Calibri"/>
    </font>
    <font>
      <u/>
      <sz val="9.0"/>
      <color theme="10"/>
      <name val="Calibri"/>
    </font>
    <font>
      <u/>
      <sz val="9.0"/>
      <color theme="10"/>
      <name val="Arial narrow"/>
    </font>
    <font>
      <u/>
      <sz val="11.0"/>
      <color theme="10"/>
      <name val="Times New Roman"/>
    </font>
    <font>
      <u/>
      <sz val="11.0"/>
      <color rgb="FF0000FF"/>
      <name val="Times New Roman"/>
    </font>
    <font>
      <u/>
      <sz val="11.0"/>
      <color rgb="FF0000FF"/>
      <name val="Times New Roman"/>
    </font>
    <font>
      <b/>
      <sz val="11.0"/>
      <color theme="1"/>
      <name val="Times New Roman"/>
    </font>
    <font>
      <sz val="11.0"/>
      <color rgb="FF000000"/>
      <name val="Times New Roman"/>
    </font>
    <font>
      <u/>
      <sz val="10.0"/>
      <color rgb="FF0000FF"/>
      <name val="Arial narrow"/>
    </font>
    <font>
      <sz val="10.0"/>
      <color theme="1"/>
      <name val="Arial"/>
    </font>
    <font>
      <i/>
      <sz val="10.0"/>
      <color rgb="FF333333"/>
      <name val="Arial"/>
    </font>
    <font>
      <sz val="10.0"/>
      <color rgb="FF333333"/>
      <name val="Arial"/>
    </font>
    <font>
      <b/>
      <sz val="10.0"/>
      <color theme="1"/>
      <name val="Arial"/>
    </font>
    <font>
      <sz val="9.0"/>
      <color theme="1"/>
      <name val="Arial"/>
    </font>
    <font>
      <u/>
      <sz val="10.0"/>
      <color rgb="FF0000FF"/>
      <name val="Arial narrow"/>
    </font>
    <font>
      <u/>
      <sz val="10.0"/>
      <color rgb="FF0000FF"/>
      <name val="Arial"/>
    </font>
    <font>
      <sz val="10.0"/>
      <name val="Arial"/>
    </font>
    <font>
      <sz val="12.0"/>
      <color rgb="FF000000"/>
      <name val="Times New Roman"/>
    </font>
    <font>
      <b/>
      <sz val="9.0"/>
      <color theme="1"/>
      <name val="Arial"/>
    </font>
    <font>
      <sz val="11.0"/>
      <color rgb="FF333333"/>
      <name val="Times New Roman"/>
    </font>
    <font>
      <sz val="11.0"/>
      <color rgb="FFDD0806"/>
      <name val="Calibri"/>
    </font>
    <font>
      <u/>
      <sz val="11.0"/>
      <color theme="10"/>
      <name val="Calibri"/>
    </font>
    <font>
      <u/>
      <sz val="9.0"/>
      <color theme="10"/>
      <name val="Arial narrow"/>
    </font>
    <font>
      <u/>
      <sz val="9.0"/>
      <color theme="10"/>
      <name val="Calibri"/>
    </font>
    <font>
      <u/>
      <sz val="11.0"/>
      <color theme="10"/>
      <name val="Times New Roman"/>
    </font>
    <font>
      <i/>
      <sz val="10.0"/>
      <color rgb="FF000000"/>
      <name val="Calibri"/>
    </font>
    <font>
      <u/>
      <sz val="11.0"/>
      <color theme="10"/>
      <name val="Calibri"/>
    </font>
    <font>
      <u/>
      <sz val="11.0"/>
      <color theme="10"/>
      <name val="Calibri"/>
    </font>
    <font>
      <u/>
      <sz val="10.0"/>
      <color theme="10"/>
      <name val="Arial narrow"/>
    </font>
    <font>
      <i/>
      <sz val="10.0"/>
      <color theme="1"/>
      <name val="Arial narrow"/>
    </font>
    <font>
      <u/>
      <sz val="11.0"/>
      <color theme="10"/>
      <name val="Calibri"/>
    </font>
    <font>
      <sz val="10.0"/>
      <color rgb="FF333333"/>
      <name val="Arial narrow"/>
    </font>
    <font>
      <u/>
      <sz val="10.0"/>
      <color theme="10"/>
      <name val="Calibri"/>
    </font>
    <font>
      <u/>
      <sz val="10.0"/>
      <color theme="10"/>
      <name val="Calibri"/>
    </font>
    <font>
      <u/>
      <sz val="10.0"/>
      <color theme="10"/>
      <name val="Calibri"/>
    </font>
    <font>
      <sz val="10.0"/>
      <color theme="1"/>
      <name val="Calibri"/>
    </font>
    <font>
      <b/>
      <sz val="10.0"/>
      <color theme="1"/>
      <name val="Calibri"/>
    </font>
    <font>
      <u/>
      <sz val="11.0"/>
      <color theme="10"/>
      <name val="Calibri"/>
    </font>
    <font>
      <b/>
      <sz val="24.0"/>
      <color theme="1"/>
      <name val="Calibri"/>
    </font>
    <font>
      <b/>
      <sz val="13.0"/>
      <color theme="1"/>
      <name val="Calibri"/>
    </font>
    <font>
      <sz val="10.0"/>
      <color theme="1"/>
      <name val="Constantia"/>
    </font>
    <font>
      <sz val="10.0"/>
      <color theme="1"/>
      <name val="Gentiumplus"/>
    </font>
    <font>
      <sz val="10.0"/>
      <color rgb="FF006411"/>
      <name val="Arial"/>
    </font>
    <font>
      <b/>
      <sz val="10.0"/>
      <color rgb="FF333333"/>
      <name val="Arial"/>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9.0"/>
      <color theme="10"/>
      <name val="Arial narrow"/>
    </font>
    <font>
      <u/>
      <sz val="9.0"/>
      <color theme="10"/>
      <name val="Arial narrow"/>
    </font>
    <font>
      <u/>
      <sz val="9.0"/>
      <color theme="10"/>
      <name val="Arial narrow"/>
    </font>
    <font>
      <u/>
      <sz val="9.0"/>
      <color theme="10"/>
      <name val="Arial narrow"/>
    </font>
    <font>
      <u/>
      <sz val="9.0"/>
      <color theme="10"/>
      <name val="Arial narrow"/>
    </font>
    <font>
      <u/>
      <sz val="9.0"/>
      <color theme="10"/>
      <name val="Arial narrow"/>
    </font>
    <font>
      <u/>
      <sz val="9.0"/>
      <color theme="10"/>
      <name val="Arial narrow"/>
    </font>
    <font>
      <u/>
      <sz val="9.0"/>
      <color theme="10"/>
      <name val="Calibri"/>
    </font>
    <font>
      <u/>
      <sz val="9.0"/>
      <color rgb="FF0000FF"/>
      <name val="Arial narrow"/>
    </font>
    <font>
      <u/>
      <sz val="9.0"/>
      <color theme="10"/>
      <name val="Arial narrow"/>
    </font>
    <font>
      <u/>
      <sz val="10.0"/>
      <color theme="10"/>
      <name val="Arial narrow"/>
    </font>
    <font>
      <u/>
      <sz val="10.0"/>
      <color rgb="FF0000FF"/>
      <name val="Arial narrow"/>
    </font>
    <font>
      <u/>
      <sz val="11.0"/>
      <color theme="10"/>
      <name val="Calibri"/>
    </font>
    <font>
      <sz val="12.0"/>
      <color rgb="FF333333"/>
      <name val="Arial"/>
    </font>
    <font>
      <sz val="11.0"/>
      <color theme="10"/>
      <name val="Calibri"/>
    </font>
    <font>
      <u/>
      <sz val="9.0"/>
      <color rgb="FF0000FF"/>
      <name val="Arial narrow"/>
    </font>
    <font>
      <u/>
      <sz val="11.0"/>
      <color rgb="FF0000FF"/>
      <name val="Times New Roman"/>
    </font>
    <font>
      <sz val="8.0"/>
      <color theme="1"/>
      <name val="Times New Roman"/>
    </font>
    <font>
      <u/>
      <sz val="11.0"/>
      <color rgb="FF0000FF"/>
      <name val="Times New Roman"/>
    </font>
    <font>
      <sz val="10.0"/>
      <color rgb="FF333333"/>
      <name val="Georgia"/>
    </font>
    <font>
      <u/>
      <sz val="11.0"/>
      <color theme="10"/>
      <name val="Calibri"/>
    </font>
    <font>
      <sz val="8.0"/>
      <color theme="1"/>
      <name val="Times"/>
    </font>
    <font>
      <u/>
      <sz val="10.0"/>
      <color rgb="FF000000"/>
      <name val="Arial narrow"/>
    </font>
    <font>
      <sz val="11.0"/>
      <color theme="1"/>
      <name val="&quot;arial narrow&quot;"/>
    </font>
    <font>
      <u/>
      <sz val="11.0"/>
      <color rgb="FF0000FF"/>
      <name val="Calibri"/>
    </font>
    <font>
      <b/>
      <sz val="11.0"/>
      <color theme="1"/>
      <name val="&quot;arial narrow&quot;"/>
    </font>
    <font>
      <u/>
      <sz val="11.0"/>
      <color rgb="FF0000FF"/>
      <name val="Calibri"/>
    </font>
    <font>
      <u/>
      <sz val="11.0"/>
      <color rgb="FF0000FF"/>
      <name val="Times New Roman"/>
    </font>
    <font>
      <b/>
      <sz val="11.0"/>
      <color rgb="FF000000"/>
      <name val="Times New Roman"/>
    </font>
    <font>
      <u/>
      <sz val="11.0"/>
      <color rgb="FF0000FF"/>
      <name val="Times New Roman"/>
    </font>
    <font>
      <u/>
      <sz val="10.0"/>
      <color theme="1"/>
      <name val="Arial narrow"/>
    </font>
    <font>
      <u/>
      <sz val="10.0"/>
      <color rgb="FF0000FF"/>
      <name val="Arial narrow"/>
    </font>
    <font>
      <u/>
      <sz val="10.0"/>
      <color rgb="FF0000FF"/>
      <name val="Arial narrow"/>
    </font>
    <font>
      <sz val="11.0"/>
      <color rgb="FF000000"/>
      <name val="Arial narrow"/>
    </font>
    <font>
      <u/>
      <sz val="10.0"/>
      <color rgb="FF000000"/>
      <name val="Arial narrow"/>
    </font>
    <font>
      <u/>
      <sz val="11.0"/>
      <color theme="10"/>
      <name val="Calibri"/>
    </font>
    <font>
      <sz val="8.0"/>
      <color theme="1"/>
      <name val="Arial narrow"/>
    </font>
    <font>
      <u/>
      <sz val="11.0"/>
      <color theme="10"/>
      <name val="Calibri"/>
    </font>
    <font>
      <u/>
      <sz val="9.0"/>
      <color theme="1"/>
      <name val="Arial"/>
    </font>
    <font>
      <sz val="9.0"/>
      <color theme="1"/>
      <name val="Calibri"/>
    </font>
    <font>
      <u/>
      <sz val="9.0"/>
      <color theme="10"/>
      <name val="Calibri"/>
    </font>
    <font>
      <u/>
      <sz val="9.0"/>
      <color theme="10"/>
      <name val="Calibri"/>
    </font>
    <font>
      <u/>
      <sz val="9.0"/>
      <color theme="10"/>
      <name val="Arial narrow"/>
    </font>
    <font>
      <u/>
      <sz val="9.0"/>
      <color theme="10"/>
      <name val="Arial narrow"/>
    </font>
    <font>
      <u/>
      <sz val="9.0"/>
      <color theme="10"/>
      <name val="Calibri"/>
    </font>
    <font>
      <u/>
      <sz val="11.0"/>
      <color theme="10"/>
      <name val="Times New Roman"/>
    </font>
    <font>
      <u/>
      <sz val="11.0"/>
      <color theme="10"/>
      <name val="Times New Roman"/>
    </font>
    <font>
      <u/>
      <sz val="11.0"/>
      <color rgb="FF0000FF"/>
      <name val="Times New Roman"/>
    </font>
    <font>
      <u/>
      <sz val="10.0"/>
      <color theme="1"/>
      <name val="Arial narrow"/>
    </font>
    <font>
      <u/>
      <sz val="9.0"/>
      <color theme="10"/>
      <name val="Calibri"/>
    </font>
    <font>
      <u/>
      <sz val="9.0"/>
      <color theme="10"/>
      <name val="Arial narrow"/>
    </font>
    <font>
      <u/>
      <sz val="9.0"/>
      <color theme="10"/>
      <name val="Calibri"/>
    </font>
    <font>
      <u/>
      <sz val="11.0"/>
      <color theme="10"/>
      <name val="Times New Roman"/>
    </font>
    <font>
      <u/>
      <sz val="11.0"/>
      <color theme="10"/>
      <name val="Times New Roman"/>
    </font>
    <font>
      <u/>
      <sz val="10.0"/>
      <color theme="1"/>
      <name val="Times New Roman"/>
    </font>
    <font>
      <u/>
      <sz val="10.0"/>
      <color rgb="FF0000FF"/>
      <name val="Times New Roman"/>
    </font>
    <font>
      <u/>
      <sz val="11.0"/>
      <color rgb="FF0000FF"/>
      <name val="Times New Roman"/>
    </font>
    <font>
      <u/>
      <sz val="11.0"/>
      <color rgb="FF0000FF"/>
      <name val="Times New Roman"/>
    </font>
    <font>
      <u/>
      <sz val="11.0"/>
      <color rgb="FF0000FF"/>
      <name val="Times New Roman"/>
    </font>
    <font>
      <u/>
      <sz val="10.0"/>
      <color theme="1"/>
      <name val="Arial narrow"/>
    </font>
    <font>
      <u/>
      <sz val="11.0"/>
      <color theme="10"/>
      <name val="Calibri"/>
    </font>
    <font>
      <sz val="7.0"/>
      <color theme="1"/>
      <name val="Arial"/>
    </font>
    <font>
      <sz val="11.0"/>
      <color rgb="FF000000"/>
      <name val="&quot;arial narrow&quot;"/>
    </font>
    <font>
      <u/>
      <sz val="11.0"/>
      <color rgb="FF0000FF"/>
      <name val="Calibri"/>
    </font>
    <font>
      <sz val="11.0"/>
      <color rgb="FF333333"/>
      <name val="&quot;arial narrow&quot;"/>
    </font>
    <font>
      <b/>
      <sz val="11.0"/>
      <color rgb="FF333333"/>
      <name val="&quot;arial narrow&quot;"/>
    </font>
    <font>
      <u/>
      <sz val="10.0"/>
      <color theme="1"/>
      <name val="Arial narrow"/>
    </font>
    <font>
      <u/>
      <sz val="11.0"/>
      <color theme="10"/>
      <name val="Calibri"/>
    </font>
    <font>
      <i/>
      <sz val="11.0"/>
      <color theme="1"/>
      <name val="Times New Roman"/>
    </font>
    <font>
      <u/>
      <sz val="9.0"/>
      <color theme="10"/>
      <name val="Calibri"/>
    </font>
    <font>
      <u/>
      <sz val="9.0"/>
      <color theme="10"/>
      <name val="Calibri"/>
    </font>
    <font>
      <u/>
      <sz val="9.0"/>
      <color theme="10"/>
      <name val="Calibri"/>
    </font>
    <font>
      <u/>
      <sz val="9.0"/>
      <color theme="10"/>
      <name val="Calibri"/>
    </font>
    <font>
      <u/>
      <sz val="9.0"/>
      <color theme="10"/>
      <name val="Calibri"/>
    </font>
    <font>
      <u/>
      <sz val="10.0"/>
      <color rgb="FF0066CC"/>
      <name val="Arial narrow"/>
    </font>
    <font>
      <sz val="10.0"/>
      <color rgb="FF0066CC"/>
      <name val="Calibri"/>
    </font>
    <font>
      <u/>
      <sz val="11.0"/>
      <color theme="10"/>
      <name val="Arial narrow"/>
    </font>
    <font>
      <i/>
      <sz val="10.0"/>
      <color theme="1"/>
      <name val="Arial"/>
    </font>
    <font>
      <b/>
      <i/>
      <sz val="9.0"/>
      <color rgb="FF333333"/>
      <name val="Arial"/>
    </font>
    <font>
      <u/>
      <sz val="11.0"/>
      <color theme="10"/>
      <name val="Calibri"/>
    </font>
    <font>
      <sz val="12.0"/>
      <color theme="1"/>
      <name val="Times New Roman"/>
    </font>
    <font>
      <u/>
      <sz val="9.0"/>
      <color theme="10"/>
      <name val="Arial narrow"/>
    </font>
    <font>
      <u/>
      <sz val="11.0"/>
      <color theme="10"/>
      <name val="Times New Roman"/>
    </font>
    <font>
      <u/>
      <sz val="10.0"/>
      <color rgb="FF0000FF"/>
      <name val="Times New Roman"/>
    </font>
    <font>
      <u/>
      <sz val="11.0"/>
      <color theme="10"/>
      <name val="Times New Roman"/>
    </font>
    <font>
      <u/>
      <sz val="11.0"/>
      <color rgb="FF0000FF"/>
      <name val="Times New Roman"/>
    </font>
    <font>
      <u/>
      <sz val="10.0"/>
      <color rgb="FF0066CC"/>
      <name val="Arial narrow"/>
    </font>
  </fonts>
  <fills count="11">
    <fill>
      <patternFill patternType="none"/>
    </fill>
    <fill>
      <patternFill patternType="lightGray"/>
    </fill>
    <fill>
      <patternFill patternType="solid">
        <fgColor rgb="FFFBD4B4"/>
        <bgColor rgb="FFFBD4B4"/>
      </patternFill>
    </fill>
    <fill>
      <patternFill patternType="solid">
        <fgColor rgb="FFEAF1DD"/>
        <bgColor rgb="FFEAF1DD"/>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FFFF99"/>
        <bgColor rgb="FFFFFF99"/>
      </patternFill>
    </fill>
    <fill>
      <patternFill patternType="solid">
        <fgColor rgb="FFFFCC00"/>
        <bgColor rgb="FFFFCC00"/>
      </patternFill>
    </fill>
    <fill>
      <patternFill patternType="solid">
        <fgColor rgb="FFDD0806"/>
        <bgColor rgb="FFDD0806"/>
      </patternFill>
    </fill>
    <fill>
      <patternFill patternType="solid">
        <fgColor rgb="FFFFFFCC"/>
        <bgColor rgb="FFFFFFCC"/>
      </patternFill>
    </fill>
  </fills>
  <borders count="2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border>
    <border>
      <right style="thin">
        <color rgb="FF000000"/>
      </right>
      <top style="thin">
        <color rgb="FF000000"/>
      </top>
    </border>
    <border>
      <left/>
      <top/>
      <bottom/>
    </border>
    <border>
      <top/>
      <bottom/>
    </border>
    <border>
      <right/>
      <top/>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right/>
      <top style="thin">
        <color rgb="FF000000"/>
      </top>
      <bottom style="thin">
        <color rgb="FF000000"/>
      </bottom>
    </border>
    <border>
      <right style="thin">
        <color rgb="FF000000"/>
      </right>
      <bottom style="thin">
        <color rgb="FF000000"/>
      </bottom>
    </border>
    <border>
      <right style="thin">
        <color rgb="FF000000"/>
      </right>
    </border>
    <border>
      <left/>
      <right/>
      <top/>
      <bottom/>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bottom style="thin">
        <color rgb="FF000000"/>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76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1" fillId="2" fontId="2" numFmtId="0" xfId="0" applyAlignment="1" applyBorder="1" applyFill="1" applyFont="1">
      <alignment shrinkToFit="0" vertical="bottom" wrapText="0"/>
    </xf>
    <xf borderId="1" fillId="0" fontId="3" numFmtId="0" xfId="0" applyAlignment="1" applyBorder="1" applyFont="1">
      <alignment horizontal="center" shrinkToFit="0" vertical="bottom" wrapText="0"/>
    </xf>
    <xf borderId="0" fillId="0" fontId="3" numFmtId="0" xfId="0" applyAlignment="1" applyFont="1">
      <alignment horizontal="center" shrinkToFit="0" vertical="bottom" wrapText="0"/>
    </xf>
    <xf borderId="0" fillId="0" fontId="1" numFmtId="0" xfId="0" applyAlignment="1" applyFont="1">
      <alignment horizontal="center" shrinkToFit="0" vertical="bottom" wrapText="1"/>
    </xf>
    <xf borderId="0" fillId="0" fontId="0" numFmtId="0" xfId="0" applyAlignment="1" applyFont="1">
      <alignment horizontal="center" shrinkToFit="0" textRotation="90" vertical="bottom" wrapText="1"/>
    </xf>
    <xf borderId="0" fillId="0" fontId="0" numFmtId="0" xfId="0" applyAlignment="1" applyFont="1">
      <alignment horizontal="center" shrinkToFit="0" vertical="bottom" wrapText="1"/>
    </xf>
    <xf borderId="1" fillId="2" fontId="4" numFmtId="0" xfId="0" applyAlignment="1" applyBorder="1" applyFont="1">
      <alignment horizontal="center" shrinkToFit="0" vertical="center" wrapText="1"/>
    </xf>
    <xf borderId="2" fillId="2" fontId="4" numFmtId="0" xfId="0" applyAlignment="1" applyBorder="1" applyFont="1">
      <alignment horizontal="center" shrinkToFit="0" vertical="center" wrapText="1"/>
    </xf>
    <xf borderId="1" fillId="3" fontId="4" numFmtId="0" xfId="0" applyAlignment="1" applyBorder="1" applyFill="1" applyFont="1">
      <alignment horizontal="center" shrinkToFit="0" vertical="center" wrapText="1"/>
    </xf>
    <xf borderId="1" fillId="4" fontId="4" numFmtId="0" xfId="0" applyAlignment="1" applyBorder="1" applyFill="1" applyFont="1">
      <alignment horizontal="center" shrinkToFit="0" vertical="center" wrapText="1"/>
    </xf>
    <xf borderId="1" fillId="0" fontId="0" numFmtId="0" xfId="0" applyAlignment="1" applyBorder="1" applyFont="1">
      <alignment horizontal="center" shrinkToFit="0" vertical="center" wrapText="1"/>
    </xf>
    <xf borderId="1" fillId="5" fontId="0" numFmtId="0" xfId="0" applyAlignment="1" applyBorder="1" applyFill="1" applyFont="1">
      <alignment horizontal="left" shrinkToFit="0" vertical="center" wrapText="1"/>
    </xf>
    <xf borderId="1" fillId="5" fontId="0" numFmtId="0" xfId="0" applyAlignment="1" applyBorder="1" applyFont="1">
      <alignment horizontal="center" shrinkToFit="0" vertical="center" wrapText="1"/>
    </xf>
    <xf borderId="1" fillId="5" fontId="0" numFmtId="3" xfId="0" applyAlignment="1" applyBorder="1" applyFont="1" applyNumberFormat="1">
      <alignment horizontal="center" shrinkToFit="0" vertical="center" wrapText="1"/>
    </xf>
    <xf borderId="1" fillId="3" fontId="0" numFmtId="4" xfId="0" applyAlignment="1" applyBorder="1" applyFont="1" applyNumberFormat="1">
      <alignment horizontal="center" shrinkToFit="0" vertical="center" wrapText="0"/>
    </xf>
    <xf borderId="1" fillId="5" fontId="0" numFmtId="4" xfId="0" applyAlignment="1" applyBorder="1" applyFont="1" applyNumberFormat="1">
      <alignment horizontal="center" shrinkToFit="0" vertical="center" wrapText="0"/>
    </xf>
    <xf borderId="1" fillId="4" fontId="0" numFmtId="4" xfId="0" applyAlignment="1" applyBorder="1" applyFont="1" applyNumberFormat="1">
      <alignment horizontal="center" shrinkToFit="0" vertical="center" wrapText="0"/>
    </xf>
    <xf borderId="1" fillId="5" fontId="0" numFmtId="3" xfId="0" applyAlignment="1" applyBorder="1" applyFont="1" applyNumberFormat="1">
      <alignment horizontal="center" shrinkToFit="0" vertical="center" wrapText="0"/>
    </xf>
    <xf borderId="1" fillId="6" fontId="0" numFmtId="0" xfId="0" applyAlignment="1" applyBorder="1" applyFill="1" applyFont="1">
      <alignment horizontal="left" shrinkToFit="0" vertical="center" wrapText="1"/>
    </xf>
    <xf borderId="1" fillId="0" fontId="0" numFmtId="3" xfId="0" applyAlignment="1" applyBorder="1" applyFont="1" applyNumberFormat="1">
      <alignment horizontal="center" shrinkToFit="0" vertical="center" wrapText="1"/>
    </xf>
    <xf borderId="1" fillId="0" fontId="0" numFmtId="3" xfId="0" applyAlignment="1" applyBorder="1" applyFont="1" applyNumberFormat="1">
      <alignment horizontal="center" shrinkToFit="0" vertical="center" wrapText="0"/>
    </xf>
    <xf borderId="1" fillId="0" fontId="0" numFmtId="4" xfId="0" applyAlignment="1" applyBorder="1" applyFont="1" applyNumberFormat="1">
      <alignment horizontal="center" shrinkToFit="0" vertical="center" wrapText="0"/>
    </xf>
    <xf borderId="1" fillId="5" fontId="0" numFmtId="2" xfId="0" applyAlignment="1" applyBorder="1" applyFont="1" applyNumberFormat="1">
      <alignment horizontal="center" shrinkToFit="0" vertical="center" wrapText="0"/>
    </xf>
    <xf borderId="1" fillId="6" fontId="0" numFmtId="0" xfId="0" applyAlignment="1" applyBorder="1" applyFont="1">
      <alignment horizontal="center" shrinkToFit="0" vertical="center" wrapText="1"/>
    </xf>
    <xf borderId="1" fillId="4" fontId="0" numFmtId="0" xfId="0" applyAlignment="1" applyBorder="1" applyFont="1">
      <alignment horizontal="center" shrinkToFit="0" vertical="center" wrapText="1"/>
    </xf>
    <xf borderId="1" fillId="6" fontId="5" numFmtId="0" xfId="0" applyAlignment="1" applyBorder="1" applyFont="1">
      <alignment horizontal="left" shrinkToFit="0" vertical="center" wrapText="1"/>
    </xf>
    <xf borderId="1" fillId="0" fontId="5" numFmtId="3" xfId="0" applyAlignment="1" applyBorder="1" applyFont="1" applyNumberFormat="1">
      <alignment horizontal="center" shrinkToFit="0" vertical="center" wrapText="1"/>
    </xf>
    <xf borderId="1" fillId="0" fontId="5" numFmtId="4" xfId="0" applyAlignment="1" applyBorder="1" applyFont="1" applyNumberFormat="1">
      <alignment horizontal="center" shrinkToFit="0" vertical="center" wrapText="0"/>
    </xf>
    <xf borderId="1" fillId="6" fontId="6" numFmtId="0" xfId="0" applyAlignment="1" applyBorder="1" applyFont="1">
      <alignment horizontal="left" shrinkToFit="0" vertical="center" wrapText="1"/>
    </xf>
    <xf borderId="1" fillId="6" fontId="6" numFmtId="0" xfId="0" applyAlignment="1" applyBorder="1" applyFont="1">
      <alignment horizontal="center" shrinkToFit="0" vertical="center" wrapText="1"/>
    </xf>
    <xf borderId="1" fillId="0" fontId="6" numFmtId="3" xfId="0" applyAlignment="1" applyBorder="1" applyFont="1" applyNumberFormat="1">
      <alignment horizontal="center" shrinkToFit="0" vertical="center" wrapText="1"/>
    </xf>
    <xf borderId="1" fillId="0" fontId="6" numFmtId="4" xfId="0" applyAlignment="1" applyBorder="1" applyFont="1" applyNumberFormat="1">
      <alignment horizontal="center" shrinkToFit="0" vertical="center" wrapText="0"/>
    </xf>
    <xf borderId="1" fillId="0" fontId="6" numFmtId="3" xfId="0" applyAlignment="1" applyBorder="1" applyFont="1" applyNumberFormat="1">
      <alignment horizontal="center" shrinkToFit="0" vertical="center" wrapText="0"/>
    </xf>
    <xf borderId="1" fillId="0" fontId="0" numFmtId="4" xfId="0" applyAlignment="1" applyBorder="1" applyFont="1" applyNumberFormat="1">
      <alignment horizontal="center"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horizontal="center" shrinkToFit="0" vertical="center" wrapText="0"/>
    </xf>
    <xf borderId="1" fillId="3" fontId="1" numFmtId="1" xfId="0" applyAlignment="1" applyBorder="1" applyFont="1" applyNumberFormat="1">
      <alignment horizontal="center" shrinkToFit="0" vertical="center" wrapText="0"/>
    </xf>
    <xf borderId="1" fillId="3" fontId="1" numFmtId="4" xfId="0" applyAlignment="1" applyBorder="1" applyFont="1" applyNumberFormat="1">
      <alignment horizontal="center" shrinkToFit="0" vertical="center" wrapText="0"/>
    </xf>
    <xf borderId="0" fillId="0" fontId="0" numFmtId="4" xfId="0" applyAlignment="1" applyFont="1" applyNumberFormat="1">
      <alignment horizontal="center" shrinkToFit="0" vertical="center" wrapText="0"/>
    </xf>
    <xf borderId="1" fillId="4" fontId="1" numFmtId="0" xfId="0" applyAlignment="1" applyBorder="1" applyFont="1">
      <alignment horizontal="center" shrinkToFit="0" vertical="center" wrapText="1"/>
    </xf>
    <xf borderId="1" fillId="4" fontId="1" numFmtId="0" xfId="0" applyAlignment="1" applyBorder="1" applyFont="1">
      <alignment shrinkToFit="0" vertical="bottom" wrapText="0"/>
    </xf>
    <xf borderId="1" fillId="4" fontId="1" numFmtId="4" xfId="0" applyAlignment="1" applyBorder="1" applyFont="1" applyNumberFormat="1">
      <alignment horizontal="center" shrinkToFit="0" vertical="center" wrapText="0"/>
    </xf>
    <xf borderId="0" fillId="0" fontId="0" numFmtId="4" xfId="0" applyAlignment="1" applyFont="1" applyNumberFormat="1">
      <alignment horizontal="center" shrinkToFit="0" vertical="bottom" wrapText="1"/>
    </xf>
    <xf borderId="0" fillId="0" fontId="0" numFmtId="4" xfId="0" applyAlignment="1" applyFont="1" applyNumberFormat="1">
      <alignment shrinkToFit="0" vertical="bottom" wrapText="0"/>
    </xf>
    <xf borderId="1" fillId="2" fontId="1" numFmtId="0" xfId="0" applyAlignment="1" applyBorder="1" applyFont="1">
      <alignment horizontal="left" shrinkToFit="0" vertical="center" wrapText="0"/>
    </xf>
    <xf borderId="1" fillId="0" fontId="1" numFmtId="0" xfId="0" applyAlignment="1" applyBorder="1" applyFont="1">
      <alignment horizontal="center" shrinkToFit="0" vertical="center" wrapText="0"/>
    </xf>
    <xf borderId="1" fillId="3" fontId="1" numFmtId="0" xfId="0" applyAlignment="1" applyBorder="1" applyFont="1">
      <alignment horizontal="left" shrinkToFit="0" vertical="center" wrapText="0"/>
    </xf>
    <xf borderId="1" fillId="4" fontId="1" numFmtId="0" xfId="0" applyAlignment="1" applyBorder="1" applyFont="1">
      <alignment horizontal="left" shrinkToFit="0" vertical="center" wrapText="0"/>
    </xf>
    <xf borderId="1" fillId="4" fontId="1" numFmtId="0" xfId="0" applyAlignment="1" applyBorder="1" applyFont="1">
      <alignment horizontal="center" shrinkToFit="0" vertical="center" wrapText="0"/>
    </xf>
    <xf borderId="0" fillId="0" fontId="1" numFmtId="0" xfId="0" applyAlignment="1" applyFont="1">
      <alignment shrinkToFit="0" vertical="bottom" wrapText="1"/>
    </xf>
    <xf borderId="0" fillId="0" fontId="1" numFmtId="0" xfId="0" applyAlignment="1" applyFont="1">
      <alignment shrinkToFit="0" vertical="top" wrapText="1"/>
    </xf>
    <xf borderId="3" fillId="7" fontId="7" numFmtId="0" xfId="0" applyAlignment="1" applyBorder="1" applyFill="1" applyFont="1">
      <alignment horizontal="center" shrinkToFit="0" vertical="bottom" wrapText="1"/>
    </xf>
    <xf borderId="4" fillId="0" fontId="8" numFmtId="0" xfId="0" applyBorder="1" applyFont="1"/>
    <xf borderId="5" fillId="0" fontId="8" numFmtId="0" xfId="0" applyBorder="1" applyFont="1"/>
    <xf borderId="0" fillId="0" fontId="9" numFmtId="0" xfId="0" applyAlignment="1" applyFont="1">
      <alignment shrinkToFit="0" vertical="bottom" wrapText="0"/>
    </xf>
    <xf borderId="0" fillId="0" fontId="4" numFmtId="0" xfId="0" applyAlignment="1" applyFont="1">
      <alignment shrinkToFit="0" vertical="bottom" wrapText="0"/>
    </xf>
    <xf borderId="3" fillId="7" fontId="3" numFmtId="0" xfId="0" applyAlignment="1" applyBorder="1" applyFont="1">
      <alignment horizontal="left" shrinkToFit="0" vertical="bottom" wrapText="1"/>
    </xf>
    <xf borderId="3" fillId="7" fontId="3" numFmtId="0" xfId="0" applyAlignment="1" applyBorder="1" applyFont="1">
      <alignment horizontal="left" shrinkToFit="0" vertical="top" wrapText="1"/>
    </xf>
    <xf borderId="0" fillId="0" fontId="9" numFmtId="0" xfId="0" applyAlignment="1" applyFont="1">
      <alignment horizontal="left" shrinkToFit="0" vertical="bottom" wrapText="1"/>
    </xf>
    <xf borderId="0" fillId="0" fontId="9" numFmtId="0" xfId="0" applyAlignment="1" applyFont="1">
      <alignment shrinkToFit="0" vertical="top" wrapText="1"/>
    </xf>
    <xf borderId="2" fillId="8" fontId="2" numFmtId="0" xfId="0" applyAlignment="1" applyBorder="1" applyFill="1" applyFont="1">
      <alignment horizontal="center" shrinkToFit="0" vertical="center" wrapText="1"/>
    </xf>
    <xf borderId="6" fillId="8" fontId="2" numFmtId="0" xfId="0" applyAlignment="1" applyBorder="1" applyFont="1">
      <alignment horizontal="center" shrinkToFit="0" vertical="center" wrapText="1"/>
    </xf>
    <xf borderId="1" fillId="9" fontId="2" numFmtId="0" xfId="0" applyAlignment="1" applyBorder="1" applyFill="1" applyFont="1">
      <alignment horizontal="center" shrinkToFit="0" vertical="center" wrapText="1"/>
    </xf>
    <xf borderId="0" fillId="0" fontId="10" numFmtId="0" xfId="0" applyAlignment="1" applyFont="1">
      <alignment shrinkToFit="0" vertical="bottom" wrapText="0"/>
    </xf>
    <xf borderId="0" fillId="0" fontId="11" numFmtId="0" xfId="0" applyAlignment="1" applyFont="1">
      <alignment shrinkToFit="0" vertical="bottom" wrapText="0"/>
    </xf>
    <xf borderId="1" fillId="6" fontId="3" numFmtId="0" xfId="0" applyAlignment="1" applyBorder="1" applyFont="1">
      <alignment shrinkToFit="0" vertical="top" wrapText="1"/>
    </xf>
    <xf borderId="1" fillId="6" fontId="3" numFmtId="0" xfId="0" applyAlignment="1" applyBorder="1" applyFont="1">
      <alignment horizontal="center" shrinkToFit="0" vertical="top" wrapText="1"/>
    </xf>
    <xf borderId="6" fillId="6" fontId="3" numFmtId="0" xfId="0" applyAlignment="1" applyBorder="1" applyFont="1">
      <alignment horizontal="center" shrinkToFit="0" vertical="top" wrapText="1"/>
    </xf>
    <xf borderId="7" fillId="0" fontId="3" numFmtId="0" xfId="0" applyAlignment="1" applyBorder="1" applyFont="1">
      <alignment horizontal="center" shrinkToFit="0" vertical="top" wrapText="1"/>
    </xf>
    <xf borderId="7" fillId="0" fontId="1" numFmtId="0" xfId="0" applyAlignment="1" applyBorder="1" applyFont="1">
      <alignment shrinkToFit="0" vertical="top" wrapText="1"/>
    </xf>
    <xf borderId="7" fillId="0" fontId="3" numFmtId="0" xfId="0" applyAlignment="1" applyBorder="1" applyFont="1">
      <alignment shrinkToFit="0" vertical="top" wrapText="1"/>
    </xf>
    <xf borderId="7" fillId="0" fontId="3" numFmtId="49" xfId="0" applyAlignment="1" applyBorder="1" applyFont="1" applyNumberFormat="1">
      <alignment horizontal="center" shrinkToFit="0" vertical="top" wrapText="1"/>
    </xf>
    <xf borderId="1" fillId="0" fontId="3" numFmtId="0" xfId="0" applyAlignment="1" applyBorder="1" applyFont="1">
      <alignment horizontal="center" shrinkToFit="0" vertical="top" wrapText="1"/>
    </xf>
    <xf borderId="1" fillId="0" fontId="2" numFmtId="1" xfId="0" applyAlignment="1" applyBorder="1" applyFont="1" applyNumberFormat="1">
      <alignment horizontal="center" shrinkToFit="0" vertical="top" wrapText="1"/>
    </xf>
    <xf borderId="1" fillId="0" fontId="2" numFmtId="4" xfId="0" applyAlignment="1" applyBorder="1" applyFont="1" applyNumberFormat="1">
      <alignment horizontal="center" shrinkToFit="0" vertical="top" wrapText="1"/>
    </xf>
    <xf borderId="7" fillId="0" fontId="12" numFmtId="0" xfId="0" applyAlignment="1" applyBorder="1" applyFont="1">
      <alignment shrinkToFit="0" vertical="top" wrapText="1"/>
    </xf>
    <xf borderId="0" fillId="0" fontId="13" numFmtId="0" xfId="0" applyAlignment="1" applyFont="1">
      <alignment horizontal="left" shrinkToFit="0" vertical="top" wrapText="1"/>
    </xf>
    <xf borderId="1" fillId="0" fontId="3" numFmtId="3" xfId="0" applyAlignment="1" applyBorder="1" applyFont="1" applyNumberFormat="1">
      <alignment horizontal="center" shrinkToFit="0" vertical="top" wrapText="1"/>
    </xf>
    <xf borderId="1" fillId="6" fontId="14" numFmtId="0" xfId="0" applyAlignment="1" applyBorder="1" applyFont="1">
      <alignment shrinkToFit="0" vertical="center" wrapText="1"/>
    </xf>
    <xf borderId="1" fillId="0" fontId="15" numFmtId="0" xfId="0" applyAlignment="1" applyBorder="1" applyFont="1">
      <alignment shrinkToFit="0" vertical="center" wrapText="1"/>
    </xf>
    <xf borderId="1" fillId="6" fontId="14" numFmtId="0" xfId="0" applyAlignment="1" applyBorder="1" applyFont="1">
      <alignment horizontal="center" shrinkToFit="0" vertical="top" wrapText="1"/>
    </xf>
    <xf borderId="1" fillId="0" fontId="14" numFmtId="0" xfId="0" applyAlignment="1" applyBorder="1" applyFont="1">
      <alignment horizontal="center" shrinkToFit="0" vertical="center" wrapText="1"/>
    </xf>
    <xf borderId="1" fillId="0" fontId="16" numFmtId="0" xfId="0" applyAlignment="1" applyBorder="1" applyFont="1">
      <alignment shrinkToFit="0" vertical="center" wrapText="1"/>
    </xf>
    <xf borderId="1" fillId="0" fontId="17" numFmtId="0" xfId="0" applyAlignment="1" applyBorder="1" applyFont="1">
      <alignment shrinkToFit="0" vertical="center" wrapText="1"/>
    </xf>
    <xf borderId="1" fillId="0" fontId="14" numFmtId="0" xfId="0" applyAlignment="1" applyBorder="1" applyFont="1">
      <alignment shrinkToFit="0" vertical="top" wrapText="1"/>
    </xf>
    <xf borderId="1" fillId="0" fontId="18" numFmtId="0" xfId="0" applyAlignment="1" applyBorder="1" applyFont="1">
      <alignment shrinkToFit="0" vertical="center" wrapText="1"/>
    </xf>
    <xf borderId="1" fillId="0" fontId="14" numFmtId="49" xfId="0" applyAlignment="1" applyBorder="1" applyFont="1" applyNumberFormat="1">
      <alignment horizontal="center" shrinkToFit="0" vertical="top" wrapText="1"/>
    </xf>
    <xf borderId="1" fillId="0" fontId="14" numFmtId="0" xfId="0" applyAlignment="1" applyBorder="1" applyFont="1">
      <alignment horizontal="center" shrinkToFit="0" vertical="top" wrapText="1"/>
    </xf>
    <xf borderId="1" fillId="0" fontId="19" numFmtId="1" xfId="0" applyAlignment="1" applyBorder="1" applyFont="1" applyNumberFormat="1">
      <alignment horizontal="center" shrinkToFit="0" vertical="top" wrapText="1"/>
    </xf>
    <xf borderId="1" fillId="0" fontId="19" numFmtId="4" xfId="0" applyAlignment="1" applyBorder="1" applyFont="1" applyNumberFormat="1">
      <alignment horizontal="center" shrinkToFit="0" vertical="top" wrapText="1"/>
    </xf>
    <xf borderId="1" fillId="0" fontId="14" numFmtId="0" xfId="0" applyAlignment="1" applyBorder="1" applyFont="1">
      <alignment shrinkToFit="0" vertical="center" wrapText="0"/>
    </xf>
    <xf borderId="1" fillId="0" fontId="20" numFmtId="0" xfId="0" applyAlignment="1" applyBorder="1" applyFont="1">
      <alignment shrinkToFit="0" vertical="center" wrapText="0"/>
    </xf>
    <xf borderId="1" fillId="0" fontId="20" numFmtId="0" xfId="0" applyAlignment="1" applyBorder="1" applyFont="1">
      <alignment shrinkToFit="0" vertical="center" wrapText="1"/>
    </xf>
    <xf borderId="1" fillId="0" fontId="21" numFmtId="0" xfId="0" applyAlignment="1" applyBorder="1" applyFont="1">
      <alignment shrinkToFit="0" vertical="center" wrapText="1"/>
    </xf>
    <xf borderId="1" fillId="6" fontId="22" numFmtId="0" xfId="0" applyAlignment="1" applyBorder="1" applyFont="1">
      <alignment shrinkToFit="0" vertical="center" wrapText="1"/>
    </xf>
    <xf borderId="1" fillId="0" fontId="14" numFmtId="1" xfId="0" applyAlignment="1" applyBorder="1" applyFont="1" applyNumberFormat="1">
      <alignment horizontal="center" shrinkToFit="0" vertical="top" wrapText="1"/>
    </xf>
    <xf borderId="1" fillId="5" fontId="3" numFmtId="0" xfId="0" applyAlignment="1" applyBorder="1" applyFont="1">
      <alignment shrinkToFit="0" vertical="top" wrapText="1"/>
    </xf>
    <xf borderId="1" fillId="0" fontId="23" numFmtId="0" xfId="0" applyAlignment="1" applyBorder="1" applyFont="1">
      <alignment shrinkToFit="0" vertical="top" wrapText="1"/>
    </xf>
    <xf borderId="1" fillId="0" fontId="3" numFmtId="0" xfId="0" applyAlignment="1" applyBorder="1" applyFont="1">
      <alignment shrinkToFit="0" vertical="top" wrapText="1"/>
    </xf>
    <xf borderId="1" fillId="0" fontId="3" numFmtId="49" xfId="0" applyAlignment="1" applyBorder="1" applyFont="1" applyNumberFormat="1">
      <alignment horizontal="center" shrinkToFit="0" vertical="top" wrapText="1"/>
    </xf>
    <xf borderId="1" fillId="0" fontId="3" numFmtId="1" xfId="0" applyAlignment="1" applyBorder="1" applyFont="1" applyNumberFormat="1">
      <alignment horizontal="center" shrinkToFit="0" vertical="top" wrapText="1"/>
    </xf>
    <xf borderId="0" fillId="0" fontId="9" numFmtId="0" xfId="0" applyAlignment="1" applyFont="1">
      <alignment shrinkToFit="0" vertical="bottom" wrapText="1"/>
    </xf>
    <xf borderId="0" fillId="0" fontId="9" numFmtId="4" xfId="0" applyAlignment="1" applyFont="1" applyNumberFormat="1">
      <alignment horizontal="center" shrinkToFit="0" vertical="bottom" wrapText="0"/>
    </xf>
    <xf borderId="8" fillId="7" fontId="24" numFmtId="0" xfId="0" applyAlignment="1" applyBorder="1" applyFont="1">
      <alignment horizontal="center" shrinkToFit="0" vertical="bottom" wrapText="1"/>
    </xf>
    <xf borderId="9" fillId="0" fontId="8" numFmtId="0" xfId="0" applyBorder="1" applyFont="1"/>
    <xf borderId="10" fillId="0" fontId="8" numFmtId="0" xfId="0" applyBorder="1" applyFont="1"/>
    <xf borderId="11" fillId="6" fontId="3" numFmtId="0" xfId="0" applyAlignment="1" applyBorder="1" applyFont="1">
      <alignment horizontal="center" shrinkToFit="0" vertical="top" wrapText="1"/>
    </xf>
    <xf borderId="5" fillId="0" fontId="3" numFmtId="0" xfId="0" applyAlignment="1" applyBorder="1" applyFont="1">
      <alignment horizontal="center" shrinkToFit="0" vertical="top" wrapText="1"/>
    </xf>
    <xf borderId="5" fillId="0" fontId="1" numFmtId="0" xfId="0" applyAlignment="1" applyBorder="1" applyFont="1">
      <alignment shrinkToFit="0" vertical="top" wrapText="1"/>
    </xf>
    <xf borderId="5" fillId="0" fontId="3" numFmtId="0" xfId="0" applyAlignment="1" applyBorder="1" applyFont="1">
      <alignment shrinkToFit="0" vertical="top" wrapText="1"/>
    </xf>
    <xf borderId="5" fillId="0" fontId="3" numFmtId="49" xfId="0" applyAlignment="1" applyBorder="1" applyFont="1" applyNumberFormat="1">
      <alignment horizontal="center" shrinkToFit="0" vertical="top" wrapText="1"/>
    </xf>
    <xf borderId="0" fillId="0" fontId="25" numFmtId="0" xfId="0" applyAlignment="1" applyFont="1">
      <alignment shrinkToFit="0" vertical="bottom" wrapText="0"/>
    </xf>
    <xf borderId="0" fillId="0" fontId="9" numFmtId="0" xfId="0" applyAlignment="1" applyFont="1">
      <alignment horizontal="center" shrinkToFit="0" vertical="bottom" wrapText="1"/>
    </xf>
    <xf borderId="3" fillId="7" fontId="1" numFmtId="0" xfId="0" applyAlignment="1" applyBorder="1" applyFont="1">
      <alignment horizontal="left" shrinkToFit="0" vertical="bottom" wrapText="1"/>
    </xf>
    <xf borderId="3" fillId="7" fontId="3" numFmtId="0" xfId="0" applyAlignment="1" applyBorder="1" applyFont="1">
      <alignment horizontal="left" shrinkToFit="0" vertical="bottom" wrapText="0"/>
    </xf>
    <xf borderId="0" fillId="0" fontId="1" numFmtId="0" xfId="0" applyAlignment="1" applyFont="1">
      <alignment horizontal="left" shrinkToFit="0" vertical="bottom" wrapText="1"/>
    </xf>
    <xf borderId="6" fillId="8" fontId="9" numFmtId="0" xfId="0" applyAlignment="1" applyBorder="1" applyFont="1">
      <alignment horizontal="center" shrinkToFit="0" vertical="center" wrapText="1"/>
    </xf>
    <xf borderId="12" fillId="0" fontId="1" numFmtId="0" xfId="0" applyAlignment="1" applyBorder="1" applyFont="1">
      <alignment shrinkToFit="0" vertical="top" wrapText="1"/>
    </xf>
    <xf borderId="7" fillId="0" fontId="1" numFmtId="0" xfId="0" applyAlignment="1" applyBorder="1" applyFont="1">
      <alignment horizontal="center" shrinkToFit="0" vertical="top" wrapText="1"/>
    </xf>
    <xf borderId="12" fillId="0" fontId="1" numFmtId="0" xfId="0" applyAlignment="1" applyBorder="1" applyFont="1">
      <alignment horizontal="center" shrinkToFit="0" vertical="top" wrapText="1"/>
    </xf>
    <xf borderId="7" fillId="0" fontId="1" numFmtId="49" xfId="0" applyAlignment="1" applyBorder="1" applyFont="1" applyNumberFormat="1">
      <alignment horizontal="center" shrinkToFit="0" vertical="top" wrapText="1"/>
    </xf>
    <xf borderId="12" fillId="0" fontId="9" numFmtId="3" xfId="0" applyAlignment="1" applyBorder="1" applyFont="1" applyNumberFormat="1">
      <alignment horizontal="center" shrinkToFit="0" vertical="top" wrapText="1"/>
    </xf>
    <xf borderId="12" fillId="0" fontId="9" numFmtId="4" xfId="0" applyAlignment="1" applyBorder="1" applyFont="1" applyNumberFormat="1">
      <alignment horizontal="center" shrinkToFit="0" vertical="top" wrapText="1"/>
    </xf>
    <xf borderId="0" fillId="0" fontId="26" numFmtId="0" xfId="0" applyAlignment="1" applyFont="1">
      <alignment shrinkToFit="0" vertical="bottom" wrapText="0"/>
    </xf>
    <xf borderId="0" fillId="0" fontId="27" numFmtId="0" xfId="0" applyAlignment="1" applyFont="1">
      <alignment shrinkToFit="0" vertical="bottom" wrapText="0"/>
    </xf>
    <xf borderId="12" fillId="0" fontId="9" numFmtId="3" xfId="0" applyAlignment="1" applyBorder="1" applyFont="1" applyNumberFormat="1">
      <alignment shrinkToFit="0" vertical="top" wrapText="1"/>
    </xf>
    <xf borderId="1" fillId="0" fontId="3" numFmtId="3" xfId="0" applyAlignment="1" applyBorder="1" applyFont="1" applyNumberFormat="1">
      <alignment shrinkToFit="0" vertical="top" wrapText="1"/>
    </xf>
    <xf borderId="1" fillId="0" fontId="3" numFmtId="4" xfId="0" applyAlignment="1" applyBorder="1" applyFont="1" applyNumberFormat="1">
      <alignment horizontal="center" shrinkToFit="0" vertical="top" wrapText="1"/>
    </xf>
    <xf borderId="0" fillId="0" fontId="3" numFmtId="0" xfId="0" applyAlignment="1" applyFont="1">
      <alignment shrinkToFit="0" vertical="top" wrapText="1"/>
    </xf>
    <xf borderId="7" fillId="0" fontId="28" numFmtId="0" xfId="0" applyAlignment="1" applyBorder="1" applyFont="1">
      <alignment horizontal="center" shrinkToFit="0" vertical="top" wrapText="1"/>
    </xf>
    <xf borderId="12" fillId="0" fontId="28" numFmtId="0" xfId="0" applyAlignment="1" applyBorder="1" applyFont="1">
      <alignment shrinkToFit="0" vertical="top" wrapText="1"/>
    </xf>
    <xf borderId="0" fillId="0" fontId="29" numFmtId="0" xfId="0" applyAlignment="1" applyFont="1">
      <alignment horizontal="center" shrinkToFit="0" vertical="center" wrapText="0"/>
    </xf>
    <xf borderId="12" fillId="0" fontId="1"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0" fillId="0" fontId="0" numFmtId="0" xfId="0" applyAlignment="1" applyFont="1">
      <alignment shrinkToFit="0" vertical="center" wrapText="0"/>
    </xf>
    <xf borderId="7" fillId="0" fontId="1" numFmtId="49" xfId="0" applyAlignment="1" applyBorder="1" applyFont="1" applyNumberFormat="1">
      <alignment horizontal="center" shrinkToFit="0" vertical="center" wrapText="1"/>
    </xf>
    <xf borderId="12" fillId="0" fontId="9" numFmtId="3" xfId="0" applyAlignment="1" applyBorder="1" applyFont="1" applyNumberFormat="1">
      <alignment horizontal="center" shrinkToFit="0" vertical="center" wrapText="1"/>
    </xf>
    <xf borderId="12" fillId="0" fontId="9" numFmtId="4" xfId="0" applyAlignment="1" applyBorder="1" applyFont="1" applyNumberFormat="1">
      <alignment horizontal="center" shrinkToFit="0" vertical="center" wrapText="1"/>
    </xf>
    <xf borderId="12" fillId="0" fontId="3" numFmtId="49" xfId="0" applyAlignment="1" applyBorder="1" applyFont="1" applyNumberFormat="1">
      <alignment shrinkToFit="0" vertical="top" wrapText="1"/>
    </xf>
    <xf borderId="0" fillId="0" fontId="30" numFmtId="0" xfId="0" applyAlignment="1" applyFont="1">
      <alignment shrinkToFit="0" vertical="bottom" wrapText="0"/>
    </xf>
    <xf borderId="7" fillId="0" fontId="3" numFmtId="2" xfId="0" applyAlignment="1" applyBorder="1" applyFont="1" applyNumberFormat="1">
      <alignment horizontal="center" shrinkToFit="0" vertical="top" wrapText="1"/>
    </xf>
    <xf borderId="12" fillId="0" fontId="2" numFmtId="4" xfId="0" applyAlignment="1" applyBorder="1" applyFont="1" applyNumberFormat="1">
      <alignment horizontal="center" shrinkToFit="0" vertical="top" wrapText="1"/>
    </xf>
    <xf borderId="0" fillId="0" fontId="31" numFmtId="0" xfId="0" applyAlignment="1" applyFont="1">
      <alignment shrinkToFit="0" vertical="bottom" wrapText="1"/>
    </xf>
    <xf borderId="1" fillId="6" fontId="32" numFmtId="0" xfId="0" applyAlignment="1" applyBorder="1" applyFont="1">
      <alignment shrinkToFit="0" vertical="top" wrapText="1"/>
    </xf>
    <xf borderId="1" fillId="6" fontId="32" numFmtId="0" xfId="0" applyAlignment="1" applyBorder="1" applyFont="1">
      <alignment horizontal="center" shrinkToFit="0" vertical="top" wrapText="1"/>
    </xf>
    <xf borderId="1" fillId="0" fontId="32" numFmtId="0" xfId="0" applyAlignment="1" applyBorder="1" applyFont="1">
      <alignment horizontal="center" shrinkToFit="0" vertical="top" wrapText="1"/>
    </xf>
    <xf borderId="1" fillId="0" fontId="33" numFmtId="0" xfId="0" applyAlignment="1" applyBorder="1" applyFont="1">
      <alignment shrinkToFit="0" vertical="top" wrapText="1"/>
    </xf>
    <xf borderId="1" fillId="0" fontId="32" numFmtId="2" xfId="0" applyAlignment="1" applyBorder="1" applyFont="1" applyNumberFormat="1">
      <alignment horizontal="center" shrinkToFit="0" vertical="top" wrapText="1"/>
    </xf>
    <xf borderId="1" fillId="0" fontId="32" numFmtId="49" xfId="0" applyAlignment="1" applyBorder="1" applyFont="1" applyNumberFormat="1">
      <alignment horizontal="center" shrinkToFit="0" vertical="top" wrapText="1"/>
    </xf>
    <xf borderId="1" fillId="0" fontId="32" numFmtId="3" xfId="0" applyAlignment="1" applyBorder="1" applyFont="1" applyNumberFormat="1">
      <alignment shrinkToFit="0" vertical="top" wrapText="1"/>
    </xf>
    <xf borderId="1" fillId="0" fontId="32" numFmtId="4" xfId="0" applyAlignment="1" applyBorder="1" applyFont="1" applyNumberFormat="1">
      <alignment horizontal="center" shrinkToFit="0" vertical="top" wrapText="1"/>
    </xf>
    <xf borderId="1" fillId="0" fontId="34" numFmtId="4" xfId="0" applyAlignment="1" applyBorder="1" applyFont="1" applyNumberFormat="1">
      <alignment horizontal="center" shrinkToFit="0" vertical="top" wrapText="1"/>
    </xf>
    <xf borderId="0" fillId="0" fontId="3" numFmtId="0" xfId="0" applyAlignment="1" applyFont="1">
      <alignment shrinkToFit="0" vertical="bottom" wrapText="0"/>
    </xf>
    <xf borderId="0" fillId="0" fontId="7" numFmtId="0" xfId="0" applyAlignment="1" applyFont="1">
      <alignment horizontal="center" shrinkToFit="0" vertical="bottom" wrapText="1"/>
    </xf>
    <xf borderId="0" fillId="0" fontId="2" numFmtId="0" xfId="0" applyAlignment="1" applyFont="1">
      <alignment horizontal="center" shrinkToFit="0" vertical="bottom" wrapText="1"/>
    </xf>
    <xf borderId="3" fillId="7" fontId="1" numFmtId="0" xfId="0" applyAlignment="1" applyBorder="1" applyFont="1">
      <alignment horizontal="left" shrinkToFit="0" vertical="top" wrapText="1"/>
    </xf>
    <xf borderId="13" fillId="0" fontId="8" numFmtId="0" xfId="0" applyBorder="1" applyFont="1"/>
    <xf borderId="11" fillId="8" fontId="2" numFmtId="0" xfId="0" applyAlignment="1" applyBorder="1" applyFont="1">
      <alignment horizontal="center" shrinkToFit="0" vertical="center" wrapText="1"/>
    </xf>
    <xf borderId="14" fillId="0" fontId="35" numFmtId="0" xfId="0" applyAlignment="1" applyBorder="1" applyFont="1">
      <alignment horizontal="center" shrinkToFit="0" vertical="center" wrapText="1"/>
    </xf>
    <xf borderId="1" fillId="0" fontId="32" numFmtId="0" xfId="0" applyAlignment="1" applyBorder="1" applyFont="1">
      <alignment horizontal="left" shrinkToFit="0" vertical="top" wrapText="1"/>
    </xf>
    <xf borderId="1" fillId="0" fontId="35" numFmtId="0" xfId="0" applyAlignment="1" applyBorder="1" applyFont="1">
      <alignment horizontal="left" shrinkToFit="0" vertical="center" wrapText="1"/>
    </xf>
    <xf borderId="3" fillId="0" fontId="36" numFmtId="0" xfId="0" applyAlignment="1" applyBorder="1" applyFont="1">
      <alignment shrinkToFit="0" vertical="bottom" wrapText="1"/>
    </xf>
    <xf borderId="1" fillId="0" fontId="31" numFmtId="0" xfId="0" applyAlignment="1" applyBorder="1" applyFont="1">
      <alignment shrinkToFit="0" vertical="bottom" wrapText="0"/>
    </xf>
    <xf borderId="1" fillId="0" fontId="37" numFmtId="0" xfId="0" applyAlignment="1" applyBorder="1" applyFont="1">
      <alignment shrinkToFit="0" vertical="top" wrapText="1"/>
    </xf>
    <xf borderId="1" fillId="6" fontId="38" numFmtId="0" xfId="0" applyAlignment="1" applyBorder="1" applyFont="1">
      <alignment shrinkToFit="0" vertical="top" wrapText="1"/>
    </xf>
    <xf borderId="1" fillId="0" fontId="32" numFmtId="0" xfId="0" applyAlignment="1" applyBorder="1" applyFont="1">
      <alignment shrinkToFit="0" vertical="top" wrapText="0"/>
    </xf>
    <xf borderId="1" fillId="0" fontId="34" numFmtId="0" xfId="0" applyAlignment="1" applyBorder="1" applyFont="1">
      <alignment horizontal="center" shrinkToFit="0" vertical="top" wrapText="0"/>
    </xf>
    <xf borderId="1" fillId="0" fontId="32" numFmtId="0" xfId="0" applyAlignment="1" applyBorder="1" applyFont="1">
      <alignment shrinkToFit="0" vertical="top" wrapText="1"/>
    </xf>
    <xf borderId="7" fillId="0" fontId="32" numFmtId="0" xfId="0" applyAlignment="1" applyBorder="1" applyFont="1">
      <alignment horizontal="center" shrinkToFit="0" vertical="top" wrapText="1"/>
    </xf>
    <xf borderId="7" fillId="0" fontId="39" numFmtId="0" xfId="0" applyAlignment="1" applyBorder="1" applyFont="1">
      <alignment shrinkToFit="0" vertical="top" wrapText="1"/>
    </xf>
    <xf borderId="1" fillId="0" fontId="34" numFmtId="3" xfId="0" applyAlignment="1" applyBorder="1" applyFont="1" applyNumberFormat="1">
      <alignment horizontal="center" shrinkToFit="0" vertical="top" wrapText="0"/>
    </xf>
    <xf borderId="1" fillId="0" fontId="40" numFmtId="0" xfId="0" applyAlignment="1" applyBorder="1" applyFont="1">
      <alignment horizontal="center" shrinkToFit="0" vertical="top" wrapText="1"/>
    </xf>
    <xf borderId="12" fillId="0" fontId="32" numFmtId="0" xfId="0" applyAlignment="1" applyBorder="1" applyFont="1">
      <alignment shrinkToFit="0" vertical="top" wrapText="1"/>
    </xf>
    <xf borderId="1" fillId="0" fontId="3" numFmtId="0" xfId="0" applyAlignment="1" applyBorder="1" applyFont="1">
      <alignment horizontal="left" shrinkToFit="0" vertical="top" wrapText="1"/>
    </xf>
    <xf borderId="1" fillId="0" fontId="41" numFmtId="0" xfId="0" applyAlignment="1" applyBorder="1" applyFont="1">
      <alignment shrinkToFit="0" vertical="top" wrapText="1"/>
    </xf>
    <xf borderId="1" fillId="0" fontId="3" numFmtId="0" xfId="0" applyAlignment="1" applyBorder="1" applyFont="1">
      <alignment shrinkToFit="0" vertical="top" wrapText="0"/>
    </xf>
    <xf borderId="1" fillId="0" fontId="2" numFmtId="0" xfId="0" applyAlignment="1" applyBorder="1" applyFont="1">
      <alignment horizontal="center" shrinkToFit="0" vertical="top" wrapText="0"/>
    </xf>
    <xf borderId="1" fillId="0" fontId="2" numFmtId="2" xfId="0" applyAlignment="1" applyBorder="1" applyFont="1" applyNumberFormat="1">
      <alignment horizontal="center" shrinkToFit="0" vertical="top" wrapText="1"/>
    </xf>
    <xf borderId="2" fillId="6" fontId="3" numFmtId="0" xfId="0" applyAlignment="1" applyBorder="1" applyFont="1">
      <alignment shrinkToFit="0" vertical="top" wrapText="1"/>
    </xf>
    <xf borderId="7" fillId="0" fontId="42" numFmtId="0" xfId="0" applyAlignment="1" applyBorder="1" applyFont="1">
      <alignment shrinkToFit="0" vertical="top" wrapText="1"/>
    </xf>
    <xf borderId="6" fillId="6" fontId="3" numFmtId="0" xfId="0" applyAlignment="1" applyBorder="1" applyFont="1">
      <alignment shrinkToFit="0" vertical="top" wrapText="1"/>
    </xf>
    <xf borderId="7" fillId="0" fontId="3" numFmtId="0" xfId="0" applyAlignment="1" applyBorder="1" applyFont="1">
      <alignment shrinkToFit="0" vertical="top" wrapText="0"/>
    </xf>
    <xf borderId="1" fillId="0" fontId="2" numFmtId="3" xfId="0" applyAlignment="1" applyBorder="1" applyFont="1" applyNumberFormat="1">
      <alignment horizontal="center" shrinkToFit="0" vertical="top" wrapText="1"/>
    </xf>
    <xf borderId="0" fillId="0" fontId="9" numFmtId="4" xfId="0" applyAlignment="1" applyFont="1" applyNumberFormat="1">
      <alignment horizontal="center" shrinkToFit="0" vertical="bottom" wrapText="1"/>
    </xf>
    <xf borderId="0" fillId="0" fontId="43" numFmtId="0" xfId="0" applyAlignment="1" applyFont="1">
      <alignment shrinkToFit="0" vertical="bottom" wrapText="1"/>
    </xf>
    <xf borderId="0" fillId="0" fontId="3" numFmtId="49" xfId="0" applyAlignment="1" applyFont="1" applyNumberFormat="1">
      <alignment shrinkToFit="0" vertical="bottom" wrapText="1"/>
    </xf>
    <xf borderId="0" fillId="0" fontId="3" numFmtId="49" xfId="0" applyAlignment="1" applyFont="1" applyNumberFormat="1">
      <alignment shrinkToFit="0" vertical="top" wrapText="1"/>
    </xf>
    <xf borderId="0" fillId="0" fontId="3" numFmtId="2" xfId="0" applyAlignment="1" applyFont="1" applyNumberFormat="1">
      <alignment shrinkToFit="0" vertical="bottom" wrapText="0"/>
    </xf>
    <xf borderId="3" fillId="7" fontId="44" numFmtId="0" xfId="0" applyAlignment="1" applyBorder="1" applyFont="1">
      <alignment horizontal="center" shrinkToFit="0" vertical="center" wrapText="1"/>
    </xf>
    <xf borderId="0" fillId="0" fontId="2" numFmtId="49" xfId="0" applyAlignment="1" applyFont="1" applyNumberFormat="1">
      <alignment horizontal="center" shrinkToFit="0" vertical="bottom" wrapText="1"/>
    </xf>
    <xf borderId="0" fillId="0" fontId="2" numFmtId="2" xfId="0" applyAlignment="1" applyFont="1" applyNumberFormat="1">
      <alignment horizontal="center" shrinkToFit="0" vertical="bottom" wrapText="1"/>
    </xf>
    <xf borderId="0" fillId="0" fontId="2" numFmtId="49" xfId="0" applyAlignment="1" applyFont="1" applyNumberFormat="1">
      <alignment horizontal="left" shrinkToFit="0" vertical="bottom" wrapText="1"/>
    </xf>
    <xf borderId="0" fillId="0" fontId="2" numFmtId="49" xfId="0" applyAlignment="1" applyFont="1" applyNumberFormat="1">
      <alignment shrinkToFit="0" vertical="top" wrapText="1"/>
    </xf>
    <xf borderId="0" fillId="0" fontId="2" numFmtId="0" xfId="0" applyAlignment="1" applyFont="1">
      <alignment shrinkToFit="0" vertical="top" wrapText="1"/>
    </xf>
    <xf borderId="0" fillId="0" fontId="2" numFmtId="0" xfId="0" applyAlignment="1" applyFont="1">
      <alignment horizontal="left" shrinkToFit="0" vertical="bottom" wrapText="1"/>
    </xf>
    <xf borderId="0" fillId="0" fontId="2" numFmtId="2" xfId="0" applyAlignment="1" applyFont="1" applyNumberFormat="1">
      <alignment horizontal="left" shrinkToFit="0" vertical="bottom" wrapText="1"/>
    </xf>
    <xf borderId="0" fillId="0" fontId="2" numFmtId="2" xfId="0" applyAlignment="1" applyFont="1" applyNumberFormat="1">
      <alignment shrinkToFit="0" vertical="bottom" wrapText="0"/>
    </xf>
    <xf borderId="0" fillId="0" fontId="2" numFmtId="0" xfId="0" applyAlignment="1" applyFont="1">
      <alignment shrinkToFit="0" vertical="bottom" wrapText="0"/>
    </xf>
    <xf borderId="2" fillId="8" fontId="2" numFmtId="49" xfId="0" applyAlignment="1" applyBorder="1" applyFont="1" applyNumberFormat="1">
      <alignment horizontal="center" shrinkToFit="0" vertical="center" wrapText="1"/>
    </xf>
    <xf borderId="6" fillId="8" fontId="9" numFmtId="2" xfId="0" applyAlignment="1" applyBorder="1" applyFont="1" applyNumberFormat="1">
      <alignment horizontal="center" shrinkToFit="0" vertical="center" wrapText="1"/>
    </xf>
    <xf borderId="2" fillId="8" fontId="9" numFmtId="0" xfId="0" applyAlignment="1" applyBorder="1" applyFont="1">
      <alignment horizontal="center" shrinkToFit="0" vertical="center" wrapText="1"/>
    </xf>
    <xf borderId="1" fillId="8" fontId="2" numFmtId="0" xfId="0" applyAlignment="1" applyBorder="1" applyFont="1">
      <alignment horizontal="center" shrinkToFit="0" vertical="center" wrapText="1"/>
    </xf>
    <xf borderId="12" fillId="0" fontId="2" numFmtId="1" xfId="0" applyAlignment="1" applyBorder="1" applyFont="1" applyNumberFormat="1">
      <alignment horizontal="center" shrinkToFit="0" vertical="top" wrapText="1"/>
    </xf>
    <xf borderId="1" fillId="6" fontId="3" numFmtId="49" xfId="0" applyAlignment="1" applyBorder="1" applyFont="1" applyNumberFormat="1">
      <alignment shrinkToFit="0" vertical="top" wrapText="1"/>
    </xf>
    <xf borderId="1" fillId="6" fontId="3" numFmtId="164" xfId="0" applyAlignment="1" applyBorder="1" applyFont="1" applyNumberFormat="1">
      <alignment horizontal="center" shrinkToFit="0" vertical="top" wrapText="1"/>
    </xf>
    <xf borderId="1" fillId="0" fontId="2" numFmtId="1" xfId="0" applyAlignment="1" applyBorder="1" applyFont="1" applyNumberFormat="1">
      <alignment shrinkToFit="0" vertical="bottom" wrapText="0"/>
    </xf>
    <xf borderId="1" fillId="0" fontId="2" numFmtId="1" xfId="0" applyAlignment="1" applyBorder="1" applyFont="1" applyNumberFormat="1">
      <alignment shrinkToFit="0" vertical="top" wrapText="1"/>
    </xf>
    <xf borderId="0" fillId="0" fontId="45" numFmtId="0" xfId="0" applyAlignment="1" applyFont="1">
      <alignment shrinkToFit="0" vertical="bottom" wrapText="0"/>
    </xf>
    <xf borderId="12" fillId="0" fontId="2" numFmtId="1" xfId="0" applyAlignment="1" applyBorder="1" applyFont="1" applyNumberFormat="1">
      <alignment shrinkToFit="0" vertical="top" wrapText="1"/>
    </xf>
    <xf borderId="12" fillId="0" fontId="3" numFmtId="49" xfId="0" applyAlignment="1" applyBorder="1" applyFont="1" applyNumberFormat="1">
      <alignment horizontal="center" shrinkToFit="0" vertical="center" wrapText="1"/>
    </xf>
    <xf borderId="7" fillId="0" fontId="3" numFmtId="0" xfId="0" applyAlignment="1" applyBorder="1" applyFont="1">
      <alignment horizontal="center" shrinkToFit="0" vertical="center" wrapText="1"/>
    </xf>
    <xf borderId="0" fillId="0" fontId="46" numFmtId="0" xfId="0" applyAlignment="1" applyFont="1">
      <alignment horizontal="center" shrinkToFit="0" vertical="center" wrapText="0"/>
    </xf>
    <xf borderId="1" fillId="0" fontId="3" numFmtId="0" xfId="0" applyAlignment="1" applyBorder="1" applyFont="1">
      <alignment horizontal="center" shrinkToFit="0" vertical="center" wrapText="1"/>
    </xf>
    <xf borderId="1" fillId="0" fontId="2" numFmtId="1" xfId="0" applyAlignment="1" applyBorder="1" applyFont="1" applyNumberFormat="1">
      <alignment horizontal="center" shrinkToFit="0" vertical="center" wrapText="1"/>
    </xf>
    <xf borderId="12" fillId="0" fontId="2" numFmtId="4" xfId="0" applyAlignment="1" applyBorder="1" applyFont="1" applyNumberFormat="1">
      <alignment horizontal="center" shrinkToFit="0" vertical="center" wrapText="1"/>
    </xf>
    <xf borderId="0" fillId="0" fontId="0" numFmtId="0" xfId="0" applyAlignment="1" applyFont="1">
      <alignment shrinkToFit="0" vertical="top" wrapText="0"/>
    </xf>
    <xf borderId="0" fillId="0" fontId="47" numFmtId="0" xfId="0" applyFont="1"/>
    <xf borderId="2" fillId="5" fontId="3" numFmtId="49" xfId="0" applyAlignment="1" applyBorder="1" applyFont="1" applyNumberFormat="1">
      <alignment shrinkToFit="0" vertical="top" wrapText="1"/>
    </xf>
    <xf borderId="6" fillId="5" fontId="1" numFmtId="0" xfId="0" applyAlignment="1" applyBorder="1" applyFont="1">
      <alignment horizontal="center" shrinkToFit="0" vertical="top" wrapText="1"/>
    </xf>
    <xf borderId="6" fillId="5" fontId="1" numFmtId="49" xfId="0" applyAlignment="1" applyBorder="1" applyFont="1" applyNumberFormat="1">
      <alignment horizontal="center" shrinkToFit="0" vertical="top" wrapText="1"/>
    </xf>
    <xf borderId="1" fillId="5" fontId="2" numFmtId="1" xfId="0" applyAlignment="1" applyBorder="1" applyFont="1" applyNumberFormat="1">
      <alignment shrinkToFit="0" vertical="top" wrapText="1"/>
    </xf>
    <xf borderId="1" fillId="5" fontId="2" numFmtId="4" xfId="0" applyAlignment="1" applyBorder="1" applyFont="1" applyNumberFormat="1">
      <alignment horizontal="center" shrinkToFit="0" vertical="top" wrapText="1"/>
    </xf>
    <xf borderId="12" fillId="0" fontId="32" numFmtId="49" xfId="0" applyAlignment="1" applyBorder="1" applyFont="1" applyNumberFormat="1">
      <alignment shrinkToFit="0" vertical="top" wrapText="1"/>
    </xf>
    <xf borderId="7" fillId="0" fontId="48" numFmtId="0" xfId="0" applyAlignment="1" applyBorder="1" applyFont="1">
      <alignment horizontal="center" shrinkToFit="0" vertical="top" wrapText="1"/>
    </xf>
    <xf borderId="7" fillId="0" fontId="32" numFmtId="0" xfId="0" applyAlignment="1" applyBorder="1" applyFont="1">
      <alignment shrinkToFit="0" vertical="top" wrapText="1"/>
    </xf>
    <xf borderId="7" fillId="0" fontId="48" numFmtId="17" xfId="0" applyAlignment="1" applyBorder="1" applyFont="1" applyNumberFormat="1">
      <alignment horizontal="center" shrinkToFit="0" vertical="top" wrapText="1"/>
    </xf>
    <xf borderId="7" fillId="0" fontId="32" numFmtId="2" xfId="0" applyAlignment="1" applyBorder="1" applyFont="1" applyNumberFormat="1">
      <alignment horizontal="center" shrinkToFit="0" vertical="top" wrapText="1"/>
    </xf>
    <xf borderId="7" fillId="0" fontId="48" numFmtId="49" xfId="0" applyAlignment="1" applyBorder="1" applyFont="1" applyNumberFormat="1">
      <alignment horizontal="center" shrinkToFit="0" vertical="top" wrapText="1"/>
    </xf>
    <xf borderId="0" fillId="0" fontId="49" numFmtId="0" xfId="0" applyAlignment="1" applyFont="1">
      <alignment horizontal="left" shrinkToFit="0" vertical="center" wrapText="1"/>
    </xf>
    <xf borderId="1" fillId="0" fontId="34" numFmtId="1" xfId="0" applyAlignment="1" applyBorder="1" applyFont="1" applyNumberFormat="1">
      <alignment horizontal="center" shrinkToFit="0" vertical="top" wrapText="1"/>
    </xf>
    <xf borderId="12" fillId="0" fontId="34" numFmtId="4" xfId="0" applyAlignment="1" applyBorder="1" applyFont="1" applyNumberFormat="1">
      <alignment horizontal="center" shrinkToFit="0" vertical="top" wrapText="1"/>
    </xf>
    <xf borderId="12" fillId="0" fontId="34" numFmtId="1" xfId="0" applyAlignment="1" applyBorder="1" applyFont="1" applyNumberFormat="1">
      <alignment shrinkToFit="0" vertical="top" wrapText="1"/>
    </xf>
    <xf borderId="1" fillId="0" fontId="34" numFmtId="1" xfId="0" applyAlignment="1" applyBorder="1" applyFont="1" applyNumberFormat="1">
      <alignment shrinkToFit="0" vertical="top" wrapText="1"/>
    </xf>
    <xf borderId="7" fillId="0" fontId="1" numFmtId="17" xfId="0" applyAlignment="1" applyBorder="1" applyFont="1" applyNumberFormat="1">
      <alignment horizontal="center" shrinkToFit="0" vertical="top" wrapText="1"/>
    </xf>
    <xf borderId="1" fillId="0" fontId="32" numFmtId="0" xfId="0" applyAlignment="1" applyBorder="1" applyFont="1">
      <alignment shrinkToFit="0" vertical="center" wrapText="1"/>
    </xf>
    <xf borderId="1" fillId="0" fontId="32" numFmtId="49" xfId="0" applyAlignment="1" applyBorder="1" applyFont="1" applyNumberFormat="1">
      <alignment shrinkToFit="0" vertical="top" wrapText="1"/>
    </xf>
    <xf borderId="1" fillId="0" fontId="48" numFmtId="0" xfId="0" applyAlignment="1" applyBorder="1" applyFont="1">
      <alignment horizontal="center" shrinkToFit="0" vertical="top" wrapText="1"/>
    </xf>
    <xf borderId="1" fillId="0" fontId="48" numFmtId="49" xfId="0" applyAlignment="1" applyBorder="1" applyFont="1" applyNumberFormat="1">
      <alignment horizontal="center" shrinkToFit="0" vertical="top" wrapText="1"/>
    </xf>
    <xf borderId="1" fillId="0" fontId="50" numFmtId="0" xfId="0" applyAlignment="1" applyBorder="1" applyFont="1">
      <alignment horizontal="left" shrinkToFit="0" vertical="center" wrapText="1"/>
    </xf>
    <xf borderId="1" fillId="0" fontId="51" numFmtId="0" xfId="0" applyAlignment="1" applyBorder="1" applyFont="1">
      <alignment shrinkToFit="0" vertical="bottom" wrapText="1"/>
    </xf>
    <xf borderId="1" fillId="0" fontId="52" numFmtId="0" xfId="0" applyAlignment="1" applyBorder="1" applyFont="1">
      <alignment shrinkToFit="0" vertical="center" wrapText="1"/>
    </xf>
    <xf borderId="1" fillId="0" fontId="32" numFmtId="0" xfId="0" applyAlignment="1" applyBorder="1" applyFont="1">
      <alignment horizontal="center" shrinkToFit="0" vertical="center" wrapText="1"/>
    </xf>
    <xf borderId="1" fillId="0" fontId="32" numFmtId="0" xfId="0" applyAlignment="1" applyBorder="1" applyFont="1">
      <alignment shrinkToFit="0" vertical="bottom" wrapText="1"/>
    </xf>
    <xf borderId="1" fillId="0" fontId="53" numFmtId="0" xfId="0" applyAlignment="1" applyBorder="1" applyFont="1">
      <alignment horizontal="left" shrinkToFit="0" vertical="center" wrapText="1"/>
    </xf>
    <xf borderId="1" fillId="0" fontId="54" numFmtId="0" xfId="0" applyAlignment="1" applyBorder="1" applyFont="1">
      <alignment shrinkToFit="0" vertical="center" wrapText="1"/>
    </xf>
    <xf borderId="1" fillId="0" fontId="55" numFmtId="0" xfId="0" applyAlignment="1" applyBorder="1" applyFont="1">
      <alignment shrinkToFit="0" vertical="center" wrapText="1"/>
    </xf>
    <xf borderId="1" fillId="0" fontId="32" numFmtId="1" xfId="0" applyAlignment="1" applyBorder="1" applyFont="1" applyNumberFormat="1">
      <alignment shrinkToFit="0" vertical="bottom" wrapText="1"/>
    </xf>
    <xf borderId="1" fillId="0" fontId="56" numFmtId="49" xfId="0" applyAlignment="1" applyBorder="1" applyFont="1" applyNumberFormat="1">
      <alignment shrinkToFit="0" vertical="bottom" wrapText="1"/>
    </xf>
    <xf borderId="1" fillId="0" fontId="32" numFmtId="1" xfId="0" applyAlignment="1" applyBorder="1" applyFont="1" applyNumberFormat="1">
      <alignment shrinkToFit="0" vertical="top" wrapText="1"/>
    </xf>
    <xf borderId="0" fillId="0" fontId="32" numFmtId="49" xfId="0" applyAlignment="1" applyFont="1" applyNumberFormat="1">
      <alignment shrinkToFit="0" vertical="top" wrapText="1"/>
    </xf>
    <xf borderId="0" fillId="0" fontId="32" numFmtId="0" xfId="0" applyAlignment="1" applyFont="1">
      <alignment shrinkToFit="0" vertical="top" wrapText="1"/>
    </xf>
    <xf borderId="1" fillId="0" fontId="32" numFmtId="2" xfId="0" applyAlignment="1" applyBorder="1" applyFont="1" applyNumberFormat="1">
      <alignment shrinkToFit="0" vertical="top" wrapText="0"/>
    </xf>
    <xf borderId="0" fillId="0" fontId="32" numFmtId="2" xfId="0" applyAlignment="1" applyFont="1" applyNumberFormat="1">
      <alignment shrinkToFit="0" vertical="top" wrapText="0"/>
    </xf>
    <xf borderId="0" fillId="0" fontId="32" numFmtId="0" xfId="0" applyAlignment="1" applyFont="1">
      <alignment shrinkToFit="0" vertical="top" wrapText="0"/>
    </xf>
    <xf borderId="1" fillId="0" fontId="57" numFmtId="0" xfId="0" applyAlignment="1" applyBorder="1" applyFont="1">
      <alignment shrinkToFit="0" vertical="top" wrapText="0"/>
    </xf>
    <xf borderId="1" fillId="6" fontId="32" numFmtId="49" xfId="0" applyAlignment="1" applyBorder="1" applyFont="1" applyNumberFormat="1">
      <alignment shrinkToFit="0" vertical="top" wrapText="1"/>
    </xf>
    <xf borderId="1" fillId="0" fontId="32" numFmtId="1" xfId="0" applyAlignment="1" applyBorder="1" applyFont="1" applyNumberFormat="1">
      <alignment shrinkToFit="0" vertical="bottom" wrapText="0"/>
    </xf>
    <xf borderId="15" fillId="0" fontId="48" numFmtId="0" xfId="0" applyAlignment="1" applyBorder="1" applyFont="1">
      <alignment horizontal="center" shrinkToFit="0" vertical="top" wrapText="1"/>
    </xf>
    <xf borderId="0" fillId="0" fontId="58" numFmtId="0" xfId="0" applyAlignment="1" applyFont="1">
      <alignment horizontal="left" shrinkToFit="0" vertical="center" wrapText="1"/>
    </xf>
    <xf borderId="1" fillId="0" fontId="59" numFmtId="0" xfId="0" applyAlignment="1" applyBorder="1" applyFont="1">
      <alignment shrinkToFit="0" vertical="bottom" wrapText="1"/>
    </xf>
    <xf borderId="1" fillId="6" fontId="32" numFmtId="164" xfId="0" applyAlignment="1" applyBorder="1" applyFont="1" applyNumberFormat="1">
      <alignment horizontal="center" shrinkToFit="0" vertical="top" wrapText="1"/>
    </xf>
    <xf borderId="1" fillId="0" fontId="60" numFmtId="0" xfId="0" applyAlignment="1" applyBorder="1" applyFont="1">
      <alignment shrinkToFit="0" vertical="top" wrapText="1"/>
    </xf>
    <xf borderId="12" fillId="0" fontId="14" numFmtId="49" xfId="0" applyAlignment="1" applyBorder="1" applyFont="1" applyNumberFormat="1">
      <alignment shrinkToFit="0" vertical="top" wrapText="1"/>
    </xf>
    <xf borderId="7" fillId="0" fontId="15" numFmtId="0" xfId="0" applyAlignment="1" applyBorder="1" applyFont="1">
      <alignment horizontal="center" shrinkToFit="0" vertical="top" wrapText="1"/>
    </xf>
    <xf borderId="7" fillId="0" fontId="14" numFmtId="0" xfId="0" applyAlignment="1" applyBorder="1" applyFont="1">
      <alignment shrinkToFit="0" vertical="top" wrapText="1"/>
    </xf>
    <xf borderId="7" fillId="0" fontId="14" numFmtId="2" xfId="0" applyAlignment="1" applyBorder="1" applyFont="1" applyNumberFormat="1">
      <alignment horizontal="center" shrinkToFit="0" vertical="top" wrapText="1"/>
    </xf>
    <xf borderId="7" fillId="0" fontId="15" numFmtId="49" xfId="0" applyAlignment="1" applyBorder="1" applyFont="1" applyNumberFormat="1">
      <alignment horizontal="center" shrinkToFit="0" vertical="top" wrapText="1"/>
    </xf>
    <xf borderId="1" fillId="0" fontId="61" numFmtId="0" xfId="0" applyAlignment="1" applyBorder="1" applyFont="1">
      <alignment shrinkToFit="0" vertical="top" wrapText="1"/>
    </xf>
    <xf borderId="12" fillId="0" fontId="19" numFmtId="4" xfId="0" applyAlignment="1" applyBorder="1" applyFont="1" applyNumberFormat="1">
      <alignment horizontal="center" shrinkToFit="0" vertical="top" wrapText="1"/>
    </xf>
    <xf borderId="12" fillId="0" fontId="19" numFmtId="1" xfId="0" applyAlignment="1" applyBorder="1" applyFont="1" applyNumberFormat="1">
      <alignment shrinkToFit="0" vertical="top" wrapText="1"/>
    </xf>
    <xf borderId="1" fillId="0" fontId="19" numFmtId="1" xfId="0" applyAlignment="1" applyBorder="1" applyFont="1" applyNumberFormat="1">
      <alignment shrinkToFit="0" vertical="top" wrapText="1"/>
    </xf>
    <xf borderId="1" fillId="0" fontId="18" numFmtId="0" xfId="0" applyAlignment="1" applyBorder="1" applyFont="1">
      <alignment shrinkToFit="0" vertical="bottom" wrapText="1"/>
    </xf>
    <xf borderId="0" fillId="0" fontId="15" numFmtId="0" xfId="0" applyAlignment="1" applyFont="1">
      <alignment horizontal="left" shrinkToFit="0" vertical="center" wrapText="1"/>
    </xf>
    <xf borderId="16" fillId="6" fontId="16" numFmtId="49" xfId="0" applyAlignment="1" applyBorder="1" applyFont="1" applyNumberFormat="1">
      <alignment shrinkToFit="0" vertical="top" wrapText="1"/>
    </xf>
    <xf borderId="1" fillId="6" fontId="16" numFmtId="49" xfId="0" applyAlignment="1" applyBorder="1" applyFont="1" applyNumberFormat="1">
      <alignment shrinkToFit="0" vertical="top" wrapText="1"/>
    </xf>
    <xf borderId="1" fillId="0" fontId="16" numFmtId="0" xfId="0" applyAlignment="1" applyBorder="1" applyFont="1">
      <alignment horizontal="center" shrinkToFit="0" vertical="top" wrapText="1"/>
    </xf>
    <xf borderId="1" fillId="6" fontId="16" numFmtId="0" xfId="0" applyAlignment="1" applyBorder="1" applyFont="1">
      <alignment shrinkToFit="0" vertical="top" wrapText="1"/>
    </xf>
    <xf borderId="1" fillId="6" fontId="16" numFmtId="0" xfId="0" applyAlignment="1" applyBorder="1" applyFont="1">
      <alignment horizontal="center" shrinkToFit="0" vertical="top" wrapText="1"/>
    </xf>
    <xf borderId="1" fillId="6" fontId="16" numFmtId="2" xfId="0" applyAlignment="1" applyBorder="1" applyFont="1" applyNumberFormat="1">
      <alignment horizontal="center" shrinkToFit="0" vertical="top" wrapText="1"/>
    </xf>
    <xf borderId="1" fillId="0" fontId="62" numFmtId="49" xfId="0" applyAlignment="1" applyBorder="1" applyFont="1" applyNumberFormat="1">
      <alignment shrinkToFit="0" vertical="top" wrapText="1"/>
    </xf>
    <xf borderId="1" fillId="0" fontId="16" numFmtId="0" xfId="0" applyAlignment="1" applyBorder="1" applyFont="1">
      <alignment shrinkToFit="0" vertical="top" wrapText="1"/>
    </xf>
    <xf borderId="1" fillId="0" fontId="63" numFmtId="0" xfId="0" applyAlignment="1" applyBorder="1" applyFont="1">
      <alignment shrinkToFit="0" vertical="top" wrapText="1"/>
    </xf>
    <xf borderId="1" fillId="0" fontId="16" numFmtId="1" xfId="0" applyAlignment="1" applyBorder="1" applyFont="1" applyNumberFormat="1">
      <alignment horizontal="center" shrinkToFit="0" vertical="top" wrapText="1"/>
    </xf>
    <xf borderId="1" fillId="0" fontId="64" numFmtId="4" xfId="0" applyAlignment="1" applyBorder="1" applyFont="1" applyNumberFormat="1">
      <alignment horizontal="center" shrinkToFit="0" vertical="top" wrapText="1"/>
    </xf>
    <xf borderId="0" fillId="0" fontId="16" numFmtId="49" xfId="0" applyAlignment="1" applyFont="1" applyNumberFormat="1">
      <alignment shrinkToFit="0" vertical="top" wrapText="1"/>
    </xf>
    <xf borderId="1" fillId="0" fontId="16" numFmtId="49" xfId="0" applyAlignment="1" applyBorder="1" applyFont="1" applyNumberFormat="1">
      <alignment shrinkToFit="0" vertical="top" wrapText="1"/>
    </xf>
    <xf borderId="1" fillId="0" fontId="65" numFmtId="0" xfId="0" applyAlignment="1" applyBorder="1" applyFont="1">
      <alignment horizontal="center" shrinkToFit="0" vertical="top" wrapText="1"/>
    </xf>
    <xf borderId="1" fillId="0" fontId="16" numFmtId="2" xfId="0" applyAlignment="1" applyBorder="1" applyFont="1" applyNumberFormat="1">
      <alignment horizontal="center" shrinkToFit="0" vertical="top" wrapText="1"/>
    </xf>
    <xf borderId="1" fillId="0" fontId="65" numFmtId="49" xfId="0" applyAlignment="1" applyBorder="1" applyFont="1" applyNumberFormat="1">
      <alignment horizontal="center" shrinkToFit="0" vertical="top" wrapText="1"/>
    </xf>
    <xf borderId="1" fillId="0" fontId="64" numFmtId="1" xfId="0" applyAlignment="1" applyBorder="1" applyFont="1" applyNumberFormat="1">
      <alignment horizontal="center" shrinkToFit="0" vertical="top" wrapText="1"/>
    </xf>
    <xf borderId="1" fillId="0" fontId="64" numFmtId="1" xfId="0" applyAlignment="1" applyBorder="1" applyFont="1" applyNumberFormat="1">
      <alignment horizontal="right" shrinkToFit="0" vertical="top" wrapText="1"/>
    </xf>
    <xf borderId="2" fillId="6" fontId="32" numFmtId="49" xfId="0" applyAlignment="1" applyBorder="1" applyFont="1" applyNumberFormat="1">
      <alignment shrinkToFit="0" vertical="top" wrapText="1"/>
    </xf>
    <xf borderId="6" fillId="6" fontId="32" numFmtId="0" xfId="0" applyAlignment="1" applyBorder="1" applyFont="1">
      <alignment horizontal="center" shrinkToFit="0" vertical="top" wrapText="1"/>
    </xf>
    <xf borderId="6" fillId="6" fontId="32" numFmtId="164" xfId="0" applyAlignment="1" applyBorder="1" applyFont="1" applyNumberFormat="1">
      <alignment horizontal="center" shrinkToFit="0" vertical="top" wrapText="1"/>
    </xf>
    <xf borderId="7" fillId="0" fontId="32" numFmtId="49" xfId="0" applyAlignment="1" applyBorder="1" applyFont="1" applyNumberFormat="1">
      <alignment horizontal="center" shrinkToFit="0" vertical="top" wrapText="1"/>
    </xf>
    <xf borderId="12" fillId="0" fontId="32" numFmtId="1" xfId="0" applyAlignment="1" applyBorder="1" applyFont="1" applyNumberFormat="1">
      <alignment shrinkToFit="0" vertical="bottom" wrapText="0"/>
    </xf>
    <xf borderId="12" fillId="0" fontId="32" numFmtId="4" xfId="0" applyAlignment="1" applyBorder="1" applyFont="1" applyNumberFormat="1">
      <alignment horizontal="center" shrinkToFit="0" vertical="top" wrapText="1"/>
    </xf>
    <xf borderId="12" fillId="0" fontId="3" numFmtId="0" xfId="0" applyAlignment="1" applyBorder="1" applyFont="1">
      <alignment shrinkToFit="0" vertical="top" wrapText="1"/>
    </xf>
    <xf borderId="1" fillId="6" fontId="3" numFmtId="0" xfId="0" applyAlignment="1" applyBorder="1" applyFont="1">
      <alignment horizontal="left" shrinkToFit="0" vertical="top" wrapText="1"/>
    </xf>
    <xf borderId="1" fillId="0" fontId="66" numFmtId="0" xfId="0" applyAlignment="1" applyBorder="1" applyFont="1">
      <alignment shrinkToFit="0" vertical="top" wrapText="1"/>
    </xf>
    <xf borderId="1" fillId="0" fontId="3" numFmtId="1" xfId="0" applyAlignment="1" applyBorder="1" applyFont="1" applyNumberFormat="1">
      <alignment shrinkToFit="0" vertical="bottom" wrapText="0"/>
    </xf>
    <xf borderId="1" fillId="0" fontId="3" numFmtId="1" xfId="0" applyAlignment="1" applyBorder="1" applyFont="1" applyNumberFormat="1">
      <alignment shrinkToFit="0" vertical="top" wrapText="1"/>
    </xf>
    <xf borderId="0" fillId="0" fontId="2" numFmtId="49" xfId="0" applyAlignment="1" applyFont="1" applyNumberFormat="1">
      <alignment shrinkToFit="0" vertical="bottom" wrapText="1"/>
    </xf>
    <xf borderId="0" fillId="0" fontId="3" numFmtId="2" xfId="0" applyAlignment="1" applyFont="1" applyNumberFormat="1">
      <alignment shrinkToFit="0" vertical="top" wrapText="1"/>
    </xf>
    <xf borderId="0" fillId="0" fontId="2" numFmtId="4" xfId="0" applyAlignment="1" applyFont="1" applyNumberFormat="1">
      <alignment horizontal="center" shrinkToFit="0" vertical="bottom" wrapText="0"/>
    </xf>
    <xf borderId="0" fillId="0" fontId="0" numFmtId="0" xfId="0" applyAlignment="1" applyFont="1">
      <alignment horizontal="left" shrinkToFit="0" vertical="bottom" wrapText="0"/>
    </xf>
    <xf borderId="1" fillId="8" fontId="9" numFmtId="0" xfId="0" applyAlignment="1" applyBorder="1" applyFont="1">
      <alignment horizontal="center" shrinkToFit="0" vertical="center" wrapText="1"/>
    </xf>
    <xf borderId="11" fillId="8" fontId="9" numFmtId="0" xfId="0" applyAlignment="1" applyBorder="1" applyFont="1">
      <alignment horizontal="center" shrinkToFit="0" vertical="center" wrapText="1"/>
    </xf>
    <xf borderId="1" fillId="0" fontId="67" numFmtId="0" xfId="0" applyAlignment="1" applyBorder="1" applyFont="1">
      <alignment readingOrder="0" shrinkToFit="0" vertical="top" wrapText="1"/>
    </xf>
    <xf borderId="1" fillId="0" fontId="2" numFmtId="0" xfId="0" applyAlignment="1" applyBorder="1" applyFont="1">
      <alignment horizontal="center" shrinkToFit="0" vertical="top" wrapText="1"/>
    </xf>
    <xf borderId="1" fillId="0" fontId="67" numFmtId="0" xfId="0" applyAlignment="1" applyBorder="1" applyFont="1">
      <alignment horizontal="center" readingOrder="0" shrinkToFit="0" vertical="top" wrapText="1"/>
    </xf>
    <xf borderId="0" fillId="0" fontId="68" numFmtId="0" xfId="0" applyAlignment="1" applyFont="1">
      <alignment shrinkToFit="0" vertical="center" wrapText="1"/>
    </xf>
    <xf borderId="1" fillId="0" fontId="67" numFmtId="0" xfId="0" applyAlignment="1" applyBorder="1" applyFont="1">
      <alignment shrinkToFit="0" vertical="center" wrapText="1"/>
    </xf>
    <xf borderId="1" fillId="0" fontId="67" numFmtId="0" xfId="0" applyAlignment="1" applyBorder="1" applyFont="1">
      <alignment horizontal="center" shrinkToFit="0" vertical="center" wrapText="1"/>
    </xf>
    <xf borderId="0" fillId="0" fontId="69" numFmtId="0" xfId="0" applyAlignment="1" applyFont="1">
      <alignment shrinkToFit="0" vertical="center" wrapText="1"/>
    </xf>
    <xf borderId="1" fillId="0" fontId="70" numFmtId="0" xfId="0" applyAlignment="1" applyBorder="1" applyFont="1">
      <alignment horizontal="center" shrinkToFit="0" vertical="center" wrapText="1"/>
    </xf>
    <xf borderId="1" fillId="0" fontId="70" numFmtId="4" xfId="0" applyAlignment="1" applyBorder="1" applyFont="1" applyNumberFormat="1">
      <alignment horizontal="center" shrinkToFit="0" vertical="center" wrapText="1"/>
    </xf>
    <xf borderId="0" fillId="0" fontId="0" numFmtId="1" xfId="0" applyAlignment="1" applyFont="1" applyNumberFormat="1">
      <alignment shrinkToFit="0" vertical="top" wrapText="0"/>
    </xf>
    <xf borderId="0" fillId="0" fontId="67" numFmtId="0" xfId="0" applyAlignment="1" applyFont="1">
      <alignment readingOrder="0" shrinkToFit="0" vertical="top" wrapText="1"/>
    </xf>
    <xf borderId="1" fillId="0" fontId="67" numFmtId="1" xfId="0" applyAlignment="1" applyBorder="1" applyFont="1" applyNumberFormat="1">
      <alignment horizontal="center" readingOrder="0" shrinkToFit="0" vertical="top" wrapText="1"/>
    </xf>
    <xf borderId="1" fillId="0" fontId="71" numFmtId="0" xfId="0" applyAlignment="1" applyBorder="1" applyFont="1">
      <alignment readingOrder="0" shrinkToFit="0" vertical="top" wrapText="1"/>
    </xf>
    <xf borderId="1" fillId="0" fontId="34" numFmtId="0" xfId="0" applyAlignment="1" applyBorder="1" applyFont="1">
      <alignment horizontal="center" shrinkToFit="0" vertical="top" wrapText="1"/>
    </xf>
    <xf borderId="1" fillId="0" fontId="3" numFmtId="17" xfId="0" applyAlignment="1" applyBorder="1" applyFont="1" applyNumberFormat="1">
      <alignment horizontal="center" shrinkToFit="0" vertical="top" wrapText="1"/>
    </xf>
    <xf borderId="1" fillId="0" fontId="72" numFmtId="0" xfId="0" applyAlignment="1" applyBorder="1" applyFont="1">
      <alignment readingOrder="0" shrinkToFit="0" vertical="top" wrapText="1"/>
    </xf>
    <xf borderId="1" fillId="0" fontId="73" numFmtId="0" xfId="0" applyAlignment="1" applyBorder="1" applyFont="1">
      <alignment readingOrder="0" shrinkToFit="0" vertical="top" wrapText="1"/>
    </xf>
    <xf borderId="1" fillId="0" fontId="74" numFmtId="0" xfId="0" applyAlignment="1" applyBorder="1" applyFont="1">
      <alignment readingOrder="0" shrinkToFit="0" vertical="top" wrapText="1"/>
    </xf>
    <xf borderId="1" fillId="0" fontId="74" numFmtId="0" xfId="0" applyAlignment="1" applyBorder="1" applyFont="1">
      <alignment horizontal="center" readingOrder="0" shrinkToFit="0" vertical="top" wrapText="1"/>
    </xf>
    <xf borderId="0" fillId="0" fontId="9" numFmtId="0" xfId="0" applyAlignment="1" applyFont="1">
      <alignment horizontal="center" shrinkToFit="0" vertical="bottom" wrapText="0"/>
    </xf>
    <xf borderId="0" fillId="0" fontId="3" numFmtId="0" xfId="0" applyAlignment="1" applyFont="1">
      <alignment shrinkToFit="0" vertical="bottom" wrapText="1"/>
    </xf>
    <xf borderId="3" fillId="7" fontId="3" numFmtId="0" xfId="0" applyAlignment="1" applyBorder="1" applyFont="1">
      <alignment shrinkToFit="0" vertical="top" wrapText="1"/>
    </xf>
    <xf borderId="0" fillId="0" fontId="4" numFmtId="0" xfId="0" applyAlignment="1" applyFont="1">
      <alignment shrinkToFit="0" vertical="bottom" wrapText="1"/>
    </xf>
    <xf borderId="0" fillId="0" fontId="68" numFmtId="0" xfId="0" applyAlignment="1" applyFont="1">
      <alignment shrinkToFit="0" vertical="bottom" wrapText="1"/>
    </xf>
    <xf borderId="1" fillId="0" fontId="67" numFmtId="0" xfId="0" applyAlignment="1" applyBorder="1" applyFont="1">
      <alignment shrinkToFit="0" vertical="top" wrapText="1"/>
    </xf>
    <xf borderId="1" fillId="0" fontId="67" numFmtId="0" xfId="0" applyAlignment="1" applyBorder="1" applyFont="1">
      <alignment horizontal="center" shrinkToFit="0" vertical="top" wrapText="1"/>
    </xf>
    <xf borderId="1" fillId="0" fontId="70" numFmtId="0" xfId="0" applyAlignment="1" applyBorder="1" applyFont="1">
      <alignment horizontal="center" shrinkToFit="0" vertical="top" wrapText="1"/>
    </xf>
    <xf borderId="1" fillId="0" fontId="70" numFmtId="4" xfId="0" applyAlignment="1" applyBorder="1" applyFont="1" applyNumberFormat="1">
      <alignment horizontal="center" shrinkToFit="0" vertical="top" wrapText="1"/>
    </xf>
    <xf borderId="0" fillId="0" fontId="75" numFmtId="0" xfId="0" applyAlignment="1" applyFont="1">
      <alignment shrinkToFit="0" vertical="bottom" wrapText="0"/>
    </xf>
    <xf borderId="1" fillId="0" fontId="71" numFmtId="0" xfId="0" applyAlignment="1" applyBorder="1" applyFont="1">
      <alignment shrinkToFit="0" vertical="top" wrapText="1"/>
    </xf>
    <xf borderId="1" fillId="0" fontId="71" numFmtId="0" xfId="0" applyAlignment="1" applyBorder="1" applyFont="1">
      <alignment horizontal="center" shrinkToFit="0" vertical="top" wrapText="1"/>
    </xf>
    <xf borderId="0" fillId="0" fontId="71" numFmtId="0" xfId="0" applyAlignment="1" applyFont="1">
      <alignment shrinkToFit="0" vertical="center" wrapText="1"/>
    </xf>
    <xf borderId="1" fillId="0" fontId="76" numFmtId="0" xfId="0" applyAlignment="1" applyBorder="1" applyFont="1">
      <alignment horizontal="center" shrinkToFit="0" vertical="top" wrapText="1"/>
    </xf>
    <xf borderId="1" fillId="0" fontId="76" numFmtId="4" xfId="0" applyAlignment="1" applyBorder="1" applyFont="1" applyNumberFormat="1">
      <alignment horizontal="center" shrinkToFit="0" vertical="top" wrapText="1"/>
    </xf>
    <xf borderId="1" fillId="0" fontId="19" numFmtId="0" xfId="0" applyAlignment="1" applyBorder="1" applyFont="1">
      <alignment horizontal="center" shrinkToFit="0" vertical="top" wrapText="1"/>
    </xf>
    <xf borderId="7" fillId="0" fontId="14" numFmtId="0" xfId="0" applyAlignment="1" applyBorder="1" applyFont="1">
      <alignment horizontal="center" shrinkToFit="0" vertical="top" wrapText="1"/>
    </xf>
    <xf borderId="1" fillId="0" fontId="16" numFmtId="0" xfId="0" applyAlignment="1" applyBorder="1" applyFont="1">
      <alignment shrinkToFit="0" vertical="top" wrapText="0"/>
    </xf>
    <xf borderId="1" fillId="0" fontId="16" numFmtId="0" xfId="0" applyAlignment="1" applyBorder="1" applyFont="1">
      <alignment horizontal="center" shrinkToFit="0" vertical="top" wrapText="0"/>
    </xf>
    <xf borderId="1" fillId="0" fontId="16" numFmtId="0" xfId="0" applyAlignment="1" applyBorder="1" applyFont="1">
      <alignment shrinkToFit="0" vertical="bottom" wrapText="0"/>
    </xf>
    <xf borderId="1" fillId="0" fontId="77" numFmtId="0" xfId="0" applyAlignment="1" applyBorder="1" applyFont="1">
      <alignment shrinkToFit="0" vertical="bottom" wrapText="0"/>
    </xf>
    <xf borderId="1" fillId="0" fontId="64" numFmtId="0" xfId="0" applyAlignment="1" applyBorder="1" applyFont="1">
      <alignment horizontal="center" shrinkToFit="0" vertical="top" wrapText="1"/>
    </xf>
    <xf borderId="0" fillId="0" fontId="77" numFmtId="0" xfId="0" applyAlignment="1" applyFont="1">
      <alignment shrinkToFit="0" vertical="bottom" wrapText="0"/>
    </xf>
    <xf borderId="12" fillId="0" fontId="16" numFmtId="0" xfId="0" applyAlignment="1" applyBorder="1" applyFont="1">
      <alignment shrinkToFit="0" vertical="bottom" wrapText="0"/>
    </xf>
    <xf borderId="12" fillId="0" fontId="16" numFmtId="0" xfId="0" applyAlignment="1" applyBorder="1" applyFont="1">
      <alignment shrinkToFit="0" vertical="top" wrapText="1"/>
    </xf>
    <xf borderId="12" fillId="0" fontId="16" numFmtId="0" xfId="0" applyAlignment="1" applyBorder="1" applyFont="1">
      <alignment horizontal="center" shrinkToFit="0" vertical="top" wrapText="1"/>
    </xf>
    <xf borderId="12" fillId="0" fontId="77" numFmtId="0" xfId="0" applyAlignment="1" applyBorder="1" applyFont="1">
      <alignment shrinkToFit="0" vertical="bottom" wrapText="0"/>
    </xf>
    <xf borderId="12" fillId="0" fontId="64" numFmtId="0" xfId="0" applyAlignment="1" applyBorder="1" applyFont="1">
      <alignment horizontal="center" shrinkToFit="0" vertical="top" wrapText="1"/>
    </xf>
    <xf borderId="12" fillId="0" fontId="64" numFmtId="4" xfId="0" applyAlignment="1" applyBorder="1" applyFont="1" applyNumberFormat="1">
      <alignment horizontal="center" shrinkToFit="0" vertical="top" wrapText="1"/>
    </xf>
    <xf borderId="3" fillId="7" fontId="3" numFmtId="0" xfId="0" applyAlignment="1" applyBorder="1" applyFont="1">
      <alignment shrinkToFit="0" vertical="bottom" wrapText="1"/>
    </xf>
    <xf borderId="3" fillId="7" fontId="3" numFmtId="0" xfId="0" applyAlignment="1" applyBorder="1" applyFont="1">
      <alignment shrinkToFit="0" vertical="bottom" wrapText="0"/>
    </xf>
    <xf borderId="0" fillId="0" fontId="78" numFmtId="0" xfId="0" applyAlignment="1" applyFont="1">
      <alignment shrinkToFit="0" vertical="bottom" wrapText="0"/>
    </xf>
    <xf borderId="1" fillId="0" fontId="79" numFmtId="0" xfId="0" applyAlignment="1" applyBorder="1" applyFont="1">
      <alignment horizontal="center" shrinkToFit="0" vertical="top" wrapText="1"/>
    </xf>
    <xf borderId="0" fillId="0" fontId="67" numFmtId="0" xfId="0" applyAlignment="1" applyFont="1">
      <alignment shrinkToFit="0" vertical="top" wrapText="1"/>
    </xf>
    <xf borderId="1" fillId="0" fontId="34" numFmtId="3" xfId="0" applyAlignment="1" applyBorder="1" applyFont="1" applyNumberFormat="1">
      <alignment horizontal="center" shrinkToFit="0" vertical="top" wrapText="1"/>
    </xf>
    <xf borderId="0" fillId="0" fontId="48" numFmtId="0" xfId="0" applyAlignment="1" applyFont="1">
      <alignment shrinkToFit="0" vertical="bottom" wrapText="1"/>
    </xf>
    <xf borderId="0" fillId="0" fontId="32" numFmtId="0" xfId="0" applyAlignment="1" applyFont="1">
      <alignment shrinkToFit="0" vertical="bottom" wrapText="1"/>
    </xf>
    <xf borderId="0" fillId="0" fontId="32" numFmtId="0" xfId="0" applyAlignment="1" applyFont="1">
      <alignment horizontal="left" shrinkToFit="0" vertical="bottom" wrapText="0"/>
    </xf>
    <xf borderId="1" fillId="0" fontId="80" numFmtId="0" xfId="0" applyAlignment="1" applyBorder="1" applyFont="1">
      <alignment horizontal="center" shrinkToFit="0" vertical="top" wrapText="1"/>
    </xf>
    <xf borderId="1" fillId="0" fontId="81" numFmtId="0" xfId="0" applyAlignment="1" applyBorder="1" applyFont="1">
      <alignment horizontal="center" shrinkToFit="0" vertical="top" wrapText="1"/>
    </xf>
    <xf borderId="0" fillId="0" fontId="32" numFmtId="2" xfId="0" applyAlignment="1" applyFont="1" applyNumberFormat="1">
      <alignment shrinkToFit="0" vertical="bottom" wrapText="0"/>
    </xf>
    <xf borderId="1" fillId="0" fontId="82" numFmtId="0" xfId="0" applyAlignment="1" applyBorder="1" applyFont="1">
      <alignment horizontal="center" shrinkToFit="0" vertical="top" wrapText="1"/>
    </xf>
    <xf borderId="1" fillId="0" fontId="19" numFmtId="3" xfId="0" applyAlignment="1" applyBorder="1" applyFont="1" applyNumberFormat="1">
      <alignment horizontal="center" shrinkToFit="0" vertical="top" wrapText="1"/>
    </xf>
    <xf borderId="1" fillId="0" fontId="2" numFmtId="3" xfId="0" applyAlignment="1" applyBorder="1" applyFont="1" applyNumberFormat="1">
      <alignment shrinkToFit="0" vertical="top" wrapText="1"/>
    </xf>
    <xf borderId="0" fillId="0" fontId="83" numFmtId="0" xfId="0" applyAlignment="1" applyFont="1">
      <alignment shrinkToFit="0" vertical="top" wrapText="1"/>
    </xf>
    <xf borderId="0" fillId="0" fontId="2" numFmtId="4" xfId="0" applyAlignment="1" applyFont="1" applyNumberFormat="1">
      <alignment horizontal="center" shrinkToFit="0" vertical="top" wrapText="1"/>
    </xf>
    <xf borderId="0" fillId="0" fontId="84" numFmtId="0" xfId="0" applyAlignment="1" applyFont="1">
      <alignment horizontal="center" shrinkToFit="0" vertical="top" wrapText="1"/>
    </xf>
    <xf borderId="0" fillId="0" fontId="3" numFmtId="0" xfId="0" applyAlignment="1" applyFont="1">
      <alignment horizontal="center" shrinkToFit="0" vertical="top" wrapText="1"/>
    </xf>
    <xf borderId="0" fillId="0" fontId="85" numFmtId="0" xfId="0" applyAlignment="1" applyFont="1">
      <alignment shrinkToFit="0" vertical="bottom" wrapText="0"/>
    </xf>
    <xf borderId="1" fillId="0" fontId="86" numFmtId="0" xfId="0" applyAlignment="1" applyBorder="1" applyFont="1">
      <alignment horizontal="center" shrinkToFit="0" vertical="top" wrapText="1"/>
    </xf>
    <xf borderId="0" fillId="0" fontId="87" numFmtId="0" xfId="0" applyAlignment="1" applyFont="1">
      <alignment shrinkToFit="0" vertical="top" wrapText="1"/>
    </xf>
    <xf borderId="0" fillId="0" fontId="88" numFmtId="0" xfId="0" applyAlignment="1" applyFont="1">
      <alignment shrinkToFit="0" vertical="top" wrapText="1"/>
    </xf>
    <xf borderId="0" fillId="0" fontId="1" numFmtId="0" xfId="0" applyAlignment="1" applyFont="1">
      <alignment horizontal="center" shrinkToFit="0" vertical="top" wrapText="0"/>
    </xf>
    <xf borderId="0" fillId="0" fontId="89" numFmtId="0" xfId="0" applyAlignment="1" applyFont="1">
      <alignment shrinkToFit="0" vertical="top" wrapText="1"/>
    </xf>
    <xf borderId="0" fillId="0" fontId="1" numFmtId="0" xfId="0" applyAlignment="1" applyFont="1">
      <alignment horizontal="center" shrinkToFit="0" vertical="top" wrapText="1"/>
    </xf>
    <xf borderId="1" fillId="5" fontId="3" numFmtId="0" xfId="0" applyAlignment="1" applyBorder="1" applyFont="1">
      <alignment horizontal="center" shrinkToFit="0" vertical="top" wrapText="1"/>
    </xf>
    <xf borderId="0" fillId="0" fontId="90" numFmtId="0" xfId="0" applyAlignment="1" applyFont="1">
      <alignment shrinkToFit="0" vertical="center" wrapText="0"/>
    </xf>
    <xf borderId="0" fillId="0" fontId="91" numFmtId="0" xfId="0" applyAlignment="1" applyFont="1">
      <alignment shrinkToFit="0" vertical="bottom" wrapText="0"/>
    </xf>
    <xf borderId="17" fillId="0" fontId="2" numFmtId="4" xfId="0" applyAlignment="1" applyBorder="1" applyFont="1" applyNumberFormat="1">
      <alignment horizontal="center" shrinkToFit="0" vertical="top" wrapText="1"/>
    </xf>
    <xf borderId="0" fillId="0" fontId="92" numFmtId="0" xfId="0" applyAlignment="1" applyFont="1">
      <alignment shrinkToFit="0" vertical="center" wrapText="1"/>
    </xf>
    <xf borderId="0" fillId="0" fontId="67" numFmtId="0" xfId="0" applyAlignment="1" applyFont="1">
      <alignment shrinkToFit="0" vertical="bottom" wrapText="0"/>
    </xf>
    <xf borderId="0" fillId="0" fontId="93" numFmtId="0" xfId="0" applyAlignment="1" applyFont="1">
      <alignment shrinkToFit="0" vertical="bottom" wrapText="0"/>
    </xf>
    <xf borderId="0" fillId="0" fontId="94" numFmtId="0" xfId="0" applyAlignment="1" applyFont="1">
      <alignment shrinkToFit="0" vertical="center" wrapText="1"/>
    </xf>
    <xf borderId="0" fillId="0" fontId="95" numFmtId="0" xfId="0" applyAlignment="1" applyFont="1">
      <alignment shrinkToFit="0" vertical="center" wrapText="0"/>
    </xf>
    <xf borderId="0" fillId="0" fontId="96" numFmtId="0" xfId="0" applyAlignment="1" applyFont="1">
      <alignment shrinkToFit="0" vertical="center" wrapText="0"/>
    </xf>
    <xf borderId="0" fillId="0" fontId="97" numFmtId="0" xfId="0" applyAlignment="1" applyFont="1">
      <alignment shrinkToFit="0" vertical="center" wrapText="0"/>
    </xf>
    <xf borderId="0" fillId="0" fontId="0" numFmtId="0" xfId="0" applyAlignment="1" applyFont="1">
      <alignment horizontal="left" shrinkToFit="0" vertical="center" wrapText="1"/>
    </xf>
    <xf borderId="0" fillId="0" fontId="14" numFmtId="0" xfId="0" applyAlignment="1" applyFont="1">
      <alignment shrinkToFit="0" vertical="bottom" wrapText="1"/>
    </xf>
    <xf borderId="12" fillId="0" fontId="14" numFmtId="0" xfId="0" applyAlignment="1" applyBorder="1" applyFont="1">
      <alignment shrinkToFit="0" vertical="bottom" wrapText="0"/>
    </xf>
    <xf borderId="0" fillId="0" fontId="98" numFmtId="0" xfId="0" applyAlignment="1" applyFont="1">
      <alignment shrinkToFit="0" vertical="bottom" wrapText="0"/>
    </xf>
    <xf borderId="17" fillId="0" fontId="14" numFmtId="0" xfId="0" applyAlignment="1" applyBorder="1" applyFont="1">
      <alignment shrinkToFit="0" vertical="bottom" wrapText="0"/>
    </xf>
    <xf borderId="0" fillId="0" fontId="99" numFmtId="0" xfId="0" applyAlignment="1" applyFont="1">
      <alignment shrinkToFit="0" vertical="top" wrapText="0"/>
    </xf>
    <xf borderId="18" fillId="0" fontId="69" numFmtId="0" xfId="0" applyAlignment="1" applyBorder="1" applyFont="1">
      <alignment horizontal="left" shrinkToFit="0" vertical="top" wrapText="0"/>
    </xf>
    <xf borderId="19" fillId="0" fontId="67" numFmtId="0" xfId="0" applyAlignment="1" applyBorder="1" applyFont="1">
      <alignment shrinkToFit="0" vertical="top" wrapText="0"/>
    </xf>
    <xf borderId="19" fillId="0" fontId="99" numFmtId="0" xfId="0" applyAlignment="1" applyBorder="1" applyFont="1">
      <alignment shrinkToFit="0" vertical="top" wrapText="0"/>
    </xf>
    <xf borderId="18" fillId="0" fontId="2" numFmtId="4" xfId="0" applyAlignment="1" applyBorder="1" applyFont="1" applyNumberFormat="1">
      <alignment horizontal="center" shrinkToFit="0" vertical="top" wrapText="1"/>
    </xf>
    <xf borderId="0" fillId="0" fontId="55" numFmtId="0" xfId="0" applyAlignment="1" applyFont="1">
      <alignment horizontal="center" shrinkToFit="0" vertical="bottom" wrapText="1"/>
    </xf>
    <xf borderId="0" fillId="0" fontId="48" numFmtId="0" xfId="0" applyAlignment="1" applyFont="1">
      <alignment horizontal="center" shrinkToFit="0" vertical="bottom" wrapText="1"/>
    </xf>
    <xf borderId="1" fillId="0" fontId="55" numFmtId="0" xfId="0" applyAlignment="1" applyBorder="1" applyFont="1">
      <alignment horizontal="center" shrinkToFit="0" vertical="bottom" wrapText="1"/>
    </xf>
    <xf borderId="3" fillId="0" fontId="55" numFmtId="0" xfId="0" applyAlignment="1" applyBorder="1" applyFont="1">
      <alignment horizontal="center" shrinkToFit="0" vertical="bottom" wrapText="1"/>
    </xf>
    <xf borderId="5" fillId="0" fontId="0" numFmtId="0" xfId="0" applyAlignment="1" applyBorder="1" applyFont="1">
      <alignment shrinkToFit="0" vertical="bottom" wrapText="1"/>
    </xf>
    <xf borderId="0" fillId="0" fontId="100" numFmtId="0" xfId="0" applyAlignment="1" applyFont="1">
      <alignment shrinkToFit="0" vertical="bottom" wrapText="0"/>
    </xf>
    <xf borderId="1" fillId="0" fontId="0" numFmtId="0" xfId="0" applyAlignment="1" applyBorder="1" applyFont="1">
      <alignment horizontal="center" shrinkToFit="0" vertical="top" wrapText="1"/>
    </xf>
    <xf borderId="0" fillId="0" fontId="101" numFmtId="0" xfId="0" applyAlignment="1" applyFont="1">
      <alignment shrinkToFit="0" vertical="bottom" wrapText="0"/>
    </xf>
    <xf borderId="0" fillId="0" fontId="1" numFmtId="49" xfId="0" applyAlignment="1" applyFont="1" applyNumberFormat="1">
      <alignment shrinkToFit="0" vertical="top" wrapText="1"/>
    </xf>
    <xf borderId="0" fillId="0" fontId="102" numFmtId="0" xfId="0" applyAlignment="1" applyFont="1">
      <alignment shrinkToFit="0" vertical="center" wrapText="1"/>
    </xf>
    <xf borderId="18" fillId="0" fontId="3" numFmtId="0" xfId="0" applyAlignment="1" applyBorder="1" applyFont="1">
      <alignment horizontal="left" shrinkToFit="0" vertical="top" wrapText="1"/>
    </xf>
    <xf borderId="0" fillId="0" fontId="1" numFmtId="0" xfId="0" applyAlignment="1" applyFont="1">
      <alignment shrinkToFit="0" vertical="center" wrapText="1"/>
    </xf>
    <xf borderId="1" fillId="0" fontId="103" numFmtId="49" xfId="0" applyAlignment="1" applyBorder="1" applyFont="1" applyNumberFormat="1">
      <alignment horizontal="left" readingOrder="1" shrinkToFit="0" vertical="top" wrapText="1"/>
    </xf>
    <xf borderId="0" fillId="0" fontId="104" numFmtId="0" xfId="0" applyAlignment="1" applyFont="1">
      <alignment horizontal="left" shrinkToFit="0" vertical="top" wrapText="0"/>
    </xf>
    <xf borderId="1" fillId="0" fontId="105" numFmtId="0" xfId="0" applyAlignment="1" applyBorder="1" applyFont="1">
      <alignment horizontal="left" shrinkToFit="0" vertical="center" wrapText="1"/>
    </xf>
    <xf borderId="0" fillId="0" fontId="106" numFmtId="0" xfId="0" applyAlignment="1" applyFont="1">
      <alignment horizontal="left" shrinkToFit="0" vertical="center" wrapText="0"/>
    </xf>
    <xf borderId="1" fillId="0" fontId="107" numFmtId="0" xfId="0" applyAlignment="1" applyBorder="1" applyFont="1">
      <alignment horizontal="left" shrinkToFit="0" vertical="center" wrapText="0"/>
    </xf>
    <xf borderId="1" fillId="0" fontId="108" numFmtId="0" xfId="0" applyAlignment="1" applyBorder="1" applyFont="1">
      <alignment horizontal="left" shrinkToFit="0" vertical="top" wrapText="1"/>
    </xf>
    <xf borderId="1" fillId="0" fontId="109" numFmtId="0" xfId="0" applyAlignment="1" applyBorder="1" applyFont="1">
      <alignment shrinkToFit="0" vertical="center" wrapText="1"/>
    </xf>
    <xf borderId="1" fillId="0" fontId="34" numFmtId="1" xfId="0" applyAlignment="1" applyBorder="1" applyFont="1" applyNumberFormat="1">
      <alignment horizontal="center" shrinkToFit="0" vertical="center" wrapText="1"/>
    </xf>
    <xf borderId="1" fillId="0" fontId="34" numFmtId="4" xfId="0" applyAlignment="1" applyBorder="1" applyFont="1" applyNumberFormat="1">
      <alignment horizontal="center" shrinkToFit="0" vertical="center" wrapText="1"/>
    </xf>
    <xf borderId="1" fillId="0" fontId="55" numFmtId="0" xfId="0" applyAlignment="1" applyBorder="1" applyFont="1">
      <alignment shrinkToFit="0" vertical="bottom" wrapText="1"/>
    </xf>
    <xf borderId="1" fillId="0" fontId="110" numFmtId="0" xfId="0" applyAlignment="1" applyBorder="1" applyFont="1">
      <alignment horizontal="left" shrinkToFit="0" vertical="top" wrapText="1"/>
    </xf>
    <xf borderId="1" fillId="0" fontId="55" numFmtId="0" xfId="0" applyAlignment="1" applyBorder="1" applyFont="1">
      <alignment horizontal="left" shrinkToFit="0" vertical="bottom" wrapText="1"/>
    </xf>
    <xf borderId="0" fillId="0" fontId="111" numFmtId="0" xfId="0" applyAlignment="1" applyFont="1">
      <alignment horizontal="left" shrinkToFit="0" vertical="top" wrapText="1"/>
    </xf>
    <xf borderId="1" fillId="0" fontId="32" numFmtId="0" xfId="0" applyAlignment="1" applyBorder="1" applyFont="1">
      <alignment horizontal="left" shrinkToFit="0" vertical="center" wrapText="0"/>
    </xf>
    <xf borderId="1" fillId="0" fontId="48" numFmtId="0" xfId="0" applyAlignment="1" applyBorder="1" applyFont="1">
      <alignment shrinkToFit="0" vertical="center" wrapText="1"/>
    </xf>
    <xf borderId="0" fillId="0" fontId="32" numFmtId="0" xfId="0" applyAlignment="1" applyFont="1">
      <alignment horizontal="left" shrinkToFit="0" vertical="center" wrapText="1"/>
    </xf>
    <xf borderId="0" fillId="0" fontId="112" numFmtId="0" xfId="0" applyAlignment="1" applyFont="1">
      <alignment horizontal="left" shrinkToFit="0" vertical="center" wrapText="1"/>
    </xf>
    <xf borderId="1" fillId="0" fontId="48" numFmtId="0" xfId="0" applyAlignment="1" applyBorder="1" applyFont="1">
      <alignment horizontal="left" shrinkToFit="0" vertical="center" wrapText="1"/>
    </xf>
    <xf borderId="1" fillId="0" fontId="32" numFmtId="0" xfId="0" applyAlignment="1" applyBorder="1" applyFont="1">
      <alignment horizontal="left" shrinkToFit="0" vertical="center" wrapText="1"/>
    </xf>
    <xf borderId="1" fillId="0" fontId="55" numFmtId="0" xfId="0" applyAlignment="1" applyBorder="1" applyFont="1">
      <alignment horizontal="left" shrinkToFit="0" vertical="top" wrapText="1"/>
    </xf>
    <xf borderId="12" fillId="0" fontId="34" numFmtId="4" xfId="0" applyAlignment="1" applyBorder="1" applyFont="1" applyNumberFormat="1">
      <alignment horizontal="center" shrinkToFit="0" vertical="center" wrapText="1"/>
    </xf>
    <xf borderId="12" fillId="0" fontId="34" numFmtId="0" xfId="0" applyAlignment="1" applyBorder="1" applyFont="1">
      <alignment shrinkToFit="0" vertical="top" wrapText="1"/>
    </xf>
    <xf borderId="12" fillId="0" fontId="32" numFmtId="0" xfId="0" applyAlignment="1" applyBorder="1" applyFont="1">
      <alignment horizontal="left" shrinkToFit="0" vertical="top" wrapText="1"/>
    </xf>
    <xf borderId="12" fillId="0" fontId="48" numFmtId="0" xfId="0" applyAlignment="1" applyBorder="1" applyFont="1">
      <alignment horizontal="left" shrinkToFit="0" vertical="center" wrapText="1"/>
    </xf>
    <xf borderId="12" fillId="0" fontId="113" numFmtId="0" xfId="0" applyAlignment="1" applyBorder="1" applyFont="1">
      <alignment shrinkToFit="0" vertical="top" wrapText="1"/>
    </xf>
    <xf borderId="12" fillId="0" fontId="32" numFmtId="0" xfId="0" applyAlignment="1" applyBorder="1" applyFont="1">
      <alignment horizontal="center" shrinkToFit="0" vertical="top" wrapText="1"/>
    </xf>
    <xf borderId="12" fillId="0" fontId="34" numFmtId="1" xfId="0" applyAlignment="1" applyBorder="1" applyFont="1" applyNumberFormat="1">
      <alignment horizontal="center" shrinkToFit="0" vertical="center" wrapText="1"/>
    </xf>
    <xf borderId="1" fillId="0" fontId="48" numFmtId="0" xfId="0" applyAlignment="1" applyBorder="1" applyFont="1">
      <alignment shrinkToFit="0" vertical="bottom" wrapText="0"/>
    </xf>
    <xf borderId="18" fillId="0" fontId="32" numFmtId="0" xfId="0" applyAlignment="1" applyBorder="1" applyFont="1">
      <alignment horizontal="left" shrinkToFit="0" vertical="top" wrapText="1"/>
    </xf>
    <xf borderId="18" fillId="0" fontId="32" numFmtId="0" xfId="0" applyAlignment="1" applyBorder="1" applyFont="1">
      <alignment horizontal="left" shrinkToFit="0" vertical="center" wrapText="1"/>
    </xf>
    <xf borderId="18" fillId="0" fontId="114" numFmtId="0" xfId="0" applyAlignment="1" applyBorder="1" applyFont="1">
      <alignment horizontal="center" shrinkToFit="0" vertical="top" wrapText="1"/>
    </xf>
    <xf borderId="18" fillId="0" fontId="48" numFmtId="0" xfId="0" applyAlignment="1" applyBorder="1" applyFont="1">
      <alignment shrinkToFit="0" vertical="bottom" wrapText="0"/>
    </xf>
    <xf borderId="18" fillId="0" fontId="115" numFmtId="0" xfId="0" applyAlignment="1" applyBorder="1" applyFont="1">
      <alignment shrinkToFit="0" vertical="top" wrapText="1"/>
    </xf>
    <xf borderId="18" fillId="0" fontId="32" numFmtId="0" xfId="0" applyAlignment="1" applyBorder="1" applyFont="1">
      <alignment horizontal="center" shrinkToFit="0" vertical="top" wrapText="1"/>
    </xf>
    <xf borderId="18" fillId="0" fontId="34" numFmtId="1" xfId="0" applyAlignment="1" applyBorder="1" applyFont="1" applyNumberFormat="1">
      <alignment horizontal="center" shrinkToFit="0" vertical="center" wrapText="1"/>
    </xf>
    <xf borderId="1" fillId="0" fontId="34" numFmtId="0" xfId="0" applyAlignment="1" applyBorder="1" applyFont="1">
      <alignment horizontal="left" shrinkToFit="0" vertical="center" wrapText="1"/>
    </xf>
    <xf borderId="12" fillId="0" fontId="48" numFmtId="0" xfId="0" applyAlignment="1" applyBorder="1" applyFont="1">
      <alignment shrinkToFit="0" vertical="bottom" wrapText="0"/>
    </xf>
    <xf borderId="12" fillId="0" fontId="10" numFmtId="0" xfId="0" applyAlignment="1" applyBorder="1" applyFont="1">
      <alignment horizontal="center" shrinkToFit="0" vertical="center" wrapText="0"/>
    </xf>
    <xf borderId="12" fillId="0" fontId="116" numFmtId="0" xfId="0" applyAlignment="1" applyBorder="1" applyFont="1">
      <alignment horizontal="left" shrinkToFit="0" vertical="top" wrapText="1"/>
    </xf>
    <xf borderId="1" fillId="0" fontId="117" numFmtId="0" xfId="0" applyAlignment="1" applyBorder="1" applyFont="1">
      <alignment shrinkToFit="0" vertical="bottom" wrapText="1"/>
    </xf>
    <xf borderId="0" fillId="0" fontId="48" numFmtId="0" xfId="0" applyAlignment="1" applyFont="1">
      <alignment shrinkToFit="0" vertical="center" wrapText="1"/>
    </xf>
    <xf borderId="1" fillId="0" fontId="118" numFmtId="0" xfId="0" applyAlignment="1" applyBorder="1" applyFont="1">
      <alignment horizontal="left" shrinkToFit="0" vertical="center" wrapText="1"/>
    </xf>
    <xf borderId="1" fillId="0" fontId="48" numFmtId="0" xfId="0" applyAlignment="1" applyBorder="1" applyFont="1">
      <alignment horizontal="center" shrinkToFit="0" vertical="center" wrapText="0"/>
    </xf>
    <xf borderId="1" fillId="5" fontId="3" numFmtId="0" xfId="0" applyAlignment="1" applyBorder="1" applyFont="1">
      <alignment horizontal="left" shrinkToFit="0" vertical="top" wrapText="1"/>
    </xf>
    <xf borderId="1" fillId="0" fontId="3" numFmtId="0" xfId="0" applyAlignment="1" applyBorder="1" applyFont="1">
      <alignment shrinkToFit="0" vertical="center" wrapText="1"/>
    </xf>
    <xf borderId="1" fillId="0" fontId="89" numFmtId="0" xfId="0" applyAlignment="1" applyBorder="1" applyFont="1">
      <alignment shrinkToFit="0" vertical="center" wrapText="1"/>
    </xf>
    <xf borderId="1" fillId="5" fontId="119" numFmtId="0" xfId="0" applyAlignment="1" applyBorder="1" applyFont="1">
      <alignment shrinkToFit="0" vertical="bottom" wrapText="1"/>
    </xf>
    <xf borderId="1" fillId="5" fontId="2" numFmtId="1" xfId="0" applyAlignment="1" applyBorder="1" applyFont="1" applyNumberFormat="1">
      <alignment horizontal="center" shrinkToFit="0" vertical="top" wrapText="1"/>
    </xf>
    <xf borderId="1" fillId="0" fontId="3" numFmtId="0" xfId="0" applyAlignment="1" applyBorder="1" applyFont="1">
      <alignment shrinkToFit="0" vertical="bottom" wrapText="1"/>
    </xf>
    <xf borderId="1" fillId="5" fontId="3" numFmtId="0" xfId="0" applyAlignment="1" applyBorder="1" applyFont="1">
      <alignment shrinkToFit="0" vertical="bottom" wrapText="1"/>
    </xf>
    <xf borderId="1" fillId="5" fontId="3" numFmtId="0" xfId="0" applyAlignment="1" applyBorder="1" applyFont="1">
      <alignment horizontal="left" shrinkToFit="0" vertical="center" wrapText="1"/>
    </xf>
    <xf borderId="1" fillId="0" fontId="120" numFmtId="0" xfId="0" applyAlignment="1" applyBorder="1" applyFont="1">
      <alignment shrinkToFit="0" vertical="center" wrapText="1"/>
    </xf>
    <xf borderId="1" fillId="5" fontId="3" numFmtId="0" xfId="0" applyAlignment="1" applyBorder="1" applyFont="1">
      <alignment shrinkToFit="0" vertical="center" wrapText="1"/>
    </xf>
    <xf borderId="1" fillId="0" fontId="89" numFmtId="0" xfId="0" applyAlignment="1" applyBorder="1" applyFont="1">
      <alignment shrinkToFit="0" vertical="bottom" wrapText="1"/>
    </xf>
    <xf borderId="1" fillId="0" fontId="89" numFmtId="0" xfId="0" applyAlignment="1" applyBorder="1" applyFont="1">
      <alignment horizontal="left" shrinkToFit="0" vertical="center" wrapText="1"/>
    </xf>
    <xf borderId="1" fillId="5" fontId="121" numFmtId="0" xfId="0" applyAlignment="1" applyBorder="1" applyFont="1">
      <alignment shrinkToFit="0" vertical="bottom" wrapText="1"/>
    </xf>
    <xf borderId="0" fillId="0" fontId="122" numFmtId="0" xfId="0" applyAlignment="1" applyFont="1">
      <alignment horizontal="left" shrinkToFit="0" vertical="bottom" wrapText="1"/>
    </xf>
    <xf borderId="0" fillId="0" fontId="123" numFmtId="0" xfId="0" applyAlignment="1" applyFont="1">
      <alignment shrinkToFit="0" vertical="bottom" wrapText="1"/>
    </xf>
    <xf borderId="0" fillId="0" fontId="75" numFmtId="0" xfId="0" applyAlignment="1" applyFont="1">
      <alignment shrinkToFit="0" vertical="center" wrapText="1"/>
    </xf>
    <xf borderId="0" fillId="0" fontId="0" numFmtId="0" xfId="0" applyAlignment="1" applyFont="1">
      <alignment shrinkToFit="0" vertical="center" wrapText="1"/>
    </xf>
    <xf borderId="1" fillId="0" fontId="3" numFmtId="0" xfId="0" applyAlignment="1" applyBorder="1" applyFont="1">
      <alignment horizontal="center" readingOrder="0" shrinkToFit="0" vertical="top" wrapText="1"/>
    </xf>
    <xf borderId="1" fillId="0" fontId="32" numFmtId="0" xfId="0" applyAlignment="1" applyBorder="1" applyFont="1">
      <alignment horizontal="center" shrinkToFit="0" vertical="top" wrapText="0"/>
    </xf>
    <xf borderId="1" fillId="0" fontId="34" numFmtId="0" xfId="0" applyAlignment="1" applyBorder="1" applyFont="1">
      <alignment horizontal="center" shrinkToFit="0" vertical="bottom" wrapText="0"/>
    </xf>
    <xf borderId="17" fillId="0" fontId="34" numFmtId="0" xfId="0" applyAlignment="1" applyBorder="1" applyFont="1">
      <alignment horizontal="center" shrinkToFit="0" vertical="bottom" wrapText="0"/>
    </xf>
    <xf borderId="1" fillId="0" fontId="124" numFmtId="0" xfId="0" applyAlignment="1" applyBorder="1" applyFont="1">
      <alignment shrinkToFit="0" vertical="top" wrapText="1"/>
    </xf>
    <xf borderId="1" fillId="0" fontId="14" numFmtId="0" xfId="0" applyAlignment="1" applyBorder="1" applyFont="1">
      <alignment horizontal="left" shrinkToFit="0" vertical="top" wrapText="1"/>
    </xf>
    <xf borderId="1" fillId="0" fontId="125" numFmtId="0" xfId="0" applyAlignment="1" applyBorder="1" applyFont="1">
      <alignment horizontal="center" shrinkToFit="0" vertical="top" wrapText="1"/>
    </xf>
    <xf borderId="1" fillId="0" fontId="15" numFmtId="0" xfId="0" applyAlignment="1" applyBorder="1" applyFont="1">
      <alignment shrinkToFit="0" vertical="top" wrapText="1"/>
    </xf>
    <xf borderId="0" fillId="0" fontId="15" numFmtId="0" xfId="0" applyAlignment="1" applyFont="1">
      <alignment shrinkToFit="0" vertical="bottom" wrapText="0"/>
    </xf>
    <xf borderId="0" fillId="0" fontId="14" numFmtId="0" xfId="0" applyAlignment="1" applyFont="1">
      <alignment shrinkToFit="0" vertical="top" wrapText="1"/>
    </xf>
    <xf borderId="0" fillId="0" fontId="65" numFmtId="0" xfId="0" applyAlignment="1" applyFont="1">
      <alignment horizontal="center" shrinkToFit="0" vertical="bottom" wrapText="0"/>
    </xf>
    <xf borderId="0" fillId="0" fontId="14" numFmtId="0" xfId="0" applyAlignment="1" applyFont="1">
      <alignment horizontal="left" shrinkToFit="0" vertical="center" wrapText="0"/>
    </xf>
    <xf borderId="0" fillId="0" fontId="16" numFmtId="0" xfId="0" applyAlignment="1" applyFont="1">
      <alignment shrinkToFit="0" vertical="center" wrapText="1"/>
    </xf>
    <xf borderId="0" fillId="0" fontId="16" numFmtId="0" xfId="0" applyAlignment="1" applyFont="1">
      <alignment shrinkToFit="0" vertical="bottom" wrapText="0"/>
    </xf>
    <xf borderId="0" fillId="0" fontId="16" numFmtId="0" xfId="0" applyAlignment="1" applyFont="1">
      <alignment shrinkToFit="0" vertical="top" wrapText="1"/>
    </xf>
    <xf borderId="12" fillId="0" fontId="126" numFmtId="0" xfId="0" applyAlignment="1" applyBorder="1" applyFont="1">
      <alignment horizontal="center" shrinkToFit="0" vertical="top" wrapText="1"/>
    </xf>
    <xf borderId="12" fillId="0" fontId="127" numFmtId="0" xfId="0" applyAlignment="1" applyBorder="1" applyFont="1">
      <alignment horizontal="center" shrinkToFit="0" vertical="top" wrapText="1"/>
    </xf>
    <xf borderId="12" fillId="0" fontId="64" numFmtId="1" xfId="0" applyAlignment="1" applyBorder="1" applyFont="1" applyNumberFormat="1">
      <alignment horizontal="center" shrinkToFit="0" vertical="top" wrapText="1"/>
    </xf>
    <xf borderId="1" fillId="0" fontId="128" numFmtId="0" xfId="0" applyAlignment="1" applyBorder="1" applyFont="1">
      <alignment shrinkToFit="0" vertical="bottom" wrapText="1"/>
    </xf>
    <xf borderId="1" fillId="0" fontId="129" numFmtId="0" xfId="0" applyAlignment="1" applyBorder="1" applyFont="1">
      <alignment shrinkToFit="0" vertical="bottom" wrapText="1"/>
    </xf>
    <xf borderId="1" fillId="0" fontId="2" numFmtId="0" xfId="0" applyAlignment="1" applyBorder="1" applyFont="1">
      <alignment shrinkToFit="0" vertical="bottom" wrapText="1"/>
    </xf>
    <xf borderId="1" fillId="0" fontId="2" numFmtId="4" xfId="0" applyAlignment="1" applyBorder="1" applyFont="1" applyNumberFormat="1">
      <alignment shrinkToFit="0" vertical="bottom" wrapText="1"/>
    </xf>
    <xf borderId="1" fillId="0" fontId="130" numFmtId="0" xfId="0" applyAlignment="1" applyBorder="1" applyFont="1">
      <alignment shrinkToFit="0" vertical="bottom" wrapText="1"/>
    </xf>
    <xf borderId="1" fillId="0" fontId="1" numFmtId="0" xfId="0" applyAlignment="1" applyBorder="1" applyFont="1">
      <alignment shrinkToFit="0" vertical="bottom" wrapText="1"/>
    </xf>
    <xf borderId="1" fillId="0" fontId="1" numFmtId="4" xfId="0" applyAlignment="1" applyBorder="1" applyFont="1" applyNumberFormat="1">
      <alignment shrinkToFit="0" vertical="bottom" wrapText="1"/>
    </xf>
    <xf borderId="1" fillId="0" fontId="1" numFmtId="0" xfId="0" applyAlignment="1" applyBorder="1" applyFont="1">
      <alignment shrinkToFit="0" vertical="top" wrapText="1"/>
    </xf>
    <xf borderId="1" fillId="0" fontId="9" numFmtId="0" xfId="0" applyAlignment="1" applyBorder="1" applyFont="1">
      <alignment shrinkToFit="0" vertical="bottom" wrapText="1"/>
    </xf>
    <xf borderId="1" fillId="0" fontId="131" numFmtId="0" xfId="0" applyAlignment="1" applyBorder="1" applyFont="1">
      <alignment shrinkToFit="0" vertical="bottom" wrapText="1"/>
    </xf>
    <xf borderId="0" fillId="0" fontId="132" numFmtId="0" xfId="0" applyAlignment="1" applyFont="1">
      <alignment shrinkToFit="0" vertical="top" wrapText="1"/>
    </xf>
    <xf borderId="18" fillId="0" fontId="132" numFmtId="0" xfId="0" applyAlignment="1" applyBorder="1" applyFont="1">
      <alignment shrinkToFit="0" vertical="top" wrapText="1"/>
    </xf>
    <xf borderId="18" fillId="0" fontId="132" numFmtId="0" xfId="0" applyAlignment="1" applyBorder="1" applyFont="1">
      <alignment horizontal="center" shrinkToFit="0" vertical="top" wrapText="1"/>
    </xf>
    <xf borderId="18" fillId="0" fontId="133" numFmtId="0" xfId="0" applyAlignment="1" applyBorder="1" applyFont="1">
      <alignment horizontal="center" shrinkToFit="0" vertical="top" wrapText="1"/>
    </xf>
    <xf borderId="18" fillId="0" fontId="134" numFmtId="1" xfId="0" applyAlignment="1" applyBorder="1" applyFont="1" applyNumberFormat="1">
      <alignment horizontal="center" shrinkToFit="0" vertical="top" wrapText="1"/>
    </xf>
    <xf borderId="18" fillId="0" fontId="134" numFmtId="4" xfId="0" applyAlignment="1" applyBorder="1" applyFont="1" applyNumberFormat="1">
      <alignment horizontal="center" shrinkToFit="0" vertical="top" wrapText="1"/>
    </xf>
    <xf borderId="1" fillId="0" fontId="132" numFmtId="0" xfId="0" applyAlignment="1" applyBorder="1" applyFont="1">
      <alignment shrinkToFit="0" vertical="top" wrapText="1"/>
    </xf>
    <xf borderId="1" fillId="0" fontId="132" numFmtId="0" xfId="0" applyAlignment="1" applyBorder="1" applyFont="1">
      <alignment horizontal="center" shrinkToFit="0" vertical="top" wrapText="1"/>
    </xf>
    <xf borderId="1" fillId="0" fontId="135" numFmtId="0" xfId="0" applyAlignment="1" applyBorder="1" applyFont="1">
      <alignment horizontal="center" shrinkToFit="0" vertical="top" wrapText="1"/>
    </xf>
    <xf borderId="1" fillId="0" fontId="134" numFmtId="1" xfId="0" applyAlignment="1" applyBorder="1" applyFont="1" applyNumberFormat="1">
      <alignment horizontal="center" shrinkToFit="0" vertical="top" wrapText="1"/>
    </xf>
    <xf borderId="1" fillId="0" fontId="134" numFmtId="4" xfId="0" applyAlignment="1" applyBorder="1" applyFont="1" applyNumberFormat="1">
      <alignment horizontal="center" shrinkToFit="0" vertical="top" wrapText="1"/>
    </xf>
    <xf borderId="0" fillId="0" fontId="0" numFmtId="0" xfId="0" applyAlignment="1" applyFont="1">
      <alignment shrinkToFit="0" vertical="bottom" wrapText="0"/>
    </xf>
    <xf borderId="0" fillId="0" fontId="65" numFmtId="0" xfId="0" applyAlignment="1" applyFont="1">
      <alignment shrinkToFit="0" vertical="bottom" wrapText="1"/>
    </xf>
    <xf borderId="0" fillId="0" fontId="65" numFmtId="0" xfId="0" applyAlignment="1" applyFont="1">
      <alignment shrinkToFit="0" vertical="top" wrapText="1"/>
    </xf>
    <xf borderId="0" fillId="0" fontId="65" numFmtId="0" xfId="0" applyAlignment="1" applyFont="1">
      <alignment shrinkToFit="0" vertical="bottom" wrapText="0"/>
    </xf>
    <xf borderId="0" fillId="0" fontId="136" numFmtId="0" xfId="0" applyAlignment="1" applyFont="1">
      <alignment shrinkToFit="0" vertical="bottom" wrapText="0"/>
    </xf>
    <xf borderId="0" fillId="0" fontId="137" numFmtId="0" xfId="0" applyAlignment="1" applyFont="1">
      <alignment horizontal="right" shrinkToFit="0" vertical="bottom" wrapText="0"/>
    </xf>
    <xf borderId="0" fillId="0" fontId="65" numFmtId="0" xfId="0" applyAlignment="1" applyFont="1">
      <alignment horizontal="right" shrinkToFit="0" vertical="bottom" wrapText="0"/>
    </xf>
    <xf borderId="0" fillId="0" fontId="138" numFmtId="0" xfId="0" applyAlignment="1" applyFont="1">
      <alignment shrinkToFit="0" vertical="bottom" wrapText="1"/>
    </xf>
    <xf borderId="1" fillId="0" fontId="1" numFmtId="0" xfId="0" applyAlignment="1" applyBorder="1" applyFont="1">
      <alignment horizontal="left" shrinkToFit="0" vertical="top" wrapText="1"/>
    </xf>
    <xf borderId="1" fillId="0" fontId="2" numFmtId="1" xfId="0" applyAlignment="1" applyBorder="1" applyFont="1" applyNumberFormat="1">
      <alignment horizontal="left" shrinkToFit="0" vertical="top" wrapText="1"/>
    </xf>
    <xf borderId="1" fillId="0" fontId="2" numFmtId="4" xfId="0" applyAlignment="1" applyBorder="1" applyFont="1" applyNumberFormat="1">
      <alignment horizontal="left" shrinkToFit="0" vertical="top" wrapText="1"/>
    </xf>
    <xf borderId="1" fillId="0" fontId="139" numFmtId="0" xfId="0" applyAlignment="1" applyBorder="1" applyFont="1">
      <alignment horizontal="left" shrinkToFit="0" vertical="top" wrapText="1"/>
    </xf>
    <xf borderId="1" fillId="0" fontId="9" numFmtId="0" xfId="0" applyAlignment="1" applyBorder="1" applyFont="1">
      <alignment horizontal="left" shrinkToFit="0" vertical="top" wrapText="0"/>
    </xf>
    <xf borderId="1" fillId="0" fontId="140" numFmtId="0" xfId="0" applyAlignment="1" applyBorder="1" applyFont="1">
      <alignment horizontal="left" shrinkToFit="0" vertical="top" wrapText="1"/>
    </xf>
    <xf borderId="1" fillId="0" fontId="2" numFmtId="0" xfId="0" applyAlignment="1" applyBorder="1" applyFont="1">
      <alignment horizontal="left" shrinkToFit="0" vertical="top" wrapText="0"/>
    </xf>
    <xf borderId="1" fillId="0" fontId="9" numFmtId="0" xfId="0" applyAlignment="1" applyBorder="1" applyFont="1">
      <alignment shrinkToFit="0" vertical="bottom" wrapText="0"/>
    </xf>
    <xf borderId="0" fillId="0" fontId="9" numFmtId="2" xfId="0" applyAlignment="1" applyFont="1" applyNumberFormat="1">
      <alignment horizontal="center" shrinkToFit="0" vertical="bottom" wrapText="0"/>
    </xf>
    <xf borderId="8" fillId="7" fontId="24" numFmtId="0" xfId="0" applyAlignment="1" applyBorder="1" applyFont="1">
      <alignment horizontal="center" shrinkToFit="0" vertical="top" wrapText="1"/>
    </xf>
    <xf borderId="12"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12" fillId="0" fontId="9" numFmtId="2" xfId="0" applyAlignment="1" applyBorder="1" applyFont="1" applyNumberFormat="1">
      <alignment horizontal="center" shrinkToFit="0" vertical="center" wrapText="1"/>
    </xf>
    <xf borderId="1" fillId="0" fontId="3" numFmtId="0" xfId="0" applyAlignment="1" applyBorder="1" applyFont="1">
      <alignment horizontal="right" shrinkToFit="0" vertical="top" wrapText="1"/>
    </xf>
    <xf borderId="1" fillId="0" fontId="1" numFmtId="0" xfId="0" applyAlignment="1" applyBorder="1" applyFont="1">
      <alignment horizontal="center" shrinkToFit="0" vertical="top" wrapText="1"/>
    </xf>
    <xf borderId="1" fillId="6" fontId="141" numFmtId="0" xfId="0" applyAlignment="1" applyBorder="1" applyFont="1">
      <alignment horizontal="left" shrinkToFit="0" vertical="top" wrapText="1"/>
    </xf>
    <xf borderId="1" fillId="6" fontId="2" numFmtId="1" xfId="0" applyAlignment="1" applyBorder="1" applyFont="1" applyNumberFormat="1">
      <alignment shrinkToFit="0" vertical="top" wrapText="1"/>
    </xf>
    <xf borderId="1" fillId="6" fontId="2" numFmtId="2" xfId="0" applyAlignment="1" applyBorder="1" applyFont="1" applyNumberFormat="1">
      <alignment horizontal="center" shrinkToFit="0" vertical="top" wrapText="1"/>
    </xf>
    <xf borderId="1" fillId="0" fontId="3" numFmtId="165" xfId="0" applyAlignment="1" applyBorder="1" applyFont="1" applyNumberFormat="1">
      <alignment horizontal="left" shrinkToFit="0" vertical="top" wrapText="1"/>
    </xf>
    <xf borderId="16" fillId="6" fontId="142" numFmtId="0" xfId="0" applyAlignment="1" applyBorder="1" applyFont="1">
      <alignment shrinkToFit="0" vertical="bottom" wrapText="0"/>
    </xf>
    <xf borderId="1" fillId="0" fontId="143" numFmtId="0" xfId="0" applyAlignment="1" applyBorder="1" applyFont="1">
      <alignment horizontal="left" shrinkToFit="0" vertical="top" wrapText="1"/>
    </xf>
    <xf borderId="1" fillId="0" fontId="9" numFmtId="1" xfId="0" applyAlignment="1" applyBorder="1" applyFont="1" applyNumberFormat="1">
      <alignment horizontal="center" shrinkToFit="0" vertical="top" wrapText="1"/>
    </xf>
    <xf borderId="1" fillId="0" fontId="9" numFmtId="2" xfId="0" applyAlignment="1" applyBorder="1" applyFont="1" applyNumberFormat="1">
      <alignment horizontal="center" shrinkToFit="0" vertical="top" wrapText="1"/>
    </xf>
    <xf borderId="1" fillId="0" fontId="1" numFmtId="165" xfId="0" applyAlignment="1" applyBorder="1" applyFont="1" applyNumberFormat="1">
      <alignment horizontal="left" shrinkToFit="0" vertical="top" wrapText="1"/>
    </xf>
    <xf borderId="1" fillId="6" fontId="144" numFmtId="0" xfId="0" applyAlignment="1" applyBorder="1" applyFont="1">
      <alignment horizontal="left" shrinkToFit="0" vertical="top" wrapText="1"/>
    </xf>
    <xf borderId="1" fillId="6" fontId="2" numFmtId="2" xfId="0" applyAlignment="1" applyBorder="1" applyFont="1" applyNumberFormat="1">
      <alignment horizontal="right" shrinkToFit="0" vertical="top" wrapText="1"/>
    </xf>
    <xf borderId="0" fillId="0" fontId="89" numFmtId="0" xfId="0" applyAlignment="1" applyFont="1">
      <alignment horizontal="left" shrinkToFit="0" vertical="center" wrapText="1"/>
    </xf>
    <xf borderId="1" fillId="5" fontId="2" numFmtId="2" xfId="0" applyAlignment="1" applyBorder="1" applyFont="1" applyNumberFormat="1">
      <alignment horizontal="center" shrinkToFit="0" vertical="top" wrapText="1"/>
    </xf>
    <xf borderId="1" fillId="0" fontId="145" numFmtId="0" xfId="0" applyAlignment="1" applyBorder="1" applyFont="1">
      <alignment horizontal="left" shrinkToFit="0" vertical="top" wrapText="1"/>
    </xf>
    <xf borderId="1" fillId="6" fontId="3" numFmtId="17" xfId="0" applyAlignment="1" applyBorder="1" applyFont="1" applyNumberFormat="1">
      <alignment horizontal="left" shrinkToFit="0" vertical="top" wrapText="1"/>
    </xf>
    <xf borderId="1" fillId="0" fontId="3" numFmtId="14" xfId="0" applyAlignment="1" applyBorder="1" applyFont="1" applyNumberFormat="1">
      <alignment horizontal="left" shrinkToFit="0" vertical="top" wrapText="1"/>
    </xf>
    <xf borderId="1" fillId="0" fontId="1" numFmtId="14" xfId="0" applyAlignment="1" applyBorder="1" applyFont="1" applyNumberFormat="1">
      <alignment horizontal="left" shrinkToFit="0" vertical="top" wrapText="1"/>
    </xf>
    <xf borderId="1" fillId="8" fontId="9" numFmtId="2" xfId="0" applyAlignment="1" applyBorder="1" applyFont="1" applyNumberFormat="1">
      <alignment horizontal="center" shrinkToFit="0" vertical="center" wrapText="1"/>
    </xf>
    <xf borderId="1" fillId="0" fontId="3" numFmtId="2" xfId="0" applyAlignment="1" applyBorder="1" applyFont="1" applyNumberFormat="1">
      <alignment shrinkToFit="0" vertical="top" wrapText="1"/>
    </xf>
    <xf borderId="1" fillId="6" fontId="146" numFmtId="0" xfId="0" applyAlignment="1" applyBorder="1" applyFont="1">
      <alignment shrinkToFit="0" vertical="top" wrapText="1"/>
    </xf>
    <xf borderId="1" fillId="0" fontId="2" numFmtId="0" xfId="0" applyAlignment="1" applyBorder="1" applyFont="1">
      <alignment shrinkToFit="0" vertical="top" wrapText="1"/>
    </xf>
    <xf borderId="1" fillId="0" fontId="3" numFmtId="49" xfId="0" applyAlignment="1" applyBorder="1" applyFont="1" applyNumberFormat="1">
      <alignment horizontal="left" shrinkToFit="0" vertical="top" wrapText="1"/>
    </xf>
    <xf borderId="1" fillId="0" fontId="0" numFmtId="2" xfId="0" applyAlignment="1" applyBorder="1" applyFont="1" applyNumberFormat="1">
      <alignment shrinkToFit="0" vertical="top" wrapText="1"/>
    </xf>
    <xf borderId="0" fillId="0" fontId="28" numFmtId="0" xfId="0" applyAlignment="1" applyFont="1">
      <alignment shrinkToFit="0" vertical="top" wrapText="1"/>
    </xf>
    <xf borderId="1" fillId="0" fontId="71" numFmtId="2" xfId="0" applyAlignment="1" applyBorder="1" applyFont="1" applyNumberFormat="1">
      <alignment shrinkToFit="0" vertical="top" wrapText="1"/>
    </xf>
    <xf borderId="1" fillId="6" fontId="71" numFmtId="0" xfId="0" applyAlignment="1" applyBorder="1" applyFont="1">
      <alignment shrinkToFit="0" vertical="top" wrapText="1"/>
    </xf>
    <xf borderId="0" fillId="0" fontId="71" numFmtId="0" xfId="0" applyAlignment="1" applyFont="1">
      <alignment shrinkToFit="0" vertical="bottom" wrapText="1"/>
    </xf>
    <xf borderId="1" fillId="0" fontId="147" numFmtId="0" xfId="0" applyAlignment="1" applyBorder="1" applyFont="1">
      <alignment horizontal="center" shrinkToFit="0" vertical="top" wrapText="1"/>
    </xf>
    <xf borderId="1" fillId="0" fontId="71" numFmtId="0" xfId="0" applyAlignment="1" applyBorder="1" applyFont="1">
      <alignment shrinkToFit="0" vertical="bottom" wrapText="1"/>
    </xf>
    <xf borderId="1" fillId="0" fontId="71" numFmtId="49" xfId="0" applyAlignment="1" applyBorder="1" applyFont="1" applyNumberFormat="1">
      <alignment horizontal="center" shrinkToFit="0" vertical="top" wrapText="1"/>
    </xf>
    <xf borderId="1" fillId="0" fontId="76" numFmtId="1" xfId="0" applyAlignment="1" applyBorder="1" applyFont="1" applyNumberFormat="1">
      <alignment horizontal="center" shrinkToFit="0" vertical="top" wrapText="1"/>
    </xf>
    <xf borderId="1" fillId="0" fontId="76" numFmtId="2" xfId="0" applyAlignment="1" applyBorder="1" applyFont="1" applyNumberFormat="1">
      <alignment horizontal="center" shrinkToFit="0" vertical="top" wrapText="1"/>
    </xf>
    <xf borderId="1" fillId="0" fontId="32" numFmtId="2" xfId="0" applyAlignment="1" applyBorder="1" applyFont="1" applyNumberFormat="1">
      <alignment shrinkToFit="0" vertical="top" wrapText="1"/>
    </xf>
    <xf borderId="1" fillId="0" fontId="32" numFmtId="3" xfId="0" applyAlignment="1" applyBorder="1" applyFont="1" applyNumberFormat="1">
      <alignment horizontal="center" shrinkToFit="0" vertical="top" wrapText="1"/>
    </xf>
    <xf borderId="1" fillId="0" fontId="34" numFmtId="2" xfId="0" applyAlignment="1" applyBorder="1" applyFont="1" applyNumberFormat="1">
      <alignment horizontal="center" shrinkToFit="0" vertical="top" wrapText="1"/>
    </xf>
    <xf borderId="1" fillId="0" fontId="148" numFmtId="0" xfId="0" applyAlignment="1" applyBorder="1" applyFont="1">
      <alignment shrinkToFit="0" vertical="top" wrapText="0"/>
    </xf>
    <xf borderId="1" fillId="0" fontId="48" numFmtId="0" xfId="0" applyAlignment="1" applyBorder="1" applyFont="1">
      <alignment shrinkToFit="0" vertical="top" wrapText="0"/>
    </xf>
    <xf borderId="1" fillId="0" fontId="149" numFmtId="2" xfId="0" applyAlignment="1" applyBorder="1" applyFont="1" applyNumberFormat="1">
      <alignment shrinkToFit="0" vertical="top" wrapText="0"/>
    </xf>
    <xf borderId="1" fillId="0" fontId="148" numFmtId="0" xfId="0" applyAlignment="1" applyBorder="1" applyFont="1">
      <alignment shrinkToFit="0" vertical="bottom" wrapText="0"/>
    </xf>
    <xf borderId="1" fillId="0" fontId="150" numFmtId="0" xfId="0" applyAlignment="1" applyBorder="1" applyFont="1">
      <alignment horizontal="left" shrinkToFit="0" vertical="top" wrapText="0"/>
    </xf>
    <xf borderId="1" fillId="0" fontId="48" numFmtId="0" xfId="0" applyAlignment="1" applyBorder="1" applyFont="1">
      <alignment shrinkToFit="0" vertical="top" wrapText="1"/>
    </xf>
    <xf borderId="1" fillId="0" fontId="34" numFmtId="2" xfId="0" applyAlignment="1" applyBorder="1" applyFont="1" applyNumberFormat="1">
      <alignment shrinkToFit="0" vertical="top" wrapText="1"/>
    </xf>
    <xf borderId="19" fillId="0" fontId="16" numFmtId="0" xfId="0" applyAlignment="1" applyBorder="1" applyFont="1">
      <alignment shrinkToFit="0" vertical="top" wrapText="1"/>
    </xf>
    <xf borderId="1" fillId="0" fontId="16" numFmtId="2" xfId="0" applyAlignment="1" applyBorder="1" applyFont="1" applyNumberFormat="1">
      <alignment shrinkToFit="0" vertical="top" wrapText="1"/>
    </xf>
    <xf borderId="1" fillId="0" fontId="16" numFmtId="2" xfId="0" applyAlignment="1" applyBorder="1" applyFont="1" applyNumberFormat="1">
      <alignment horizontal="right" shrinkToFit="0" vertical="top" wrapText="1"/>
    </xf>
    <xf borderId="1" fillId="0" fontId="16" numFmtId="49" xfId="0" applyAlignment="1" applyBorder="1" applyFont="1" applyNumberFormat="1">
      <alignment horizontal="center" shrinkToFit="0" vertical="top" wrapText="1"/>
    </xf>
    <xf borderId="12" fillId="0" fontId="64" numFmtId="4" xfId="0" applyAlignment="1" applyBorder="1" applyFont="1" applyNumberFormat="1">
      <alignment horizontal="right" shrinkToFit="0" vertical="bottom" wrapText="1"/>
    </xf>
    <xf borderId="1" fillId="0" fontId="65" numFmtId="2" xfId="0" applyAlignment="1" applyBorder="1" applyFont="1" applyNumberFormat="1">
      <alignment horizontal="center" shrinkToFit="0" vertical="top" wrapText="1"/>
    </xf>
    <xf borderId="1" fillId="0" fontId="16" numFmtId="2" xfId="0" applyAlignment="1" applyBorder="1" applyFont="1" applyNumberFormat="1">
      <alignment shrinkToFit="0" vertical="top" wrapText="0"/>
    </xf>
    <xf borderId="1" fillId="0" fontId="64" numFmtId="3" xfId="0" applyAlignment="1" applyBorder="1" applyFont="1" applyNumberFormat="1">
      <alignment horizontal="center" shrinkToFit="0" vertical="top" wrapText="1"/>
    </xf>
    <xf borderId="1" fillId="0" fontId="16" numFmtId="3" xfId="0" applyAlignment="1" applyBorder="1" applyFont="1" applyNumberFormat="1">
      <alignment horizontal="center" shrinkToFit="0" vertical="top" wrapText="1"/>
    </xf>
    <xf borderId="1" fillId="0" fontId="3" numFmtId="2" xfId="0" applyAlignment="1" applyBorder="1" applyFont="1" applyNumberFormat="1">
      <alignment horizontal="center" shrinkToFit="0" vertical="top" wrapText="1"/>
    </xf>
    <xf borderId="2" fillId="5" fontId="48" numFmtId="0" xfId="0" applyAlignment="1" applyBorder="1" applyFont="1">
      <alignment horizontal="center" shrinkToFit="0" vertical="center" wrapText="1"/>
    </xf>
    <xf borderId="6" fillId="5" fontId="48" numFmtId="0" xfId="0" applyAlignment="1" applyBorder="1" applyFont="1">
      <alignment horizontal="center" shrinkToFit="0" vertical="center" wrapText="1"/>
    </xf>
    <xf borderId="1" fillId="0" fontId="48" numFmtId="0" xfId="0" applyAlignment="1" applyBorder="1" applyFont="1">
      <alignment shrinkToFit="0" vertical="bottom" wrapText="1"/>
    </xf>
    <xf borderId="11" fillId="5" fontId="48" numFmtId="0" xfId="0" applyAlignment="1" applyBorder="1" applyFont="1">
      <alignment horizontal="center" shrinkToFit="0" vertical="center" wrapText="1"/>
    </xf>
    <xf borderId="1" fillId="5" fontId="48" numFmtId="0" xfId="0" applyAlignment="1" applyBorder="1" applyFont="1">
      <alignment horizontal="center" shrinkToFit="0" vertical="center" wrapText="1"/>
    </xf>
    <xf borderId="1" fillId="0" fontId="55" numFmtId="0" xfId="0" applyAlignment="1" applyBorder="1" applyFont="1">
      <alignment horizontal="left" shrinkToFit="0" vertical="center" wrapText="0"/>
    </xf>
    <xf borderId="0" fillId="0" fontId="34" numFmtId="0" xfId="0" applyAlignment="1" applyFont="1">
      <alignment shrinkToFit="0" vertical="center" wrapText="1"/>
    </xf>
    <xf borderId="1" fillId="0" fontId="151" numFmtId="0" xfId="0" applyAlignment="1" applyBorder="1" applyFont="1">
      <alignment shrinkToFit="0" vertical="bottom" wrapText="0"/>
    </xf>
    <xf borderId="1" fillId="0" fontId="32" numFmtId="17" xfId="0" applyAlignment="1" applyBorder="1" applyFont="1" applyNumberFormat="1">
      <alignment horizontal="center" shrinkToFit="0" vertical="top" wrapText="1"/>
    </xf>
    <xf borderId="0" fillId="0" fontId="55" numFmtId="0" xfId="0" applyAlignment="1" applyFont="1">
      <alignment horizontal="center" shrinkToFit="0" vertical="center" wrapText="1"/>
    </xf>
    <xf borderId="0" fillId="0" fontId="48" numFmtId="0" xfId="0" applyAlignment="1" applyFont="1">
      <alignment shrinkToFit="0" vertical="top" wrapText="1"/>
    </xf>
    <xf borderId="1" fillId="0" fontId="32" numFmtId="14" xfId="0" applyAlignment="1" applyBorder="1" applyFont="1" applyNumberFormat="1">
      <alignment horizontal="center" shrinkToFit="0" vertical="top" wrapText="1"/>
    </xf>
    <xf borderId="1" fillId="0" fontId="3" numFmtId="14" xfId="0" applyAlignment="1" applyBorder="1" applyFont="1" applyNumberFormat="1">
      <alignment horizontal="center" shrinkToFit="0" vertical="top" wrapText="1"/>
    </xf>
    <xf borderId="0" fillId="0" fontId="3" numFmtId="0" xfId="0" applyAlignment="1" applyFont="1">
      <alignment horizontal="left" shrinkToFit="0" vertical="top" wrapText="1"/>
    </xf>
    <xf borderId="0" fillId="0" fontId="152" numFmtId="0" xfId="0" applyAlignment="1" applyFont="1">
      <alignment shrinkToFit="0" vertical="bottom" wrapText="0"/>
    </xf>
    <xf borderId="1" fillId="0" fontId="153" numFmtId="0" xfId="0" applyAlignment="1" applyBorder="1" applyFont="1">
      <alignment horizontal="left" shrinkToFit="0" vertical="top" wrapText="1"/>
    </xf>
    <xf borderId="1" fillId="0" fontId="154" numFmtId="0" xfId="0" applyAlignment="1" applyBorder="1" applyFont="1">
      <alignment horizontal="left" shrinkToFit="0" vertical="top" wrapText="1"/>
    </xf>
    <xf borderId="1" fillId="0" fontId="14" numFmtId="2" xfId="0" applyAlignment="1" applyBorder="1" applyFont="1" applyNumberFormat="1">
      <alignment horizontal="center" shrinkToFit="0" vertical="top" wrapText="1"/>
    </xf>
    <xf borderId="1" fillId="0" fontId="14" numFmtId="3" xfId="0" applyAlignment="1" applyBorder="1" applyFont="1" applyNumberFormat="1">
      <alignment horizontal="center" shrinkToFit="0" vertical="top" wrapText="1"/>
    </xf>
    <xf borderId="0" fillId="0" fontId="155" numFmtId="0" xfId="0" applyAlignment="1" applyFont="1">
      <alignment shrinkToFit="0" vertical="top" wrapText="1"/>
    </xf>
    <xf borderId="1" fillId="0" fontId="14" numFmtId="14" xfId="0" applyAlignment="1" applyBorder="1" applyFont="1" applyNumberFormat="1">
      <alignment horizontal="center" shrinkToFit="0" vertical="top" wrapText="1"/>
    </xf>
    <xf borderId="5" fillId="0" fontId="16" numFmtId="0" xfId="0" applyAlignment="1" applyBorder="1" applyFont="1">
      <alignment horizontal="center" shrinkToFit="0" vertical="top" wrapText="0"/>
    </xf>
    <xf borderId="5" fillId="0" fontId="16" numFmtId="0" xfId="0" applyAlignment="1" applyBorder="1" applyFont="1">
      <alignment horizontal="left" shrinkToFit="0" vertical="top" wrapText="0"/>
    </xf>
    <xf borderId="5" fillId="0" fontId="156" numFmtId="0" xfId="0" applyAlignment="1" applyBorder="1" applyFont="1">
      <alignment horizontal="left" shrinkToFit="0" vertical="top" wrapText="0"/>
    </xf>
    <xf borderId="5" fillId="0" fontId="16" numFmtId="14" xfId="0" applyAlignment="1" applyBorder="1" applyFont="1" applyNumberFormat="1">
      <alignment horizontal="center" shrinkToFit="0" vertical="top" wrapText="0"/>
    </xf>
    <xf borderId="5" fillId="0" fontId="64" numFmtId="3" xfId="0" applyAlignment="1" applyBorder="1" applyFont="1" applyNumberFormat="1">
      <alignment horizontal="center" shrinkToFit="0" vertical="top" wrapText="0"/>
    </xf>
    <xf borderId="5" fillId="0" fontId="16" numFmtId="2" xfId="0" applyAlignment="1" applyBorder="1" applyFont="1" applyNumberFormat="1">
      <alignment horizontal="center" shrinkToFit="0" vertical="top" wrapText="0"/>
    </xf>
    <xf borderId="1" fillId="0" fontId="16" numFmtId="14" xfId="0" applyAlignment="1" applyBorder="1" applyFont="1" applyNumberFormat="1">
      <alignment horizontal="center" shrinkToFit="0" vertical="top" wrapText="1"/>
    </xf>
    <xf borderId="1" fillId="0" fontId="16" numFmtId="0" xfId="0" applyAlignment="1" applyBorder="1" applyFont="1">
      <alignment horizontal="center" shrinkToFit="0" vertical="bottom" wrapText="1"/>
    </xf>
    <xf borderId="1" fillId="0" fontId="16" numFmtId="0" xfId="0" applyAlignment="1" applyBorder="1" applyFont="1">
      <alignment shrinkToFit="0" vertical="bottom" wrapText="1"/>
    </xf>
    <xf borderId="1" fillId="0" fontId="3" numFmtId="15" xfId="0" applyAlignment="1" applyBorder="1" applyFont="1" applyNumberFormat="1">
      <alignment horizontal="center" shrinkToFit="0" vertical="top" wrapText="1"/>
    </xf>
    <xf borderId="1" fillId="0" fontId="3" numFmtId="14" xfId="0" applyAlignment="1" applyBorder="1" applyFont="1" applyNumberFormat="1">
      <alignment horizontal="center" shrinkToFit="0" vertical="center" wrapText="1"/>
    </xf>
    <xf borderId="1" fillId="0" fontId="3" numFmtId="17" xfId="0" applyAlignment="1" applyBorder="1" applyFont="1" applyNumberFormat="1">
      <alignment horizontal="center" shrinkToFit="0" vertical="top" wrapText="0"/>
    </xf>
    <xf borderId="1" fillId="0" fontId="3" numFmtId="16" xfId="0" applyAlignment="1" applyBorder="1" applyFont="1" applyNumberFormat="1">
      <alignment horizontal="center" shrinkToFit="0" vertical="top" wrapText="0"/>
    </xf>
    <xf borderId="0" fillId="0" fontId="9" numFmtId="2" xfId="0" applyAlignment="1" applyFont="1" applyNumberFormat="1">
      <alignment horizontal="center" shrinkToFit="0" vertical="top" wrapText="1"/>
    </xf>
    <xf borderId="1" fillId="0" fontId="3" numFmtId="0" xfId="0" applyAlignment="1" applyBorder="1" applyFont="1">
      <alignment horizontal="center" shrinkToFit="0" vertical="top" wrapText="0"/>
    </xf>
    <xf borderId="1" fillId="5" fontId="157" numFmtId="0" xfId="0" applyAlignment="1" applyBorder="1" applyFont="1">
      <alignment horizontal="center" shrinkToFit="0" vertical="top" wrapText="1"/>
    </xf>
    <xf borderId="1" fillId="5" fontId="2" numFmtId="3" xfId="0" applyAlignment="1" applyBorder="1" applyFont="1" applyNumberFormat="1">
      <alignment horizontal="center" shrinkToFit="0" vertical="top" wrapText="1"/>
    </xf>
    <xf borderId="0" fillId="0" fontId="158" numFmtId="0" xfId="0" applyAlignment="1" applyFont="1">
      <alignment shrinkToFit="0" vertical="center" wrapText="0"/>
    </xf>
    <xf borderId="1" fillId="6" fontId="159" numFmtId="0" xfId="0" applyAlignment="1" applyBorder="1" applyFont="1">
      <alignment shrinkToFit="0" vertical="top" wrapText="1"/>
    </xf>
    <xf borderId="0" fillId="0" fontId="160" numFmtId="0" xfId="0" applyAlignment="1" applyFont="1">
      <alignment shrinkToFit="0" vertical="bottom" wrapText="0"/>
    </xf>
    <xf borderId="0" fillId="0" fontId="161" numFmtId="0" xfId="0" applyAlignment="1" applyFont="1">
      <alignment shrinkToFit="0" vertical="bottom" wrapText="0"/>
    </xf>
    <xf borderId="1" fillId="0" fontId="19" numFmtId="0" xfId="0" applyAlignment="1" applyBorder="1" applyFont="1">
      <alignment horizontal="center" shrinkToFit="0" vertical="top" wrapText="0"/>
    </xf>
    <xf borderId="1" fillId="0" fontId="14" numFmtId="0" xfId="0" applyAlignment="1" applyBorder="1" applyFont="1">
      <alignment horizontal="center" shrinkToFit="0" vertical="top" wrapText="0"/>
    </xf>
    <xf borderId="1" fillId="6" fontId="162" numFmtId="0" xfId="0" applyAlignment="1" applyBorder="1" applyFont="1">
      <alignment shrinkToFit="0" vertical="top" wrapText="1"/>
    </xf>
    <xf borderId="1" fillId="0" fontId="19" numFmtId="2" xfId="0" applyAlignment="1" applyBorder="1" applyFont="1" applyNumberFormat="1">
      <alignment horizontal="center" shrinkToFit="0" vertical="top" wrapText="0"/>
    </xf>
    <xf borderId="0" fillId="0" fontId="18" numFmtId="0" xfId="0" applyAlignment="1" applyFont="1">
      <alignment shrinkToFit="0" vertical="center" wrapText="1"/>
    </xf>
    <xf borderId="1" fillId="0" fontId="163" numFmtId="0" xfId="0" applyAlignment="1" applyBorder="1" applyFont="1">
      <alignment horizontal="center" shrinkToFit="0" vertical="top" wrapText="1"/>
    </xf>
    <xf borderId="1" fillId="6" fontId="164" numFmtId="0" xfId="0" applyAlignment="1" applyBorder="1" applyFont="1">
      <alignment shrinkToFit="0" vertical="top" wrapText="1"/>
    </xf>
    <xf borderId="5" fillId="0" fontId="16" numFmtId="0" xfId="0" applyAlignment="1" applyBorder="1" applyFont="1">
      <alignment shrinkToFit="0" vertical="top" wrapText="0"/>
    </xf>
    <xf borderId="5" fillId="0" fontId="64" numFmtId="0" xfId="0" applyAlignment="1" applyBorder="1" applyFont="1">
      <alignment horizontal="center" shrinkToFit="0" vertical="top" wrapText="0"/>
    </xf>
    <xf borderId="5" fillId="0" fontId="64" numFmtId="2" xfId="0" applyAlignment="1" applyBorder="1" applyFont="1" applyNumberFormat="1">
      <alignment horizontal="center" shrinkToFit="0" vertical="top" wrapText="0"/>
    </xf>
    <xf borderId="11" fillId="6" fontId="165" numFmtId="0" xfId="0" applyAlignment="1" applyBorder="1" applyFont="1">
      <alignment shrinkToFit="0" vertical="top" wrapText="0"/>
    </xf>
    <xf borderId="1" fillId="0" fontId="64" numFmtId="0" xfId="0" applyAlignment="1" applyBorder="1" applyFont="1">
      <alignment horizontal="center" shrinkToFit="0" vertical="top" wrapText="0"/>
    </xf>
    <xf borderId="1" fillId="0" fontId="16" numFmtId="2" xfId="0" applyAlignment="1" applyBorder="1" applyFont="1" applyNumberFormat="1">
      <alignment horizontal="center" shrinkToFit="0" vertical="top" wrapText="0"/>
    </xf>
    <xf borderId="1" fillId="0" fontId="166" numFmtId="0" xfId="0" applyAlignment="1" applyBorder="1" applyFont="1">
      <alignment shrinkToFit="0" vertical="bottom" wrapText="0"/>
    </xf>
    <xf borderId="1" fillId="6" fontId="167" numFmtId="0" xfId="0" applyAlignment="1" applyBorder="1" applyFont="1">
      <alignment shrinkToFit="0" vertical="top" wrapText="1"/>
    </xf>
    <xf borderId="16" fillId="10" fontId="65" numFmtId="0" xfId="0" applyAlignment="1" applyBorder="1" applyFill="1" applyFont="1">
      <alignment horizontal="center" shrinkToFit="0" vertical="bottom" wrapText="1"/>
    </xf>
    <xf borderId="1" fillId="10" fontId="65" numFmtId="0" xfId="0" applyAlignment="1" applyBorder="1" applyFont="1">
      <alignment horizontal="center" shrinkToFit="0" vertical="bottom" wrapText="1"/>
    </xf>
    <xf borderId="1" fillId="0" fontId="2" numFmtId="2" xfId="0" applyAlignment="1" applyBorder="1" applyFont="1" applyNumberFormat="1">
      <alignment horizontal="center" shrinkToFit="0" vertical="top" wrapText="0"/>
    </xf>
    <xf borderId="1" fillId="0" fontId="168" numFmtId="0" xfId="0" applyAlignment="1" applyBorder="1" applyFont="1">
      <alignment horizontal="center" shrinkToFit="0" vertical="top" wrapText="1"/>
    </xf>
    <xf borderId="1" fillId="0" fontId="1" numFmtId="0" xfId="0" applyAlignment="1" applyBorder="1" applyFont="1">
      <alignment horizontal="center" shrinkToFit="0" vertical="bottom" wrapText="1"/>
    </xf>
    <xf borderId="0" fillId="0" fontId="0" numFmtId="0" xfId="0" applyAlignment="1" applyFont="1">
      <alignment horizontal="center" shrinkToFit="0" vertical="bottom" wrapText="0"/>
    </xf>
    <xf borderId="0" fillId="0" fontId="1" numFmtId="2" xfId="0" applyAlignment="1" applyFont="1" applyNumberFormat="1">
      <alignment shrinkToFit="0" vertical="bottom" wrapText="1"/>
    </xf>
    <xf borderId="0" fillId="0" fontId="7" numFmtId="2" xfId="0" applyAlignment="1" applyFont="1" applyNumberFormat="1">
      <alignment horizontal="center" shrinkToFit="0" vertical="bottom" wrapText="1"/>
    </xf>
    <xf borderId="2" fillId="8" fontId="9" numFmtId="166" xfId="0" applyAlignment="1" applyBorder="1" applyFont="1" applyNumberFormat="1">
      <alignment horizontal="center" shrinkToFit="0" vertical="center" wrapText="1"/>
    </xf>
    <xf borderId="1" fillId="0" fontId="1" numFmtId="0" xfId="0" applyAlignment="1" applyBorder="1" applyFont="1">
      <alignment shrinkToFit="0" vertical="center" wrapText="1"/>
    </xf>
    <xf borderId="1" fillId="6" fontId="1" numFmtId="0" xfId="0" applyAlignment="1" applyBorder="1" applyFont="1">
      <alignment shrinkToFit="0" vertical="center" wrapText="1"/>
    </xf>
    <xf borderId="1" fillId="0" fontId="169" numFmtId="0" xfId="0" applyAlignment="1" applyBorder="1" applyFont="1">
      <alignment shrinkToFit="0" vertical="center" wrapText="1"/>
    </xf>
    <xf borderId="1" fillId="0" fontId="1" numFmtId="0" xfId="0" applyAlignment="1" applyBorder="1" applyFont="1">
      <alignment horizontal="right" shrinkToFit="0" vertical="center" wrapText="1"/>
    </xf>
    <xf borderId="1" fillId="0" fontId="1" numFmtId="0" xfId="0" applyAlignment="1" applyBorder="1" applyFont="1">
      <alignment horizontal="center" shrinkToFit="0" vertical="center" wrapText="1"/>
    </xf>
    <xf borderId="0" fillId="0" fontId="170" numFmtId="0" xfId="0" applyAlignment="1" applyFont="1">
      <alignment shrinkToFit="0" vertical="center" wrapText="0"/>
    </xf>
    <xf borderId="18" fillId="0" fontId="3" numFmtId="0" xfId="0" applyAlignment="1" applyBorder="1" applyFont="1">
      <alignment shrinkToFit="0" vertical="top" wrapText="1"/>
    </xf>
    <xf borderId="0" fillId="0" fontId="170" numFmtId="0" xfId="0" applyAlignment="1" applyFont="1">
      <alignment shrinkToFit="0" vertical="bottom" wrapText="0"/>
    </xf>
    <xf borderId="18" fillId="0" fontId="3" numFmtId="0" xfId="0" applyAlignment="1" applyBorder="1" applyFont="1">
      <alignment horizontal="center" shrinkToFit="0" vertical="top" wrapText="1"/>
    </xf>
    <xf borderId="18" fillId="0" fontId="2" numFmtId="2" xfId="0" applyAlignment="1" applyBorder="1" applyFont="1" applyNumberFormat="1">
      <alignment horizontal="center" shrinkToFit="0" vertical="top" wrapText="1"/>
    </xf>
    <xf borderId="1" fillId="0" fontId="48" numFmtId="0" xfId="0" applyAlignment="1" applyBorder="1" applyFont="1">
      <alignment horizontal="center" shrinkToFit="0" vertical="bottom" wrapText="1"/>
    </xf>
    <xf borderId="1" fillId="0" fontId="48" numFmtId="0" xfId="0" applyAlignment="1" applyBorder="1" applyFont="1">
      <alignment horizontal="center" shrinkToFit="0" vertical="center" wrapText="1"/>
    </xf>
    <xf borderId="1" fillId="6" fontId="48"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8" fillId="0" fontId="34" numFmtId="2" xfId="0" applyAlignment="1" applyBorder="1" applyFont="1" applyNumberFormat="1">
      <alignment horizontal="center" shrinkToFit="0" vertical="top" wrapText="1"/>
    </xf>
    <xf borderId="1" fillId="6" fontId="48" numFmtId="0" xfId="0" applyAlignment="1" applyBorder="1" applyFont="1">
      <alignment shrinkToFit="0" vertical="center" wrapText="1"/>
    </xf>
    <xf borderId="1" fillId="0" fontId="48" numFmtId="0" xfId="0" applyAlignment="1" applyBorder="1" applyFont="1">
      <alignment horizontal="right" shrinkToFit="0" vertical="center" wrapText="1"/>
    </xf>
    <xf borderId="18" fillId="0" fontId="32" numFmtId="0" xfId="0" applyAlignment="1" applyBorder="1" applyFont="1">
      <alignment shrinkToFit="0" vertical="top" wrapText="1"/>
    </xf>
    <xf borderId="1" fillId="0" fontId="171" numFmtId="0" xfId="0" applyAlignment="1" applyBorder="1" applyFont="1">
      <alignment shrinkToFit="0" vertical="bottom" wrapText="0"/>
    </xf>
    <xf borderId="5" fillId="0" fontId="171" numFmtId="0" xfId="0" applyAlignment="1" applyBorder="1" applyFont="1">
      <alignment shrinkToFit="0" vertical="bottom" wrapText="0"/>
    </xf>
    <xf borderId="11" fillId="6" fontId="171" numFmtId="0" xfId="0" applyAlignment="1" applyBorder="1" applyFont="1">
      <alignment shrinkToFit="0" vertical="bottom" wrapText="0"/>
    </xf>
    <xf borderId="5" fillId="0" fontId="172" numFmtId="0" xfId="0" applyAlignment="1" applyBorder="1" applyFont="1">
      <alignment shrinkToFit="0" vertical="bottom" wrapText="0"/>
    </xf>
    <xf borderId="5" fillId="0" fontId="171" numFmtId="0" xfId="0" applyAlignment="1" applyBorder="1" applyFont="1">
      <alignment horizontal="right" shrinkToFit="0" vertical="bottom" wrapText="0"/>
    </xf>
    <xf borderId="5" fillId="0" fontId="171" numFmtId="2" xfId="0" applyAlignment="1" applyBorder="1" applyFont="1" applyNumberFormat="1">
      <alignment horizontal="center" shrinkToFit="0" vertical="bottom" wrapText="0"/>
    </xf>
    <xf borderId="0" fillId="0" fontId="171" numFmtId="0" xfId="0" applyAlignment="1" applyFont="1">
      <alignment shrinkToFit="0" vertical="bottom" wrapText="1"/>
    </xf>
    <xf borderId="1" fillId="0" fontId="173" numFmtId="0" xfId="0" applyAlignment="1" applyBorder="1" applyFont="1">
      <alignment shrinkToFit="0" vertical="bottom" wrapText="0"/>
    </xf>
    <xf borderId="1" fillId="6" fontId="171" numFmtId="0" xfId="0" applyAlignment="1" applyBorder="1" applyFont="1">
      <alignment shrinkToFit="0" vertical="bottom" wrapText="1"/>
    </xf>
    <xf borderId="1" fillId="0" fontId="171" numFmtId="0" xfId="0" applyAlignment="1" applyBorder="1" applyFont="1">
      <alignment shrinkToFit="0" vertical="bottom" wrapText="1"/>
    </xf>
    <xf borderId="1" fillId="0" fontId="0" numFmtId="0" xfId="0" applyAlignment="1" applyBorder="1" applyFont="1">
      <alignment shrinkToFit="0" vertical="bottom" wrapText="0"/>
    </xf>
    <xf borderId="1" fillId="0" fontId="171" numFmtId="0" xfId="0" applyAlignment="1" applyBorder="1" applyFont="1">
      <alignment horizontal="right" shrinkToFit="0" vertical="bottom" wrapText="1"/>
    </xf>
    <xf borderId="1" fillId="0" fontId="174" numFmtId="2" xfId="0" applyAlignment="1" applyBorder="1" applyFont="1" applyNumberFormat="1">
      <alignment horizontal="right" shrinkToFit="0" vertical="bottom" wrapText="0"/>
    </xf>
    <xf borderId="18" fillId="0" fontId="1" numFmtId="0" xfId="0" applyAlignment="1" applyBorder="1" applyFont="1">
      <alignment shrinkToFit="0" vertical="center" wrapText="1"/>
    </xf>
    <xf borderId="20" fillId="6" fontId="1" numFmtId="0" xfId="0" applyAlignment="1" applyBorder="1" applyFont="1">
      <alignment shrinkToFit="0" vertical="center" wrapText="1"/>
    </xf>
    <xf borderId="18" fillId="0" fontId="1" numFmtId="0" xfId="0" applyAlignment="1" applyBorder="1" applyFont="1">
      <alignment horizontal="right" shrinkToFit="0" vertical="center" wrapText="1"/>
    </xf>
    <xf borderId="18" fillId="0" fontId="9" numFmtId="2" xfId="0" applyAlignment="1" applyBorder="1" applyFont="1" applyNumberFormat="1">
      <alignment horizontal="center" shrinkToFit="0" vertical="center" wrapText="1"/>
    </xf>
    <xf borderId="18" fillId="0" fontId="3" numFmtId="15" xfId="0" applyAlignment="1" applyBorder="1" applyFont="1" applyNumberFormat="1">
      <alignment horizontal="center" shrinkToFit="0" vertical="center" wrapText="1"/>
    </xf>
    <xf borderId="1" fillId="0" fontId="9" numFmtId="2" xfId="0" applyAlignment="1" applyBorder="1" applyFont="1" applyNumberFormat="1">
      <alignment horizontal="center" shrinkToFit="0" vertical="center" wrapText="1"/>
    </xf>
    <xf borderId="1" fillId="0" fontId="1" numFmtId="15" xfId="0" applyAlignment="1" applyBorder="1" applyFont="1" applyNumberFormat="1">
      <alignment horizontal="right" shrinkToFit="0" vertical="center" wrapText="1"/>
    </xf>
    <xf borderId="18" fillId="0" fontId="3" numFmtId="15" xfId="0" applyAlignment="1" applyBorder="1" applyFont="1" applyNumberFormat="1">
      <alignment horizontal="right" shrinkToFit="0" vertical="top" wrapText="1"/>
    </xf>
    <xf borderId="1" fillId="0" fontId="3" numFmtId="17" xfId="0" applyAlignment="1" applyBorder="1" applyFont="1" applyNumberFormat="1">
      <alignment horizontal="right" shrinkToFit="0" vertical="top" wrapText="1"/>
    </xf>
    <xf borderId="1" fillId="6" fontId="3" numFmtId="0" xfId="0" applyAlignment="1" applyBorder="1" applyFont="1">
      <alignment shrinkToFit="0" vertical="center" wrapText="1"/>
    </xf>
    <xf borderId="1" fillId="0" fontId="3" numFmtId="0" xfId="0" applyAlignment="1" applyBorder="1" applyFont="1">
      <alignment shrinkToFit="0" vertical="center" wrapText="0"/>
    </xf>
    <xf borderId="1" fillId="0" fontId="175" numFmtId="0" xfId="0" applyAlignment="1" applyBorder="1" applyFont="1">
      <alignment shrinkToFit="0" vertical="center" wrapText="1"/>
    </xf>
    <xf borderId="1" fillId="0" fontId="3" numFmtId="14" xfId="0" applyAlignment="1" applyBorder="1" applyFont="1" applyNumberFormat="1">
      <alignment horizontal="right" shrinkToFit="0" vertical="center" wrapText="1"/>
    </xf>
    <xf borderId="1" fillId="0" fontId="3" numFmtId="14" xfId="0" applyAlignment="1" applyBorder="1" applyFont="1" applyNumberFormat="1">
      <alignment shrinkToFit="0" vertical="bottom" wrapText="0"/>
    </xf>
    <xf borderId="1" fillId="0" fontId="3" numFmtId="2" xfId="0" applyAlignment="1" applyBorder="1" applyFont="1" applyNumberFormat="1">
      <alignment horizontal="center" shrinkToFit="0" vertical="center" wrapText="1"/>
    </xf>
    <xf borderId="1" fillId="6" fontId="3" numFmtId="49" xfId="0" applyAlignment="1" applyBorder="1" applyFont="1" applyNumberFormat="1">
      <alignment horizontal="center" shrinkToFit="0" vertical="top" wrapText="1"/>
    </xf>
    <xf borderId="1" fillId="6" fontId="3" numFmtId="17" xfId="0" applyAlignment="1" applyBorder="1" applyFont="1" applyNumberFormat="1">
      <alignment horizontal="center" shrinkToFit="0" vertical="top" wrapText="1"/>
    </xf>
    <xf borderId="1" fillId="6" fontId="176" numFmtId="49" xfId="0" applyAlignment="1" applyBorder="1" applyFont="1" applyNumberFormat="1">
      <alignment horizontal="center" shrinkToFit="0" vertical="top" wrapText="1"/>
    </xf>
    <xf borderId="0" fillId="0" fontId="177" numFmtId="0" xfId="0" applyAlignment="1" applyFont="1">
      <alignment shrinkToFit="0" vertical="bottom" wrapText="0"/>
    </xf>
    <xf borderId="0" fillId="0" fontId="178" numFmtId="0" xfId="0" applyAlignment="1" applyFont="1">
      <alignment shrinkToFit="0" vertical="bottom" wrapText="1"/>
    </xf>
    <xf borderId="1" fillId="6" fontId="32" numFmtId="49" xfId="0" applyAlignment="1" applyBorder="1" applyFont="1" applyNumberFormat="1">
      <alignment horizontal="center" shrinkToFit="0" vertical="top" wrapText="1"/>
    </xf>
    <xf borderId="0" fillId="0" fontId="55" numFmtId="0" xfId="0" applyAlignment="1" applyFont="1">
      <alignment shrinkToFit="0" vertical="bottom" wrapText="1"/>
    </xf>
    <xf borderId="1" fillId="6" fontId="32" numFmtId="0" xfId="0" applyAlignment="1" applyBorder="1" applyFont="1">
      <alignment horizontal="left" shrinkToFit="0" vertical="top" wrapText="1"/>
    </xf>
    <xf borderId="1" fillId="6" fontId="179" numFmtId="49" xfId="0" applyAlignment="1" applyBorder="1" applyFont="1" applyNumberFormat="1">
      <alignment horizontal="left" shrinkToFit="0" vertical="center" wrapText="1"/>
    </xf>
    <xf borderId="1" fillId="0" fontId="180" numFmtId="49" xfId="0" applyAlignment="1" applyBorder="1" applyFont="1" applyNumberFormat="1">
      <alignment horizontal="left" shrinkToFit="0" vertical="center" wrapText="1"/>
    </xf>
    <xf borderId="1" fillId="0" fontId="32" numFmtId="164" xfId="0" applyAlignment="1" applyBorder="1" applyFont="1" applyNumberFormat="1">
      <alignment horizontal="center" shrinkToFit="0" vertical="top" wrapText="1"/>
    </xf>
    <xf borderId="1" fillId="0" fontId="181" numFmtId="49" xfId="0" applyAlignment="1" applyBorder="1" applyFont="1" applyNumberFormat="1">
      <alignment horizontal="center" shrinkToFit="0" vertical="center" wrapText="1"/>
    </xf>
    <xf borderId="1" fillId="6" fontId="32" numFmtId="16" xfId="0" applyAlignment="1" applyBorder="1" applyFont="1" applyNumberFormat="1">
      <alignment horizontal="center" shrinkToFit="0" vertical="top" wrapText="1"/>
    </xf>
    <xf borderId="1" fillId="6" fontId="182" numFmtId="49" xfId="0" applyAlignment="1" applyBorder="1" applyFont="1" applyNumberFormat="1">
      <alignment horizontal="center" shrinkToFit="0" vertical="top" wrapText="1"/>
    </xf>
    <xf borderId="0" fillId="0" fontId="48" numFmtId="0" xfId="0" applyAlignment="1" applyFont="1">
      <alignment horizontal="center" shrinkToFit="0" vertical="center" wrapText="0"/>
    </xf>
    <xf borderId="5" fillId="0" fontId="32" numFmtId="0" xfId="0" applyAlignment="1" applyBorder="1" applyFont="1">
      <alignment shrinkToFit="0" vertical="center" wrapText="1"/>
    </xf>
    <xf borderId="1" fillId="0" fontId="3" numFmtId="164" xfId="0" applyAlignment="1" applyBorder="1" applyFont="1" applyNumberFormat="1">
      <alignment horizontal="center" shrinkToFit="0" vertical="top" wrapText="1"/>
    </xf>
    <xf borderId="1" fillId="0" fontId="2" numFmtId="3" xfId="0" applyAlignment="1" applyBorder="1" applyFont="1" applyNumberFormat="1">
      <alignment horizontal="center" shrinkToFit="0" vertical="top" wrapText="0"/>
    </xf>
    <xf borderId="1" fillId="0" fontId="183" numFmtId="0" xfId="0" applyAlignment="1" applyBorder="1" applyFont="1">
      <alignment shrinkToFit="0" vertical="top" wrapText="1"/>
    </xf>
    <xf borderId="1" fillId="0" fontId="3" numFmtId="167" xfId="0" applyAlignment="1" applyBorder="1" applyFont="1" applyNumberFormat="1">
      <alignment shrinkToFit="0" vertical="top" wrapText="1"/>
    </xf>
    <xf borderId="12" fillId="0" fontId="1" numFmtId="3" xfId="0" applyAlignment="1" applyBorder="1" applyFont="1" applyNumberFormat="1">
      <alignment horizontal="left" shrinkToFit="0" vertical="top" wrapText="1"/>
    </xf>
    <xf borderId="0" fillId="0" fontId="1" numFmtId="0" xfId="0" applyAlignment="1" applyFont="1">
      <alignment horizontal="left" shrinkToFit="0" vertical="top" wrapText="1"/>
    </xf>
    <xf borderId="18" fillId="0" fontId="184" numFmtId="0" xfId="0" applyAlignment="1" applyBorder="1" applyFont="1">
      <alignment horizontal="left" shrinkToFit="0" vertical="top" wrapText="0"/>
    </xf>
    <xf borderId="0" fillId="0" fontId="3" numFmtId="0" xfId="0" applyAlignment="1" applyFont="1">
      <alignment horizontal="center" shrinkToFit="0" vertical="top" wrapText="0"/>
    </xf>
    <xf borderId="0" fillId="0" fontId="93" numFmtId="0" xfId="0" applyAlignment="1" applyFont="1">
      <alignment shrinkToFit="0" vertical="top" wrapText="0"/>
    </xf>
    <xf borderId="1" fillId="0" fontId="185" numFmtId="0" xfId="0" applyAlignment="1" applyBorder="1" applyFont="1">
      <alignment shrinkToFit="0" vertical="top" wrapText="1"/>
    </xf>
    <xf borderId="1" fillId="0" fontId="3" numFmtId="3" xfId="0" applyAlignment="1" applyBorder="1" applyFont="1" applyNumberFormat="1">
      <alignment horizontal="center" shrinkToFit="0" vertical="top" wrapText="0"/>
    </xf>
    <xf borderId="0" fillId="0" fontId="186" numFmtId="0" xfId="0" applyAlignment="1" applyFont="1">
      <alignment horizontal="left" shrinkToFit="0" vertical="center" wrapText="0"/>
    </xf>
    <xf borderId="1" fillId="0" fontId="31" numFmtId="0" xfId="0" applyAlignment="1" applyBorder="1" applyFont="1">
      <alignment horizontal="left" shrinkToFit="0" vertical="center" wrapText="1"/>
    </xf>
    <xf borderId="1" fillId="0" fontId="31" numFmtId="0" xfId="0" applyAlignment="1" applyBorder="1" applyFont="1">
      <alignment horizontal="left" shrinkToFit="0" vertical="top" wrapText="1"/>
    </xf>
    <xf borderId="1" fillId="0" fontId="187" numFmtId="0" xfId="0" applyAlignment="1" applyBorder="1" applyFont="1">
      <alignment horizontal="left" shrinkToFit="0" vertical="top" wrapText="1"/>
    </xf>
    <xf borderId="0" fillId="0" fontId="29" numFmtId="0" xfId="0" applyAlignment="1" applyFont="1">
      <alignment horizontal="left" shrinkToFit="0" vertical="center" wrapText="0"/>
    </xf>
    <xf borderId="0" fillId="0" fontId="188" numFmtId="0" xfId="0" applyAlignment="1" applyFont="1">
      <alignment horizontal="center" shrinkToFit="0" vertical="center" wrapText="0"/>
    </xf>
    <xf borderId="12" fillId="0" fontId="3" numFmtId="0" xfId="0" applyAlignment="1" applyBorder="1" applyFont="1">
      <alignment shrinkToFit="0" vertical="center" wrapText="1"/>
    </xf>
    <xf borderId="0" fillId="0" fontId="189" numFmtId="0" xfId="0" applyAlignment="1" applyFont="1">
      <alignment shrinkToFit="0" vertical="center" wrapText="0"/>
    </xf>
    <xf borderId="1" fillId="0" fontId="2" numFmtId="3" xfId="0" applyAlignment="1" applyBorder="1" applyFont="1" applyNumberFormat="1">
      <alignment horizontal="center" shrinkToFit="0" vertical="center" wrapText="0"/>
    </xf>
    <xf borderId="1" fillId="6" fontId="3" numFmtId="0" xfId="0" applyAlignment="1" applyBorder="1" applyFont="1">
      <alignment horizontal="center" shrinkToFit="0" vertical="center" wrapText="1"/>
    </xf>
    <xf borderId="0" fillId="0" fontId="190" numFmtId="0" xfId="0" applyAlignment="1" applyFont="1">
      <alignment shrinkToFit="0" vertical="bottom" wrapText="1"/>
    </xf>
    <xf borderId="0" fillId="0" fontId="10" numFmtId="0" xfId="0" applyAlignment="1" applyFont="1">
      <alignment shrinkToFit="0" vertical="bottom" wrapText="1"/>
    </xf>
    <xf borderId="2" fillId="6" fontId="14" numFmtId="0" xfId="0" applyAlignment="1" applyBorder="1" applyFont="1">
      <alignment horizontal="center" shrinkToFit="0" vertical="top" wrapText="1"/>
    </xf>
    <xf borderId="1" fillId="6" fontId="14" numFmtId="0" xfId="0" applyAlignment="1" applyBorder="1" applyFont="1">
      <alignment shrinkToFit="0" vertical="top" wrapText="1"/>
    </xf>
    <xf borderId="1" fillId="0" fontId="19" numFmtId="3" xfId="0" applyAlignment="1" applyBorder="1" applyFont="1" applyNumberFormat="1">
      <alignment horizontal="center" shrinkToFit="0" vertical="top" wrapText="0"/>
    </xf>
    <xf borderId="0" fillId="0" fontId="19" numFmtId="0" xfId="0" applyAlignment="1" applyFont="1">
      <alignment horizontal="center" shrinkToFit="0" vertical="center" wrapText="1"/>
    </xf>
    <xf borderId="1" fillId="0" fontId="14" numFmtId="4" xfId="0" applyAlignment="1" applyBorder="1" applyFont="1" applyNumberFormat="1">
      <alignment horizontal="center" shrinkToFit="0" vertical="top" wrapText="1"/>
    </xf>
    <xf borderId="1" fillId="0" fontId="19" numFmtId="0" xfId="0" applyAlignment="1" applyBorder="1" applyFont="1">
      <alignment horizontal="center" shrinkToFit="0" vertical="center" wrapText="0"/>
    </xf>
    <xf borderId="1" fillId="6" fontId="14" numFmtId="0" xfId="0" applyAlignment="1" applyBorder="1" applyFont="1">
      <alignment horizontal="center" shrinkToFit="0" vertical="center" wrapText="1"/>
    </xf>
    <xf borderId="1" fillId="0" fontId="191" numFmtId="0" xfId="0" applyAlignment="1" applyBorder="1" applyFont="1">
      <alignment horizontal="center" shrinkToFit="0" vertical="center" wrapText="1"/>
    </xf>
    <xf borderId="21" fillId="0" fontId="65" numFmtId="0" xfId="0" applyAlignment="1" applyBorder="1" applyFont="1">
      <alignment shrinkToFit="0" vertical="bottom" wrapText="1"/>
    </xf>
    <xf borderId="1" fillId="0" fontId="192" numFmtId="0" xfId="0" applyAlignment="1" applyBorder="1" applyFont="1">
      <alignment shrinkToFit="0" vertical="top" wrapText="1"/>
    </xf>
    <xf borderId="0" fillId="0" fontId="193" numFmtId="0" xfId="0" applyAlignment="1" applyFont="1">
      <alignment horizontal="left" shrinkToFit="0" vertical="center" wrapText="1"/>
    </xf>
    <xf borderId="11" fillId="6" fontId="16" numFmtId="0" xfId="0" applyAlignment="1" applyBorder="1" applyFont="1">
      <alignment shrinkToFit="0" vertical="top" wrapText="0"/>
    </xf>
    <xf borderId="5" fillId="0" fontId="194" numFmtId="0" xfId="0" applyAlignment="1" applyBorder="1" applyFont="1">
      <alignment shrinkToFit="0" vertical="top" wrapText="0"/>
    </xf>
    <xf borderId="1" fillId="6" fontId="16" numFmtId="0" xfId="0" applyAlignment="1" applyBorder="1" applyFont="1">
      <alignment shrinkToFit="0" vertical="top" wrapText="0"/>
    </xf>
    <xf borderId="7" fillId="0" fontId="16" numFmtId="0" xfId="0" applyAlignment="1" applyBorder="1" applyFont="1">
      <alignment shrinkToFit="0" vertical="top" wrapText="0"/>
    </xf>
    <xf borderId="1" fillId="0" fontId="195" numFmtId="0" xfId="0" applyAlignment="1" applyBorder="1" applyFont="1">
      <alignment horizontal="left" shrinkToFit="0" vertical="top" wrapText="1"/>
    </xf>
    <xf borderId="1" fillId="0" fontId="3" numFmtId="3" xfId="0" applyAlignment="1" applyBorder="1" applyFont="1" applyNumberFormat="1">
      <alignment horizontal="left" shrinkToFit="0" vertical="top" wrapText="0"/>
    </xf>
    <xf borderId="1" fillId="0" fontId="3" numFmtId="4" xfId="0" applyAlignment="1" applyBorder="1" applyFont="1" applyNumberFormat="1">
      <alignment horizontal="left" shrinkToFit="0" vertical="top" wrapText="1"/>
    </xf>
    <xf borderId="1" fillId="0" fontId="3" numFmtId="15" xfId="0" applyAlignment="1" applyBorder="1" applyFont="1" applyNumberFormat="1">
      <alignment horizontal="left" shrinkToFit="0" vertical="top" wrapText="1"/>
    </xf>
    <xf borderId="1" fillId="0" fontId="3" numFmtId="0" xfId="0" applyAlignment="1" applyBorder="1" applyFont="1">
      <alignment horizontal="left" shrinkToFit="0" vertical="top" wrapText="0"/>
    </xf>
  </cellXfs>
  <cellStyles count="1">
    <cellStyle xfId="0" name="Normal" builtinId="0"/>
  </cellStyles>
  <dxfs count="2">
    <dxf>
      <font/>
      <fill>
        <patternFill patternType="solid">
          <fgColor rgb="FFDD0806"/>
          <bgColor rgb="FFDD0806"/>
        </patternFill>
      </fill>
      <border/>
    </dxf>
    <dxf>
      <font/>
      <fill>
        <patternFill patternType="solid">
          <fgColor rgb="FFFF99CC"/>
          <bgColor rgb="FFFF99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externalLink" Target="externalLinks/externalLink2.xml"/><Relationship Id="rId25" Type="http://schemas.openxmlformats.org/officeDocument/2006/relationships/externalLink" Target="externalLinks/externalLink1.xml"/><Relationship Id="rId27"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oredana.gandila/AppData/Local/Temp/Temp1_SIEPAS 2020 DRISPSS.zip/SIEPAS 2020 DRISPSS/FSSU3_Dragoman_Dragos_20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oredana.gandila/AppData/Local/Temp/Temp1_SIEPAS 2020 DRISPSS.zip/SIEPAS 2020 DRISPSS/FSSU3_Luca_Sabina_2020.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icatii"/>
      <sheetName val="Tabel_centralizator"/>
      <sheetName val="I.1"/>
      <sheetName val="I.2"/>
      <sheetName val="I.3"/>
      <sheetName val="I.4"/>
      <sheetName val="I.5"/>
      <sheetName val="I.6"/>
      <sheetName val="I.7"/>
      <sheetName val="I.8"/>
      <sheetName val="I.9"/>
      <sheetName val="I.10"/>
      <sheetName val="I.11"/>
      <sheetName val="I.12"/>
      <sheetName val="I.13"/>
      <sheetName val="I.14"/>
      <sheetName val="I.15"/>
      <sheetName val="I.16"/>
      <sheetName val="I. 17."/>
      <sheetName val="I. 18"/>
      <sheetName val="I.19"/>
      <sheetName val="I.20"/>
    </sheetNames>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dicatii"/>
      <sheetName val="Tabel_centralizator"/>
      <sheetName val="I.1"/>
      <sheetName val="I.2"/>
      <sheetName val="I.3"/>
      <sheetName val="I.4"/>
      <sheetName val="I.5"/>
      <sheetName val="I.6"/>
      <sheetName val="I.7"/>
      <sheetName val="I.8"/>
      <sheetName val="I.9"/>
      <sheetName val="I.10"/>
      <sheetName val="I.11"/>
      <sheetName val="I.12"/>
      <sheetName val="I.13"/>
      <sheetName val="I.14"/>
      <sheetName val="I.15"/>
      <sheetName val="I.16"/>
      <sheetName val="I. 17."/>
      <sheetName val="I. 18"/>
      <sheetName val="I.19"/>
      <sheetName val="I.20"/>
    </sheetNames>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dpi.com/2071-1050/12/12/4923" TargetMode="External"/><Relationship Id="rId2" Type="http://schemas.openxmlformats.org/officeDocument/2006/relationships/hyperlink" Target="https://www.mdpi.com/2071-1050/12/12/4923?utm_source=releaseissue&amp;utm_medium=email&amp;utm_campaign=releaseissue_sustainability&amp;utm_term=doilink232" TargetMode="External"/><Relationship Id="rId3" Type="http://schemas.openxmlformats.org/officeDocument/2006/relationships/hyperlink" Target="https://web.a.ebscohost.com/abstract?direct=true&amp;profile=ehost&amp;scope=site&amp;authtype=crawler&amp;jrnl=12211249&amp;AN=148243191&amp;h=0gxU5ae4BcjObAST564kNJWS1DYINip7izhb7PoXmmxwCMryFF9fq5h5QgVYRWINi%2fiLStooru8KmY8bwaldXg%3d%3d&amp;crl=c&amp;resultNs=AdminWebAuth&amp;resultLocal=ErrCrlNotAuth&amp;crlhashurl=login.aspx%3fdirect%3dtrue%26profile%3dehost%26scope%3dsite%26authtype%3dcrawler%26jrnl%3d12211249%26AN%3d148243191" TargetMode="External"/><Relationship Id="rId4" Type="http://schemas.openxmlformats.org/officeDocument/2006/relationships/hyperlink" Target="https://repositorio.ismai.pt/bitstream/10400.24/1426/1/2020%20Marcus%20On%20the%20importance%20of%20being%20flexible.pdf" TargetMode="External"/><Relationship Id="rId5" Type="http://schemas.openxmlformats.org/officeDocument/2006/relationships/hyperlink" Target="https://doi.org/10.1080/03004430.2020.1816995" TargetMode="External"/><Relationship Id="rId6" Type="http://schemas.openxmlformats.org/officeDocument/2006/relationships/hyperlink" Target="https://springernature.figshare.com/articles/journal_contribution/Moral_thinking_across_the_world_Exploring_the_influence_of_personal_force_and_intention_in_moral_dilemma_judgements_Registered_Report_Stage_1_Protocol_/11871324/1" TargetMode="External"/><Relationship Id="rId7" Type="http://schemas.openxmlformats.org/officeDocument/2006/relationships/hyperlink" Target="https://doi.org/10.6084/m9.figshare.11871324.v1"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sciendo.com/article/10.2478/sbe-2020-0022" TargetMode="External"/><Relationship Id="rId11" Type="http://schemas.openxmlformats.org/officeDocument/2006/relationships/hyperlink" Target="https://centers.ulbsibiu.ro/ccpisc/language/en/prehistoric-carved-stones-discovered-on-lot-1-alba-iulia-site-2-of-the-a10-sebes-alba-turda-highway/" TargetMode="External"/><Relationship Id="rId10" Type="http://schemas.openxmlformats.org/officeDocument/2006/relationships/hyperlink" Target="https://www.ceeol.com/search/article-detail?id=928825" TargetMode="External"/><Relationship Id="rId21" Type="http://schemas.openxmlformats.org/officeDocument/2006/relationships/drawing" Target="../drawings/drawing4.xml"/><Relationship Id="rId13" Type="http://schemas.openxmlformats.org/officeDocument/2006/relationships/hyperlink" Target="https://jaha.org.ro/index.php/JAHA/issue/view/26" TargetMode="External"/><Relationship Id="rId12" Type="http://schemas.openxmlformats.org/officeDocument/2006/relationships/hyperlink" Target="http://www.brukenthalmuseum.ro/pdf/BAM/BAM%20XV-1.pdf" TargetMode="External"/><Relationship Id="rId1" Type="http://schemas.openxmlformats.org/officeDocument/2006/relationships/hyperlink" Target="https://centers.ulbsibiu.ro/ccpisc/language/en/the-fragmentary-inscription-on-the-hungarian-raid-of-the-year-943-new-epigraphic-analysis-and-interpretations/" TargetMode="External"/><Relationship Id="rId2" Type="http://schemas.openxmlformats.org/officeDocument/2006/relationships/hyperlink" Target="https://www.brukenthalmuseum.ro/pdf/BAM/BAM%20XV.4.pdf" TargetMode="External"/><Relationship Id="rId3" Type="http://schemas.openxmlformats.org/officeDocument/2006/relationships/hyperlink" Target="https://centers.ulbsibiu.ro/ccpisc/language/en/de-la-doamna-cu-coasa-la-punks-not-dead-atribute-iconice-ale-reprezentarilor-mortii-din-evul-mediu-pana-in-epoca-muzicii-rock/" TargetMode="External"/><Relationship Id="rId4" Type="http://schemas.openxmlformats.org/officeDocument/2006/relationships/hyperlink" Target="https://centers.ulbsibiu.ro/ccpisc/language/en/din-istoricul-relatiilor-romano-elene-incidentul-de-la-pireu-30-mai-12-iunie-1910/" TargetMode="External"/><Relationship Id="rId9" Type="http://schemas.openxmlformats.org/officeDocument/2006/relationships/hyperlink" Target="http://www.brukenthalmuseum.ro/pdf/BAM/BAM%20XV.4.pdf" TargetMode="External"/><Relationship Id="rId15" Type="http://schemas.openxmlformats.org/officeDocument/2006/relationships/hyperlink" Target="https://centers.ulbsibiu.ro/ccpisc/language/en/din-istoricul-relatiilor-romano-elene-incidentul-de-la-pireu-30-mai-12-iunie-1910/" TargetMode="External"/><Relationship Id="rId14" Type="http://schemas.openxmlformats.org/officeDocument/2006/relationships/hyperlink" Target="https://revistatransilvania.ro/5-2020/" TargetMode="External"/><Relationship Id="rId17" Type="http://schemas.openxmlformats.org/officeDocument/2006/relationships/hyperlink" Target="http://www.brukenthalmuseum.ro/pdf/BAM/Brukenthalia_10.pdf" TargetMode="External"/><Relationship Id="rId16" Type="http://schemas.openxmlformats.org/officeDocument/2006/relationships/hyperlink" Target="https://centers.ulbsibiu.ro/ccpisc/language/en/un-episod-din-chestiunea-unificarii-basarabiei-cu-romania-activitatea-comisiei-regionale-de-unificare-1921/" TargetMode="External"/><Relationship Id="rId5" Type="http://schemas.openxmlformats.org/officeDocument/2006/relationships/hyperlink" Target="https://revistatransilvania.ro/7-2020/" TargetMode="External"/><Relationship Id="rId19" Type="http://schemas.openxmlformats.org/officeDocument/2006/relationships/hyperlink" Target="https://ijmd.ro/2020/psychopedagogical-strategies-for-the-prevention-and-reduction-of-dental-phobia/" TargetMode="External"/><Relationship Id="rId6" Type="http://schemas.openxmlformats.org/officeDocument/2006/relationships/hyperlink" Target="https://www.brukenthalmuseum.ro/pdf/BAM/BAM%20XV-1.pdf" TargetMode="External"/><Relationship Id="rId18" Type="http://schemas.openxmlformats.org/officeDocument/2006/relationships/hyperlink" Target="https://ijmd.ro/2020/psychopedagogical-strategies-for-the-prevention-and-reduction-of-dental-phobia/" TargetMode="External"/><Relationship Id="rId7" Type="http://schemas.openxmlformats.org/officeDocument/2006/relationships/hyperlink" Target="https://www.brukenthalmuseum.ro/pdf/BAM/Brukenthalia_10.pdf" TargetMode="External"/><Relationship Id="rId8" Type="http://schemas.openxmlformats.org/officeDocument/2006/relationships/hyperlink" Target="https://revistatransilvania.ro/6-2020/" TargetMode="External"/></Relationships>
</file>

<file path=xl/worksheets/_rels/sheet5.xml.rels><?xml version="1.0" encoding="UTF-8" standalone="yes"?><Relationships xmlns="http://schemas.openxmlformats.org/package/2006/relationships"><Relationship Id="rId11" Type="http://schemas.openxmlformats.org/officeDocument/2006/relationships/drawing" Target="../drawings/drawing5.xml"/><Relationship Id="rId10" Type="http://schemas.openxmlformats.org/officeDocument/2006/relationships/hyperlink" Target="https://iated.org/conferences" TargetMode="External"/><Relationship Id="rId1" Type="http://schemas.openxmlformats.org/officeDocument/2006/relationships/hyperlink" Target="http://ffs-tabbed-15" TargetMode="External"/><Relationship Id="rId2" Type="http://schemas.openxmlformats.org/officeDocument/2006/relationships/hyperlink" Target="https://library.iated.org/view/MARA2020SOC" TargetMode="External"/><Relationship Id="rId3" Type="http://schemas.openxmlformats.org/officeDocument/2006/relationships/hyperlink" Target="https://library.iated.org/view/MARA2020EQU" TargetMode="External"/><Relationship Id="rId4" Type="http://schemas.openxmlformats.org/officeDocument/2006/relationships/hyperlink" Target="https://library.iated.org/view/MARA2020CON" TargetMode="External"/><Relationship Id="rId9" Type="http://schemas.openxmlformats.org/officeDocument/2006/relationships/hyperlink" Target="https://iated.org/publications" TargetMode="External"/><Relationship Id="rId5" Type="http://schemas.openxmlformats.org/officeDocument/2006/relationships/hyperlink" Target="https://library.iated.org/view/MARA2020STI2" TargetMode="External"/><Relationship Id="rId6" Type="http://schemas.openxmlformats.org/officeDocument/2006/relationships/hyperlink" Target="https://library.iated.org/view/MARA2020STI" TargetMode="External"/><Relationship Id="rId7" Type="http://schemas.openxmlformats.org/officeDocument/2006/relationships/hyperlink" Target="https://library.iated.org/view/MARA2020MET" TargetMode="External"/><Relationship Id="rId8" Type="http://schemas.openxmlformats.org/officeDocument/2006/relationships/hyperlink" Target="https://library.iated.org/view/MAG2020TRA"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www.ceeol.com/search/journal-detail?id=511" TargetMode="External"/><Relationship Id="rId22" Type="http://schemas.openxmlformats.org/officeDocument/2006/relationships/hyperlink" Target="https://www.ceeol.com/search/article-detail?id=917786" TargetMode="External"/><Relationship Id="rId21" Type="http://schemas.openxmlformats.org/officeDocument/2006/relationships/hyperlink" Target="http://www.drji.org/" TargetMode="External"/><Relationship Id="rId24" Type="http://schemas.openxmlformats.org/officeDocument/2006/relationships/hyperlink" Target="http://academicstar.us/issueshow.asp?daid=3411" TargetMode="External"/><Relationship Id="rId23" Type="http://schemas.openxmlformats.org/officeDocument/2006/relationships/hyperlink" Target="https://www.ceeol.com/search/journal-detail?id=747" TargetMode="External"/><Relationship Id="rId1" Type="http://schemas.openxmlformats.org/officeDocument/2006/relationships/hyperlink" Target="https://journals.indexcopernicus.com/search/details?id=9693" TargetMode="External"/><Relationship Id="rId2" Type="http://schemas.openxmlformats.org/officeDocument/2006/relationships/hyperlink" Target="http://www.banatica.ro/index.php?option=com_content&amp;view=article&amp;id=131&amp;Itemid=278" TargetMode="External"/><Relationship Id="rId3" Type="http://schemas.openxmlformats.org/officeDocument/2006/relationships/hyperlink" Target="http://www.icsusib.ro/periodice/anuarul-institutului" TargetMode="External"/><Relationship Id="rId4" Type="http://schemas.openxmlformats.org/officeDocument/2006/relationships/hyperlink" Target="https://www.academia.edu/44996432/Ritual_deposits_of_the_Petre%C8%99ti_culture_in_South_Western_Transylvania" TargetMode="External"/><Relationship Id="rId9" Type="http://schemas.openxmlformats.org/officeDocument/2006/relationships/hyperlink" Target="https://muzeuzalau.ro/anuar-2020-acta-mvsei-porolissensis/grupuri-de-pecenegi-pe-valea-mijlocie-a-tarnavei-mari-groups-of-pechenegs-in-the-middle-valley-of-tarnava-mare/" TargetMode="External"/><Relationship Id="rId26" Type="http://schemas.openxmlformats.org/officeDocument/2006/relationships/hyperlink" Target="http://more-192" TargetMode="External"/><Relationship Id="rId25" Type="http://schemas.openxmlformats.org/officeDocument/2006/relationships/hyperlink" Target="http://www.drji.org/" TargetMode="External"/><Relationship Id="rId28" Type="http://schemas.openxmlformats.org/officeDocument/2006/relationships/hyperlink" Target="https://mi.seaopenresearch.eu/volumul-xxii" TargetMode="External"/><Relationship Id="rId27" Type="http://schemas.openxmlformats.org/officeDocument/2006/relationships/hyperlink" Target="https://spas.seaopenresearch.eu/" TargetMode="External"/><Relationship Id="rId5" Type="http://schemas.openxmlformats.org/officeDocument/2006/relationships/hyperlink" Target="https://www.academia.edu/44996414/Absolute_Dating_of_the_Systematic_Excavation_from_2019_of_the_Archaeological_Site_T%C4%83rt%C4%83ria_Gura_Luncii_Alba_County_Romania_" TargetMode="External"/><Relationship Id="rId6" Type="http://schemas.openxmlformats.org/officeDocument/2006/relationships/hyperlink" Target="https://revista-apulum.ro/apulum-57/" TargetMode="External"/><Relationship Id="rId29" Type="http://schemas.openxmlformats.org/officeDocument/2006/relationships/hyperlink" Target="https://journal.konselor.or.id/index.php/counsedu/article/view/258" TargetMode="External"/><Relationship Id="rId7" Type="http://schemas.openxmlformats.org/officeDocument/2006/relationships/hyperlink" Target="http://muzeuzalau.ro/anuar-2017-acta-mvsei-porolissensis/r-w-seaton-watson/" TargetMode="External"/><Relationship Id="rId8" Type="http://schemas.openxmlformats.org/officeDocument/2006/relationships/hyperlink" Target="https://astrasebesblog.files.wordpress.com/2015/11/astra-sabesiensis-numar-6-2020.pdf" TargetMode="External"/><Relationship Id="rId31" Type="http://schemas.openxmlformats.org/officeDocument/2006/relationships/hyperlink" Target="http://economice.ulbsibiu.ro/revista.economica/archive/72305grama.pdf" TargetMode="External"/><Relationship Id="rId30" Type="http://schemas.openxmlformats.org/officeDocument/2006/relationships/hyperlink" Target="http://www.amtsibiu.ro/Arhiva/2020/Nr4-en/Grama.pdf" TargetMode="External"/><Relationship Id="rId11" Type="http://schemas.openxmlformats.org/officeDocument/2006/relationships/hyperlink" Target="https://www.uav.ro/jour/index.php/jpe/article/view/1477" TargetMode="External"/><Relationship Id="rId33" Type="http://schemas.openxmlformats.org/officeDocument/2006/relationships/drawing" Target="../drawings/drawing6.xml"/><Relationship Id="rId10" Type="http://schemas.openxmlformats.org/officeDocument/2006/relationships/hyperlink" Target="http://www.drji.org/" TargetMode="External"/><Relationship Id="rId32" Type="http://schemas.openxmlformats.org/officeDocument/2006/relationships/hyperlink" Target="https://thesis-journal.net/wp-content/uploads/2021/01/Thesis-2020-no.2-online-1.pdf" TargetMode="External"/><Relationship Id="rId13" Type="http://schemas.openxmlformats.org/officeDocument/2006/relationships/hyperlink" Target="http://asociatia-alpha.ro/jrls/20-2020-Jrls.pdf" TargetMode="External"/><Relationship Id="rId12" Type="http://schemas.openxmlformats.org/officeDocument/2006/relationships/hyperlink" Target="https://drept.ulbsibiu.ro/books/acta-universitatis-lucian-blaga-nr-1-2020/" TargetMode="External"/><Relationship Id="rId15" Type="http://schemas.openxmlformats.org/officeDocument/2006/relationships/hyperlink" Target="http://asociatia-alpha.ro/jrls/21-2020-Jrls-a.pdf" TargetMode="External"/><Relationship Id="rId14" Type="http://schemas.openxmlformats.org/officeDocument/2006/relationships/hyperlink" Target="http://asociatia-alpha.ro/jrls/21-2020-Jrls-a.pdf" TargetMode="External"/><Relationship Id="rId17" Type="http://schemas.openxmlformats.org/officeDocument/2006/relationships/hyperlink" Target="http://asociatia-alpha.ro/jrls/22-2020-Jrls.pdf" TargetMode="External"/><Relationship Id="rId16" Type="http://schemas.openxmlformats.org/officeDocument/2006/relationships/hyperlink" Target="http://asociatia-alpha.ro/jrls/22-2020-Jrls.pdf" TargetMode="External"/><Relationship Id="rId19" Type="http://schemas.openxmlformats.org/officeDocument/2006/relationships/hyperlink" Target="https://www.ceeol.com/search/journal-detail?id=511" TargetMode="External"/><Relationship Id="rId18" Type="http://schemas.openxmlformats.org/officeDocument/2006/relationships/hyperlink" Target="http://asociatia-alpha.ro/jrls/23-2020-Jrls-b.pdf"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i.org/10.1007/978-3-030-44794-6_22." TargetMode="External"/><Relationship Id="rId2" Type="http://schemas.openxmlformats.org/officeDocument/2006/relationships/hyperlink" Target="https://doi.org/10.1007/978-3-030-44794-6_1."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books" TargetMode="External"/><Relationship Id="rId2" Type="http://schemas.openxmlformats.org/officeDocument/2006/relationships/hyperlink" Target="https://brill.com/view/title/57601" TargetMode="External"/><Relationship Id="rId3" Type="http://schemas.openxmlformats.org/officeDocument/2006/relationships/hyperlink" Target="https://brill.com/" TargetMode="External"/><Relationship Id="rId4" Type="http://schemas.openxmlformats.org/officeDocument/2006/relationships/hyperlink" Target="https://www.bookpi.org/bookstore/product/arts-and-social-studies-research-vol-1/" TargetMode="External"/><Relationship Id="rId5" Type="http://schemas.openxmlformats.org/officeDocument/2006/relationships/hyperlink" Target="https://www.bookpi.org/bookstore/product/new-horizons-in-education-and-social-studies-vol-4/" TargetMode="External"/><Relationship Id="rId6" Type="http://schemas.openxmlformats.org/officeDocument/2006/relationships/hyperlink" Target="http://www.multidisciplinary-research.com/"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90" Type="http://schemas.openxmlformats.org/officeDocument/2006/relationships/hyperlink" Target="about:blank" TargetMode="External"/><Relationship Id="rId194" Type="http://schemas.openxmlformats.org/officeDocument/2006/relationships/hyperlink" Target="about:blank" TargetMode="External"/><Relationship Id="rId193" Type="http://schemas.openxmlformats.org/officeDocument/2006/relationships/hyperlink" Target="https://eric.ed.gov/?id=EJ1250972" TargetMode="External"/><Relationship Id="rId192" Type="http://schemas.openxmlformats.org/officeDocument/2006/relationships/hyperlink" Target="https://journal.ugm.ac.id/mgi/article/view/50199" TargetMode="External"/><Relationship Id="rId191" Type="http://schemas.openxmlformats.org/officeDocument/2006/relationships/hyperlink" Target="about:blank" TargetMode="External"/><Relationship Id="rId187" Type="http://schemas.openxmlformats.org/officeDocument/2006/relationships/hyperlink" Target="https://www.eimj.org/uplode/images/photo/Critical_Analysis_of_the_Challenges_Faced_in_Implementing_Inclusive_Education_Practices..pdf" TargetMode="External"/><Relationship Id="rId186" Type="http://schemas.openxmlformats.org/officeDocument/2006/relationships/hyperlink" Target="https://www.igi-global.com/chapter/the-inclusion-of-children-with-special-education-needs/245929" TargetMode="External"/><Relationship Id="rId185" Type="http://schemas.openxmlformats.org/officeDocument/2006/relationships/hyperlink" Target="https://search.proquest.com/openview/6383e02314a94d7411a28456b62e1fcd/1?pq-origsite=gscholar&amp;cbl=18750&amp;diss=y" TargetMode="External"/><Relationship Id="rId184" Type="http://schemas.openxmlformats.org/officeDocument/2006/relationships/hyperlink" Target="https://doi.org/10.1080/13603116.2020.1821446" TargetMode="External"/><Relationship Id="rId189" Type="http://schemas.openxmlformats.org/officeDocument/2006/relationships/hyperlink" Target="https://doi.org/10.47175/rielsj.v1i3.134" TargetMode="External"/><Relationship Id="rId188" Type="http://schemas.openxmlformats.org/officeDocument/2006/relationships/hyperlink" Target="https://bulletin-pedagogic-sc.kaznu.kz/index.php/1-ped/article/view/636" TargetMode="External"/><Relationship Id="rId183" Type="http://schemas.openxmlformats.org/officeDocument/2006/relationships/hyperlink" Target="about:blank" TargetMode="External"/><Relationship Id="rId182" Type="http://schemas.openxmlformats.org/officeDocument/2006/relationships/hyperlink" Target="https://www.hipatiapress.com/hpjournals/index.php/remie/article/view/5607" TargetMode="External"/><Relationship Id="rId181" Type="http://schemas.openxmlformats.org/officeDocument/2006/relationships/hyperlink" Target="https://apps-webofknowledge-com.am.e-nformation.ro/full_record.do?product=WOS&amp;search_mode=CitingArticles&amp;qid=20&amp;SID=C419lwvOHyTSyKS14tj&amp;page=1&amp;doc=3" TargetMode="External"/><Relationship Id="rId180" Type="http://schemas.openxmlformats.org/officeDocument/2006/relationships/hyperlink" Target="https://apps-webofknowledge-com.am.e-nformation.ro/full_record.do?product=WOS&amp;search_mode=CitingArticles&amp;qid=15&amp;SID=C419lwvOHyTSyKS14tj&amp;page=1&amp;doc=2" TargetMode="External"/><Relationship Id="rId176" Type="http://schemas.openxmlformats.org/officeDocument/2006/relationships/hyperlink" Target="https://jmr.usb.ac.ir/article_5262.html?lang=en" TargetMode="External"/><Relationship Id="rId297" Type="http://schemas.openxmlformats.org/officeDocument/2006/relationships/hyperlink" Target="https://europepmc.org/article/pmc/pmc7784639" TargetMode="External"/><Relationship Id="rId175" Type="http://schemas.openxmlformats.org/officeDocument/2006/relationships/hyperlink" Target="https://scholar.google.com/scholar?as_ylo=2020&amp;hl=ro&amp;as_sdt=2005&amp;sciodt=0,5&amp;cites=2177769565273443243&amp;scipsc=" TargetMode="External"/><Relationship Id="rId296" Type="http://schemas.openxmlformats.org/officeDocument/2006/relationships/hyperlink" Target="https://www.proquest.com/openview/51df55a7b4f57d8ba1b9fb26aaff582c/1?pq-origsite=gscholar&amp;cbl=18750&amp;diss=y" TargetMode="External"/><Relationship Id="rId174" Type="http://schemas.openxmlformats.org/officeDocument/2006/relationships/hyperlink" Target="https://scholar.google.com/scholar?as_ylo=2020&amp;hl=ro&amp;as_sdt=2005&amp;sciodt=0,5&amp;cites=2177769565273443243&amp;scipsc=" TargetMode="External"/><Relationship Id="rId295" Type="http://schemas.openxmlformats.org/officeDocument/2006/relationships/hyperlink" Target="http://www.pafkiet.edu.pk/marketforces/index.php/marketforces/indexing" TargetMode="External"/><Relationship Id="rId173" Type="http://schemas.openxmlformats.org/officeDocument/2006/relationships/hyperlink" Target="https://www-scopus-com.am.e-nformation.ro/results/citedbyresults.uri?sort=plf-f&amp;refeid=2-s2.0-84923306532&amp;src=s&amp;imp=t&amp;sid=96b184d336543771a14943177b4a4831&amp;sot=ctocbw&amp;sdt=a&amp;sl=15&amp;s=PUBYEAR+IS+2020&amp;origin=cto&amp;citeCnt=1_DELIM_1_DELIM_CTODS_1321435510_DELIM_1&amp;txGid=5ff51111671cc0fba387c826c42e27d8" TargetMode="External"/><Relationship Id="rId294" Type="http://schemas.openxmlformats.org/officeDocument/2006/relationships/hyperlink" Target="http://www.pafkiet.edu.pk/marketforces/index.php/marketforces/article/view/406" TargetMode="External"/><Relationship Id="rId179" Type="http://schemas.openxmlformats.org/officeDocument/2006/relationships/hyperlink" Target="https://scholar.google.com/scholar?as_ylo=2020&amp;hl=ro&amp;as_sdt=2005&amp;sciodt=0,5&amp;cites=16528596961204771589&amp;scipsc=" TargetMode="External"/><Relationship Id="rId178" Type="http://schemas.openxmlformats.org/officeDocument/2006/relationships/hyperlink" Target="https://scholar.google.com/scholar?oi=bibs&amp;hl=ro&amp;cites=7701038386302281888" TargetMode="External"/><Relationship Id="rId299" Type="http://schemas.openxmlformats.org/officeDocument/2006/relationships/hyperlink" Target="https://firescholars.seu.edu/coe/68/" TargetMode="External"/><Relationship Id="rId177" Type="http://schemas.openxmlformats.org/officeDocument/2006/relationships/hyperlink" Target="https://scholar.google.com/scholar?as_ylo=2020&amp;hl=ro&amp;as_sdt=2005&amp;sciodt=0,5&amp;cites=7701038386302281888&amp;scipsc=" TargetMode="External"/><Relationship Id="rId298" Type="http://schemas.openxmlformats.org/officeDocument/2006/relationships/hyperlink" Target="https://europepmc.org/About" TargetMode="External"/><Relationship Id="rId198" Type="http://schemas.openxmlformats.org/officeDocument/2006/relationships/hyperlink" Target="https://www.nomos-elibrary.de/10.30820/9783837976809/inklusive-kulturschoepfung?hitid=1&amp;search-click" TargetMode="External"/><Relationship Id="rId197" Type="http://schemas.openxmlformats.org/officeDocument/2006/relationships/hyperlink" Target="http://books.google.com/books?hl=en&amp;lr=&amp;id=NH2iBQAAQBAJ&amp;oi=fnd&amp;pg=PP1&amp;dq=info:CJqPt6hySnQJ:scholar.google.com&amp;ots=ocZ45xiOIn&amp;sig=eWgP8m-Jb7wBLFrOrBiEe6t6nng" TargetMode="External"/><Relationship Id="rId196" Type="http://schemas.openxmlformats.org/officeDocument/2006/relationships/hyperlink" Target="https://doi.org/10.1017/S0021932019000427" TargetMode="External"/><Relationship Id="rId195" Type="http://schemas.openxmlformats.org/officeDocument/2006/relationships/hyperlink" Target="about:blank" TargetMode="External"/><Relationship Id="rId199" Type="http://schemas.openxmlformats.org/officeDocument/2006/relationships/hyperlink" Target="http://jurnal.untag-sby.ac.id/index.php/JEM17/article/view/3622" TargetMode="External"/><Relationship Id="rId150" Type="http://schemas.openxmlformats.org/officeDocument/2006/relationships/hyperlink" Target="https://issuu.com/elena1r/docs/revista_sport_si_antidiscriminare_-nr.5-_august_20" TargetMode="External"/><Relationship Id="rId271" Type="http://schemas.openxmlformats.org/officeDocument/2006/relationships/hyperlink" Target="https://thesis.cust.edu.pk/" TargetMode="External"/><Relationship Id="rId392" Type="http://schemas.openxmlformats.org/officeDocument/2006/relationships/hyperlink" Target="https://www.bcb.gov.br/pec/wps/ingl/wps533.pdf" TargetMode="External"/><Relationship Id="rId270" Type="http://schemas.openxmlformats.org/officeDocument/2006/relationships/hyperlink" Target="https://thesis.cust.edu.pk/UploadedFiles/Zulfiqar%20Ahmed-MPM181040.pdf" TargetMode="External"/><Relationship Id="rId391" Type="http://schemas.openxmlformats.org/officeDocument/2006/relationships/hyperlink" Target="https://www.psychosocial.com/article-category/issue-10/" TargetMode="External"/><Relationship Id="rId390" Type="http://schemas.openxmlformats.org/officeDocument/2006/relationships/hyperlink" Target="https://eprints.bbk.ac.uk/id/eprint/40998/" TargetMode="External"/><Relationship Id="rId1" Type="http://schemas.openxmlformats.org/officeDocument/2006/relationships/hyperlink" Target="https://dbh.nsd.uib.no/publiseringskanaler/erihplus/periodical/info.action;jsessionid=CohDORNjrsgr17grfFHLDm6I.undefined?id=482393" TargetMode="External"/><Relationship Id="rId2" Type="http://schemas.openxmlformats.org/officeDocument/2006/relationships/hyperlink" Target="http://real.mtak.hu/116626/" TargetMode="External"/><Relationship Id="rId3" Type="http://schemas.openxmlformats.org/officeDocument/2006/relationships/hyperlink" Target="http://real.mtak.hu/116626/" TargetMode="External"/><Relationship Id="rId149" Type="http://schemas.openxmlformats.org/officeDocument/2006/relationships/hyperlink" Target="https://ibn.idsi.md/sites/default/files/imag_file/361-370.pdf" TargetMode="External"/><Relationship Id="rId4" Type="http://schemas.openxmlformats.org/officeDocument/2006/relationships/hyperlink" Target="https://www.ceeol.com/search/article-detail?id=919419" TargetMode="External"/><Relationship Id="rId148" Type="http://schemas.openxmlformats.org/officeDocument/2006/relationships/hyperlink" Target="http://www.ccdvl.ro/images/docs/AN_SCOLAR_2019_2020/Revista_nd_10_electronica_iulie_2020.pdf" TargetMode="External"/><Relationship Id="rId269" Type="http://schemas.openxmlformats.org/officeDocument/2006/relationships/hyperlink" Target="https://www.mdpi.com/" TargetMode="External"/><Relationship Id="rId9" Type="http://schemas.openxmlformats.org/officeDocument/2006/relationships/hyperlink" Target="https://centers.ulbsibiu.ro/ccpisc/language/en/category/studia-2/studia-2020-xvii/" TargetMode="External"/><Relationship Id="rId143" Type="http://schemas.openxmlformats.org/officeDocument/2006/relationships/hyperlink" Target="https://ibn.idsi.md/sites/default/files/imag_file/Orient%C4%83ri_axiologice_UST_2020_0.pdf" TargetMode="External"/><Relationship Id="rId264" Type="http://schemas.openxmlformats.org/officeDocument/2006/relationships/hyperlink" Target="https://doi.org/10.31234/osf.io/64t9s" TargetMode="External"/><Relationship Id="rId385" Type="http://schemas.openxmlformats.org/officeDocument/2006/relationships/hyperlink" Target="https://link.springer.com/chapter/10.1007/978-3-030-43181-5_3" TargetMode="External"/><Relationship Id="rId142" Type="http://schemas.openxmlformats.org/officeDocument/2006/relationships/hyperlink" Target="https://www.mdpi.com/2071-1050/12/19/8012/htm" TargetMode="External"/><Relationship Id="rId263" Type="http://schemas.openxmlformats.org/officeDocument/2006/relationships/hyperlink" Target="https://doi.org/10.31234/osf.io/tpngz" TargetMode="External"/><Relationship Id="rId384" Type="http://schemas.openxmlformats.org/officeDocument/2006/relationships/hyperlink" Target="http://references" TargetMode="External"/><Relationship Id="rId141" Type="http://schemas.openxmlformats.org/officeDocument/2006/relationships/hyperlink" Target="https://doi.org/10.31838/ijpr/2020.12.01.408" TargetMode="External"/><Relationship Id="rId262" Type="http://schemas.openxmlformats.org/officeDocument/2006/relationships/hyperlink" Target="https://doi.org/10.31234/osf.io/2mdxh" TargetMode="External"/><Relationship Id="rId383" Type="http://schemas.openxmlformats.org/officeDocument/2006/relationships/hyperlink" Target="http://repositorio.utn.edu.ec/bitstream/123456789/10456/2/02%20IEF%20244%20TRABAJO%20GRADO.pdf" TargetMode="External"/><Relationship Id="rId140" Type="http://schemas.openxmlformats.org/officeDocument/2006/relationships/hyperlink" Target="https://www.edituradph.ro/ghidul-profesorului-din-invatamantul-primar-simultan.html" TargetMode="External"/><Relationship Id="rId261" Type="http://schemas.openxmlformats.org/officeDocument/2006/relationships/hyperlink" Target="https://doi.org/10.1007/s40750-020-00135-3" TargetMode="External"/><Relationship Id="rId382" Type="http://schemas.openxmlformats.org/officeDocument/2006/relationships/hyperlink" Target="https://link.springer.com/chapter/10.1007/978-3-658-28630-9_10" TargetMode="External"/><Relationship Id="rId5" Type="http://schemas.openxmlformats.org/officeDocument/2006/relationships/hyperlink" Target="https://akjournals.com/view/journals/170/61/1/article-p81.xml" TargetMode="External"/><Relationship Id="rId147" Type="http://schemas.openxmlformats.org/officeDocument/2006/relationships/hyperlink" Target="https://revistaeducatie.ro/wp-content/uploads/simple-file-list/INOVATIE-IN-EDUCATIE-NR.-6-APRILIE-2020.pdf" TargetMode="External"/><Relationship Id="rId268" Type="http://schemas.openxmlformats.org/officeDocument/2006/relationships/hyperlink" Target="https://www.mdpi.com/2078-2489/11/6/336" TargetMode="External"/><Relationship Id="rId389" Type="http://schemas.openxmlformats.org/officeDocument/2006/relationships/hyperlink" Target="https://www.routledge.com/Informal-Learning-Practitioner-Inquiry-and-Occupational-Education-An-Epistemological/Loo-Sutton/p/book/9780367894849" TargetMode="External"/><Relationship Id="rId6" Type="http://schemas.openxmlformats.org/officeDocument/2006/relationships/hyperlink" Target="https://www.scopus.com/sourceid/21100223157" TargetMode="External"/><Relationship Id="rId146" Type="http://schemas.openxmlformats.org/officeDocument/2006/relationships/hyperlink" Target="https://libraria.ubbcluj.ro/produs/stimularea-motivatiei-invatarii-la-elevi-prin-intermediul-unui-program-educational-specific/" TargetMode="External"/><Relationship Id="rId267" Type="http://schemas.openxmlformats.org/officeDocument/2006/relationships/hyperlink" Target="https://doi.org/10.21203/rs.3.rs-41215/v1" TargetMode="External"/><Relationship Id="rId388" Type="http://schemas.openxmlformats.org/officeDocument/2006/relationships/hyperlink" Target="https://so05.tci-thaijo.org/index.php/PNRU_JHSS/article/view/195797" TargetMode="External"/><Relationship Id="rId7" Type="http://schemas.openxmlformats.org/officeDocument/2006/relationships/hyperlink" Target="https://centers.ulbsibiu.ro/ccpisc/language/en/category/studia-2/studia-2020-xvii/" TargetMode="External"/><Relationship Id="rId145" Type="http://schemas.openxmlformats.org/officeDocument/2006/relationships/hyperlink" Target="https://ibn.idsi.md/sites/default/files/imag_file/Conf_Decembrie_Vol_II_2020_UPS.pdf" TargetMode="External"/><Relationship Id="rId266" Type="http://schemas.openxmlformats.org/officeDocument/2006/relationships/hyperlink" Target="https://doi.org/10.31219/osf.io/g9us7" TargetMode="External"/><Relationship Id="rId387" Type="http://schemas.openxmlformats.org/officeDocument/2006/relationships/hyperlink" Target="https://ciencia.lasalle.edu.co/economia/1621/" TargetMode="External"/><Relationship Id="rId8" Type="http://schemas.openxmlformats.org/officeDocument/2006/relationships/hyperlink" Target="https://centers.ulbsibiu.ro/ccpisc/language/en/category/studia-2/studia-2020-xvii/" TargetMode="External"/><Relationship Id="rId144" Type="http://schemas.openxmlformats.org/officeDocument/2006/relationships/hyperlink" Target="about:blank" TargetMode="External"/><Relationship Id="rId265" Type="http://schemas.openxmlformats.org/officeDocument/2006/relationships/hyperlink" Target="https://doi.org/10.1177/0146167220950070" TargetMode="External"/><Relationship Id="rId386" Type="http://schemas.openxmlformats.org/officeDocument/2006/relationships/hyperlink" Target="https://link.springer.com/chapter/10.1007/978-3-030-41983-7_10" TargetMode="External"/><Relationship Id="rId260" Type="http://schemas.openxmlformats.org/officeDocument/2006/relationships/hyperlink" Target="https://doi.org/10.1080/23311975.2020.1748790" TargetMode="External"/><Relationship Id="rId381" Type="http://schemas.openxmlformats.org/officeDocument/2006/relationships/hyperlink" Target="https://tel.archives-ouvertes.fr/tel-03162584/document" TargetMode="External"/><Relationship Id="rId380" Type="http://schemas.openxmlformats.org/officeDocument/2006/relationships/hyperlink" Target="https://scholarworks.waldenu.edu/dissertations/9970/" TargetMode="External"/><Relationship Id="rId139" Type="http://schemas.openxmlformats.org/officeDocument/2006/relationships/hyperlink" Target="https://ibn.idsi.md/vizualizare_articol/117940" TargetMode="External"/><Relationship Id="rId138" Type="http://schemas.openxmlformats.org/officeDocument/2006/relationships/hyperlink" Target="https://issuu.com/elena1r/docs/revista_sport_si_antidiscriminare_-nr.5-_august_20" TargetMode="External"/><Relationship Id="rId259" Type="http://schemas.openxmlformats.org/officeDocument/2006/relationships/hyperlink" Target="https://dergipark.org.tr/tr/pub/iid/issue/57138/703526" TargetMode="External"/><Relationship Id="rId137" Type="http://schemas.openxmlformats.org/officeDocument/2006/relationships/hyperlink" Target="https://ibn.idsi.md/sites/default/files/imag_file/Volum_Simpozion_2020_UPS_Creanga.pdf" TargetMode="External"/><Relationship Id="rId258" Type="http://schemas.openxmlformats.org/officeDocument/2006/relationships/hyperlink" Target="https://www.researchgate.net/publication/344716364" TargetMode="External"/><Relationship Id="rId379" Type="http://schemas.openxmlformats.org/officeDocument/2006/relationships/hyperlink" Target="https://scholarworks.waldenu.edu/dissertations/9970/" TargetMode="External"/><Relationship Id="rId132" Type="http://schemas.openxmlformats.org/officeDocument/2006/relationships/hyperlink" Target="https://www.eduform.snsh.ro/baza-de-date-online-cu-resurse-educationale-pentru-sustinerea-educatiei-incluzive-de-calitate/relatia-dintre-educatia-formala-nonformala-si-informala" TargetMode="External"/><Relationship Id="rId253" Type="http://schemas.openxmlformats.org/officeDocument/2006/relationships/hyperlink" Target="https://www.researchgate.net/publication/338825992" TargetMode="External"/><Relationship Id="rId374" Type="http://schemas.openxmlformats.org/officeDocument/2006/relationships/hyperlink" Target="http://conferinta.management.ase.ro/archives/2020/PDF/2_14.pdf" TargetMode="External"/><Relationship Id="rId131" Type="http://schemas.openxmlformats.org/officeDocument/2006/relationships/hyperlink" Target="https://eduscoala.ro/resurse/de-ce-invatare-interactiva" TargetMode="External"/><Relationship Id="rId252" Type="http://schemas.openxmlformats.org/officeDocument/2006/relationships/hyperlink" Target="https://mmi.fem.sumdu.edu.ua/en/journals/2020/1/110-120" TargetMode="External"/><Relationship Id="rId373" Type="http://schemas.openxmlformats.org/officeDocument/2006/relationships/hyperlink" Target="https://stec.univ-ovidius.ro/html/anale/ENG/" TargetMode="External"/><Relationship Id="rId130" Type="http://schemas.openxmlformats.org/officeDocument/2006/relationships/hyperlink" Target="http://artico.md/wp-content/uploads/2020/08/Reuniune-metodica-14.08-evaluarea.pdf" TargetMode="External"/><Relationship Id="rId251" Type="http://schemas.openxmlformats.org/officeDocument/2006/relationships/hyperlink" Target="https://www.researchgate.net/publication/340899054" TargetMode="External"/><Relationship Id="rId372" Type="http://schemas.openxmlformats.org/officeDocument/2006/relationships/hyperlink" Target="https://www.revistas.editoraenterprising.net/index.php/regmpe/article/view/253" TargetMode="External"/><Relationship Id="rId250" Type="http://schemas.openxmlformats.org/officeDocument/2006/relationships/hyperlink" Target="https://www.researchgate.net/publication/344452781" TargetMode="External"/><Relationship Id="rId371" Type="http://schemas.openxmlformats.org/officeDocument/2006/relationships/hyperlink" Target="https://www.alice.cnptia.embrapa.br/handle/doc/1127007" TargetMode="External"/><Relationship Id="rId136" Type="http://schemas.openxmlformats.org/officeDocument/2006/relationships/hyperlink" Target="http://www.ccdvl.ro/images/docs/AN_SCOLAR_2019_2020/Revista_nd_10_electronica_iulie_2020.pdf" TargetMode="External"/><Relationship Id="rId257" Type="http://schemas.openxmlformats.org/officeDocument/2006/relationships/hyperlink" Target="https://www.researchgate.net/publication/345992378" TargetMode="External"/><Relationship Id="rId378" Type="http://schemas.openxmlformats.org/officeDocument/2006/relationships/hyperlink" Target="https://doc.rero.ch/record/330348/files/ResbeutM.pdf" TargetMode="External"/><Relationship Id="rId135" Type="http://schemas.openxmlformats.org/officeDocument/2006/relationships/hyperlink" Target="https://ibn.idsi.md/sites/default/files/imag_file/Conf_Decembrie_Vol_II_2020_UPS.pdf" TargetMode="External"/><Relationship Id="rId256" Type="http://schemas.openxmlformats.org/officeDocument/2006/relationships/hyperlink" Target="https://turkishstudies.net/files/turkishstudies/c44df68d-bce3-4a1f-ba63-9ba9c9cf0441.pdf" TargetMode="External"/><Relationship Id="rId377" Type="http://schemas.openxmlformats.org/officeDocument/2006/relationships/hyperlink" Target="https://core.ac.uk/download/pdf/333886521.pdf" TargetMode="External"/><Relationship Id="rId134" Type="http://schemas.openxmlformats.org/officeDocument/2006/relationships/hyperlink" Target="about:blank" TargetMode="External"/><Relationship Id="rId255" Type="http://schemas.openxmlformats.org/officeDocument/2006/relationships/hyperlink" Target="https://www.researchgate.net/publication/344188541" TargetMode="External"/><Relationship Id="rId376" Type="http://schemas.openxmlformats.org/officeDocument/2006/relationships/hyperlink" Target="about:blank" TargetMode="External"/><Relationship Id="rId133" Type="http://schemas.openxmlformats.org/officeDocument/2006/relationships/hyperlink" Target="https://revistaeducatie.ro/wp-content/uploads/simple-file-list/INOVATIE-IN-EDUCATIE-NR.-6-APRILIE-2020.pdf" TargetMode="External"/><Relationship Id="rId254" Type="http://schemas.openxmlformats.org/officeDocument/2006/relationships/hyperlink" Target="https://www.berjournal.com/abstracting-indexing.html" TargetMode="External"/><Relationship Id="rId375" Type="http://schemas.openxmlformats.org/officeDocument/2006/relationships/hyperlink" Target="http://jad.shahroodut.ac.ir/article_1681_198.html" TargetMode="External"/><Relationship Id="rId172" Type="http://schemas.openxmlformats.org/officeDocument/2006/relationships/hyperlink" Target="https://apps-webofknowledge-com.am.e-nformation.ro/full_record.do?product=WOS&amp;search_mode=CitingArticles&amp;qid=28&amp;SID=C419lwvOHyTSyKS14tj&amp;page=1&amp;doc=1" TargetMode="External"/><Relationship Id="rId293" Type="http://schemas.openxmlformats.org/officeDocument/2006/relationships/hyperlink" Target="https://www.ceeol.com/search/article-detail?id=904676" TargetMode="External"/><Relationship Id="rId171" Type="http://schemas.openxmlformats.org/officeDocument/2006/relationships/hyperlink" Target="https://epaa.asu.edu/ojs/article/view/4980" TargetMode="External"/><Relationship Id="rId292" Type="http://schemas.openxmlformats.org/officeDocument/2006/relationships/hyperlink" Target="https://www.mdpi.com/journal/sustainability" TargetMode="External"/><Relationship Id="rId170" Type="http://schemas.openxmlformats.org/officeDocument/2006/relationships/hyperlink" Target="http://journal.ubpkarawang.ac.id/index.php/BuanaIlmu/article/view/1248" TargetMode="External"/><Relationship Id="rId291" Type="http://schemas.openxmlformats.org/officeDocument/2006/relationships/hyperlink" Target="https://www.mdpi.com/2071-1050/12/16/6543" TargetMode="External"/><Relationship Id="rId290" Type="http://schemas.openxmlformats.org/officeDocument/2006/relationships/hyperlink" Target="https://www.proquest.com/openview/06c4ba1d20f2364dfb9519b50ad6b883/1?pq-origsite=gscholar&amp;cbl=51922&amp;diss=y" TargetMode="External"/><Relationship Id="rId165" Type="http://schemas.openxmlformats.org/officeDocument/2006/relationships/hyperlink" Target="http://olddrji.lbp.world/" TargetMode="External"/><Relationship Id="rId286" Type="http://schemas.openxmlformats.org/officeDocument/2006/relationships/hyperlink" Target="https://onlinelibrary.wiley.com/doi/abs/10.1111/jonm.13133" TargetMode="External"/><Relationship Id="rId164" Type="http://schemas.openxmlformats.org/officeDocument/2006/relationships/hyperlink" Target="https://msocialsciences.com/index.php/mjssh/article/view/523" TargetMode="External"/><Relationship Id="rId285" Type="http://schemas.openxmlformats.org/officeDocument/2006/relationships/hyperlink" Target="https://journals.sagepub.com/metrics/ROP" TargetMode="External"/><Relationship Id="rId163" Type="http://schemas.openxmlformats.org/officeDocument/2006/relationships/hyperlink" Target="https://eric.ed.gov/?q=source%3A%22Turkish+Online+Journal+of+Educational+Technology+%22" TargetMode="External"/><Relationship Id="rId284" Type="http://schemas.openxmlformats.org/officeDocument/2006/relationships/hyperlink" Target="https://journals.sagepub.com/doi/abs/10.1177/0734371X20923010" TargetMode="External"/><Relationship Id="rId162" Type="http://schemas.openxmlformats.org/officeDocument/2006/relationships/hyperlink" Target="http://tojet.net/articles/v19i3/1934.pdf" TargetMode="External"/><Relationship Id="rId283" Type="http://schemas.openxmlformats.org/officeDocument/2006/relationships/hyperlink" Target="http://indexing-and-rankings/" TargetMode="External"/><Relationship Id="rId169" Type="http://schemas.openxmlformats.org/officeDocument/2006/relationships/hyperlink" Target="https://www.ceeol.com/search/article-detail?id=922779" TargetMode="External"/><Relationship Id="rId168" Type="http://schemas.openxmlformats.org/officeDocument/2006/relationships/hyperlink" Target="https://ibn.idsi.md/sites/default/files/imag_file/49-52_15.pdf" TargetMode="External"/><Relationship Id="rId289" Type="http://schemas.openxmlformats.org/officeDocument/2006/relationships/hyperlink" Target="https://academic-publishing.org/index.php/ejbrm/index" TargetMode="External"/><Relationship Id="rId167" Type="http://schemas.openxmlformats.org/officeDocument/2006/relationships/hyperlink" Target="http://olddrji.lbp.world/" TargetMode="External"/><Relationship Id="rId288" Type="http://schemas.openxmlformats.org/officeDocument/2006/relationships/hyperlink" Target="https://academic-publishing.org/index.php/ejbrm/article/view/2031" TargetMode="External"/><Relationship Id="rId166" Type="http://schemas.openxmlformats.org/officeDocument/2006/relationships/hyperlink" Target="https://msocialsciences.com/index.php/mjssh/article/view/413" TargetMode="External"/><Relationship Id="rId287" Type="http://schemas.openxmlformats.org/officeDocument/2006/relationships/hyperlink" Target="https://onlinelibrary.wiley.com/page/journal/13652834/homepage/productinformation.html" TargetMode="External"/><Relationship Id="rId161" Type="http://schemas.openxmlformats.org/officeDocument/2006/relationships/hyperlink" Target="https://zir.nsk.hr/islandora/object/foozos:1112" TargetMode="External"/><Relationship Id="rId282" Type="http://schemas.openxmlformats.org/officeDocument/2006/relationships/hyperlink" Target="https://www.emerald.com/insight/content/doi/10.1108/JOCM-05-2019-0141/full/html" TargetMode="External"/><Relationship Id="rId160" Type="http://schemas.openxmlformats.org/officeDocument/2006/relationships/hyperlink" Target="https://scholar.google.com/scholar?cluster=9578402731746357833&amp;hl=ro&amp;as_sdt=2005&amp;sciodt=0,5" TargetMode="External"/><Relationship Id="rId281" Type="http://schemas.openxmlformats.org/officeDocument/2006/relationships/hyperlink" Target="http://indexing-and-rankings/" TargetMode="External"/><Relationship Id="rId280" Type="http://schemas.openxmlformats.org/officeDocument/2006/relationships/hyperlink" Target="https://www.emerald.com/insight/content/doi/10.1108/JOCM-02-2020-0063/full/html" TargetMode="External"/><Relationship Id="rId159" Type="http://schemas.openxmlformats.org/officeDocument/2006/relationships/hyperlink" Target="https://scholar.google.com/scholar?cluster=14240366934620930206&amp;hl=ro&amp;as_sdt=2005&amp;sciodt=0,5" TargetMode="External"/><Relationship Id="rId154" Type="http://schemas.openxmlformats.org/officeDocument/2006/relationships/hyperlink" Target="https://doi.org/10.3390/su13010229" TargetMode="External"/><Relationship Id="rId275" Type="http://schemas.openxmlformats.org/officeDocument/2006/relationships/hyperlink" Target="https://www.researchgate.net/publication/337852286_Por_uma_gestao_mais_democratica_na_educacao_contribuicoes_de_uma_formacao_a_distancia_para_atuacao_profissional_de_seus_egressos" TargetMode="External"/><Relationship Id="rId396" Type="http://schemas.openxmlformats.org/officeDocument/2006/relationships/hyperlink" Target="http://revista.fumec.br/index.php/pretexto/article/view/6461" TargetMode="External"/><Relationship Id="rId153" Type="http://schemas.openxmlformats.org/officeDocument/2006/relationships/hyperlink" Target="https://www.researchgate.net/publication/346394375_Instilling_the_System_of_Values_in_Preschool_Children_in_the_Cultural_and_Educational_Space" TargetMode="External"/><Relationship Id="rId274" Type="http://schemas.openxmlformats.org/officeDocument/2006/relationships/hyperlink" Target="https://mir-nauki.com/" TargetMode="External"/><Relationship Id="rId395" Type="http://schemas.openxmlformats.org/officeDocument/2006/relationships/hyperlink" Target="https://ir.canterbury.ac.nz/bitstream/handle/10092/101465/Gautam%20Sunita_Final%20PhD%20Thesis%202021_1.pdf?sequence=4&amp;isAllowed=y" TargetMode="External"/><Relationship Id="rId152" Type="http://schemas.openxmlformats.org/officeDocument/2006/relationships/hyperlink" Target="http://.yjpgnruzzpz" TargetMode="External"/><Relationship Id="rId273" Type="http://schemas.openxmlformats.org/officeDocument/2006/relationships/hyperlink" Target="https://mir-nauki.com/PDF/22PDMN320.pdf" TargetMode="External"/><Relationship Id="rId394" Type="http://schemas.openxmlformats.org/officeDocument/2006/relationships/hyperlink" Target="https://odr.chalmers.se/handle/20.500.12380/300946" TargetMode="External"/><Relationship Id="rId151" Type="http://schemas.openxmlformats.org/officeDocument/2006/relationships/hyperlink" Target="https://ibn.idsi.md/vizualizare_articol/117940" TargetMode="External"/><Relationship Id="rId272" Type="http://schemas.openxmlformats.org/officeDocument/2006/relationships/hyperlink" Target="https://www.proquest.com/openview/2faf83968f824bcc7b218b99333aca51/1?pq-origsite=gscholar&amp;cbl=18750&amp;diss=y" TargetMode="External"/><Relationship Id="rId393" Type="http://schemas.openxmlformats.org/officeDocument/2006/relationships/hyperlink" Target="https://link.springer.com/chapter/10.1007/978-3-030-47210-8_4" TargetMode="External"/><Relationship Id="rId158" Type="http://schemas.openxmlformats.org/officeDocument/2006/relationships/hyperlink" Target="https://papers.ssrn.com/sol3/papers.cfm?abstract_id=3786042" TargetMode="External"/><Relationship Id="rId279" Type="http://schemas.openxmlformats.org/officeDocument/2006/relationships/hyperlink" Target="https://doi.org/10.33546/bnj.1112" TargetMode="External"/><Relationship Id="rId157" Type="http://schemas.openxmlformats.org/officeDocument/2006/relationships/hyperlink" Target="https://ssrn.com/abstract=3786042" TargetMode="External"/><Relationship Id="rId278" Type="http://schemas.openxmlformats.org/officeDocument/2006/relationships/hyperlink" Target="https://www.elibrary.ru/item.asp?id=44656386" TargetMode="External"/><Relationship Id="rId399" Type="http://schemas.openxmlformats.org/officeDocument/2006/relationships/hyperlink" Target="https://repositorio.unb.br/handle/10482/38741" TargetMode="External"/><Relationship Id="rId156" Type="http://schemas.openxmlformats.org/officeDocument/2006/relationships/hyperlink" Target="https://www.researchgate.net/profile/Ramona-Kiru/publication/347848834" TargetMode="External"/><Relationship Id="rId277" Type="http://schemas.openxmlformats.org/officeDocument/2006/relationships/hyperlink" Target="https://www.researchgate.net/publication/341646101_Vocational_Employer-Sponsored_Education_of_Employees_of_the_Water_Supply_and_Sewage" TargetMode="External"/><Relationship Id="rId398" Type="http://schemas.openxmlformats.org/officeDocument/2006/relationships/hyperlink" Target="http://scholar.sun.ac.za/handle/10019.1/109376" TargetMode="External"/><Relationship Id="rId155" Type="http://schemas.openxmlformats.org/officeDocument/2006/relationships/hyperlink" Target="https://doi.org/10.3390/su13010229" TargetMode="External"/><Relationship Id="rId276" Type="http://schemas.openxmlformats.org/officeDocument/2006/relationships/hyperlink" Target="https://creativecommons.org/licenses/by-nc/4.0/" TargetMode="External"/><Relationship Id="rId397" Type="http://schemas.openxmlformats.org/officeDocument/2006/relationships/hyperlink" Target="https://repository.mruni.eu/bitstream/handle/007/17047/Disertacija_%c4%8ci%c5%beikien%c4%97.pdf?sequence=1&amp;isAllowed=y" TargetMode="External"/><Relationship Id="rId40" Type="http://schemas.openxmlformats.org/officeDocument/2006/relationships/hyperlink" Target="https://www.academia.edu/44477737/Rela%C8%9Bii_Interetnice_%C3%AEn_Transilvania_Militaria_Mediaevalia_%C3%AEn_Europa_central%C4%83_%C8%99i_de_sud_est_Sibiu_2020" TargetMode="External"/><Relationship Id="rId42" Type="http://schemas.openxmlformats.org/officeDocument/2006/relationships/hyperlink" Target="https://www.academia.edu/44477737/Rela%C8%9Bii_Interetnice_%C3%AEn_Transilvania_Militaria_Mediaevalia_%C3%AEn_Europa_central%C4%83_%C8%99i_de_sud_est_Sibiu_2020" TargetMode="External"/><Relationship Id="rId41" Type="http://schemas.openxmlformats.org/officeDocument/2006/relationships/hyperlink" Target="http://jaha.org.ro/index.php/JAHA/issue/view/30" TargetMode="External"/><Relationship Id="rId44" Type="http://schemas.openxmlformats.org/officeDocument/2006/relationships/hyperlink" Target="https://digilib.phil.muni.cz/handle/11222.digilib/142972" TargetMode="External"/><Relationship Id="rId43" Type="http://schemas.openxmlformats.org/officeDocument/2006/relationships/hyperlink" Target="https://www.academia.edu/44477737/Rela%C8%9Bii_Interetnice_%C3%AEn_Transilvania_Militaria_Mediaevalia_%C3%AEn_Europa_central%C4%83_%C8%99i_de_sud_est_Sibiu_2020" TargetMode="External"/><Relationship Id="rId46" Type="http://schemas.openxmlformats.org/officeDocument/2006/relationships/hyperlink" Target="https://www.academia.edu/44507647/Cultura_Medie%C5%9Fan%C4%83_IX_Media%C5%9F_2020" TargetMode="External"/><Relationship Id="rId45" Type="http://schemas.openxmlformats.org/officeDocument/2006/relationships/hyperlink" Target="http://www.ijfmt.com/issues.html" TargetMode="External"/><Relationship Id="rId48" Type="http://schemas.openxmlformats.org/officeDocument/2006/relationships/hyperlink" Target="https://www.academia.edu/45348064/Cristian_I_Popa_O_genealogie_necesar%C4%83_complet%C4%83ri_%C5%9Fi_rectific%C4%83ri_pe_marginea_istoriei_familiei_pictorului_Sava_Hen%C5%A3ia_%C3%AEn_Terra_Sebus_12_2020_p_427_520" TargetMode="External"/><Relationship Id="rId47" Type="http://schemas.openxmlformats.org/officeDocument/2006/relationships/hyperlink" Target="https://www.academia.edu/44507647/Cultura_Medie%C5%9Fan%C4%83_IX_Media%C5%9F_2020" TargetMode="External"/><Relationship Id="rId49" Type="http://schemas.openxmlformats.org/officeDocument/2006/relationships/hyperlink" Target="https://www.academia.edu/45050482/Early_Medieval_winged_spearheads_from_present_day_Serbia" TargetMode="External"/><Relationship Id="rId31" Type="http://schemas.openxmlformats.org/officeDocument/2006/relationships/hyperlink" Target="http://www.scia.istoria-artei.ro/" TargetMode="External"/><Relationship Id="rId30" Type="http://schemas.openxmlformats.org/officeDocument/2006/relationships/hyperlink" Target="https://www.brukenthalmuseum.ro/pdf/BAM/Brukenthalia_10.pdf" TargetMode="External"/><Relationship Id="rId33" Type="http://schemas.openxmlformats.org/officeDocument/2006/relationships/hyperlink" Target="https://www.researchgate.net/profile/Tobias-Hellmund/publication/338611843_Implementing_the_HERACLES_Ontology_-_An_Ontology_as_backbone_for_a_Knowledge_Base_in_the_Cultural_Heritage_Protection_Domain/links/5e2015a9a6fdcc10156c3809/Implementing-the-HERACLES-Ontology-An-Ontology-as-backbone-for-a-Knowledge-Base-in-the-Cultural-Heritage-Protection-Domain.pdf" TargetMode="External"/><Relationship Id="rId32" Type="http://schemas.openxmlformats.org/officeDocument/2006/relationships/hyperlink" Target="https://doaj.org/" TargetMode="External"/><Relationship Id="rId35" Type="http://schemas.openxmlformats.org/officeDocument/2006/relationships/hyperlink" Target="http://journals.orth.ro/index.php/subbto/article/view/314" TargetMode="External"/><Relationship Id="rId34" Type="http://schemas.openxmlformats.org/officeDocument/2006/relationships/hyperlink" Target="https://www.laprocure.com/permanence-israel-silence-theologie-question-pour-eglises-pablo-arteaga/9782889591251.html" TargetMode="External"/><Relationship Id="rId37" Type="http://schemas.openxmlformats.org/officeDocument/2006/relationships/hyperlink" Target="http://fto.ro/altarul-reintregirii/wp-content/uploads/2020/12/2020-2-4.-Doru-COSTACHE.pdf" TargetMode="External"/><Relationship Id="rId36" Type="http://schemas.openxmlformats.org/officeDocument/2006/relationships/hyperlink" Target="http://journals.orth.ro/index.php/subbto/article/view/317/256" TargetMode="External"/><Relationship Id="rId39" Type="http://schemas.openxmlformats.org/officeDocument/2006/relationships/hyperlink" Target="https://www.academia.edu/44477737/Rela%C8%9Bii_Interetnice_%C3%AEn_Transilvania_Militaria_Mediaevalia_%C3%AEn_Europa_central%C4%83_%C8%99i_de_sud_est_Sibiu_2020" TargetMode="External"/><Relationship Id="rId38" Type="http://schemas.openxmlformats.org/officeDocument/2006/relationships/hyperlink" Target="https://www.academia.edu/44477737/Rela%C8%9Bii_Interetnice_%C3%AEn_Transilvania_Militaria_Mediaevalia_%C3%AEn_Europa_central%C4%83_%C8%99i_de_sud_est_Sibiu_2020" TargetMode="External"/><Relationship Id="rId20" Type="http://schemas.openxmlformats.org/officeDocument/2006/relationships/hyperlink" Target="https://www.jsri.ro/" TargetMode="External"/><Relationship Id="rId22" Type="http://schemas.openxmlformats.org/officeDocument/2006/relationships/hyperlink" Target="http://www.centruldestudiitransilvane.ro/Detaliu.aspx?t=prezentare" TargetMode="External"/><Relationship Id="rId21" Type="http://schemas.openxmlformats.org/officeDocument/2006/relationships/hyperlink" Target="https://keresztenyszo.verbumkiado.ro/archivum/2018/december/tartalom.html" TargetMode="External"/><Relationship Id="rId24" Type="http://schemas.openxmlformats.org/officeDocument/2006/relationships/hyperlink" Target="https://www.researchgate.net/publication/339573767_The_Donation_Act_of_Hagi_Constantin_Pop's_Family_for_the_Annunciation_Church_in_Sibiu" TargetMode="External"/><Relationship Id="rId23" Type="http://schemas.openxmlformats.org/officeDocument/2006/relationships/hyperlink" Target="https://www.ceeol.com/search/article-detail?id=855331" TargetMode="External"/><Relationship Id="rId409" Type="http://schemas.openxmlformats.org/officeDocument/2006/relationships/hyperlink" Target="https://figshare.cardiffmet.ac.uk/articles/thesis/Intellectual_Capital_Value_Creation_and_Firm_Performance_in_Singapore/14176607/files/26746484.pdf." TargetMode="External"/><Relationship Id="rId404" Type="http://schemas.openxmlformats.org/officeDocument/2006/relationships/hyperlink" Target="http://editura.ubbcluj.ro/www/ro/ebook2.php?id=2673" TargetMode="External"/><Relationship Id="rId403" Type="http://schemas.openxmlformats.org/officeDocument/2006/relationships/hyperlink" Target="https://repositorio.unal.edu.co/handle/unal/78487" TargetMode="External"/><Relationship Id="rId402" Type="http://schemas.openxmlformats.org/officeDocument/2006/relationships/hyperlink" Target="about:blank" TargetMode="External"/><Relationship Id="rId401" Type="http://schemas.openxmlformats.org/officeDocument/2006/relationships/hyperlink" Target="https://dergipark.org.tr/en/pub/ebor/issue/58610/850506" TargetMode="External"/><Relationship Id="rId408" Type="http://schemas.openxmlformats.org/officeDocument/2006/relationships/hyperlink" Target="http://eprints.uanl.mx/19595/1/1080314256.pdf" TargetMode="External"/><Relationship Id="rId407" Type="http://schemas.openxmlformats.org/officeDocument/2006/relationships/hyperlink" Target="https://academicworks.livredelyon.com/soc_hum_ad_sci/33." TargetMode="External"/><Relationship Id="rId406" Type="http://schemas.openxmlformats.org/officeDocument/2006/relationships/hyperlink" Target="https://www.sogde.org/de/publikationen/southeast-europe-in-focus/" TargetMode="External"/><Relationship Id="rId405" Type="http://schemas.openxmlformats.org/officeDocument/2006/relationships/hyperlink" Target="http://www.editura.ubbcluj.ro/www/ro/ebook2.php?id=2839" TargetMode="External"/><Relationship Id="rId26" Type="http://schemas.openxmlformats.org/officeDocument/2006/relationships/hyperlink" Target="https://www.caieteantropologieistorica.ro/" TargetMode="External"/><Relationship Id="rId25" Type="http://schemas.openxmlformats.org/officeDocument/2006/relationships/hyperlink" Target="https://www.ceeol.com/search/journal-detail?id=561" TargetMode="External"/><Relationship Id="rId28" Type="http://schemas.openxmlformats.org/officeDocument/2006/relationships/hyperlink" Target="https://www.brukenthalmuseum.ro/pdf/BAM/Brukenthalia_10.pdf" TargetMode="External"/><Relationship Id="rId27" Type="http://schemas.openxmlformats.org/officeDocument/2006/relationships/hyperlink" Target="https://www.peterlang.com/view/title/70802" TargetMode="External"/><Relationship Id="rId400" Type="http://schemas.openxmlformats.org/officeDocument/2006/relationships/hyperlink" Target="https://cyberleninka.ru/article/n/mesto-i-rol-vysokotehnologichnyh-innovatsionnyh-kompaniy-na-rossiyskom-i-zarubezhnom-rynkah" TargetMode="External"/><Relationship Id="rId29" Type="http://schemas.openxmlformats.org/officeDocument/2006/relationships/hyperlink" Target="https://dbh.nsd.uib.no/publiseringskanaler/erihplus/periodical/info?id=484924" TargetMode="External"/><Relationship Id="rId11" Type="http://schemas.openxmlformats.org/officeDocument/2006/relationships/hyperlink" Target="https://centers.ulbsibiu.ro/ccpisc/language/en/category/studia-2/studia-2020-xvii/" TargetMode="External"/><Relationship Id="rId10" Type="http://schemas.openxmlformats.org/officeDocument/2006/relationships/hyperlink" Target="https://centers.ulbsibiu.ro/ccpisc/language/en/category/studia-2/studia-2020-xvii/" TargetMode="External"/><Relationship Id="rId13" Type="http://schemas.openxmlformats.org/officeDocument/2006/relationships/hyperlink" Target="https://centers.ulbsibiu.ro/ccpisc/language/en/category/studia-2/studia-2020-xvii/" TargetMode="External"/><Relationship Id="rId12" Type="http://schemas.openxmlformats.org/officeDocument/2006/relationships/hyperlink" Target="https://centers.ulbsibiu.ro/ccpisc/language/en/category/studia-2/studia-2020-xvii/" TargetMode="External"/><Relationship Id="rId15" Type="http://schemas.openxmlformats.org/officeDocument/2006/relationships/hyperlink" Target="https://www.ceeol.com/search/article-detail?id=879420" TargetMode="External"/><Relationship Id="rId14" Type="http://schemas.openxmlformats.org/officeDocument/2006/relationships/hyperlink" Target="https://www.ceeol.com/search/viewpdf?id=952958" TargetMode="External"/><Relationship Id="rId17" Type="http://schemas.openxmlformats.org/officeDocument/2006/relationships/hyperlink" Target="https://www.ceeol.com/search/article-detail?id=855330" TargetMode="External"/><Relationship Id="rId16" Type="http://schemas.openxmlformats.org/officeDocument/2006/relationships/hyperlink" Target="http://www.centruldestudiitransilvane.ro/Lista.aspx?t=TRnr2/2020" TargetMode="External"/><Relationship Id="rId19" Type="http://schemas.openxmlformats.org/officeDocument/2006/relationships/hyperlink" Target="https://www.ceeol.com/search/article-detail?id=876520" TargetMode="External"/><Relationship Id="rId18" Type="http://schemas.openxmlformats.org/officeDocument/2006/relationships/hyperlink" Target="http://www.centruldestudiitransilvane.ro/Lista.aspx?t=Suppl12020" TargetMode="External"/><Relationship Id="rId84" Type="http://schemas.openxmlformats.org/officeDocument/2006/relationships/hyperlink" Target="https://centers.ulbsibiu.ro/ccpisc/language/en/bleiben-oder-gehen-abbild-der-auswanderungsgunde-rumaniendeutscher-in-der-erinnerungsliteratur-1939-1947-2/" TargetMode="External"/><Relationship Id="rId83" Type="http://schemas.openxmlformats.org/officeDocument/2006/relationships/hyperlink" Target="https://centers.ulbsibiu.ro/ccpisc/language/en/bleiben-oder-gehen-abbild-der-auswanderungsgunde-rumaniendeutscher-in-der-erinnerungsliteratur-1939-1947-2/" TargetMode="External"/><Relationship Id="rId86" Type="http://schemas.openxmlformats.org/officeDocument/2006/relationships/hyperlink" Target="https://scholar.google.com/scholar?cluster=5802070562206844997&amp;hl=ro&amp;as_sdt=2005" TargetMode="External"/><Relationship Id="rId85" Type="http://schemas.openxmlformats.org/officeDocument/2006/relationships/hyperlink" Target="https://centers.ulbsibiu.ro/ccpisc/language/en/category/studia-2/studia-2020-xvii/" TargetMode="External"/><Relationship Id="rId88" Type="http://schemas.openxmlformats.org/officeDocument/2006/relationships/hyperlink" Target="https://scholar.google.com/scholar?cluster=5802070562206844997&amp;hl=ro&amp;as_sdt=2005" TargetMode="External"/><Relationship Id="rId87" Type="http://schemas.openxmlformats.org/officeDocument/2006/relationships/hyperlink" Target="https://doi.org/10.1080/01490451.2020.1731021" TargetMode="External"/><Relationship Id="rId89" Type="http://schemas.openxmlformats.org/officeDocument/2006/relationships/hyperlink" Target="https://www.sciencedirect.com/science/journal/01691317" TargetMode="External"/><Relationship Id="rId80" Type="http://schemas.openxmlformats.org/officeDocument/2006/relationships/hyperlink" Target="http://www.centruldestudiitransilvane.ro/Document_Files/TR3/2020/00000914/tt1ba_TR%203%202020%20Novak.pdf" TargetMode="External"/><Relationship Id="rId82" Type="http://schemas.openxmlformats.org/officeDocument/2006/relationships/hyperlink" Target="http://www.centruldestudiitransilvane.ro/detaliu.aspx?eID=913&amp;t=TR3/2020" TargetMode="External"/><Relationship Id="rId81" Type="http://schemas.openxmlformats.org/officeDocument/2006/relationships/hyperlink" Target="http://www.centruldestudiitransilvane.ro/detaliu.aspx?eID=913&amp;t=TR3/2020" TargetMode="External"/><Relationship Id="rId73" Type="http://schemas.openxmlformats.org/officeDocument/2006/relationships/hyperlink" Target="https://www.tandfonline.com/doi/full/10.1080/13507486.2020.1747403?scroll=top&amp;needAccess=true" TargetMode="External"/><Relationship Id="rId72" Type="http://schemas.openxmlformats.org/officeDocument/2006/relationships/hyperlink" Target="https://www.tandfonline.com/doi/full/10.1080/13507486.2020.1747403?scroll=top&amp;needAccess=true" TargetMode="External"/><Relationship Id="rId75" Type="http://schemas.openxmlformats.org/officeDocument/2006/relationships/hyperlink" Target="https://akjournals.com/view/journals/022/65/1/article-p81.xml" TargetMode="External"/><Relationship Id="rId74" Type="http://schemas.openxmlformats.org/officeDocument/2006/relationships/hyperlink" Target="https://www.tandfonline.com/doi/full/10.1080/13507486.2020.1747403?scroll=top&amp;needAccess=true" TargetMode="External"/><Relationship Id="rId77" Type="http://schemas.openxmlformats.org/officeDocument/2006/relationships/hyperlink" Target="https://books.google.ro/books/about/The_Hungarian_Agricultural_Miracle.html?id=aXwGEAAAQBAJ&amp;redir_esc=y" TargetMode="External"/><Relationship Id="rId76" Type="http://schemas.openxmlformats.org/officeDocument/2006/relationships/hyperlink" Target="https://revistas.ucm.es/index.php/CHCO/article/view/71894/4564456554748" TargetMode="External"/><Relationship Id="rId79" Type="http://schemas.openxmlformats.org/officeDocument/2006/relationships/hyperlink" Target="http://www.centruldestudiitransilvane.ro/Document_Files/TR3/2020/00000914/tt1ba_TR%203%202020%20Novak.pdf" TargetMode="External"/><Relationship Id="rId78" Type="http://schemas.openxmlformats.org/officeDocument/2006/relationships/hyperlink" Target="https://sciendo.com/article/10.2478/pce-2020-0004" TargetMode="External"/><Relationship Id="rId71" Type="http://schemas.openxmlformats.org/officeDocument/2006/relationships/hyperlink" Target="http://www.centruldestudiitransilvane.ro/detaliu.aspx?eID=913&amp;t=TR3/2020" TargetMode="External"/><Relationship Id="rId70" Type="http://schemas.openxmlformats.org/officeDocument/2006/relationships/hyperlink" Target="https://revistatransilvania.ro/diversitate-identitara-in-romanul-romanesc-1844-1932/" TargetMode="External"/><Relationship Id="rId62" Type="http://schemas.openxmlformats.org/officeDocument/2006/relationships/hyperlink" Target="https://gumroad.com/l/ZbHeUO?recommended_by=search" TargetMode="External"/><Relationship Id="rId61" Type="http://schemas.openxmlformats.org/officeDocument/2006/relationships/hyperlink" Target="https://gumroad.com/l/ZbHeUO?recommended_by=search" TargetMode="External"/><Relationship Id="rId64" Type="http://schemas.openxmlformats.org/officeDocument/2006/relationships/hyperlink" Target="https://gumroad.com/l/ZbHeUO?recommended_by=search" TargetMode="External"/><Relationship Id="rId63" Type="http://schemas.openxmlformats.org/officeDocument/2006/relationships/hyperlink" Target="https://gumroad.com/l/ZbHeUO?recommended_by=search" TargetMode="External"/><Relationship Id="rId66" Type="http://schemas.openxmlformats.org/officeDocument/2006/relationships/hyperlink" Target="https://onlinelibrary.wiley.com/journal/10990763" TargetMode="External"/><Relationship Id="rId65" Type="http://schemas.openxmlformats.org/officeDocument/2006/relationships/hyperlink" Target="https://gumroad.com/l/ZbHeUO?recommended_by=search" TargetMode="External"/><Relationship Id="rId68" Type="http://schemas.openxmlformats.org/officeDocument/2006/relationships/hyperlink" Target="https://sciendo.com/article/10.2478/pce-2020-0004" TargetMode="External"/><Relationship Id="rId67" Type="http://schemas.openxmlformats.org/officeDocument/2006/relationships/hyperlink" Target="https://gumroad.com/l/ZbHeUO?recommended_by=search" TargetMode="External"/><Relationship Id="rId60" Type="http://schemas.openxmlformats.org/officeDocument/2006/relationships/hyperlink" Target="https://gumroad.com/l/ZbHeUO?recommended_by=search" TargetMode="External"/><Relationship Id="rId69" Type="http://schemas.openxmlformats.org/officeDocument/2006/relationships/hyperlink" Target="https://revistatransilvania.ro/geografia-romanului-romanesc-1901-1932-arealul-national/" TargetMode="External"/><Relationship Id="rId51" Type="http://schemas.openxmlformats.org/officeDocument/2006/relationships/hyperlink" Target="https://gumroad.com/l/ZbHeUO?recommended_by=search" TargetMode="External"/><Relationship Id="rId50" Type="http://schemas.openxmlformats.org/officeDocument/2006/relationships/hyperlink" Target="https://www.academia.edu/44658740/C%C4%83lin_Cosma_The_military_equipment_of_the_7_th_8_th_century_warriors_from_Transylvania_Echipamentul_militar_al_r%C4%83zboinicilor_din_Transilvania_secolelor_VII_VIII" TargetMode="External"/><Relationship Id="rId53" Type="http://schemas.openxmlformats.org/officeDocument/2006/relationships/hyperlink" Target="https://gumroad.com/l/ZbHeUO?recommended_by=search" TargetMode="External"/><Relationship Id="rId52" Type="http://schemas.openxmlformats.org/officeDocument/2006/relationships/hyperlink" Target="https://gumroad.com/l/ZbHeUO?recommended_by=search" TargetMode="External"/><Relationship Id="rId55" Type="http://schemas.openxmlformats.org/officeDocument/2006/relationships/hyperlink" Target="https://gumroad.com/l/ZbHeUO?recommended_by=search" TargetMode="External"/><Relationship Id="rId54" Type="http://schemas.openxmlformats.org/officeDocument/2006/relationships/hyperlink" Target="https://gumroad.com/l/ZbHeUO?recommended_by=search" TargetMode="External"/><Relationship Id="rId57" Type="http://schemas.openxmlformats.org/officeDocument/2006/relationships/hyperlink" Target="https://gumroad.com/l/ZbHeUO?recommended_by=search" TargetMode="External"/><Relationship Id="rId56" Type="http://schemas.openxmlformats.org/officeDocument/2006/relationships/hyperlink" Target="https://gumroad.com/l/ZbHeUO?recommended_by=search" TargetMode="External"/><Relationship Id="rId59" Type="http://schemas.openxmlformats.org/officeDocument/2006/relationships/hyperlink" Target="https://gumroad.com/l/ZbHeUO?recommended_by=search" TargetMode="External"/><Relationship Id="rId58" Type="http://schemas.openxmlformats.org/officeDocument/2006/relationships/hyperlink" Target="https://gumroad.com/l/ZbHeUO?recommended_by=search" TargetMode="External"/><Relationship Id="rId107" Type="http://schemas.openxmlformats.org/officeDocument/2006/relationships/hyperlink" Target="about:blank" TargetMode="External"/><Relationship Id="rId228" Type="http://schemas.openxmlformats.org/officeDocument/2006/relationships/hyperlink" Target="https://pubmed.ncbi.nlm.nih.gov/31713575/" TargetMode="External"/><Relationship Id="rId349" Type="http://schemas.openxmlformats.org/officeDocument/2006/relationships/hyperlink" Target="https://www.scopus.com/sourceid/21100920227" TargetMode="External"/><Relationship Id="rId106" Type="http://schemas.openxmlformats.org/officeDocument/2006/relationships/hyperlink" Target="https://www.researchgate.net/profile/Janio-Jadan-Guerrero/publication/313809173_Improving_the_interaction_of_Down_syndrome_students_through_the_use_of_RFID_technology/links/59b76bfaa6fdcc7415bec380/Improving-the-interaction-of-Down-syndrome-students-through-the-use-of-RFID-technology.pdf" TargetMode="External"/><Relationship Id="rId227" Type="http://schemas.openxmlformats.org/officeDocument/2006/relationships/hyperlink" Target="https://benthamopen.com/ABSTRACT/TODIAJ-10-11" TargetMode="External"/><Relationship Id="rId348" Type="http://schemas.openxmlformats.org/officeDocument/2006/relationships/hyperlink" Target="https://link.springer.com/article/10.1007/s11113-019-09547-w" TargetMode="External"/><Relationship Id="rId105" Type="http://schemas.openxmlformats.org/officeDocument/2006/relationships/hyperlink" Target="https://www.un-pub.eu/ojs/index.php/cjes/article/view/5292" TargetMode="External"/><Relationship Id="rId226" Type="http://schemas.openxmlformats.org/officeDocument/2006/relationships/hyperlink" Target="https://www.sciencedirect.com/science/article/pii/S240584402031286X" TargetMode="External"/><Relationship Id="rId347" Type="http://schemas.openxmlformats.org/officeDocument/2006/relationships/hyperlink" Target="http://www.inderscience.com/offer.php?id=108823" TargetMode="External"/><Relationship Id="rId104" Type="http://schemas.openxmlformats.org/officeDocument/2006/relationships/hyperlink" Target="https://elibrary.ru/item.asp?id=43823013" TargetMode="External"/><Relationship Id="rId225" Type="http://schemas.openxmlformats.org/officeDocument/2006/relationships/hyperlink" Target="https://bmjopen.bmj.com/content/10/8/e034758.abstract" TargetMode="External"/><Relationship Id="rId346" Type="http://schemas.openxmlformats.org/officeDocument/2006/relationships/hyperlink" Target="https://www.mdpi.com/2071-1050/12/10/4227/htm" TargetMode="External"/><Relationship Id="rId109" Type="http://schemas.openxmlformats.org/officeDocument/2006/relationships/hyperlink" Target="https://doi.org/10.1063/5.0000538" TargetMode="External"/><Relationship Id="rId108" Type="http://schemas.openxmlformats.org/officeDocument/2006/relationships/hyperlink" Target="https://doi.org/10.33394/jollt.v8i1.2213" TargetMode="External"/><Relationship Id="rId229" Type="http://schemas.openxmlformats.org/officeDocument/2006/relationships/hyperlink" Target="https://www.researchgate.net/profile/Jamshaid-Sheikh/publication/340175787_Evaluation_of_factors_associated_with_medication_adherence_and_hypertension_among_diabetic_patients_in_Pakistan/links/5e7c9601a6fdcc139c04c3cf/Evaluation-of-factors-associated-with-medication-adherence-and-hypertension-among-diabetic-patients-in-Pakistan.pdf" TargetMode="External"/><Relationship Id="rId220" Type="http://schemas.openxmlformats.org/officeDocument/2006/relationships/hyperlink" Target="https://link.springer.com/article/10.1186/s12889-020-8296-6" TargetMode="External"/><Relationship Id="rId341" Type="http://schemas.openxmlformats.org/officeDocument/2006/relationships/hyperlink" Target="http://irek.ase.md/" TargetMode="External"/><Relationship Id="rId340" Type="http://schemas.openxmlformats.org/officeDocument/2006/relationships/hyperlink" Target="http://irek.ase.md/xmlui/bitstream/handle/1234567890/815/Covas_Lilia_teza_habilitat.pdf?sequence=1&amp;isAllowed=y" TargetMode="External"/><Relationship Id="rId103" Type="http://schemas.openxmlformats.org/officeDocument/2006/relationships/hyperlink" Target="https://doi.org/10.1111/1467-9604.12331" TargetMode="External"/><Relationship Id="rId224" Type="http://schemas.openxmlformats.org/officeDocument/2006/relationships/hyperlink" Target="https://onlinelibrary.wiley.com/doi/full/10.1111/dme.14157" TargetMode="External"/><Relationship Id="rId345" Type="http://schemas.openxmlformats.org/officeDocument/2006/relationships/hyperlink" Target="https://onlinelibrary.wiley.com/doi/abs/10.1111/imig.12759" TargetMode="External"/><Relationship Id="rId102" Type="http://schemas.openxmlformats.org/officeDocument/2006/relationships/hyperlink" Target="https://www.scirp.org/html/102176_102176.htm" TargetMode="External"/><Relationship Id="rId223" Type="http://schemas.openxmlformats.org/officeDocument/2006/relationships/hyperlink" Target="https://onlinelibrary.wiley.com/doi/full/10.1111/dme.14365" TargetMode="External"/><Relationship Id="rId344" Type="http://schemas.openxmlformats.org/officeDocument/2006/relationships/hyperlink" Target="https://www.tandfonline.com/doi/full/10.1080/23311886.2020.1798330" TargetMode="External"/><Relationship Id="rId101" Type="http://schemas.openxmlformats.org/officeDocument/2006/relationships/hyperlink" Target="https://www.nature.com/articles/s41598-020-60014-5" TargetMode="External"/><Relationship Id="rId222" Type="http://schemas.openxmlformats.org/officeDocument/2006/relationships/hyperlink" Target="https://journals.lww.com/jcnjournal/Abstract/2020/01000/The_Dyadic_Experience_of_Managing_Heart_Failure__A.5.aspx?context=FeaturedArticles&amp;collectionId=2" TargetMode="External"/><Relationship Id="rId343" Type="http://schemas.openxmlformats.org/officeDocument/2006/relationships/hyperlink" Target="http://www.ijetsar.com/Defaultx.Aspx?ID=11" TargetMode="External"/><Relationship Id="rId100" Type="http://schemas.openxmlformats.org/officeDocument/2006/relationships/hyperlink" Target="http://www.sssjournal.com/Makaleler/722186152_15_66_6_ID2441_Tezel_3186-3193--.pdf" TargetMode="External"/><Relationship Id="rId221" Type="http://schemas.openxmlformats.org/officeDocument/2006/relationships/hyperlink" Target="https://journals.sagepub.com/doi/full/10.1177/2055102919898846" TargetMode="External"/><Relationship Id="rId342" Type="http://schemas.openxmlformats.org/officeDocument/2006/relationships/hyperlink" Target="http://ijetsar.com/Makaleler/1593400263_12.%201051-1073%20ahmet%20melih%20g%c3%bcne%c5%9f.pdf" TargetMode="External"/><Relationship Id="rId217" Type="http://schemas.openxmlformats.org/officeDocument/2006/relationships/hyperlink" Target="https://ibn.idsi.md/sites/default/files/imag_file/557-563_0.pdf" TargetMode="External"/><Relationship Id="rId338" Type="http://schemas.openxmlformats.org/officeDocument/2006/relationships/hyperlink" Target="https://www.researchgate.net/profile/Darin-Jan-Tindowen/publication/344447018_Organisational_Commitment_and_Job_Satisfaction_among_Government_Employees/links/5f767f5c92851c14bca79f8e/Organisational-Commitment-and-Job-Satisfaction-among-Government-Employees.pdf" TargetMode="External"/><Relationship Id="rId216" Type="http://schemas.openxmlformats.org/officeDocument/2006/relationships/hyperlink" Target="https://scholarshare.temple.edu/handle/20.500.12613/607" TargetMode="External"/><Relationship Id="rId337" Type="http://schemas.openxmlformats.org/officeDocument/2006/relationships/hyperlink" Target="https://www.proquest.com/openview/cce9dcd48d8ad62f9d6302dd709b9538/1?pq-origsite=gscholar&amp;cbl=18750&amp;diss=y" TargetMode="External"/><Relationship Id="rId215" Type="http://schemas.openxmlformats.org/officeDocument/2006/relationships/hyperlink" Target="https://cyberleninka.ru/article/n/sovremennye-zarubezhnye-issledovaniya-fenomena-zhiznestoykosti-hardiness" TargetMode="External"/><Relationship Id="rId336" Type="http://schemas.openxmlformats.org/officeDocument/2006/relationships/hyperlink" Target="https://www.proquest.com/openview/90b18e9babe588cdc831f24710ff93dc/1?pq-origsite=gscholar&amp;cbl=44156" TargetMode="External"/><Relationship Id="rId214" Type="http://schemas.openxmlformats.org/officeDocument/2006/relationships/hyperlink" Target="https://onlinelibrary.wiley.com/doi/epdf/10.1111/ppc.12510" TargetMode="External"/><Relationship Id="rId335" Type="http://schemas.openxmlformats.org/officeDocument/2006/relationships/hyperlink" Target="http://www.ijetsar.com/Defaultx.Aspx?ID=11" TargetMode="External"/><Relationship Id="rId219" Type="http://schemas.openxmlformats.org/officeDocument/2006/relationships/hyperlink" Target="https://www.tandfonline.com/doi/abs/10.1080/13548506.2019.1695865" TargetMode="External"/><Relationship Id="rId218" Type="http://schemas.openxmlformats.org/officeDocument/2006/relationships/hyperlink" Target="http://ippase.utgjiu.ro/wp-content/uploads/2020/09/10.-Ancu%C8%9Ba-STAMATOIU-INTERPERSONAL-RELATIONS-IN-THE-SCHOOL-TEAM.pdf" TargetMode="External"/><Relationship Id="rId339" Type="http://schemas.openxmlformats.org/officeDocument/2006/relationships/hyperlink" Target="https://www.resurchify.com/all_ranking_details_2.php?id=18730" TargetMode="External"/><Relationship Id="rId330" Type="http://schemas.openxmlformats.org/officeDocument/2006/relationships/hyperlink" Target="http://eprints.rums.ac.ir/28747/" TargetMode="External"/><Relationship Id="rId213" Type="http://schemas.openxmlformats.org/officeDocument/2006/relationships/hyperlink" Target="https://digitalcommons.liberty.edu/doctoral/2466/" TargetMode="External"/><Relationship Id="rId334" Type="http://schemas.openxmlformats.org/officeDocument/2006/relationships/hyperlink" Target="http://ijetsar.com/Makaleler/1593400263_12.%201051-1073%20ahmet%20melih%20g%c3%bcne%c5%9f.pdf" TargetMode="External"/><Relationship Id="rId212" Type="http://schemas.openxmlformats.org/officeDocument/2006/relationships/hyperlink" Target="https://www.proquest.com/openview/51df55a7b4f57d8b04ca428e17a38ef9/1?pq-origsite=gscholar&amp;cbl=18750&amp;diss=y" TargetMode="External"/><Relationship Id="rId333" Type="http://schemas.openxmlformats.org/officeDocument/2006/relationships/hyperlink" Target="https://journals.usm.ac.id/index.php/jreb/index" TargetMode="External"/><Relationship Id="rId211" Type="http://schemas.openxmlformats.org/officeDocument/2006/relationships/hyperlink" Target="https://doi.org/10.1016/j.aip.2020.101704." TargetMode="External"/><Relationship Id="rId332" Type="http://schemas.openxmlformats.org/officeDocument/2006/relationships/hyperlink" Target="https://journals.usm.ac.id/index.php/jreb/article/view/2183" TargetMode="External"/><Relationship Id="rId210" Type="http://schemas.openxmlformats.org/officeDocument/2006/relationships/hyperlink" Target="https://www.scielo.br/scielo.php?pid=S2237-60892020000200171&amp;script=sci_arttext" TargetMode="External"/><Relationship Id="rId331" Type="http://schemas.openxmlformats.org/officeDocument/2006/relationships/hyperlink" Target="http://johe.rums.ac.ir/page/69/Indexing--YW_AND--Abstracting" TargetMode="External"/><Relationship Id="rId370" Type="http://schemas.openxmlformats.org/officeDocument/2006/relationships/hyperlink" Target="http://phrg.padovauniversitypress.it/2020/1/5" TargetMode="External"/><Relationship Id="rId129" Type="http://schemas.openxmlformats.org/officeDocument/2006/relationships/hyperlink" Target="https://issuu.com/scientiakiado/docs/todorerika_predarea-invatarea_issuu" TargetMode="External"/><Relationship Id="rId128" Type="http://schemas.openxmlformats.org/officeDocument/2006/relationships/hyperlink" Target="https://so05.tci-thaijo.org/index.php/suedureasearchjournal/article/view/200520" TargetMode="External"/><Relationship Id="rId249" Type="http://schemas.openxmlformats.org/officeDocument/2006/relationships/hyperlink" Target="https://iaeme.com/MasterAdmin/Journal_uploads/IJM/VOLUME_11_ISSUE_8/IJM_11_08_096.pdf" TargetMode="External"/><Relationship Id="rId127" Type="http://schemas.openxmlformats.org/officeDocument/2006/relationships/hyperlink" Target="https://libraria.ubbcluj.ro/produs/stimularea-motivatiei-invatarii-la-elevi-prin-intermediul-unui-program-educational-specific/" TargetMode="External"/><Relationship Id="rId248" Type="http://schemas.openxmlformats.org/officeDocument/2006/relationships/hyperlink" Target="https://www.technomedia.ro/" TargetMode="External"/><Relationship Id="rId369" Type="http://schemas.openxmlformats.org/officeDocument/2006/relationships/hyperlink" Target="https://www.ceeol.com/search/article-detail?id=898453" TargetMode="External"/><Relationship Id="rId126" Type="http://schemas.openxmlformats.org/officeDocument/2006/relationships/hyperlink" Target="https://journals.aiias.edu/info/article/view/310" TargetMode="External"/><Relationship Id="rId247" Type="http://schemas.openxmlformats.org/officeDocument/2006/relationships/hyperlink" Target="https://www.technomedia.ro/" TargetMode="External"/><Relationship Id="rId368" Type="http://schemas.openxmlformats.org/officeDocument/2006/relationships/hyperlink" Target="https://www.ceeol.com/search/article-detail?id=897038" TargetMode="External"/><Relationship Id="rId121" Type="http://schemas.openxmlformats.org/officeDocument/2006/relationships/hyperlink" Target="https://www.ceeol.com/search/article-detail?id=874988" TargetMode="External"/><Relationship Id="rId242" Type="http://schemas.openxmlformats.org/officeDocument/2006/relationships/hyperlink" Target="https://aisel.aisnet.org/amcis2020/philosophical_is/philosophical_is/2" TargetMode="External"/><Relationship Id="rId363" Type="http://schemas.openxmlformats.org/officeDocument/2006/relationships/hyperlink" Target="https://www.sciencedirect.com/science/article/abs/pii/S0277539519303668?via%3Dihub" TargetMode="External"/><Relationship Id="rId120" Type="http://schemas.openxmlformats.org/officeDocument/2006/relationships/hyperlink" Target="http://sthash.0jgvfv4w.dpbs" TargetMode="External"/><Relationship Id="rId241" Type="http://schemas.openxmlformats.org/officeDocument/2006/relationships/hyperlink" Target="https://ressat.org/index.php/ressat/article/view/423" TargetMode="External"/><Relationship Id="rId362" Type="http://schemas.openxmlformats.org/officeDocument/2006/relationships/hyperlink" Target="https://www.emerald.com/insight/content/doi/10.1108/JSTPM-11-2019-0113/full/html" TargetMode="External"/><Relationship Id="rId240" Type="http://schemas.openxmlformats.org/officeDocument/2006/relationships/hyperlink" Target="https://www.elibrary.ru/item.asp?id=44656386" TargetMode="External"/><Relationship Id="rId361" Type="http://schemas.openxmlformats.org/officeDocument/2006/relationships/hyperlink" Target="https://portal.issn.org/resource/ISSN/1309-8055" TargetMode="External"/><Relationship Id="rId360" Type="http://schemas.openxmlformats.org/officeDocument/2006/relationships/hyperlink" Target="https://link.springer.com/article/10.1007/s11205-020-02465-x" TargetMode="External"/><Relationship Id="rId125" Type="http://schemas.openxmlformats.org/officeDocument/2006/relationships/hyperlink" Target="about:blank" TargetMode="External"/><Relationship Id="rId246" Type="http://schemas.openxmlformats.org/officeDocument/2006/relationships/hyperlink" Target="http://www.ijetsar.com/Makaleler/1593400263_12.%201051-1073%20ahmet%20melih%20g%c3%bcne%c5%9f.pdf" TargetMode="External"/><Relationship Id="rId367" Type="http://schemas.openxmlformats.org/officeDocument/2006/relationships/hyperlink" Target="http://editura.ubbcluj.ro/www/ro/ebook2.php?id=2842" TargetMode="External"/><Relationship Id="rId124" Type="http://schemas.openxmlformats.org/officeDocument/2006/relationships/hyperlink" Target="http://ojs.rjsser.org.pk/index.php/rjsser/article/view/104/41" TargetMode="External"/><Relationship Id="rId245" Type="http://schemas.openxmlformats.org/officeDocument/2006/relationships/hyperlink" Target="http://dspace.ase.md:8080/xmlui/handle/1234567890/815" TargetMode="External"/><Relationship Id="rId366" Type="http://schemas.openxmlformats.org/officeDocument/2006/relationships/hyperlink" Target="https://www.ceeol.com/search/article-detail?id=915713" TargetMode="External"/><Relationship Id="rId123" Type="http://schemas.openxmlformats.org/officeDocument/2006/relationships/hyperlink" Target="https://stec.univ-ovidius.ro/html/anale/RO/ovidius-university-annals-economic-sciences-series-volume-xx-issue-2/" TargetMode="External"/><Relationship Id="rId244" Type="http://schemas.openxmlformats.org/officeDocument/2006/relationships/hyperlink" Target="http://irek.ase.md/jspui/handle/1234567890/815" TargetMode="External"/><Relationship Id="rId365" Type="http://schemas.openxmlformats.org/officeDocument/2006/relationships/hyperlink" Target="https://www.ceeol.com/search/article-detail?id=915713" TargetMode="External"/><Relationship Id="rId122" Type="http://schemas.openxmlformats.org/officeDocument/2006/relationships/hyperlink" Target="https://www.researchgate.net/profile/Camelia_Nadia_Bran" TargetMode="External"/><Relationship Id="rId243" Type="http://schemas.openxmlformats.org/officeDocument/2006/relationships/hyperlink" Target="https://aisel.aisnet.org/%20%20%20%20,%20%20%20DPLP%20computer%20science%20bibliography,%20Researchgate,%20%20AIS%20Library" TargetMode="External"/><Relationship Id="rId364" Type="http://schemas.openxmlformats.org/officeDocument/2006/relationships/hyperlink" Target="http://editura.ubbcluj.ro/www/ro/ebook2.php?id=2673" TargetMode="External"/><Relationship Id="rId95" Type="http://schemas.openxmlformats.org/officeDocument/2006/relationships/hyperlink" Target="https://reader.elsevier.com/reader/sd/pii/S1040618220302536?token=289D2348D0BB406C9E422F5A5D776DD9C3D54BDBC6436F82842A6A5752C94E18680DB0A936DB1449D4C03D6B03FB6010" TargetMode="External"/><Relationship Id="rId94" Type="http://schemas.openxmlformats.org/officeDocument/2006/relationships/hyperlink" Target="https://scholar.google.com/citations?user=eYM8BpMAAAAJ&amp;hl=ro&amp;oi=sra" TargetMode="External"/><Relationship Id="rId97" Type="http://schemas.openxmlformats.org/officeDocument/2006/relationships/hyperlink" Target="http://ppm.ejournal.id/index.php/pengabdian/article/view/647" TargetMode="External"/><Relationship Id="rId96" Type="http://schemas.openxmlformats.org/officeDocument/2006/relationships/hyperlink" Target="https://journals.sagepub.com/doi/10.1177/0731121420919590" TargetMode="External"/><Relationship Id="rId99" Type="http://schemas.openxmlformats.org/officeDocument/2006/relationships/hyperlink" Target="https://link.springer.com/chapter/10.1007/978-3-030-57799-5_31" TargetMode="External"/><Relationship Id="rId98" Type="http://schemas.openxmlformats.org/officeDocument/2006/relationships/hyperlink" Target="http://ijlter.org/index.php/ijlter/article/view/2183/pdf" TargetMode="External"/><Relationship Id="rId91" Type="http://schemas.openxmlformats.org/officeDocument/2006/relationships/hyperlink" Target="https://scholar.google.com/scholar?cluster=5802070562206844997&amp;hl=ro&amp;as_sdt=2005" TargetMode="External"/><Relationship Id="rId90" Type="http://schemas.openxmlformats.org/officeDocument/2006/relationships/hyperlink" Target="https://scholar.google.com/scholar?cluster=5802070562206844997&amp;hl=ro&amp;as_sdt=2005" TargetMode="External"/><Relationship Id="rId93" Type="http://schemas.openxmlformats.org/officeDocument/2006/relationships/hyperlink" Target="https://scholar.google.com/scholar?cluster=12826018843456201381&amp;hl=ro&amp;as_sdt=2005&amp;as_ylo=2020&amp;as_yhi=2020" TargetMode="External"/><Relationship Id="rId92" Type="http://schemas.openxmlformats.org/officeDocument/2006/relationships/hyperlink" Target="https://scholar.google.com/scholar?cluster=5802070562206844997&amp;hl=ro&amp;as_sdt=2005" TargetMode="External"/><Relationship Id="rId118" Type="http://schemas.openxmlformats.org/officeDocument/2006/relationships/hyperlink" Target="https://libraria.ubbcluj.ro/produs/stimularea-motivatiei-invatarii-la-elevi-prin-intermediul-unui-program-educational-specific/" TargetMode="External"/><Relationship Id="rId239" Type="http://schemas.openxmlformats.org/officeDocument/2006/relationships/hyperlink" Target="https://dergipark.org.tr/en/pub/tpdrd/issue/58832/848817" TargetMode="External"/><Relationship Id="rId117" Type="http://schemas.openxmlformats.org/officeDocument/2006/relationships/hyperlink" Target="https://ibn.idsi.md/sites/default/files/imag_file/Orient%C4%83ri_axiologice_UST_2020_0.pdf" TargetMode="External"/><Relationship Id="rId238" Type="http://schemas.openxmlformats.org/officeDocument/2006/relationships/hyperlink" Target="http://mgyf.org/wp-content/uploads/2020/05/MGYF2020_009.pdf" TargetMode="External"/><Relationship Id="rId359" Type="http://schemas.openxmlformats.org/officeDocument/2006/relationships/hyperlink" Target="http://www.rjgeo.ro/atasuri/revue%20roumaine%2064_1/Serban%20P-R..pdf" TargetMode="External"/><Relationship Id="rId116" Type="http://schemas.openxmlformats.org/officeDocument/2006/relationships/hyperlink" Target="http://repository.upi.edu/51309/2/T_BIO_1707110_Title.pdf" TargetMode="External"/><Relationship Id="rId237" Type="http://schemas.openxmlformats.org/officeDocument/2006/relationships/hyperlink" Target="https://link.springer.com/article/10.1007/s13300-020-00856-4" TargetMode="External"/><Relationship Id="rId358" Type="http://schemas.openxmlformats.org/officeDocument/2006/relationships/hyperlink" Target="https://dl.acm.org/doi/10.1145/3409929.3414737" TargetMode="External"/><Relationship Id="rId115" Type="http://schemas.openxmlformats.org/officeDocument/2006/relationships/hyperlink" Target="http://openaccess.cag.edu.tr/xmlui/bitstream/handle/20.500.12507/1392/633851.pdf?sequence=3" TargetMode="External"/><Relationship Id="rId236" Type="http://schemas.openxmlformats.org/officeDocument/2006/relationships/hyperlink" Target="https://www.jurnalpoltekkesmaluku.com/index.php/JKT/article/view/68" TargetMode="External"/><Relationship Id="rId357" Type="http://schemas.openxmlformats.org/officeDocument/2006/relationships/hyperlink" Target="https://www.tandfonline.com/doi/abs/10.1080/14683857.2020.1845471" TargetMode="External"/><Relationship Id="rId119" Type="http://schemas.openxmlformats.org/officeDocument/2006/relationships/hyperlink" Target="https://libraria.ubbcluj.ro/produs/stimularea-motivatiei-invatarii-la-elevi-prin-intermediul-unui-program-educational-specific/" TargetMode="External"/><Relationship Id="rId110" Type="http://schemas.openxmlformats.org/officeDocument/2006/relationships/hyperlink" Target="http://jurnal.umt.ac.id/index.php/prima/article/view/2668/0" TargetMode="External"/><Relationship Id="rId231" Type="http://schemas.openxmlformats.org/officeDocument/2006/relationships/hyperlink" Target="http://journal.stikeskendal.ac.id/index.php/Keperawatan/navigationMenu/view/indexing" TargetMode="External"/><Relationship Id="rId352" Type="http://schemas.openxmlformats.org/officeDocument/2006/relationships/hyperlink" Target="http://esc.vscc.ac.ru/article/28542?info=references&amp;_lang=en" TargetMode="External"/><Relationship Id="rId230" Type="http://schemas.openxmlformats.org/officeDocument/2006/relationships/hyperlink" Target="http://www.journal.stikeskendal.ac.id/index.php/Keperawatan/article/view/775" TargetMode="External"/><Relationship Id="rId351" Type="http://schemas.openxmlformats.org/officeDocument/2006/relationships/hyperlink" Target="https://journals.vgtu.lt/index.php/BTP/indexing" TargetMode="External"/><Relationship Id="rId350" Type="http://schemas.openxmlformats.org/officeDocument/2006/relationships/hyperlink" Target="https://www.mdpi.com/2071-1050/12/12/4846/htm" TargetMode="External"/><Relationship Id="rId114" Type="http://schemas.openxmlformats.org/officeDocument/2006/relationships/hyperlink" Target="https://ncert.nic.in/pdf/publication/journalsandperiodicals/vtte/VTTE_Journal_2020_Decmber.pdf" TargetMode="External"/><Relationship Id="rId235" Type="http://schemas.openxmlformats.org/officeDocument/2006/relationships/hyperlink" Target="https://web.a.ebscohost.com/abstract?direct=true&amp;profile=ehost&amp;scope=site&amp;authtype=crawler&amp;jrnl=09760245&amp;AN=142236864&amp;h=Leu4lm6ubDDLHaYzaq2fdRjIJgviLZDietPjoDlvaLWJNhtgdKA6umISS0cFAF%2bxG6cKL3kvqAtPzhapVZ7QRw%3d%3d&amp;crl=c&amp;resultNs=AdminWebAuth&amp;resultLocal=ErrCrlNotAuth&amp;crlhashurl=login.aspx%3fdirect%3dtrue%26profile%3dehost%26scope%3dsite%26authtype%3dcrawler%26jrnl%3d09760245%26AN%3d142236864" TargetMode="External"/><Relationship Id="rId356" Type="http://schemas.openxmlformats.org/officeDocument/2006/relationships/hyperlink" Target="http://.yjqd_buzyuu" TargetMode="External"/><Relationship Id="rId113" Type="http://schemas.openxmlformats.org/officeDocument/2006/relationships/hyperlink" Target="https://www.tandfonline.com/doi/full/10.1080/02568543.2020.1834473" TargetMode="External"/><Relationship Id="rId234" Type="http://schemas.openxmlformats.org/officeDocument/2006/relationships/hyperlink" Target="http://journal.ppnijateng.org/index.php/jikmb/article/view/604" TargetMode="External"/><Relationship Id="rId355" Type="http://schemas.openxmlformats.org/officeDocument/2006/relationships/hyperlink" Target="https://sciendo.com/journal/SBE" TargetMode="External"/><Relationship Id="rId112" Type="http://schemas.openxmlformats.org/officeDocument/2006/relationships/hyperlink" Target="http://sthash.0jgvfv4w.dpbs" TargetMode="External"/><Relationship Id="rId233" Type="http://schemas.openxmlformats.org/officeDocument/2006/relationships/hyperlink" Target="http://journal.ppnijateng.org/index.php/jikmb/article/view/368" TargetMode="External"/><Relationship Id="rId354" Type="http://schemas.openxmlformats.org/officeDocument/2006/relationships/hyperlink" Target="http://www.paulorodrigues.pro.br/ojs/ijmp/index.php/ijmp/about" TargetMode="External"/><Relationship Id="rId111" Type="http://schemas.openxmlformats.org/officeDocument/2006/relationships/hyperlink" Target="http://digilib.unila.ac.id/61696/" TargetMode="External"/><Relationship Id="rId232" Type="http://schemas.openxmlformats.org/officeDocument/2006/relationships/hyperlink" Target="https://sso.medipol.edu.tr/xmlui/handle/20.500.12511/6157?locale-attribute=en" TargetMode="External"/><Relationship Id="rId353" Type="http://schemas.openxmlformats.org/officeDocument/2006/relationships/hyperlink" Target="https://www.koreascience.or.kr/article/JAKO202014862061010.view?orgId=kodisa" TargetMode="External"/><Relationship Id="rId305" Type="http://schemas.openxmlformats.org/officeDocument/2006/relationships/hyperlink" Target="https://digitalcommons.georgefox.edu/dbadmin/27/" TargetMode="External"/><Relationship Id="rId304" Type="http://schemas.openxmlformats.org/officeDocument/2006/relationships/hyperlink" Target="https://www.proquest.com/openview/c7d1e1965f2a9742a1091c6f5377c9a4/1?pq-origsite=gscholar&amp;cbl=18750&amp;diss=y" TargetMode="External"/><Relationship Id="rId303" Type="http://schemas.openxmlformats.org/officeDocument/2006/relationships/hyperlink" Target="https://www.vdu.lt/cris/handle/20.500.12259/106282" TargetMode="External"/><Relationship Id="rId302" Type="http://schemas.openxmlformats.org/officeDocument/2006/relationships/hyperlink" Target="https://repositorio.iscte-iul.pt/handle/10071/20706" TargetMode="External"/><Relationship Id="rId309" Type="http://schemas.openxmlformats.org/officeDocument/2006/relationships/hyperlink" Target="https://ijbmr.forexjournal.co.in/papers-pdf/ijbmr-080304.pdf" TargetMode="External"/><Relationship Id="rId308" Type="http://schemas.openxmlformats.org/officeDocument/2006/relationships/hyperlink" Target="https://www.proquest.com/openview/03da60e1e53a0837d5de9be18e2f9f5c/1?pq-origsite=gscholar&amp;cbl=18750&amp;diss=y" TargetMode="External"/><Relationship Id="rId307" Type="http://schemas.openxmlformats.org/officeDocument/2006/relationships/hyperlink" Target="https://www.proquest.com/openview/6008aff596387f2e75f8218306072713/1?pq-origsite=gscholar&amp;cbl=18750&amp;diss=y" TargetMode="External"/><Relationship Id="rId306" Type="http://schemas.openxmlformats.org/officeDocument/2006/relationships/hyperlink" Target="https://scholarworks.waldenu.edu/dissertations/8861/" TargetMode="External"/><Relationship Id="rId301" Type="http://schemas.openxmlformats.org/officeDocument/2006/relationships/hyperlink" Target="https://www.proquest.com/openview/02ab19e2ba36efe88eddd55f592eb8d7/1?pq-origsite=gscholar&amp;cbl=18750&amp;diss=y" TargetMode="External"/><Relationship Id="rId422" Type="http://schemas.openxmlformats.org/officeDocument/2006/relationships/drawing" Target="../drawings/drawing10.xml"/><Relationship Id="rId300" Type="http://schemas.openxmlformats.org/officeDocument/2006/relationships/hyperlink" Target="https://scholarworks.waldenu.edu/dissertations/8982/" TargetMode="External"/><Relationship Id="rId421" Type="http://schemas.openxmlformats.org/officeDocument/2006/relationships/hyperlink" Target="https://www.richtmann.org/journal/index.php/ajis/article/view/10699" TargetMode="External"/><Relationship Id="rId420" Type="http://schemas.openxmlformats.org/officeDocument/2006/relationships/hyperlink" Target="https://citations.springernature.com/item?doi=10.1007/978-3-319-68363-8_18" TargetMode="External"/><Relationship Id="rId415" Type="http://schemas.openxmlformats.org/officeDocument/2006/relationships/hyperlink" Target="http://www.theaspd.com/resources/JBM%20Vol%206-1-3.pdf" TargetMode="External"/><Relationship Id="rId414" Type="http://schemas.openxmlformats.org/officeDocument/2006/relationships/hyperlink" Target="http://www.diva-portal.org/smash/record.jsf?pid=diva2%3A1512890&amp;dswid=-6954" TargetMode="External"/><Relationship Id="rId413" Type="http://schemas.openxmlformats.org/officeDocument/2006/relationships/hyperlink" Target="https://repozitorium.omikk.bme.hu/bitstream/handle/10890/13528/ertekezes.pdf?sequence=2" TargetMode="External"/><Relationship Id="rId412" Type="http://schemas.openxmlformats.org/officeDocument/2006/relationships/hyperlink" Target="https://repositorio.ucv.edu.pe/handle/20.500.12692/53367" TargetMode="External"/><Relationship Id="rId419" Type="http://schemas.openxmlformats.org/officeDocument/2006/relationships/hyperlink" Target="https://link.springer.com/chapter/10.1007/978-3-030-42303-2_4" TargetMode="External"/><Relationship Id="rId418" Type="http://schemas.openxmlformats.org/officeDocument/2006/relationships/hyperlink" Target="https://journals.sagepub.com/doi/abs/10.1177/0272431620961458?journalCode=jeaa" TargetMode="External"/><Relationship Id="rId417" Type="http://schemas.openxmlformats.org/officeDocument/2006/relationships/hyperlink" Target="https://tidsskrift.dk/njwls/article/view/118677/166571" TargetMode="External"/><Relationship Id="rId416" Type="http://schemas.openxmlformats.org/officeDocument/2006/relationships/hyperlink" Target="http://ejournals.fkwu.uniga.ac.id/index.php/BIEJ/article/view/132" TargetMode="External"/><Relationship Id="rId411" Type="http://schemas.openxmlformats.org/officeDocument/2006/relationships/hyperlink" Target="https://pergamos.lib.uoa.gr/uoa/dl/frontend/file/lib/default/data/2896430/theFile" TargetMode="External"/><Relationship Id="rId410" Type="http://schemas.openxmlformats.org/officeDocument/2006/relationships/hyperlink" Target="https://www.prdb.pk/article/social-entrepreneurship-is-one-of-the-way-forward-to-youth-e-566" TargetMode="External"/><Relationship Id="rId206" Type="http://schemas.openxmlformats.org/officeDocument/2006/relationships/hyperlink" Target="https://www.scielo.br/scielo.php?pid=S2237-60892020000200171&amp;script=sci_arttext" TargetMode="External"/><Relationship Id="rId327" Type="http://schemas.openxmlformats.org/officeDocument/2006/relationships/hyperlink" Target="http://hdl.handle.net/10071/21885" TargetMode="External"/><Relationship Id="rId205" Type="http://schemas.openxmlformats.org/officeDocument/2006/relationships/hyperlink" Target="https://doi.org/10.3390/bs10070110" TargetMode="External"/><Relationship Id="rId326" Type="http://schemas.openxmlformats.org/officeDocument/2006/relationships/hyperlink" Target="https://repositorio.iscte-iul.pt/handle/10071/21885" TargetMode="External"/><Relationship Id="rId204" Type="http://schemas.openxmlformats.org/officeDocument/2006/relationships/hyperlink" Target="https://www.mdpi.com/2071-1050/12/18/7713" TargetMode="External"/><Relationship Id="rId325" Type="http://schemas.openxmlformats.org/officeDocument/2006/relationships/hyperlink" Target="https://thesis.cust.edu.pk/UploadedFiles/Muhammad%20Usman%20Khan%20-%20MMS183023.pdf" TargetMode="External"/><Relationship Id="rId203" Type="http://schemas.openxmlformats.org/officeDocument/2006/relationships/hyperlink" Target="https://www.emerald.com/insight/content/doi/10.1108/CMS-04-2020-0175/full/html" TargetMode="External"/><Relationship Id="rId324" Type="http://schemas.openxmlformats.org/officeDocument/2006/relationships/hyperlink" Target="https://www.ijrpr.com/International-journal-with-high-impact-factor.php" TargetMode="External"/><Relationship Id="rId209" Type="http://schemas.openxmlformats.org/officeDocument/2006/relationships/hyperlink" Target="https://burjcdigital.urjc.es/handle/10115/17508" TargetMode="External"/><Relationship Id="rId208" Type="http://schemas.openxmlformats.org/officeDocument/2006/relationships/hyperlink" Target="https://www.sciencedirect.com/science/article/abs/pii/S0197455620300770?via%3Dihub" TargetMode="External"/><Relationship Id="rId329" Type="http://schemas.openxmlformats.org/officeDocument/2006/relationships/hyperlink" Target="http://www.gujr.com.pk/index.php/GUJR/abstracting-indexing" TargetMode="External"/><Relationship Id="rId207" Type="http://schemas.openxmlformats.org/officeDocument/2006/relationships/hyperlink" Target="https://journals.sagepub.com/doi/abs/10.1177/1054137320933592" TargetMode="External"/><Relationship Id="rId328" Type="http://schemas.openxmlformats.org/officeDocument/2006/relationships/hyperlink" Target="https://web.a.ebscohost.com/abstract?direct=true&amp;profile=ehost&amp;scope=site&amp;authtype=crawler&amp;jrnl=10198180&amp;AN=148239565&amp;h=WUGAeYnOKwax%2fh6xWJbaiRykzGq80RgOKVyQMHBIX8OqXAK48E44QYRAJXndJlZwmuKd5N7ewe6e6sLjvg6Q1A%3d%3d&amp;crl=c&amp;resultNs=AdminWebAuth&amp;resultLocal=ErrCrlNotAuth&amp;crlhashurl=login.aspx%3fdirect%3dtrue%26profile%3dehost%26scope%3dsite%26authtype%3dcrawler%26jrnl%3d10198180%26AN%3d148239565" TargetMode="External"/><Relationship Id="rId202" Type="http://schemas.openxmlformats.org/officeDocument/2006/relationships/hyperlink" Target="https://www.ceeol.com/search/article-detail?id=827154" TargetMode="External"/><Relationship Id="rId323" Type="http://schemas.openxmlformats.org/officeDocument/2006/relationships/hyperlink" Target="https://www.ijrpr.com/uploads/V2ISSUE4/IJRPR378.pdf" TargetMode="External"/><Relationship Id="rId201" Type="http://schemas.openxmlformats.org/officeDocument/2006/relationships/hyperlink" Target="http://acikerisim.mu.edu.tr/xmlui/handle/20.500.12809/9101" TargetMode="External"/><Relationship Id="rId322" Type="http://schemas.openxmlformats.org/officeDocument/2006/relationships/hyperlink" Target="https://www.researchgate.net/profile/Vlad-Krotov/publication/340902026_Sentiment_Analysis_of_UAE_Social_Media_Some_Philosophical_Issues_Emergent_Research_Forum_ERF_Papers/links/5ea31f7e45851553faaae38b/Sentiment-Analysis-of-UAE-Social-Media-Some-Philosophical-Issues-Emergent-Research-Forum-ERF-Papers.pdf" TargetMode="External"/><Relationship Id="rId200" Type="http://schemas.openxmlformats.org/officeDocument/2006/relationships/hyperlink" Target="https://files.eric.ed.gov/fulltext/EJ1267237.pdf" TargetMode="External"/><Relationship Id="rId321" Type="http://schemas.openxmlformats.org/officeDocument/2006/relationships/hyperlink" Target="https://www.proquest.com/openview/aec427c4c117e46eb6eef7a251f65933/1?pq-origsite=gscholar&amp;cbl=18750&amp;diss=y" TargetMode="External"/><Relationship Id="rId320" Type="http://schemas.openxmlformats.org/officeDocument/2006/relationships/hyperlink" Target="https://oapub.org/edu/index.php/ejes/pages/view/indexing" TargetMode="External"/><Relationship Id="rId316" Type="http://schemas.openxmlformats.org/officeDocument/2006/relationships/hyperlink" Target="http://jqr1.kmu.ac.ir/article_90923.html" TargetMode="External"/><Relationship Id="rId315" Type="http://schemas.openxmlformats.org/officeDocument/2006/relationships/hyperlink" Target="https://www.mdpi.com/journal/ijerph/indexing" TargetMode="External"/><Relationship Id="rId314" Type="http://schemas.openxmlformats.org/officeDocument/2006/relationships/hyperlink" Target="https://www.mdpi.com/1660-4601/17/8/2944" TargetMode="External"/><Relationship Id="rId313" Type="http://schemas.openxmlformats.org/officeDocument/2006/relationships/hyperlink" Target="https://bmchealthservres.biomedcentral.com/about" TargetMode="External"/><Relationship Id="rId319" Type="http://schemas.openxmlformats.org/officeDocument/2006/relationships/hyperlink" Target="https://oapub.org/edu/index.php/ejes/article/view/3186" TargetMode="External"/><Relationship Id="rId318" Type="http://schemas.openxmlformats.org/officeDocument/2006/relationships/hyperlink" Target="http://ijnv.ir/browse.php?a_id=711&amp;sid=1&amp;slc_lang=en" TargetMode="External"/><Relationship Id="rId317" Type="http://schemas.openxmlformats.org/officeDocument/2006/relationships/hyperlink" Target="http://jqr1.kmu.ac.ir/journal/indexing" TargetMode="External"/><Relationship Id="rId312" Type="http://schemas.openxmlformats.org/officeDocument/2006/relationships/hyperlink" Target="https://link.springer.com/article/10.1186/s12913-020-4999-8" TargetMode="External"/><Relationship Id="rId311" Type="http://schemas.openxmlformats.org/officeDocument/2006/relationships/hyperlink" Target="https://www.apsijournal.com/index.php/psyjournal/indexing" TargetMode="External"/><Relationship Id="rId310" Type="http://schemas.openxmlformats.org/officeDocument/2006/relationships/hyperlink" Target="https://apsijournal.com/index.php/psyjournal/article/view/847"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facebook.com/photo/?fbid=478349423043462&amp;set=a.153286808883060&amp;__cft__%5B0%5D=AZWyfTJRQf_iQs3_PakJysX4_64XBMAhDZZSpcsOQaa8jeyR5nF2MVY4O2quO5KaCtC3AJH3VP0J-ukQLm2kJQ4nkFRLSzP2qT1Xsl2vXfeZe70Nx7yp_QAvnNlP7JQ2WP8&amp;__tn__=EH-R" TargetMode="External"/><Relationship Id="rId2" Type="http://schemas.openxmlformats.org/officeDocument/2006/relationships/hyperlink" Target="https://www.facebook.com/photo/?fbid=2290723451228058&amp;set=pcb.2290731184560618&amp;__cft__%5B0%5D=AZWRCwo3BvS_0RanSke0bvcJuiPzU8ecFUZ8PuSNCirfaP_9gshGmyJTgOHcb0b34cqk38V845Imhcc_rgfmJrBwae_ax9e8PdAJylPcaxoXqNwlCPVuyUi5BqIbnJMLljA&amp;__tn__=*bH-R" TargetMode="External"/><Relationship Id="rId3" Type="http://schemas.openxmlformats.org/officeDocument/2006/relationships/hyperlink" Target="https://www.facebook.com/photo/?fbid=3121736481270258&amp;set=pcb.3121738687936704&amp;__cft__%5B0%5D=AZVLgQufSLZhI3G5GFUIvQ6iho2iPvuTVuK0ZNmFTfdXes0HqZ_P6tbulhiF_r3DniA9cD02ybI0_fD0GeQJIBSs9YqE5d1QqYiDPvy3psXTGR8pQdZwAKhXrAjeWSncp6AjsXDCpaNf9jopia3KG4sw&amp;__tn__=*bH-y-R" TargetMode="External"/><Relationship Id="rId4" Type="http://schemas.openxmlformats.org/officeDocument/2006/relationships/hyperlink" Target="https://fb.watch/5pc4wUSp82/" TargetMode="External"/><Relationship Id="rId9" Type="http://schemas.openxmlformats.org/officeDocument/2006/relationships/hyperlink" Target="https://uap.ro/vasile-dobre-si-invitatii-orizont/" TargetMode="External"/><Relationship Id="rId5" Type="http://schemas.openxmlformats.org/officeDocument/2006/relationships/hyperlink" Target="https://www.facebook.com/groups/617731998400166/search/?q=salonul" TargetMode="External"/><Relationship Id="rId6" Type="http://schemas.openxmlformats.org/officeDocument/2006/relationships/hyperlink" Target="https://www.facebook.com/groups/617731998400166/search/?q=salonul" TargetMode="External"/><Relationship Id="rId7" Type="http://schemas.openxmlformats.org/officeDocument/2006/relationships/hyperlink" Target="https://sites.google.com/totaleurosolutions.com/acrro/" TargetMode="External"/><Relationship Id="rId8" Type="http://schemas.openxmlformats.org/officeDocument/2006/relationships/hyperlink" Target="https://www.facebook.com/brukenthalnationalmuseum/photos/gm.213586629697398/3125029714196273/?type=3&amp;theater" TargetMode="External"/><Relationship Id="rId11" Type="http://schemas.openxmlformats.org/officeDocument/2006/relationships/hyperlink" Target="https://www.antropology.ro/doc/2020/RAINER%202020%20B%20-%20INVITATIE%20SIMPOZION.pdf" TargetMode="External"/><Relationship Id="rId10" Type="http://schemas.openxmlformats.org/officeDocument/2006/relationships/hyperlink" Target="http://www.salonuapt.com/" TargetMode="External"/><Relationship Id="rId13" Type="http://schemas.openxmlformats.org/officeDocument/2006/relationships/hyperlink" Target="https://www.youtube.com/watch?v=6Oe5CP5O3l8" TargetMode="External"/><Relationship Id="rId12" Type="http://schemas.openxmlformats.org/officeDocument/2006/relationships/hyperlink" Target="https://www.youtube.com/watch?v=CTD2J3HF3tg" TargetMode="External"/><Relationship Id="rId15" Type="http://schemas.openxmlformats.org/officeDocument/2006/relationships/hyperlink" Target="https://adz.ro/meinung-und-bericht/artikel-meinung-und-bericht/artikel/handwerk-hat-goldenen-boden-und-braucht-strahlende-pflege" TargetMode="External"/><Relationship Id="rId14" Type="http://schemas.openxmlformats.org/officeDocument/2006/relationships/hyperlink" Target="https://www.youtube.com/watch?v=6Oe5CP5O3l8" TargetMode="External"/><Relationship Id="rId1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icsusib.ro/periodice/forschungen" TargetMode="External"/><Relationship Id="rId2" Type="http://schemas.openxmlformats.org/officeDocument/2006/relationships/hyperlink" Target="http://ccpisc.ulbsibiu.ro/language/en/editorial/" TargetMode="External"/><Relationship Id="rId3" Type="http://schemas.openxmlformats.org/officeDocument/2006/relationships/hyperlink" Target="https://centers.ulbsibiu.ro/ccpisc/language/en/studia-en/" TargetMode="External"/><Relationship Id="rId4" Type="http://schemas.openxmlformats.org/officeDocument/2006/relationships/hyperlink" Target="http://www.res.ecum.ro/editorial-team/%20(vezi%20scrisoarea%20de%20la%20Prof.%20Stefan%20Tobler)" TargetMode="External"/><Relationship Id="rId9" Type="http://schemas.openxmlformats.org/officeDocument/2006/relationships/hyperlink" Target="https://www.brukenthalmuseum.ro/pdf/Colegiul%20de%20redactie.pdf" TargetMode="External"/><Relationship Id="rId5" Type="http://schemas.openxmlformats.org/officeDocument/2006/relationships/hyperlink" Target="https://www.annalesfsu.ro/sitero/comitetul_stiintific.htm" TargetMode="External"/><Relationship Id="rId6" Type="http://schemas.openxmlformats.org/officeDocument/2006/relationships/hyperlink" Target="http://www.muzee-valcea.ro/buridava/colegiul_stiintific.html" TargetMode="External"/><Relationship Id="rId7" Type="http://schemas.openxmlformats.org/officeDocument/2006/relationships/hyperlink" Target="http://www.z-studarch.ro/" TargetMode="External"/><Relationship Id="rId8" Type="http://schemas.openxmlformats.org/officeDocument/2006/relationships/hyperlink" Target="http://arheologie.ulbsibiu.ro/study.htm" TargetMode="External"/><Relationship Id="rId31" Type="http://schemas.openxmlformats.org/officeDocument/2006/relationships/hyperlink" Target="https://innovareacademics.in/journals/index.php/ijoe" TargetMode="External"/><Relationship Id="rId30" Type="http://schemas.openxmlformats.org/officeDocument/2006/relationships/hyperlink" Target="https://en.eandsdjournal.org/editorial-board/maria-cristina-popa/" TargetMode="External"/><Relationship Id="rId33" Type="http://schemas.openxmlformats.org/officeDocument/2006/relationships/drawing" Target="../drawings/drawing15.xml"/><Relationship Id="rId32" Type="http://schemas.openxmlformats.org/officeDocument/2006/relationships/hyperlink" Target="http://www.hssjournal.org/editorialboard" TargetMode="External"/><Relationship Id="rId20" Type="http://schemas.openxmlformats.org/officeDocument/2006/relationships/hyperlink" Target="http://www.res.ecum.ro/" TargetMode="External"/><Relationship Id="rId22" Type="http://schemas.openxmlformats.org/officeDocument/2006/relationships/hyperlink" Target="https://nadiapub.com/journals/ijel/ijel-editorial-board/" TargetMode="External"/><Relationship Id="rId21" Type="http://schemas.openxmlformats.org/officeDocument/2006/relationships/hyperlink" Target="http://socioumane.ro/blog/ead/home/editorial-board/" TargetMode="External"/><Relationship Id="rId24" Type="http://schemas.openxmlformats.org/officeDocument/2006/relationships/hyperlink" Target="https://www.uav.ro/jour/index.php/jpe/about/editorialTeam" TargetMode="External"/><Relationship Id="rId23" Type="http://schemas.openxmlformats.org/officeDocument/2006/relationships/hyperlink" Target="https://www.asianinstituteofresearch.org/eqr" TargetMode="External"/><Relationship Id="rId26" Type="http://schemas.openxmlformats.org/officeDocument/2006/relationships/hyperlink" Target="http://www.ccsenet.org/journal/index.php/ies/editor" TargetMode="External"/><Relationship Id="rId25" Type="http://schemas.openxmlformats.org/officeDocument/2006/relationships/hyperlink" Target="http://www.sciencepublishinggroup.com/journal/editorialboard?journalid=240" TargetMode="External"/><Relationship Id="rId28" Type="http://schemas.openxmlformats.org/officeDocument/2006/relationships/hyperlink" Target="http://www.ccsenet.org/journal/index.php/ies/editor" TargetMode="External"/><Relationship Id="rId27" Type="http://schemas.openxmlformats.org/officeDocument/2006/relationships/hyperlink" Target="https://eujournal.org/index.php/esj/editorial_board" TargetMode="External"/><Relationship Id="rId29" Type="http://schemas.openxmlformats.org/officeDocument/2006/relationships/hyperlink" Target="https://jecs.pl/index.php/jecs/about/editorialTeam" TargetMode="External"/><Relationship Id="rId11" Type="http://schemas.openxmlformats.org/officeDocument/2006/relationships/hyperlink" Target="http://arheologie.ulbsibiu.ro/publicatii/ats/colegiul%20de%20redactie%20(2).pdf" TargetMode="External"/><Relationship Id="rId10" Type="http://schemas.openxmlformats.org/officeDocument/2006/relationships/hyperlink" Target="http://www.brukenthalmuseum.ro/pdf/Colegiul%20de%20redactie.pdf" TargetMode="External"/><Relationship Id="rId13" Type="http://schemas.openxmlformats.org/officeDocument/2006/relationships/hyperlink" Target="http://ccpisc.ulbsibiu.ro/language/en/editorial/" TargetMode="External"/><Relationship Id="rId12" Type="http://schemas.openxmlformats.org/officeDocument/2006/relationships/hyperlink" Target="http://forschungen.icsusib.ro/forschungen" TargetMode="External"/><Relationship Id="rId15" Type="http://schemas.openxmlformats.org/officeDocument/2006/relationships/hyperlink" Target="http://ccpisc.ulbsibiu.ro/language/en/studia-en/" TargetMode="External"/><Relationship Id="rId14" Type="http://schemas.openxmlformats.org/officeDocument/2006/relationships/hyperlink" Target="http://socio-umane.ulbsibiu.ro/dep.istorie/cercetarereviste.html" TargetMode="External"/><Relationship Id="rId17" Type="http://schemas.openxmlformats.org/officeDocument/2006/relationships/hyperlink" Target="https://www.tandfonline.com/action/journalInformation?show=editorialBoard&amp;journalCode=rper20" TargetMode="External"/><Relationship Id="rId16" Type="http://schemas.openxmlformats.org/officeDocument/2006/relationships/hyperlink" Target="http://annals-politics.univ-ovidius.ro/editorial-board/" TargetMode="External"/><Relationship Id="rId19" Type="http://schemas.openxmlformats.org/officeDocument/2006/relationships/hyperlink" Target="http://.u5aoiihqnyw" TargetMode="External"/><Relationship Id="rId18" Type="http://schemas.openxmlformats.org/officeDocument/2006/relationships/hyperlink" Target="http://arhin.by.host4u.ro/echipa/"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brukenthalmuseum.ro/pdf/BAM/BAM%20XV.4.pdf" TargetMode="External"/><Relationship Id="rId2" Type="http://schemas.openxmlformats.org/officeDocument/2006/relationships/hyperlink" Target="http://www.brukenthalmuseum.ro/publicatii_en/01_4.htm" TargetMode="External"/><Relationship Id="rId3" Type="http://schemas.openxmlformats.org/officeDocument/2006/relationships/hyperlink" Target="http://www.z-studarch.ro/" TargetMode="External"/><Relationship Id="rId4" Type="http://schemas.openxmlformats.org/officeDocument/2006/relationships/hyperlink" Target="http://muzeum.sanok.pl/en/dzialalnosc-wydawnicza/acta-militaria-mediaevalia" TargetMode="External"/><Relationship Id="rId9" Type="http://schemas.openxmlformats.org/officeDocument/2006/relationships/hyperlink" Target="http://site.conferences.ulbsibiu.ro/inec/ro/" TargetMode="External"/><Relationship Id="rId5" Type="http://schemas.openxmlformats.org/officeDocument/2006/relationships/hyperlink" Target="https://revista-apulum.ro/colegiul-stintific/" TargetMode="External"/><Relationship Id="rId6" Type="http://schemas.openxmlformats.org/officeDocument/2006/relationships/hyperlink" Target="https://www.mnit.ro/acta-mvsei-napocensis-amn/" TargetMode="External"/><Relationship Id="rId7" Type="http://schemas.openxmlformats.org/officeDocument/2006/relationships/hyperlink" Target="https://www.tandfonline.com/toc/fhsp20/current" TargetMode="External"/><Relationship Id="rId8" Type="http://schemas.openxmlformats.org/officeDocument/2006/relationships/hyperlink" Target="http://www.eelss2020/" TargetMode="External"/><Relationship Id="rId40" Type="http://schemas.openxmlformats.org/officeDocument/2006/relationships/hyperlink" Target="https://www.scimagojr.com/journalsearch.php?q=13414&amp;tip=sid" TargetMode="External"/><Relationship Id="rId42" Type="http://schemas.openxmlformats.org/officeDocument/2006/relationships/hyperlink" Target="https://www.mhasee.org/conference2020" TargetMode="External"/><Relationship Id="rId41" Type="http://schemas.openxmlformats.org/officeDocument/2006/relationships/hyperlink" Target="https://www.mhasee.org/conference2020" TargetMode="External"/><Relationship Id="rId44" Type="http://schemas.openxmlformats.org/officeDocument/2006/relationships/hyperlink" Target="https://www.mhasee.org/conference2020" TargetMode="External"/><Relationship Id="rId43" Type="http://schemas.openxmlformats.org/officeDocument/2006/relationships/hyperlink" Target="https://www.mhasee.org/conference2020" TargetMode="External"/><Relationship Id="rId46" Type="http://schemas.openxmlformats.org/officeDocument/2006/relationships/hyperlink" Target="http://www.multidisciplinary-research.com/" TargetMode="External"/><Relationship Id="rId45" Type="http://schemas.openxmlformats.org/officeDocument/2006/relationships/hyperlink" Target="http://www.multidisciplinary-research.com/" TargetMode="External"/><Relationship Id="rId48" Type="http://schemas.openxmlformats.org/officeDocument/2006/relationships/hyperlink" Target="https://www.journalstudiesanthropology.ro/en/home.html" TargetMode="External"/><Relationship Id="rId47" Type="http://schemas.openxmlformats.org/officeDocument/2006/relationships/hyperlink" Target="http://www.multidisciplinary-research.com/" TargetMode="External"/><Relationship Id="rId49" Type="http://schemas.openxmlformats.org/officeDocument/2006/relationships/hyperlink" Target="http://www.multidisciplinary-research.com/" TargetMode="External"/><Relationship Id="rId31" Type="http://schemas.openxmlformats.org/officeDocument/2006/relationships/hyperlink" Target="http://www.ccsenet.org/journal/index.php/jel/editor" TargetMode="External"/><Relationship Id="rId30" Type="http://schemas.openxmlformats.org/officeDocument/2006/relationships/hyperlink" Target="https://www.journaljesbs.com/index.php/JESBS/about/editorialTeam" TargetMode="External"/><Relationship Id="rId33" Type="http://schemas.openxmlformats.org/officeDocument/2006/relationships/hyperlink" Target="http://www.scholink.org/ojs/index.php/wjer/about/editorialTeam" TargetMode="External"/><Relationship Id="rId32" Type="http://schemas.openxmlformats.org/officeDocument/2006/relationships/hyperlink" Target="https://www.journalarjass.com/index.php/ARJASS/about/editorialTeam" TargetMode="External"/><Relationship Id="rId35" Type="http://schemas.openxmlformats.org/officeDocument/2006/relationships/hyperlink" Target="http://www.sciedupress.com/journal/index.php/ijhe/about/editorialTeam" TargetMode="External"/><Relationship Id="rId34" Type="http://schemas.openxmlformats.org/officeDocument/2006/relationships/hyperlink" Target="http://www.asianonlinejournals.com/index.php/EDU/about/editorialTeam" TargetMode="External"/><Relationship Id="rId37" Type="http://schemas.openxmlformats.org/officeDocument/2006/relationships/hyperlink" Target="https://journalissues.org/ijeprr/indexing/" TargetMode="External"/><Relationship Id="rId36" Type="http://schemas.openxmlformats.org/officeDocument/2006/relationships/hyperlink" Target="http://www.davidpublisher.org/index.php/Home/Journal/detail?journalid=39&amp;jx=pr&amp;cont=editorial" TargetMode="External"/><Relationship Id="rId39" Type="http://schemas.openxmlformats.org/officeDocument/2006/relationships/hyperlink" Target="https://www.scijournal.org/impact-factor-of-community-ment-health-j.shtml" TargetMode="External"/><Relationship Id="rId38" Type="http://schemas.openxmlformats.org/officeDocument/2006/relationships/hyperlink" Target="https://uav.ro/jour/index.php/jpe/index" TargetMode="External"/><Relationship Id="rId20" Type="http://schemas.openxmlformats.org/officeDocument/2006/relationships/hyperlink" Target="http://www.ccsenet.org/journal/index.php/res/editor" TargetMode="External"/><Relationship Id="rId22" Type="http://schemas.openxmlformats.org/officeDocument/2006/relationships/hyperlink" Target="http://www.ccsenet.org/journal/index.php/res/editor" TargetMode="External"/><Relationship Id="rId21" Type="http://schemas.openxmlformats.org/officeDocument/2006/relationships/hyperlink" Target="https://thehumanities.com/" TargetMode="External"/><Relationship Id="rId24" Type="http://schemas.openxmlformats.org/officeDocument/2006/relationships/hyperlink" Target="http://www.ccsenet.org/journal/index.php/res/editor" TargetMode="External"/><Relationship Id="rId23" Type="http://schemas.openxmlformats.org/officeDocument/2006/relationships/hyperlink" Target="http://www.sciepub.com/journal/EDUCATION/editors" TargetMode="External"/><Relationship Id="rId26" Type="http://schemas.openxmlformats.org/officeDocument/2006/relationships/hyperlink" Target="https://ieeeaccess.ieee.org/" TargetMode="External"/><Relationship Id="rId25" Type="http://schemas.openxmlformats.org/officeDocument/2006/relationships/hyperlink" Target="https://ieeeaccess.ieee.org/" TargetMode="External"/><Relationship Id="rId28" Type="http://schemas.openxmlformats.org/officeDocument/2006/relationships/hyperlink" Target="https://ieeeaccess.ieee.org/" TargetMode="External"/><Relationship Id="rId27" Type="http://schemas.openxmlformats.org/officeDocument/2006/relationships/hyperlink" Target="https://ieeeaccess.ieee.org/" TargetMode="External"/><Relationship Id="rId29" Type="http://schemas.openxmlformats.org/officeDocument/2006/relationships/hyperlink" Target="http://www.ccsenet.org/journal/index.php/hes/editor" TargetMode="External"/><Relationship Id="rId11" Type="http://schemas.openxmlformats.org/officeDocument/2006/relationships/hyperlink" Target="https://en.eandsdjournal.org/" TargetMode="External"/><Relationship Id="rId10" Type="http://schemas.openxmlformats.org/officeDocument/2006/relationships/hyperlink" Target="http://pc/" TargetMode="External"/><Relationship Id="rId13" Type="http://schemas.openxmlformats.org/officeDocument/2006/relationships/hyperlink" Target="https://www.mdpi.com/journal/sustainability" TargetMode="External"/><Relationship Id="rId12" Type="http://schemas.openxmlformats.org/officeDocument/2006/relationships/hyperlink" Target="https://www.igi-global.com/journal/international-journal-curriculum-development-learning/229386" TargetMode="External"/><Relationship Id="rId15" Type="http://schemas.openxmlformats.org/officeDocument/2006/relationships/hyperlink" Target="http://www.ccsenet.org/journal/index.php/ies/editor" TargetMode="External"/><Relationship Id="rId14" Type="http://schemas.openxmlformats.org/officeDocument/2006/relationships/hyperlink" Target="https://journals.sagepub.com/home/sgo" TargetMode="External"/><Relationship Id="rId17" Type="http://schemas.openxmlformats.org/officeDocument/2006/relationships/hyperlink" Target="http://eujournal.org/index.php/esj" TargetMode="External"/><Relationship Id="rId16" Type="http://schemas.openxmlformats.org/officeDocument/2006/relationships/hyperlink" Target="https://lumenpublishing.com/journals/index.php/rrem/index" TargetMode="External"/><Relationship Id="rId19" Type="http://schemas.openxmlformats.org/officeDocument/2006/relationships/hyperlink" Target="http://www.iiis2021.org/imsci/Website/AdditionalReviewers.asp?vc=5" TargetMode="External"/><Relationship Id="rId18" Type="http://schemas.openxmlformats.org/officeDocument/2006/relationships/hyperlink" Target="http://www.iiis-spring21.org/icsit/Website/AdditionalReviewers.asp?vc=31" TargetMode="External"/><Relationship Id="rId51" Type="http://schemas.openxmlformats.org/officeDocument/2006/relationships/hyperlink" Target="http://www.multidisciplinary-research.com/index.php?opt=organizare" TargetMode="External"/><Relationship Id="rId50" Type="http://schemas.openxmlformats.org/officeDocument/2006/relationships/hyperlink" Target="http://www.multidisciplinary-research.com/" TargetMode="External"/><Relationship Id="rId53" Type="http://schemas.openxmlformats.org/officeDocument/2006/relationships/hyperlink" Target="https://publons.com/journal/39789/international-journal-of-qualitative-methods" TargetMode="External"/><Relationship Id="rId52" Type="http://schemas.openxmlformats.org/officeDocument/2006/relationships/hyperlink" Target="http://www.multidisciplinary-research.com/index.php?opt=organizare" TargetMode="External"/><Relationship Id="rId55" Type="http://schemas.openxmlformats.org/officeDocument/2006/relationships/hyperlink" Target="http://multidisciplinary-research.com/" TargetMode="External"/><Relationship Id="rId54" Type="http://schemas.openxmlformats.org/officeDocument/2006/relationships/hyperlink" Target="https://publons.com/journal/39789/international-journal-of-qualitative-methods" TargetMode="External"/><Relationship Id="rId57" Type="http://schemas.openxmlformats.org/officeDocument/2006/relationships/drawing" Target="../drawings/drawing16.xml"/><Relationship Id="rId56" Type="http://schemas.openxmlformats.org/officeDocument/2006/relationships/hyperlink" Target="http://multidisciplinary-research.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socioumane.ulbsibiu.ro/dep.iptp" TargetMode="External"/><Relationship Id="rId2" Type="http://schemas.openxmlformats.org/officeDocument/2006/relationships/hyperlink" Target="http://aubr.ro/simpozion-2020-scriptura-si-autoritatea-scripturii-astazi/" TargetMode="External"/><Relationship Id="rId3" Type="http://schemas.openxmlformats.org/officeDocument/2006/relationships/hyperlink" Target="https://www.brukenthalmuseum.ro/ro/stire/798" TargetMode="External"/><Relationship Id="rId4" Type="http://schemas.openxmlformats.org/officeDocument/2006/relationships/hyperlink" Target="https://socioumane.ulbsibiu.ro/dep.iptp/clio.html" TargetMode="External"/><Relationship Id="rId9" Type="http://schemas.openxmlformats.org/officeDocument/2006/relationships/hyperlink" Target="https://antropology.ro/doc/2020/RAINER%202020%20B%20-%20(9)%20COMITET%20ORGANIZARE%20vf.pdf" TargetMode="External"/><Relationship Id="rId5" Type="http://schemas.openxmlformats.org/officeDocument/2006/relationships/hyperlink" Target="https://socioumane.ulbsibiu.ro/studenti/conferinta-studenteasca/" TargetMode="External"/><Relationship Id="rId6" Type="http://schemas.openxmlformats.org/officeDocument/2006/relationships/hyperlink" Target="http://site.conferences.ulbsibiu.ro/inec/en/" TargetMode="External"/><Relationship Id="rId7" Type="http://schemas.openxmlformats.org/officeDocument/2006/relationships/hyperlink" Target="http://www.didactica-alba.org/wp-content/uploads/2021/02/Organizatori-%E2%80%93-The-international-conference.htm" TargetMode="External"/><Relationship Id="rId8" Type="http://schemas.openxmlformats.org/officeDocument/2006/relationships/hyperlink" Target="http://site.conferences.ulbsibiu.ro/inec/en/" TargetMode="External"/><Relationship Id="rId31" Type="http://schemas.openxmlformats.org/officeDocument/2006/relationships/hyperlink" Target="http://conferinta.apio.ro/?page_id=446" TargetMode="External"/><Relationship Id="rId30" Type="http://schemas.openxmlformats.org/officeDocument/2006/relationships/hyperlink" Target="http://www.multidisciplinary-research.com/" TargetMode="External"/><Relationship Id="rId33" Type="http://schemas.openxmlformats.org/officeDocument/2006/relationships/drawing" Target="../drawings/drawing17.xml"/><Relationship Id="rId32" Type="http://schemas.openxmlformats.org/officeDocument/2006/relationships/hyperlink" Target="http://www.mhasee.ro/" TargetMode="External"/><Relationship Id="rId20" Type="http://schemas.openxmlformats.org/officeDocument/2006/relationships/hyperlink" Target="http://www.multidisciplinary-research.com/" TargetMode="External"/><Relationship Id="rId22" Type="http://schemas.openxmlformats.org/officeDocument/2006/relationships/hyperlink" Target="http://www.multidisciplinary-research.com/index.php?opt=home&amp;titlu=home" TargetMode="External"/><Relationship Id="rId21" Type="http://schemas.openxmlformats.org/officeDocument/2006/relationships/hyperlink" Target="http://www.mhasee.ro/" TargetMode="External"/><Relationship Id="rId24" Type="http://schemas.openxmlformats.org/officeDocument/2006/relationships/hyperlink" Target="https://de15e980-585d-48fd-ad8e-a61b65384d58.filesusr.com/ugd/c96ce8_9005ad342d2242228f8c09e499e94ae0.pdf" TargetMode="External"/><Relationship Id="rId23" Type="http://schemas.openxmlformats.org/officeDocument/2006/relationships/hyperlink" Target="http://www.multidisciplinary-research.com/" TargetMode="External"/><Relationship Id="rId26" Type="http://schemas.openxmlformats.org/officeDocument/2006/relationships/hyperlink" Target="https://socioumane.ulbsibiu.ro/studenti/conferinta-studenteasca/" TargetMode="External"/><Relationship Id="rId25" Type="http://schemas.openxmlformats.org/officeDocument/2006/relationships/hyperlink" Target="http://www.mhasee.ro/" TargetMode="External"/><Relationship Id="rId28" Type="http://schemas.openxmlformats.org/officeDocument/2006/relationships/hyperlink" Target="http://www.multidisciplinary-research.com/index.php?opt=organizare" TargetMode="External"/><Relationship Id="rId27" Type="http://schemas.openxmlformats.org/officeDocument/2006/relationships/hyperlink" Target="https://www.mhasee.org/conference2020" TargetMode="External"/><Relationship Id="rId29" Type="http://schemas.openxmlformats.org/officeDocument/2006/relationships/hyperlink" Target="http://www.smartpsi.ro/" TargetMode="External"/><Relationship Id="rId11" Type="http://schemas.openxmlformats.org/officeDocument/2006/relationships/hyperlink" Target="https://sites.google.com/ulbsibiu.ro/conferintapipp/comitet-de-organizare?authuser=0" TargetMode="External"/><Relationship Id="rId10" Type="http://schemas.openxmlformats.org/officeDocument/2006/relationships/hyperlink" Target="https://lobbyart-anthropology.ro/Anthropology--and--Communication.php" TargetMode="External"/><Relationship Id="rId13" Type="http://schemas.openxmlformats.org/officeDocument/2006/relationships/hyperlink" Target="http://site.conferences.ulbsibiu.ro/inec/en/" TargetMode="External"/><Relationship Id="rId12" Type="http://schemas.openxmlformats.org/officeDocument/2006/relationships/hyperlink" Target="https://sites.google.com/ulbsibiu.ro/conferintapipp/comitet-de-organizare?authuser=0" TargetMode="External"/><Relationship Id="rId15" Type="http://schemas.openxmlformats.org/officeDocument/2006/relationships/hyperlink" Target="https://sites.google.com/ulbsibiu.ro/conferintapipp/comitet-de-organizare" TargetMode="External"/><Relationship Id="rId14" Type="http://schemas.openxmlformats.org/officeDocument/2006/relationships/hyperlink" Target="https://sites.google.com/ulbsibiu.ro/conferintapipp" TargetMode="External"/><Relationship Id="rId17" Type="http://schemas.openxmlformats.org/officeDocument/2006/relationships/hyperlink" Target="https://mhasee.ro/" TargetMode="External"/><Relationship Id="rId16" Type="http://schemas.openxmlformats.org/officeDocument/2006/relationships/hyperlink" Target="https://sites.google.com/ulbsibiu.ro/conferintapipp" TargetMode="External"/><Relationship Id="rId19" Type="http://schemas.openxmlformats.org/officeDocument/2006/relationships/hyperlink" Target="http://www.mhasee.ro/" TargetMode="External"/><Relationship Id="rId18" Type="http://schemas.openxmlformats.org/officeDocument/2006/relationships/hyperlink" Target="https://www.afectiuni-neurodegenerative.ro/conferinta-nationala-tineri-cu-scleroza-multipla-2020/"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uefiscdi.gov.ro/resource-825837-pce2020_rezultate-finale_stiinte-umaniste.pdf" TargetMode="External"/><Relationship Id="rId2" Type="http://schemas.openxmlformats.org/officeDocument/2006/relationships/hyperlink" Target="https://www.erasmusplus.ro/library/Superior/2020/Rezultate_selectie_KA203_2020.pdf" TargetMode="External"/><Relationship Id="rId3" Type="http://schemas.openxmlformats.org/officeDocument/2006/relationships/hyperlink" Target="http://www.erasmusplus.it/wp-content/uploads/2014/03/KA201_ESITI_partenariati_strategici_2020.pdf" TargetMode="External"/><Relationship Id="rId4" Type="http://schemas.openxmlformats.org/officeDocument/2006/relationships/hyperlink" Target="http://www.easyerasmus.com/spanish-national-agency-ka229-results/" TargetMode="External"/><Relationship Id="rId5" Type="http://schemas.openxmlformats.org/officeDocument/2006/relationships/hyperlink" Target="https://ec.europa.eu/info/funding-tenders/opportunities/portal/screen/opportunities/topic-details/sc1-phe-coronavirus-2020-2c" TargetMode="External"/><Relationship Id="rId6" Type="http://schemas.openxmlformats.org/officeDocument/2006/relationships/hyperlink" Target="https://ec.europa.eu/info/funding-tenders/opportunities/portal/screen/opportunities/topic-details/sc1-phe-coronavirus-2020-2c" TargetMode="External"/><Relationship Id="rId7"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magazinistoric.ro/anii-2020-2029/" TargetMode="External"/><Relationship Id="rId2" Type="http://schemas.openxmlformats.org/officeDocument/2006/relationships/hyperlink" Target="https://magazinistoric.ro/anii-2020-2029/" TargetMode="External"/><Relationship Id="rId3" Type="http://schemas.openxmlformats.org/officeDocument/2006/relationships/hyperlink" Target="http://cronica.cimec.ro/" TargetMode="External"/><Relationship Id="rId4" Type="http://schemas.openxmlformats.org/officeDocument/2006/relationships/hyperlink" Target="https://muzeu-vaslui.ro/index.php/publicatii" TargetMode="External"/><Relationship Id="rId5" Type="http://schemas.openxmlformats.org/officeDocument/2006/relationships/hyperlink" Target="https://sites.google.com/ulbsibiu.ro/conferintapipp/revista-conferintei/lucr%C4%83rile-conferintei" TargetMode="External"/><Relationship Id="rId6" Type="http://schemas.openxmlformats.org/officeDocument/2006/relationships/hyperlink" Target="http://www.antropology.ro/" TargetMode="External"/><Relationship Id="rId7" Type="http://schemas.openxmlformats.org/officeDocument/2006/relationships/hyperlink" Target="http://www.uab.ro/sesiuni_2020/educatia_din_perspectiva_valorilor/" TargetMode="External"/><Relationship Id="rId8"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epigraphica-europea.uni-muenchen.de/15-internationale-fachtagung-fuer-mittelalterliche-und-fruehneuzeitliche-epigraphik-muenchen-12-14-2-2020/" TargetMode="External"/><Relationship Id="rId2" Type="http://schemas.openxmlformats.org/officeDocument/2006/relationships/hyperlink" Target="https://mail.google.com/mail/u/1?ui=2&amp;ik=073b8d62da&amp;attid=0.1&amp;permmsgid=msg-f:1683536030632808179&amp;th=175d1f19a0708ef3&amp;view=att&amp;disp=inline" TargetMode="External"/><Relationship Id="rId3" Type="http://schemas.openxmlformats.org/officeDocument/2006/relationships/hyperlink" Target="http://www.icsusib.ro/sesiunea_anuala_ICSUSIB_2020" TargetMode="External"/><Relationship Id="rId4" Type="http://schemas.openxmlformats.org/officeDocument/2006/relationships/hyperlink" Target="https://socioumane.ulbsibiu.ro/dep.iptp/clio.html" TargetMode="External"/><Relationship Id="rId9" Type="http://schemas.openxmlformats.org/officeDocument/2006/relationships/hyperlink" Target="http://www.icsusib.ro/sesiunea_anuala_ICSUSIB_2020" TargetMode="External"/><Relationship Id="rId5" Type="http://schemas.openxmlformats.org/officeDocument/2006/relationships/hyperlink" Target="https://socioumane.ulbsibiu.ro/dep.iptp" TargetMode="External"/><Relationship Id="rId6" Type="http://schemas.openxmlformats.org/officeDocument/2006/relationships/hyperlink" Target="http://www.minac.ro/sesiunea-interna%C8%9Bional%C4%83-de-comunic%C4%83ri-%C8%99tiin%C8%9Bifice-pontica.html" TargetMode="External"/><Relationship Id="rId7" Type="http://schemas.openxmlformats.org/officeDocument/2006/relationships/hyperlink" Target="https://socioumane.ulbsibiu.ro/dep.istorie/clio.html" TargetMode="External"/><Relationship Id="rId8" Type="http://schemas.openxmlformats.org/officeDocument/2006/relationships/hyperlink" Target="http://www.dri.gov.ro/w/conferinta-internationala-relatii-interetnice-in-transilvania-localnici-vecini-prieteni-si-inamici-medievali/" TargetMode="External"/><Relationship Id="rId40" Type="http://schemas.openxmlformats.org/officeDocument/2006/relationships/drawing" Target="../drawings/drawing21.xml"/><Relationship Id="rId31" Type="http://schemas.openxmlformats.org/officeDocument/2006/relationships/hyperlink" Target="https://de15e980-585d-48fd-ad8e-a61b65384d58.filesusr.com/ugd/c96ce8_9005ad342d2242228f8c09e499e94ae0.pdf" TargetMode="External"/><Relationship Id="rId30" Type="http://schemas.openxmlformats.org/officeDocument/2006/relationships/hyperlink" Target="http://www.multidisciplinary-research.com/" TargetMode="External"/><Relationship Id="rId33" Type="http://schemas.openxmlformats.org/officeDocument/2006/relationships/hyperlink" Target="https://old.upm.ro/ldmd/" TargetMode="External"/><Relationship Id="rId32" Type="http://schemas.openxmlformats.org/officeDocument/2006/relationships/hyperlink" Target="http://www.mhasee.ro/" TargetMode="External"/><Relationship Id="rId35" Type="http://schemas.openxmlformats.org/officeDocument/2006/relationships/hyperlink" Target="http://www.multidisciplinary-research.com/continut/schedule_of_events.pdf" TargetMode="External"/><Relationship Id="rId34" Type="http://schemas.openxmlformats.org/officeDocument/2006/relationships/hyperlink" Target="https://www.mhasee.org/conference2020" TargetMode="External"/><Relationship Id="rId37" Type="http://schemas.openxmlformats.org/officeDocument/2006/relationships/hyperlink" Target="http://www.mhasee.ro/" TargetMode="External"/><Relationship Id="rId36" Type="http://schemas.openxmlformats.org/officeDocument/2006/relationships/hyperlink" Target="http://www.ascip.ro/continut/planificare_lucrari.pdf" TargetMode="External"/><Relationship Id="rId39" Type="http://schemas.openxmlformats.org/officeDocument/2006/relationships/hyperlink" Target="https://www.globalcenter.info/wces/wp-content/uploads/2020/09/WCES-2020-Draft-Program-4-d%C3%B6n%C3%BC%C5%9Ft%C3%BCr%C3%BCld%C3%BC.pdf" TargetMode="External"/><Relationship Id="rId38" Type="http://schemas.openxmlformats.org/officeDocument/2006/relationships/hyperlink" Target="http://hiphi.ubbcluj.ro/Europe4Minorities/Files/Programme_MD_2020.pdf" TargetMode="External"/><Relationship Id="rId20" Type="http://schemas.openxmlformats.org/officeDocument/2006/relationships/hyperlink" Target="http://www.sica-project.eu/" TargetMode="External"/><Relationship Id="rId22" Type="http://schemas.openxmlformats.org/officeDocument/2006/relationships/hyperlink" Target="https://www.afectiuni-neurodegenerative.ro/conferinta-nationala-tineri-cu-scleroza-multipla-2020/" TargetMode="External"/><Relationship Id="rId21" Type="http://schemas.openxmlformats.org/officeDocument/2006/relationships/hyperlink" Target="http://cercetare.ulbsibiu.ro/nc.html" TargetMode="External"/><Relationship Id="rId24" Type="http://schemas.openxmlformats.org/officeDocument/2006/relationships/hyperlink" Target="https://ralcom.eventsair.com/cnalz-2020/program-stiintific" TargetMode="External"/><Relationship Id="rId23" Type="http://schemas.openxmlformats.org/officeDocument/2006/relationships/hyperlink" Target="https://www.mhasee.org/conference2020" TargetMode="External"/><Relationship Id="rId26" Type="http://schemas.openxmlformats.org/officeDocument/2006/relationships/hyperlink" Target="https://www.mhasee.org/conference2020" TargetMode="External"/><Relationship Id="rId25" Type="http://schemas.openxmlformats.org/officeDocument/2006/relationships/hyperlink" Target="https://2020.uavconferences.eu/keynote-speakers/" TargetMode="External"/><Relationship Id="rId28" Type="http://schemas.openxmlformats.org/officeDocument/2006/relationships/hyperlink" Target="http://www.multidisciplinary-research.com/continut/planning_works.pdf" TargetMode="External"/><Relationship Id="rId27" Type="http://schemas.openxmlformats.org/officeDocument/2006/relationships/hyperlink" Target="http://www.multidisciplinary-research.com/continut/planning_works.pdf" TargetMode="External"/><Relationship Id="rId29" Type="http://schemas.openxmlformats.org/officeDocument/2006/relationships/hyperlink" Target="http://www.multidisciplinary-research.com/" TargetMode="External"/><Relationship Id="rId11" Type="http://schemas.openxmlformats.org/officeDocument/2006/relationships/hyperlink" Target="https://socioumane.ulbsibiu.ro/dep.iptp/clio.html" TargetMode="External"/><Relationship Id="rId10" Type="http://schemas.openxmlformats.org/officeDocument/2006/relationships/hyperlink" Target="http://zbroeznav.com/?page_id=6814" TargetMode="External"/><Relationship Id="rId13" Type="http://schemas.openxmlformats.org/officeDocument/2006/relationships/hyperlink" Target="https://scoalaardeleanacluj.ro/shop/%C5%9Ecoala-ardelean%C4%83-de-istorie-c-145/centenarele-rom%C3%A2niei-centenarele-aradului-1918191920182019-p-596.html" TargetMode="External"/><Relationship Id="rId12" Type="http://schemas.openxmlformats.org/officeDocument/2006/relationships/hyperlink" Target="http://www.centruldestudiitransilvane.ro/Lista.aspx?t=Carti%202015%20-%202035" TargetMode="External"/><Relationship Id="rId15" Type="http://schemas.openxmlformats.org/officeDocument/2006/relationships/hyperlink" Target="http://cercetare.ulbsibiu.ro/nc.html" TargetMode="External"/><Relationship Id="rId14" Type="http://schemas.openxmlformats.org/officeDocument/2006/relationships/hyperlink" Target="https://scholar.google.ro/scholar?oi=bibs&amp;cluster=9973284082649033856&amp;btnI=1&amp;hl=ro" TargetMode="External"/><Relationship Id="rId17" Type="http://schemas.openxmlformats.org/officeDocument/2006/relationships/hyperlink" Target="https://www.google.com/url?sa=t&amp;rct=j&amp;q=&amp;esrc=s&amp;source=web&amp;cd=&amp;ved=2ahUKEwi109ye08nwAhWOgf0HHeJMCTIQFjABegQIBxAD&amp;url=https%3A%2F%2Fatee2020.education%2Fdoc%2FBook_of_Abstract_ATEE_2020.pdf&amp;usg=AOvVaw0zpCr_HuStLnJc0W_ZzFPn" TargetMode="External"/><Relationship Id="rId16" Type="http://schemas.openxmlformats.org/officeDocument/2006/relationships/hyperlink" Target="https://lobbyart-anthropology.ro/Anthropology--and--Communication.php" TargetMode="External"/><Relationship Id="rId19" Type="http://schemas.openxmlformats.org/officeDocument/2006/relationships/hyperlink" Target="https://cercetare.ulbsibiu.ro/ro/noaptea-cercetatorilor/" TargetMode="External"/><Relationship Id="rId18" Type="http://schemas.openxmlformats.org/officeDocument/2006/relationships/hyperlink" Target="http://site.conferences.ulbsibiu.ro/inec/e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42.14"/>
    <col customWidth="1" min="3" max="3" width="17.14"/>
    <col customWidth="1" min="4" max="4" width="14.71"/>
    <col customWidth="1" min="5" max="6" width="13.43"/>
    <col customWidth="1" min="7" max="13" width="7.86"/>
    <col customWidth="1" min="14" max="14" width="14.0"/>
    <col customWidth="1" min="15" max="25" width="7.86"/>
    <col customWidth="1" min="26" max="26" width="12.14"/>
    <col customWidth="1" min="27" max="28" width="13.0"/>
    <col customWidth="1" min="29" max="30" width="14.14"/>
  </cols>
  <sheetData>
    <row r="1" ht="14.25" customHeight="1">
      <c r="A1" s="1"/>
      <c r="B1" s="1"/>
      <c r="C1" s="1"/>
      <c r="D1" s="1"/>
      <c r="E1" s="1"/>
      <c r="F1" s="2"/>
      <c r="G1" s="1"/>
    </row>
    <row r="2" ht="24.75" customHeight="1">
      <c r="A2" s="3" t="s">
        <v>0</v>
      </c>
      <c r="B2" s="4" t="s">
        <v>1</v>
      </c>
      <c r="C2" s="5"/>
      <c r="D2" s="1"/>
      <c r="E2" s="1"/>
      <c r="F2" s="2"/>
      <c r="G2" s="1"/>
    </row>
    <row r="3" ht="108.0" customHeight="1">
      <c r="A3" s="1"/>
      <c r="B3" s="1"/>
      <c r="C3" s="1"/>
      <c r="D3" s="6" t="s">
        <v>2</v>
      </c>
      <c r="E3" s="6" t="s">
        <v>3</v>
      </c>
      <c r="F3" s="7"/>
      <c r="G3" s="7"/>
      <c r="H3" s="7"/>
      <c r="I3" s="7"/>
      <c r="J3" s="7"/>
      <c r="K3" s="7" t="s">
        <v>4</v>
      </c>
      <c r="L3" s="7" t="s">
        <v>4</v>
      </c>
      <c r="M3" s="7" t="s">
        <v>4</v>
      </c>
      <c r="N3" s="7"/>
      <c r="O3" s="7"/>
      <c r="P3" s="7" t="s">
        <v>4</v>
      </c>
      <c r="Q3" s="7" t="s">
        <v>4</v>
      </c>
      <c r="R3" s="7" t="s">
        <v>4</v>
      </c>
      <c r="S3" s="7" t="s">
        <v>4</v>
      </c>
      <c r="T3" s="7" t="s">
        <v>4</v>
      </c>
      <c r="U3" s="7" t="s">
        <v>4</v>
      </c>
      <c r="V3" s="7"/>
      <c r="W3" s="7"/>
      <c r="X3" s="7" t="s">
        <v>4</v>
      </c>
      <c r="Y3" s="7" t="s">
        <v>4</v>
      </c>
      <c r="AC3" s="8" t="s">
        <v>5</v>
      </c>
      <c r="AD3" s="8" t="s">
        <v>6</v>
      </c>
    </row>
    <row r="4" ht="86.25" customHeight="1">
      <c r="A4" s="9" t="s">
        <v>7</v>
      </c>
      <c r="B4" s="10" t="s">
        <v>8</v>
      </c>
      <c r="C4" s="10" t="s">
        <v>9</v>
      </c>
      <c r="D4" s="10" t="s">
        <v>10</v>
      </c>
      <c r="E4" s="10" t="s">
        <v>11</v>
      </c>
      <c r="F4" s="10" t="s">
        <v>12</v>
      </c>
      <c r="G4" s="10" t="s">
        <v>13</v>
      </c>
      <c r="H4" s="10" t="s">
        <v>14</v>
      </c>
      <c r="I4" s="10" t="s">
        <v>15</v>
      </c>
      <c r="J4" s="10" t="s">
        <v>16</v>
      </c>
      <c r="K4" s="10" t="s">
        <v>17</v>
      </c>
      <c r="L4" s="10" t="s">
        <v>18</v>
      </c>
      <c r="M4" s="10" t="s">
        <v>19</v>
      </c>
      <c r="N4" s="10" t="s">
        <v>20</v>
      </c>
      <c r="O4" s="10" t="s">
        <v>21</v>
      </c>
      <c r="P4" s="10" t="s">
        <v>22</v>
      </c>
      <c r="Q4" s="10" t="s">
        <v>23</v>
      </c>
      <c r="R4" s="10" t="s">
        <v>24</v>
      </c>
      <c r="S4" s="10" t="s">
        <v>25</v>
      </c>
      <c r="T4" s="10" t="s">
        <v>26</v>
      </c>
      <c r="U4" s="10" t="s">
        <v>27</v>
      </c>
      <c r="V4" s="10" t="s">
        <v>28</v>
      </c>
      <c r="W4" s="10" t="s">
        <v>29</v>
      </c>
      <c r="X4" s="10" t="s">
        <v>30</v>
      </c>
      <c r="Y4" s="10" t="s">
        <v>31</v>
      </c>
      <c r="Z4" s="11" t="s">
        <v>32</v>
      </c>
      <c r="AA4" s="9" t="s">
        <v>33</v>
      </c>
      <c r="AB4" s="9" t="s">
        <v>34</v>
      </c>
      <c r="AC4" s="12" t="s">
        <v>35</v>
      </c>
      <c r="AD4" s="12" t="s">
        <v>36</v>
      </c>
    </row>
    <row r="5" ht="14.25" customHeight="1">
      <c r="A5" s="13">
        <v>1.0</v>
      </c>
      <c r="B5" s="14" t="s">
        <v>37</v>
      </c>
      <c r="C5" s="14" t="s">
        <v>38</v>
      </c>
      <c r="D5" s="15" t="s">
        <v>39</v>
      </c>
      <c r="E5" s="15">
        <v>500.0</v>
      </c>
      <c r="F5" s="16"/>
      <c r="G5" s="16"/>
      <c r="H5" s="16">
        <v>200.0</v>
      </c>
      <c r="I5" s="16"/>
      <c r="J5" s="16"/>
      <c r="K5" s="16"/>
      <c r="L5" s="16"/>
      <c r="M5" s="16"/>
      <c r="N5" s="16">
        <v>595.0</v>
      </c>
      <c r="O5" s="16"/>
      <c r="P5" s="16"/>
      <c r="Q5" s="16"/>
      <c r="R5" s="16"/>
      <c r="S5" s="16">
        <v>175.0</v>
      </c>
      <c r="T5" s="16"/>
      <c r="U5" s="16"/>
      <c r="V5" s="16"/>
      <c r="W5" s="16"/>
      <c r="X5" s="16"/>
      <c r="Y5" s="16">
        <v>60.0</v>
      </c>
      <c r="Z5" s="17">
        <f t="shared" ref="Z5:Z123" si="1">SUM(F5:Y5)</f>
        <v>1030</v>
      </c>
      <c r="AA5" s="18">
        <v>1030.0</v>
      </c>
      <c r="AB5" s="18">
        <v>1030.0</v>
      </c>
      <c r="AC5" s="19">
        <f t="shared" ref="AC5:AC120" si="2">Z5-AA5</f>
        <v>0</v>
      </c>
      <c r="AD5" s="19">
        <f t="shared" ref="AD5:AD120" si="3">Z5-AB5</f>
        <v>0</v>
      </c>
    </row>
    <row r="6" ht="14.25" customHeight="1">
      <c r="A6" s="13">
        <v>2.0</v>
      </c>
      <c r="B6" s="14" t="s">
        <v>40</v>
      </c>
      <c r="C6" s="14" t="s">
        <v>38</v>
      </c>
      <c r="D6" s="15" t="s">
        <v>41</v>
      </c>
      <c r="E6" s="15">
        <v>250.0</v>
      </c>
      <c r="F6" s="16"/>
      <c r="G6" s="16"/>
      <c r="H6" s="20"/>
      <c r="I6" s="20"/>
      <c r="J6" s="20"/>
      <c r="K6" s="20"/>
      <c r="L6" s="20"/>
      <c r="M6" s="20"/>
      <c r="N6" s="20"/>
      <c r="O6" s="20"/>
      <c r="P6" s="20"/>
      <c r="Q6" s="20">
        <v>250.0</v>
      </c>
      <c r="R6" s="20"/>
      <c r="S6" s="20"/>
      <c r="T6" s="20"/>
      <c r="U6" s="20"/>
      <c r="V6" s="20"/>
      <c r="W6" s="20"/>
      <c r="X6" s="20"/>
      <c r="Y6" s="20">
        <v>20.0</v>
      </c>
      <c r="Z6" s="17">
        <f t="shared" si="1"/>
        <v>270</v>
      </c>
      <c r="AA6" s="18">
        <v>270.0</v>
      </c>
      <c r="AB6" s="18">
        <v>270.0</v>
      </c>
      <c r="AC6" s="19">
        <f t="shared" si="2"/>
        <v>0</v>
      </c>
      <c r="AD6" s="19">
        <f t="shared" si="3"/>
        <v>0</v>
      </c>
    </row>
    <row r="7" ht="14.25" customHeight="1">
      <c r="A7" s="13">
        <v>3.0</v>
      </c>
      <c r="B7" s="14" t="s">
        <v>42</v>
      </c>
      <c r="C7" s="14" t="s">
        <v>38</v>
      </c>
      <c r="D7" s="15" t="s">
        <v>41</v>
      </c>
      <c r="E7" s="15">
        <v>250.0</v>
      </c>
      <c r="F7" s="16"/>
      <c r="G7" s="16"/>
      <c r="H7" s="20">
        <v>200.0</v>
      </c>
      <c r="I7" s="20"/>
      <c r="J7" s="20"/>
      <c r="K7" s="20"/>
      <c r="L7" s="20"/>
      <c r="M7" s="20">
        <v>100.0</v>
      </c>
      <c r="N7" s="20"/>
      <c r="O7" s="20"/>
      <c r="P7" s="20"/>
      <c r="Q7" s="20">
        <v>115.0</v>
      </c>
      <c r="R7" s="20"/>
      <c r="S7" s="20"/>
      <c r="T7" s="20">
        <v>25.0</v>
      </c>
      <c r="U7" s="20"/>
      <c r="V7" s="20"/>
      <c r="W7" s="20"/>
      <c r="X7" s="20"/>
      <c r="Y7" s="20">
        <v>60.0</v>
      </c>
      <c r="Z7" s="17">
        <f t="shared" si="1"/>
        <v>500</v>
      </c>
      <c r="AA7" s="18">
        <v>500.0</v>
      </c>
      <c r="AB7" s="18">
        <v>500.0</v>
      </c>
      <c r="AC7" s="19">
        <f t="shared" si="2"/>
        <v>0</v>
      </c>
      <c r="AD7" s="19">
        <f t="shared" si="3"/>
        <v>0</v>
      </c>
    </row>
    <row r="8" ht="14.25" customHeight="1">
      <c r="A8" s="13">
        <v>4.0</v>
      </c>
      <c r="B8" s="14" t="s">
        <v>43</v>
      </c>
      <c r="C8" s="14" t="s">
        <v>38</v>
      </c>
      <c r="D8" s="15" t="s">
        <v>41</v>
      </c>
      <c r="E8" s="15">
        <v>250.0</v>
      </c>
      <c r="F8" s="16"/>
      <c r="G8" s="16"/>
      <c r="H8" s="20">
        <v>200.0</v>
      </c>
      <c r="I8" s="20"/>
      <c r="J8" s="20"/>
      <c r="K8" s="20"/>
      <c r="L8" s="20"/>
      <c r="M8" s="20"/>
      <c r="N8" s="20"/>
      <c r="O8" s="20"/>
      <c r="P8" s="20"/>
      <c r="Q8" s="20"/>
      <c r="R8" s="20"/>
      <c r="S8" s="20">
        <v>125.0</v>
      </c>
      <c r="T8" s="20">
        <v>25.0</v>
      </c>
      <c r="U8" s="20"/>
      <c r="V8" s="20"/>
      <c r="W8" s="20"/>
      <c r="X8" s="20"/>
      <c r="Y8" s="20"/>
      <c r="Z8" s="17">
        <f t="shared" si="1"/>
        <v>350</v>
      </c>
      <c r="AA8" s="18">
        <v>350.0</v>
      </c>
      <c r="AB8" s="18">
        <v>350.0</v>
      </c>
      <c r="AC8" s="19">
        <f t="shared" si="2"/>
        <v>0</v>
      </c>
      <c r="AD8" s="19">
        <f t="shared" si="3"/>
        <v>0</v>
      </c>
    </row>
    <row r="9" ht="14.25" customHeight="1">
      <c r="A9" s="13">
        <v>5.0</v>
      </c>
      <c r="B9" s="14" t="s">
        <v>44</v>
      </c>
      <c r="C9" s="14" t="s">
        <v>38</v>
      </c>
      <c r="D9" s="15" t="s">
        <v>45</v>
      </c>
      <c r="E9" s="15">
        <v>300.0</v>
      </c>
      <c r="F9" s="16"/>
      <c r="G9" s="16"/>
      <c r="H9" s="20"/>
      <c r="I9" s="20"/>
      <c r="J9" s="20"/>
      <c r="K9" s="20"/>
      <c r="L9" s="20">
        <v>300.0</v>
      </c>
      <c r="M9" s="20"/>
      <c r="N9" s="20"/>
      <c r="O9" s="20"/>
      <c r="P9" s="20"/>
      <c r="Q9" s="20"/>
      <c r="R9" s="20"/>
      <c r="S9" s="20"/>
      <c r="T9" s="20"/>
      <c r="U9" s="20"/>
      <c r="V9" s="20"/>
      <c r="W9" s="20"/>
      <c r="X9" s="20"/>
      <c r="Y9" s="20"/>
      <c r="Z9" s="17">
        <f t="shared" si="1"/>
        <v>300</v>
      </c>
      <c r="AA9" s="18">
        <v>300.0</v>
      </c>
      <c r="AB9" s="18">
        <v>300.0</v>
      </c>
      <c r="AC9" s="19">
        <f t="shared" si="2"/>
        <v>0</v>
      </c>
      <c r="AD9" s="19">
        <f t="shared" si="3"/>
        <v>0</v>
      </c>
    </row>
    <row r="10" ht="14.25" customHeight="1">
      <c r="A10" s="13">
        <v>6.0</v>
      </c>
      <c r="B10" s="14" t="s">
        <v>46</v>
      </c>
      <c r="C10" s="14" t="s">
        <v>38</v>
      </c>
      <c r="D10" s="15" t="s">
        <v>41</v>
      </c>
      <c r="E10" s="15">
        <v>250.0</v>
      </c>
      <c r="F10" s="16"/>
      <c r="G10" s="16"/>
      <c r="H10" s="20">
        <v>100.0</v>
      </c>
      <c r="I10" s="20"/>
      <c r="J10" s="20"/>
      <c r="K10" s="20"/>
      <c r="L10" s="20"/>
      <c r="M10" s="20"/>
      <c r="N10" s="20"/>
      <c r="O10" s="20"/>
      <c r="P10" s="20"/>
      <c r="Q10" s="20"/>
      <c r="R10" s="20"/>
      <c r="S10" s="20"/>
      <c r="T10" s="20"/>
      <c r="U10" s="20"/>
      <c r="V10" s="20"/>
      <c r="W10" s="20"/>
      <c r="X10" s="20">
        <v>10.0</v>
      </c>
      <c r="Y10" s="20">
        <v>40.0</v>
      </c>
      <c r="Z10" s="17">
        <f t="shared" si="1"/>
        <v>150</v>
      </c>
      <c r="AA10" s="18">
        <v>150.0</v>
      </c>
      <c r="AB10" s="18">
        <v>150.0</v>
      </c>
      <c r="AC10" s="19">
        <f t="shared" si="2"/>
        <v>0</v>
      </c>
      <c r="AD10" s="19">
        <f t="shared" si="3"/>
        <v>0</v>
      </c>
    </row>
    <row r="11" ht="14.25" customHeight="1">
      <c r="A11" s="13">
        <v>7.0</v>
      </c>
      <c r="B11" s="21" t="s">
        <v>47</v>
      </c>
      <c r="C11" s="14" t="s">
        <v>38</v>
      </c>
      <c r="D11" s="15" t="s">
        <v>48</v>
      </c>
      <c r="E11" s="15">
        <v>200.0</v>
      </c>
      <c r="F11" s="22"/>
      <c r="G11" s="22"/>
      <c r="H11" s="23">
        <v>1000.0</v>
      </c>
      <c r="I11" s="23"/>
      <c r="J11" s="23"/>
      <c r="K11" s="23">
        <v>1500.0</v>
      </c>
      <c r="L11" s="23"/>
      <c r="M11" s="23"/>
      <c r="N11" s="23"/>
      <c r="O11" s="23"/>
      <c r="P11" s="23"/>
      <c r="Q11" s="23"/>
      <c r="R11" s="23"/>
      <c r="S11" s="23"/>
      <c r="T11" s="23"/>
      <c r="U11" s="23"/>
      <c r="V11" s="23"/>
      <c r="W11" s="23"/>
      <c r="X11" s="23"/>
      <c r="Y11" s="23"/>
      <c r="Z11" s="17">
        <f t="shared" si="1"/>
        <v>2500</v>
      </c>
      <c r="AA11" s="24">
        <v>2500.0</v>
      </c>
      <c r="AB11" s="24">
        <v>2500.0</v>
      </c>
      <c r="AC11" s="19">
        <f t="shared" si="2"/>
        <v>0</v>
      </c>
      <c r="AD11" s="19">
        <f t="shared" si="3"/>
        <v>0</v>
      </c>
    </row>
    <row r="12" ht="14.25" customHeight="1">
      <c r="A12" s="13">
        <v>8.0</v>
      </c>
      <c r="B12" s="14" t="s">
        <v>49</v>
      </c>
      <c r="C12" s="14" t="s">
        <v>38</v>
      </c>
      <c r="D12" s="15" t="s">
        <v>41</v>
      </c>
      <c r="E12" s="15">
        <v>250.0</v>
      </c>
      <c r="F12" s="16"/>
      <c r="G12" s="16"/>
      <c r="H12" s="20"/>
      <c r="I12" s="20"/>
      <c r="J12" s="20">
        <v>70.0</v>
      </c>
      <c r="K12" s="20"/>
      <c r="L12" s="20"/>
      <c r="M12" s="20"/>
      <c r="N12" s="20">
        <v>50.0</v>
      </c>
      <c r="O12" s="20"/>
      <c r="P12" s="20"/>
      <c r="Q12" s="20">
        <v>30.0</v>
      </c>
      <c r="R12" s="20"/>
      <c r="S12" s="20"/>
      <c r="T12" s="20"/>
      <c r="U12" s="20"/>
      <c r="V12" s="20"/>
      <c r="W12" s="20"/>
      <c r="X12" s="20"/>
      <c r="Y12" s="20">
        <v>20.0</v>
      </c>
      <c r="Z12" s="17">
        <f t="shared" si="1"/>
        <v>170</v>
      </c>
      <c r="AA12" s="18">
        <v>170.0</v>
      </c>
      <c r="AB12" s="18">
        <v>170.0</v>
      </c>
      <c r="AC12" s="19">
        <f t="shared" si="2"/>
        <v>0</v>
      </c>
      <c r="AD12" s="19">
        <f t="shared" si="3"/>
        <v>0</v>
      </c>
    </row>
    <row r="13" ht="14.25" customHeight="1">
      <c r="A13" s="13">
        <v>9.0</v>
      </c>
      <c r="B13" s="14" t="s">
        <v>50</v>
      </c>
      <c r="C13" s="14" t="s">
        <v>38</v>
      </c>
      <c r="D13" s="15" t="s">
        <v>45</v>
      </c>
      <c r="E13" s="15">
        <v>300.0</v>
      </c>
      <c r="F13" s="16"/>
      <c r="G13" s="16"/>
      <c r="H13" s="20">
        <v>200.0</v>
      </c>
      <c r="I13" s="20"/>
      <c r="J13" s="20"/>
      <c r="K13" s="20"/>
      <c r="L13" s="20"/>
      <c r="M13" s="20"/>
      <c r="N13" s="20">
        <v>15.0</v>
      </c>
      <c r="O13" s="20"/>
      <c r="P13" s="20"/>
      <c r="Q13" s="20"/>
      <c r="R13" s="20"/>
      <c r="S13" s="20"/>
      <c r="T13" s="20"/>
      <c r="U13" s="20"/>
      <c r="V13" s="20"/>
      <c r="W13" s="20"/>
      <c r="X13" s="20"/>
      <c r="Y13" s="20">
        <v>20.0</v>
      </c>
      <c r="Z13" s="17">
        <f t="shared" si="1"/>
        <v>235</v>
      </c>
      <c r="AA13" s="18">
        <v>235.0</v>
      </c>
      <c r="AB13" s="18">
        <v>235.0</v>
      </c>
      <c r="AC13" s="19">
        <f t="shared" si="2"/>
        <v>0</v>
      </c>
      <c r="AD13" s="19">
        <f t="shared" si="3"/>
        <v>0</v>
      </c>
    </row>
    <row r="14" ht="14.25" customHeight="1">
      <c r="A14" s="13">
        <v>10.0</v>
      </c>
      <c r="B14" s="14" t="s">
        <v>51</v>
      </c>
      <c r="C14" s="14" t="s">
        <v>38</v>
      </c>
      <c r="D14" s="15" t="s">
        <v>39</v>
      </c>
      <c r="E14" s="15">
        <v>350.0</v>
      </c>
      <c r="F14" s="16"/>
      <c r="G14" s="16"/>
      <c r="H14" s="20">
        <v>500.0</v>
      </c>
      <c r="I14" s="20"/>
      <c r="J14" s="20">
        <v>140.0</v>
      </c>
      <c r="K14" s="20">
        <v>70.0</v>
      </c>
      <c r="L14" s="20">
        <v>74.0</v>
      </c>
      <c r="M14" s="20"/>
      <c r="N14" s="18">
        <v>280.0</v>
      </c>
      <c r="O14" s="20"/>
      <c r="P14" s="20"/>
      <c r="Q14" s="20"/>
      <c r="R14" s="20"/>
      <c r="S14" s="20">
        <v>50.0</v>
      </c>
      <c r="T14" s="20"/>
      <c r="U14" s="20"/>
      <c r="V14" s="20"/>
      <c r="W14" s="20"/>
      <c r="X14" s="20">
        <v>40.0</v>
      </c>
      <c r="Y14" s="20"/>
      <c r="Z14" s="17">
        <f t="shared" si="1"/>
        <v>1154</v>
      </c>
      <c r="AA14" s="18">
        <v>1154.0</v>
      </c>
      <c r="AB14" s="18">
        <v>1154.0</v>
      </c>
      <c r="AC14" s="19">
        <f t="shared" si="2"/>
        <v>0</v>
      </c>
      <c r="AD14" s="19">
        <f t="shared" si="3"/>
        <v>0</v>
      </c>
    </row>
    <row r="15" ht="14.25" customHeight="1">
      <c r="A15" s="13">
        <v>11.0</v>
      </c>
      <c r="B15" s="14" t="s">
        <v>52</v>
      </c>
      <c r="C15" s="14" t="s">
        <v>38</v>
      </c>
      <c r="D15" s="15" t="s">
        <v>41</v>
      </c>
      <c r="E15" s="15">
        <v>250.0</v>
      </c>
      <c r="F15" s="16"/>
      <c r="G15" s="16"/>
      <c r="H15" s="20"/>
      <c r="I15" s="20"/>
      <c r="J15" s="20"/>
      <c r="K15" s="20">
        <v>102.5</v>
      </c>
      <c r="L15" s="20"/>
      <c r="M15" s="20"/>
      <c r="N15" s="20">
        <v>37.5</v>
      </c>
      <c r="O15" s="20"/>
      <c r="P15" s="20"/>
      <c r="Q15" s="20"/>
      <c r="R15" s="20"/>
      <c r="S15" s="20"/>
      <c r="T15" s="20">
        <v>50.0</v>
      </c>
      <c r="U15" s="20"/>
      <c r="V15" s="20"/>
      <c r="W15" s="20"/>
      <c r="X15" s="20"/>
      <c r="Y15" s="20">
        <v>60.0</v>
      </c>
      <c r="Z15" s="17">
        <f t="shared" si="1"/>
        <v>250</v>
      </c>
      <c r="AA15" s="18">
        <v>250.0</v>
      </c>
      <c r="AB15" s="18">
        <v>250.0</v>
      </c>
      <c r="AC15" s="19">
        <f t="shared" si="2"/>
        <v>0</v>
      </c>
      <c r="AD15" s="19">
        <f t="shared" si="3"/>
        <v>0</v>
      </c>
    </row>
    <row r="16" ht="14.25" customHeight="1">
      <c r="A16" s="13">
        <v>12.0</v>
      </c>
      <c r="B16" s="14" t="s">
        <v>53</v>
      </c>
      <c r="C16" s="14" t="s">
        <v>38</v>
      </c>
      <c r="D16" s="15" t="s">
        <v>41</v>
      </c>
      <c r="E16" s="15">
        <v>250.0</v>
      </c>
      <c r="F16" s="16"/>
      <c r="G16" s="16"/>
      <c r="H16" s="20">
        <v>200.0</v>
      </c>
      <c r="I16" s="20"/>
      <c r="J16" s="20"/>
      <c r="K16" s="20"/>
      <c r="L16" s="20"/>
      <c r="M16" s="20"/>
      <c r="N16" s="20">
        <v>50.0</v>
      </c>
      <c r="O16" s="20"/>
      <c r="P16" s="20"/>
      <c r="Q16" s="20">
        <v>30.0</v>
      </c>
      <c r="R16" s="20"/>
      <c r="S16" s="20"/>
      <c r="T16" s="20"/>
      <c r="U16" s="20">
        <v>25.0</v>
      </c>
      <c r="V16" s="20"/>
      <c r="W16" s="20"/>
      <c r="X16" s="20"/>
      <c r="Y16" s="20">
        <v>40.0</v>
      </c>
      <c r="Z16" s="17">
        <f t="shared" si="1"/>
        <v>345</v>
      </c>
      <c r="AA16" s="18">
        <v>345.0</v>
      </c>
      <c r="AB16" s="18">
        <v>345.0</v>
      </c>
      <c r="AC16" s="19">
        <f t="shared" si="2"/>
        <v>0</v>
      </c>
      <c r="AD16" s="19">
        <f t="shared" si="3"/>
        <v>0</v>
      </c>
    </row>
    <row r="17" ht="14.25" customHeight="1">
      <c r="A17" s="13">
        <v>13.0</v>
      </c>
      <c r="B17" s="14" t="s">
        <v>54</v>
      </c>
      <c r="C17" s="14" t="s">
        <v>38</v>
      </c>
      <c r="D17" s="15" t="s">
        <v>55</v>
      </c>
      <c r="E17" s="15">
        <v>250.0</v>
      </c>
      <c r="F17" s="16"/>
      <c r="G17" s="16"/>
      <c r="H17" s="20"/>
      <c r="I17" s="20"/>
      <c r="J17" s="20"/>
      <c r="K17" s="20"/>
      <c r="L17" s="20"/>
      <c r="M17" s="20">
        <v>50.0</v>
      </c>
      <c r="N17" s="20">
        <v>60.0</v>
      </c>
      <c r="O17" s="20"/>
      <c r="P17" s="20"/>
      <c r="Q17" s="20"/>
      <c r="R17" s="20"/>
      <c r="S17" s="20">
        <v>175.0</v>
      </c>
      <c r="T17" s="20"/>
      <c r="U17" s="20">
        <v>25.0</v>
      </c>
      <c r="V17" s="20"/>
      <c r="W17" s="20"/>
      <c r="X17" s="20"/>
      <c r="Y17" s="20"/>
      <c r="Z17" s="17">
        <f t="shared" si="1"/>
        <v>310</v>
      </c>
      <c r="AA17" s="18">
        <v>310.0</v>
      </c>
      <c r="AB17" s="18">
        <v>310.0</v>
      </c>
      <c r="AC17" s="19">
        <f t="shared" si="2"/>
        <v>0</v>
      </c>
      <c r="AD17" s="19">
        <f t="shared" si="3"/>
        <v>0</v>
      </c>
    </row>
    <row r="18" ht="14.25" customHeight="1">
      <c r="A18" s="13">
        <v>14.0</v>
      </c>
      <c r="B18" s="14" t="s">
        <v>56</v>
      </c>
      <c r="C18" s="14" t="s">
        <v>38</v>
      </c>
      <c r="D18" s="15" t="s">
        <v>57</v>
      </c>
      <c r="E18" s="15">
        <v>200.0</v>
      </c>
      <c r="F18" s="16"/>
      <c r="G18" s="16"/>
      <c r="H18" s="20">
        <v>400.0</v>
      </c>
      <c r="I18" s="20"/>
      <c r="J18" s="20"/>
      <c r="K18" s="20"/>
      <c r="L18" s="20">
        <v>12.0</v>
      </c>
      <c r="M18" s="20"/>
      <c r="N18" s="20"/>
      <c r="O18" s="20"/>
      <c r="P18" s="20"/>
      <c r="Q18" s="20"/>
      <c r="R18" s="20"/>
      <c r="S18" s="20"/>
      <c r="T18" s="20"/>
      <c r="U18" s="20"/>
      <c r="V18" s="20"/>
      <c r="W18" s="20"/>
      <c r="X18" s="20"/>
      <c r="Y18" s="20">
        <v>20.0</v>
      </c>
      <c r="Z18" s="17">
        <f t="shared" si="1"/>
        <v>432</v>
      </c>
      <c r="AA18" s="18">
        <v>432.0</v>
      </c>
      <c r="AB18" s="18">
        <v>432.0</v>
      </c>
      <c r="AC18" s="19">
        <f t="shared" si="2"/>
        <v>0</v>
      </c>
      <c r="AD18" s="19">
        <f t="shared" si="3"/>
        <v>0</v>
      </c>
    </row>
    <row r="19" ht="14.25" customHeight="1">
      <c r="A19" s="13">
        <v>15.0</v>
      </c>
      <c r="B19" s="14" t="s">
        <v>58</v>
      </c>
      <c r="C19" s="14" t="s">
        <v>38</v>
      </c>
      <c r="D19" s="15" t="s">
        <v>39</v>
      </c>
      <c r="E19" s="15">
        <v>500.0</v>
      </c>
      <c r="F19" s="16"/>
      <c r="G19" s="16"/>
      <c r="H19" s="20">
        <v>220.0</v>
      </c>
      <c r="I19" s="20"/>
      <c r="J19" s="20">
        <v>84.0</v>
      </c>
      <c r="K19" s="20"/>
      <c r="L19" s="20">
        <v>300.0</v>
      </c>
      <c r="M19" s="20"/>
      <c r="N19" s="20"/>
      <c r="O19" s="20"/>
      <c r="P19" s="20"/>
      <c r="Q19" s="20"/>
      <c r="R19" s="20"/>
      <c r="S19" s="20">
        <v>200.0</v>
      </c>
      <c r="T19" s="20"/>
      <c r="U19" s="20">
        <v>50.0</v>
      </c>
      <c r="V19" s="20"/>
      <c r="W19" s="20"/>
      <c r="X19" s="20">
        <v>40.0</v>
      </c>
      <c r="Y19" s="20"/>
      <c r="Z19" s="17">
        <f t="shared" si="1"/>
        <v>894</v>
      </c>
      <c r="AA19" s="18">
        <v>894.0</v>
      </c>
      <c r="AB19" s="18">
        <v>894.0</v>
      </c>
      <c r="AC19" s="19">
        <f t="shared" si="2"/>
        <v>0</v>
      </c>
      <c r="AD19" s="19">
        <f t="shared" si="3"/>
        <v>0</v>
      </c>
    </row>
    <row r="20" ht="14.25" customHeight="1">
      <c r="A20" s="13">
        <v>16.0</v>
      </c>
      <c r="B20" s="14" t="s">
        <v>59</v>
      </c>
      <c r="C20" s="14" t="s">
        <v>38</v>
      </c>
      <c r="D20" s="15" t="s">
        <v>39</v>
      </c>
      <c r="E20" s="15">
        <v>500.0</v>
      </c>
      <c r="F20" s="16"/>
      <c r="G20" s="16"/>
      <c r="H20" s="20"/>
      <c r="I20" s="20"/>
      <c r="J20" s="20"/>
      <c r="K20" s="20"/>
      <c r="L20" s="20"/>
      <c r="M20" s="20">
        <v>33.33</v>
      </c>
      <c r="N20" s="20">
        <v>215.49</v>
      </c>
      <c r="O20" s="20"/>
      <c r="P20" s="20"/>
      <c r="Q20" s="20"/>
      <c r="R20" s="20"/>
      <c r="S20" s="20">
        <v>200.0</v>
      </c>
      <c r="T20" s="20">
        <v>75.0</v>
      </c>
      <c r="U20" s="20">
        <v>25.0</v>
      </c>
      <c r="V20" s="20"/>
      <c r="W20" s="20"/>
      <c r="X20" s="20">
        <v>6.66</v>
      </c>
      <c r="Y20" s="20">
        <v>46.66</v>
      </c>
      <c r="Z20" s="17">
        <f t="shared" si="1"/>
        <v>602.14</v>
      </c>
      <c r="AA20" s="18">
        <v>602.14</v>
      </c>
      <c r="AB20" s="18">
        <v>602.14</v>
      </c>
      <c r="AC20" s="19">
        <f t="shared" si="2"/>
        <v>0</v>
      </c>
      <c r="AD20" s="19">
        <f t="shared" si="3"/>
        <v>0</v>
      </c>
    </row>
    <row r="21" ht="14.25" customHeight="1">
      <c r="A21" s="13">
        <v>17.0</v>
      </c>
      <c r="B21" s="14" t="s">
        <v>60</v>
      </c>
      <c r="C21" s="14" t="s">
        <v>38</v>
      </c>
      <c r="D21" s="15" t="s">
        <v>45</v>
      </c>
      <c r="E21" s="15">
        <v>300.0</v>
      </c>
      <c r="F21" s="16"/>
      <c r="G21" s="16"/>
      <c r="H21" s="20">
        <v>900.0</v>
      </c>
      <c r="I21" s="20"/>
      <c r="J21" s="20"/>
      <c r="K21" s="20"/>
      <c r="L21" s="20"/>
      <c r="M21" s="20"/>
      <c r="N21" s="20">
        <v>249.17</v>
      </c>
      <c r="O21" s="20"/>
      <c r="P21" s="20"/>
      <c r="Q21" s="20"/>
      <c r="R21" s="20"/>
      <c r="S21" s="20">
        <v>100.0</v>
      </c>
      <c r="T21" s="20">
        <v>25.0</v>
      </c>
      <c r="U21" s="20"/>
      <c r="V21" s="20">
        <v>450.0</v>
      </c>
      <c r="W21" s="20"/>
      <c r="X21" s="20"/>
      <c r="Y21" s="20">
        <v>60.0</v>
      </c>
      <c r="Z21" s="17">
        <f t="shared" si="1"/>
        <v>1784.17</v>
      </c>
      <c r="AA21" s="18">
        <v>1784.17</v>
      </c>
      <c r="AB21" s="18">
        <v>1784.17</v>
      </c>
      <c r="AC21" s="19">
        <f t="shared" si="2"/>
        <v>0</v>
      </c>
      <c r="AD21" s="19">
        <f t="shared" si="3"/>
        <v>0</v>
      </c>
    </row>
    <row r="22" ht="14.25" customHeight="1">
      <c r="A22" s="13">
        <v>18.0</v>
      </c>
      <c r="B22" s="14" t="s">
        <v>61</v>
      </c>
      <c r="C22" s="14" t="s">
        <v>38</v>
      </c>
      <c r="D22" s="15" t="s">
        <v>41</v>
      </c>
      <c r="E22" s="15">
        <v>250.0</v>
      </c>
      <c r="F22" s="16"/>
      <c r="G22" s="16"/>
      <c r="H22" s="20">
        <v>100.0</v>
      </c>
      <c r="I22" s="20"/>
      <c r="J22" s="20">
        <v>70.0</v>
      </c>
      <c r="K22" s="20"/>
      <c r="L22" s="20"/>
      <c r="M22" s="20"/>
      <c r="N22" s="20"/>
      <c r="O22" s="20"/>
      <c r="P22" s="20"/>
      <c r="Q22" s="20"/>
      <c r="R22" s="20"/>
      <c r="S22" s="20"/>
      <c r="T22" s="20"/>
      <c r="U22" s="20">
        <v>75.0</v>
      </c>
      <c r="V22" s="20"/>
      <c r="W22" s="20"/>
      <c r="X22" s="20">
        <v>10.0</v>
      </c>
      <c r="Y22" s="20">
        <v>20.0</v>
      </c>
      <c r="Z22" s="17">
        <f t="shared" si="1"/>
        <v>275</v>
      </c>
      <c r="AA22" s="18">
        <v>275.0</v>
      </c>
      <c r="AB22" s="18">
        <v>275.0</v>
      </c>
      <c r="AC22" s="19">
        <f t="shared" si="2"/>
        <v>0</v>
      </c>
      <c r="AD22" s="19">
        <f t="shared" si="3"/>
        <v>0</v>
      </c>
    </row>
    <row r="23" ht="14.25" customHeight="1">
      <c r="A23" s="13">
        <v>19.0</v>
      </c>
      <c r="B23" s="14" t="s">
        <v>62</v>
      </c>
      <c r="C23" s="14" t="s">
        <v>38</v>
      </c>
      <c r="D23" s="15" t="s">
        <v>39</v>
      </c>
      <c r="E23" s="15">
        <v>500.0</v>
      </c>
      <c r="F23" s="16"/>
      <c r="G23" s="16"/>
      <c r="H23" s="20">
        <v>200.0</v>
      </c>
      <c r="I23" s="20"/>
      <c r="J23" s="20"/>
      <c r="K23" s="20">
        <v>108.5</v>
      </c>
      <c r="L23" s="20"/>
      <c r="M23" s="20"/>
      <c r="N23" s="20">
        <v>1428.5</v>
      </c>
      <c r="O23" s="20"/>
      <c r="P23" s="20"/>
      <c r="Q23" s="20"/>
      <c r="R23" s="20"/>
      <c r="S23" s="20">
        <v>200.0</v>
      </c>
      <c r="T23" s="20">
        <v>50.0</v>
      </c>
      <c r="U23" s="20"/>
      <c r="V23" s="20"/>
      <c r="W23" s="20">
        <v>300.0</v>
      </c>
      <c r="X23" s="20"/>
      <c r="Y23" s="20"/>
      <c r="Z23" s="17">
        <f t="shared" si="1"/>
        <v>2287</v>
      </c>
      <c r="AA23" s="18">
        <v>2287.0</v>
      </c>
      <c r="AB23" s="18">
        <v>2287.0</v>
      </c>
      <c r="AC23" s="19">
        <f t="shared" si="2"/>
        <v>0</v>
      </c>
      <c r="AD23" s="19">
        <f t="shared" si="3"/>
        <v>0</v>
      </c>
    </row>
    <row r="24" ht="14.25" customHeight="1">
      <c r="A24" s="13">
        <v>20.0</v>
      </c>
      <c r="B24" s="14" t="s">
        <v>63</v>
      </c>
      <c r="C24" s="14" t="s">
        <v>38</v>
      </c>
      <c r="D24" s="15" t="s">
        <v>45</v>
      </c>
      <c r="E24" s="15">
        <v>300.0</v>
      </c>
      <c r="F24" s="16"/>
      <c r="G24" s="16"/>
      <c r="H24" s="20">
        <v>200.0</v>
      </c>
      <c r="I24" s="20"/>
      <c r="J24" s="20">
        <v>70.0</v>
      </c>
      <c r="K24" s="20"/>
      <c r="L24" s="20"/>
      <c r="M24" s="20"/>
      <c r="N24" s="20"/>
      <c r="O24" s="20"/>
      <c r="P24" s="20"/>
      <c r="Q24" s="20"/>
      <c r="R24" s="20"/>
      <c r="S24" s="20"/>
      <c r="T24" s="20"/>
      <c r="U24" s="20"/>
      <c r="V24" s="20"/>
      <c r="W24" s="20"/>
      <c r="X24" s="20"/>
      <c r="Y24" s="20">
        <v>40.0</v>
      </c>
      <c r="Z24" s="17">
        <f t="shared" si="1"/>
        <v>310</v>
      </c>
      <c r="AA24" s="18">
        <v>310.0</v>
      </c>
      <c r="AB24" s="18">
        <v>310.0</v>
      </c>
      <c r="AC24" s="19">
        <f t="shared" si="2"/>
        <v>0</v>
      </c>
      <c r="AD24" s="19">
        <f t="shared" si="3"/>
        <v>0</v>
      </c>
    </row>
    <row r="25" ht="14.25" customHeight="1">
      <c r="A25" s="13">
        <v>21.0</v>
      </c>
      <c r="B25" s="14" t="s">
        <v>64</v>
      </c>
      <c r="C25" s="14" t="s">
        <v>38</v>
      </c>
      <c r="D25" s="15" t="s">
        <v>41</v>
      </c>
      <c r="E25" s="15">
        <v>250.0</v>
      </c>
      <c r="F25" s="16"/>
      <c r="G25" s="16"/>
      <c r="H25" s="20"/>
      <c r="I25" s="20"/>
      <c r="J25" s="20"/>
      <c r="K25" s="25">
        <v>1500.0</v>
      </c>
      <c r="L25" s="20">
        <v>46.0</v>
      </c>
      <c r="M25" s="20"/>
      <c r="N25" s="20"/>
      <c r="O25" s="20"/>
      <c r="P25" s="20"/>
      <c r="Q25" s="20"/>
      <c r="R25" s="20"/>
      <c r="S25" s="20"/>
      <c r="T25" s="20"/>
      <c r="U25" s="20"/>
      <c r="V25" s="20"/>
      <c r="W25" s="20"/>
      <c r="X25" s="20">
        <v>20.0</v>
      </c>
      <c r="Y25" s="20">
        <v>60.0</v>
      </c>
      <c r="Z25" s="17">
        <f t="shared" si="1"/>
        <v>1626</v>
      </c>
      <c r="AA25" s="18">
        <v>1626.0</v>
      </c>
      <c r="AB25" s="18">
        <v>1626.0</v>
      </c>
      <c r="AC25" s="19">
        <f t="shared" si="2"/>
        <v>0</v>
      </c>
      <c r="AD25" s="19">
        <f t="shared" si="3"/>
        <v>0</v>
      </c>
    </row>
    <row r="26" ht="14.25" customHeight="1">
      <c r="A26" s="13">
        <v>22.0</v>
      </c>
      <c r="B26" s="14" t="s">
        <v>65</v>
      </c>
      <c r="C26" s="14" t="s">
        <v>38</v>
      </c>
      <c r="D26" s="15" t="s">
        <v>57</v>
      </c>
      <c r="E26" s="15">
        <v>200.0</v>
      </c>
      <c r="F26" s="16">
        <v>500.0</v>
      </c>
      <c r="G26" s="16"/>
      <c r="H26" s="20"/>
      <c r="I26" s="20"/>
      <c r="J26" s="20">
        <v>140.0</v>
      </c>
      <c r="K26" s="20"/>
      <c r="L26" s="20">
        <v>46.0</v>
      </c>
      <c r="M26" s="20"/>
      <c r="N26" s="20"/>
      <c r="O26" s="20"/>
      <c r="P26" s="20"/>
      <c r="Q26" s="20"/>
      <c r="R26" s="20"/>
      <c r="S26" s="20">
        <v>50.0</v>
      </c>
      <c r="T26" s="20"/>
      <c r="U26" s="20"/>
      <c r="V26" s="20"/>
      <c r="W26" s="20"/>
      <c r="X26" s="20"/>
      <c r="Y26" s="20">
        <v>60.0</v>
      </c>
      <c r="Z26" s="17">
        <f t="shared" si="1"/>
        <v>796</v>
      </c>
      <c r="AA26" s="18">
        <v>796.0</v>
      </c>
      <c r="AB26" s="18">
        <v>796.0</v>
      </c>
      <c r="AC26" s="19">
        <f t="shared" si="2"/>
        <v>0</v>
      </c>
      <c r="AD26" s="19">
        <f t="shared" si="3"/>
        <v>0</v>
      </c>
    </row>
    <row r="27" ht="14.25" customHeight="1">
      <c r="A27" s="13">
        <v>23.0</v>
      </c>
      <c r="B27" s="14" t="s">
        <v>66</v>
      </c>
      <c r="C27" s="14" t="s">
        <v>38</v>
      </c>
      <c r="D27" s="15" t="s">
        <v>39</v>
      </c>
      <c r="E27" s="15">
        <v>500.0</v>
      </c>
      <c r="F27" s="16"/>
      <c r="G27" s="16"/>
      <c r="H27" s="20">
        <v>200.0</v>
      </c>
      <c r="I27" s="20"/>
      <c r="J27" s="20">
        <v>25.0</v>
      </c>
      <c r="K27" s="20"/>
      <c r="L27" s="20"/>
      <c r="M27" s="20"/>
      <c r="N27" s="20">
        <v>96.65</v>
      </c>
      <c r="O27" s="20"/>
      <c r="P27" s="20"/>
      <c r="Q27" s="20"/>
      <c r="R27" s="20"/>
      <c r="S27" s="20">
        <v>150.0</v>
      </c>
      <c r="T27" s="20">
        <v>50.0</v>
      </c>
      <c r="U27" s="20">
        <v>100.0</v>
      </c>
      <c r="V27" s="20">
        <v>100.0</v>
      </c>
      <c r="W27" s="20">
        <v>400.0</v>
      </c>
      <c r="X27" s="20">
        <v>3.33</v>
      </c>
      <c r="Y27" s="20">
        <v>60.0</v>
      </c>
      <c r="Z27" s="17">
        <f t="shared" si="1"/>
        <v>1184.98</v>
      </c>
      <c r="AA27" s="18">
        <v>1184.98</v>
      </c>
      <c r="AB27" s="18">
        <v>1184.98</v>
      </c>
      <c r="AC27" s="19">
        <f t="shared" si="2"/>
        <v>0</v>
      </c>
      <c r="AD27" s="19">
        <f t="shared" si="3"/>
        <v>0</v>
      </c>
    </row>
    <row r="28" ht="14.25" customHeight="1">
      <c r="A28" s="13">
        <v>24.0</v>
      </c>
      <c r="B28" s="14" t="s">
        <v>67</v>
      </c>
      <c r="C28" s="14" t="s">
        <v>38</v>
      </c>
      <c r="D28" s="15" t="s">
        <v>39</v>
      </c>
      <c r="E28" s="15">
        <v>350.0</v>
      </c>
      <c r="F28" s="16"/>
      <c r="G28" s="16"/>
      <c r="H28" s="20"/>
      <c r="I28" s="20"/>
      <c r="J28" s="20">
        <v>140.0</v>
      </c>
      <c r="K28" s="20">
        <v>310.0</v>
      </c>
      <c r="L28" s="20"/>
      <c r="M28" s="20"/>
      <c r="N28" s="20">
        <v>45.0</v>
      </c>
      <c r="O28" s="20"/>
      <c r="P28" s="20"/>
      <c r="Q28" s="20"/>
      <c r="R28" s="20"/>
      <c r="S28" s="20">
        <v>175.0</v>
      </c>
      <c r="T28" s="20"/>
      <c r="U28" s="20"/>
      <c r="V28" s="20"/>
      <c r="W28" s="20"/>
      <c r="X28" s="20"/>
      <c r="Y28" s="20"/>
      <c r="Z28" s="17">
        <f t="shared" si="1"/>
        <v>670</v>
      </c>
      <c r="AA28" s="18">
        <v>670.0</v>
      </c>
      <c r="AB28" s="18">
        <v>670.0</v>
      </c>
      <c r="AC28" s="19">
        <f t="shared" si="2"/>
        <v>0</v>
      </c>
      <c r="AD28" s="19">
        <f t="shared" si="3"/>
        <v>0</v>
      </c>
    </row>
    <row r="29" ht="14.25" customHeight="1">
      <c r="A29" s="13">
        <v>25.0</v>
      </c>
      <c r="B29" s="21" t="s">
        <v>68</v>
      </c>
      <c r="C29" s="21" t="s">
        <v>38</v>
      </c>
      <c r="D29" s="26" t="s">
        <v>41</v>
      </c>
      <c r="E29" s="26">
        <v>250.0</v>
      </c>
      <c r="F29" s="22"/>
      <c r="G29" s="22"/>
      <c r="H29" s="23">
        <v>400.0</v>
      </c>
      <c r="I29" s="23"/>
      <c r="J29" s="23">
        <v>140.0</v>
      </c>
      <c r="K29" s="23"/>
      <c r="L29" s="23"/>
      <c r="M29" s="23"/>
      <c r="N29" s="23">
        <v>38.0</v>
      </c>
      <c r="O29" s="23"/>
      <c r="P29" s="23"/>
      <c r="Q29" s="23"/>
      <c r="R29" s="23"/>
      <c r="S29" s="23">
        <v>75.0</v>
      </c>
      <c r="T29" s="23"/>
      <c r="U29" s="23">
        <v>25.0</v>
      </c>
      <c r="V29" s="23"/>
      <c r="W29" s="23"/>
      <c r="X29" s="23"/>
      <c r="Y29" s="23">
        <v>20.0</v>
      </c>
      <c r="Z29" s="17">
        <f t="shared" si="1"/>
        <v>698</v>
      </c>
      <c r="AA29" s="24">
        <v>698.0</v>
      </c>
      <c r="AB29" s="24">
        <v>698.0</v>
      </c>
      <c r="AC29" s="19">
        <f t="shared" si="2"/>
        <v>0</v>
      </c>
      <c r="AD29" s="19">
        <f t="shared" si="3"/>
        <v>0</v>
      </c>
    </row>
    <row r="30" ht="19.5" customHeight="1">
      <c r="A30" s="13">
        <v>26.0</v>
      </c>
      <c r="B30" s="21" t="s">
        <v>69</v>
      </c>
      <c r="C30" s="21" t="s">
        <v>38</v>
      </c>
      <c r="D30" s="26" t="s">
        <v>70</v>
      </c>
      <c r="E30" s="27">
        <v>250.0</v>
      </c>
      <c r="F30" s="22"/>
      <c r="G30" s="22"/>
      <c r="H30" s="22"/>
      <c r="I30" s="22"/>
      <c r="J30" s="22">
        <v>120.0</v>
      </c>
      <c r="K30" s="22"/>
      <c r="L30" s="22"/>
      <c r="M30" s="22"/>
      <c r="N30" s="22"/>
      <c r="O30" s="22"/>
      <c r="P30" s="22"/>
      <c r="Q30" s="22"/>
      <c r="R30" s="22"/>
      <c r="S30" s="22"/>
      <c r="T30" s="22"/>
      <c r="U30" s="22"/>
      <c r="V30" s="22"/>
      <c r="W30" s="22"/>
      <c r="X30" s="22"/>
      <c r="Y30" s="22"/>
      <c r="Z30" s="17">
        <f t="shared" si="1"/>
        <v>120</v>
      </c>
      <c r="AA30" s="24">
        <v>120.0</v>
      </c>
      <c r="AB30" s="24">
        <v>120.0</v>
      </c>
      <c r="AC30" s="19">
        <f t="shared" si="2"/>
        <v>0</v>
      </c>
      <c r="AD30" s="19">
        <f t="shared" si="3"/>
        <v>0</v>
      </c>
    </row>
    <row r="31" ht="14.25" customHeight="1">
      <c r="A31" s="13">
        <v>27.0</v>
      </c>
      <c r="B31" s="21" t="s">
        <v>71</v>
      </c>
      <c r="C31" s="21" t="s">
        <v>38</v>
      </c>
      <c r="D31" s="26" t="s">
        <v>70</v>
      </c>
      <c r="E31" s="27">
        <v>250.0</v>
      </c>
      <c r="F31" s="22"/>
      <c r="G31" s="22"/>
      <c r="H31" s="23"/>
      <c r="I31" s="23"/>
      <c r="J31" s="23">
        <v>70.0</v>
      </c>
      <c r="K31" s="23"/>
      <c r="L31" s="23"/>
      <c r="M31" s="23"/>
      <c r="N31" s="23"/>
      <c r="O31" s="23"/>
      <c r="P31" s="23"/>
      <c r="Q31" s="23"/>
      <c r="R31" s="23"/>
      <c r="S31" s="23"/>
      <c r="T31" s="23"/>
      <c r="U31" s="23"/>
      <c r="V31" s="23"/>
      <c r="W31" s="23"/>
      <c r="X31" s="23">
        <v>40.0</v>
      </c>
      <c r="Y31" s="23"/>
      <c r="Z31" s="17">
        <f t="shared" si="1"/>
        <v>110</v>
      </c>
      <c r="AA31" s="24">
        <v>110.0</v>
      </c>
      <c r="AB31" s="24">
        <v>110.0</v>
      </c>
      <c r="AC31" s="19">
        <f t="shared" si="2"/>
        <v>0</v>
      </c>
      <c r="AD31" s="19">
        <f t="shared" si="3"/>
        <v>0</v>
      </c>
    </row>
    <row r="32" ht="14.25" customHeight="1">
      <c r="A32" s="13">
        <v>28.0</v>
      </c>
      <c r="B32" s="21" t="s">
        <v>72</v>
      </c>
      <c r="C32" s="21" t="s">
        <v>73</v>
      </c>
      <c r="D32" s="26" t="s">
        <v>74</v>
      </c>
      <c r="E32" s="26">
        <v>350.0</v>
      </c>
      <c r="F32" s="22"/>
      <c r="G32" s="22"/>
      <c r="H32" s="22"/>
      <c r="I32" s="22">
        <v>100.0</v>
      </c>
      <c r="J32" s="22">
        <v>70.0</v>
      </c>
      <c r="K32" s="22"/>
      <c r="L32" s="22">
        <v>40.0</v>
      </c>
      <c r="M32" s="22">
        <v>200.0</v>
      </c>
      <c r="N32" s="22">
        <v>160.0</v>
      </c>
      <c r="O32" s="22"/>
      <c r="P32" s="22"/>
      <c r="Q32" s="22"/>
      <c r="R32" s="22"/>
      <c r="S32" s="22">
        <v>200.0</v>
      </c>
      <c r="T32" s="22">
        <v>200.0</v>
      </c>
      <c r="U32" s="22">
        <v>50.0</v>
      </c>
      <c r="V32" s="22"/>
      <c r="W32" s="22">
        <v>400.0</v>
      </c>
      <c r="X32" s="22"/>
      <c r="Y32" s="22"/>
      <c r="Z32" s="17">
        <f t="shared" si="1"/>
        <v>1420</v>
      </c>
      <c r="AA32" s="24">
        <v>1420.0</v>
      </c>
      <c r="AB32" s="24">
        <v>1420.0</v>
      </c>
      <c r="AC32" s="19">
        <f t="shared" si="2"/>
        <v>0</v>
      </c>
      <c r="AD32" s="19">
        <f t="shared" si="3"/>
        <v>0</v>
      </c>
    </row>
    <row r="33" ht="14.25" customHeight="1">
      <c r="A33" s="13">
        <v>29.0</v>
      </c>
      <c r="B33" s="21" t="s">
        <v>75</v>
      </c>
      <c r="C33" s="21" t="s">
        <v>73</v>
      </c>
      <c r="D33" s="26" t="s">
        <v>74</v>
      </c>
      <c r="E33" s="26">
        <v>350.0</v>
      </c>
      <c r="F33" s="22"/>
      <c r="G33" s="22"/>
      <c r="H33" s="23">
        <v>66.0</v>
      </c>
      <c r="I33" s="23">
        <v>350.0</v>
      </c>
      <c r="J33" s="23">
        <v>70.0</v>
      </c>
      <c r="K33" s="23"/>
      <c r="L33" s="23">
        <v>50.0</v>
      </c>
      <c r="M33" s="23"/>
      <c r="N33" s="23">
        <v>167.0</v>
      </c>
      <c r="O33" s="23"/>
      <c r="P33" s="23"/>
      <c r="Q33" s="23"/>
      <c r="R33" s="23"/>
      <c r="S33" s="23"/>
      <c r="T33" s="23">
        <v>25.0</v>
      </c>
      <c r="U33" s="23">
        <v>100.0</v>
      </c>
      <c r="V33" s="23"/>
      <c r="W33" s="23">
        <v>450.0</v>
      </c>
      <c r="X33" s="23"/>
      <c r="Y33" s="23"/>
      <c r="Z33" s="17">
        <f t="shared" si="1"/>
        <v>1278</v>
      </c>
      <c r="AA33" s="24">
        <v>1278.0</v>
      </c>
      <c r="AB33" s="24">
        <v>1278.0</v>
      </c>
      <c r="AC33" s="19">
        <f t="shared" si="2"/>
        <v>0</v>
      </c>
      <c r="AD33" s="19">
        <f t="shared" si="3"/>
        <v>0</v>
      </c>
    </row>
    <row r="34" ht="14.25" customHeight="1">
      <c r="A34" s="13">
        <v>30.0</v>
      </c>
      <c r="B34" s="21" t="s">
        <v>76</v>
      </c>
      <c r="C34" s="21" t="s">
        <v>73</v>
      </c>
      <c r="D34" s="26" t="s">
        <v>74</v>
      </c>
      <c r="E34" s="26">
        <v>350.0</v>
      </c>
      <c r="F34" s="22"/>
      <c r="G34" s="22"/>
      <c r="H34" s="23">
        <v>66.0</v>
      </c>
      <c r="I34" s="23">
        <v>200.0</v>
      </c>
      <c r="J34" s="23">
        <v>560.0</v>
      </c>
      <c r="K34" s="23"/>
      <c r="L34" s="23">
        <v>24.0</v>
      </c>
      <c r="M34" s="23"/>
      <c r="N34" s="23">
        <v>155.0</v>
      </c>
      <c r="O34" s="23"/>
      <c r="P34" s="23"/>
      <c r="Q34" s="23"/>
      <c r="R34" s="23"/>
      <c r="S34" s="23">
        <v>50.0</v>
      </c>
      <c r="T34" s="23"/>
      <c r="U34" s="23">
        <v>50.0</v>
      </c>
      <c r="V34" s="23"/>
      <c r="W34" s="23"/>
      <c r="X34" s="23"/>
      <c r="Y34" s="23"/>
      <c r="Z34" s="17">
        <f t="shared" si="1"/>
        <v>1105</v>
      </c>
      <c r="AA34" s="24">
        <v>1105.0</v>
      </c>
      <c r="AB34" s="24">
        <v>1105.0</v>
      </c>
      <c r="AC34" s="19">
        <f t="shared" si="2"/>
        <v>0</v>
      </c>
      <c r="AD34" s="19">
        <f t="shared" si="3"/>
        <v>0</v>
      </c>
    </row>
    <row r="35" ht="14.25" customHeight="1">
      <c r="A35" s="13">
        <v>31.0</v>
      </c>
      <c r="B35" s="21" t="s">
        <v>77</v>
      </c>
      <c r="C35" s="21" t="s">
        <v>73</v>
      </c>
      <c r="D35" s="26" t="s">
        <v>78</v>
      </c>
      <c r="E35" s="26">
        <v>300.0</v>
      </c>
      <c r="F35" s="22">
        <v>500.0</v>
      </c>
      <c r="G35" s="22"/>
      <c r="H35" s="23"/>
      <c r="I35" s="23"/>
      <c r="J35" s="23"/>
      <c r="K35" s="23"/>
      <c r="L35" s="23"/>
      <c r="M35" s="23"/>
      <c r="N35" s="23">
        <v>625.0</v>
      </c>
      <c r="O35" s="23"/>
      <c r="P35" s="23"/>
      <c r="Q35" s="23"/>
      <c r="R35" s="23"/>
      <c r="S35" s="23">
        <v>200.0</v>
      </c>
      <c r="T35" s="23">
        <v>200.0</v>
      </c>
      <c r="U35" s="23"/>
      <c r="V35" s="23"/>
      <c r="W35" s="23"/>
      <c r="X35" s="23"/>
      <c r="Y35" s="23"/>
      <c r="Z35" s="17">
        <f t="shared" si="1"/>
        <v>1525</v>
      </c>
      <c r="AA35" s="24">
        <v>1525.0</v>
      </c>
      <c r="AB35" s="24">
        <v>1525.0</v>
      </c>
      <c r="AC35" s="19">
        <f t="shared" si="2"/>
        <v>0</v>
      </c>
      <c r="AD35" s="19">
        <f t="shared" si="3"/>
        <v>0</v>
      </c>
    </row>
    <row r="36" ht="14.25" customHeight="1">
      <c r="A36" s="13">
        <v>32.0</v>
      </c>
      <c r="B36" s="21" t="s">
        <v>79</v>
      </c>
      <c r="C36" s="21" t="s">
        <v>73</v>
      </c>
      <c r="D36" s="26" t="s">
        <v>78</v>
      </c>
      <c r="E36" s="26">
        <v>300.0</v>
      </c>
      <c r="F36" s="22"/>
      <c r="G36" s="22"/>
      <c r="H36" s="23"/>
      <c r="I36" s="23"/>
      <c r="J36" s="23"/>
      <c r="K36" s="23"/>
      <c r="L36" s="23"/>
      <c r="M36" s="23"/>
      <c r="N36" s="23">
        <v>325.0</v>
      </c>
      <c r="O36" s="23"/>
      <c r="P36" s="23"/>
      <c r="Q36" s="23"/>
      <c r="R36" s="23"/>
      <c r="S36" s="23"/>
      <c r="T36" s="23"/>
      <c r="U36" s="23"/>
      <c r="V36" s="23"/>
      <c r="W36" s="23"/>
      <c r="X36" s="23"/>
      <c r="Y36" s="23"/>
      <c r="Z36" s="17">
        <f t="shared" si="1"/>
        <v>325</v>
      </c>
      <c r="AA36" s="24">
        <v>325.0</v>
      </c>
      <c r="AB36" s="24">
        <v>325.0</v>
      </c>
      <c r="AC36" s="19">
        <f t="shared" si="2"/>
        <v>0</v>
      </c>
      <c r="AD36" s="19">
        <f t="shared" si="3"/>
        <v>0</v>
      </c>
    </row>
    <row r="37" ht="14.25" customHeight="1">
      <c r="A37" s="13">
        <v>33.0</v>
      </c>
      <c r="B37" s="21" t="s">
        <v>80</v>
      </c>
      <c r="C37" s="21" t="s">
        <v>73</v>
      </c>
      <c r="D37" s="26" t="s">
        <v>78</v>
      </c>
      <c r="E37" s="26">
        <v>300.0</v>
      </c>
      <c r="F37" s="22"/>
      <c r="G37" s="22"/>
      <c r="H37" s="23"/>
      <c r="I37" s="23"/>
      <c r="J37" s="23">
        <v>420.0</v>
      </c>
      <c r="K37" s="23"/>
      <c r="L37" s="23">
        <v>38.0</v>
      </c>
      <c r="M37" s="23">
        <v>100.0</v>
      </c>
      <c r="N37" s="23">
        <v>105.0</v>
      </c>
      <c r="O37" s="23"/>
      <c r="P37" s="23"/>
      <c r="Q37" s="23"/>
      <c r="R37" s="23"/>
      <c r="S37" s="23"/>
      <c r="T37" s="23">
        <v>25.0</v>
      </c>
      <c r="U37" s="23">
        <v>50.0</v>
      </c>
      <c r="V37" s="23"/>
      <c r="W37" s="23"/>
      <c r="X37" s="23">
        <v>40.0</v>
      </c>
      <c r="Y37" s="23">
        <v>10.0</v>
      </c>
      <c r="Z37" s="17">
        <f t="shared" si="1"/>
        <v>788</v>
      </c>
      <c r="AA37" s="24">
        <v>788.0</v>
      </c>
      <c r="AB37" s="24">
        <v>788.0</v>
      </c>
      <c r="AC37" s="19">
        <f t="shared" si="2"/>
        <v>0</v>
      </c>
      <c r="AD37" s="19">
        <f t="shared" si="3"/>
        <v>0</v>
      </c>
    </row>
    <row r="38" ht="14.25" customHeight="1">
      <c r="A38" s="13">
        <v>34.0</v>
      </c>
      <c r="B38" s="21" t="s">
        <v>81</v>
      </c>
      <c r="C38" s="21" t="s">
        <v>73</v>
      </c>
      <c r="D38" s="26" t="s">
        <v>78</v>
      </c>
      <c r="E38" s="26">
        <v>300.0</v>
      </c>
      <c r="F38" s="22"/>
      <c r="G38" s="22"/>
      <c r="H38" s="23"/>
      <c r="I38" s="23"/>
      <c r="J38" s="23"/>
      <c r="K38" s="23"/>
      <c r="L38" s="23"/>
      <c r="M38" s="23">
        <v>100.0</v>
      </c>
      <c r="N38" s="23">
        <v>60.0</v>
      </c>
      <c r="O38" s="23"/>
      <c r="P38" s="23"/>
      <c r="Q38" s="23"/>
      <c r="R38" s="23"/>
      <c r="S38" s="23"/>
      <c r="T38" s="23">
        <v>125.0</v>
      </c>
      <c r="U38" s="23"/>
      <c r="V38" s="23"/>
      <c r="W38" s="23"/>
      <c r="X38" s="23"/>
      <c r="Y38" s="23"/>
      <c r="Z38" s="17">
        <f t="shared" si="1"/>
        <v>285</v>
      </c>
      <c r="AA38" s="24">
        <v>285.0</v>
      </c>
      <c r="AB38" s="24">
        <v>285.0</v>
      </c>
      <c r="AC38" s="19">
        <f t="shared" si="2"/>
        <v>0</v>
      </c>
      <c r="AD38" s="19">
        <f t="shared" si="3"/>
        <v>0</v>
      </c>
    </row>
    <row r="39" ht="14.25" customHeight="1">
      <c r="A39" s="13">
        <v>35.0</v>
      </c>
      <c r="B39" s="21" t="s">
        <v>82</v>
      </c>
      <c r="C39" s="21" t="s">
        <v>73</v>
      </c>
      <c r="D39" s="26" t="s">
        <v>78</v>
      </c>
      <c r="E39" s="26">
        <v>300.0</v>
      </c>
      <c r="F39" s="22"/>
      <c r="G39" s="22"/>
      <c r="H39" s="23"/>
      <c r="I39" s="23"/>
      <c r="J39" s="23"/>
      <c r="K39" s="23"/>
      <c r="L39" s="23"/>
      <c r="M39" s="23">
        <v>100.0</v>
      </c>
      <c r="N39" s="23"/>
      <c r="O39" s="23"/>
      <c r="P39" s="23"/>
      <c r="Q39" s="23"/>
      <c r="R39" s="23"/>
      <c r="S39" s="23"/>
      <c r="T39" s="23">
        <v>200.0</v>
      </c>
      <c r="U39" s="23"/>
      <c r="V39" s="23"/>
      <c r="W39" s="23"/>
      <c r="X39" s="23"/>
      <c r="Y39" s="23"/>
      <c r="Z39" s="17">
        <f t="shared" si="1"/>
        <v>300</v>
      </c>
      <c r="AA39" s="24">
        <v>300.0</v>
      </c>
      <c r="AB39" s="24">
        <v>300.0</v>
      </c>
      <c r="AC39" s="19">
        <f t="shared" si="2"/>
        <v>0</v>
      </c>
      <c r="AD39" s="19">
        <f t="shared" si="3"/>
        <v>0</v>
      </c>
    </row>
    <row r="40" ht="14.25" customHeight="1">
      <c r="A40" s="13">
        <v>36.0</v>
      </c>
      <c r="B40" s="21" t="s">
        <v>83</v>
      </c>
      <c r="C40" s="21" t="s">
        <v>73</v>
      </c>
      <c r="D40" s="26" t="s">
        <v>78</v>
      </c>
      <c r="E40" s="26">
        <v>300.0</v>
      </c>
      <c r="F40" s="22"/>
      <c r="G40" s="22"/>
      <c r="H40" s="23"/>
      <c r="I40" s="23"/>
      <c r="J40" s="23"/>
      <c r="K40" s="23">
        <v>180.0</v>
      </c>
      <c r="L40" s="23">
        <v>100.0</v>
      </c>
      <c r="M40" s="23"/>
      <c r="N40" s="23">
        <v>65.0</v>
      </c>
      <c r="O40" s="23"/>
      <c r="P40" s="23"/>
      <c r="Q40" s="23"/>
      <c r="R40" s="23"/>
      <c r="S40" s="23"/>
      <c r="T40" s="23">
        <v>25.0</v>
      </c>
      <c r="U40" s="23"/>
      <c r="V40" s="23"/>
      <c r="W40" s="23">
        <v>100.0</v>
      </c>
      <c r="X40" s="23"/>
      <c r="Y40" s="23">
        <v>20.0</v>
      </c>
      <c r="Z40" s="17">
        <f t="shared" si="1"/>
        <v>490</v>
      </c>
      <c r="AA40" s="24">
        <v>490.0</v>
      </c>
      <c r="AB40" s="24">
        <v>490.0</v>
      </c>
      <c r="AC40" s="19">
        <f t="shared" si="2"/>
        <v>0</v>
      </c>
      <c r="AD40" s="19">
        <f t="shared" si="3"/>
        <v>0</v>
      </c>
    </row>
    <row r="41" ht="14.25" customHeight="1">
      <c r="A41" s="13">
        <v>37.0</v>
      </c>
      <c r="B41" s="21" t="s">
        <v>84</v>
      </c>
      <c r="C41" s="21" t="s">
        <v>73</v>
      </c>
      <c r="D41" s="26" t="s">
        <v>78</v>
      </c>
      <c r="E41" s="26">
        <v>300.0</v>
      </c>
      <c r="F41" s="22"/>
      <c r="G41" s="22"/>
      <c r="H41" s="23"/>
      <c r="I41" s="23"/>
      <c r="J41" s="23"/>
      <c r="K41" s="23"/>
      <c r="L41" s="23"/>
      <c r="M41" s="23"/>
      <c r="N41" s="23"/>
      <c r="O41" s="23"/>
      <c r="P41" s="23"/>
      <c r="Q41" s="23">
        <v>190.0</v>
      </c>
      <c r="R41" s="23"/>
      <c r="S41" s="23"/>
      <c r="T41" s="23"/>
      <c r="U41" s="23">
        <v>100.0</v>
      </c>
      <c r="V41" s="23"/>
      <c r="W41" s="23"/>
      <c r="X41" s="23">
        <v>60.0</v>
      </c>
      <c r="Y41" s="23">
        <v>20.0</v>
      </c>
      <c r="Z41" s="17">
        <f t="shared" si="1"/>
        <v>370</v>
      </c>
      <c r="AA41" s="24">
        <v>370.0</v>
      </c>
      <c r="AB41" s="24">
        <v>370.0</v>
      </c>
      <c r="AC41" s="19">
        <f t="shared" si="2"/>
        <v>0</v>
      </c>
      <c r="AD41" s="19">
        <f t="shared" si="3"/>
        <v>0</v>
      </c>
    </row>
    <row r="42" ht="14.25" customHeight="1">
      <c r="A42" s="13">
        <v>38.0</v>
      </c>
      <c r="B42" s="21" t="s">
        <v>85</v>
      </c>
      <c r="C42" s="21" t="s">
        <v>73</v>
      </c>
      <c r="D42" s="26" t="s">
        <v>78</v>
      </c>
      <c r="E42" s="26">
        <v>300.0</v>
      </c>
      <c r="F42" s="22"/>
      <c r="G42" s="22"/>
      <c r="H42" s="23"/>
      <c r="I42" s="23"/>
      <c r="J42" s="23"/>
      <c r="K42" s="23"/>
      <c r="L42" s="23">
        <v>300.0</v>
      </c>
      <c r="M42" s="23"/>
      <c r="N42" s="23"/>
      <c r="O42" s="23"/>
      <c r="P42" s="23"/>
      <c r="Q42" s="23"/>
      <c r="R42" s="23"/>
      <c r="S42" s="23"/>
      <c r="T42" s="23"/>
      <c r="U42" s="23"/>
      <c r="V42" s="23"/>
      <c r="W42" s="23"/>
      <c r="X42" s="23">
        <v>20.0</v>
      </c>
      <c r="Y42" s="23"/>
      <c r="Z42" s="17">
        <f t="shared" si="1"/>
        <v>320</v>
      </c>
      <c r="AA42" s="24">
        <v>320.0</v>
      </c>
      <c r="AB42" s="24">
        <v>320.0</v>
      </c>
      <c r="AC42" s="19">
        <f t="shared" si="2"/>
        <v>0</v>
      </c>
      <c r="AD42" s="19">
        <f t="shared" si="3"/>
        <v>0</v>
      </c>
    </row>
    <row r="43" ht="14.25" customHeight="1">
      <c r="A43" s="13">
        <v>39.0</v>
      </c>
      <c r="B43" s="21" t="s">
        <v>86</v>
      </c>
      <c r="C43" s="21" t="s">
        <v>73</v>
      </c>
      <c r="D43" s="26" t="s">
        <v>78</v>
      </c>
      <c r="E43" s="26">
        <v>300.0</v>
      </c>
      <c r="F43" s="22"/>
      <c r="G43" s="22"/>
      <c r="H43" s="23"/>
      <c r="I43" s="23"/>
      <c r="J43" s="23"/>
      <c r="K43" s="23"/>
      <c r="L43" s="23"/>
      <c r="M43" s="23"/>
      <c r="N43" s="23">
        <v>40.0</v>
      </c>
      <c r="O43" s="23"/>
      <c r="P43" s="23"/>
      <c r="Q43" s="23"/>
      <c r="R43" s="23"/>
      <c r="S43" s="23"/>
      <c r="T43" s="23"/>
      <c r="U43" s="23"/>
      <c r="V43" s="23"/>
      <c r="W43" s="23"/>
      <c r="X43" s="23"/>
      <c r="Y43" s="23">
        <v>20.0</v>
      </c>
      <c r="Z43" s="17">
        <f t="shared" si="1"/>
        <v>60</v>
      </c>
      <c r="AA43" s="24">
        <v>60.0</v>
      </c>
      <c r="AB43" s="24">
        <v>60.0</v>
      </c>
      <c r="AC43" s="19">
        <f t="shared" si="2"/>
        <v>0</v>
      </c>
      <c r="AD43" s="19">
        <f t="shared" si="3"/>
        <v>0</v>
      </c>
    </row>
    <row r="44" ht="14.25" customHeight="1">
      <c r="A44" s="13">
        <v>40.0</v>
      </c>
      <c r="B44" s="21" t="s">
        <v>87</v>
      </c>
      <c r="C44" s="21" t="s">
        <v>73</v>
      </c>
      <c r="D44" s="26" t="s">
        <v>88</v>
      </c>
      <c r="E44" s="26">
        <v>250.0</v>
      </c>
      <c r="F44" s="22"/>
      <c r="G44" s="22"/>
      <c r="H44" s="23">
        <v>100.0</v>
      </c>
      <c r="I44" s="23"/>
      <c r="J44" s="23"/>
      <c r="K44" s="23"/>
      <c r="L44" s="23"/>
      <c r="M44" s="23"/>
      <c r="N44" s="23">
        <v>290.0</v>
      </c>
      <c r="O44" s="23"/>
      <c r="P44" s="23"/>
      <c r="Q44" s="23"/>
      <c r="R44" s="23"/>
      <c r="S44" s="23"/>
      <c r="T44" s="23"/>
      <c r="U44" s="23">
        <v>25.0</v>
      </c>
      <c r="V44" s="23"/>
      <c r="W44" s="23"/>
      <c r="X44" s="23"/>
      <c r="Y44" s="23"/>
      <c r="Z44" s="17">
        <f t="shared" si="1"/>
        <v>415</v>
      </c>
      <c r="AA44" s="24">
        <v>415.0</v>
      </c>
      <c r="AB44" s="24">
        <v>415.0</v>
      </c>
      <c r="AC44" s="19">
        <f t="shared" si="2"/>
        <v>0</v>
      </c>
      <c r="AD44" s="19">
        <f t="shared" si="3"/>
        <v>0</v>
      </c>
    </row>
    <row r="45" ht="14.25" customHeight="1">
      <c r="A45" s="13">
        <v>41.0</v>
      </c>
      <c r="B45" s="21" t="s">
        <v>89</v>
      </c>
      <c r="C45" s="21" t="s">
        <v>73</v>
      </c>
      <c r="D45" s="26" t="s">
        <v>88</v>
      </c>
      <c r="E45" s="26">
        <v>250.0</v>
      </c>
      <c r="F45" s="22"/>
      <c r="G45" s="22"/>
      <c r="H45" s="23"/>
      <c r="I45" s="23">
        <v>100.0</v>
      </c>
      <c r="J45" s="23"/>
      <c r="K45" s="23"/>
      <c r="L45" s="23"/>
      <c r="M45" s="23">
        <v>200.0</v>
      </c>
      <c r="N45" s="23">
        <v>275.0</v>
      </c>
      <c r="O45" s="23"/>
      <c r="P45" s="23"/>
      <c r="Q45" s="23"/>
      <c r="R45" s="23"/>
      <c r="S45" s="23"/>
      <c r="T45" s="23">
        <v>200.0</v>
      </c>
      <c r="U45" s="23">
        <v>75.0</v>
      </c>
      <c r="V45" s="23"/>
      <c r="W45" s="23"/>
      <c r="X45" s="23">
        <v>20.0</v>
      </c>
      <c r="Y45" s="23">
        <v>60.0</v>
      </c>
      <c r="Z45" s="17">
        <f t="shared" si="1"/>
        <v>930</v>
      </c>
      <c r="AA45" s="24">
        <v>930.0</v>
      </c>
      <c r="AB45" s="24">
        <v>930.0</v>
      </c>
      <c r="AC45" s="19">
        <f t="shared" si="2"/>
        <v>0</v>
      </c>
      <c r="AD45" s="19">
        <f t="shared" si="3"/>
        <v>0</v>
      </c>
    </row>
    <row r="46" ht="14.25" customHeight="1">
      <c r="A46" s="13">
        <v>42.0</v>
      </c>
      <c r="B46" s="21" t="s">
        <v>90</v>
      </c>
      <c r="C46" s="21" t="s">
        <v>73</v>
      </c>
      <c r="D46" s="26" t="s">
        <v>88</v>
      </c>
      <c r="E46" s="26">
        <v>250.0</v>
      </c>
      <c r="F46" s="22"/>
      <c r="G46" s="22"/>
      <c r="H46" s="23"/>
      <c r="I46" s="23"/>
      <c r="J46" s="23"/>
      <c r="K46" s="23"/>
      <c r="L46" s="23"/>
      <c r="M46" s="23"/>
      <c r="N46" s="23"/>
      <c r="O46" s="23"/>
      <c r="P46" s="23"/>
      <c r="Q46" s="23"/>
      <c r="R46" s="23"/>
      <c r="S46" s="23"/>
      <c r="T46" s="23">
        <v>25.0</v>
      </c>
      <c r="U46" s="23">
        <v>25.0</v>
      </c>
      <c r="V46" s="23"/>
      <c r="W46" s="23"/>
      <c r="X46" s="23">
        <v>20.0</v>
      </c>
      <c r="Y46" s="23"/>
      <c r="Z46" s="17">
        <f t="shared" si="1"/>
        <v>70</v>
      </c>
      <c r="AA46" s="24">
        <v>70.0</v>
      </c>
      <c r="AB46" s="24">
        <v>70.0</v>
      </c>
      <c r="AC46" s="19">
        <f t="shared" si="2"/>
        <v>0</v>
      </c>
      <c r="AD46" s="19">
        <f t="shared" si="3"/>
        <v>0</v>
      </c>
    </row>
    <row r="47" ht="14.25" customHeight="1">
      <c r="A47" s="13">
        <v>43.0</v>
      </c>
      <c r="B47" s="21" t="s">
        <v>91</v>
      </c>
      <c r="C47" s="21" t="s">
        <v>73</v>
      </c>
      <c r="D47" s="26" t="s">
        <v>88</v>
      </c>
      <c r="E47" s="26">
        <v>250.0</v>
      </c>
      <c r="F47" s="22"/>
      <c r="G47" s="22"/>
      <c r="H47" s="23"/>
      <c r="I47" s="23"/>
      <c r="J47" s="23"/>
      <c r="K47" s="23"/>
      <c r="L47" s="23"/>
      <c r="M47" s="23"/>
      <c r="N47" s="23"/>
      <c r="O47" s="23"/>
      <c r="P47" s="23"/>
      <c r="Q47" s="23"/>
      <c r="R47" s="23"/>
      <c r="S47" s="23"/>
      <c r="T47" s="23"/>
      <c r="U47" s="23"/>
      <c r="V47" s="23"/>
      <c r="W47" s="23"/>
      <c r="X47" s="23"/>
      <c r="Y47" s="23"/>
      <c r="Z47" s="17">
        <f t="shared" si="1"/>
        <v>0</v>
      </c>
      <c r="AA47" s="24">
        <v>0.0</v>
      </c>
      <c r="AB47" s="24">
        <v>0.0</v>
      </c>
      <c r="AC47" s="19">
        <f t="shared" si="2"/>
        <v>0</v>
      </c>
      <c r="AD47" s="19">
        <f t="shared" si="3"/>
        <v>0</v>
      </c>
    </row>
    <row r="48" ht="14.25" customHeight="1">
      <c r="A48" s="13">
        <v>44.0</v>
      </c>
      <c r="B48" s="21" t="s">
        <v>92</v>
      </c>
      <c r="C48" s="21" t="s">
        <v>73</v>
      </c>
      <c r="D48" s="26" t="s">
        <v>88</v>
      </c>
      <c r="E48" s="26">
        <v>250.0</v>
      </c>
      <c r="F48" s="22"/>
      <c r="G48" s="22"/>
      <c r="H48" s="23"/>
      <c r="I48" s="23"/>
      <c r="J48" s="23"/>
      <c r="K48" s="23"/>
      <c r="L48" s="23"/>
      <c r="M48" s="23"/>
      <c r="N48" s="23"/>
      <c r="O48" s="23"/>
      <c r="P48" s="23"/>
      <c r="Q48" s="23"/>
      <c r="R48" s="23"/>
      <c r="S48" s="23"/>
      <c r="T48" s="23"/>
      <c r="U48" s="23"/>
      <c r="V48" s="23"/>
      <c r="W48" s="23"/>
      <c r="X48" s="23"/>
      <c r="Y48" s="23"/>
      <c r="Z48" s="17">
        <f t="shared" si="1"/>
        <v>0</v>
      </c>
      <c r="AA48" s="24">
        <v>0.0</v>
      </c>
      <c r="AB48" s="24">
        <v>0.0</v>
      </c>
      <c r="AC48" s="19">
        <f t="shared" si="2"/>
        <v>0</v>
      </c>
      <c r="AD48" s="19">
        <f t="shared" si="3"/>
        <v>0</v>
      </c>
    </row>
    <row r="49" ht="14.25" customHeight="1">
      <c r="A49" s="13">
        <v>45.0</v>
      </c>
      <c r="B49" s="21" t="s">
        <v>93</v>
      </c>
      <c r="C49" s="21" t="s">
        <v>73</v>
      </c>
      <c r="D49" s="26" t="s">
        <v>88</v>
      </c>
      <c r="E49" s="26">
        <v>250.0</v>
      </c>
      <c r="F49" s="22"/>
      <c r="G49" s="22"/>
      <c r="H49" s="23"/>
      <c r="I49" s="23"/>
      <c r="J49" s="23"/>
      <c r="K49" s="23"/>
      <c r="L49" s="23"/>
      <c r="M49" s="23"/>
      <c r="N49" s="23"/>
      <c r="O49" s="23"/>
      <c r="P49" s="23"/>
      <c r="Q49" s="23"/>
      <c r="R49" s="23"/>
      <c r="S49" s="23"/>
      <c r="T49" s="23"/>
      <c r="U49" s="23"/>
      <c r="V49" s="23"/>
      <c r="W49" s="23"/>
      <c r="X49" s="23"/>
      <c r="Y49" s="23"/>
      <c r="Z49" s="17">
        <f t="shared" si="1"/>
        <v>0</v>
      </c>
      <c r="AA49" s="24">
        <v>0.0</v>
      </c>
      <c r="AB49" s="24">
        <v>0.0</v>
      </c>
      <c r="AC49" s="19">
        <f t="shared" si="2"/>
        <v>0</v>
      </c>
      <c r="AD49" s="19">
        <f t="shared" si="3"/>
        <v>0</v>
      </c>
    </row>
    <row r="50" ht="14.25" customHeight="1">
      <c r="A50" s="13">
        <v>46.0</v>
      </c>
      <c r="B50" s="21" t="s">
        <v>94</v>
      </c>
      <c r="C50" s="21" t="s">
        <v>73</v>
      </c>
      <c r="D50" s="26" t="s">
        <v>88</v>
      </c>
      <c r="E50" s="26">
        <v>250.0</v>
      </c>
      <c r="F50" s="22"/>
      <c r="G50" s="22"/>
      <c r="H50" s="23"/>
      <c r="I50" s="23"/>
      <c r="J50" s="23">
        <v>70.0</v>
      </c>
      <c r="K50" s="23"/>
      <c r="L50" s="23">
        <v>76.0</v>
      </c>
      <c r="M50" s="23">
        <v>100.0</v>
      </c>
      <c r="N50" s="23">
        <v>45.0</v>
      </c>
      <c r="O50" s="23"/>
      <c r="P50" s="23"/>
      <c r="Q50" s="23"/>
      <c r="R50" s="23"/>
      <c r="S50" s="23">
        <v>200.0</v>
      </c>
      <c r="T50" s="23"/>
      <c r="U50" s="23">
        <v>25.0</v>
      </c>
      <c r="V50" s="23"/>
      <c r="W50" s="23"/>
      <c r="X50" s="23"/>
      <c r="Y50" s="23">
        <v>20.0</v>
      </c>
      <c r="Z50" s="17">
        <f t="shared" si="1"/>
        <v>536</v>
      </c>
      <c r="AA50" s="24">
        <v>536.0</v>
      </c>
      <c r="AB50" s="24">
        <v>536.0</v>
      </c>
      <c r="AC50" s="19">
        <f t="shared" si="2"/>
        <v>0</v>
      </c>
      <c r="AD50" s="19">
        <f t="shared" si="3"/>
        <v>0</v>
      </c>
    </row>
    <row r="51" ht="14.25" customHeight="1">
      <c r="A51" s="13">
        <v>47.0</v>
      </c>
      <c r="B51" s="21" t="s">
        <v>95</v>
      </c>
      <c r="C51" s="21" t="s">
        <v>73</v>
      </c>
      <c r="D51" s="26" t="s">
        <v>88</v>
      </c>
      <c r="E51" s="26">
        <v>250.0</v>
      </c>
      <c r="F51" s="22"/>
      <c r="G51" s="22"/>
      <c r="H51" s="23"/>
      <c r="I51" s="23"/>
      <c r="J51" s="23"/>
      <c r="K51" s="23">
        <v>91.0</v>
      </c>
      <c r="L51" s="23">
        <v>12.0</v>
      </c>
      <c r="M51" s="23"/>
      <c r="N51" s="23">
        <v>15.0</v>
      </c>
      <c r="O51" s="23"/>
      <c r="P51" s="23"/>
      <c r="Q51" s="23">
        <v>860.0</v>
      </c>
      <c r="R51" s="23"/>
      <c r="S51" s="23"/>
      <c r="T51" s="23"/>
      <c r="U51" s="23"/>
      <c r="V51" s="23"/>
      <c r="W51" s="23"/>
      <c r="X51" s="23"/>
      <c r="Y51" s="23"/>
      <c r="Z51" s="17">
        <f t="shared" si="1"/>
        <v>978</v>
      </c>
      <c r="AA51" s="24">
        <v>978.0</v>
      </c>
      <c r="AB51" s="24">
        <v>978.0</v>
      </c>
      <c r="AC51" s="19">
        <f t="shared" si="2"/>
        <v>0</v>
      </c>
      <c r="AD51" s="19">
        <f t="shared" si="3"/>
        <v>0</v>
      </c>
    </row>
    <row r="52" ht="14.25" customHeight="1">
      <c r="A52" s="13">
        <v>48.0</v>
      </c>
      <c r="B52" s="21" t="s">
        <v>96</v>
      </c>
      <c r="C52" s="21" t="s">
        <v>73</v>
      </c>
      <c r="D52" s="26" t="s">
        <v>97</v>
      </c>
      <c r="E52" s="26">
        <v>200.0</v>
      </c>
      <c r="F52" s="22"/>
      <c r="G52" s="22"/>
      <c r="H52" s="23"/>
      <c r="I52" s="23"/>
      <c r="J52" s="23">
        <v>350.0</v>
      </c>
      <c r="K52" s="23"/>
      <c r="L52" s="23"/>
      <c r="M52" s="23"/>
      <c r="N52" s="23"/>
      <c r="O52" s="23"/>
      <c r="P52" s="23"/>
      <c r="Q52" s="23"/>
      <c r="R52" s="23"/>
      <c r="S52" s="23"/>
      <c r="T52" s="23"/>
      <c r="U52" s="23"/>
      <c r="V52" s="23"/>
      <c r="W52" s="23"/>
      <c r="X52" s="23">
        <v>20.0</v>
      </c>
      <c r="Y52" s="23"/>
      <c r="Z52" s="17">
        <f t="shared" si="1"/>
        <v>370</v>
      </c>
      <c r="AA52" s="24">
        <v>370.0</v>
      </c>
      <c r="AB52" s="24">
        <v>370.0</v>
      </c>
      <c r="AC52" s="19">
        <f t="shared" si="2"/>
        <v>0</v>
      </c>
      <c r="AD52" s="19">
        <f t="shared" si="3"/>
        <v>0</v>
      </c>
    </row>
    <row r="53" ht="14.25" customHeight="1">
      <c r="A53" s="13">
        <v>49.0</v>
      </c>
      <c r="B53" s="21" t="s">
        <v>98</v>
      </c>
      <c r="C53" s="21" t="s">
        <v>73</v>
      </c>
      <c r="D53" s="26" t="s">
        <v>97</v>
      </c>
      <c r="E53" s="26">
        <v>200.0</v>
      </c>
      <c r="F53" s="22"/>
      <c r="G53" s="22"/>
      <c r="H53" s="23"/>
      <c r="I53" s="23"/>
      <c r="J53" s="23">
        <v>140.0</v>
      </c>
      <c r="K53" s="23"/>
      <c r="L53" s="23">
        <v>32.0</v>
      </c>
      <c r="M53" s="23"/>
      <c r="N53" s="23"/>
      <c r="O53" s="23"/>
      <c r="P53" s="23"/>
      <c r="Q53" s="23"/>
      <c r="R53" s="23"/>
      <c r="S53" s="23"/>
      <c r="T53" s="23">
        <v>25.0</v>
      </c>
      <c r="U53" s="23">
        <v>25.0</v>
      </c>
      <c r="V53" s="23"/>
      <c r="W53" s="23"/>
      <c r="X53" s="23">
        <v>40.0</v>
      </c>
      <c r="Y53" s="23">
        <v>10.0</v>
      </c>
      <c r="Z53" s="17">
        <f t="shared" si="1"/>
        <v>272</v>
      </c>
      <c r="AA53" s="24">
        <v>272.0</v>
      </c>
      <c r="AB53" s="24">
        <v>272.0</v>
      </c>
      <c r="AC53" s="19">
        <f t="shared" si="2"/>
        <v>0</v>
      </c>
      <c r="AD53" s="19">
        <f t="shared" si="3"/>
        <v>0</v>
      </c>
    </row>
    <row r="54" ht="14.25" customHeight="1">
      <c r="A54" s="13">
        <v>50.0</v>
      </c>
      <c r="B54" s="21" t="s">
        <v>99</v>
      </c>
      <c r="C54" s="21" t="s">
        <v>100</v>
      </c>
      <c r="D54" s="26" t="s">
        <v>101</v>
      </c>
      <c r="E54" s="26">
        <v>250.0</v>
      </c>
      <c r="F54" s="22"/>
      <c r="G54" s="22"/>
      <c r="H54" s="22"/>
      <c r="I54" s="22"/>
      <c r="J54" s="22"/>
      <c r="K54" s="22"/>
      <c r="L54" s="22"/>
      <c r="M54" s="22"/>
      <c r="N54" s="22"/>
      <c r="O54" s="22"/>
      <c r="P54" s="22"/>
      <c r="Q54" s="22"/>
      <c r="R54" s="22"/>
      <c r="S54" s="22"/>
      <c r="T54" s="22"/>
      <c r="U54" s="22">
        <v>50.0</v>
      </c>
      <c r="V54" s="22"/>
      <c r="W54" s="22"/>
      <c r="X54" s="22"/>
      <c r="Y54" s="22"/>
      <c r="Z54" s="17">
        <f t="shared" si="1"/>
        <v>50</v>
      </c>
      <c r="AA54" s="24">
        <v>50.0</v>
      </c>
      <c r="AB54" s="24">
        <v>50.0</v>
      </c>
      <c r="AC54" s="19">
        <f t="shared" si="2"/>
        <v>0</v>
      </c>
      <c r="AD54" s="19">
        <f t="shared" si="3"/>
        <v>0</v>
      </c>
    </row>
    <row r="55" ht="14.25" customHeight="1">
      <c r="A55" s="13">
        <v>51.0</v>
      </c>
      <c r="B55" s="21" t="s">
        <v>102</v>
      </c>
      <c r="C55" s="21" t="s">
        <v>100</v>
      </c>
      <c r="D55" s="26" t="s">
        <v>101</v>
      </c>
      <c r="E55" s="26">
        <v>250.0</v>
      </c>
      <c r="F55" s="22"/>
      <c r="G55" s="22"/>
      <c r="H55" s="23"/>
      <c r="I55" s="23"/>
      <c r="J55" s="23"/>
      <c r="K55" s="23"/>
      <c r="L55" s="23"/>
      <c r="M55" s="23"/>
      <c r="N55" s="23"/>
      <c r="O55" s="23"/>
      <c r="P55" s="23"/>
      <c r="Q55" s="23"/>
      <c r="R55" s="23"/>
      <c r="S55" s="23"/>
      <c r="T55" s="23"/>
      <c r="U55" s="23">
        <v>50.0</v>
      </c>
      <c r="V55" s="23"/>
      <c r="W55" s="23"/>
      <c r="X55" s="23"/>
      <c r="Y55" s="23">
        <v>20.0</v>
      </c>
      <c r="Z55" s="17">
        <f t="shared" si="1"/>
        <v>70</v>
      </c>
      <c r="AA55" s="24">
        <v>70.0</v>
      </c>
      <c r="AB55" s="24">
        <v>70.0</v>
      </c>
      <c r="AC55" s="19">
        <f t="shared" si="2"/>
        <v>0</v>
      </c>
      <c r="AD55" s="19">
        <f t="shared" si="3"/>
        <v>0</v>
      </c>
    </row>
    <row r="56" ht="14.25" customHeight="1">
      <c r="A56" s="13">
        <v>52.0</v>
      </c>
      <c r="B56" s="21" t="s">
        <v>103</v>
      </c>
      <c r="C56" s="21" t="s">
        <v>100</v>
      </c>
      <c r="D56" s="26" t="s">
        <v>104</v>
      </c>
      <c r="E56" s="26">
        <v>200.0</v>
      </c>
      <c r="F56" s="22"/>
      <c r="G56" s="22"/>
      <c r="H56" s="23"/>
      <c r="I56" s="23"/>
      <c r="J56" s="23"/>
      <c r="K56" s="23"/>
      <c r="L56" s="23">
        <v>300.0</v>
      </c>
      <c r="M56" s="23"/>
      <c r="N56" s="24">
        <v>22.5</v>
      </c>
      <c r="O56" s="23"/>
      <c r="P56" s="23"/>
      <c r="Q56" s="23"/>
      <c r="R56" s="23"/>
      <c r="S56" s="23"/>
      <c r="T56" s="23"/>
      <c r="U56" s="23"/>
      <c r="V56" s="23"/>
      <c r="W56" s="23"/>
      <c r="X56" s="23"/>
      <c r="Y56" s="23"/>
      <c r="Z56" s="17">
        <f t="shared" si="1"/>
        <v>322.5</v>
      </c>
      <c r="AA56" s="24">
        <v>322.5</v>
      </c>
      <c r="AB56" s="24">
        <v>322.5</v>
      </c>
      <c r="AC56" s="19">
        <f t="shared" si="2"/>
        <v>0</v>
      </c>
      <c r="AD56" s="19">
        <f t="shared" si="3"/>
        <v>0</v>
      </c>
    </row>
    <row r="57" ht="14.25" customHeight="1">
      <c r="A57" s="13">
        <v>53.0</v>
      </c>
      <c r="B57" s="21" t="s">
        <v>105</v>
      </c>
      <c r="C57" s="21" t="s">
        <v>100</v>
      </c>
      <c r="D57" s="26" t="s">
        <v>106</v>
      </c>
      <c r="E57" s="26">
        <v>300.0</v>
      </c>
      <c r="F57" s="22"/>
      <c r="G57" s="22"/>
      <c r="H57" s="23"/>
      <c r="I57" s="23"/>
      <c r="J57" s="23">
        <v>35.0</v>
      </c>
      <c r="K57" s="23"/>
      <c r="L57" s="23"/>
      <c r="M57" s="23"/>
      <c r="N57" s="24">
        <v>293.75</v>
      </c>
      <c r="O57" s="23"/>
      <c r="P57" s="23"/>
      <c r="Q57" s="23"/>
      <c r="R57" s="23"/>
      <c r="S57" s="23"/>
      <c r="T57" s="23">
        <v>200.0</v>
      </c>
      <c r="U57" s="23">
        <v>50.0</v>
      </c>
      <c r="V57" s="23"/>
      <c r="W57" s="24">
        <v>166.66</v>
      </c>
      <c r="X57" s="23"/>
      <c r="Y57" s="23">
        <v>40.0</v>
      </c>
      <c r="Z57" s="17">
        <f t="shared" si="1"/>
        <v>785.41</v>
      </c>
      <c r="AA57" s="24">
        <v>785.41</v>
      </c>
      <c r="AB57" s="24">
        <v>785.41</v>
      </c>
      <c r="AC57" s="19">
        <f t="shared" si="2"/>
        <v>0</v>
      </c>
      <c r="AD57" s="19">
        <f t="shared" si="3"/>
        <v>0</v>
      </c>
    </row>
    <row r="58" ht="14.25" customHeight="1">
      <c r="A58" s="13">
        <v>54.0</v>
      </c>
      <c r="B58" s="21" t="s">
        <v>107</v>
      </c>
      <c r="C58" s="21" t="s">
        <v>100</v>
      </c>
      <c r="D58" s="26" t="s">
        <v>106</v>
      </c>
      <c r="E58" s="26">
        <v>300.0</v>
      </c>
      <c r="F58" s="22"/>
      <c r="G58" s="22"/>
      <c r="H58" s="23"/>
      <c r="I58" s="23"/>
      <c r="J58" s="23"/>
      <c r="K58" s="23"/>
      <c r="L58" s="23">
        <v>40.0</v>
      </c>
      <c r="M58" s="23">
        <v>200.0</v>
      </c>
      <c r="N58" s="24">
        <v>60.0</v>
      </c>
      <c r="O58" s="23"/>
      <c r="P58" s="23"/>
      <c r="Q58" s="23"/>
      <c r="R58" s="23"/>
      <c r="S58" s="23"/>
      <c r="T58" s="23">
        <v>200.0</v>
      </c>
      <c r="U58" s="23">
        <v>100.0</v>
      </c>
      <c r="V58" s="23"/>
      <c r="W58" s="23"/>
      <c r="X58" s="23"/>
      <c r="Y58" s="23">
        <v>60.0</v>
      </c>
      <c r="Z58" s="17">
        <f t="shared" si="1"/>
        <v>660</v>
      </c>
      <c r="AA58" s="24">
        <v>660.0</v>
      </c>
      <c r="AB58" s="24">
        <v>660.0</v>
      </c>
      <c r="AC58" s="19">
        <f t="shared" si="2"/>
        <v>0</v>
      </c>
      <c r="AD58" s="19">
        <f t="shared" si="3"/>
        <v>0</v>
      </c>
    </row>
    <row r="59" ht="14.25" customHeight="1">
      <c r="A59" s="13">
        <v>55.0</v>
      </c>
      <c r="B59" s="28" t="s">
        <v>108</v>
      </c>
      <c r="C59" s="21" t="s">
        <v>100</v>
      </c>
      <c r="D59" s="26" t="s">
        <v>109</v>
      </c>
      <c r="E59" s="26">
        <v>350.0</v>
      </c>
      <c r="F59" s="29">
        <v>933.33</v>
      </c>
      <c r="G59" s="22"/>
      <c r="H59" s="23"/>
      <c r="I59" s="23"/>
      <c r="J59" s="23"/>
      <c r="K59" s="23"/>
      <c r="L59" s="23"/>
      <c r="M59" s="23"/>
      <c r="N59" s="24">
        <v>202.92</v>
      </c>
      <c r="O59" s="23"/>
      <c r="P59" s="23"/>
      <c r="Q59" s="23"/>
      <c r="R59" s="23"/>
      <c r="S59" s="23"/>
      <c r="T59" s="23"/>
      <c r="U59" s="23">
        <v>50.0</v>
      </c>
      <c r="V59" s="23"/>
      <c r="W59" s="23"/>
      <c r="X59" s="23"/>
      <c r="Y59" s="23">
        <v>20.0</v>
      </c>
      <c r="Z59" s="17">
        <f t="shared" si="1"/>
        <v>1206.25</v>
      </c>
      <c r="AA59" s="30">
        <v>1206.25</v>
      </c>
      <c r="AB59" s="30">
        <v>1206.25</v>
      </c>
      <c r="AC59" s="19">
        <f t="shared" si="2"/>
        <v>0</v>
      </c>
      <c r="AD59" s="19">
        <f t="shared" si="3"/>
        <v>0</v>
      </c>
    </row>
    <row r="60" ht="14.25" customHeight="1">
      <c r="A60" s="13">
        <v>56.0</v>
      </c>
      <c r="B60" s="21" t="s">
        <v>110</v>
      </c>
      <c r="C60" s="21" t="s">
        <v>100</v>
      </c>
      <c r="D60" s="26" t="s">
        <v>104</v>
      </c>
      <c r="E60" s="26">
        <v>200.0</v>
      </c>
      <c r="F60" s="22"/>
      <c r="G60" s="22"/>
      <c r="H60" s="23"/>
      <c r="I60" s="23"/>
      <c r="J60" s="23">
        <v>210.0</v>
      </c>
      <c r="K60" s="23"/>
      <c r="L60" s="23">
        <v>300.0</v>
      </c>
      <c r="M60" s="23"/>
      <c r="N60" s="23">
        <v>30.0</v>
      </c>
      <c r="O60" s="23"/>
      <c r="P60" s="23"/>
      <c r="Q60" s="23"/>
      <c r="R60" s="23"/>
      <c r="S60" s="23"/>
      <c r="T60" s="23"/>
      <c r="U60" s="23"/>
      <c r="V60" s="23"/>
      <c r="W60" s="23"/>
      <c r="X60" s="23"/>
      <c r="Y60" s="23"/>
      <c r="Z60" s="17">
        <f t="shared" si="1"/>
        <v>540</v>
      </c>
      <c r="AA60" s="24">
        <v>540.0</v>
      </c>
      <c r="AB60" s="24">
        <v>540.0</v>
      </c>
      <c r="AC60" s="19">
        <f t="shared" si="2"/>
        <v>0</v>
      </c>
      <c r="AD60" s="19">
        <f t="shared" si="3"/>
        <v>0</v>
      </c>
    </row>
    <row r="61" ht="14.25" customHeight="1">
      <c r="A61" s="13">
        <v>57.0</v>
      </c>
      <c r="B61" s="21" t="s">
        <v>111</v>
      </c>
      <c r="C61" s="21" t="s">
        <v>100</v>
      </c>
      <c r="D61" s="26" t="s">
        <v>104</v>
      </c>
      <c r="E61" s="26">
        <v>200.0</v>
      </c>
      <c r="F61" s="22"/>
      <c r="G61" s="22"/>
      <c r="H61" s="23"/>
      <c r="I61" s="23"/>
      <c r="J61" s="23"/>
      <c r="K61" s="23"/>
      <c r="L61" s="23"/>
      <c r="M61" s="23"/>
      <c r="N61" s="23"/>
      <c r="O61" s="23"/>
      <c r="P61" s="23"/>
      <c r="Q61" s="23"/>
      <c r="R61" s="23"/>
      <c r="S61" s="23"/>
      <c r="T61" s="23"/>
      <c r="U61" s="23">
        <v>100.0</v>
      </c>
      <c r="V61" s="23"/>
      <c r="W61" s="23"/>
      <c r="X61" s="23"/>
      <c r="Y61" s="23">
        <v>60.0</v>
      </c>
      <c r="Z61" s="17">
        <f t="shared" si="1"/>
        <v>160</v>
      </c>
      <c r="AA61" s="24">
        <v>160.0</v>
      </c>
      <c r="AB61" s="24">
        <v>160.0</v>
      </c>
      <c r="AC61" s="19">
        <f t="shared" si="2"/>
        <v>0</v>
      </c>
      <c r="AD61" s="19">
        <f t="shared" si="3"/>
        <v>0</v>
      </c>
    </row>
    <row r="62" ht="14.25" customHeight="1">
      <c r="A62" s="13">
        <v>58.0</v>
      </c>
      <c r="B62" s="21" t="s">
        <v>112</v>
      </c>
      <c r="C62" s="21" t="s">
        <v>100</v>
      </c>
      <c r="D62" s="26" t="s">
        <v>109</v>
      </c>
      <c r="E62" s="26">
        <v>350.0</v>
      </c>
      <c r="F62" s="22"/>
      <c r="G62" s="22"/>
      <c r="H62" s="23"/>
      <c r="I62" s="23"/>
      <c r="J62" s="23"/>
      <c r="K62" s="23"/>
      <c r="L62" s="23"/>
      <c r="M62" s="23"/>
      <c r="N62" s="24">
        <v>275.0</v>
      </c>
      <c r="O62" s="23"/>
      <c r="P62" s="23"/>
      <c r="Q62" s="23"/>
      <c r="R62" s="23"/>
      <c r="S62" s="23">
        <v>200.0</v>
      </c>
      <c r="T62" s="23">
        <v>100.0</v>
      </c>
      <c r="U62" s="23">
        <v>100.0</v>
      </c>
      <c r="V62" s="23"/>
      <c r="W62" s="23"/>
      <c r="X62" s="23"/>
      <c r="Y62" s="23"/>
      <c r="Z62" s="17">
        <f t="shared" si="1"/>
        <v>675</v>
      </c>
      <c r="AA62" s="24">
        <v>675.0</v>
      </c>
      <c r="AB62" s="24">
        <v>675.0</v>
      </c>
      <c r="AC62" s="19">
        <f t="shared" si="2"/>
        <v>0</v>
      </c>
      <c r="AD62" s="19">
        <f t="shared" si="3"/>
        <v>0</v>
      </c>
    </row>
    <row r="63" ht="14.25" customHeight="1">
      <c r="A63" s="13">
        <v>59.0</v>
      </c>
      <c r="B63" s="21" t="s">
        <v>113</v>
      </c>
      <c r="C63" s="21" t="s">
        <v>100</v>
      </c>
      <c r="D63" s="26" t="s">
        <v>106</v>
      </c>
      <c r="E63" s="26">
        <v>300.0</v>
      </c>
      <c r="F63" s="22"/>
      <c r="G63" s="22"/>
      <c r="H63" s="23"/>
      <c r="I63" s="23"/>
      <c r="J63" s="23"/>
      <c r="K63" s="23"/>
      <c r="L63" s="23">
        <v>160.0</v>
      </c>
      <c r="M63" s="23"/>
      <c r="N63" s="24">
        <v>83.75</v>
      </c>
      <c r="O63" s="23"/>
      <c r="P63" s="23"/>
      <c r="Q63" s="23"/>
      <c r="R63" s="23"/>
      <c r="S63" s="23"/>
      <c r="T63" s="23">
        <v>50.0</v>
      </c>
      <c r="U63" s="23">
        <v>100.0</v>
      </c>
      <c r="V63" s="23"/>
      <c r="W63" s="23">
        <v>83.33</v>
      </c>
      <c r="X63" s="23"/>
      <c r="Y63" s="23">
        <v>60.0</v>
      </c>
      <c r="Z63" s="17">
        <f t="shared" si="1"/>
        <v>537.08</v>
      </c>
      <c r="AA63" s="24">
        <v>537.08</v>
      </c>
      <c r="AB63" s="24">
        <v>537.08</v>
      </c>
      <c r="AC63" s="19">
        <f t="shared" si="2"/>
        <v>0</v>
      </c>
      <c r="AD63" s="19">
        <f t="shared" si="3"/>
        <v>0</v>
      </c>
    </row>
    <row r="64" ht="14.25" customHeight="1">
      <c r="A64" s="13">
        <v>60.0</v>
      </c>
      <c r="B64" s="21" t="s">
        <v>114</v>
      </c>
      <c r="C64" s="21" t="s">
        <v>100</v>
      </c>
      <c r="D64" s="26" t="s">
        <v>104</v>
      </c>
      <c r="E64" s="26">
        <v>200.0</v>
      </c>
      <c r="F64" s="22"/>
      <c r="G64" s="22"/>
      <c r="H64" s="23"/>
      <c r="I64" s="23"/>
      <c r="J64" s="23"/>
      <c r="K64" s="23"/>
      <c r="L64" s="23"/>
      <c r="M64" s="23"/>
      <c r="N64" s="23"/>
      <c r="O64" s="23"/>
      <c r="P64" s="23"/>
      <c r="Q64" s="23"/>
      <c r="R64" s="23"/>
      <c r="S64" s="23">
        <v>50.0</v>
      </c>
      <c r="T64" s="23"/>
      <c r="U64" s="23">
        <v>50.0</v>
      </c>
      <c r="V64" s="23"/>
      <c r="W64" s="23"/>
      <c r="X64" s="23"/>
      <c r="Y64" s="23"/>
      <c r="Z64" s="17">
        <f t="shared" si="1"/>
        <v>100</v>
      </c>
      <c r="AA64" s="24">
        <v>100.0</v>
      </c>
      <c r="AB64" s="24">
        <v>100.0</v>
      </c>
      <c r="AC64" s="19">
        <f t="shared" si="2"/>
        <v>0</v>
      </c>
      <c r="AD64" s="19">
        <f t="shared" si="3"/>
        <v>0</v>
      </c>
    </row>
    <row r="65" ht="14.25" customHeight="1">
      <c r="A65" s="13">
        <v>61.0</v>
      </c>
      <c r="B65" s="21" t="s">
        <v>115</v>
      </c>
      <c r="C65" s="21" t="s">
        <v>100</v>
      </c>
      <c r="D65" s="26" t="s">
        <v>101</v>
      </c>
      <c r="E65" s="26">
        <v>250.0</v>
      </c>
      <c r="F65" s="22">
        <v>750.0</v>
      </c>
      <c r="G65" s="22"/>
      <c r="H65" s="23"/>
      <c r="I65" s="23"/>
      <c r="J65" s="23">
        <v>70.0</v>
      </c>
      <c r="K65" s="23"/>
      <c r="L65" s="23"/>
      <c r="M65" s="23"/>
      <c r="N65" s="24">
        <v>194.67</v>
      </c>
      <c r="O65" s="23"/>
      <c r="P65" s="23"/>
      <c r="Q65" s="23"/>
      <c r="R65" s="23"/>
      <c r="S65" s="23"/>
      <c r="T65" s="23">
        <v>200.0</v>
      </c>
      <c r="U65" s="23"/>
      <c r="V65" s="23"/>
      <c r="W65" s="23"/>
      <c r="X65" s="23"/>
      <c r="Y65" s="23"/>
      <c r="Z65" s="17">
        <f t="shared" si="1"/>
        <v>1214.67</v>
      </c>
      <c r="AA65" s="24">
        <v>1214.67</v>
      </c>
      <c r="AB65" s="24">
        <v>1214.67</v>
      </c>
      <c r="AC65" s="19">
        <f t="shared" si="2"/>
        <v>0</v>
      </c>
      <c r="AD65" s="19">
        <f t="shared" si="3"/>
        <v>0</v>
      </c>
    </row>
    <row r="66" ht="14.25" customHeight="1">
      <c r="A66" s="13">
        <v>62.0</v>
      </c>
      <c r="B66" s="28" t="s">
        <v>116</v>
      </c>
      <c r="C66" s="21" t="s">
        <v>100</v>
      </c>
      <c r="D66" s="26" t="s">
        <v>101</v>
      </c>
      <c r="E66" s="26">
        <v>250.0</v>
      </c>
      <c r="F66" s="22"/>
      <c r="G66" s="22"/>
      <c r="H66" s="23"/>
      <c r="I66" s="23"/>
      <c r="J66" s="23"/>
      <c r="K66" s="23"/>
      <c r="L66" s="23"/>
      <c r="M66" s="23"/>
      <c r="N66" s="24">
        <v>53.33</v>
      </c>
      <c r="O66" s="23"/>
      <c r="P66" s="23"/>
      <c r="Q66" s="23"/>
      <c r="R66" s="23"/>
      <c r="S66" s="23"/>
      <c r="T66" s="23"/>
      <c r="U66" s="23">
        <v>75.0</v>
      </c>
      <c r="V66" s="23"/>
      <c r="W66" s="23"/>
      <c r="X66" s="23"/>
      <c r="Y66" s="23"/>
      <c r="Z66" s="17">
        <f t="shared" si="1"/>
        <v>128.33</v>
      </c>
      <c r="AA66" s="24">
        <v>128.33</v>
      </c>
      <c r="AB66" s="24">
        <v>128.33</v>
      </c>
      <c r="AC66" s="19">
        <f t="shared" si="2"/>
        <v>0</v>
      </c>
      <c r="AD66" s="19">
        <f t="shared" si="3"/>
        <v>0</v>
      </c>
    </row>
    <row r="67" ht="14.25" customHeight="1">
      <c r="A67" s="13">
        <v>63.0</v>
      </c>
      <c r="B67" s="21" t="s">
        <v>117</v>
      </c>
      <c r="C67" s="21" t="s">
        <v>100</v>
      </c>
      <c r="D67" s="26" t="s">
        <v>106</v>
      </c>
      <c r="E67" s="26">
        <v>300.0</v>
      </c>
      <c r="F67" s="22"/>
      <c r="G67" s="22"/>
      <c r="H67" s="23"/>
      <c r="I67" s="23"/>
      <c r="J67" s="23">
        <v>140.0</v>
      </c>
      <c r="K67" s="23"/>
      <c r="L67" s="23"/>
      <c r="M67" s="23"/>
      <c r="N67" s="24">
        <v>622.5</v>
      </c>
      <c r="O67" s="23"/>
      <c r="P67" s="23"/>
      <c r="Q67" s="23"/>
      <c r="R67" s="23"/>
      <c r="S67" s="23"/>
      <c r="T67" s="23"/>
      <c r="U67" s="23">
        <v>50.0</v>
      </c>
      <c r="V67" s="23"/>
      <c r="W67" s="23"/>
      <c r="X67" s="23"/>
      <c r="Y67" s="23">
        <v>20.0</v>
      </c>
      <c r="Z67" s="17">
        <f t="shared" si="1"/>
        <v>832.5</v>
      </c>
      <c r="AA67" s="24">
        <v>832.5</v>
      </c>
      <c r="AB67" s="24">
        <v>832.5</v>
      </c>
      <c r="AC67" s="19">
        <f t="shared" si="2"/>
        <v>0</v>
      </c>
      <c r="AD67" s="19">
        <f t="shared" si="3"/>
        <v>0</v>
      </c>
    </row>
    <row r="68" ht="14.25" customHeight="1">
      <c r="A68" s="13">
        <v>64.0</v>
      </c>
      <c r="B68" s="21" t="s">
        <v>118</v>
      </c>
      <c r="C68" s="21" t="s">
        <v>100</v>
      </c>
      <c r="D68" s="26" t="s">
        <v>106</v>
      </c>
      <c r="E68" s="26">
        <v>300.0</v>
      </c>
      <c r="F68" s="22"/>
      <c r="G68" s="22"/>
      <c r="H68" s="23"/>
      <c r="I68" s="23"/>
      <c r="J68" s="23"/>
      <c r="K68" s="23"/>
      <c r="L68" s="23">
        <v>300.0</v>
      </c>
      <c r="M68" s="23"/>
      <c r="N68" s="23">
        <v>25.0</v>
      </c>
      <c r="O68" s="23"/>
      <c r="P68" s="23"/>
      <c r="Q68" s="23"/>
      <c r="R68" s="23"/>
      <c r="S68" s="23"/>
      <c r="T68" s="23">
        <v>25.0</v>
      </c>
      <c r="U68" s="23">
        <v>50.0</v>
      </c>
      <c r="V68" s="23"/>
      <c r="W68" s="23"/>
      <c r="X68" s="23"/>
      <c r="Y68" s="23">
        <v>20.0</v>
      </c>
      <c r="Z68" s="17">
        <f t="shared" si="1"/>
        <v>420</v>
      </c>
      <c r="AA68" s="24">
        <v>420.0</v>
      </c>
      <c r="AB68" s="24">
        <v>420.0</v>
      </c>
      <c r="AC68" s="19">
        <f t="shared" si="2"/>
        <v>0</v>
      </c>
      <c r="AD68" s="19">
        <f t="shared" si="3"/>
        <v>0</v>
      </c>
    </row>
    <row r="69" ht="14.25" customHeight="1">
      <c r="A69" s="13">
        <v>65.0</v>
      </c>
      <c r="B69" s="21" t="s">
        <v>119</v>
      </c>
      <c r="C69" s="21" t="s">
        <v>100</v>
      </c>
      <c r="D69" s="26" t="s">
        <v>109</v>
      </c>
      <c r="E69" s="26">
        <v>350.0</v>
      </c>
      <c r="F69" s="22"/>
      <c r="G69" s="22"/>
      <c r="H69" s="23"/>
      <c r="I69" s="23"/>
      <c r="J69" s="23"/>
      <c r="K69" s="23"/>
      <c r="L69" s="23">
        <v>130.0</v>
      </c>
      <c r="M69" s="23"/>
      <c r="N69" s="23"/>
      <c r="O69" s="23"/>
      <c r="P69" s="23"/>
      <c r="Q69" s="23"/>
      <c r="R69" s="23"/>
      <c r="S69" s="23"/>
      <c r="T69" s="23">
        <v>50.0</v>
      </c>
      <c r="U69" s="23">
        <v>100.0</v>
      </c>
      <c r="V69" s="23"/>
      <c r="W69" s="23"/>
      <c r="X69" s="23"/>
      <c r="Y69" s="23">
        <v>60.0</v>
      </c>
      <c r="Z69" s="17">
        <f t="shared" si="1"/>
        <v>340</v>
      </c>
      <c r="AA69" s="24">
        <v>340.0</v>
      </c>
      <c r="AB69" s="24">
        <v>340.0</v>
      </c>
      <c r="AC69" s="19">
        <f t="shared" si="2"/>
        <v>0</v>
      </c>
      <c r="AD69" s="19">
        <f t="shared" si="3"/>
        <v>0</v>
      </c>
    </row>
    <row r="70" ht="14.25" customHeight="1">
      <c r="A70" s="13">
        <v>66.0</v>
      </c>
      <c r="B70" s="21" t="s">
        <v>120</v>
      </c>
      <c r="C70" s="21" t="s">
        <v>100</v>
      </c>
      <c r="D70" s="26" t="s">
        <v>104</v>
      </c>
      <c r="E70" s="26">
        <v>200.0</v>
      </c>
      <c r="F70" s="22"/>
      <c r="G70" s="22"/>
      <c r="H70" s="23"/>
      <c r="I70" s="23"/>
      <c r="J70" s="23">
        <v>70.0</v>
      </c>
      <c r="K70" s="23"/>
      <c r="L70" s="23">
        <v>200.0</v>
      </c>
      <c r="M70" s="23"/>
      <c r="N70" s="23">
        <v>30.0</v>
      </c>
      <c r="O70" s="23"/>
      <c r="P70" s="23"/>
      <c r="Q70" s="23"/>
      <c r="R70" s="23"/>
      <c r="S70" s="23"/>
      <c r="T70" s="23"/>
      <c r="U70" s="23">
        <v>25.0</v>
      </c>
      <c r="V70" s="23"/>
      <c r="W70" s="23"/>
      <c r="X70" s="23"/>
      <c r="Y70" s="23">
        <v>20.0</v>
      </c>
      <c r="Z70" s="17">
        <f t="shared" si="1"/>
        <v>345</v>
      </c>
      <c r="AA70" s="24">
        <v>345.0</v>
      </c>
      <c r="AB70" s="24">
        <v>345.0</v>
      </c>
      <c r="AC70" s="19">
        <f t="shared" si="2"/>
        <v>0</v>
      </c>
      <c r="AD70" s="19">
        <f t="shared" si="3"/>
        <v>0</v>
      </c>
    </row>
    <row r="71" ht="14.25" customHeight="1">
      <c r="A71" s="13">
        <v>67.0</v>
      </c>
      <c r="B71" s="21" t="s">
        <v>121</v>
      </c>
      <c r="C71" s="21" t="s">
        <v>100</v>
      </c>
      <c r="D71" s="26" t="s">
        <v>101</v>
      </c>
      <c r="E71" s="26">
        <v>250.0</v>
      </c>
      <c r="F71" s="22"/>
      <c r="G71" s="22"/>
      <c r="H71" s="23"/>
      <c r="I71" s="23"/>
      <c r="J71" s="23"/>
      <c r="K71" s="23"/>
      <c r="L71" s="23">
        <v>52.0</v>
      </c>
      <c r="M71" s="23"/>
      <c r="N71" s="24">
        <v>3.75</v>
      </c>
      <c r="O71" s="23"/>
      <c r="P71" s="23"/>
      <c r="Q71" s="23"/>
      <c r="R71" s="23"/>
      <c r="S71" s="23"/>
      <c r="T71" s="23">
        <v>50.0</v>
      </c>
      <c r="U71" s="23">
        <v>50.0</v>
      </c>
      <c r="V71" s="23"/>
      <c r="W71" s="23">
        <v>83.33</v>
      </c>
      <c r="X71" s="23"/>
      <c r="Y71" s="23">
        <v>20.0</v>
      </c>
      <c r="Z71" s="17">
        <f t="shared" si="1"/>
        <v>259.08</v>
      </c>
      <c r="AA71" s="24">
        <v>259.08</v>
      </c>
      <c r="AB71" s="24">
        <v>259.08</v>
      </c>
      <c r="AC71" s="19">
        <f t="shared" si="2"/>
        <v>0</v>
      </c>
      <c r="AD71" s="19">
        <f t="shared" si="3"/>
        <v>0</v>
      </c>
    </row>
    <row r="72" ht="15.0" customHeight="1">
      <c r="A72" s="13">
        <v>68.0</v>
      </c>
      <c r="B72" s="31" t="s">
        <v>122</v>
      </c>
      <c r="C72" s="31" t="s">
        <v>123</v>
      </c>
      <c r="D72" s="32" t="s">
        <v>124</v>
      </c>
      <c r="E72" s="32">
        <v>300.0</v>
      </c>
      <c r="F72" s="33"/>
      <c r="G72" s="33"/>
      <c r="H72" s="33">
        <v>200.0</v>
      </c>
      <c r="I72" s="33"/>
      <c r="J72" s="33">
        <v>70.0</v>
      </c>
      <c r="K72" s="33"/>
      <c r="L72" s="33">
        <v>30.0</v>
      </c>
      <c r="M72" s="33"/>
      <c r="N72" s="33"/>
      <c r="O72" s="33"/>
      <c r="P72" s="33"/>
      <c r="Q72" s="33"/>
      <c r="R72" s="33"/>
      <c r="S72" s="33">
        <v>150.0</v>
      </c>
      <c r="T72" s="33"/>
      <c r="U72" s="33"/>
      <c r="V72" s="33"/>
      <c r="W72" s="33"/>
      <c r="X72" s="33"/>
      <c r="Y72" s="33">
        <v>20.0</v>
      </c>
      <c r="Z72" s="17">
        <f t="shared" si="1"/>
        <v>470</v>
      </c>
      <c r="AA72" s="34">
        <v>470.0</v>
      </c>
      <c r="AB72" s="34">
        <v>470.0</v>
      </c>
      <c r="AC72" s="19">
        <f t="shared" si="2"/>
        <v>0</v>
      </c>
      <c r="AD72" s="19">
        <f t="shared" si="3"/>
        <v>0</v>
      </c>
    </row>
    <row r="73" ht="15.0" customHeight="1">
      <c r="A73" s="13">
        <v>69.0</v>
      </c>
      <c r="B73" s="31" t="s">
        <v>125</v>
      </c>
      <c r="C73" s="31" t="s">
        <v>123</v>
      </c>
      <c r="D73" s="32" t="s">
        <v>124</v>
      </c>
      <c r="E73" s="32">
        <v>300.0</v>
      </c>
      <c r="F73" s="33"/>
      <c r="G73" s="33">
        <v>250.0</v>
      </c>
      <c r="H73" s="35">
        <v>66.0</v>
      </c>
      <c r="I73" s="35"/>
      <c r="J73" s="35"/>
      <c r="K73" s="35"/>
      <c r="L73" s="35">
        <v>40.0</v>
      </c>
      <c r="M73" s="35">
        <v>33.0</v>
      </c>
      <c r="N73" s="35">
        <v>50.0</v>
      </c>
      <c r="O73" s="35"/>
      <c r="P73" s="35"/>
      <c r="Q73" s="35"/>
      <c r="R73" s="35"/>
      <c r="S73" s="35">
        <v>150.0</v>
      </c>
      <c r="T73" s="35">
        <v>50.0</v>
      </c>
      <c r="U73" s="35"/>
      <c r="V73" s="35"/>
      <c r="W73" s="35"/>
      <c r="X73" s="35"/>
      <c r="Y73" s="35"/>
      <c r="Z73" s="17">
        <f t="shared" si="1"/>
        <v>639</v>
      </c>
      <c r="AA73" s="34">
        <v>639.0</v>
      </c>
      <c r="AB73" s="34">
        <v>639.0</v>
      </c>
      <c r="AC73" s="19">
        <f t="shared" si="2"/>
        <v>0</v>
      </c>
      <c r="AD73" s="19">
        <f t="shared" si="3"/>
        <v>0</v>
      </c>
    </row>
    <row r="74" ht="15.0" customHeight="1">
      <c r="A74" s="13">
        <v>70.0</v>
      </c>
      <c r="B74" s="31" t="s">
        <v>126</v>
      </c>
      <c r="C74" s="31" t="s">
        <v>123</v>
      </c>
      <c r="D74" s="32" t="s">
        <v>127</v>
      </c>
      <c r="E74" s="32">
        <v>250.0</v>
      </c>
      <c r="F74" s="33"/>
      <c r="G74" s="33"/>
      <c r="H74" s="35"/>
      <c r="I74" s="35"/>
      <c r="J74" s="35">
        <v>70.0</v>
      </c>
      <c r="K74" s="35"/>
      <c r="L74" s="35">
        <v>300.0</v>
      </c>
      <c r="M74" s="35"/>
      <c r="N74" s="35"/>
      <c r="O74" s="35"/>
      <c r="P74" s="35"/>
      <c r="Q74" s="35"/>
      <c r="R74" s="35"/>
      <c r="S74" s="35">
        <v>50.0</v>
      </c>
      <c r="T74" s="35"/>
      <c r="U74" s="35"/>
      <c r="V74" s="35"/>
      <c r="W74" s="35"/>
      <c r="X74" s="35"/>
      <c r="Y74" s="35"/>
      <c r="Z74" s="17">
        <f t="shared" si="1"/>
        <v>420</v>
      </c>
      <c r="AA74" s="34">
        <v>420.0</v>
      </c>
      <c r="AB74" s="34">
        <v>420.0</v>
      </c>
      <c r="AC74" s="19">
        <f t="shared" si="2"/>
        <v>0</v>
      </c>
      <c r="AD74" s="19">
        <f t="shared" si="3"/>
        <v>0</v>
      </c>
    </row>
    <row r="75" ht="15.0" customHeight="1">
      <c r="A75" s="13">
        <v>71.0</v>
      </c>
      <c r="B75" s="31" t="s">
        <v>128</v>
      </c>
      <c r="C75" s="31" t="s">
        <v>123</v>
      </c>
      <c r="D75" s="32" t="s">
        <v>129</v>
      </c>
      <c r="E75" s="32">
        <v>350.0</v>
      </c>
      <c r="F75" s="33"/>
      <c r="G75" s="33"/>
      <c r="H75" s="35"/>
      <c r="I75" s="35"/>
      <c r="J75" s="35">
        <v>210.0</v>
      </c>
      <c r="K75" s="35"/>
      <c r="L75" s="35"/>
      <c r="M75" s="35"/>
      <c r="N75" s="35">
        <v>135.0</v>
      </c>
      <c r="O75" s="35"/>
      <c r="P75" s="35"/>
      <c r="Q75" s="35"/>
      <c r="R75" s="35"/>
      <c r="S75" s="35">
        <v>150.0</v>
      </c>
      <c r="T75" s="35">
        <v>100.0</v>
      </c>
      <c r="U75" s="35"/>
      <c r="V75" s="35"/>
      <c r="W75" s="35">
        <v>125.0</v>
      </c>
      <c r="X75" s="35"/>
      <c r="Y75" s="35">
        <v>20.0</v>
      </c>
      <c r="Z75" s="17">
        <f t="shared" si="1"/>
        <v>740</v>
      </c>
      <c r="AA75" s="34">
        <v>740.0</v>
      </c>
      <c r="AB75" s="34">
        <v>740.0</v>
      </c>
      <c r="AC75" s="19">
        <f t="shared" si="2"/>
        <v>0</v>
      </c>
      <c r="AD75" s="19">
        <f t="shared" si="3"/>
        <v>0</v>
      </c>
    </row>
    <row r="76" ht="15.0" customHeight="1">
      <c r="A76" s="13">
        <v>72.0</v>
      </c>
      <c r="B76" s="31" t="s">
        <v>130</v>
      </c>
      <c r="C76" s="31" t="s">
        <v>123</v>
      </c>
      <c r="D76" s="32" t="s">
        <v>127</v>
      </c>
      <c r="E76" s="32">
        <v>250.0</v>
      </c>
      <c r="F76" s="33"/>
      <c r="G76" s="33"/>
      <c r="H76" s="35"/>
      <c r="I76" s="35"/>
      <c r="J76" s="35"/>
      <c r="K76" s="35"/>
      <c r="L76" s="35"/>
      <c r="M76" s="35"/>
      <c r="N76" s="35"/>
      <c r="O76" s="35"/>
      <c r="P76" s="35"/>
      <c r="Q76" s="35"/>
      <c r="R76" s="35"/>
      <c r="S76" s="35">
        <v>50.0</v>
      </c>
      <c r="T76" s="35">
        <v>25.0</v>
      </c>
      <c r="U76" s="35"/>
      <c r="V76" s="35"/>
      <c r="W76" s="35">
        <v>375.0</v>
      </c>
      <c r="X76" s="35"/>
      <c r="Y76" s="35"/>
      <c r="Z76" s="17">
        <f t="shared" si="1"/>
        <v>450</v>
      </c>
      <c r="AA76" s="34">
        <v>450.0</v>
      </c>
      <c r="AB76" s="34">
        <v>450.0</v>
      </c>
      <c r="AC76" s="19">
        <f t="shared" si="2"/>
        <v>0</v>
      </c>
      <c r="AD76" s="19">
        <f t="shared" si="3"/>
        <v>0</v>
      </c>
    </row>
    <row r="77" ht="15.0" customHeight="1">
      <c r="A77" s="13">
        <v>73.0</v>
      </c>
      <c r="B77" s="31" t="s">
        <v>131</v>
      </c>
      <c r="C77" s="31" t="s">
        <v>123</v>
      </c>
      <c r="D77" s="32" t="s">
        <v>127</v>
      </c>
      <c r="E77" s="32">
        <v>250.0</v>
      </c>
      <c r="F77" s="33"/>
      <c r="G77" s="33"/>
      <c r="H77" s="35">
        <v>67.0</v>
      </c>
      <c r="I77" s="35"/>
      <c r="J77" s="34">
        <v>37.5</v>
      </c>
      <c r="K77" s="35"/>
      <c r="L77" s="35"/>
      <c r="M77" s="35">
        <v>33.0</v>
      </c>
      <c r="N77" s="35"/>
      <c r="O77" s="35"/>
      <c r="P77" s="35"/>
      <c r="Q77" s="35"/>
      <c r="R77" s="35"/>
      <c r="S77" s="35">
        <v>50.0</v>
      </c>
      <c r="T77" s="35"/>
      <c r="U77" s="35"/>
      <c r="V77" s="35"/>
      <c r="W77" s="35"/>
      <c r="X77" s="35"/>
      <c r="Y77" s="35"/>
      <c r="Z77" s="17">
        <f t="shared" si="1"/>
        <v>187.5</v>
      </c>
      <c r="AA77" s="34">
        <v>187.5</v>
      </c>
      <c r="AB77" s="34">
        <v>187.5</v>
      </c>
      <c r="AC77" s="19">
        <f t="shared" si="2"/>
        <v>0</v>
      </c>
      <c r="AD77" s="19">
        <f t="shared" si="3"/>
        <v>0</v>
      </c>
    </row>
    <row r="78" ht="15.0" customHeight="1">
      <c r="A78" s="13">
        <v>74.0</v>
      </c>
      <c r="B78" s="31" t="s">
        <v>132</v>
      </c>
      <c r="C78" s="31" t="s">
        <v>123</v>
      </c>
      <c r="D78" s="32" t="s">
        <v>57</v>
      </c>
      <c r="E78" s="32">
        <v>200.0</v>
      </c>
      <c r="F78" s="33"/>
      <c r="G78" s="33"/>
      <c r="H78" s="35"/>
      <c r="I78" s="35"/>
      <c r="J78" s="35">
        <v>60.0</v>
      </c>
      <c r="K78" s="35"/>
      <c r="L78" s="35">
        <v>300.0</v>
      </c>
      <c r="M78" s="35"/>
      <c r="N78" s="35"/>
      <c r="O78" s="35"/>
      <c r="P78" s="35"/>
      <c r="Q78" s="35"/>
      <c r="R78" s="35"/>
      <c r="S78" s="35">
        <v>100.0</v>
      </c>
      <c r="T78" s="35"/>
      <c r="U78" s="35"/>
      <c r="V78" s="35"/>
      <c r="W78" s="35">
        <v>125.0</v>
      </c>
      <c r="X78" s="35"/>
      <c r="Y78" s="35"/>
      <c r="Z78" s="17">
        <f t="shared" si="1"/>
        <v>585</v>
      </c>
      <c r="AA78" s="34">
        <v>585.0</v>
      </c>
      <c r="AB78" s="34">
        <v>585.0</v>
      </c>
      <c r="AC78" s="19">
        <f t="shared" si="2"/>
        <v>0</v>
      </c>
      <c r="AD78" s="19">
        <f t="shared" si="3"/>
        <v>0</v>
      </c>
    </row>
    <row r="79" ht="15.0" customHeight="1">
      <c r="A79" s="13">
        <v>75.0</v>
      </c>
      <c r="B79" s="31" t="s">
        <v>133</v>
      </c>
      <c r="C79" s="31" t="s">
        <v>123</v>
      </c>
      <c r="D79" s="32" t="s">
        <v>127</v>
      </c>
      <c r="E79" s="32">
        <v>250.0</v>
      </c>
      <c r="F79" s="33"/>
      <c r="G79" s="33">
        <v>250.0</v>
      </c>
      <c r="H79" s="35">
        <v>67.0</v>
      </c>
      <c r="I79" s="35"/>
      <c r="J79" s="35"/>
      <c r="K79" s="35"/>
      <c r="L79" s="35"/>
      <c r="M79" s="35">
        <v>33.0</v>
      </c>
      <c r="N79" s="35">
        <v>15.0</v>
      </c>
      <c r="O79" s="35"/>
      <c r="P79" s="35"/>
      <c r="Q79" s="35"/>
      <c r="R79" s="35"/>
      <c r="S79" s="35">
        <v>50.0</v>
      </c>
      <c r="T79" s="35"/>
      <c r="U79" s="35"/>
      <c r="V79" s="35"/>
      <c r="W79" s="35"/>
      <c r="X79" s="35"/>
      <c r="Y79" s="35"/>
      <c r="Z79" s="17">
        <f t="shared" si="1"/>
        <v>415</v>
      </c>
      <c r="AA79" s="34">
        <v>415.0</v>
      </c>
      <c r="AB79" s="34">
        <v>415.0</v>
      </c>
      <c r="AC79" s="19">
        <f t="shared" si="2"/>
        <v>0</v>
      </c>
      <c r="AD79" s="19">
        <f t="shared" si="3"/>
        <v>0</v>
      </c>
    </row>
    <row r="80" ht="15.0" customHeight="1">
      <c r="A80" s="13">
        <v>76.0</v>
      </c>
      <c r="B80" s="31" t="s">
        <v>134</v>
      </c>
      <c r="C80" s="31" t="s">
        <v>123</v>
      </c>
      <c r="D80" s="32" t="s">
        <v>57</v>
      </c>
      <c r="E80" s="32">
        <v>200.0</v>
      </c>
      <c r="F80" s="33"/>
      <c r="G80" s="33"/>
      <c r="H80" s="35"/>
      <c r="I80" s="35"/>
      <c r="J80" s="35">
        <v>105.0</v>
      </c>
      <c r="K80" s="35"/>
      <c r="L80" s="35"/>
      <c r="M80" s="35"/>
      <c r="N80" s="35"/>
      <c r="O80" s="35"/>
      <c r="P80" s="35"/>
      <c r="Q80" s="35"/>
      <c r="R80" s="35"/>
      <c r="S80" s="35">
        <v>100.0</v>
      </c>
      <c r="T80" s="35"/>
      <c r="U80" s="35">
        <v>50.0</v>
      </c>
      <c r="V80" s="35"/>
      <c r="W80" s="35"/>
      <c r="X80" s="35"/>
      <c r="Y80" s="35"/>
      <c r="Z80" s="17">
        <f t="shared" si="1"/>
        <v>255</v>
      </c>
      <c r="AA80" s="34">
        <v>255.0</v>
      </c>
      <c r="AB80" s="34">
        <v>255.0</v>
      </c>
      <c r="AC80" s="19">
        <f t="shared" si="2"/>
        <v>0</v>
      </c>
      <c r="AD80" s="19">
        <f t="shared" si="3"/>
        <v>0</v>
      </c>
    </row>
    <row r="81" ht="15.0" customHeight="1">
      <c r="A81" s="13">
        <v>77.0</v>
      </c>
      <c r="B81" s="31" t="s">
        <v>135</v>
      </c>
      <c r="C81" s="31" t="s">
        <v>123</v>
      </c>
      <c r="D81" s="32" t="s">
        <v>127</v>
      </c>
      <c r="E81" s="32">
        <v>250.0</v>
      </c>
      <c r="F81" s="33"/>
      <c r="G81" s="33"/>
      <c r="H81" s="35"/>
      <c r="I81" s="35"/>
      <c r="J81" s="35">
        <v>140.0</v>
      </c>
      <c r="K81" s="35"/>
      <c r="L81" s="35">
        <v>60.0</v>
      </c>
      <c r="M81" s="35"/>
      <c r="N81" s="35">
        <v>480.0</v>
      </c>
      <c r="O81" s="35"/>
      <c r="P81" s="35"/>
      <c r="Q81" s="35"/>
      <c r="R81" s="35"/>
      <c r="S81" s="35">
        <v>100.0</v>
      </c>
      <c r="T81" s="35"/>
      <c r="U81" s="35">
        <v>50.0</v>
      </c>
      <c r="V81" s="35"/>
      <c r="W81" s="35"/>
      <c r="X81" s="35"/>
      <c r="Y81" s="35">
        <v>20.0</v>
      </c>
      <c r="Z81" s="17">
        <f t="shared" si="1"/>
        <v>850</v>
      </c>
      <c r="AA81" s="34">
        <v>850.0</v>
      </c>
      <c r="AB81" s="34">
        <v>850.0</v>
      </c>
      <c r="AC81" s="19">
        <f t="shared" si="2"/>
        <v>0</v>
      </c>
      <c r="AD81" s="19">
        <f t="shared" si="3"/>
        <v>0</v>
      </c>
    </row>
    <row r="82" ht="15.0" customHeight="1">
      <c r="A82" s="13">
        <v>78.0</v>
      </c>
      <c r="B82" s="31" t="s">
        <v>136</v>
      </c>
      <c r="C82" s="31" t="s">
        <v>123</v>
      </c>
      <c r="D82" s="32" t="s">
        <v>124</v>
      </c>
      <c r="E82" s="32">
        <v>300.0</v>
      </c>
      <c r="F82" s="33">
        <v>1200.0</v>
      </c>
      <c r="G82" s="33"/>
      <c r="H82" s="35"/>
      <c r="I82" s="35"/>
      <c r="J82" s="35"/>
      <c r="K82" s="35"/>
      <c r="L82" s="35">
        <v>300.0</v>
      </c>
      <c r="M82" s="35"/>
      <c r="N82" s="35">
        <v>120.0</v>
      </c>
      <c r="O82" s="35"/>
      <c r="P82" s="35"/>
      <c r="Q82" s="35"/>
      <c r="R82" s="35"/>
      <c r="S82" s="35">
        <v>50.0</v>
      </c>
      <c r="T82" s="35"/>
      <c r="U82" s="35"/>
      <c r="V82" s="35"/>
      <c r="W82" s="35"/>
      <c r="X82" s="35">
        <v>20.0</v>
      </c>
      <c r="Y82" s="35"/>
      <c r="Z82" s="17">
        <f t="shared" si="1"/>
        <v>1690</v>
      </c>
      <c r="AA82" s="34">
        <v>1690.0</v>
      </c>
      <c r="AB82" s="34">
        <v>1690.0</v>
      </c>
      <c r="AC82" s="19">
        <f t="shared" si="2"/>
        <v>0</v>
      </c>
      <c r="AD82" s="19">
        <f t="shared" si="3"/>
        <v>0</v>
      </c>
    </row>
    <row r="83" ht="15.0" customHeight="1">
      <c r="A83" s="13">
        <v>79.0</v>
      </c>
      <c r="B83" s="31" t="s">
        <v>137</v>
      </c>
      <c r="C83" s="31" t="s">
        <v>123</v>
      </c>
      <c r="D83" s="32" t="s">
        <v>127</v>
      </c>
      <c r="E83" s="32">
        <v>250.0</v>
      </c>
      <c r="F83" s="33"/>
      <c r="G83" s="33"/>
      <c r="H83" s="35"/>
      <c r="I83" s="35"/>
      <c r="J83" s="35"/>
      <c r="K83" s="35"/>
      <c r="L83" s="35"/>
      <c r="M83" s="35"/>
      <c r="N83" s="35"/>
      <c r="O83" s="35"/>
      <c r="P83" s="35"/>
      <c r="Q83" s="35"/>
      <c r="R83" s="35"/>
      <c r="S83" s="35"/>
      <c r="T83" s="35"/>
      <c r="U83" s="35"/>
      <c r="V83" s="35"/>
      <c r="W83" s="35"/>
      <c r="X83" s="35"/>
      <c r="Y83" s="35"/>
      <c r="Z83" s="17">
        <f t="shared" si="1"/>
        <v>0</v>
      </c>
      <c r="AA83" s="34">
        <v>0.0</v>
      </c>
      <c r="AB83" s="34">
        <v>0.0</v>
      </c>
      <c r="AC83" s="19">
        <f t="shared" si="2"/>
        <v>0</v>
      </c>
      <c r="AD83" s="19">
        <f t="shared" si="3"/>
        <v>0</v>
      </c>
    </row>
    <row r="84" ht="15.0" customHeight="1">
      <c r="A84" s="13">
        <v>80.0</v>
      </c>
      <c r="B84" s="31" t="s">
        <v>138</v>
      </c>
      <c r="C84" s="31" t="s">
        <v>123</v>
      </c>
      <c r="D84" s="32" t="s">
        <v>124</v>
      </c>
      <c r="E84" s="32">
        <v>300.0</v>
      </c>
      <c r="F84" s="33"/>
      <c r="G84" s="33"/>
      <c r="H84" s="35"/>
      <c r="I84" s="35"/>
      <c r="J84" s="35">
        <v>165.0</v>
      </c>
      <c r="K84" s="35"/>
      <c r="L84" s="35">
        <v>14.0</v>
      </c>
      <c r="M84" s="35"/>
      <c r="N84" s="35">
        <v>350.0</v>
      </c>
      <c r="O84" s="35"/>
      <c r="P84" s="35"/>
      <c r="Q84" s="35"/>
      <c r="R84" s="35"/>
      <c r="S84" s="35">
        <v>150.0</v>
      </c>
      <c r="T84" s="35"/>
      <c r="U84" s="35">
        <v>100.0</v>
      </c>
      <c r="V84" s="35"/>
      <c r="W84" s="35"/>
      <c r="X84" s="35">
        <v>10.0</v>
      </c>
      <c r="Y84" s="35"/>
      <c r="Z84" s="17">
        <f t="shared" si="1"/>
        <v>789</v>
      </c>
      <c r="AA84" s="34">
        <v>789.0</v>
      </c>
      <c r="AB84" s="34">
        <v>789.0</v>
      </c>
      <c r="AC84" s="19">
        <f t="shared" si="2"/>
        <v>0</v>
      </c>
      <c r="AD84" s="19">
        <f t="shared" si="3"/>
        <v>0</v>
      </c>
    </row>
    <row r="85" ht="15.0" customHeight="1">
      <c r="A85" s="13">
        <v>81.0</v>
      </c>
      <c r="B85" s="31" t="s">
        <v>139</v>
      </c>
      <c r="C85" s="31" t="s">
        <v>123</v>
      </c>
      <c r="D85" s="32" t="s">
        <v>124</v>
      </c>
      <c r="E85" s="32">
        <v>300.0</v>
      </c>
      <c r="F85" s="33"/>
      <c r="G85" s="33"/>
      <c r="H85" s="35"/>
      <c r="I85" s="35"/>
      <c r="J85" s="35"/>
      <c r="K85" s="35">
        <v>530.0</v>
      </c>
      <c r="L85" s="35"/>
      <c r="M85" s="35">
        <v>750.0</v>
      </c>
      <c r="N85" s="35">
        <v>116.0</v>
      </c>
      <c r="O85" s="35"/>
      <c r="P85" s="35"/>
      <c r="Q85" s="35"/>
      <c r="R85" s="35"/>
      <c r="S85" s="35">
        <v>200.0</v>
      </c>
      <c r="T85" s="35">
        <v>100.0</v>
      </c>
      <c r="U85" s="35"/>
      <c r="V85" s="35"/>
      <c r="W85" s="35">
        <v>300.0</v>
      </c>
      <c r="X85" s="35"/>
      <c r="Y85" s="35"/>
      <c r="Z85" s="17">
        <f t="shared" si="1"/>
        <v>1996</v>
      </c>
      <c r="AA85" s="34">
        <v>1996.0</v>
      </c>
      <c r="AB85" s="34">
        <v>1996.0</v>
      </c>
      <c r="AC85" s="19">
        <f t="shared" si="2"/>
        <v>0</v>
      </c>
      <c r="AD85" s="19">
        <f t="shared" si="3"/>
        <v>0</v>
      </c>
    </row>
    <row r="86" ht="15.0" customHeight="1">
      <c r="A86" s="13">
        <v>82.0</v>
      </c>
      <c r="B86" s="31" t="s">
        <v>140</v>
      </c>
      <c r="C86" s="31" t="s">
        <v>123</v>
      </c>
      <c r="D86" s="32" t="s">
        <v>57</v>
      </c>
      <c r="E86" s="32">
        <v>200.0</v>
      </c>
      <c r="F86" s="33"/>
      <c r="G86" s="33"/>
      <c r="H86" s="35"/>
      <c r="I86" s="35"/>
      <c r="J86" s="35"/>
      <c r="K86" s="35"/>
      <c r="L86" s="35"/>
      <c r="M86" s="35"/>
      <c r="N86" s="34">
        <v>37.5</v>
      </c>
      <c r="O86" s="35"/>
      <c r="P86" s="35"/>
      <c r="Q86" s="35"/>
      <c r="R86" s="35"/>
      <c r="S86" s="35">
        <v>100.0</v>
      </c>
      <c r="T86" s="35"/>
      <c r="U86" s="35"/>
      <c r="V86" s="35"/>
      <c r="W86" s="35"/>
      <c r="X86" s="35"/>
      <c r="Y86" s="35"/>
      <c r="Z86" s="17">
        <f t="shared" si="1"/>
        <v>137.5</v>
      </c>
      <c r="AA86" s="34">
        <v>137.5</v>
      </c>
      <c r="AB86" s="34">
        <v>137.5</v>
      </c>
      <c r="AC86" s="19">
        <f t="shared" si="2"/>
        <v>0</v>
      </c>
      <c r="AD86" s="19">
        <f t="shared" si="3"/>
        <v>0</v>
      </c>
    </row>
    <row r="87" ht="14.25" customHeight="1">
      <c r="A87" s="13">
        <v>83.0</v>
      </c>
      <c r="B87" s="21" t="s">
        <v>141</v>
      </c>
      <c r="C87" s="21" t="s">
        <v>142</v>
      </c>
      <c r="D87" s="26" t="s">
        <v>143</v>
      </c>
      <c r="E87" s="26">
        <v>300.0</v>
      </c>
      <c r="F87" s="22"/>
      <c r="G87" s="22"/>
      <c r="H87" s="22">
        <v>200.0</v>
      </c>
      <c r="I87" s="22"/>
      <c r="J87" s="22"/>
      <c r="K87" s="22"/>
      <c r="L87" s="22"/>
      <c r="M87" s="22"/>
      <c r="N87" s="36">
        <v>204.98</v>
      </c>
      <c r="O87" s="22"/>
      <c r="P87" s="22"/>
      <c r="Q87" s="22"/>
      <c r="R87" s="22"/>
      <c r="S87" s="22">
        <v>170.0</v>
      </c>
      <c r="T87" s="22">
        <v>200.0</v>
      </c>
      <c r="U87" s="22"/>
      <c r="V87" s="22"/>
      <c r="W87" s="22">
        <v>433.33</v>
      </c>
      <c r="X87" s="22"/>
      <c r="Y87" s="22"/>
      <c r="Z87" s="17">
        <f t="shared" si="1"/>
        <v>1208.31</v>
      </c>
      <c r="AA87" s="24">
        <v>1208.31</v>
      </c>
      <c r="AB87" s="24">
        <v>1208.31</v>
      </c>
      <c r="AC87" s="19">
        <f t="shared" si="2"/>
        <v>0</v>
      </c>
      <c r="AD87" s="19">
        <f t="shared" si="3"/>
        <v>0</v>
      </c>
    </row>
    <row r="88" ht="14.25" customHeight="1">
      <c r="A88" s="13">
        <v>84.0</v>
      </c>
      <c r="B88" s="21" t="s">
        <v>144</v>
      </c>
      <c r="C88" s="21" t="s">
        <v>142</v>
      </c>
      <c r="D88" s="26" t="s">
        <v>145</v>
      </c>
      <c r="E88" s="26">
        <v>250.0</v>
      </c>
      <c r="F88" s="22">
        <v>1000.0</v>
      </c>
      <c r="G88" s="22"/>
      <c r="H88" s="23"/>
      <c r="I88" s="23"/>
      <c r="J88" s="23"/>
      <c r="K88" s="23"/>
      <c r="L88" s="23"/>
      <c r="M88" s="23"/>
      <c r="N88" s="24"/>
      <c r="O88" s="23"/>
      <c r="P88" s="23"/>
      <c r="Q88" s="23"/>
      <c r="R88" s="23"/>
      <c r="S88" s="23"/>
      <c r="T88" s="23"/>
      <c r="U88" s="23"/>
      <c r="V88" s="23"/>
      <c r="W88" s="23"/>
      <c r="X88" s="23"/>
      <c r="Y88" s="23"/>
      <c r="Z88" s="17">
        <f t="shared" si="1"/>
        <v>1000</v>
      </c>
      <c r="AA88" s="24">
        <v>1000.0</v>
      </c>
      <c r="AB88" s="24">
        <v>1000.0</v>
      </c>
      <c r="AC88" s="19">
        <f t="shared" si="2"/>
        <v>0</v>
      </c>
      <c r="AD88" s="19">
        <f t="shared" si="3"/>
        <v>0</v>
      </c>
    </row>
    <row r="89" ht="14.25" customHeight="1">
      <c r="A89" s="13">
        <v>85.0</v>
      </c>
      <c r="B89" s="21" t="s">
        <v>146</v>
      </c>
      <c r="C89" s="21" t="s">
        <v>142</v>
      </c>
      <c r="D89" s="26" t="s">
        <v>145</v>
      </c>
      <c r="E89" s="26">
        <v>250.0</v>
      </c>
      <c r="F89" s="22"/>
      <c r="G89" s="22"/>
      <c r="H89" s="23"/>
      <c r="I89" s="23"/>
      <c r="J89" s="23"/>
      <c r="K89" s="23"/>
      <c r="L89" s="23"/>
      <c r="M89" s="23"/>
      <c r="N89" s="24"/>
      <c r="O89" s="23"/>
      <c r="P89" s="23"/>
      <c r="Q89" s="23"/>
      <c r="R89" s="23"/>
      <c r="S89" s="23"/>
      <c r="T89" s="23"/>
      <c r="U89" s="23">
        <v>50.0</v>
      </c>
      <c r="V89" s="23"/>
      <c r="W89" s="23">
        <v>83.33</v>
      </c>
      <c r="X89" s="23"/>
      <c r="Y89" s="23">
        <v>20.0</v>
      </c>
      <c r="Z89" s="17">
        <f t="shared" si="1"/>
        <v>153.33</v>
      </c>
      <c r="AA89" s="24">
        <v>153.33</v>
      </c>
      <c r="AB89" s="24">
        <v>153.33</v>
      </c>
      <c r="AC89" s="19">
        <f t="shared" si="2"/>
        <v>0</v>
      </c>
      <c r="AD89" s="19">
        <f t="shared" si="3"/>
        <v>0</v>
      </c>
    </row>
    <row r="90" ht="14.25" customHeight="1">
      <c r="A90" s="13">
        <v>86.0</v>
      </c>
      <c r="B90" s="21" t="s">
        <v>147</v>
      </c>
      <c r="C90" s="21" t="s">
        <v>142</v>
      </c>
      <c r="D90" s="26" t="s">
        <v>148</v>
      </c>
      <c r="E90" s="26">
        <v>200.0</v>
      </c>
      <c r="F90" s="22"/>
      <c r="G90" s="22"/>
      <c r="H90" s="23">
        <v>500.0</v>
      </c>
      <c r="I90" s="23"/>
      <c r="J90" s="23">
        <v>140.0</v>
      </c>
      <c r="K90" s="23"/>
      <c r="L90" s="23"/>
      <c r="M90" s="23"/>
      <c r="N90" s="24"/>
      <c r="O90" s="23"/>
      <c r="P90" s="23"/>
      <c r="Q90" s="23"/>
      <c r="R90" s="23"/>
      <c r="S90" s="23">
        <v>57.0</v>
      </c>
      <c r="T90" s="23">
        <v>25.0</v>
      </c>
      <c r="U90" s="23">
        <v>25.0</v>
      </c>
      <c r="V90" s="23"/>
      <c r="W90" s="23"/>
      <c r="X90" s="23"/>
      <c r="Y90" s="23">
        <v>20.0</v>
      </c>
      <c r="Z90" s="17">
        <f t="shared" si="1"/>
        <v>767</v>
      </c>
      <c r="AA90" s="24">
        <v>767.0</v>
      </c>
      <c r="AB90" s="24">
        <v>767.0</v>
      </c>
      <c r="AC90" s="19">
        <f t="shared" si="2"/>
        <v>0</v>
      </c>
      <c r="AD90" s="19">
        <f t="shared" si="3"/>
        <v>0</v>
      </c>
    </row>
    <row r="91" ht="14.25" customHeight="1">
      <c r="A91" s="13">
        <v>87.0</v>
      </c>
      <c r="B91" s="21" t="s">
        <v>149</v>
      </c>
      <c r="C91" s="21" t="s">
        <v>142</v>
      </c>
      <c r="D91" s="26" t="s">
        <v>145</v>
      </c>
      <c r="E91" s="26">
        <v>250.0</v>
      </c>
      <c r="F91" s="22"/>
      <c r="G91" s="22"/>
      <c r="H91" s="23"/>
      <c r="I91" s="23"/>
      <c r="J91" s="23">
        <v>70.0</v>
      </c>
      <c r="K91" s="23"/>
      <c r="L91" s="23">
        <v>300.0</v>
      </c>
      <c r="M91" s="23"/>
      <c r="N91" s="24"/>
      <c r="O91" s="23"/>
      <c r="P91" s="23"/>
      <c r="Q91" s="23"/>
      <c r="R91" s="23"/>
      <c r="S91" s="23"/>
      <c r="T91" s="23"/>
      <c r="U91" s="23">
        <v>50.0</v>
      </c>
      <c r="V91" s="23"/>
      <c r="W91" s="23"/>
      <c r="X91" s="23"/>
      <c r="Y91" s="23">
        <v>20.0</v>
      </c>
      <c r="Z91" s="17">
        <f t="shared" si="1"/>
        <v>440</v>
      </c>
      <c r="AA91" s="24">
        <v>440.0</v>
      </c>
      <c r="AB91" s="24">
        <v>440.0</v>
      </c>
      <c r="AC91" s="19">
        <f t="shared" si="2"/>
        <v>0</v>
      </c>
      <c r="AD91" s="19">
        <f t="shared" si="3"/>
        <v>0</v>
      </c>
    </row>
    <row r="92" ht="14.25" customHeight="1">
      <c r="A92" s="13">
        <v>88.0</v>
      </c>
      <c r="B92" s="21" t="s">
        <v>150</v>
      </c>
      <c r="C92" s="21" t="s">
        <v>142</v>
      </c>
      <c r="D92" s="26" t="s">
        <v>148</v>
      </c>
      <c r="E92" s="26">
        <v>200.0</v>
      </c>
      <c r="F92" s="22"/>
      <c r="G92" s="22"/>
      <c r="H92" s="23"/>
      <c r="I92" s="23"/>
      <c r="J92" s="23">
        <v>105.0</v>
      </c>
      <c r="K92" s="23"/>
      <c r="L92" s="23"/>
      <c r="M92" s="23"/>
      <c r="N92" s="24">
        <v>405.5</v>
      </c>
      <c r="O92" s="23"/>
      <c r="P92" s="23"/>
      <c r="Q92" s="23"/>
      <c r="R92" s="23"/>
      <c r="S92" s="23"/>
      <c r="T92" s="23">
        <v>100.0</v>
      </c>
      <c r="U92" s="23">
        <v>100.0</v>
      </c>
      <c r="V92" s="23"/>
      <c r="W92" s="23"/>
      <c r="X92" s="23"/>
      <c r="Y92" s="23">
        <v>60.0</v>
      </c>
      <c r="Z92" s="17">
        <f t="shared" si="1"/>
        <v>770.5</v>
      </c>
      <c r="AA92" s="24">
        <v>770.5</v>
      </c>
      <c r="AB92" s="24">
        <v>770.5</v>
      </c>
      <c r="AC92" s="19">
        <f t="shared" si="2"/>
        <v>0</v>
      </c>
      <c r="AD92" s="19">
        <f t="shared" si="3"/>
        <v>0</v>
      </c>
    </row>
    <row r="93" ht="14.25" customHeight="1">
      <c r="A93" s="13">
        <v>89.0</v>
      </c>
      <c r="B93" s="21" t="s">
        <v>151</v>
      </c>
      <c r="C93" s="21" t="s">
        <v>142</v>
      </c>
      <c r="D93" s="26" t="s">
        <v>152</v>
      </c>
      <c r="E93" s="26">
        <v>350.0</v>
      </c>
      <c r="F93" s="22"/>
      <c r="G93" s="22"/>
      <c r="H93" s="23"/>
      <c r="I93" s="23"/>
      <c r="J93" s="23">
        <v>140.0</v>
      </c>
      <c r="K93" s="23"/>
      <c r="L93" s="23">
        <v>44.0</v>
      </c>
      <c r="M93" s="23"/>
      <c r="N93" s="24">
        <v>80.0</v>
      </c>
      <c r="O93" s="23"/>
      <c r="P93" s="23"/>
      <c r="Q93" s="23"/>
      <c r="R93" s="23"/>
      <c r="S93" s="23">
        <v>50.0</v>
      </c>
      <c r="T93" s="23"/>
      <c r="U93" s="23">
        <v>100.0</v>
      </c>
      <c r="V93" s="23"/>
      <c r="W93" s="23"/>
      <c r="X93" s="23">
        <v>20.0</v>
      </c>
      <c r="Y93" s="23">
        <v>60.0</v>
      </c>
      <c r="Z93" s="17">
        <f t="shared" si="1"/>
        <v>494</v>
      </c>
      <c r="AA93" s="24">
        <v>494.0</v>
      </c>
      <c r="AB93" s="24">
        <v>494.0</v>
      </c>
      <c r="AC93" s="19">
        <f t="shared" si="2"/>
        <v>0</v>
      </c>
      <c r="AD93" s="19">
        <f t="shared" si="3"/>
        <v>0</v>
      </c>
    </row>
    <row r="94" ht="14.25" customHeight="1">
      <c r="A94" s="13">
        <v>90.0</v>
      </c>
      <c r="B94" s="21" t="s">
        <v>153</v>
      </c>
      <c r="C94" s="21" t="s">
        <v>142</v>
      </c>
      <c r="D94" s="26" t="s">
        <v>145</v>
      </c>
      <c r="E94" s="26">
        <v>250.0</v>
      </c>
      <c r="F94" s="22"/>
      <c r="G94" s="22">
        <v>500.0</v>
      </c>
      <c r="H94" s="23"/>
      <c r="I94" s="23">
        <v>100.0</v>
      </c>
      <c r="J94" s="23">
        <v>35.0</v>
      </c>
      <c r="K94" s="23"/>
      <c r="L94" s="23"/>
      <c r="M94" s="23"/>
      <c r="N94" s="24">
        <v>1709.17</v>
      </c>
      <c r="O94" s="23"/>
      <c r="P94" s="23"/>
      <c r="Q94" s="23"/>
      <c r="R94" s="23"/>
      <c r="S94" s="23">
        <v>200.0</v>
      </c>
      <c r="T94" s="23">
        <v>75.0</v>
      </c>
      <c r="U94" s="23"/>
      <c r="V94" s="23"/>
      <c r="W94" s="23">
        <v>200.0</v>
      </c>
      <c r="X94" s="23"/>
      <c r="Y94" s="23">
        <v>20.0</v>
      </c>
      <c r="Z94" s="17">
        <f t="shared" si="1"/>
        <v>2839.17</v>
      </c>
      <c r="AA94" s="24">
        <v>2839.17</v>
      </c>
      <c r="AB94" s="24">
        <v>2839.17</v>
      </c>
      <c r="AC94" s="19">
        <f t="shared" si="2"/>
        <v>0</v>
      </c>
      <c r="AD94" s="19">
        <f t="shared" si="3"/>
        <v>0</v>
      </c>
    </row>
    <row r="95" ht="14.25" customHeight="1">
      <c r="A95" s="13">
        <v>91.0</v>
      </c>
      <c r="B95" s="21" t="s">
        <v>154</v>
      </c>
      <c r="C95" s="21" t="s">
        <v>142</v>
      </c>
      <c r="D95" s="26" t="s">
        <v>145</v>
      </c>
      <c r="E95" s="26">
        <v>250.0</v>
      </c>
      <c r="F95" s="22"/>
      <c r="G95" s="22"/>
      <c r="H95" s="23"/>
      <c r="I95" s="23"/>
      <c r="J95" s="23">
        <v>70.0</v>
      </c>
      <c r="K95" s="23"/>
      <c r="L95" s="23"/>
      <c r="M95" s="23"/>
      <c r="N95" s="24"/>
      <c r="O95" s="23"/>
      <c r="P95" s="23"/>
      <c r="Q95" s="23"/>
      <c r="R95" s="23"/>
      <c r="S95" s="23">
        <v>57.0</v>
      </c>
      <c r="T95" s="23">
        <v>25.0</v>
      </c>
      <c r="U95" s="23"/>
      <c r="V95" s="23"/>
      <c r="W95" s="23"/>
      <c r="X95" s="23"/>
      <c r="Y95" s="23"/>
      <c r="Z95" s="17">
        <f t="shared" si="1"/>
        <v>152</v>
      </c>
      <c r="AA95" s="24">
        <v>152.0</v>
      </c>
      <c r="AB95" s="24">
        <v>152.0</v>
      </c>
      <c r="AC95" s="19">
        <f t="shared" si="2"/>
        <v>0</v>
      </c>
      <c r="AD95" s="19">
        <f t="shared" si="3"/>
        <v>0</v>
      </c>
    </row>
    <row r="96" ht="14.25" customHeight="1">
      <c r="A96" s="13">
        <v>92.0</v>
      </c>
      <c r="B96" s="21" t="s">
        <v>155</v>
      </c>
      <c r="C96" s="21" t="s">
        <v>142</v>
      </c>
      <c r="D96" s="26" t="s">
        <v>148</v>
      </c>
      <c r="E96" s="26">
        <v>200.0</v>
      </c>
      <c r="F96" s="22"/>
      <c r="G96" s="22"/>
      <c r="H96" s="23"/>
      <c r="I96" s="23"/>
      <c r="J96" s="23">
        <v>70.0</v>
      </c>
      <c r="K96" s="23"/>
      <c r="L96" s="23">
        <v>300.0</v>
      </c>
      <c r="M96" s="23"/>
      <c r="N96" s="24"/>
      <c r="O96" s="23"/>
      <c r="P96" s="23"/>
      <c r="Q96" s="23"/>
      <c r="R96" s="23"/>
      <c r="S96" s="23"/>
      <c r="T96" s="23"/>
      <c r="U96" s="23"/>
      <c r="V96" s="23"/>
      <c r="W96" s="23"/>
      <c r="X96" s="23"/>
      <c r="Y96" s="23">
        <v>60.0</v>
      </c>
      <c r="Z96" s="17">
        <f t="shared" si="1"/>
        <v>430</v>
      </c>
      <c r="AA96" s="24">
        <v>430.0</v>
      </c>
      <c r="AB96" s="24">
        <v>430.0</v>
      </c>
      <c r="AC96" s="19">
        <f t="shared" si="2"/>
        <v>0</v>
      </c>
      <c r="AD96" s="19">
        <f t="shared" si="3"/>
        <v>0</v>
      </c>
    </row>
    <row r="97" ht="14.25" customHeight="1">
      <c r="A97" s="13">
        <v>93.0</v>
      </c>
      <c r="B97" s="21" t="s">
        <v>156</v>
      </c>
      <c r="C97" s="21" t="s">
        <v>142</v>
      </c>
      <c r="D97" s="26" t="s">
        <v>145</v>
      </c>
      <c r="E97" s="26">
        <v>250.0</v>
      </c>
      <c r="F97" s="22"/>
      <c r="G97" s="22"/>
      <c r="H97" s="23">
        <v>300.0</v>
      </c>
      <c r="I97" s="23"/>
      <c r="J97" s="23"/>
      <c r="K97" s="23"/>
      <c r="L97" s="23"/>
      <c r="M97" s="23"/>
      <c r="N97" s="24">
        <v>25.0</v>
      </c>
      <c r="O97" s="23"/>
      <c r="P97" s="23"/>
      <c r="Q97" s="23"/>
      <c r="R97" s="23"/>
      <c r="S97" s="23"/>
      <c r="T97" s="23"/>
      <c r="U97" s="23"/>
      <c r="V97" s="23"/>
      <c r="W97" s="23"/>
      <c r="X97" s="23"/>
      <c r="Y97" s="23"/>
      <c r="Z97" s="17">
        <f t="shared" si="1"/>
        <v>325</v>
      </c>
      <c r="AA97" s="24">
        <v>325.0</v>
      </c>
      <c r="AB97" s="24">
        <v>325.0</v>
      </c>
      <c r="AC97" s="19">
        <f t="shared" si="2"/>
        <v>0</v>
      </c>
      <c r="AD97" s="19">
        <f t="shared" si="3"/>
        <v>0</v>
      </c>
    </row>
    <row r="98" ht="14.25" customHeight="1">
      <c r="A98" s="13">
        <v>94.0</v>
      </c>
      <c r="B98" s="21" t="s">
        <v>157</v>
      </c>
      <c r="C98" s="21" t="s">
        <v>142</v>
      </c>
      <c r="D98" s="26" t="s">
        <v>145</v>
      </c>
      <c r="E98" s="26">
        <v>250.0</v>
      </c>
      <c r="F98" s="22"/>
      <c r="G98" s="22"/>
      <c r="H98" s="23"/>
      <c r="I98" s="23"/>
      <c r="J98" s="23">
        <v>50.0</v>
      </c>
      <c r="K98" s="23"/>
      <c r="L98" s="23"/>
      <c r="M98" s="23"/>
      <c r="N98" s="24">
        <v>100.0</v>
      </c>
      <c r="O98" s="23"/>
      <c r="P98" s="23"/>
      <c r="Q98" s="23"/>
      <c r="R98" s="23"/>
      <c r="S98" s="23">
        <v>50.0</v>
      </c>
      <c r="T98" s="23"/>
      <c r="U98" s="23"/>
      <c r="V98" s="23"/>
      <c r="W98" s="23"/>
      <c r="X98" s="23"/>
      <c r="Y98" s="23"/>
      <c r="Z98" s="17">
        <f t="shared" si="1"/>
        <v>200</v>
      </c>
      <c r="AA98" s="24">
        <v>200.0</v>
      </c>
      <c r="AB98" s="24">
        <v>200.0</v>
      </c>
      <c r="AC98" s="19">
        <f t="shared" si="2"/>
        <v>0</v>
      </c>
      <c r="AD98" s="19">
        <f t="shared" si="3"/>
        <v>0</v>
      </c>
    </row>
    <row r="99" ht="14.25" customHeight="1">
      <c r="A99" s="13">
        <v>95.0</v>
      </c>
      <c r="B99" s="21" t="s">
        <v>158</v>
      </c>
      <c r="C99" s="21" t="s">
        <v>142</v>
      </c>
      <c r="D99" s="26" t="s">
        <v>143</v>
      </c>
      <c r="E99" s="26">
        <v>300.0</v>
      </c>
      <c r="F99" s="22"/>
      <c r="G99" s="22"/>
      <c r="H99" s="23"/>
      <c r="I99" s="23"/>
      <c r="J99" s="23"/>
      <c r="K99" s="23"/>
      <c r="L99" s="23"/>
      <c r="M99" s="23"/>
      <c r="N99" s="24">
        <v>126.0</v>
      </c>
      <c r="O99" s="23"/>
      <c r="P99" s="23"/>
      <c r="Q99" s="23"/>
      <c r="R99" s="23"/>
      <c r="S99" s="23">
        <v>130.0</v>
      </c>
      <c r="T99" s="23">
        <v>75.0</v>
      </c>
      <c r="U99" s="23"/>
      <c r="V99" s="23"/>
      <c r="W99" s="23"/>
      <c r="X99" s="23"/>
      <c r="Y99" s="23"/>
      <c r="Z99" s="17">
        <f t="shared" si="1"/>
        <v>331</v>
      </c>
      <c r="AA99" s="24">
        <v>331.0</v>
      </c>
      <c r="AB99" s="24">
        <v>331.0</v>
      </c>
      <c r="AC99" s="19">
        <f t="shared" si="2"/>
        <v>0</v>
      </c>
      <c r="AD99" s="19">
        <f t="shared" si="3"/>
        <v>0</v>
      </c>
    </row>
    <row r="100" ht="14.25" customHeight="1">
      <c r="A100" s="13">
        <v>96.0</v>
      </c>
      <c r="B100" s="21" t="s">
        <v>159</v>
      </c>
      <c r="C100" s="21" t="s">
        <v>142</v>
      </c>
      <c r="D100" s="26" t="s">
        <v>143</v>
      </c>
      <c r="E100" s="26">
        <v>300.0</v>
      </c>
      <c r="F100" s="22"/>
      <c r="G100" s="22"/>
      <c r="H100" s="23"/>
      <c r="I100" s="23"/>
      <c r="J100" s="23">
        <v>70.0</v>
      </c>
      <c r="K100" s="23"/>
      <c r="L100" s="23"/>
      <c r="M100" s="23">
        <v>33.0</v>
      </c>
      <c r="N100" s="24">
        <v>15.0</v>
      </c>
      <c r="O100" s="23"/>
      <c r="P100" s="23"/>
      <c r="Q100" s="23"/>
      <c r="R100" s="23"/>
      <c r="S100" s="23">
        <v>107.0</v>
      </c>
      <c r="T100" s="23">
        <v>50.0</v>
      </c>
      <c r="U100" s="23">
        <v>50.0</v>
      </c>
      <c r="V100" s="23"/>
      <c r="W100" s="23"/>
      <c r="X100" s="23"/>
      <c r="Y100" s="23"/>
      <c r="Z100" s="17">
        <f t="shared" si="1"/>
        <v>325</v>
      </c>
      <c r="AA100" s="24">
        <v>325.0</v>
      </c>
      <c r="AB100" s="24">
        <v>325.0</v>
      </c>
      <c r="AC100" s="19">
        <f t="shared" si="2"/>
        <v>0</v>
      </c>
      <c r="AD100" s="19">
        <f t="shared" si="3"/>
        <v>0</v>
      </c>
    </row>
    <row r="101" ht="14.25" customHeight="1">
      <c r="A101" s="13">
        <v>97.0</v>
      </c>
      <c r="B101" s="21" t="s">
        <v>160</v>
      </c>
      <c r="C101" s="21" t="s">
        <v>142</v>
      </c>
      <c r="D101" s="26" t="s">
        <v>148</v>
      </c>
      <c r="E101" s="26">
        <v>200.0</v>
      </c>
      <c r="F101" s="22"/>
      <c r="G101" s="22"/>
      <c r="H101" s="23"/>
      <c r="I101" s="23"/>
      <c r="J101" s="23">
        <v>140.0</v>
      </c>
      <c r="K101" s="23"/>
      <c r="L101" s="23">
        <v>300.0</v>
      </c>
      <c r="M101" s="23"/>
      <c r="N101" s="24">
        <v>50.0</v>
      </c>
      <c r="O101" s="23"/>
      <c r="P101" s="23"/>
      <c r="Q101" s="23"/>
      <c r="R101" s="23"/>
      <c r="S101" s="23"/>
      <c r="T101" s="23">
        <v>50.0</v>
      </c>
      <c r="U101" s="23"/>
      <c r="V101" s="23"/>
      <c r="W101" s="23">
        <v>300.0</v>
      </c>
      <c r="X101" s="23"/>
      <c r="Y101" s="23">
        <v>20.0</v>
      </c>
      <c r="Z101" s="17">
        <f t="shared" si="1"/>
        <v>860</v>
      </c>
      <c r="AA101" s="24">
        <v>860.0</v>
      </c>
      <c r="AB101" s="24">
        <v>860.0</v>
      </c>
      <c r="AC101" s="19">
        <f t="shared" si="2"/>
        <v>0</v>
      </c>
      <c r="AD101" s="19">
        <f t="shared" si="3"/>
        <v>0</v>
      </c>
    </row>
    <row r="102" ht="14.25" customHeight="1">
      <c r="A102" s="13">
        <v>98.0</v>
      </c>
      <c r="B102" s="21" t="s">
        <v>161</v>
      </c>
      <c r="C102" s="21" t="s">
        <v>142</v>
      </c>
      <c r="D102" s="26" t="s">
        <v>145</v>
      </c>
      <c r="E102" s="26">
        <v>250.0</v>
      </c>
      <c r="F102" s="22"/>
      <c r="G102" s="22"/>
      <c r="H102" s="23">
        <v>200.0</v>
      </c>
      <c r="I102" s="23"/>
      <c r="J102" s="23">
        <v>25.0</v>
      </c>
      <c r="K102" s="23"/>
      <c r="L102" s="23">
        <v>34.0</v>
      </c>
      <c r="M102" s="23"/>
      <c r="N102" s="24">
        <v>65.0</v>
      </c>
      <c r="O102" s="23"/>
      <c r="P102" s="23"/>
      <c r="Q102" s="23"/>
      <c r="R102" s="23"/>
      <c r="S102" s="23"/>
      <c r="T102" s="23"/>
      <c r="U102" s="23"/>
      <c r="V102" s="23"/>
      <c r="W102" s="23"/>
      <c r="X102" s="23"/>
      <c r="Y102" s="23"/>
      <c r="Z102" s="17">
        <f t="shared" si="1"/>
        <v>324</v>
      </c>
      <c r="AA102" s="24">
        <v>324.0</v>
      </c>
      <c r="AB102" s="24">
        <v>324.0</v>
      </c>
      <c r="AC102" s="19">
        <f t="shared" si="2"/>
        <v>0</v>
      </c>
      <c r="AD102" s="19">
        <f t="shared" si="3"/>
        <v>0</v>
      </c>
    </row>
    <row r="103" ht="14.25" customHeight="1">
      <c r="A103" s="13">
        <v>99.0</v>
      </c>
      <c r="B103" s="21" t="s">
        <v>162</v>
      </c>
      <c r="C103" s="21" t="s">
        <v>142</v>
      </c>
      <c r="D103" s="26" t="s">
        <v>148</v>
      </c>
      <c r="E103" s="26">
        <v>200.0</v>
      </c>
      <c r="F103" s="22"/>
      <c r="G103" s="22"/>
      <c r="H103" s="23"/>
      <c r="I103" s="23"/>
      <c r="J103" s="23"/>
      <c r="K103" s="23"/>
      <c r="L103" s="23">
        <v>25.0</v>
      </c>
      <c r="M103" s="23"/>
      <c r="N103" s="24">
        <v>332.5</v>
      </c>
      <c r="O103" s="23"/>
      <c r="P103" s="23"/>
      <c r="Q103" s="23"/>
      <c r="R103" s="23"/>
      <c r="S103" s="23"/>
      <c r="T103" s="23">
        <v>75.0</v>
      </c>
      <c r="U103" s="23"/>
      <c r="V103" s="23"/>
      <c r="W103" s="23"/>
      <c r="X103" s="23"/>
      <c r="Y103" s="23"/>
      <c r="Z103" s="17">
        <f t="shared" si="1"/>
        <v>432.5</v>
      </c>
      <c r="AA103" s="24">
        <v>432.5</v>
      </c>
      <c r="AB103" s="24">
        <v>432.5</v>
      </c>
      <c r="AC103" s="19">
        <f t="shared" si="2"/>
        <v>0</v>
      </c>
      <c r="AD103" s="19">
        <f t="shared" si="3"/>
        <v>0</v>
      </c>
    </row>
    <row r="104" ht="14.25" customHeight="1">
      <c r="A104" s="13">
        <v>100.0</v>
      </c>
      <c r="B104" s="21" t="s">
        <v>163</v>
      </c>
      <c r="C104" s="21" t="s">
        <v>142</v>
      </c>
      <c r="D104" s="26" t="s">
        <v>148</v>
      </c>
      <c r="E104" s="26">
        <v>200.0</v>
      </c>
      <c r="F104" s="22"/>
      <c r="G104" s="22"/>
      <c r="H104" s="23"/>
      <c r="I104" s="23"/>
      <c r="J104" s="23"/>
      <c r="K104" s="23"/>
      <c r="L104" s="23">
        <v>25.0</v>
      </c>
      <c r="M104" s="23"/>
      <c r="N104" s="24">
        <v>82.5</v>
      </c>
      <c r="O104" s="23"/>
      <c r="P104" s="23"/>
      <c r="Q104" s="23"/>
      <c r="R104" s="23"/>
      <c r="S104" s="23"/>
      <c r="T104" s="23"/>
      <c r="U104" s="23"/>
      <c r="V104" s="23">
        <v>0.0</v>
      </c>
      <c r="W104" s="23">
        <v>50.0</v>
      </c>
      <c r="X104" s="23"/>
      <c r="Y104" s="23"/>
      <c r="Z104" s="17">
        <f t="shared" si="1"/>
        <v>157.5</v>
      </c>
      <c r="AA104" s="24">
        <v>157.5</v>
      </c>
      <c r="AB104" s="24">
        <v>157.5</v>
      </c>
      <c r="AC104" s="19">
        <f t="shared" si="2"/>
        <v>0</v>
      </c>
      <c r="AD104" s="19">
        <f t="shared" si="3"/>
        <v>0</v>
      </c>
    </row>
    <row r="105" ht="14.25" customHeight="1">
      <c r="A105" s="13">
        <v>101.0</v>
      </c>
      <c r="B105" s="21" t="s">
        <v>164</v>
      </c>
      <c r="C105" s="21" t="s">
        <v>142</v>
      </c>
      <c r="D105" s="26" t="s">
        <v>145</v>
      </c>
      <c r="E105" s="26">
        <v>250.0</v>
      </c>
      <c r="F105" s="22">
        <v>800.0</v>
      </c>
      <c r="G105" s="22"/>
      <c r="H105" s="23"/>
      <c r="I105" s="23"/>
      <c r="J105" s="23"/>
      <c r="K105" s="23"/>
      <c r="L105" s="23"/>
      <c r="M105" s="23"/>
      <c r="N105" s="24">
        <v>75.0</v>
      </c>
      <c r="O105" s="23"/>
      <c r="P105" s="23"/>
      <c r="Q105" s="23"/>
      <c r="R105" s="23"/>
      <c r="S105" s="23"/>
      <c r="T105" s="23"/>
      <c r="U105" s="23">
        <v>50.0</v>
      </c>
      <c r="V105" s="23">
        <v>0.0</v>
      </c>
      <c r="W105" s="23">
        <v>100.0</v>
      </c>
      <c r="X105" s="23"/>
      <c r="Y105" s="23">
        <v>20.0</v>
      </c>
      <c r="Z105" s="17">
        <f t="shared" si="1"/>
        <v>1045</v>
      </c>
      <c r="AA105" s="24">
        <v>1045.0</v>
      </c>
      <c r="AB105" s="24">
        <v>1045.0</v>
      </c>
      <c r="AC105" s="19">
        <f t="shared" si="2"/>
        <v>0</v>
      </c>
      <c r="AD105" s="19">
        <f t="shared" si="3"/>
        <v>0</v>
      </c>
    </row>
    <row r="106" ht="14.25" customHeight="1">
      <c r="A106" s="13">
        <v>102.0</v>
      </c>
      <c r="B106" s="21" t="s">
        <v>165</v>
      </c>
      <c r="C106" s="21" t="s">
        <v>142</v>
      </c>
      <c r="D106" s="26" t="s">
        <v>143</v>
      </c>
      <c r="E106" s="26">
        <v>300.0</v>
      </c>
      <c r="F106" s="22"/>
      <c r="G106" s="22"/>
      <c r="H106" s="23"/>
      <c r="I106" s="23"/>
      <c r="J106" s="23">
        <v>70.0</v>
      </c>
      <c r="K106" s="23">
        <v>85.0</v>
      </c>
      <c r="L106" s="23"/>
      <c r="M106" s="23"/>
      <c r="N106" s="24">
        <v>97.5</v>
      </c>
      <c r="O106" s="23"/>
      <c r="P106" s="23"/>
      <c r="Q106" s="23"/>
      <c r="R106" s="23"/>
      <c r="S106" s="23">
        <v>57.0</v>
      </c>
      <c r="T106" s="23">
        <v>25.0</v>
      </c>
      <c r="U106" s="23"/>
      <c r="V106" s="23"/>
      <c r="W106" s="23"/>
      <c r="X106" s="23"/>
      <c r="Y106" s="23"/>
      <c r="Z106" s="17">
        <f t="shared" si="1"/>
        <v>334.5</v>
      </c>
      <c r="AA106" s="24">
        <v>334.5</v>
      </c>
      <c r="AB106" s="24">
        <v>334.5</v>
      </c>
      <c r="AC106" s="19">
        <f t="shared" si="2"/>
        <v>0</v>
      </c>
      <c r="AD106" s="19">
        <f t="shared" si="3"/>
        <v>0</v>
      </c>
    </row>
    <row r="107" ht="14.25" customHeight="1">
      <c r="A107" s="13">
        <v>103.0</v>
      </c>
      <c r="B107" s="21" t="s">
        <v>166</v>
      </c>
      <c r="C107" s="21" t="s">
        <v>142</v>
      </c>
      <c r="D107" s="26" t="s">
        <v>143</v>
      </c>
      <c r="E107" s="26">
        <v>300.0</v>
      </c>
      <c r="F107" s="22"/>
      <c r="G107" s="22"/>
      <c r="H107" s="23"/>
      <c r="I107" s="23"/>
      <c r="J107" s="23"/>
      <c r="K107" s="23"/>
      <c r="L107" s="23"/>
      <c r="M107" s="23"/>
      <c r="N107" s="24"/>
      <c r="O107" s="23"/>
      <c r="P107" s="23"/>
      <c r="Q107" s="23"/>
      <c r="R107" s="23"/>
      <c r="S107" s="23">
        <v>50.0</v>
      </c>
      <c r="T107" s="23"/>
      <c r="U107" s="23"/>
      <c r="V107" s="23"/>
      <c r="W107" s="23"/>
      <c r="X107" s="23"/>
      <c r="Y107" s="23"/>
      <c r="Z107" s="17">
        <f t="shared" si="1"/>
        <v>50</v>
      </c>
      <c r="AA107" s="24">
        <v>50.0</v>
      </c>
      <c r="AB107" s="24">
        <v>50.0</v>
      </c>
      <c r="AC107" s="19">
        <f t="shared" si="2"/>
        <v>0</v>
      </c>
      <c r="AD107" s="19">
        <f t="shared" si="3"/>
        <v>0</v>
      </c>
    </row>
    <row r="108" ht="14.25" customHeight="1">
      <c r="A108" s="13">
        <v>104.0</v>
      </c>
      <c r="B108" s="21" t="s">
        <v>167</v>
      </c>
      <c r="C108" s="21" t="s">
        <v>142</v>
      </c>
      <c r="D108" s="26" t="s">
        <v>145</v>
      </c>
      <c r="E108" s="26">
        <v>250.0</v>
      </c>
      <c r="F108" s="22"/>
      <c r="G108" s="22"/>
      <c r="H108" s="23"/>
      <c r="I108" s="23"/>
      <c r="J108" s="23"/>
      <c r="K108" s="23"/>
      <c r="L108" s="23"/>
      <c r="M108" s="23"/>
      <c r="N108" s="24"/>
      <c r="O108" s="23"/>
      <c r="P108" s="23"/>
      <c r="Q108" s="23"/>
      <c r="R108" s="23"/>
      <c r="S108" s="23">
        <v>57.0</v>
      </c>
      <c r="T108" s="23">
        <v>50.0</v>
      </c>
      <c r="U108" s="23"/>
      <c r="V108" s="23"/>
      <c r="W108" s="23">
        <v>100.0</v>
      </c>
      <c r="X108" s="23"/>
      <c r="Y108" s="23"/>
      <c r="Z108" s="17">
        <f t="shared" si="1"/>
        <v>207</v>
      </c>
      <c r="AA108" s="24">
        <v>207.0</v>
      </c>
      <c r="AB108" s="24">
        <v>207.0</v>
      </c>
      <c r="AC108" s="19">
        <f t="shared" si="2"/>
        <v>0</v>
      </c>
      <c r="AD108" s="19">
        <f t="shared" si="3"/>
        <v>0</v>
      </c>
    </row>
    <row r="109" ht="14.25" customHeight="1">
      <c r="A109" s="13">
        <v>105.0</v>
      </c>
      <c r="B109" s="21" t="s">
        <v>168</v>
      </c>
      <c r="C109" s="21" t="s">
        <v>142</v>
      </c>
      <c r="D109" s="26" t="s">
        <v>148</v>
      </c>
      <c r="E109" s="26">
        <v>200.0</v>
      </c>
      <c r="F109" s="22"/>
      <c r="G109" s="22"/>
      <c r="H109" s="23"/>
      <c r="I109" s="23"/>
      <c r="J109" s="23">
        <v>175.0</v>
      </c>
      <c r="K109" s="23"/>
      <c r="L109" s="23">
        <v>11.0</v>
      </c>
      <c r="M109" s="23"/>
      <c r="N109" s="24">
        <v>110.0</v>
      </c>
      <c r="O109" s="23"/>
      <c r="P109" s="23"/>
      <c r="Q109" s="23"/>
      <c r="R109" s="23"/>
      <c r="S109" s="23">
        <v>50.0</v>
      </c>
      <c r="T109" s="23"/>
      <c r="U109" s="23"/>
      <c r="V109" s="23"/>
      <c r="W109" s="23">
        <v>50.0</v>
      </c>
      <c r="X109" s="23"/>
      <c r="Y109" s="23">
        <v>60.0</v>
      </c>
      <c r="Z109" s="17">
        <f t="shared" si="1"/>
        <v>456</v>
      </c>
      <c r="AA109" s="24">
        <v>456.0</v>
      </c>
      <c r="AB109" s="24">
        <v>456.0</v>
      </c>
      <c r="AC109" s="19">
        <f t="shared" si="2"/>
        <v>0</v>
      </c>
      <c r="AD109" s="19">
        <f t="shared" si="3"/>
        <v>0</v>
      </c>
    </row>
    <row r="110" ht="14.25" customHeight="1">
      <c r="A110" s="13">
        <v>106.0</v>
      </c>
      <c r="B110" s="21" t="s">
        <v>169</v>
      </c>
      <c r="C110" s="21" t="s">
        <v>142</v>
      </c>
      <c r="D110" s="26" t="s">
        <v>143</v>
      </c>
      <c r="E110" s="26">
        <v>300.0</v>
      </c>
      <c r="F110" s="22">
        <v>3300.0</v>
      </c>
      <c r="G110" s="22"/>
      <c r="H110" s="23"/>
      <c r="I110" s="23"/>
      <c r="J110" s="23"/>
      <c r="K110" s="23"/>
      <c r="L110" s="23"/>
      <c r="M110" s="23"/>
      <c r="N110" s="24">
        <v>625.0</v>
      </c>
      <c r="O110" s="23"/>
      <c r="P110" s="23"/>
      <c r="Q110" s="23"/>
      <c r="R110" s="23"/>
      <c r="S110" s="23"/>
      <c r="T110" s="23">
        <v>150.0</v>
      </c>
      <c r="U110" s="23"/>
      <c r="V110" s="23"/>
      <c r="W110" s="23">
        <v>300.0</v>
      </c>
      <c r="X110" s="23"/>
      <c r="Y110" s="23">
        <v>40.0</v>
      </c>
      <c r="Z110" s="17">
        <f t="shared" si="1"/>
        <v>4415</v>
      </c>
      <c r="AA110" s="24">
        <v>4415.0</v>
      </c>
      <c r="AB110" s="24">
        <v>4415.0</v>
      </c>
      <c r="AC110" s="19">
        <f t="shared" si="2"/>
        <v>0</v>
      </c>
      <c r="AD110" s="19">
        <f t="shared" si="3"/>
        <v>0</v>
      </c>
    </row>
    <row r="111" ht="14.25" customHeight="1">
      <c r="A111" s="13">
        <v>107.0</v>
      </c>
      <c r="B111" s="21" t="s">
        <v>170</v>
      </c>
      <c r="C111" s="21" t="s">
        <v>142</v>
      </c>
      <c r="D111" s="26" t="s">
        <v>145</v>
      </c>
      <c r="E111" s="26">
        <v>250.0</v>
      </c>
      <c r="F111" s="22">
        <v>300.0</v>
      </c>
      <c r="G111" s="22"/>
      <c r="H111" s="23"/>
      <c r="I111" s="23"/>
      <c r="J111" s="23">
        <v>105.0</v>
      </c>
      <c r="K111" s="23"/>
      <c r="L111" s="23"/>
      <c r="M111" s="23"/>
      <c r="N111" s="24">
        <v>140.0</v>
      </c>
      <c r="O111" s="23"/>
      <c r="P111" s="23"/>
      <c r="Q111" s="23"/>
      <c r="R111" s="23"/>
      <c r="S111" s="23">
        <v>100.0</v>
      </c>
      <c r="T111" s="23">
        <v>25.0</v>
      </c>
      <c r="U111" s="23">
        <v>100.0</v>
      </c>
      <c r="V111" s="23">
        <v>0.0</v>
      </c>
      <c r="W111" s="23"/>
      <c r="X111" s="23"/>
      <c r="Y111" s="23">
        <v>50.0</v>
      </c>
      <c r="Z111" s="17">
        <f t="shared" si="1"/>
        <v>820</v>
      </c>
      <c r="AA111" s="24">
        <v>820.0</v>
      </c>
      <c r="AB111" s="24">
        <v>820.0</v>
      </c>
      <c r="AC111" s="19">
        <f t="shared" si="2"/>
        <v>0</v>
      </c>
      <c r="AD111" s="19">
        <f t="shared" si="3"/>
        <v>0</v>
      </c>
    </row>
    <row r="112" ht="14.25" customHeight="1">
      <c r="A112" s="13">
        <v>108.0</v>
      </c>
      <c r="B112" s="21" t="s">
        <v>171</v>
      </c>
      <c r="C112" s="21" t="s">
        <v>142</v>
      </c>
      <c r="D112" s="26" t="s">
        <v>148</v>
      </c>
      <c r="E112" s="26">
        <v>200.0</v>
      </c>
      <c r="F112" s="22"/>
      <c r="G112" s="22"/>
      <c r="H112" s="23"/>
      <c r="I112" s="23"/>
      <c r="J112" s="23"/>
      <c r="K112" s="23"/>
      <c r="L112" s="23"/>
      <c r="M112" s="23"/>
      <c r="N112" s="24"/>
      <c r="O112" s="23"/>
      <c r="P112" s="23"/>
      <c r="Q112" s="23"/>
      <c r="R112" s="23"/>
      <c r="S112" s="23"/>
      <c r="T112" s="23"/>
      <c r="U112" s="23"/>
      <c r="V112" s="23"/>
      <c r="W112" s="23"/>
      <c r="X112" s="23">
        <v>20.0</v>
      </c>
      <c r="Y112" s="23"/>
      <c r="Z112" s="17">
        <f t="shared" si="1"/>
        <v>20</v>
      </c>
      <c r="AA112" s="24">
        <v>20.0</v>
      </c>
      <c r="AB112" s="24">
        <v>20.0</v>
      </c>
      <c r="AC112" s="19">
        <f t="shared" si="2"/>
        <v>0</v>
      </c>
      <c r="AD112" s="19">
        <f t="shared" si="3"/>
        <v>0</v>
      </c>
    </row>
    <row r="113" ht="14.25" customHeight="1">
      <c r="A113" s="13">
        <v>109.0</v>
      </c>
      <c r="B113" s="21" t="s">
        <v>172</v>
      </c>
      <c r="C113" s="21" t="s">
        <v>142</v>
      </c>
      <c r="D113" s="26" t="s">
        <v>152</v>
      </c>
      <c r="E113" s="26">
        <v>350.0</v>
      </c>
      <c r="F113" s="22"/>
      <c r="G113" s="22">
        <v>100.0</v>
      </c>
      <c r="H113" s="23"/>
      <c r="I113" s="23"/>
      <c r="J113" s="23">
        <v>25.0</v>
      </c>
      <c r="K113" s="23"/>
      <c r="L113" s="23">
        <v>45.0</v>
      </c>
      <c r="M113" s="23">
        <v>33.3</v>
      </c>
      <c r="N113" s="24">
        <v>147.5</v>
      </c>
      <c r="O113" s="23"/>
      <c r="P113" s="23"/>
      <c r="Q113" s="23"/>
      <c r="R113" s="23"/>
      <c r="S113" s="23">
        <v>200.0</v>
      </c>
      <c r="T113" s="23">
        <v>150.0</v>
      </c>
      <c r="U113" s="23"/>
      <c r="V113" s="23"/>
      <c r="W113" s="23">
        <v>100.0</v>
      </c>
      <c r="X113" s="23"/>
      <c r="Y113" s="23">
        <v>4.0</v>
      </c>
      <c r="Z113" s="17">
        <f t="shared" si="1"/>
        <v>804.8</v>
      </c>
      <c r="AA113" s="24">
        <v>804.8</v>
      </c>
      <c r="AB113" s="24">
        <v>804.8</v>
      </c>
      <c r="AC113" s="19">
        <f t="shared" si="2"/>
        <v>0</v>
      </c>
      <c r="AD113" s="19">
        <f t="shared" si="3"/>
        <v>0</v>
      </c>
    </row>
    <row r="114" ht="14.25" customHeight="1">
      <c r="A114" s="13">
        <v>110.0</v>
      </c>
      <c r="B114" s="21" t="s">
        <v>173</v>
      </c>
      <c r="C114" s="21" t="s">
        <v>142</v>
      </c>
      <c r="D114" s="26" t="s">
        <v>145</v>
      </c>
      <c r="E114" s="26">
        <v>250.0</v>
      </c>
      <c r="F114" s="22">
        <v>3300.0</v>
      </c>
      <c r="G114" s="22">
        <v>1500.0</v>
      </c>
      <c r="H114" s="23">
        <v>400.0</v>
      </c>
      <c r="I114" s="23"/>
      <c r="J114" s="23">
        <v>70.0</v>
      </c>
      <c r="K114" s="23"/>
      <c r="L114" s="23">
        <v>300.0</v>
      </c>
      <c r="M114" s="23"/>
      <c r="N114" s="24">
        <v>615.0</v>
      </c>
      <c r="O114" s="23"/>
      <c r="P114" s="23"/>
      <c r="Q114" s="23"/>
      <c r="R114" s="23"/>
      <c r="S114" s="23"/>
      <c r="T114" s="23">
        <v>200.0</v>
      </c>
      <c r="U114" s="23"/>
      <c r="V114" s="23"/>
      <c r="W114" s="23">
        <v>400.0</v>
      </c>
      <c r="X114" s="23"/>
      <c r="Y114" s="23">
        <v>20.0</v>
      </c>
      <c r="Z114" s="17">
        <f t="shared" si="1"/>
        <v>6805</v>
      </c>
      <c r="AA114" s="24">
        <v>6805.0</v>
      </c>
      <c r="AB114" s="24">
        <v>6805.0</v>
      </c>
      <c r="AC114" s="19">
        <f t="shared" si="2"/>
        <v>0</v>
      </c>
      <c r="AD114" s="19">
        <f t="shared" si="3"/>
        <v>0</v>
      </c>
    </row>
    <row r="115" ht="14.25" customHeight="1">
      <c r="A115" s="13">
        <v>111.0</v>
      </c>
      <c r="B115" s="21" t="s">
        <v>174</v>
      </c>
      <c r="C115" s="21" t="s">
        <v>142</v>
      </c>
      <c r="D115" s="26" t="s">
        <v>143</v>
      </c>
      <c r="E115" s="26">
        <v>300.0</v>
      </c>
      <c r="F115" s="22"/>
      <c r="G115" s="22"/>
      <c r="H115" s="23">
        <v>300.0</v>
      </c>
      <c r="I115" s="23"/>
      <c r="J115" s="23">
        <v>70.0</v>
      </c>
      <c r="K115" s="23">
        <v>85.0</v>
      </c>
      <c r="L115" s="23"/>
      <c r="M115" s="23"/>
      <c r="N115" s="24">
        <v>170.0</v>
      </c>
      <c r="O115" s="23"/>
      <c r="P115" s="23"/>
      <c r="Q115" s="23"/>
      <c r="R115" s="23"/>
      <c r="S115" s="23">
        <v>57.0</v>
      </c>
      <c r="T115" s="23">
        <v>25.0</v>
      </c>
      <c r="U115" s="23"/>
      <c r="V115" s="23"/>
      <c r="W115" s="23">
        <v>50.0</v>
      </c>
      <c r="X115" s="23"/>
      <c r="Y115" s="23"/>
      <c r="Z115" s="17">
        <f t="shared" si="1"/>
        <v>757</v>
      </c>
      <c r="AA115" s="24">
        <v>757.0</v>
      </c>
      <c r="AB115" s="24">
        <v>757.0</v>
      </c>
      <c r="AC115" s="19">
        <f t="shared" si="2"/>
        <v>0</v>
      </c>
      <c r="AD115" s="19">
        <f t="shared" si="3"/>
        <v>0</v>
      </c>
    </row>
    <row r="116" ht="14.25" customHeight="1">
      <c r="A116" s="13">
        <v>112.0</v>
      </c>
      <c r="B116" s="21" t="s">
        <v>175</v>
      </c>
      <c r="C116" s="21" t="s">
        <v>142</v>
      </c>
      <c r="D116" s="26" t="s">
        <v>148</v>
      </c>
      <c r="E116" s="26">
        <v>200.0</v>
      </c>
      <c r="F116" s="22"/>
      <c r="G116" s="22">
        <v>71.42</v>
      </c>
      <c r="H116" s="23"/>
      <c r="I116" s="23"/>
      <c r="J116" s="23">
        <v>70.0</v>
      </c>
      <c r="K116" s="23"/>
      <c r="L116" s="23">
        <v>300.0</v>
      </c>
      <c r="M116" s="23"/>
      <c r="N116" s="24"/>
      <c r="O116" s="23"/>
      <c r="P116" s="23"/>
      <c r="Q116" s="23"/>
      <c r="R116" s="23"/>
      <c r="S116" s="23"/>
      <c r="T116" s="23">
        <v>25.0</v>
      </c>
      <c r="U116" s="23"/>
      <c r="V116" s="23"/>
      <c r="W116" s="23"/>
      <c r="X116" s="23"/>
      <c r="Y116" s="23"/>
      <c r="Z116" s="17">
        <f t="shared" si="1"/>
        <v>466.42</v>
      </c>
      <c r="AA116" s="24">
        <v>466.42</v>
      </c>
      <c r="AB116" s="24">
        <v>466.42</v>
      </c>
      <c r="AC116" s="19">
        <f t="shared" si="2"/>
        <v>0</v>
      </c>
      <c r="AD116" s="19">
        <f t="shared" si="3"/>
        <v>0</v>
      </c>
    </row>
    <row r="117" ht="14.25" customHeight="1">
      <c r="A117" s="13">
        <v>113.0</v>
      </c>
      <c r="B117" s="21" t="s">
        <v>176</v>
      </c>
      <c r="C117" s="21" t="s">
        <v>142</v>
      </c>
      <c r="D117" s="26" t="s">
        <v>145</v>
      </c>
      <c r="E117" s="26">
        <v>250.0</v>
      </c>
      <c r="F117" s="22"/>
      <c r="G117" s="22"/>
      <c r="H117" s="23">
        <v>300.0</v>
      </c>
      <c r="I117" s="23"/>
      <c r="J117" s="23"/>
      <c r="K117" s="23"/>
      <c r="L117" s="23"/>
      <c r="M117" s="23"/>
      <c r="N117" s="24">
        <v>25.0</v>
      </c>
      <c r="O117" s="23"/>
      <c r="P117" s="23"/>
      <c r="Q117" s="23"/>
      <c r="R117" s="23"/>
      <c r="S117" s="23"/>
      <c r="T117" s="23"/>
      <c r="U117" s="23"/>
      <c r="V117" s="23"/>
      <c r="W117" s="23"/>
      <c r="X117" s="23"/>
      <c r="Y117" s="23"/>
      <c r="Z117" s="17">
        <f t="shared" si="1"/>
        <v>325</v>
      </c>
      <c r="AA117" s="24">
        <v>325.0</v>
      </c>
      <c r="AB117" s="24">
        <v>325.0</v>
      </c>
      <c r="AC117" s="19">
        <f t="shared" si="2"/>
        <v>0</v>
      </c>
      <c r="AD117" s="19">
        <f t="shared" si="3"/>
        <v>0</v>
      </c>
    </row>
    <row r="118" ht="14.25" customHeight="1">
      <c r="A118" s="13">
        <v>114.0</v>
      </c>
      <c r="B118" s="21" t="s">
        <v>177</v>
      </c>
      <c r="C118" s="21" t="s">
        <v>142</v>
      </c>
      <c r="D118" s="26" t="s">
        <v>145</v>
      </c>
      <c r="E118" s="26">
        <v>250.0</v>
      </c>
      <c r="F118" s="22"/>
      <c r="G118" s="22"/>
      <c r="H118" s="23"/>
      <c r="I118" s="23"/>
      <c r="J118" s="23">
        <v>210.0</v>
      </c>
      <c r="K118" s="23"/>
      <c r="L118" s="23"/>
      <c r="M118" s="23"/>
      <c r="N118" s="24"/>
      <c r="O118" s="23"/>
      <c r="P118" s="23"/>
      <c r="Q118" s="23"/>
      <c r="R118" s="23"/>
      <c r="S118" s="23">
        <v>57.0</v>
      </c>
      <c r="T118" s="23">
        <v>25.0</v>
      </c>
      <c r="U118" s="23">
        <v>50.0</v>
      </c>
      <c r="V118" s="23"/>
      <c r="W118" s="23"/>
      <c r="X118" s="23">
        <v>30.0</v>
      </c>
      <c r="Y118" s="23"/>
      <c r="Z118" s="17">
        <f t="shared" si="1"/>
        <v>372</v>
      </c>
      <c r="AA118" s="24">
        <v>372.0</v>
      </c>
      <c r="AB118" s="24">
        <v>372.0</v>
      </c>
      <c r="AC118" s="19">
        <f t="shared" si="2"/>
        <v>0</v>
      </c>
      <c r="AD118" s="19">
        <f t="shared" si="3"/>
        <v>0</v>
      </c>
    </row>
    <row r="119" ht="14.25" customHeight="1">
      <c r="A119" s="13">
        <v>115.0</v>
      </c>
      <c r="B119" s="21" t="s">
        <v>178</v>
      </c>
      <c r="C119" s="21" t="s">
        <v>142</v>
      </c>
      <c r="D119" s="26" t="s">
        <v>145</v>
      </c>
      <c r="E119" s="26">
        <v>250.0</v>
      </c>
      <c r="F119" s="22"/>
      <c r="G119" s="22"/>
      <c r="H119" s="23"/>
      <c r="I119" s="23"/>
      <c r="J119" s="23">
        <v>25.0</v>
      </c>
      <c r="K119" s="23"/>
      <c r="L119" s="23"/>
      <c r="M119" s="23"/>
      <c r="N119" s="24">
        <v>1164.17</v>
      </c>
      <c r="O119" s="23"/>
      <c r="P119" s="23"/>
      <c r="Q119" s="23"/>
      <c r="R119" s="23"/>
      <c r="S119" s="23">
        <v>200.0</v>
      </c>
      <c r="T119" s="23">
        <v>200.0</v>
      </c>
      <c r="U119" s="23"/>
      <c r="V119" s="23"/>
      <c r="W119" s="23">
        <v>1150.0</v>
      </c>
      <c r="X119" s="23"/>
      <c r="Y119" s="23"/>
      <c r="Z119" s="17">
        <f t="shared" si="1"/>
        <v>2739.17</v>
      </c>
      <c r="AA119" s="24">
        <v>2739.17</v>
      </c>
      <c r="AB119" s="24">
        <v>2739.17</v>
      </c>
      <c r="AC119" s="19">
        <f t="shared" si="2"/>
        <v>0</v>
      </c>
      <c r="AD119" s="19">
        <f t="shared" si="3"/>
        <v>0</v>
      </c>
    </row>
    <row r="120" ht="15.0" customHeight="1">
      <c r="A120" s="13">
        <v>116.0</v>
      </c>
      <c r="B120" s="21" t="s">
        <v>179</v>
      </c>
      <c r="C120" s="31" t="s">
        <v>123</v>
      </c>
      <c r="D120" s="26" t="s">
        <v>148</v>
      </c>
      <c r="E120" s="26">
        <v>200.0</v>
      </c>
      <c r="F120" s="22"/>
      <c r="G120" s="22"/>
      <c r="H120" s="23"/>
      <c r="I120" s="23"/>
      <c r="J120" s="23">
        <v>35.0</v>
      </c>
      <c r="K120" s="23"/>
      <c r="L120" s="23">
        <v>65.0</v>
      </c>
      <c r="M120" s="23"/>
      <c r="N120" s="24">
        <v>428.75</v>
      </c>
      <c r="O120" s="23"/>
      <c r="P120" s="23"/>
      <c r="Q120" s="23"/>
      <c r="R120" s="23"/>
      <c r="S120" s="23"/>
      <c r="T120" s="23"/>
      <c r="U120" s="23"/>
      <c r="V120" s="23"/>
      <c r="W120" s="23">
        <v>375.0</v>
      </c>
      <c r="X120" s="23"/>
      <c r="Y120" s="23">
        <v>60.0</v>
      </c>
      <c r="Z120" s="17">
        <f t="shared" si="1"/>
        <v>963.75</v>
      </c>
      <c r="AA120" s="24">
        <v>963.75</v>
      </c>
      <c r="AB120" s="24">
        <v>963.75</v>
      </c>
      <c r="AC120" s="19">
        <f t="shared" si="2"/>
        <v>0</v>
      </c>
      <c r="AD120" s="19">
        <f t="shared" si="3"/>
        <v>0</v>
      </c>
    </row>
    <row r="121" ht="45.0" customHeight="1">
      <c r="A121" s="37" t="s">
        <v>180</v>
      </c>
      <c r="B121" s="38"/>
      <c r="C121" s="38"/>
      <c r="D121" s="38"/>
      <c r="E121" s="39">
        <f t="shared" ref="E121:Y121" si="4">SUM(E5:E120)</f>
        <v>31700</v>
      </c>
      <c r="F121" s="40">
        <f t="shared" si="4"/>
        <v>12583.33</v>
      </c>
      <c r="G121" s="40">
        <f t="shared" si="4"/>
        <v>2671.42</v>
      </c>
      <c r="H121" s="40">
        <f t="shared" si="4"/>
        <v>8052</v>
      </c>
      <c r="I121" s="40">
        <f t="shared" si="4"/>
        <v>850</v>
      </c>
      <c r="J121" s="40">
        <f t="shared" si="4"/>
        <v>5901.5</v>
      </c>
      <c r="K121" s="40">
        <f t="shared" si="4"/>
        <v>4562</v>
      </c>
      <c r="L121" s="40">
        <f t="shared" si="4"/>
        <v>5725</v>
      </c>
      <c r="M121" s="40">
        <f t="shared" si="4"/>
        <v>2098.63</v>
      </c>
      <c r="N121" s="40">
        <f t="shared" si="4"/>
        <v>15481.55</v>
      </c>
      <c r="O121" s="40">
        <f t="shared" si="4"/>
        <v>0</v>
      </c>
      <c r="P121" s="40">
        <f t="shared" si="4"/>
        <v>0</v>
      </c>
      <c r="Q121" s="40">
        <f t="shared" si="4"/>
        <v>1475</v>
      </c>
      <c r="R121" s="40">
        <f t="shared" si="4"/>
        <v>0</v>
      </c>
      <c r="S121" s="40">
        <f t="shared" si="4"/>
        <v>5674</v>
      </c>
      <c r="T121" s="40">
        <f t="shared" si="4"/>
        <v>4050</v>
      </c>
      <c r="U121" s="40">
        <f t="shared" si="4"/>
        <v>2625</v>
      </c>
      <c r="V121" s="40">
        <f t="shared" si="4"/>
        <v>550</v>
      </c>
      <c r="W121" s="40">
        <f t="shared" si="4"/>
        <v>6599.98</v>
      </c>
      <c r="X121" s="40">
        <f t="shared" si="4"/>
        <v>489.99</v>
      </c>
      <c r="Y121" s="40">
        <f t="shared" si="4"/>
        <v>1860.66</v>
      </c>
      <c r="Z121" s="17">
        <f t="shared" si="1"/>
        <v>81250.06</v>
      </c>
      <c r="AA121" s="41"/>
      <c r="AB121" s="41"/>
      <c r="AC121" s="41"/>
      <c r="AD121" s="41"/>
    </row>
    <row r="122" ht="45.0" customHeight="1">
      <c r="A122" s="37" t="s">
        <v>181</v>
      </c>
      <c r="B122" s="38"/>
      <c r="C122" s="38"/>
      <c r="D122" s="38"/>
      <c r="E122" s="38"/>
      <c r="F122" s="40">
        <f>I.1!P32</f>
        <v>12583.33</v>
      </c>
      <c r="G122" s="40" t="str">
        <f>I.2!P24</f>
        <v>#REF!</v>
      </c>
      <c r="H122" s="40">
        <f>I.3!N65</f>
        <v>8052</v>
      </c>
      <c r="I122" s="40">
        <f>I.4!M24</f>
        <v>850</v>
      </c>
      <c r="J122" s="40">
        <f>I.5!M113</f>
        <v>5901.5</v>
      </c>
      <c r="K122" s="40">
        <f>I.6!J32</f>
        <v>4562</v>
      </c>
      <c r="L122" s="40">
        <f>I.7!J84</f>
        <v>5725</v>
      </c>
      <c r="M122" s="40">
        <f>I.8!I33</f>
        <v>2098.63</v>
      </c>
      <c r="N122" s="40">
        <f>I.9!H765</f>
        <v>15481.55</v>
      </c>
      <c r="O122" s="40">
        <f>I.10!F18</f>
        <v>0</v>
      </c>
      <c r="P122" s="40">
        <f>I.11!F16</f>
        <v>0</v>
      </c>
      <c r="Q122" s="40">
        <f>I.12!H32</f>
        <v>1475</v>
      </c>
      <c r="R122" s="40">
        <f>I.13!H16</f>
        <v>0</v>
      </c>
      <c r="S122" s="40">
        <f>I.14!G112</f>
        <v>5674</v>
      </c>
      <c r="T122" s="40">
        <f>I.15!G149</f>
        <v>4050</v>
      </c>
      <c r="U122" s="40">
        <f>I.16!I72</f>
        <v>2625</v>
      </c>
      <c r="V122" s="40">
        <f>'I. 17.'!J21</f>
        <v>550</v>
      </c>
      <c r="W122" s="40">
        <f>'I. 18'!J60</f>
        <v>6599.98</v>
      </c>
      <c r="X122" s="40">
        <f>I.19!K37</f>
        <v>489.99</v>
      </c>
      <c r="Y122" s="40">
        <f>I.20!H100</f>
        <v>1860.66</v>
      </c>
      <c r="Z122" s="17" t="str">
        <f t="shared" si="1"/>
        <v>#REF!</v>
      </c>
      <c r="AA122" s="41"/>
      <c r="AB122" s="41"/>
      <c r="AC122" s="41"/>
      <c r="AD122" s="41"/>
    </row>
    <row r="123" ht="45.0" customHeight="1">
      <c r="A123" s="42" t="s">
        <v>182</v>
      </c>
      <c r="B123" s="43"/>
      <c r="C123" s="43"/>
      <c r="D123" s="43"/>
      <c r="E123" s="43"/>
      <c r="F123" s="44">
        <f t="shared" ref="F123:Y123" si="5">F121-F122</f>
        <v>0</v>
      </c>
      <c r="G123" s="44" t="str">
        <f t="shared" si="5"/>
        <v>#REF!</v>
      </c>
      <c r="H123" s="44">
        <f t="shared" si="5"/>
        <v>0</v>
      </c>
      <c r="I123" s="44">
        <f t="shared" si="5"/>
        <v>0</v>
      </c>
      <c r="J123" s="44">
        <f t="shared" si="5"/>
        <v>0</v>
      </c>
      <c r="K123" s="44">
        <f t="shared" si="5"/>
        <v>0</v>
      </c>
      <c r="L123" s="44">
        <f t="shared" si="5"/>
        <v>0</v>
      </c>
      <c r="M123" s="44">
        <f t="shared" si="5"/>
        <v>0</v>
      </c>
      <c r="N123" s="44">
        <f t="shared" si="5"/>
        <v>0</v>
      </c>
      <c r="O123" s="44">
        <f t="shared" si="5"/>
        <v>0</v>
      </c>
      <c r="P123" s="44">
        <f t="shared" si="5"/>
        <v>0</v>
      </c>
      <c r="Q123" s="44">
        <f t="shared" si="5"/>
        <v>0</v>
      </c>
      <c r="R123" s="44">
        <f t="shared" si="5"/>
        <v>0</v>
      </c>
      <c r="S123" s="44">
        <f t="shared" si="5"/>
        <v>0</v>
      </c>
      <c r="T123" s="44">
        <f t="shared" si="5"/>
        <v>0</v>
      </c>
      <c r="U123" s="44">
        <f t="shared" si="5"/>
        <v>0</v>
      </c>
      <c r="V123" s="44">
        <f t="shared" si="5"/>
        <v>0</v>
      </c>
      <c r="W123" s="44">
        <f t="shared" si="5"/>
        <v>0</v>
      </c>
      <c r="X123" s="44">
        <f t="shared" si="5"/>
        <v>0</v>
      </c>
      <c r="Y123" s="44">
        <f t="shared" si="5"/>
        <v>0</v>
      </c>
      <c r="Z123" s="19" t="str">
        <f t="shared" si="1"/>
        <v>#REF!</v>
      </c>
      <c r="AA123" s="45" t="s">
        <v>183</v>
      </c>
      <c r="AB123" s="46"/>
      <c r="AC123" s="46"/>
      <c r="AD123" s="46"/>
    </row>
    <row r="124" ht="14.25" customHeight="1">
      <c r="A124" s="1"/>
      <c r="B124" s="1"/>
      <c r="C124" s="1"/>
      <c r="D124" s="1"/>
      <c r="E124" s="1"/>
      <c r="F124" s="2"/>
      <c r="G124" s="1"/>
    </row>
    <row r="125" ht="53.25" customHeight="1">
      <c r="A125" s="1"/>
      <c r="B125" s="47" t="s">
        <v>184</v>
      </c>
      <c r="C125" s="47"/>
      <c r="D125" s="48">
        <v>115.0</v>
      </c>
      <c r="E125" s="1"/>
      <c r="F125" s="2"/>
      <c r="G125" s="1"/>
    </row>
    <row r="126" ht="53.25" customHeight="1">
      <c r="A126" s="1"/>
      <c r="B126" s="49" t="s">
        <v>185</v>
      </c>
      <c r="C126" s="49"/>
      <c r="D126" s="38">
        <f>COUNTA(D5:D120)</f>
        <v>116</v>
      </c>
      <c r="E126" s="1"/>
      <c r="F126" s="2"/>
      <c r="G126" s="1"/>
    </row>
    <row r="127" ht="53.25" customHeight="1">
      <c r="A127" s="1"/>
      <c r="B127" s="50" t="s">
        <v>186</v>
      </c>
      <c r="C127" s="50"/>
      <c r="D127" s="51">
        <f>D125-D126</f>
        <v>-1</v>
      </c>
      <c r="E127" s="8" t="s">
        <v>187</v>
      </c>
      <c r="F127" s="2"/>
      <c r="G127" s="1"/>
    </row>
    <row r="128" ht="14.25" customHeight="1">
      <c r="A128" s="1"/>
      <c r="B128" s="1"/>
      <c r="C128" s="1"/>
      <c r="D128" s="1"/>
      <c r="E128" s="1"/>
      <c r="F128" s="2"/>
      <c r="G128" s="1"/>
    </row>
    <row r="129" ht="14.25" customHeight="1">
      <c r="A129" s="1"/>
      <c r="B129" s="1"/>
      <c r="C129" s="1"/>
      <c r="D129" s="1"/>
      <c r="E129" s="1"/>
      <c r="F129" s="2"/>
      <c r="G129" s="1"/>
    </row>
    <row r="130" ht="14.25" customHeight="1">
      <c r="A130" s="1"/>
      <c r="B130" s="1"/>
      <c r="C130" s="1"/>
      <c r="D130" s="1"/>
      <c r="E130" s="1"/>
      <c r="F130" s="2"/>
      <c r="G130" s="1"/>
    </row>
    <row r="131" ht="14.25" customHeight="1">
      <c r="A131" s="1"/>
      <c r="B131" s="1"/>
      <c r="C131" s="1"/>
      <c r="D131" s="1"/>
      <c r="E131" s="1"/>
      <c r="F131" s="2"/>
      <c r="G131" s="1"/>
    </row>
    <row r="132" ht="14.25" customHeight="1">
      <c r="A132" s="1"/>
      <c r="B132" s="1"/>
      <c r="C132" s="1"/>
      <c r="D132" s="1"/>
      <c r="E132" s="1"/>
      <c r="F132" s="2"/>
      <c r="G132" s="1"/>
    </row>
    <row r="133" ht="14.25" customHeight="1">
      <c r="A133" s="1"/>
      <c r="B133" s="1"/>
      <c r="C133" s="1"/>
      <c r="D133" s="1"/>
      <c r="E133" s="1"/>
      <c r="F133" s="2"/>
      <c r="G133" s="1"/>
    </row>
    <row r="134" ht="14.25" customHeight="1">
      <c r="A134" s="1"/>
      <c r="B134" s="1"/>
      <c r="C134" s="1"/>
      <c r="D134" s="1"/>
      <c r="E134" s="1"/>
      <c r="F134" s="2"/>
      <c r="G134" s="1"/>
    </row>
    <row r="135" ht="14.25" customHeight="1">
      <c r="A135" s="1"/>
      <c r="B135" s="1"/>
      <c r="C135" s="1"/>
      <c r="D135" s="1"/>
      <c r="E135" s="1"/>
      <c r="F135" s="2"/>
      <c r="G135" s="1"/>
    </row>
    <row r="136" ht="14.25" customHeight="1">
      <c r="A136" s="1"/>
      <c r="B136" s="1"/>
      <c r="C136" s="1"/>
      <c r="D136" s="1"/>
      <c r="E136" s="1"/>
      <c r="F136" s="2"/>
      <c r="G136" s="1"/>
    </row>
    <row r="137" ht="14.25" customHeight="1">
      <c r="A137" s="1"/>
      <c r="B137" s="1"/>
      <c r="C137" s="1"/>
      <c r="D137" s="1"/>
      <c r="E137" s="1"/>
      <c r="F137" s="2"/>
      <c r="G137" s="1"/>
    </row>
    <row r="138" ht="14.25" customHeight="1">
      <c r="A138" s="1"/>
      <c r="B138" s="1"/>
      <c r="C138" s="1"/>
      <c r="D138" s="1"/>
      <c r="E138" s="1"/>
      <c r="F138" s="2"/>
      <c r="G138" s="1"/>
    </row>
    <row r="139" ht="14.25" customHeight="1">
      <c r="A139" s="1"/>
      <c r="B139" s="1"/>
      <c r="C139" s="1"/>
      <c r="D139" s="1"/>
      <c r="E139" s="1"/>
      <c r="F139" s="2"/>
      <c r="G139" s="1"/>
    </row>
    <row r="140" ht="14.25" customHeight="1">
      <c r="A140" s="1"/>
      <c r="B140" s="1"/>
      <c r="C140" s="1"/>
      <c r="D140" s="1"/>
      <c r="E140" s="1"/>
      <c r="F140" s="2"/>
      <c r="G140" s="1"/>
    </row>
    <row r="141" ht="14.25" customHeight="1">
      <c r="A141" s="1"/>
      <c r="B141" s="1"/>
      <c r="C141" s="1"/>
      <c r="D141" s="1"/>
      <c r="E141" s="1"/>
      <c r="F141" s="2"/>
      <c r="G141" s="1"/>
    </row>
    <row r="142" ht="14.25" customHeight="1">
      <c r="A142" s="1"/>
      <c r="B142" s="1"/>
      <c r="C142" s="1"/>
      <c r="D142" s="1"/>
      <c r="E142" s="1"/>
      <c r="F142" s="2"/>
      <c r="G142" s="1"/>
    </row>
    <row r="143" ht="14.25" customHeight="1">
      <c r="A143" s="1"/>
      <c r="B143" s="1"/>
      <c r="C143" s="1"/>
      <c r="D143" s="1"/>
      <c r="E143" s="1"/>
      <c r="F143" s="2"/>
      <c r="G143" s="1"/>
    </row>
    <row r="144" ht="14.25" customHeight="1">
      <c r="A144" s="1"/>
      <c r="B144" s="1"/>
      <c r="C144" s="1"/>
      <c r="D144" s="1"/>
      <c r="E144" s="1"/>
      <c r="F144" s="2"/>
      <c r="G144" s="1"/>
    </row>
    <row r="145" ht="14.25" customHeight="1">
      <c r="A145" s="1"/>
      <c r="B145" s="1"/>
      <c r="C145" s="1"/>
      <c r="D145" s="1"/>
      <c r="E145" s="1"/>
      <c r="F145" s="2"/>
      <c r="G145" s="1"/>
    </row>
    <row r="146" ht="14.25" customHeight="1">
      <c r="A146" s="1"/>
      <c r="B146" s="1"/>
      <c r="C146" s="1"/>
      <c r="D146" s="1"/>
      <c r="E146" s="1"/>
      <c r="F146" s="2"/>
      <c r="G146" s="1"/>
    </row>
    <row r="147" ht="14.25" customHeight="1">
      <c r="A147" s="1"/>
      <c r="B147" s="1"/>
      <c r="C147" s="1"/>
      <c r="D147" s="1"/>
      <c r="E147" s="1"/>
      <c r="F147" s="2"/>
      <c r="G147" s="1"/>
    </row>
    <row r="148" ht="14.25" customHeight="1">
      <c r="A148" s="1"/>
      <c r="B148" s="1"/>
      <c r="C148" s="1"/>
      <c r="D148" s="1"/>
      <c r="E148" s="1"/>
      <c r="F148" s="2"/>
      <c r="G148" s="1"/>
    </row>
    <row r="149" ht="14.25" customHeight="1">
      <c r="A149" s="1"/>
      <c r="B149" s="1"/>
      <c r="C149" s="1"/>
      <c r="D149" s="1"/>
      <c r="E149" s="1"/>
      <c r="F149" s="2"/>
      <c r="G149" s="1"/>
    </row>
    <row r="150" ht="14.25" customHeight="1">
      <c r="A150" s="1"/>
      <c r="B150" s="1"/>
      <c r="C150" s="1"/>
      <c r="D150" s="1"/>
      <c r="E150" s="1"/>
      <c r="F150" s="2"/>
      <c r="G150" s="1"/>
    </row>
    <row r="151" ht="14.25" customHeight="1">
      <c r="A151" s="1"/>
      <c r="B151" s="1"/>
      <c r="C151" s="1"/>
      <c r="D151" s="1"/>
      <c r="E151" s="1"/>
      <c r="F151" s="2"/>
      <c r="G151" s="1"/>
    </row>
    <row r="152" ht="14.25" customHeight="1">
      <c r="A152" s="1"/>
      <c r="B152" s="1"/>
      <c r="C152" s="1"/>
      <c r="D152" s="1"/>
      <c r="E152" s="1"/>
      <c r="F152" s="2"/>
      <c r="G152" s="1"/>
    </row>
    <row r="153" ht="14.25" customHeight="1">
      <c r="A153" s="1"/>
      <c r="B153" s="1"/>
      <c r="C153" s="1"/>
      <c r="D153" s="1"/>
      <c r="E153" s="1"/>
      <c r="F153" s="2"/>
      <c r="G153" s="1"/>
    </row>
    <row r="154" ht="14.25" customHeight="1">
      <c r="A154" s="1"/>
      <c r="B154" s="1"/>
      <c r="C154" s="1"/>
      <c r="D154" s="1"/>
      <c r="E154" s="1"/>
      <c r="F154" s="2"/>
      <c r="G154" s="1"/>
    </row>
    <row r="155" ht="14.25" customHeight="1">
      <c r="A155" s="1"/>
      <c r="B155" s="1"/>
      <c r="C155" s="1"/>
      <c r="D155" s="1"/>
      <c r="E155" s="1"/>
      <c r="F155" s="2"/>
      <c r="G155" s="1"/>
    </row>
    <row r="156" ht="14.25" customHeight="1">
      <c r="A156" s="1"/>
      <c r="B156" s="1"/>
      <c r="C156" s="1"/>
      <c r="D156" s="1"/>
      <c r="E156" s="1"/>
      <c r="F156" s="2"/>
      <c r="G156" s="1"/>
    </row>
    <row r="157" ht="14.25" customHeight="1">
      <c r="A157" s="1"/>
      <c r="B157" s="1"/>
      <c r="C157" s="1"/>
      <c r="D157" s="1"/>
      <c r="E157" s="1"/>
      <c r="F157" s="2"/>
      <c r="G157" s="1"/>
    </row>
    <row r="158" ht="14.25" customHeight="1">
      <c r="A158" s="1"/>
      <c r="B158" s="1"/>
      <c r="C158" s="1"/>
      <c r="D158" s="1"/>
      <c r="E158" s="1"/>
      <c r="F158" s="2"/>
      <c r="G158" s="1"/>
    </row>
    <row r="159" ht="14.25" customHeight="1">
      <c r="A159" s="1"/>
      <c r="B159" s="1"/>
      <c r="C159" s="1"/>
      <c r="D159" s="1"/>
      <c r="E159" s="1"/>
      <c r="F159" s="2"/>
      <c r="G159" s="1"/>
    </row>
    <row r="160" ht="14.25" customHeight="1">
      <c r="A160" s="1"/>
      <c r="B160" s="1"/>
      <c r="C160" s="1"/>
      <c r="D160" s="1"/>
      <c r="E160" s="1"/>
      <c r="F160" s="2"/>
      <c r="G160" s="1"/>
    </row>
    <row r="161" ht="14.25" customHeight="1">
      <c r="A161" s="1"/>
      <c r="B161" s="1"/>
      <c r="C161" s="1"/>
      <c r="D161" s="1"/>
      <c r="E161" s="1"/>
      <c r="F161" s="2"/>
      <c r="G161" s="1"/>
    </row>
    <row r="162" ht="14.25" customHeight="1">
      <c r="A162" s="1"/>
      <c r="B162" s="1"/>
      <c r="C162" s="1"/>
      <c r="D162" s="1"/>
      <c r="E162" s="1"/>
      <c r="F162" s="2"/>
      <c r="G162" s="1"/>
    </row>
    <row r="163" ht="14.25" customHeight="1">
      <c r="A163" s="1"/>
      <c r="B163" s="1"/>
      <c r="C163" s="1"/>
      <c r="D163" s="1"/>
      <c r="E163" s="1"/>
      <c r="F163" s="2"/>
      <c r="G163" s="1"/>
    </row>
    <row r="164" ht="14.25" customHeight="1">
      <c r="A164" s="1"/>
      <c r="B164" s="1"/>
      <c r="C164" s="1"/>
      <c r="D164" s="1"/>
      <c r="E164" s="1"/>
      <c r="F164" s="2"/>
      <c r="G164" s="1"/>
    </row>
    <row r="165" ht="14.25" customHeight="1">
      <c r="A165" s="1"/>
      <c r="B165" s="1"/>
      <c r="C165" s="1"/>
      <c r="D165" s="1"/>
      <c r="E165" s="1"/>
      <c r="F165" s="2"/>
      <c r="G165" s="1"/>
    </row>
    <row r="166" ht="14.25" customHeight="1">
      <c r="A166" s="1"/>
      <c r="B166" s="1"/>
      <c r="C166" s="1"/>
      <c r="D166" s="1"/>
      <c r="E166" s="1"/>
      <c r="F166" s="2"/>
      <c r="G166" s="1"/>
    </row>
    <row r="167" ht="14.25" customHeight="1">
      <c r="A167" s="1"/>
      <c r="B167" s="1"/>
      <c r="C167" s="1"/>
      <c r="D167" s="1"/>
      <c r="E167" s="1"/>
      <c r="F167" s="2"/>
      <c r="G167" s="1"/>
    </row>
    <row r="168" ht="14.25" customHeight="1">
      <c r="A168" s="1"/>
      <c r="B168" s="1"/>
      <c r="C168" s="1"/>
      <c r="D168" s="1"/>
      <c r="E168" s="1"/>
      <c r="F168" s="2"/>
      <c r="G168" s="1"/>
    </row>
    <row r="169" ht="14.25" customHeight="1">
      <c r="A169" s="1"/>
      <c r="B169" s="1"/>
      <c r="C169" s="1"/>
      <c r="D169" s="1"/>
      <c r="E169" s="1"/>
      <c r="F169" s="2"/>
      <c r="G169" s="1"/>
    </row>
    <row r="170" ht="14.25" customHeight="1">
      <c r="A170" s="1"/>
      <c r="B170" s="1"/>
      <c r="C170" s="1"/>
      <c r="D170" s="1"/>
      <c r="E170" s="1"/>
      <c r="F170" s="2"/>
      <c r="G170" s="1"/>
    </row>
    <row r="171" ht="14.25" customHeight="1">
      <c r="A171" s="1"/>
      <c r="B171" s="1"/>
      <c r="C171" s="1"/>
      <c r="D171" s="1"/>
      <c r="E171" s="1"/>
      <c r="F171" s="2"/>
      <c r="G171" s="1"/>
    </row>
    <row r="172" ht="14.25" customHeight="1">
      <c r="A172" s="1"/>
      <c r="B172" s="1"/>
      <c r="C172" s="1"/>
      <c r="D172" s="1"/>
      <c r="E172" s="1"/>
      <c r="F172" s="2"/>
      <c r="G172" s="1"/>
    </row>
    <row r="173" ht="14.25" customHeight="1">
      <c r="A173" s="1"/>
      <c r="B173" s="1"/>
      <c r="C173" s="1"/>
      <c r="D173" s="1"/>
      <c r="E173" s="1"/>
      <c r="F173" s="2"/>
      <c r="G173" s="1"/>
    </row>
    <row r="174" ht="14.25" customHeight="1">
      <c r="A174" s="1"/>
      <c r="B174" s="1"/>
      <c r="C174" s="1"/>
      <c r="D174" s="1"/>
      <c r="E174" s="1"/>
      <c r="F174" s="2"/>
      <c r="G174" s="1"/>
    </row>
    <row r="175" ht="14.25" customHeight="1">
      <c r="A175" s="1"/>
      <c r="B175" s="1"/>
      <c r="C175" s="1"/>
      <c r="D175" s="1"/>
      <c r="E175" s="1"/>
      <c r="F175" s="2"/>
      <c r="G175" s="1"/>
    </row>
    <row r="176" ht="14.25" customHeight="1">
      <c r="A176" s="1"/>
      <c r="B176" s="1"/>
      <c r="C176" s="1"/>
      <c r="D176" s="1"/>
      <c r="E176" s="1"/>
      <c r="F176" s="2"/>
      <c r="G176" s="1"/>
    </row>
    <row r="177" ht="14.25" customHeight="1">
      <c r="A177" s="1"/>
      <c r="B177" s="1"/>
      <c r="C177" s="1"/>
      <c r="D177" s="1"/>
      <c r="E177" s="1"/>
      <c r="F177" s="2"/>
      <c r="G177" s="1"/>
    </row>
    <row r="178" ht="14.25" customHeight="1">
      <c r="A178" s="1"/>
      <c r="B178" s="1"/>
      <c r="C178" s="1"/>
      <c r="D178" s="1"/>
      <c r="E178" s="1"/>
      <c r="F178" s="2"/>
      <c r="G178" s="1"/>
    </row>
    <row r="179" ht="14.25" customHeight="1">
      <c r="A179" s="1"/>
      <c r="B179" s="1"/>
      <c r="C179" s="1"/>
      <c r="D179" s="1"/>
      <c r="E179" s="1"/>
      <c r="F179" s="2"/>
      <c r="G179" s="1"/>
    </row>
    <row r="180" ht="14.25" customHeight="1">
      <c r="A180" s="1"/>
      <c r="B180" s="1"/>
      <c r="C180" s="1"/>
      <c r="D180" s="1"/>
      <c r="E180" s="1"/>
      <c r="F180" s="2"/>
      <c r="G180" s="1"/>
    </row>
    <row r="181" ht="14.25" customHeight="1">
      <c r="A181" s="1"/>
      <c r="B181" s="1"/>
      <c r="C181" s="1"/>
      <c r="D181" s="1"/>
      <c r="E181" s="1"/>
      <c r="F181" s="2"/>
      <c r="G181" s="1"/>
    </row>
    <row r="182" ht="14.25" customHeight="1">
      <c r="A182" s="1"/>
      <c r="B182" s="1"/>
      <c r="C182" s="1"/>
      <c r="D182" s="1"/>
      <c r="E182" s="1"/>
      <c r="F182" s="2"/>
      <c r="G182" s="1"/>
    </row>
    <row r="183" ht="14.25" customHeight="1">
      <c r="A183" s="1"/>
      <c r="B183" s="1"/>
      <c r="C183" s="1"/>
      <c r="D183" s="1"/>
      <c r="E183" s="1"/>
      <c r="F183" s="2"/>
      <c r="G183" s="1"/>
    </row>
    <row r="184" ht="14.25" customHeight="1">
      <c r="A184" s="1"/>
      <c r="B184" s="1"/>
      <c r="C184" s="1"/>
      <c r="D184" s="1"/>
      <c r="E184" s="1"/>
      <c r="F184" s="2"/>
      <c r="G184" s="1"/>
    </row>
    <row r="185" ht="14.25" customHeight="1">
      <c r="A185" s="1"/>
      <c r="B185" s="1"/>
      <c r="C185" s="1"/>
      <c r="D185" s="1"/>
      <c r="E185" s="1"/>
      <c r="F185" s="2"/>
      <c r="G185" s="1"/>
    </row>
    <row r="186" ht="14.25" customHeight="1">
      <c r="A186" s="1"/>
      <c r="B186" s="1"/>
      <c r="C186" s="1"/>
      <c r="D186" s="1"/>
      <c r="E186" s="1"/>
      <c r="F186" s="2"/>
      <c r="G186" s="1"/>
    </row>
    <row r="187" ht="14.25" customHeight="1">
      <c r="A187" s="1"/>
      <c r="B187" s="1"/>
      <c r="C187" s="1"/>
      <c r="D187" s="1"/>
      <c r="E187" s="1"/>
      <c r="F187" s="2"/>
      <c r="G187" s="1"/>
    </row>
    <row r="188" ht="14.25" customHeight="1">
      <c r="A188" s="1"/>
      <c r="B188" s="1"/>
      <c r="C188" s="1"/>
      <c r="D188" s="1"/>
      <c r="E188" s="1"/>
      <c r="F188" s="2"/>
      <c r="G188" s="1"/>
    </row>
    <row r="189" ht="14.25" customHeight="1">
      <c r="A189" s="1"/>
      <c r="B189" s="1"/>
      <c r="C189" s="1"/>
      <c r="D189" s="1"/>
      <c r="E189" s="1"/>
      <c r="F189" s="2"/>
      <c r="G189" s="1"/>
    </row>
    <row r="190" ht="14.25" customHeight="1">
      <c r="A190" s="1"/>
      <c r="B190" s="1"/>
      <c r="C190" s="1"/>
      <c r="D190" s="1"/>
      <c r="E190" s="1"/>
      <c r="F190" s="2"/>
      <c r="G190" s="1"/>
    </row>
    <row r="191" ht="14.25" customHeight="1">
      <c r="A191" s="1"/>
      <c r="B191" s="1"/>
      <c r="C191" s="1"/>
      <c r="D191" s="1"/>
      <c r="E191" s="1"/>
      <c r="F191" s="2"/>
      <c r="G191" s="1"/>
    </row>
    <row r="192" ht="14.25" customHeight="1">
      <c r="A192" s="1"/>
      <c r="B192" s="1"/>
      <c r="C192" s="1"/>
      <c r="D192" s="1"/>
      <c r="E192" s="1"/>
      <c r="F192" s="2"/>
      <c r="G192" s="1"/>
    </row>
    <row r="193" ht="14.25" customHeight="1">
      <c r="A193" s="1"/>
      <c r="B193" s="1"/>
      <c r="C193" s="1"/>
      <c r="D193" s="1"/>
      <c r="E193" s="1"/>
      <c r="F193" s="2"/>
      <c r="G193" s="1"/>
    </row>
    <row r="194" ht="14.25" customHeight="1">
      <c r="A194" s="1"/>
      <c r="B194" s="1"/>
      <c r="C194" s="1"/>
      <c r="D194" s="1"/>
      <c r="E194" s="1"/>
      <c r="F194" s="2"/>
      <c r="G194" s="1"/>
    </row>
    <row r="195" ht="14.25" customHeight="1">
      <c r="A195" s="1"/>
      <c r="B195" s="1"/>
      <c r="C195" s="1"/>
      <c r="D195" s="1"/>
      <c r="E195" s="1"/>
      <c r="F195" s="2"/>
      <c r="G195" s="1"/>
    </row>
    <row r="196" ht="14.25" customHeight="1">
      <c r="A196" s="1"/>
      <c r="B196" s="1"/>
      <c r="C196" s="1"/>
      <c r="D196" s="1"/>
      <c r="E196" s="1"/>
      <c r="F196" s="2"/>
      <c r="G196" s="1"/>
    </row>
    <row r="197" ht="14.25" customHeight="1">
      <c r="A197" s="1"/>
      <c r="B197" s="1"/>
      <c r="C197" s="1"/>
      <c r="D197" s="1"/>
      <c r="E197" s="1"/>
      <c r="F197" s="2"/>
      <c r="G197" s="1"/>
    </row>
    <row r="198" ht="14.25" customHeight="1">
      <c r="A198" s="1"/>
      <c r="B198" s="1"/>
      <c r="C198" s="1"/>
      <c r="D198" s="1"/>
      <c r="E198" s="1"/>
      <c r="F198" s="2"/>
      <c r="G198" s="1"/>
    </row>
    <row r="199" ht="14.25" customHeight="1">
      <c r="A199" s="1"/>
      <c r="B199" s="1"/>
      <c r="C199" s="1"/>
      <c r="D199" s="1"/>
      <c r="E199" s="1"/>
      <c r="F199" s="2"/>
      <c r="G199" s="1"/>
    </row>
    <row r="200" ht="14.25" customHeight="1">
      <c r="A200" s="1"/>
      <c r="B200" s="1"/>
      <c r="C200" s="1"/>
      <c r="D200" s="1"/>
      <c r="E200" s="1"/>
      <c r="F200" s="2"/>
      <c r="G200" s="1"/>
    </row>
    <row r="201" ht="14.25" customHeight="1">
      <c r="A201" s="1"/>
      <c r="B201" s="1"/>
      <c r="C201" s="1"/>
      <c r="D201" s="1"/>
      <c r="E201" s="1"/>
      <c r="F201" s="2"/>
      <c r="G201" s="1"/>
    </row>
    <row r="202" ht="14.25" customHeight="1">
      <c r="A202" s="1"/>
      <c r="B202" s="1"/>
      <c r="C202" s="1"/>
      <c r="D202" s="1"/>
      <c r="E202" s="1"/>
      <c r="F202" s="2"/>
      <c r="G202" s="1"/>
    </row>
    <row r="203" ht="14.25" customHeight="1">
      <c r="A203" s="1"/>
      <c r="B203" s="1"/>
      <c r="C203" s="1"/>
      <c r="D203" s="1"/>
      <c r="E203" s="1"/>
      <c r="F203" s="2"/>
      <c r="G203" s="1"/>
    </row>
    <row r="204" ht="14.25" customHeight="1">
      <c r="A204" s="1"/>
      <c r="B204" s="1"/>
      <c r="C204" s="1"/>
      <c r="D204" s="1"/>
      <c r="E204" s="1"/>
      <c r="F204" s="2"/>
      <c r="G204" s="1"/>
    </row>
    <row r="205" ht="14.25" customHeight="1">
      <c r="A205" s="1"/>
      <c r="B205" s="1"/>
      <c r="C205" s="1"/>
      <c r="D205" s="1"/>
      <c r="E205" s="1"/>
      <c r="F205" s="2"/>
      <c r="G205" s="1"/>
    </row>
    <row r="206" ht="14.25" customHeight="1">
      <c r="A206" s="1"/>
      <c r="B206" s="1"/>
      <c r="C206" s="1"/>
      <c r="D206" s="1"/>
      <c r="E206" s="1"/>
      <c r="F206" s="2"/>
      <c r="G206" s="1"/>
    </row>
    <row r="207" ht="14.25" customHeight="1">
      <c r="A207" s="1"/>
      <c r="B207" s="1"/>
      <c r="C207" s="1"/>
      <c r="D207" s="1"/>
      <c r="E207" s="1"/>
      <c r="F207" s="2"/>
      <c r="G207" s="1"/>
    </row>
    <row r="208" ht="14.25" customHeight="1">
      <c r="A208" s="1"/>
      <c r="B208" s="1"/>
      <c r="C208" s="1"/>
      <c r="D208" s="1"/>
      <c r="E208" s="1"/>
      <c r="F208" s="2"/>
      <c r="G208" s="1"/>
    </row>
    <row r="209" ht="14.25" customHeight="1">
      <c r="A209" s="1"/>
      <c r="B209" s="1"/>
      <c r="C209" s="1"/>
      <c r="D209" s="1"/>
      <c r="E209" s="1"/>
      <c r="F209" s="2"/>
      <c r="G209" s="1"/>
    </row>
    <row r="210" ht="14.25" customHeight="1">
      <c r="A210" s="1"/>
      <c r="B210" s="1"/>
      <c r="C210" s="1"/>
      <c r="D210" s="1"/>
      <c r="E210" s="1"/>
      <c r="F210" s="2"/>
      <c r="G210" s="1"/>
    </row>
    <row r="211" ht="14.25" customHeight="1">
      <c r="A211" s="1"/>
      <c r="B211" s="1"/>
      <c r="C211" s="1"/>
      <c r="D211" s="1"/>
      <c r="E211" s="1"/>
      <c r="F211" s="2"/>
      <c r="G211" s="1"/>
    </row>
    <row r="212" ht="14.25" customHeight="1">
      <c r="A212" s="1"/>
      <c r="B212" s="1"/>
      <c r="C212" s="1"/>
      <c r="D212" s="1"/>
      <c r="E212" s="1"/>
      <c r="F212" s="2"/>
      <c r="G212" s="1"/>
    </row>
    <row r="213" ht="14.25" customHeight="1">
      <c r="A213" s="1"/>
      <c r="B213" s="1"/>
      <c r="C213" s="1"/>
      <c r="D213" s="1"/>
      <c r="E213" s="1"/>
      <c r="F213" s="2"/>
      <c r="G213" s="1"/>
    </row>
    <row r="214" ht="14.25" customHeight="1">
      <c r="A214" s="1"/>
      <c r="B214" s="1"/>
      <c r="C214" s="1"/>
      <c r="D214" s="1"/>
      <c r="E214" s="1"/>
      <c r="F214" s="2"/>
      <c r="G214" s="1"/>
    </row>
    <row r="215" ht="14.25" customHeight="1">
      <c r="A215" s="1"/>
      <c r="B215" s="1"/>
      <c r="C215" s="1"/>
      <c r="D215" s="1"/>
      <c r="E215" s="1"/>
      <c r="F215" s="2"/>
      <c r="G215" s="1"/>
    </row>
    <row r="216" ht="14.25" customHeight="1">
      <c r="A216" s="1"/>
      <c r="B216" s="1"/>
      <c r="C216" s="1"/>
      <c r="D216" s="1"/>
      <c r="E216" s="1"/>
      <c r="F216" s="2"/>
      <c r="G216" s="1"/>
    </row>
    <row r="217" ht="14.25" customHeight="1">
      <c r="A217" s="1"/>
      <c r="B217" s="1"/>
      <c r="C217" s="1"/>
      <c r="D217" s="1"/>
      <c r="E217" s="1"/>
      <c r="F217" s="2"/>
      <c r="G217" s="1"/>
    </row>
    <row r="218" ht="14.25" customHeight="1">
      <c r="A218" s="1"/>
      <c r="B218" s="1"/>
      <c r="C218" s="1"/>
      <c r="D218" s="1"/>
      <c r="E218" s="1"/>
      <c r="F218" s="2"/>
      <c r="G218" s="1"/>
    </row>
    <row r="219" ht="14.25" customHeight="1">
      <c r="A219" s="1"/>
      <c r="B219" s="1"/>
      <c r="C219" s="1"/>
      <c r="D219" s="1"/>
      <c r="E219" s="1"/>
      <c r="F219" s="2"/>
      <c r="G219" s="1"/>
    </row>
    <row r="220" ht="14.25" customHeight="1">
      <c r="A220" s="1"/>
      <c r="B220" s="1"/>
      <c r="C220" s="1"/>
      <c r="D220" s="1"/>
      <c r="E220" s="1"/>
      <c r="F220" s="2"/>
      <c r="G220" s="1"/>
    </row>
    <row r="221" ht="14.25" customHeight="1">
      <c r="A221" s="1"/>
      <c r="B221" s="1"/>
      <c r="C221" s="1"/>
      <c r="D221" s="1"/>
      <c r="E221" s="1"/>
      <c r="F221" s="2"/>
      <c r="G221" s="1"/>
    </row>
    <row r="222" ht="14.25" customHeight="1">
      <c r="A222" s="1"/>
      <c r="B222" s="1"/>
      <c r="C222" s="1"/>
      <c r="D222" s="1"/>
      <c r="E222" s="1"/>
      <c r="F222" s="2"/>
      <c r="G222" s="1"/>
    </row>
    <row r="223" ht="14.25" customHeight="1">
      <c r="A223" s="1"/>
      <c r="B223" s="1"/>
      <c r="C223" s="1"/>
      <c r="D223" s="1"/>
      <c r="E223" s="1"/>
      <c r="F223" s="2"/>
      <c r="G223" s="1"/>
    </row>
    <row r="224" ht="14.25" customHeight="1">
      <c r="A224" s="1"/>
      <c r="B224" s="1"/>
      <c r="C224" s="1"/>
      <c r="D224" s="1"/>
      <c r="E224" s="1"/>
      <c r="F224" s="2"/>
      <c r="G224" s="1"/>
    </row>
    <row r="225" ht="14.25" customHeight="1">
      <c r="A225" s="1"/>
      <c r="B225" s="1"/>
      <c r="C225" s="1"/>
      <c r="D225" s="1"/>
      <c r="E225" s="1"/>
      <c r="F225" s="2"/>
      <c r="G225" s="1"/>
    </row>
    <row r="226" ht="14.25" customHeight="1">
      <c r="A226" s="1"/>
      <c r="B226" s="1"/>
      <c r="C226" s="1"/>
      <c r="D226" s="1"/>
      <c r="E226" s="1"/>
      <c r="F226" s="2"/>
      <c r="G226" s="1"/>
    </row>
    <row r="227" ht="14.25" customHeight="1">
      <c r="A227" s="1"/>
      <c r="B227" s="1"/>
      <c r="C227" s="1"/>
      <c r="D227" s="1"/>
      <c r="E227" s="1"/>
      <c r="F227" s="2"/>
      <c r="G227" s="1"/>
    </row>
    <row r="228" ht="14.25" customHeight="1">
      <c r="A228" s="1"/>
      <c r="B228" s="1"/>
      <c r="C228" s="1"/>
      <c r="D228" s="1"/>
      <c r="E228" s="1"/>
      <c r="F228" s="2"/>
      <c r="G228" s="1"/>
    </row>
    <row r="229" ht="14.25" customHeight="1">
      <c r="A229" s="1"/>
      <c r="B229" s="1"/>
      <c r="C229" s="1"/>
      <c r="D229" s="1"/>
      <c r="E229" s="1"/>
      <c r="F229" s="2"/>
      <c r="G229" s="1"/>
    </row>
    <row r="230" ht="14.25" customHeight="1">
      <c r="A230" s="1"/>
      <c r="B230" s="1"/>
      <c r="C230" s="1"/>
      <c r="D230" s="1"/>
      <c r="E230" s="1"/>
      <c r="F230" s="2"/>
      <c r="G230" s="1"/>
    </row>
    <row r="231" ht="14.25" customHeight="1">
      <c r="A231" s="1"/>
      <c r="B231" s="1"/>
      <c r="C231" s="1"/>
      <c r="D231" s="1"/>
      <c r="E231" s="1"/>
      <c r="F231" s="2"/>
      <c r="G231" s="1"/>
    </row>
    <row r="232" ht="14.25" customHeight="1">
      <c r="A232" s="1"/>
      <c r="B232" s="1"/>
      <c r="C232" s="1"/>
      <c r="D232" s="1"/>
      <c r="E232" s="1"/>
      <c r="F232" s="2"/>
      <c r="G232" s="1"/>
    </row>
    <row r="233" ht="14.25" customHeight="1">
      <c r="A233" s="1"/>
      <c r="B233" s="1"/>
      <c r="C233" s="1"/>
      <c r="D233" s="1"/>
      <c r="E233" s="1"/>
      <c r="F233" s="2"/>
      <c r="G233" s="1"/>
    </row>
    <row r="234" ht="14.25" customHeight="1">
      <c r="A234" s="1"/>
      <c r="B234" s="1"/>
      <c r="C234" s="1"/>
      <c r="D234" s="1"/>
      <c r="E234" s="1"/>
      <c r="F234" s="2"/>
      <c r="G234" s="1"/>
    </row>
    <row r="235" ht="14.25" customHeight="1">
      <c r="A235" s="1"/>
      <c r="B235" s="1"/>
      <c r="C235" s="1"/>
      <c r="D235" s="1"/>
      <c r="E235" s="1"/>
      <c r="F235" s="2"/>
      <c r="G235" s="1"/>
    </row>
    <row r="236" ht="14.25" customHeight="1">
      <c r="A236" s="1"/>
      <c r="B236" s="1"/>
      <c r="C236" s="1"/>
      <c r="D236" s="1"/>
      <c r="E236" s="1"/>
      <c r="F236" s="2"/>
      <c r="G236" s="1"/>
    </row>
    <row r="237" ht="14.25" customHeight="1">
      <c r="A237" s="1"/>
      <c r="B237" s="1"/>
      <c r="C237" s="1"/>
      <c r="D237" s="1"/>
      <c r="E237" s="1"/>
      <c r="F237" s="2"/>
      <c r="G237" s="1"/>
    </row>
    <row r="238" ht="14.25" customHeight="1">
      <c r="A238" s="1"/>
      <c r="B238" s="1"/>
      <c r="C238" s="1"/>
      <c r="D238" s="1"/>
      <c r="E238" s="1"/>
      <c r="F238" s="2"/>
      <c r="G238" s="1"/>
    </row>
    <row r="239" ht="14.25" customHeight="1">
      <c r="A239" s="1"/>
      <c r="B239" s="1"/>
      <c r="C239" s="1"/>
      <c r="D239" s="1"/>
      <c r="E239" s="1"/>
      <c r="F239" s="2"/>
      <c r="G239" s="1"/>
    </row>
    <row r="240" ht="14.25" customHeight="1">
      <c r="A240" s="1"/>
      <c r="B240" s="1"/>
      <c r="C240" s="1"/>
      <c r="D240" s="1"/>
      <c r="E240" s="1"/>
      <c r="F240" s="2"/>
      <c r="G240" s="1"/>
    </row>
    <row r="241" ht="14.25" customHeight="1">
      <c r="A241" s="1"/>
      <c r="B241" s="1"/>
      <c r="C241" s="1"/>
      <c r="D241" s="1"/>
      <c r="E241" s="1"/>
      <c r="F241" s="2"/>
      <c r="G241" s="1"/>
    </row>
    <row r="242" ht="14.25" customHeight="1">
      <c r="A242" s="1"/>
      <c r="B242" s="1"/>
      <c r="C242" s="1"/>
      <c r="D242" s="1"/>
      <c r="E242" s="1"/>
      <c r="F242" s="2"/>
      <c r="G242" s="1"/>
    </row>
    <row r="243" ht="14.25" customHeight="1">
      <c r="A243" s="1"/>
      <c r="B243" s="1"/>
      <c r="C243" s="1"/>
      <c r="D243" s="1"/>
      <c r="E243" s="1"/>
      <c r="F243" s="2"/>
      <c r="G243" s="1"/>
    </row>
    <row r="244" ht="14.25" customHeight="1">
      <c r="A244" s="1"/>
      <c r="B244" s="1"/>
      <c r="C244" s="1"/>
      <c r="D244" s="1"/>
      <c r="E244" s="1"/>
      <c r="F244" s="2"/>
      <c r="G244" s="1"/>
    </row>
    <row r="245" ht="14.25" customHeight="1">
      <c r="A245" s="1"/>
      <c r="B245" s="1"/>
      <c r="C245" s="1"/>
      <c r="D245" s="1"/>
      <c r="E245" s="1"/>
      <c r="F245" s="2"/>
      <c r="G245" s="1"/>
    </row>
    <row r="246" ht="14.25" customHeight="1">
      <c r="A246" s="1"/>
      <c r="B246" s="1"/>
      <c r="C246" s="1"/>
      <c r="D246" s="1"/>
      <c r="E246" s="1"/>
      <c r="F246" s="2"/>
      <c r="G246" s="1"/>
    </row>
    <row r="247" ht="14.25" customHeight="1">
      <c r="A247" s="1"/>
      <c r="B247" s="1"/>
      <c r="C247" s="1"/>
      <c r="D247" s="1"/>
      <c r="E247" s="1"/>
      <c r="F247" s="2"/>
      <c r="G247" s="1"/>
    </row>
    <row r="248" ht="14.25" customHeight="1">
      <c r="A248" s="1"/>
      <c r="B248" s="1"/>
      <c r="C248" s="1"/>
      <c r="D248" s="1"/>
      <c r="E248" s="1"/>
      <c r="F248" s="2"/>
      <c r="G248" s="1"/>
    </row>
    <row r="249" ht="14.25" customHeight="1">
      <c r="A249" s="1"/>
      <c r="B249" s="1"/>
      <c r="C249" s="1"/>
      <c r="D249" s="1"/>
      <c r="E249" s="1"/>
      <c r="F249" s="2"/>
      <c r="G249" s="1"/>
    </row>
    <row r="250" ht="14.25" customHeight="1">
      <c r="A250" s="1"/>
      <c r="B250" s="1"/>
      <c r="C250" s="1"/>
      <c r="D250" s="1"/>
      <c r="E250" s="1"/>
      <c r="F250" s="2"/>
      <c r="G250" s="1"/>
    </row>
    <row r="251" ht="14.25" customHeight="1">
      <c r="A251" s="1"/>
      <c r="B251" s="1"/>
      <c r="C251" s="1"/>
      <c r="D251" s="1"/>
      <c r="E251" s="1"/>
      <c r="F251" s="2"/>
      <c r="G251" s="1"/>
    </row>
    <row r="252" ht="14.25" customHeight="1">
      <c r="A252" s="1"/>
      <c r="B252" s="1"/>
      <c r="C252" s="1"/>
      <c r="D252" s="1"/>
      <c r="E252" s="1"/>
      <c r="F252" s="2"/>
      <c r="G252" s="1"/>
    </row>
    <row r="253" ht="14.25" customHeight="1">
      <c r="A253" s="1"/>
      <c r="B253" s="1"/>
      <c r="C253" s="1"/>
      <c r="D253" s="1"/>
      <c r="E253" s="1"/>
      <c r="F253" s="2"/>
      <c r="G253" s="1"/>
    </row>
    <row r="254" ht="14.25" customHeight="1">
      <c r="A254" s="1"/>
      <c r="B254" s="1"/>
      <c r="C254" s="1"/>
      <c r="D254" s="1"/>
      <c r="E254" s="1"/>
      <c r="F254" s="2"/>
      <c r="G254" s="1"/>
    </row>
    <row r="255" ht="14.25" customHeight="1">
      <c r="A255" s="1"/>
      <c r="B255" s="1"/>
      <c r="C255" s="1"/>
      <c r="D255" s="1"/>
      <c r="E255" s="1"/>
      <c r="F255" s="2"/>
      <c r="G255" s="1"/>
    </row>
    <row r="256" ht="14.25" customHeight="1">
      <c r="A256" s="1"/>
      <c r="B256" s="1"/>
      <c r="C256" s="1"/>
      <c r="D256" s="1"/>
      <c r="E256" s="1"/>
      <c r="F256" s="2"/>
      <c r="G256" s="1"/>
    </row>
    <row r="257" ht="14.25" customHeight="1">
      <c r="A257" s="1"/>
      <c r="B257" s="1"/>
      <c r="C257" s="1"/>
      <c r="D257" s="1"/>
      <c r="E257" s="1"/>
      <c r="F257" s="2"/>
      <c r="G257" s="1"/>
    </row>
    <row r="258" ht="14.25" customHeight="1">
      <c r="A258" s="1"/>
      <c r="B258" s="1"/>
      <c r="C258" s="1"/>
      <c r="D258" s="1"/>
      <c r="E258" s="1"/>
      <c r="F258" s="2"/>
      <c r="G258" s="1"/>
    </row>
    <row r="259" ht="14.25" customHeight="1">
      <c r="A259" s="1"/>
      <c r="B259" s="1"/>
      <c r="C259" s="1"/>
      <c r="D259" s="1"/>
      <c r="E259" s="1"/>
      <c r="F259" s="2"/>
      <c r="G259" s="1"/>
    </row>
    <row r="260" ht="14.25" customHeight="1">
      <c r="A260" s="1"/>
      <c r="B260" s="1"/>
      <c r="C260" s="1"/>
      <c r="D260" s="1"/>
      <c r="E260" s="1"/>
      <c r="F260" s="2"/>
      <c r="G260" s="1"/>
    </row>
    <row r="261" ht="14.25" customHeight="1">
      <c r="A261" s="1"/>
      <c r="B261" s="1"/>
      <c r="C261" s="1"/>
      <c r="D261" s="1"/>
      <c r="E261" s="1"/>
      <c r="F261" s="2"/>
      <c r="G261" s="1"/>
    </row>
    <row r="262" ht="14.25" customHeight="1">
      <c r="A262" s="1"/>
      <c r="B262" s="1"/>
      <c r="C262" s="1"/>
      <c r="D262" s="1"/>
      <c r="E262" s="1"/>
      <c r="F262" s="2"/>
      <c r="G262" s="1"/>
    </row>
    <row r="263" ht="14.25" customHeight="1">
      <c r="A263" s="1"/>
      <c r="B263" s="1"/>
      <c r="C263" s="1"/>
      <c r="D263" s="1"/>
      <c r="E263" s="1"/>
      <c r="F263" s="2"/>
      <c r="G263" s="1"/>
    </row>
    <row r="264" ht="14.25" customHeight="1">
      <c r="A264" s="1"/>
      <c r="B264" s="1"/>
      <c r="C264" s="1"/>
      <c r="D264" s="1"/>
      <c r="E264" s="1"/>
      <c r="F264" s="2"/>
      <c r="G264" s="1"/>
    </row>
    <row r="265" ht="14.25" customHeight="1">
      <c r="A265" s="1"/>
      <c r="B265" s="1"/>
      <c r="C265" s="1"/>
      <c r="D265" s="1"/>
      <c r="E265" s="1"/>
      <c r="F265" s="2"/>
      <c r="G265" s="1"/>
    </row>
    <row r="266" ht="14.25" customHeight="1">
      <c r="A266" s="1"/>
      <c r="B266" s="1"/>
      <c r="C266" s="1"/>
      <c r="D266" s="1"/>
      <c r="E266" s="1"/>
      <c r="F266" s="2"/>
      <c r="G266" s="1"/>
    </row>
    <row r="267" ht="14.25" customHeight="1">
      <c r="A267" s="1"/>
      <c r="B267" s="1"/>
      <c r="C267" s="1"/>
      <c r="D267" s="1"/>
      <c r="E267" s="1"/>
      <c r="F267" s="2"/>
      <c r="G267" s="1"/>
    </row>
    <row r="268" ht="14.25" customHeight="1">
      <c r="A268" s="1"/>
      <c r="B268" s="1"/>
      <c r="C268" s="1"/>
      <c r="D268" s="1"/>
      <c r="E268" s="1"/>
      <c r="F268" s="2"/>
      <c r="G268" s="1"/>
    </row>
    <row r="269" ht="14.25" customHeight="1">
      <c r="A269" s="1"/>
      <c r="B269" s="1"/>
      <c r="C269" s="1"/>
      <c r="D269" s="1"/>
      <c r="E269" s="1"/>
      <c r="F269" s="2"/>
      <c r="G269" s="1"/>
    </row>
    <row r="270" ht="14.25" customHeight="1">
      <c r="A270" s="1"/>
      <c r="B270" s="1"/>
      <c r="C270" s="1"/>
      <c r="D270" s="1"/>
      <c r="E270" s="1"/>
      <c r="F270" s="2"/>
      <c r="G270" s="1"/>
    </row>
    <row r="271" ht="14.25" customHeight="1">
      <c r="A271" s="1"/>
      <c r="B271" s="1"/>
      <c r="C271" s="1"/>
      <c r="D271" s="1"/>
      <c r="E271" s="1"/>
      <c r="F271" s="2"/>
      <c r="G271" s="1"/>
    </row>
    <row r="272" ht="14.25" customHeight="1">
      <c r="A272" s="1"/>
      <c r="B272" s="1"/>
      <c r="C272" s="1"/>
      <c r="D272" s="1"/>
      <c r="E272" s="1"/>
      <c r="F272" s="2"/>
      <c r="G272" s="1"/>
    </row>
    <row r="273" ht="14.25" customHeight="1">
      <c r="A273" s="1"/>
      <c r="B273" s="1"/>
      <c r="C273" s="1"/>
      <c r="D273" s="1"/>
      <c r="E273" s="1"/>
      <c r="F273" s="2"/>
      <c r="G273" s="1"/>
    </row>
    <row r="274" ht="14.25" customHeight="1">
      <c r="A274" s="1"/>
      <c r="B274" s="1"/>
      <c r="C274" s="1"/>
      <c r="D274" s="1"/>
      <c r="E274" s="1"/>
      <c r="F274" s="2"/>
      <c r="G274" s="1"/>
    </row>
    <row r="275" ht="14.25" customHeight="1">
      <c r="A275" s="1"/>
      <c r="B275" s="1"/>
      <c r="C275" s="1"/>
      <c r="D275" s="1"/>
      <c r="E275" s="1"/>
      <c r="F275" s="2"/>
      <c r="G275" s="1"/>
    </row>
    <row r="276" ht="14.25" customHeight="1">
      <c r="A276" s="1"/>
      <c r="B276" s="1"/>
      <c r="C276" s="1"/>
      <c r="D276" s="1"/>
      <c r="E276" s="1"/>
      <c r="F276" s="2"/>
      <c r="G276" s="1"/>
    </row>
    <row r="277" ht="14.25" customHeight="1">
      <c r="A277" s="1"/>
      <c r="B277" s="1"/>
      <c r="C277" s="1"/>
      <c r="D277" s="1"/>
      <c r="E277" s="1"/>
      <c r="F277" s="2"/>
      <c r="G277" s="1"/>
    </row>
    <row r="278" ht="14.25" customHeight="1">
      <c r="A278" s="1"/>
      <c r="B278" s="1"/>
      <c r="C278" s="1"/>
      <c r="D278" s="1"/>
      <c r="E278" s="1"/>
      <c r="F278" s="2"/>
      <c r="G278" s="1"/>
    </row>
    <row r="279" ht="14.25" customHeight="1">
      <c r="A279" s="1"/>
      <c r="B279" s="1"/>
      <c r="C279" s="1"/>
      <c r="D279" s="1"/>
      <c r="E279" s="1"/>
      <c r="F279" s="2"/>
      <c r="G279" s="1"/>
    </row>
    <row r="280" ht="14.25" customHeight="1">
      <c r="A280" s="1"/>
      <c r="B280" s="1"/>
      <c r="C280" s="1"/>
      <c r="D280" s="1"/>
      <c r="E280" s="1"/>
      <c r="F280" s="2"/>
      <c r="G280" s="1"/>
    </row>
    <row r="281" ht="14.25" customHeight="1">
      <c r="A281" s="1"/>
      <c r="B281" s="1"/>
      <c r="C281" s="1"/>
      <c r="D281" s="1"/>
      <c r="E281" s="1"/>
      <c r="F281" s="2"/>
      <c r="G281" s="1"/>
    </row>
    <row r="282" ht="14.25" customHeight="1">
      <c r="A282" s="1"/>
      <c r="B282" s="1"/>
      <c r="C282" s="1"/>
      <c r="D282" s="1"/>
      <c r="E282" s="1"/>
      <c r="F282" s="2"/>
      <c r="G282" s="1"/>
    </row>
    <row r="283" ht="14.25" customHeight="1">
      <c r="A283" s="1"/>
      <c r="B283" s="1"/>
      <c r="C283" s="1"/>
      <c r="D283" s="1"/>
      <c r="E283" s="1"/>
      <c r="F283" s="2"/>
      <c r="G283" s="1"/>
    </row>
    <row r="284" ht="14.25" customHeight="1">
      <c r="A284" s="1"/>
      <c r="B284" s="1"/>
      <c r="C284" s="1"/>
      <c r="D284" s="1"/>
      <c r="E284" s="1"/>
      <c r="F284" s="2"/>
      <c r="G284" s="1"/>
    </row>
    <row r="285" ht="14.25" customHeight="1">
      <c r="A285" s="1"/>
      <c r="B285" s="1"/>
      <c r="C285" s="1"/>
      <c r="D285" s="1"/>
      <c r="E285" s="1"/>
      <c r="F285" s="2"/>
      <c r="G285" s="1"/>
    </row>
    <row r="286" ht="14.25" customHeight="1">
      <c r="A286" s="1"/>
      <c r="B286" s="1"/>
      <c r="C286" s="1"/>
      <c r="D286" s="1"/>
      <c r="E286" s="1"/>
      <c r="F286" s="2"/>
      <c r="G286" s="1"/>
    </row>
    <row r="287" ht="14.25" customHeight="1">
      <c r="A287" s="1"/>
      <c r="B287" s="1"/>
      <c r="C287" s="1"/>
      <c r="D287" s="1"/>
      <c r="E287" s="1"/>
      <c r="F287" s="2"/>
      <c r="G287" s="1"/>
    </row>
    <row r="288" ht="14.25" customHeight="1">
      <c r="A288" s="1"/>
      <c r="B288" s="1"/>
      <c r="C288" s="1"/>
      <c r="D288" s="1"/>
      <c r="E288" s="1"/>
      <c r="F288" s="2"/>
      <c r="G288" s="1"/>
    </row>
    <row r="289" ht="14.25" customHeight="1">
      <c r="A289" s="1"/>
      <c r="B289" s="1"/>
      <c r="C289" s="1"/>
      <c r="D289" s="1"/>
      <c r="E289" s="1"/>
      <c r="F289" s="2"/>
      <c r="G289" s="1"/>
    </row>
    <row r="290" ht="14.25" customHeight="1">
      <c r="A290" s="1"/>
      <c r="B290" s="1"/>
      <c r="C290" s="1"/>
      <c r="D290" s="1"/>
      <c r="E290" s="1"/>
      <c r="F290" s="2"/>
      <c r="G290" s="1"/>
    </row>
    <row r="291" ht="14.25" customHeight="1">
      <c r="A291" s="1"/>
      <c r="B291" s="1"/>
      <c r="C291" s="1"/>
      <c r="D291" s="1"/>
      <c r="E291" s="1"/>
      <c r="F291" s="2"/>
      <c r="G291" s="1"/>
    </row>
    <row r="292" ht="14.25" customHeight="1">
      <c r="A292" s="1"/>
      <c r="B292" s="1"/>
      <c r="C292" s="1"/>
      <c r="D292" s="1"/>
      <c r="E292" s="1"/>
      <c r="F292" s="2"/>
      <c r="G292" s="1"/>
    </row>
    <row r="293" ht="14.25" customHeight="1">
      <c r="A293" s="1"/>
      <c r="B293" s="1"/>
      <c r="C293" s="1"/>
      <c r="D293" s="1"/>
      <c r="E293" s="1"/>
      <c r="F293" s="2"/>
      <c r="G293" s="1"/>
    </row>
    <row r="294" ht="14.25" customHeight="1">
      <c r="A294" s="1"/>
      <c r="B294" s="1"/>
      <c r="C294" s="1"/>
      <c r="D294" s="1"/>
      <c r="E294" s="1"/>
      <c r="F294" s="2"/>
      <c r="G294" s="1"/>
    </row>
    <row r="295" ht="14.25" customHeight="1">
      <c r="A295" s="1"/>
      <c r="B295" s="1"/>
      <c r="C295" s="1"/>
      <c r="D295" s="1"/>
      <c r="E295" s="1"/>
      <c r="F295" s="2"/>
      <c r="G295" s="1"/>
    </row>
    <row r="296" ht="14.25" customHeight="1">
      <c r="A296" s="1"/>
      <c r="B296" s="1"/>
      <c r="C296" s="1"/>
      <c r="D296" s="1"/>
      <c r="E296" s="1"/>
      <c r="F296" s="2"/>
      <c r="G296" s="1"/>
    </row>
    <row r="297" ht="14.25" customHeight="1">
      <c r="A297" s="1"/>
      <c r="B297" s="1"/>
      <c r="C297" s="1"/>
      <c r="D297" s="1"/>
      <c r="E297" s="1"/>
      <c r="F297" s="2"/>
      <c r="G297" s="1"/>
    </row>
    <row r="298" ht="14.25" customHeight="1">
      <c r="A298" s="1"/>
      <c r="B298" s="1"/>
      <c r="C298" s="1"/>
      <c r="D298" s="1"/>
      <c r="E298" s="1"/>
      <c r="F298" s="2"/>
      <c r="G298" s="1"/>
    </row>
    <row r="299" ht="14.25" customHeight="1">
      <c r="A299" s="1"/>
      <c r="B299" s="1"/>
      <c r="C299" s="1"/>
      <c r="D299" s="1"/>
      <c r="E299" s="1"/>
      <c r="F299" s="2"/>
      <c r="G299" s="1"/>
    </row>
    <row r="300" ht="14.25" customHeight="1">
      <c r="A300" s="1"/>
      <c r="B300" s="1"/>
      <c r="C300" s="1"/>
      <c r="D300" s="1"/>
      <c r="E300" s="1"/>
      <c r="F300" s="2"/>
      <c r="G300" s="1"/>
    </row>
    <row r="301" ht="14.25" customHeight="1">
      <c r="A301" s="1"/>
      <c r="B301" s="1"/>
      <c r="C301" s="1"/>
      <c r="D301" s="1"/>
      <c r="E301" s="1"/>
      <c r="F301" s="2"/>
      <c r="G301" s="1"/>
    </row>
    <row r="302" ht="14.25" customHeight="1">
      <c r="A302" s="1"/>
      <c r="B302" s="1"/>
      <c r="C302" s="1"/>
      <c r="D302" s="1"/>
      <c r="E302" s="1"/>
      <c r="F302" s="2"/>
      <c r="G302" s="1"/>
    </row>
    <row r="303" ht="14.25" customHeight="1">
      <c r="A303" s="1"/>
      <c r="B303" s="1"/>
      <c r="C303" s="1"/>
      <c r="D303" s="1"/>
      <c r="E303" s="1"/>
      <c r="F303" s="2"/>
      <c r="G303" s="1"/>
    </row>
    <row r="304" ht="14.25" customHeight="1">
      <c r="A304" s="1"/>
      <c r="B304" s="1"/>
      <c r="C304" s="1"/>
      <c r="D304" s="1"/>
      <c r="E304" s="1"/>
      <c r="F304" s="2"/>
      <c r="G304" s="1"/>
    </row>
    <row r="305" ht="14.25" customHeight="1">
      <c r="A305" s="1"/>
      <c r="B305" s="1"/>
      <c r="C305" s="1"/>
      <c r="D305" s="1"/>
      <c r="E305" s="1"/>
      <c r="F305" s="2"/>
      <c r="G305" s="1"/>
    </row>
    <row r="306" ht="14.25" customHeight="1">
      <c r="A306" s="1"/>
      <c r="B306" s="1"/>
      <c r="C306" s="1"/>
      <c r="D306" s="1"/>
      <c r="E306" s="1"/>
      <c r="F306" s="2"/>
      <c r="G306" s="1"/>
    </row>
    <row r="307" ht="14.25" customHeight="1">
      <c r="A307" s="1"/>
      <c r="B307" s="1"/>
      <c r="C307" s="1"/>
      <c r="D307" s="1"/>
      <c r="E307" s="1"/>
      <c r="F307" s="2"/>
      <c r="G307" s="1"/>
    </row>
    <row r="308" ht="14.25" customHeight="1">
      <c r="A308" s="1"/>
      <c r="B308" s="1"/>
      <c r="C308" s="1"/>
      <c r="D308" s="1"/>
      <c r="E308" s="1"/>
      <c r="F308" s="2"/>
      <c r="G308" s="1"/>
    </row>
    <row r="309" ht="14.25" customHeight="1">
      <c r="A309" s="1"/>
      <c r="B309" s="1"/>
      <c r="C309" s="1"/>
      <c r="D309" s="1"/>
      <c r="E309" s="1"/>
      <c r="F309" s="2"/>
      <c r="G309" s="1"/>
    </row>
    <row r="310" ht="14.25" customHeight="1">
      <c r="A310" s="1"/>
      <c r="B310" s="1"/>
      <c r="C310" s="1"/>
      <c r="D310" s="1"/>
      <c r="E310" s="1"/>
      <c r="F310" s="2"/>
      <c r="G310" s="1"/>
    </row>
    <row r="311" ht="14.25" customHeight="1">
      <c r="A311" s="1"/>
      <c r="B311" s="1"/>
      <c r="C311" s="1"/>
      <c r="D311" s="1"/>
      <c r="E311" s="1"/>
      <c r="F311" s="2"/>
      <c r="G311" s="1"/>
    </row>
    <row r="312" ht="14.25" customHeight="1">
      <c r="A312" s="1"/>
      <c r="B312" s="1"/>
      <c r="C312" s="1"/>
      <c r="D312" s="1"/>
      <c r="E312" s="1"/>
      <c r="F312" s="2"/>
      <c r="G312" s="1"/>
    </row>
    <row r="313" ht="14.25" customHeight="1">
      <c r="A313" s="1"/>
      <c r="B313" s="1"/>
      <c r="C313" s="1"/>
      <c r="D313" s="1"/>
      <c r="E313" s="1"/>
      <c r="F313" s="2"/>
      <c r="G313" s="1"/>
    </row>
    <row r="314" ht="14.25" customHeight="1">
      <c r="A314" s="1"/>
      <c r="B314" s="1"/>
      <c r="C314" s="1"/>
      <c r="D314" s="1"/>
      <c r="E314" s="1"/>
      <c r="F314" s="2"/>
      <c r="G314" s="1"/>
    </row>
    <row r="315" ht="14.25" customHeight="1">
      <c r="A315" s="1"/>
      <c r="B315" s="1"/>
      <c r="C315" s="1"/>
      <c r="D315" s="1"/>
      <c r="E315" s="1"/>
      <c r="F315" s="2"/>
      <c r="G315" s="1"/>
    </row>
    <row r="316" ht="14.25" customHeight="1">
      <c r="A316" s="1"/>
      <c r="B316" s="1"/>
      <c r="C316" s="1"/>
      <c r="D316" s="1"/>
      <c r="E316" s="1"/>
      <c r="F316" s="2"/>
      <c r="G316" s="1"/>
    </row>
    <row r="317" ht="14.25" customHeight="1">
      <c r="A317" s="1"/>
      <c r="B317" s="1"/>
      <c r="C317" s="1"/>
      <c r="D317" s="1"/>
      <c r="E317" s="1"/>
      <c r="F317" s="2"/>
      <c r="G317" s="1"/>
    </row>
    <row r="318" ht="14.25" customHeight="1">
      <c r="A318" s="1"/>
      <c r="B318" s="1"/>
      <c r="C318" s="1"/>
      <c r="D318" s="1"/>
      <c r="E318" s="1"/>
      <c r="F318" s="2"/>
      <c r="G318" s="1"/>
    </row>
    <row r="319" ht="14.25" customHeight="1">
      <c r="A319" s="1"/>
      <c r="B319" s="1"/>
      <c r="C319" s="1"/>
      <c r="D319" s="1"/>
      <c r="E319" s="1"/>
      <c r="F319" s="2"/>
      <c r="G319" s="1"/>
    </row>
    <row r="320" ht="14.25" customHeight="1">
      <c r="A320" s="1"/>
      <c r="B320" s="1"/>
      <c r="C320" s="1"/>
      <c r="D320" s="1"/>
      <c r="E320" s="1"/>
      <c r="F320" s="2"/>
      <c r="G320" s="1"/>
    </row>
    <row r="321" ht="14.25" customHeight="1">
      <c r="A321" s="1"/>
      <c r="B321" s="1"/>
      <c r="C321" s="1"/>
      <c r="D321" s="1"/>
      <c r="E321" s="1"/>
      <c r="F321" s="2"/>
      <c r="G321" s="1"/>
    </row>
    <row r="322" ht="14.25" customHeight="1">
      <c r="A322" s="1"/>
      <c r="B322" s="1"/>
      <c r="C322" s="1"/>
      <c r="D322" s="1"/>
      <c r="E322" s="1"/>
      <c r="F322" s="2"/>
      <c r="G322" s="1"/>
    </row>
    <row r="323" ht="14.25" customHeight="1">
      <c r="A323" s="1"/>
      <c r="B323" s="1"/>
      <c r="C323" s="1"/>
      <c r="D323" s="1"/>
      <c r="E323" s="1"/>
      <c r="F323" s="2"/>
      <c r="G323" s="1"/>
    </row>
    <row r="324" ht="14.25" customHeight="1">
      <c r="A324" s="1"/>
      <c r="B324" s="1"/>
      <c r="C324" s="1"/>
      <c r="D324" s="1"/>
      <c r="E324" s="1"/>
      <c r="F324" s="2"/>
      <c r="G324" s="1"/>
    </row>
    <row r="325" ht="14.25" customHeight="1">
      <c r="A325" s="1"/>
      <c r="B325" s="1"/>
      <c r="C325" s="1"/>
      <c r="D325" s="1"/>
      <c r="E325" s="1"/>
      <c r="F325" s="2"/>
      <c r="G325" s="1"/>
    </row>
    <row r="326" ht="14.25" customHeight="1">
      <c r="A326" s="1"/>
      <c r="B326" s="1"/>
      <c r="C326" s="1"/>
      <c r="D326" s="1"/>
      <c r="E326" s="1"/>
      <c r="F326" s="2"/>
      <c r="G326" s="1"/>
    </row>
    <row r="327" ht="14.25" customHeight="1">
      <c r="A327" s="1"/>
      <c r="B327" s="1"/>
      <c r="C327" s="1"/>
      <c r="D327" s="1"/>
      <c r="E327" s="1"/>
      <c r="F327" s="2"/>
      <c r="G327" s="1"/>
    </row>
    <row r="328" ht="14.25" customHeight="1">
      <c r="A328" s="1"/>
      <c r="B328" s="1"/>
      <c r="C328" s="1"/>
      <c r="D328" s="1"/>
      <c r="E328" s="1"/>
      <c r="F328" s="2"/>
      <c r="G328" s="1"/>
    </row>
    <row r="329" ht="14.25" customHeight="1">
      <c r="A329" s="1"/>
      <c r="B329" s="1"/>
      <c r="C329" s="1"/>
      <c r="D329" s="1"/>
      <c r="E329" s="1"/>
      <c r="F329" s="2"/>
      <c r="G329" s="1"/>
    </row>
    <row r="330" ht="14.25" customHeight="1">
      <c r="A330" s="1"/>
      <c r="B330" s="1"/>
      <c r="C330" s="1"/>
      <c r="D330" s="1"/>
      <c r="E330" s="1"/>
      <c r="F330" s="2"/>
      <c r="G330" s="1"/>
    </row>
    <row r="331" ht="14.25" customHeight="1">
      <c r="A331" s="1"/>
      <c r="B331" s="1"/>
      <c r="C331" s="1"/>
      <c r="D331" s="1"/>
      <c r="E331" s="1"/>
      <c r="F331" s="2"/>
      <c r="G331" s="1"/>
    </row>
    <row r="332" ht="14.25" customHeight="1">
      <c r="A332" s="1"/>
      <c r="B332" s="1"/>
      <c r="C332" s="1"/>
      <c r="D332" s="1"/>
      <c r="E332" s="1"/>
      <c r="F332" s="2"/>
      <c r="G332" s="1"/>
    </row>
    <row r="333" ht="14.25" customHeight="1">
      <c r="A333" s="1"/>
      <c r="B333" s="1"/>
      <c r="C333" s="1"/>
      <c r="D333" s="1"/>
      <c r="E333" s="1"/>
      <c r="F333" s="2"/>
      <c r="G333" s="1"/>
    </row>
    <row r="334" ht="14.25" customHeight="1">
      <c r="A334" s="1"/>
      <c r="B334" s="1"/>
      <c r="C334" s="1"/>
      <c r="D334" s="1"/>
      <c r="E334" s="1"/>
      <c r="F334" s="2"/>
      <c r="G334" s="1"/>
    </row>
    <row r="335" ht="14.25" customHeight="1">
      <c r="A335" s="1"/>
      <c r="B335" s="1"/>
      <c r="C335" s="1"/>
      <c r="D335" s="1"/>
      <c r="E335" s="1"/>
      <c r="F335" s="2"/>
      <c r="G335" s="1"/>
    </row>
    <row r="336" ht="14.25" customHeight="1">
      <c r="A336" s="1"/>
      <c r="B336" s="1"/>
      <c r="C336" s="1"/>
      <c r="D336" s="1"/>
      <c r="E336" s="1"/>
      <c r="F336" s="2"/>
      <c r="G336" s="1"/>
    </row>
    <row r="337" ht="14.25" customHeight="1">
      <c r="A337" s="1"/>
      <c r="B337" s="1"/>
      <c r="C337" s="1"/>
      <c r="D337" s="1"/>
      <c r="E337" s="1"/>
      <c r="F337" s="2"/>
      <c r="G337" s="1"/>
    </row>
    <row r="338" ht="14.25" customHeight="1">
      <c r="A338" s="1"/>
      <c r="B338" s="1"/>
      <c r="C338" s="1"/>
      <c r="D338" s="1"/>
      <c r="E338" s="1"/>
      <c r="F338" s="2"/>
      <c r="G338" s="1"/>
    </row>
    <row r="339" ht="14.25" customHeight="1">
      <c r="A339" s="1"/>
      <c r="B339" s="1"/>
      <c r="C339" s="1"/>
      <c r="D339" s="1"/>
      <c r="E339" s="1"/>
      <c r="F339" s="2"/>
      <c r="G339" s="1"/>
    </row>
    <row r="340" ht="14.25" customHeight="1">
      <c r="A340" s="1"/>
      <c r="B340" s="1"/>
      <c r="C340" s="1"/>
      <c r="D340" s="1"/>
      <c r="E340" s="1"/>
      <c r="F340" s="2"/>
      <c r="G340" s="1"/>
    </row>
    <row r="341" ht="14.25" customHeight="1">
      <c r="A341" s="1"/>
      <c r="B341" s="1"/>
      <c r="C341" s="1"/>
      <c r="D341" s="1"/>
      <c r="E341" s="1"/>
      <c r="F341" s="2"/>
      <c r="G341" s="1"/>
    </row>
    <row r="342" ht="14.25" customHeight="1">
      <c r="A342" s="1"/>
      <c r="B342" s="1"/>
      <c r="C342" s="1"/>
      <c r="D342" s="1"/>
      <c r="E342" s="1"/>
      <c r="F342" s="2"/>
      <c r="G342" s="1"/>
    </row>
    <row r="343" ht="14.25" customHeight="1">
      <c r="A343" s="1"/>
      <c r="B343" s="1"/>
      <c r="C343" s="1"/>
      <c r="D343" s="1"/>
      <c r="E343" s="1"/>
      <c r="F343" s="2"/>
      <c r="G343" s="1"/>
    </row>
    <row r="344" ht="14.25" customHeight="1">
      <c r="A344" s="1"/>
      <c r="B344" s="1"/>
      <c r="C344" s="1"/>
      <c r="D344" s="1"/>
      <c r="E344" s="1"/>
      <c r="F344" s="2"/>
      <c r="G344" s="1"/>
    </row>
    <row r="345" ht="14.25" customHeight="1">
      <c r="A345" s="1"/>
      <c r="B345" s="1"/>
      <c r="C345" s="1"/>
      <c r="D345" s="1"/>
      <c r="E345" s="1"/>
      <c r="F345" s="2"/>
      <c r="G345" s="1"/>
    </row>
    <row r="346" ht="14.25" customHeight="1">
      <c r="A346" s="1"/>
      <c r="B346" s="1"/>
      <c r="C346" s="1"/>
      <c r="D346" s="1"/>
      <c r="E346" s="1"/>
      <c r="F346" s="2"/>
      <c r="G346" s="1"/>
    </row>
    <row r="347" ht="14.25" customHeight="1">
      <c r="A347" s="1"/>
      <c r="B347" s="1"/>
      <c r="C347" s="1"/>
      <c r="D347" s="1"/>
      <c r="E347" s="1"/>
      <c r="F347" s="2"/>
      <c r="G347" s="1"/>
    </row>
    <row r="348" ht="14.25" customHeight="1">
      <c r="A348" s="1"/>
      <c r="B348" s="1"/>
      <c r="C348" s="1"/>
      <c r="D348" s="1"/>
      <c r="E348" s="1"/>
      <c r="F348" s="2"/>
      <c r="G348" s="1"/>
    </row>
    <row r="349" ht="14.25" customHeight="1">
      <c r="A349" s="1"/>
      <c r="B349" s="1"/>
      <c r="C349" s="1"/>
      <c r="D349" s="1"/>
      <c r="E349" s="1"/>
      <c r="F349" s="2"/>
      <c r="G349" s="1"/>
    </row>
    <row r="350" ht="14.25" customHeight="1">
      <c r="A350" s="1"/>
      <c r="B350" s="1"/>
      <c r="C350" s="1"/>
      <c r="D350" s="1"/>
      <c r="E350" s="1"/>
      <c r="F350" s="2"/>
      <c r="G350" s="1"/>
    </row>
    <row r="351" ht="14.25" customHeight="1">
      <c r="A351" s="1"/>
      <c r="B351" s="1"/>
      <c r="C351" s="1"/>
      <c r="D351" s="1"/>
      <c r="E351" s="1"/>
      <c r="F351" s="2"/>
      <c r="G351" s="1"/>
    </row>
    <row r="352" ht="14.25" customHeight="1">
      <c r="A352" s="1"/>
      <c r="B352" s="1"/>
      <c r="C352" s="1"/>
      <c r="D352" s="1"/>
      <c r="E352" s="1"/>
      <c r="F352" s="2"/>
      <c r="G352" s="1"/>
    </row>
    <row r="353" ht="14.25" customHeight="1">
      <c r="A353" s="1"/>
      <c r="B353" s="1"/>
      <c r="C353" s="1"/>
      <c r="D353" s="1"/>
      <c r="E353" s="1"/>
      <c r="F353" s="2"/>
      <c r="G353" s="1"/>
    </row>
    <row r="354" ht="14.25" customHeight="1">
      <c r="A354" s="1"/>
      <c r="B354" s="1"/>
      <c r="C354" s="1"/>
      <c r="D354" s="1"/>
      <c r="E354" s="1"/>
      <c r="F354" s="2"/>
      <c r="G354" s="1"/>
    </row>
    <row r="355" ht="14.25" customHeight="1">
      <c r="A355" s="1"/>
      <c r="B355" s="1"/>
      <c r="C355" s="1"/>
      <c r="D355" s="1"/>
      <c r="E355" s="1"/>
      <c r="F355" s="2"/>
      <c r="G355" s="1"/>
    </row>
    <row r="356" ht="14.25" customHeight="1">
      <c r="A356" s="1"/>
      <c r="B356" s="1"/>
      <c r="C356" s="1"/>
      <c r="D356" s="1"/>
      <c r="E356" s="1"/>
      <c r="F356" s="2"/>
      <c r="G356" s="1"/>
    </row>
    <row r="357" ht="14.25" customHeight="1">
      <c r="A357" s="1"/>
      <c r="B357" s="1"/>
      <c r="C357" s="1"/>
      <c r="D357" s="1"/>
      <c r="E357" s="1"/>
      <c r="F357" s="2"/>
      <c r="G357" s="1"/>
    </row>
    <row r="358" ht="14.25" customHeight="1">
      <c r="A358" s="1"/>
      <c r="B358" s="1"/>
      <c r="C358" s="1"/>
      <c r="D358" s="1"/>
      <c r="E358" s="1"/>
      <c r="F358" s="2"/>
      <c r="G358" s="1"/>
    </row>
    <row r="359" ht="14.25" customHeight="1">
      <c r="A359" s="1"/>
      <c r="B359" s="1"/>
      <c r="C359" s="1"/>
      <c r="D359" s="1"/>
      <c r="E359" s="1"/>
      <c r="F359" s="2"/>
      <c r="G359" s="1"/>
    </row>
    <row r="360" ht="14.25" customHeight="1">
      <c r="A360" s="1"/>
      <c r="B360" s="1"/>
      <c r="C360" s="1"/>
      <c r="D360" s="1"/>
      <c r="E360" s="1"/>
      <c r="F360" s="2"/>
      <c r="G360" s="1"/>
    </row>
    <row r="361" ht="14.25" customHeight="1">
      <c r="A361" s="1"/>
      <c r="B361" s="1"/>
      <c r="C361" s="1"/>
      <c r="D361" s="1"/>
      <c r="E361" s="1"/>
      <c r="F361" s="2"/>
      <c r="G361" s="1"/>
    </row>
    <row r="362" ht="14.25" customHeight="1">
      <c r="A362" s="1"/>
      <c r="B362" s="1"/>
      <c r="C362" s="1"/>
      <c r="D362" s="1"/>
      <c r="E362" s="1"/>
      <c r="F362" s="2"/>
      <c r="G362" s="1"/>
    </row>
    <row r="363" ht="14.25" customHeight="1">
      <c r="A363" s="1"/>
      <c r="B363" s="1"/>
      <c r="C363" s="1"/>
      <c r="D363" s="1"/>
      <c r="E363" s="1"/>
      <c r="F363" s="2"/>
      <c r="G363" s="1"/>
    </row>
    <row r="364" ht="14.25" customHeight="1">
      <c r="A364" s="1"/>
      <c r="B364" s="1"/>
      <c r="C364" s="1"/>
      <c r="D364" s="1"/>
      <c r="E364" s="1"/>
      <c r="F364" s="2"/>
      <c r="G364" s="1"/>
    </row>
    <row r="365" ht="14.25" customHeight="1">
      <c r="A365" s="1"/>
      <c r="B365" s="1"/>
      <c r="C365" s="1"/>
      <c r="D365" s="1"/>
      <c r="E365" s="1"/>
      <c r="F365" s="2"/>
      <c r="G365" s="1"/>
    </row>
    <row r="366" ht="14.25" customHeight="1">
      <c r="A366" s="1"/>
      <c r="B366" s="1"/>
      <c r="C366" s="1"/>
      <c r="D366" s="1"/>
      <c r="E366" s="1"/>
      <c r="F366" s="2"/>
      <c r="G366" s="1"/>
    </row>
    <row r="367" ht="14.25" customHeight="1">
      <c r="A367" s="1"/>
      <c r="B367" s="1"/>
      <c r="C367" s="1"/>
      <c r="D367" s="1"/>
      <c r="E367" s="1"/>
      <c r="F367" s="2"/>
      <c r="G367" s="1"/>
    </row>
    <row r="368" ht="14.25" customHeight="1">
      <c r="A368" s="1"/>
      <c r="B368" s="1"/>
      <c r="C368" s="1"/>
      <c r="D368" s="1"/>
      <c r="E368" s="1"/>
      <c r="F368" s="2"/>
      <c r="G368" s="1"/>
    </row>
    <row r="369" ht="14.25" customHeight="1">
      <c r="A369" s="1"/>
      <c r="B369" s="1"/>
      <c r="C369" s="1"/>
      <c r="D369" s="1"/>
      <c r="E369" s="1"/>
      <c r="F369" s="2"/>
      <c r="G369" s="1"/>
    </row>
    <row r="370" ht="14.25" customHeight="1">
      <c r="A370" s="1"/>
      <c r="B370" s="1"/>
      <c r="C370" s="1"/>
      <c r="D370" s="1"/>
      <c r="E370" s="1"/>
      <c r="F370" s="2"/>
      <c r="G370" s="1"/>
    </row>
    <row r="371" ht="14.25" customHeight="1">
      <c r="A371" s="1"/>
      <c r="B371" s="1"/>
      <c r="C371" s="1"/>
      <c r="D371" s="1"/>
      <c r="E371" s="1"/>
      <c r="F371" s="2"/>
      <c r="G371" s="1"/>
    </row>
    <row r="372" ht="14.25" customHeight="1">
      <c r="A372" s="1"/>
      <c r="B372" s="1"/>
      <c r="C372" s="1"/>
      <c r="D372" s="1"/>
      <c r="E372" s="1"/>
      <c r="F372" s="2"/>
      <c r="G372" s="1"/>
    </row>
    <row r="373" ht="14.25" customHeight="1">
      <c r="A373" s="1"/>
      <c r="B373" s="1"/>
      <c r="C373" s="1"/>
      <c r="D373" s="1"/>
      <c r="E373" s="1"/>
      <c r="F373" s="2"/>
      <c r="G373" s="1"/>
    </row>
    <row r="374" ht="14.25" customHeight="1">
      <c r="A374" s="1"/>
      <c r="B374" s="1"/>
      <c r="C374" s="1"/>
      <c r="D374" s="1"/>
      <c r="E374" s="1"/>
      <c r="F374" s="2"/>
      <c r="G374" s="1"/>
    </row>
    <row r="375" ht="14.25" customHeight="1">
      <c r="A375" s="1"/>
      <c r="B375" s="1"/>
      <c r="C375" s="1"/>
      <c r="D375" s="1"/>
      <c r="E375" s="1"/>
      <c r="F375" s="2"/>
      <c r="G375" s="1"/>
    </row>
    <row r="376" ht="14.25" customHeight="1">
      <c r="A376" s="1"/>
      <c r="B376" s="1"/>
      <c r="C376" s="1"/>
      <c r="D376" s="1"/>
      <c r="E376" s="1"/>
      <c r="F376" s="2"/>
      <c r="G376" s="1"/>
    </row>
    <row r="377" ht="14.25" customHeight="1">
      <c r="A377" s="1"/>
      <c r="B377" s="1"/>
      <c r="C377" s="1"/>
      <c r="D377" s="1"/>
      <c r="E377" s="1"/>
      <c r="F377" s="2"/>
      <c r="G377" s="1"/>
    </row>
    <row r="378" ht="14.25" customHeight="1">
      <c r="A378" s="1"/>
      <c r="B378" s="1"/>
      <c r="C378" s="1"/>
      <c r="D378" s="1"/>
      <c r="E378" s="1"/>
      <c r="F378" s="2"/>
      <c r="G378" s="1"/>
    </row>
    <row r="379" ht="14.25" customHeight="1">
      <c r="A379" s="1"/>
      <c r="B379" s="1"/>
      <c r="C379" s="1"/>
      <c r="D379" s="1"/>
      <c r="E379" s="1"/>
      <c r="F379" s="2"/>
      <c r="G379" s="1"/>
    </row>
    <row r="380" ht="14.25" customHeight="1">
      <c r="A380" s="1"/>
      <c r="B380" s="1"/>
      <c r="C380" s="1"/>
      <c r="D380" s="1"/>
      <c r="E380" s="1"/>
      <c r="F380" s="2"/>
      <c r="G380" s="1"/>
    </row>
    <row r="381" ht="14.25" customHeight="1">
      <c r="A381" s="1"/>
      <c r="B381" s="1"/>
      <c r="C381" s="1"/>
      <c r="D381" s="1"/>
      <c r="E381" s="1"/>
      <c r="F381" s="2"/>
      <c r="G381" s="1"/>
    </row>
    <row r="382" ht="14.25" customHeight="1">
      <c r="A382" s="1"/>
      <c r="B382" s="1"/>
      <c r="C382" s="1"/>
      <c r="D382" s="1"/>
      <c r="E382" s="1"/>
      <c r="F382" s="2"/>
      <c r="G382" s="1"/>
    </row>
    <row r="383" ht="14.25" customHeight="1">
      <c r="A383" s="1"/>
      <c r="B383" s="1"/>
      <c r="C383" s="1"/>
      <c r="D383" s="1"/>
      <c r="E383" s="1"/>
      <c r="F383" s="2"/>
      <c r="G383" s="1"/>
    </row>
    <row r="384" ht="14.25" customHeight="1">
      <c r="A384" s="1"/>
      <c r="B384" s="1"/>
      <c r="C384" s="1"/>
      <c r="D384" s="1"/>
      <c r="E384" s="1"/>
      <c r="F384" s="2"/>
      <c r="G384" s="1"/>
    </row>
    <row r="385" ht="14.25" customHeight="1">
      <c r="A385" s="1"/>
      <c r="B385" s="1"/>
      <c r="C385" s="1"/>
      <c r="D385" s="1"/>
      <c r="E385" s="1"/>
      <c r="F385" s="2"/>
      <c r="G385" s="1"/>
    </row>
    <row r="386" ht="14.25" customHeight="1">
      <c r="A386" s="1"/>
      <c r="B386" s="1"/>
      <c r="C386" s="1"/>
      <c r="D386" s="1"/>
      <c r="E386" s="1"/>
      <c r="F386" s="2"/>
      <c r="G386" s="1"/>
    </row>
    <row r="387" ht="14.25" customHeight="1">
      <c r="A387" s="1"/>
      <c r="B387" s="1"/>
      <c r="C387" s="1"/>
      <c r="D387" s="1"/>
      <c r="E387" s="1"/>
      <c r="F387" s="2"/>
      <c r="G387" s="1"/>
    </row>
    <row r="388" ht="14.25" customHeight="1">
      <c r="A388" s="1"/>
      <c r="B388" s="1"/>
      <c r="C388" s="1"/>
      <c r="D388" s="1"/>
      <c r="E388" s="1"/>
      <c r="F388" s="2"/>
      <c r="G388" s="1"/>
    </row>
    <row r="389" ht="14.25" customHeight="1">
      <c r="A389" s="1"/>
      <c r="B389" s="1"/>
      <c r="C389" s="1"/>
      <c r="D389" s="1"/>
      <c r="E389" s="1"/>
      <c r="F389" s="2"/>
      <c r="G389" s="1"/>
    </row>
    <row r="390" ht="14.25" customHeight="1">
      <c r="A390" s="1"/>
      <c r="B390" s="1"/>
      <c r="C390" s="1"/>
      <c r="D390" s="1"/>
      <c r="E390" s="1"/>
      <c r="F390" s="2"/>
      <c r="G390" s="1"/>
    </row>
    <row r="391" ht="14.25" customHeight="1">
      <c r="A391" s="1"/>
      <c r="B391" s="1"/>
      <c r="C391" s="1"/>
      <c r="D391" s="1"/>
      <c r="E391" s="1"/>
      <c r="F391" s="2"/>
      <c r="G391" s="1"/>
    </row>
    <row r="392" ht="14.25" customHeight="1">
      <c r="A392" s="1"/>
      <c r="B392" s="1"/>
      <c r="C392" s="1"/>
      <c r="D392" s="1"/>
      <c r="E392" s="1"/>
      <c r="F392" s="2"/>
      <c r="G392" s="1"/>
    </row>
    <row r="393" ht="14.25" customHeight="1">
      <c r="A393" s="1"/>
      <c r="B393" s="1"/>
      <c r="C393" s="1"/>
      <c r="D393" s="1"/>
      <c r="E393" s="1"/>
      <c r="F393" s="2"/>
      <c r="G393" s="1"/>
    </row>
    <row r="394" ht="14.25" customHeight="1">
      <c r="A394" s="1"/>
      <c r="B394" s="1"/>
      <c r="C394" s="1"/>
      <c r="D394" s="1"/>
      <c r="E394" s="1"/>
      <c r="F394" s="2"/>
      <c r="G394" s="1"/>
    </row>
    <row r="395" ht="14.25" customHeight="1">
      <c r="A395" s="1"/>
      <c r="B395" s="1"/>
      <c r="C395" s="1"/>
      <c r="D395" s="1"/>
      <c r="E395" s="1"/>
      <c r="F395" s="2"/>
      <c r="G395" s="1"/>
    </row>
    <row r="396" ht="14.25" customHeight="1">
      <c r="A396" s="1"/>
      <c r="B396" s="1"/>
      <c r="C396" s="1"/>
      <c r="D396" s="1"/>
      <c r="E396" s="1"/>
      <c r="F396" s="2"/>
      <c r="G396" s="1"/>
    </row>
    <row r="397" ht="14.25" customHeight="1">
      <c r="A397" s="1"/>
      <c r="B397" s="1"/>
      <c r="C397" s="1"/>
      <c r="D397" s="1"/>
      <c r="E397" s="1"/>
      <c r="F397" s="2"/>
      <c r="G397" s="1"/>
    </row>
    <row r="398" ht="14.25" customHeight="1">
      <c r="A398" s="1"/>
      <c r="B398" s="1"/>
      <c r="C398" s="1"/>
      <c r="D398" s="1"/>
      <c r="E398" s="1"/>
      <c r="F398" s="2"/>
      <c r="G398" s="1"/>
    </row>
    <row r="399" ht="14.25" customHeight="1">
      <c r="A399" s="1"/>
      <c r="B399" s="1"/>
      <c r="C399" s="1"/>
      <c r="D399" s="1"/>
      <c r="E399" s="1"/>
      <c r="F399" s="2"/>
      <c r="G399" s="1"/>
    </row>
    <row r="400" ht="14.25" customHeight="1">
      <c r="A400" s="1"/>
      <c r="B400" s="1"/>
      <c r="C400" s="1"/>
      <c r="D400" s="1"/>
      <c r="E400" s="1"/>
      <c r="F400" s="2"/>
      <c r="G400" s="1"/>
    </row>
    <row r="401" ht="14.25" customHeight="1">
      <c r="A401" s="1"/>
      <c r="B401" s="1"/>
      <c r="C401" s="1"/>
      <c r="D401" s="1"/>
      <c r="E401" s="1"/>
      <c r="F401" s="2"/>
      <c r="G401" s="1"/>
    </row>
    <row r="402" ht="14.25" customHeight="1">
      <c r="A402" s="1"/>
      <c r="B402" s="1"/>
      <c r="C402" s="1"/>
      <c r="D402" s="1"/>
      <c r="E402" s="1"/>
      <c r="F402" s="2"/>
      <c r="G402" s="1"/>
    </row>
    <row r="403" ht="14.25" customHeight="1">
      <c r="A403" s="1"/>
      <c r="B403" s="1"/>
      <c r="C403" s="1"/>
      <c r="D403" s="1"/>
      <c r="E403" s="1"/>
      <c r="F403" s="2"/>
      <c r="G403" s="1"/>
    </row>
    <row r="404" ht="14.25" customHeight="1">
      <c r="A404" s="1"/>
      <c r="B404" s="1"/>
      <c r="C404" s="1"/>
      <c r="D404" s="1"/>
      <c r="E404" s="1"/>
      <c r="F404" s="2"/>
      <c r="G404" s="1"/>
    </row>
    <row r="405" ht="14.25" customHeight="1">
      <c r="A405" s="1"/>
      <c r="B405" s="1"/>
      <c r="C405" s="1"/>
      <c r="D405" s="1"/>
      <c r="E405" s="1"/>
      <c r="F405" s="2"/>
      <c r="G405" s="1"/>
    </row>
    <row r="406" ht="14.25" customHeight="1">
      <c r="A406" s="1"/>
      <c r="B406" s="1"/>
      <c r="C406" s="1"/>
      <c r="D406" s="1"/>
      <c r="E406" s="1"/>
      <c r="F406" s="2"/>
      <c r="G406" s="1"/>
    </row>
    <row r="407" ht="14.25" customHeight="1">
      <c r="A407" s="1"/>
      <c r="B407" s="1"/>
      <c r="C407" s="1"/>
      <c r="D407" s="1"/>
      <c r="E407" s="1"/>
      <c r="F407" s="2"/>
      <c r="G407" s="1"/>
    </row>
    <row r="408" ht="14.25" customHeight="1">
      <c r="A408" s="1"/>
      <c r="B408" s="1"/>
      <c r="C408" s="1"/>
      <c r="D408" s="1"/>
      <c r="E408" s="1"/>
      <c r="F408" s="2"/>
      <c r="G408" s="1"/>
    </row>
    <row r="409" ht="14.25" customHeight="1">
      <c r="A409" s="1"/>
      <c r="B409" s="1"/>
      <c r="C409" s="1"/>
      <c r="D409" s="1"/>
      <c r="E409" s="1"/>
      <c r="F409" s="2"/>
      <c r="G409" s="1"/>
    </row>
    <row r="410" ht="14.25" customHeight="1">
      <c r="A410" s="1"/>
      <c r="B410" s="1"/>
      <c r="C410" s="1"/>
      <c r="D410" s="1"/>
      <c r="E410" s="1"/>
      <c r="F410" s="2"/>
      <c r="G410" s="1"/>
    </row>
    <row r="411" ht="14.25" customHeight="1">
      <c r="A411" s="1"/>
      <c r="B411" s="1"/>
      <c r="C411" s="1"/>
      <c r="D411" s="1"/>
      <c r="E411" s="1"/>
      <c r="F411" s="2"/>
      <c r="G411" s="1"/>
    </row>
    <row r="412" ht="14.25" customHeight="1">
      <c r="A412" s="1"/>
      <c r="B412" s="1"/>
      <c r="C412" s="1"/>
      <c r="D412" s="1"/>
      <c r="E412" s="1"/>
      <c r="F412" s="2"/>
      <c r="G412" s="1"/>
    </row>
    <row r="413" ht="14.25" customHeight="1">
      <c r="A413" s="1"/>
      <c r="B413" s="1"/>
      <c r="C413" s="1"/>
      <c r="D413" s="1"/>
      <c r="E413" s="1"/>
      <c r="F413" s="2"/>
      <c r="G413" s="1"/>
    </row>
    <row r="414" ht="14.25" customHeight="1">
      <c r="A414" s="1"/>
      <c r="B414" s="1"/>
      <c r="C414" s="1"/>
      <c r="D414" s="1"/>
      <c r="E414" s="1"/>
      <c r="F414" s="2"/>
      <c r="G414" s="1"/>
    </row>
    <row r="415" ht="14.25" customHeight="1">
      <c r="A415" s="1"/>
      <c r="B415" s="1"/>
      <c r="C415" s="1"/>
      <c r="D415" s="1"/>
      <c r="E415" s="1"/>
      <c r="F415" s="2"/>
      <c r="G415" s="1"/>
    </row>
    <row r="416" ht="14.25" customHeight="1">
      <c r="A416" s="1"/>
      <c r="B416" s="1"/>
      <c r="C416" s="1"/>
      <c r="D416" s="1"/>
      <c r="E416" s="1"/>
      <c r="F416" s="2"/>
      <c r="G416" s="1"/>
    </row>
    <row r="417" ht="14.25" customHeight="1">
      <c r="A417" s="1"/>
      <c r="B417" s="1"/>
      <c r="C417" s="1"/>
      <c r="D417" s="1"/>
      <c r="E417" s="1"/>
      <c r="F417" s="2"/>
      <c r="G417" s="1"/>
    </row>
    <row r="418" ht="14.25" customHeight="1">
      <c r="A418" s="1"/>
      <c r="B418" s="1"/>
      <c r="C418" s="1"/>
      <c r="D418" s="1"/>
      <c r="E418" s="1"/>
      <c r="F418" s="2"/>
      <c r="G418" s="1"/>
    </row>
    <row r="419" ht="14.25" customHeight="1">
      <c r="A419" s="1"/>
      <c r="B419" s="1"/>
      <c r="C419" s="1"/>
      <c r="D419" s="1"/>
      <c r="E419" s="1"/>
      <c r="F419" s="2"/>
      <c r="G419" s="1"/>
    </row>
    <row r="420" ht="14.25" customHeight="1">
      <c r="A420" s="1"/>
      <c r="B420" s="1"/>
      <c r="C420" s="1"/>
      <c r="D420" s="1"/>
      <c r="E420" s="1"/>
      <c r="F420" s="2"/>
      <c r="G420" s="1"/>
    </row>
    <row r="421" ht="14.25" customHeight="1">
      <c r="A421" s="1"/>
      <c r="B421" s="1"/>
      <c r="C421" s="1"/>
      <c r="D421" s="1"/>
      <c r="E421" s="1"/>
      <c r="F421" s="2"/>
      <c r="G421" s="1"/>
    </row>
    <row r="422" ht="14.25" customHeight="1">
      <c r="A422" s="1"/>
      <c r="B422" s="1"/>
      <c r="C422" s="1"/>
      <c r="D422" s="1"/>
      <c r="E422" s="1"/>
      <c r="F422" s="2"/>
      <c r="G422" s="1"/>
    </row>
    <row r="423" ht="14.25" customHeight="1">
      <c r="A423" s="1"/>
      <c r="B423" s="1"/>
      <c r="C423" s="1"/>
      <c r="D423" s="1"/>
      <c r="E423" s="1"/>
      <c r="F423" s="2"/>
      <c r="G423" s="1"/>
    </row>
    <row r="424" ht="14.25" customHeight="1">
      <c r="A424" s="1"/>
      <c r="B424" s="1"/>
      <c r="C424" s="1"/>
      <c r="D424" s="1"/>
      <c r="E424" s="1"/>
      <c r="F424" s="2"/>
      <c r="G424" s="1"/>
    </row>
    <row r="425" ht="14.25" customHeight="1">
      <c r="A425" s="1"/>
      <c r="B425" s="1"/>
      <c r="C425" s="1"/>
      <c r="D425" s="1"/>
      <c r="E425" s="1"/>
      <c r="F425" s="2"/>
      <c r="G425" s="1"/>
    </row>
    <row r="426" ht="14.25" customHeight="1">
      <c r="A426" s="1"/>
      <c r="B426" s="1"/>
      <c r="C426" s="1"/>
      <c r="D426" s="1"/>
      <c r="E426" s="1"/>
      <c r="F426" s="2"/>
      <c r="G426" s="1"/>
    </row>
    <row r="427" ht="14.25" customHeight="1">
      <c r="A427" s="1"/>
      <c r="B427" s="1"/>
      <c r="C427" s="1"/>
      <c r="D427" s="1"/>
      <c r="E427" s="1"/>
      <c r="F427" s="2"/>
      <c r="G427" s="1"/>
    </row>
    <row r="428" ht="14.25" customHeight="1">
      <c r="A428" s="1"/>
      <c r="B428" s="1"/>
      <c r="C428" s="1"/>
      <c r="D428" s="1"/>
      <c r="E428" s="1"/>
      <c r="F428" s="2"/>
      <c r="G428" s="1"/>
    </row>
    <row r="429" ht="14.25" customHeight="1">
      <c r="A429" s="1"/>
      <c r="B429" s="1"/>
      <c r="C429" s="1"/>
      <c r="D429" s="1"/>
      <c r="E429" s="1"/>
      <c r="F429" s="2"/>
      <c r="G429" s="1"/>
    </row>
    <row r="430" ht="14.25" customHeight="1">
      <c r="A430" s="1"/>
      <c r="B430" s="1"/>
      <c r="C430" s="1"/>
      <c r="D430" s="1"/>
      <c r="E430" s="1"/>
      <c r="F430" s="2"/>
      <c r="G430" s="1"/>
    </row>
    <row r="431" ht="14.25" customHeight="1">
      <c r="A431" s="1"/>
      <c r="B431" s="1"/>
      <c r="C431" s="1"/>
      <c r="D431" s="1"/>
      <c r="E431" s="1"/>
      <c r="F431" s="2"/>
      <c r="G431" s="1"/>
    </row>
    <row r="432" ht="14.25" customHeight="1">
      <c r="A432" s="1"/>
      <c r="B432" s="1"/>
      <c r="C432" s="1"/>
      <c r="D432" s="1"/>
      <c r="E432" s="1"/>
      <c r="F432" s="2"/>
      <c r="G432" s="1"/>
    </row>
    <row r="433" ht="14.25" customHeight="1">
      <c r="A433" s="1"/>
      <c r="B433" s="1"/>
      <c r="C433" s="1"/>
      <c r="D433" s="1"/>
      <c r="E433" s="1"/>
      <c r="F433" s="2"/>
      <c r="G433" s="1"/>
    </row>
    <row r="434" ht="14.25" customHeight="1">
      <c r="A434" s="1"/>
      <c r="B434" s="1"/>
      <c r="C434" s="1"/>
      <c r="D434" s="1"/>
      <c r="E434" s="1"/>
      <c r="F434" s="2"/>
      <c r="G434" s="1"/>
    </row>
    <row r="435" ht="14.25" customHeight="1">
      <c r="A435" s="1"/>
      <c r="B435" s="1"/>
      <c r="C435" s="1"/>
      <c r="D435" s="1"/>
      <c r="E435" s="1"/>
      <c r="F435" s="2"/>
      <c r="G435" s="1"/>
    </row>
    <row r="436" ht="14.25" customHeight="1">
      <c r="A436" s="1"/>
      <c r="B436" s="1"/>
      <c r="C436" s="1"/>
      <c r="D436" s="1"/>
      <c r="E436" s="1"/>
      <c r="F436" s="2"/>
      <c r="G436" s="1"/>
    </row>
    <row r="437" ht="14.25" customHeight="1">
      <c r="A437" s="1"/>
      <c r="B437" s="1"/>
      <c r="C437" s="1"/>
      <c r="D437" s="1"/>
      <c r="E437" s="1"/>
      <c r="F437" s="2"/>
      <c r="G437" s="1"/>
    </row>
    <row r="438" ht="14.25" customHeight="1">
      <c r="A438" s="1"/>
      <c r="B438" s="1"/>
      <c r="C438" s="1"/>
      <c r="D438" s="1"/>
      <c r="E438" s="1"/>
      <c r="F438" s="2"/>
      <c r="G438" s="1"/>
    </row>
    <row r="439" ht="14.25" customHeight="1">
      <c r="A439" s="1"/>
      <c r="B439" s="1"/>
      <c r="C439" s="1"/>
      <c r="D439" s="1"/>
      <c r="E439" s="1"/>
      <c r="F439" s="2"/>
      <c r="G439" s="1"/>
    </row>
    <row r="440" ht="14.25" customHeight="1">
      <c r="A440" s="1"/>
      <c r="B440" s="1"/>
      <c r="C440" s="1"/>
      <c r="D440" s="1"/>
      <c r="E440" s="1"/>
      <c r="F440" s="2"/>
      <c r="G440" s="1"/>
    </row>
    <row r="441" ht="14.25" customHeight="1">
      <c r="A441" s="1"/>
      <c r="B441" s="1"/>
      <c r="C441" s="1"/>
      <c r="D441" s="1"/>
      <c r="E441" s="1"/>
      <c r="F441" s="2"/>
      <c r="G441" s="1"/>
    </row>
    <row r="442" ht="14.25" customHeight="1">
      <c r="A442" s="1"/>
      <c r="B442" s="1"/>
      <c r="C442" s="1"/>
      <c r="D442" s="1"/>
      <c r="E442" s="1"/>
      <c r="F442" s="2"/>
      <c r="G442" s="1"/>
    </row>
    <row r="443" ht="14.25" customHeight="1">
      <c r="A443" s="1"/>
      <c r="B443" s="1"/>
      <c r="C443" s="1"/>
      <c r="D443" s="1"/>
      <c r="E443" s="1"/>
      <c r="F443" s="2"/>
      <c r="G443" s="1"/>
    </row>
    <row r="444" ht="14.25" customHeight="1">
      <c r="A444" s="1"/>
      <c r="B444" s="1"/>
      <c r="C444" s="1"/>
      <c r="D444" s="1"/>
      <c r="E444" s="1"/>
      <c r="F444" s="2"/>
      <c r="G444" s="1"/>
    </row>
    <row r="445" ht="14.25" customHeight="1">
      <c r="A445" s="1"/>
      <c r="B445" s="1"/>
      <c r="C445" s="1"/>
      <c r="D445" s="1"/>
      <c r="E445" s="1"/>
      <c r="F445" s="2"/>
      <c r="G445" s="1"/>
    </row>
    <row r="446" ht="14.25" customHeight="1">
      <c r="A446" s="1"/>
      <c r="B446" s="1"/>
      <c r="C446" s="1"/>
      <c r="D446" s="1"/>
      <c r="E446" s="1"/>
      <c r="F446" s="2"/>
      <c r="G446" s="1"/>
    </row>
    <row r="447" ht="14.25" customHeight="1">
      <c r="A447" s="1"/>
      <c r="B447" s="1"/>
      <c r="C447" s="1"/>
      <c r="D447" s="1"/>
      <c r="E447" s="1"/>
      <c r="F447" s="2"/>
      <c r="G447" s="1"/>
    </row>
    <row r="448" ht="14.25" customHeight="1">
      <c r="A448" s="1"/>
      <c r="B448" s="1"/>
      <c r="C448" s="1"/>
      <c r="D448" s="1"/>
      <c r="E448" s="1"/>
      <c r="F448" s="2"/>
      <c r="G448" s="1"/>
    </row>
    <row r="449" ht="14.25" customHeight="1">
      <c r="A449" s="1"/>
      <c r="B449" s="1"/>
      <c r="C449" s="1"/>
      <c r="D449" s="1"/>
      <c r="E449" s="1"/>
      <c r="F449" s="2"/>
      <c r="G449" s="1"/>
    </row>
    <row r="450" ht="14.25" customHeight="1">
      <c r="A450" s="1"/>
      <c r="B450" s="1"/>
      <c r="C450" s="1"/>
      <c r="D450" s="1"/>
      <c r="E450" s="1"/>
      <c r="F450" s="2"/>
      <c r="G450" s="1"/>
    </row>
    <row r="451" ht="14.25" customHeight="1">
      <c r="A451" s="1"/>
      <c r="B451" s="1"/>
      <c r="C451" s="1"/>
      <c r="D451" s="1"/>
      <c r="E451" s="1"/>
      <c r="F451" s="2"/>
      <c r="G451" s="1"/>
    </row>
    <row r="452" ht="14.25" customHeight="1">
      <c r="A452" s="1"/>
      <c r="B452" s="1"/>
      <c r="C452" s="1"/>
      <c r="D452" s="1"/>
      <c r="E452" s="1"/>
      <c r="F452" s="2"/>
      <c r="G452" s="1"/>
    </row>
    <row r="453" ht="14.25" customHeight="1">
      <c r="A453" s="1"/>
      <c r="B453" s="1"/>
      <c r="C453" s="1"/>
      <c r="D453" s="1"/>
      <c r="E453" s="1"/>
      <c r="F453" s="2"/>
      <c r="G453" s="1"/>
    </row>
    <row r="454" ht="14.25" customHeight="1">
      <c r="A454" s="1"/>
      <c r="B454" s="1"/>
      <c r="C454" s="1"/>
      <c r="D454" s="1"/>
      <c r="E454" s="1"/>
      <c r="F454" s="2"/>
      <c r="G454" s="1"/>
    </row>
    <row r="455" ht="14.25" customHeight="1">
      <c r="A455" s="1"/>
      <c r="B455" s="1"/>
      <c r="C455" s="1"/>
      <c r="D455" s="1"/>
      <c r="E455" s="1"/>
      <c r="F455" s="2"/>
      <c r="G455" s="1"/>
    </row>
    <row r="456" ht="14.25" customHeight="1">
      <c r="A456" s="1"/>
      <c r="B456" s="1"/>
      <c r="C456" s="1"/>
      <c r="D456" s="1"/>
      <c r="E456" s="1"/>
      <c r="F456" s="2"/>
      <c r="G456" s="1"/>
    </row>
    <row r="457" ht="14.25" customHeight="1">
      <c r="A457" s="1"/>
      <c r="B457" s="1"/>
      <c r="C457" s="1"/>
      <c r="D457" s="1"/>
      <c r="E457" s="1"/>
      <c r="F457" s="2"/>
      <c r="G457" s="1"/>
    </row>
    <row r="458" ht="14.25" customHeight="1">
      <c r="A458" s="1"/>
      <c r="B458" s="1"/>
      <c r="C458" s="1"/>
      <c r="D458" s="1"/>
      <c r="E458" s="1"/>
      <c r="F458" s="2"/>
      <c r="G458" s="1"/>
    </row>
    <row r="459" ht="14.25" customHeight="1">
      <c r="A459" s="1"/>
      <c r="B459" s="1"/>
      <c r="C459" s="1"/>
      <c r="D459" s="1"/>
      <c r="E459" s="1"/>
      <c r="F459" s="2"/>
      <c r="G459" s="1"/>
    </row>
    <row r="460" ht="14.25" customHeight="1">
      <c r="A460" s="1"/>
      <c r="B460" s="1"/>
      <c r="C460" s="1"/>
      <c r="D460" s="1"/>
      <c r="E460" s="1"/>
      <c r="F460" s="2"/>
      <c r="G460" s="1"/>
    </row>
    <row r="461" ht="14.25" customHeight="1">
      <c r="A461" s="1"/>
      <c r="B461" s="1"/>
      <c r="C461" s="1"/>
      <c r="D461" s="1"/>
      <c r="E461" s="1"/>
      <c r="F461" s="2"/>
      <c r="G461" s="1"/>
    </row>
    <row r="462" ht="14.25" customHeight="1">
      <c r="A462" s="1"/>
      <c r="B462" s="1"/>
      <c r="C462" s="1"/>
      <c r="D462" s="1"/>
      <c r="E462" s="1"/>
      <c r="F462" s="2"/>
      <c r="G462" s="1"/>
    </row>
    <row r="463" ht="14.25" customHeight="1">
      <c r="A463" s="1"/>
      <c r="B463" s="1"/>
      <c r="C463" s="1"/>
      <c r="D463" s="1"/>
      <c r="E463" s="1"/>
      <c r="F463" s="2"/>
      <c r="G463" s="1"/>
    </row>
    <row r="464" ht="14.25" customHeight="1">
      <c r="A464" s="1"/>
      <c r="B464" s="1"/>
      <c r="C464" s="1"/>
      <c r="D464" s="1"/>
      <c r="E464" s="1"/>
      <c r="F464" s="2"/>
      <c r="G464" s="1"/>
    </row>
    <row r="465" ht="14.25" customHeight="1">
      <c r="A465" s="1"/>
      <c r="B465" s="1"/>
      <c r="C465" s="1"/>
      <c r="D465" s="1"/>
      <c r="E465" s="1"/>
      <c r="F465" s="2"/>
      <c r="G465" s="1"/>
    </row>
    <row r="466" ht="14.25" customHeight="1">
      <c r="A466" s="1"/>
      <c r="B466" s="1"/>
      <c r="C466" s="1"/>
      <c r="D466" s="1"/>
      <c r="E466" s="1"/>
      <c r="F466" s="2"/>
      <c r="G466" s="1"/>
    </row>
    <row r="467" ht="14.25" customHeight="1">
      <c r="A467" s="1"/>
      <c r="B467" s="1"/>
      <c r="C467" s="1"/>
      <c r="D467" s="1"/>
      <c r="E467" s="1"/>
      <c r="F467" s="2"/>
      <c r="G467" s="1"/>
    </row>
    <row r="468" ht="14.25" customHeight="1">
      <c r="A468" s="1"/>
      <c r="B468" s="1"/>
      <c r="C468" s="1"/>
      <c r="D468" s="1"/>
      <c r="E468" s="1"/>
      <c r="F468" s="2"/>
      <c r="G468" s="1"/>
    </row>
    <row r="469" ht="14.25" customHeight="1">
      <c r="A469" s="1"/>
      <c r="B469" s="1"/>
      <c r="C469" s="1"/>
      <c r="D469" s="1"/>
      <c r="E469" s="1"/>
      <c r="F469" s="2"/>
      <c r="G469" s="1"/>
    </row>
    <row r="470" ht="14.25" customHeight="1">
      <c r="A470" s="1"/>
      <c r="B470" s="1"/>
      <c r="C470" s="1"/>
      <c r="D470" s="1"/>
      <c r="E470" s="1"/>
      <c r="F470" s="2"/>
      <c r="G470" s="1"/>
    </row>
    <row r="471" ht="14.25" customHeight="1">
      <c r="A471" s="1"/>
      <c r="B471" s="1"/>
      <c r="C471" s="1"/>
      <c r="D471" s="1"/>
      <c r="E471" s="1"/>
      <c r="F471" s="2"/>
      <c r="G471" s="1"/>
    </row>
    <row r="472" ht="14.25" customHeight="1">
      <c r="A472" s="1"/>
      <c r="B472" s="1"/>
      <c r="C472" s="1"/>
      <c r="D472" s="1"/>
      <c r="E472" s="1"/>
      <c r="F472" s="2"/>
      <c r="G472" s="1"/>
    </row>
    <row r="473" ht="14.25" customHeight="1">
      <c r="A473" s="1"/>
      <c r="B473" s="1"/>
      <c r="C473" s="1"/>
      <c r="D473" s="1"/>
      <c r="E473" s="1"/>
      <c r="F473" s="2"/>
      <c r="G473" s="1"/>
    </row>
    <row r="474" ht="14.25" customHeight="1">
      <c r="A474" s="1"/>
      <c r="B474" s="1"/>
      <c r="C474" s="1"/>
      <c r="D474" s="1"/>
      <c r="E474" s="1"/>
      <c r="F474" s="2"/>
      <c r="G474" s="1"/>
    </row>
    <row r="475" ht="14.25" customHeight="1">
      <c r="A475" s="1"/>
      <c r="B475" s="1"/>
      <c r="C475" s="1"/>
      <c r="D475" s="1"/>
      <c r="E475" s="1"/>
      <c r="F475" s="2"/>
      <c r="G475" s="1"/>
    </row>
    <row r="476" ht="14.25" customHeight="1">
      <c r="A476" s="1"/>
      <c r="B476" s="1"/>
      <c r="C476" s="1"/>
      <c r="D476" s="1"/>
      <c r="E476" s="1"/>
      <c r="F476" s="2"/>
      <c r="G476" s="1"/>
    </row>
    <row r="477" ht="14.25" customHeight="1">
      <c r="A477" s="1"/>
      <c r="B477" s="1"/>
      <c r="C477" s="1"/>
      <c r="D477" s="1"/>
      <c r="E477" s="1"/>
      <c r="F477" s="2"/>
      <c r="G477" s="1"/>
    </row>
    <row r="478" ht="14.25" customHeight="1">
      <c r="A478" s="1"/>
      <c r="B478" s="1"/>
      <c r="C478" s="1"/>
      <c r="D478" s="1"/>
      <c r="E478" s="1"/>
      <c r="F478" s="2"/>
      <c r="G478" s="1"/>
    </row>
    <row r="479" ht="14.25" customHeight="1">
      <c r="A479" s="1"/>
      <c r="B479" s="1"/>
      <c r="C479" s="1"/>
      <c r="D479" s="1"/>
      <c r="E479" s="1"/>
      <c r="F479" s="2"/>
      <c r="G479" s="1"/>
    </row>
    <row r="480" ht="14.25" customHeight="1">
      <c r="A480" s="1"/>
      <c r="B480" s="1"/>
      <c r="C480" s="1"/>
      <c r="D480" s="1"/>
      <c r="E480" s="1"/>
      <c r="F480" s="2"/>
      <c r="G480" s="1"/>
    </row>
    <row r="481" ht="14.25" customHeight="1">
      <c r="A481" s="1"/>
      <c r="B481" s="1"/>
      <c r="C481" s="1"/>
      <c r="D481" s="1"/>
      <c r="E481" s="1"/>
      <c r="F481" s="2"/>
      <c r="G481" s="1"/>
    </row>
    <row r="482" ht="14.25" customHeight="1">
      <c r="A482" s="1"/>
      <c r="B482" s="1"/>
      <c r="C482" s="1"/>
      <c r="D482" s="1"/>
      <c r="E482" s="1"/>
      <c r="F482" s="2"/>
      <c r="G482" s="1"/>
    </row>
    <row r="483" ht="14.25" customHeight="1">
      <c r="A483" s="1"/>
      <c r="B483" s="1"/>
      <c r="C483" s="1"/>
      <c r="D483" s="1"/>
      <c r="E483" s="1"/>
      <c r="F483" s="2"/>
      <c r="G483" s="1"/>
    </row>
    <row r="484" ht="14.25" customHeight="1">
      <c r="A484" s="1"/>
      <c r="B484" s="1"/>
      <c r="C484" s="1"/>
      <c r="D484" s="1"/>
      <c r="E484" s="1"/>
      <c r="F484" s="2"/>
      <c r="G484" s="1"/>
    </row>
    <row r="485" ht="14.25" customHeight="1">
      <c r="A485" s="1"/>
      <c r="B485" s="1"/>
      <c r="C485" s="1"/>
      <c r="D485" s="1"/>
      <c r="E485" s="1"/>
      <c r="F485" s="2"/>
      <c r="G485" s="1"/>
    </row>
    <row r="486" ht="14.25" customHeight="1">
      <c r="A486" s="1"/>
      <c r="B486" s="1"/>
      <c r="C486" s="1"/>
      <c r="D486" s="1"/>
      <c r="E486" s="1"/>
      <c r="F486" s="2"/>
      <c r="G486" s="1"/>
    </row>
    <row r="487" ht="14.25" customHeight="1">
      <c r="A487" s="1"/>
      <c r="B487" s="1"/>
      <c r="C487" s="1"/>
      <c r="D487" s="1"/>
      <c r="E487" s="1"/>
      <c r="F487" s="2"/>
      <c r="G487" s="1"/>
    </row>
    <row r="488" ht="14.25" customHeight="1">
      <c r="A488" s="1"/>
      <c r="B488" s="1"/>
      <c r="C488" s="1"/>
      <c r="D488" s="1"/>
      <c r="E488" s="1"/>
      <c r="F488" s="2"/>
      <c r="G488" s="1"/>
    </row>
    <row r="489" ht="14.25" customHeight="1">
      <c r="A489" s="1"/>
      <c r="B489" s="1"/>
      <c r="C489" s="1"/>
      <c r="D489" s="1"/>
      <c r="E489" s="1"/>
      <c r="F489" s="2"/>
      <c r="G489" s="1"/>
    </row>
    <row r="490" ht="14.25" customHeight="1">
      <c r="A490" s="1"/>
      <c r="B490" s="1"/>
      <c r="C490" s="1"/>
      <c r="D490" s="1"/>
      <c r="E490" s="1"/>
      <c r="F490" s="2"/>
      <c r="G490" s="1"/>
    </row>
    <row r="491" ht="14.25" customHeight="1">
      <c r="A491" s="1"/>
      <c r="B491" s="1"/>
      <c r="C491" s="1"/>
      <c r="D491" s="1"/>
      <c r="E491" s="1"/>
      <c r="F491" s="2"/>
      <c r="G491" s="1"/>
    </row>
    <row r="492" ht="14.25" customHeight="1">
      <c r="A492" s="1"/>
      <c r="B492" s="1"/>
      <c r="C492" s="1"/>
      <c r="D492" s="1"/>
      <c r="E492" s="1"/>
      <c r="F492" s="2"/>
      <c r="G492" s="1"/>
    </row>
    <row r="493" ht="14.25" customHeight="1">
      <c r="A493" s="1"/>
      <c r="B493" s="1"/>
      <c r="C493" s="1"/>
      <c r="D493" s="1"/>
      <c r="E493" s="1"/>
      <c r="F493" s="2"/>
      <c r="G493" s="1"/>
    </row>
    <row r="494" ht="14.25" customHeight="1">
      <c r="A494" s="1"/>
      <c r="B494" s="1"/>
      <c r="C494" s="1"/>
      <c r="D494" s="1"/>
      <c r="E494" s="1"/>
      <c r="F494" s="2"/>
      <c r="G494" s="1"/>
    </row>
    <row r="495" ht="14.25" customHeight="1">
      <c r="A495" s="1"/>
      <c r="B495" s="1"/>
      <c r="C495" s="1"/>
      <c r="D495" s="1"/>
      <c r="E495" s="1"/>
      <c r="F495" s="2"/>
      <c r="G495" s="1"/>
    </row>
    <row r="496" ht="14.25" customHeight="1">
      <c r="A496" s="1"/>
      <c r="B496" s="1"/>
      <c r="C496" s="1"/>
      <c r="D496" s="1"/>
      <c r="E496" s="1"/>
      <c r="F496" s="2"/>
      <c r="G496" s="1"/>
    </row>
    <row r="497" ht="14.25" customHeight="1">
      <c r="A497" s="1"/>
      <c r="B497" s="1"/>
      <c r="C497" s="1"/>
      <c r="D497" s="1"/>
      <c r="E497" s="1"/>
      <c r="F497" s="2"/>
      <c r="G497" s="1"/>
    </row>
    <row r="498" ht="14.25" customHeight="1">
      <c r="A498" s="1"/>
      <c r="B498" s="1"/>
      <c r="C498" s="1"/>
      <c r="D498" s="1"/>
      <c r="E498" s="1"/>
      <c r="F498" s="2"/>
      <c r="G498" s="1"/>
    </row>
    <row r="499" ht="14.25" customHeight="1">
      <c r="A499" s="1"/>
      <c r="B499" s="1"/>
      <c r="C499" s="1"/>
      <c r="D499" s="1"/>
      <c r="E499" s="1"/>
      <c r="F499" s="2"/>
      <c r="G499" s="1"/>
    </row>
    <row r="500" ht="14.25" customHeight="1">
      <c r="A500" s="1"/>
      <c r="B500" s="1"/>
      <c r="C500" s="1"/>
      <c r="D500" s="1"/>
      <c r="E500" s="1"/>
      <c r="F500" s="2"/>
      <c r="G500" s="1"/>
    </row>
    <row r="501" ht="14.25" customHeight="1">
      <c r="A501" s="1"/>
      <c r="B501" s="1"/>
      <c r="C501" s="1"/>
      <c r="D501" s="1"/>
      <c r="E501" s="1"/>
      <c r="F501" s="2"/>
      <c r="G501" s="1"/>
    </row>
    <row r="502" ht="14.25" customHeight="1">
      <c r="A502" s="1"/>
      <c r="B502" s="1"/>
      <c r="C502" s="1"/>
      <c r="D502" s="1"/>
      <c r="E502" s="1"/>
      <c r="F502" s="2"/>
      <c r="G502" s="1"/>
    </row>
    <row r="503" ht="14.25" customHeight="1">
      <c r="A503" s="1"/>
      <c r="B503" s="1"/>
      <c r="C503" s="1"/>
      <c r="D503" s="1"/>
      <c r="E503" s="1"/>
      <c r="F503" s="2"/>
      <c r="G503" s="1"/>
    </row>
    <row r="504" ht="14.25" customHeight="1">
      <c r="A504" s="1"/>
      <c r="B504" s="1"/>
      <c r="C504" s="1"/>
      <c r="D504" s="1"/>
      <c r="E504" s="1"/>
      <c r="F504" s="2"/>
      <c r="G504" s="1"/>
    </row>
    <row r="505" ht="14.25" customHeight="1">
      <c r="A505" s="1"/>
      <c r="B505" s="1"/>
      <c r="C505" s="1"/>
      <c r="D505" s="1"/>
      <c r="E505" s="1"/>
      <c r="F505" s="2"/>
      <c r="G505" s="1"/>
    </row>
    <row r="506" ht="14.25" customHeight="1">
      <c r="A506" s="1"/>
      <c r="B506" s="1"/>
      <c r="C506" s="1"/>
      <c r="D506" s="1"/>
      <c r="E506" s="1"/>
      <c r="F506" s="2"/>
      <c r="G506" s="1"/>
    </row>
    <row r="507" ht="14.25" customHeight="1">
      <c r="A507" s="1"/>
      <c r="B507" s="1"/>
      <c r="C507" s="1"/>
      <c r="D507" s="1"/>
      <c r="E507" s="1"/>
      <c r="F507" s="2"/>
      <c r="G507" s="1"/>
    </row>
    <row r="508" ht="14.25" customHeight="1">
      <c r="A508" s="1"/>
      <c r="B508" s="1"/>
      <c r="C508" s="1"/>
      <c r="D508" s="1"/>
      <c r="E508" s="1"/>
      <c r="F508" s="2"/>
      <c r="G508" s="1"/>
    </row>
    <row r="509" ht="14.25" customHeight="1">
      <c r="A509" s="1"/>
      <c r="B509" s="1"/>
      <c r="C509" s="1"/>
      <c r="D509" s="1"/>
      <c r="E509" s="1"/>
      <c r="F509" s="2"/>
      <c r="G509" s="1"/>
    </row>
    <row r="510" ht="14.25" customHeight="1">
      <c r="A510" s="1"/>
      <c r="B510" s="1"/>
      <c r="C510" s="1"/>
      <c r="D510" s="1"/>
      <c r="E510" s="1"/>
      <c r="F510" s="2"/>
      <c r="G510" s="1"/>
    </row>
    <row r="511" ht="14.25" customHeight="1">
      <c r="A511" s="1"/>
      <c r="B511" s="1"/>
      <c r="C511" s="1"/>
      <c r="D511" s="1"/>
      <c r="E511" s="1"/>
      <c r="F511" s="2"/>
      <c r="G511" s="1"/>
    </row>
    <row r="512" ht="14.25" customHeight="1">
      <c r="A512" s="1"/>
      <c r="B512" s="1"/>
      <c r="C512" s="1"/>
      <c r="D512" s="1"/>
      <c r="E512" s="1"/>
      <c r="F512" s="2"/>
      <c r="G512" s="1"/>
    </row>
    <row r="513" ht="14.25" customHeight="1">
      <c r="A513" s="1"/>
      <c r="B513" s="1"/>
      <c r="C513" s="1"/>
      <c r="D513" s="1"/>
      <c r="E513" s="1"/>
      <c r="F513" s="2"/>
      <c r="G513" s="1"/>
    </row>
    <row r="514" ht="14.25" customHeight="1">
      <c r="A514" s="1"/>
      <c r="B514" s="1"/>
      <c r="C514" s="1"/>
      <c r="D514" s="1"/>
      <c r="E514" s="1"/>
      <c r="F514" s="2"/>
      <c r="G514" s="1"/>
    </row>
    <row r="515" ht="14.25" customHeight="1">
      <c r="A515" s="1"/>
      <c r="B515" s="1"/>
      <c r="C515" s="1"/>
      <c r="D515" s="1"/>
      <c r="E515" s="1"/>
      <c r="F515" s="2"/>
      <c r="G515" s="1"/>
    </row>
    <row r="516" ht="14.25" customHeight="1">
      <c r="A516" s="1"/>
      <c r="B516" s="1"/>
      <c r="C516" s="1"/>
      <c r="D516" s="1"/>
      <c r="E516" s="1"/>
      <c r="F516" s="2"/>
      <c r="G516" s="1"/>
    </row>
    <row r="517" ht="14.25" customHeight="1">
      <c r="A517" s="1"/>
      <c r="B517" s="1"/>
      <c r="C517" s="1"/>
      <c r="D517" s="1"/>
      <c r="E517" s="1"/>
      <c r="F517" s="2"/>
      <c r="G517" s="1"/>
    </row>
    <row r="518" ht="14.25" customHeight="1">
      <c r="A518" s="1"/>
      <c r="B518" s="1"/>
      <c r="C518" s="1"/>
      <c r="D518" s="1"/>
      <c r="E518" s="1"/>
      <c r="F518" s="2"/>
      <c r="G518" s="1"/>
    </row>
    <row r="519" ht="14.25" customHeight="1">
      <c r="A519" s="1"/>
      <c r="B519" s="1"/>
      <c r="C519" s="1"/>
      <c r="D519" s="1"/>
      <c r="E519" s="1"/>
      <c r="F519" s="2"/>
      <c r="G519" s="1"/>
    </row>
    <row r="520" ht="14.25" customHeight="1">
      <c r="A520" s="1"/>
      <c r="B520" s="1"/>
      <c r="C520" s="1"/>
      <c r="D520" s="1"/>
      <c r="E520" s="1"/>
      <c r="F520" s="2"/>
      <c r="G520" s="1"/>
    </row>
    <row r="521" ht="14.25" customHeight="1">
      <c r="A521" s="1"/>
      <c r="B521" s="1"/>
      <c r="C521" s="1"/>
      <c r="D521" s="1"/>
      <c r="E521" s="1"/>
      <c r="F521" s="2"/>
      <c r="G521" s="1"/>
    </row>
    <row r="522" ht="14.25" customHeight="1">
      <c r="A522" s="1"/>
      <c r="B522" s="1"/>
      <c r="C522" s="1"/>
      <c r="D522" s="1"/>
      <c r="E522" s="1"/>
      <c r="F522" s="2"/>
      <c r="G522" s="1"/>
    </row>
    <row r="523" ht="14.25" customHeight="1">
      <c r="A523" s="1"/>
      <c r="B523" s="1"/>
      <c r="C523" s="1"/>
      <c r="D523" s="1"/>
      <c r="E523" s="1"/>
      <c r="F523" s="2"/>
      <c r="G523" s="1"/>
    </row>
    <row r="524" ht="14.25" customHeight="1">
      <c r="A524" s="1"/>
      <c r="B524" s="1"/>
      <c r="C524" s="1"/>
      <c r="D524" s="1"/>
      <c r="E524" s="1"/>
      <c r="F524" s="2"/>
      <c r="G524" s="1"/>
    </row>
    <row r="525" ht="14.25" customHeight="1">
      <c r="A525" s="1"/>
      <c r="B525" s="1"/>
      <c r="C525" s="1"/>
      <c r="D525" s="1"/>
      <c r="E525" s="1"/>
      <c r="F525" s="2"/>
      <c r="G525" s="1"/>
    </row>
    <row r="526" ht="14.25" customHeight="1">
      <c r="A526" s="1"/>
      <c r="B526" s="1"/>
      <c r="C526" s="1"/>
      <c r="D526" s="1"/>
      <c r="E526" s="1"/>
      <c r="F526" s="2"/>
      <c r="G526" s="1"/>
    </row>
    <row r="527" ht="14.25" customHeight="1">
      <c r="A527" s="1"/>
      <c r="B527" s="1"/>
      <c r="C527" s="1"/>
      <c r="D527" s="1"/>
      <c r="E527" s="1"/>
      <c r="F527" s="2"/>
      <c r="G527" s="1"/>
    </row>
    <row r="528" ht="14.25" customHeight="1">
      <c r="A528" s="1"/>
      <c r="B528" s="1"/>
      <c r="C528" s="1"/>
      <c r="D528" s="1"/>
      <c r="E528" s="1"/>
      <c r="F528" s="2"/>
      <c r="G528" s="1"/>
    </row>
    <row r="529" ht="14.25" customHeight="1">
      <c r="A529" s="1"/>
      <c r="B529" s="1"/>
      <c r="C529" s="1"/>
      <c r="D529" s="1"/>
      <c r="E529" s="1"/>
      <c r="F529" s="2"/>
      <c r="G529" s="1"/>
    </row>
    <row r="530" ht="14.25" customHeight="1">
      <c r="A530" s="1"/>
      <c r="B530" s="1"/>
      <c r="C530" s="1"/>
      <c r="D530" s="1"/>
      <c r="E530" s="1"/>
      <c r="F530" s="2"/>
      <c r="G530" s="1"/>
    </row>
    <row r="531" ht="14.25" customHeight="1">
      <c r="A531" s="1"/>
      <c r="B531" s="1"/>
      <c r="C531" s="1"/>
      <c r="D531" s="1"/>
      <c r="E531" s="1"/>
      <c r="F531" s="2"/>
      <c r="G531" s="1"/>
    </row>
    <row r="532" ht="14.25" customHeight="1">
      <c r="A532" s="1"/>
      <c r="B532" s="1"/>
      <c r="C532" s="1"/>
      <c r="D532" s="1"/>
      <c r="E532" s="1"/>
      <c r="F532" s="2"/>
      <c r="G532" s="1"/>
    </row>
    <row r="533" ht="14.25" customHeight="1">
      <c r="A533" s="1"/>
      <c r="B533" s="1"/>
      <c r="C533" s="1"/>
      <c r="D533" s="1"/>
      <c r="E533" s="1"/>
      <c r="F533" s="2"/>
      <c r="G533" s="1"/>
    </row>
    <row r="534" ht="14.25" customHeight="1">
      <c r="A534" s="1"/>
      <c r="B534" s="1"/>
      <c r="C534" s="1"/>
      <c r="D534" s="1"/>
      <c r="E534" s="1"/>
      <c r="F534" s="2"/>
      <c r="G534" s="1"/>
    </row>
    <row r="535" ht="14.25" customHeight="1">
      <c r="A535" s="1"/>
      <c r="B535" s="1"/>
      <c r="C535" s="1"/>
      <c r="D535" s="1"/>
      <c r="E535" s="1"/>
      <c r="F535" s="2"/>
      <c r="G535" s="1"/>
    </row>
    <row r="536" ht="14.25" customHeight="1">
      <c r="A536" s="1"/>
      <c r="B536" s="1"/>
      <c r="C536" s="1"/>
      <c r="D536" s="1"/>
      <c r="E536" s="1"/>
      <c r="F536" s="2"/>
      <c r="G536" s="1"/>
    </row>
    <row r="537" ht="14.25" customHeight="1">
      <c r="A537" s="1"/>
      <c r="B537" s="1"/>
      <c r="C537" s="1"/>
      <c r="D537" s="1"/>
      <c r="E537" s="1"/>
      <c r="F537" s="2"/>
      <c r="G537" s="1"/>
    </row>
    <row r="538" ht="14.25" customHeight="1">
      <c r="A538" s="1"/>
      <c r="B538" s="1"/>
      <c r="C538" s="1"/>
      <c r="D538" s="1"/>
      <c r="E538" s="1"/>
      <c r="F538" s="2"/>
      <c r="G538" s="1"/>
    </row>
    <row r="539" ht="14.25" customHeight="1">
      <c r="A539" s="1"/>
      <c r="B539" s="1"/>
      <c r="C539" s="1"/>
      <c r="D539" s="1"/>
      <c r="E539" s="1"/>
      <c r="F539" s="2"/>
      <c r="G539" s="1"/>
    </row>
    <row r="540" ht="14.25" customHeight="1">
      <c r="A540" s="1"/>
      <c r="B540" s="1"/>
      <c r="C540" s="1"/>
      <c r="D540" s="1"/>
      <c r="E540" s="1"/>
      <c r="F540" s="2"/>
      <c r="G540" s="1"/>
    </row>
    <row r="541" ht="14.25" customHeight="1">
      <c r="A541" s="1"/>
      <c r="B541" s="1"/>
      <c r="C541" s="1"/>
      <c r="D541" s="1"/>
      <c r="E541" s="1"/>
      <c r="F541" s="2"/>
      <c r="G541" s="1"/>
    </row>
    <row r="542" ht="14.25" customHeight="1">
      <c r="A542" s="1"/>
      <c r="B542" s="1"/>
      <c r="C542" s="1"/>
      <c r="D542" s="1"/>
      <c r="E542" s="1"/>
      <c r="F542" s="2"/>
      <c r="G542" s="1"/>
    </row>
    <row r="543" ht="14.25" customHeight="1">
      <c r="A543" s="1"/>
      <c r="B543" s="1"/>
      <c r="C543" s="1"/>
      <c r="D543" s="1"/>
      <c r="E543" s="1"/>
      <c r="F543" s="2"/>
      <c r="G543" s="1"/>
    </row>
    <row r="544" ht="14.25" customHeight="1">
      <c r="A544" s="1"/>
      <c r="B544" s="1"/>
      <c r="C544" s="1"/>
      <c r="D544" s="1"/>
      <c r="E544" s="1"/>
      <c r="F544" s="2"/>
      <c r="G544" s="1"/>
    </row>
    <row r="545" ht="14.25" customHeight="1">
      <c r="A545" s="1"/>
      <c r="B545" s="1"/>
      <c r="C545" s="1"/>
      <c r="D545" s="1"/>
      <c r="E545" s="1"/>
      <c r="F545" s="2"/>
      <c r="G545" s="1"/>
    </row>
    <row r="546" ht="14.25" customHeight="1">
      <c r="A546" s="1"/>
      <c r="B546" s="1"/>
      <c r="C546" s="1"/>
      <c r="D546" s="1"/>
      <c r="E546" s="1"/>
      <c r="F546" s="2"/>
      <c r="G546" s="1"/>
    </row>
    <row r="547" ht="14.25" customHeight="1">
      <c r="A547" s="1"/>
      <c r="B547" s="1"/>
      <c r="C547" s="1"/>
      <c r="D547" s="1"/>
      <c r="E547" s="1"/>
      <c r="F547" s="2"/>
      <c r="G547" s="1"/>
    </row>
    <row r="548" ht="14.25" customHeight="1">
      <c r="A548" s="1"/>
      <c r="B548" s="1"/>
      <c r="C548" s="1"/>
      <c r="D548" s="1"/>
      <c r="E548" s="1"/>
      <c r="F548" s="2"/>
      <c r="G548" s="1"/>
    </row>
    <row r="549" ht="14.25" customHeight="1">
      <c r="A549" s="1"/>
      <c r="B549" s="1"/>
      <c r="C549" s="1"/>
      <c r="D549" s="1"/>
      <c r="E549" s="1"/>
      <c r="F549" s="2"/>
      <c r="G549" s="1"/>
    </row>
    <row r="550" ht="14.25" customHeight="1">
      <c r="A550" s="1"/>
      <c r="B550" s="1"/>
      <c r="C550" s="1"/>
      <c r="D550" s="1"/>
      <c r="E550" s="1"/>
      <c r="F550" s="2"/>
      <c r="G550" s="1"/>
    </row>
    <row r="551" ht="14.25" customHeight="1">
      <c r="A551" s="1"/>
      <c r="B551" s="1"/>
      <c r="C551" s="1"/>
      <c r="D551" s="1"/>
      <c r="E551" s="1"/>
      <c r="F551" s="2"/>
      <c r="G551" s="1"/>
    </row>
    <row r="552" ht="14.25" customHeight="1">
      <c r="A552" s="1"/>
      <c r="B552" s="1"/>
      <c r="C552" s="1"/>
      <c r="D552" s="1"/>
      <c r="E552" s="1"/>
      <c r="F552" s="2"/>
      <c r="G552" s="1"/>
    </row>
    <row r="553" ht="14.25" customHeight="1">
      <c r="A553" s="1"/>
      <c r="B553" s="1"/>
      <c r="C553" s="1"/>
      <c r="D553" s="1"/>
      <c r="E553" s="1"/>
      <c r="F553" s="2"/>
      <c r="G553" s="1"/>
    </row>
    <row r="554" ht="14.25" customHeight="1">
      <c r="A554" s="1"/>
      <c r="B554" s="1"/>
      <c r="C554" s="1"/>
      <c r="D554" s="1"/>
      <c r="E554" s="1"/>
      <c r="F554" s="2"/>
      <c r="G554" s="1"/>
    </row>
    <row r="555" ht="14.25" customHeight="1">
      <c r="A555" s="1"/>
      <c r="B555" s="1"/>
      <c r="C555" s="1"/>
      <c r="D555" s="1"/>
      <c r="E555" s="1"/>
      <c r="F555" s="2"/>
      <c r="G555" s="1"/>
    </row>
    <row r="556" ht="14.25" customHeight="1">
      <c r="A556" s="1"/>
      <c r="B556" s="1"/>
      <c r="C556" s="1"/>
      <c r="D556" s="1"/>
      <c r="E556" s="1"/>
      <c r="F556" s="2"/>
      <c r="G556" s="1"/>
    </row>
    <row r="557" ht="14.25" customHeight="1">
      <c r="A557" s="1"/>
      <c r="B557" s="1"/>
      <c r="C557" s="1"/>
      <c r="D557" s="1"/>
      <c r="E557" s="1"/>
      <c r="F557" s="2"/>
      <c r="G557" s="1"/>
    </row>
    <row r="558" ht="14.25" customHeight="1">
      <c r="A558" s="1"/>
      <c r="B558" s="1"/>
      <c r="C558" s="1"/>
      <c r="D558" s="1"/>
      <c r="E558" s="1"/>
      <c r="F558" s="2"/>
      <c r="G558" s="1"/>
    </row>
    <row r="559" ht="14.25" customHeight="1">
      <c r="A559" s="1"/>
      <c r="B559" s="1"/>
      <c r="C559" s="1"/>
      <c r="D559" s="1"/>
      <c r="E559" s="1"/>
      <c r="F559" s="2"/>
      <c r="G559" s="1"/>
    </row>
    <row r="560" ht="14.25" customHeight="1">
      <c r="A560" s="1"/>
      <c r="B560" s="1"/>
      <c r="C560" s="1"/>
      <c r="D560" s="1"/>
      <c r="E560" s="1"/>
      <c r="F560" s="2"/>
      <c r="G560" s="1"/>
    </row>
    <row r="561" ht="14.25" customHeight="1">
      <c r="A561" s="1"/>
      <c r="B561" s="1"/>
      <c r="C561" s="1"/>
      <c r="D561" s="1"/>
      <c r="E561" s="1"/>
      <c r="F561" s="2"/>
      <c r="G561" s="1"/>
    </row>
    <row r="562" ht="14.25" customHeight="1">
      <c r="A562" s="1"/>
      <c r="B562" s="1"/>
      <c r="C562" s="1"/>
      <c r="D562" s="1"/>
      <c r="E562" s="1"/>
      <c r="F562" s="2"/>
      <c r="G562" s="1"/>
    </row>
    <row r="563" ht="14.25" customHeight="1">
      <c r="A563" s="1"/>
      <c r="B563" s="1"/>
      <c r="C563" s="1"/>
      <c r="D563" s="1"/>
      <c r="E563" s="1"/>
      <c r="F563" s="2"/>
      <c r="G563" s="1"/>
    </row>
    <row r="564" ht="14.25" customHeight="1">
      <c r="A564" s="1"/>
      <c r="B564" s="1"/>
      <c r="C564" s="1"/>
      <c r="D564" s="1"/>
      <c r="E564" s="1"/>
      <c r="F564" s="2"/>
      <c r="G564" s="1"/>
    </row>
    <row r="565" ht="14.25" customHeight="1">
      <c r="A565" s="1"/>
      <c r="B565" s="1"/>
      <c r="C565" s="1"/>
      <c r="D565" s="1"/>
      <c r="E565" s="1"/>
      <c r="F565" s="2"/>
      <c r="G565" s="1"/>
    </row>
    <row r="566" ht="14.25" customHeight="1">
      <c r="A566" s="1"/>
      <c r="B566" s="1"/>
      <c r="C566" s="1"/>
      <c r="D566" s="1"/>
      <c r="E566" s="1"/>
      <c r="F566" s="2"/>
      <c r="G566" s="1"/>
    </row>
    <row r="567" ht="14.25" customHeight="1">
      <c r="A567" s="1"/>
      <c r="B567" s="1"/>
      <c r="C567" s="1"/>
      <c r="D567" s="1"/>
      <c r="E567" s="1"/>
      <c r="F567" s="2"/>
      <c r="G567" s="1"/>
    </row>
    <row r="568" ht="14.25" customHeight="1">
      <c r="A568" s="1"/>
      <c r="B568" s="1"/>
      <c r="C568" s="1"/>
      <c r="D568" s="1"/>
      <c r="E568" s="1"/>
      <c r="F568" s="2"/>
      <c r="G568" s="1"/>
    </row>
    <row r="569" ht="14.25" customHeight="1">
      <c r="A569" s="1"/>
      <c r="B569" s="1"/>
      <c r="C569" s="1"/>
      <c r="D569" s="1"/>
      <c r="E569" s="1"/>
      <c r="F569" s="2"/>
      <c r="G569" s="1"/>
    </row>
    <row r="570" ht="14.25" customHeight="1">
      <c r="A570" s="1"/>
      <c r="B570" s="1"/>
      <c r="C570" s="1"/>
      <c r="D570" s="1"/>
      <c r="E570" s="1"/>
      <c r="F570" s="2"/>
      <c r="G570" s="1"/>
    </row>
    <row r="571" ht="14.25" customHeight="1">
      <c r="A571" s="1"/>
      <c r="B571" s="1"/>
      <c r="C571" s="1"/>
      <c r="D571" s="1"/>
      <c r="E571" s="1"/>
      <c r="F571" s="2"/>
      <c r="G571" s="1"/>
    </row>
    <row r="572" ht="14.25" customHeight="1">
      <c r="A572" s="1"/>
      <c r="B572" s="1"/>
      <c r="C572" s="1"/>
      <c r="D572" s="1"/>
      <c r="E572" s="1"/>
      <c r="F572" s="2"/>
      <c r="G572" s="1"/>
    </row>
    <row r="573" ht="14.25" customHeight="1">
      <c r="A573" s="1"/>
      <c r="B573" s="1"/>
      <c r="C573" s="1"/>
      <c r="D573" s="1"/>
      <c r="E573" s="1"/>
      <c r="F573" s="2"/>
      <c r="G573" s="1"/>
    </row>
    <row r="574" ht="14.25" customHeight="1">
      <c r="A574" s="1"/>
      <c r="B574" s="1"/>
      <c r="C574" s="1"/>
      <c r="D574" s="1"/>
      <c r="E574" s="1"/>
      <c r="F574" s="2"/>
      <c r="G574" s="1"/>
    </row>
    <row r="575" ht="14.25" customHeight="1">
      <c r="A575" s="1"/>
      <c r="B575" s="1"/>
      <c r="C575" s="1"/>
      <c r="D575" s="1"/>
      <c r="E575" s="1"/>
      <c r="F575" s="2"/>
      <c r="G575" s="1"/>
    </row>
    <row r="576" ht="14.25" customHeight="1">
      <c r="A576" s="1"/>
      <c r="B576" s="1"/>
      <c r="C576" s="1"/>
      <c r="D576" s="1"/>
      <c r="E576" s="1"/>
      <c r="F576" s="2"/>
      <c r="G576" s="1"/>
    </row>
    <row r="577" ht="14.25" customHeight="1">
      <c r="A577" s="1"/>
      <c r="B577" s="1"/>
      <c r="C577" s="1"/>
      <c r="D577" s="1"/>
      <c r="E577" s="1"/>
      <c r="F577" s="2"/>
      <c r="G577" s="1"/>
    </row>
    <row r="578" ht="14.25" customHeight="1">
      <c r="A578" s="1"/>
      <c r="B578" s="1"/>
      <c r="C578" s="1"/>
      <c r="D578" s="1"/>
      <c r="E578" s="1"/>
      <c r="F578" s="2"/>
      <c r="G578" s="1"/>
    </row>
    <row r="579" ht="14.25" customHeight="1">
      <c r="A579" s="1"/>
      <c r="B579" s="1"/>
      <c r="C579" s="1"/>
      <c r="D579" s="1"/>
      <c r="E579" s="1"/>
      <c r="F579" s="2"/>
      <c r="G579" s="1"/>
    </row>
    <row r="580" ht="14.25" customHeight="1">
      <c r="A580" s="1"/>
      <c r="B580" s="1"/>
      <c r="C580" s="1"/>
      <c r="D580" s="1"/>
      <c r="E580" s="1"/>
      <c r="F580" s="2"/>
      <c r="G580" s="1"/>
    </row>
    <row r="581" ht="14.25" customHeight="1">
      <c r="A581" s="1"/>
      <c r="B581" s="1"/>
      <c r="C581" s="1"/>
      <c r="D581" s="1"/>
      <c r="E581" s="1"/>
      <c r="F581" s="2"/>
      <c r="G581" s="1"/>
    </row>
    <row r="582" ht="14.25" customHeight="1">
      <c r="A582" s="1"/>
      <c r="B582" s="1"/>
      <c r="C582" s="1"/>
      <c r="D582" s="1"/>
      <c r="E582" s="1"/>
      <c r="F582" s="2"/>
      <c r="G582" s="1"/>
    </row>
    <row r="583" ht="14.25" customHeight="1">
      <c r="A583" s="1"/>
      <c r="B583" s="1"/>
      <c r="C583" s="1"/>
      <c r="D583" s="1"/>
      <c r="E583" s="1"/>
      <c r="F583" s="2"/>
      <c r="G583" s="1"/>
    </row>
    <row r="584" ht="14.25" customHeight="1">
      <c r="A584" s="1"/>
      <c r="B584" s="1"/>
      <c r="C584" s="1"/>
      <c r="D584" s="1"/>
      <c r="E584" s="1"/>
      <c r="F584" s="2"/>
      <c r="G584" s="1"/>
    </row>
    <row r="585" ht="14.25" customHeight="1">
      <c r="A585" s="1"/>
      <c r="B585" s="1"/>
      <c r="C585" s="1"/>
      <c r="D585" s="1"/>
      <c r="E585" s="1"/>
      <c r="F585" s="2"/>
      <c r="G585" s="1"/>
    </row>
    <row r="586" ht="14.25" customHeight="1">
      <c r="A586" s="1"/>
      <c r="B586" s="1"/>
      <c r="C586" s="1"/>
      <c r="D586" s="1"/>
      <c r="E586" s="1"/>
      <c r="F586" s="2"/>
      <c r="G586" s="1"/>
    </row>
    <row r="587" ht="14.25" customHeight="1">
      <c r="A587" s="1"/>
      <c r="B587" s="1"/>
      <c r="C587" s="1"/>
      <c r="D587" s="1"/>
      <c r="E587" s="1"/>
      <c r="F587" s="2"/>
      <c r="G587" s="1"/>
    </row>
    <row r="588" ht="14.25" customHeight="1">
      <c r="A588" s="1"/>
      <c r="B588" s="1"/>
      <c r="C588" s="1"/>
      <c r="D588" s="1"/>
      <c r="E588" s="1"/>
      <c r="F588" s="2"/>
      <c r="G588" s="1"/>
    </row>
    <row r="589" ht="14.25" customHeight="1">
      <c r="A589" s="1"/>
      <c r="B589" s="1"/>
      <c r="C589" s="1"/>
      <c r="D589" s="1"/>
      <c r="E589" s="1"/>
      <c r="F589" s="2"/>
      <c r="G589" s="1"/>
    </row>
    <row r="590" ht="14.25" customHeight="1">
      <c r="A590" s="1"/>
      <c r="B590" s="1"/>
      <c r="C590" s="1"/>
      <c r="D590" s="1"/>
      <c r="E590" s="1"/>
      <c r="F590" s="2"/>
      <c r="G590" s="1"/>
    </row>
    <row r="591" ht="14.25" customHeight="1">
      <c r="A591" s="1"/>
      <c r="B591" s="1"/>
      <c r="C591" s="1"/>
      <c r="D591" s="1"/>
      <c r="E591" s="1"/>
      <c r="F591" s="2"/>
      <c r="G591" s="1"/>
    </row>
    <row r="592" ht="14.25" customHeight="1">
      <c r="A592" s="1"/>
      <c r="B592" s="1"/>
      <c r="C592" s="1"/>
      <c r="D592" s="1"/>
      <c r="E592" s="1"/>
      <c r="F592" s="2"/>
      <c r="G592" s="1"/>
    </row>
    <row r="593" ht="14.25" customHeight="1">
      <c r="A593" s="1"/>
      <c r="B593" s="1"/>
      <c r="C593" s="1"/>
      <c r="D593" s="1"/>
      <c r="E593" s="1"/>
      <c r="F593" s="2"/>
      <c r="G593" s="1"/>
    </row>
    <row r="594" ht="14.25" customHeight="1">
      <c r="A594" s="1"/>
      <c r="B594" s="1"/>
      <c r="C594" s="1"/>
      <c r="D594" s="1"/>
      <c r="E594" s="1"/>
      <c r="F594" s="2"/>
      <c r="G594" s="1"/>
    </row>
    <row r="595" ht="14.25" customHeight="1">
      <c r="A595" s="1"/>
      <c r="B595" s="1"/>
      <c r="C595" s="1"/>
      <c r="D595" s="1"/>
      <c r="E595" s="1"/>
      <c r="F595" s="2"/>
      <c r="G595" s="1"/>
    </row>
    <row r="596" ht="14.25" customHeight="1">
      <c r="A596" s="1"/>
      <c r="B596" s="1"/>
      <c r="C596" s="1"/>
      <c r="D596" s="1"/>
      <c r="E596" s="1"/>
      <c r="F596" s="2"/>
      <c r="G596" s="1"/>
    </row>
    <row r="597" ht="14.25" customHeight="1">
      <c r="A597" s="1"/>
      <c r="B597" s="1"/>
      <c r="C597" s="1"/>
      <c r="D597" s="1"/>
      <c r="E597" s="1"/>
      <c r="F597" s="2"/>
      <c r="G597" s="1"/>
    </row>
    <row r="598" ht="14.25" customHeight="1">
      <c r="A598" s="1"/>
      <c r="B598" s="1"/>
      <c r="C598" s="1"/>
      <c r="D598" s="1"/>
      <c r="E598" s="1"/>
      <c r="F598" s="2"/>
      <c r="G598" s="1"/>
    </row>
    <row r="599" ht="14.25" customHeight="1">
      <c r="A599" s="1"/>
      <c r="B599" s="1"/>
      <c r="C599" s="1"/>
      <c r="D599" s="1"/>
      <c r="E599" s="1"/>
      <c r="F599" s="2"/>
      <c r="G599" s="1"/>
    </row>
    <row r="600" ht="14.25" customHeight="1">
      <c r="A600" s="1"/>
      <c r="B600" s="1"/>
      <c r="C600" s="1"/>
      <c r="D600" s="1"/>
      <c r="E600" s="1"/>
      <c r="F600" s="2"/>
      <c r="G600" s="1"/>
    </row>
    <row r="601" ht="14.25" customHeight="1">
      <c r="A601" s="1"/>
      <c r="B601" s="1"/>
      <c r="C601" s="1"/>
      <c r="D601" s="1"/>
      <c r="E601" s="1"/>
      <c r="F601" s="2"/>
      <c r="G601" s="1"/>
    </row>
    <row r="602" ht="14.25" customHeight="1">
      <c r="A602" s="1"/>
      <c r="B602" s="1"/>
      <c r="C602" s="1"/>
      <c r="D602" s="1"/>
      <c r="E602" s="1"/>
      <c r="F602" s="2"/>
      <c r="G602" s="1"/>
    </row>
    <row r="603" ht="14.25" customHeight="1">
      <c r="A603" s="1"/>
      <c r="B603" s="1"/>
      <c r="C603" s="1"/>
      <c r="D603" s="1"/>
      <c r="E603" s="1"/>
      <c r="F603" s="2"/>
      <c r="G603" s="1"/>
    </row>
    <row r="604" ht="14.25" customHeight="1">
      <c r="A604" s="1"/>
      <c r="B604" s="1"/>
      <c r="C604" s="1"/>
      <c r="D604" s="1"/>
      <c r="E604" s="1"/>
      <c r="F604" s="2"/>
      <c r="G604" s="1"/>
    </row>
    <row r="605" ht="14.25" customHeight="1">
      <c r="A605" s="1"/>
      <c r="B605" s="1"/>
      <c r="C605" s="1"/>
      <c r="D605" s="1"/>
      <c r="E605" s="1"/>
      <c r="F605" s="2"/>
      <c r="G605" s="1"/>
    </row>
    <row r="606" ht="14.25" customHeight="1">
      <c r="A606" s="1"/>
      <c r="B606" s="1"/>
      <c r="C606" s="1"/>
      <c r="D606" s="1"/>
      <c r="E606" s="1"/>
      <c r="F606" s="2"/>
      <c r="G606" s="1"/>
    </row>
    <row r="607" ht="14.25" customHeight="1">
      <c r="A607" s="1"/>
      <c r="B607" s="1"/>
      <c r="C607" s="1"/>
      <c r="D607" s="1"/>
      <c r="E607" s="1"/>
      <c r="F607" s="2"/>
      <c r="G607" s="1"/>
    </row>
    <row r="608" ht="14.25" customHeight="1">
      <c r="A608" s="1"/>
      <c r="B608" s="1"/>
      <c r="C608" s="1"/>
      <c r="D608" s="1"/>
      <c r="E608" s="1"/>
      <c r="F608" s="2"/>
      <c r="G608" s="1"/>
    </row>
    <row r="609" ht="14.25" customHeight="1">
      <c r="A609" s="1"/>
      <c r="B609" s="1"/>
      <c r="C609" s="1"/>
      <c r="D609" s="1"/>
      <c r="E609" s="1"/>
      <c r="F609" s="2"/>
      <c r="G609" s="1"/>
    </row>
    <row r="610" ht="14.25" customHeight="1">
      <c r="A610" s="1"/>
      <c r="B610" s="1"/>
      <c r="C610" s="1"/>
      <c r="D610" s="1"/>
      <c r="E610" s="1"/>
      <c r="F610" s="2"/>
      <c r="G610" s="1"/>
    </row>
    <row r="611" ht="14.25" customHeight="1">
      <c r="A611" s="1"/>
      <c r="B611" s="1"/>
      <c r="C611" s="1"/>
      <c r="D611" s="1"/>
      <c r="E611" s="1"/>
      <c r="F611" s="2"/>
      <c r="G611" s="1"/>
    </row>
    <row r="612" ht="14.25" customHeight="1">
      <c r="A612" s="1"/>
      <c r="B612" s="1"/>
      <c r="C612" s="1"/>
      <c r="D612" s="1"/>
      <c r="E612" s="1"/>
      <c r="F612" s="2"/>
      <c r="G612" s="1"/>
    </row>
    <row r="613" ht="14.25" customHeight="1">
      <c r="A613" s="1"/>
      <c r="B613" s="1"/>
      <c r="C613" s="1"/>
      <c r="D613" s="1"/>
      <c r="E613" s="1"/>
      <c r="F613" s="2"/>
      <c r="G613" s="1"/>
    </row>
    <row r="614" ht="14.25" customHeight="1">
      <c r="A614" s="1"/>
      <c r="B614" s="1"/>
      <c r="C614" s="1"/>
      <c r="D614" s="1"/>
      <c r="E614" s="1"/>
      <c r="F614" s="2"/>
      <c r="G614" s="1"/>
    </row>
    <row r="615" ht="14.25" customHeight="1">
      <c r="A615" s="1"/>
      <c r="B615" s="1"/>
      <c r="C615" s="1"/>
      <c r="D615" s="1"/>
      <c r="E615" s="1"/>
      <c r="F615" s="2"/>
      <c r="G615" s="1"/>
    </row>
    <row r="616" ht="14.25" customHeight="1">
      <c r="A616" s="1"/>
      <c r="B616" s="1"/>
      <c r="C616" s="1"/>
      <c r="D616" s="1"/>
      <c r="E616" s="1"/>
      <c r="F616" s="2"/>
      <c r="G616" s="1"/>
    </row>
    <row r="617" ht="14.25" customHeight="1">
      <c r="A617" s="1"/>
      <c r="B617" s="1"/>
      <c r="C617" s="1"/>
      <c r="D617" s="1"/>
      <c r="E617" s="1"/>
      <c r="F617" s="2"/>
      <c r="G617" s="1"/>
    </row>
    <row r="618" ht="14.25" customHeight="1">
      <c r="A618" s="1"/>
      <c r="B618" s="1"/>
      <c r="C618" s="1"/>
      <c r="D618" s="1"/>
      <c r="E618" s="1"/>
      <c r="F618" s="2"/>
      <c r="G618" s="1"/>
    </row>
    <row r="619" ht="14.25" customHeight="1">
      <c r="A619" s="1"/>
      <c r="B619" s="1"/>
      <c r="C619" s="1"/>
      <c r="D619" s="1"/>
      <c r="E619" s="1"/>
      <c r="F619" s="2"/>
      <c r="G619" s="1"/>
    </row>
    <row r="620" ht="14.25" customHeight="1">
      <c r="A620" s="1"/>
      <c r="B620" s="1"/>
      <c r="C620" s="1"/>
      <c r="D620" s="1"/>
      <c r="E620" s="1"/>
      <c r="F620" s="2"/>
      <c r="G620" s="1"/>
    </row>
    <row r="621" ht="14.25" customHeight="1">
      <c r="A621" s="1"/>
      <c r="B621" s="1"/>
      <c r="C621" s="1"/>
      <c r="D621" s="1"/>
      <c r="E621" s="1"/>
      <c r="F621" s="2"/>
      <c r="G621" s="1"/>
    </row>
    <row r="622" ht="14.25" customHeight="1">
      <c r="A622" s="1"/>
      <c r="B622" s="1"/>
      <c r="C622" s="1"/>
      <c r="D622" s="1"/>
      <c r="E622" s="1"/>
      <c r="F622" s="2"/>
      <c r="G622" s="1"/>
    </row>
    <row r="623" ht="14.25" customHeight="1">
      <c r="A623" s="1"/>
      <c r="B623" s="1"/>
      <c r="C623" s="1"/>
      <c r="D623" s="1"/>
      <c r="E623" s="1"/>
      <c r="F623" s="2"/>
      <c r="G623" s="1"/>
    </row>
    <row r="624" ht="14.25" customHeight="1">
      <c r="A624" s="1"/>
      <c r="B624" s="1"/>
      <c r="C624" s="1"/>
      <c r="D624" s="1"/>
      <c r="E624" s="1"/>
      <c r="F624" s="2"/>
      <c r="G624" s="1"/>
    </row>
    <row r="625" ht="14.25" customHeight="1">
      <c r="A625" s="1"/>
      <c r="B625" s="1"/>
      <c r="C625" s="1"/>
      <c r="D625" s="1"/>
      <c r="E625" s="1"/>
      <c r="F625" s="2"/>
      <c r="G625" s="1"/>
    </row>
    <row r="626" ht="14.25" customHeight="1">
      <c r="A626" s="1"/>
      <c r="B626" s="1"/>
      <c r="C626" s="1"/>
      <c r="D626" s="1"/>
      <c r="E626" s="1"/>
      <c r="F626" s="2"/>
      <c r="G626" s="1"/>
    </row>
    <row r="627" ht="14.25" customHeight="1">
      <c r="A627" s="1"/>
      <c r="B627" s="1"/>
      <c r="C627" s="1"/>
      <c r="D627" s="1"/>
      <c r="E627" s="1"/>
      <c r="F627" s="2"/>
      <c r="G627" s="1"/>
    </row>
    <row r="628" ht="14.25" customHeight="1">
      <c r="A628" s="1"/>
      <c r="B628" s="1"/>
      <c r="C628" s="1"/>
      <c r="D628" s="1"/>
      <c r="E628" s="1"/>
      <c r="F628" s="2"/>
      <c r="G628" s="1"/>
    </row>
    <row r="629" ht="14.25" customHeight="1">
      <c r="A629" s="1"/>
      <c r="B629" s="1"/>
      <c r="C629" s="1"/>
      <c r="D629" s="1"/>
      <c r="E629" s="1"/>
      <c r="F629" s="2"/>
      <c r="G629" s="1"/>
    </row>
    <row r="630" ht="14.25" customHeight="1">
      <c r="A630" s="1"/>
      <c r="B630" s="1"/>
      <c r="C630" s="1"/>
      <c r="D630" s="1"/>
      <c r="E630" s="1"/>
      <c r="F630" s="2"/>
      <c r="G630" s="1"/>
    </row>
    <row r="631" ht="14.25" customHeight="1">
      <c r="A631" s="1"/>
      <c r="B631" s="1"/>
      <c r="C631" s="1"/>
      <c r="D631" s="1"/>
      <c r="E631" s="1"/>
      <c r="F631" s="2"/>
      <c r="G631" s="1"/>
    </row>
    <row r="632" ht="14.25" customHeight="1">
      <c r="A632" s="1"/>
      <c r="B632" s="1"/>
      <c r="C632" s="1"/>
      <c r="D632" s="1"/>
      <c r="E632" s="1"/>
      <c r="F632" s="2"/>
      <c r="G632" s="1"/>
    </row>
    <row r="633" ht="14.25" customHeight="1">
      <c r="A633" s="1"/>
      <c r="B633" s="1"/>
      <c r="C633" s="1"/>
      <c r="D633" s="1"/>
      <c r="E633" s="1"/>
      <c r="F633" s="2"/>
      <c r="G633" s="1"/>
    </row>
    <row r="634" ht="14.25" customHeight="1">
      <c r="A634" s="1"/>
      <c r="B634" s="1"/>
      <c r="C634" s="1"/>
      <c r="D634" s="1"/>
      <c r="E634" s="1"/>
      <c r="F634" s="2"/>
      <c r="G634" s="1"/>
    </row>
    <row r="635" ht="14.25" customHeight="1">
      <c r="A635" s="1"/>
      <c r="B635" s="1"/>
      <c r="C635" s="1"/>
      <c r="D635" s="1"/>
      <c r="E635" s="1"/>
      <c r="F635" s="2"/>
      <c r="G635" s="1"/>
    </row>
    <row r="636" ht="14.25" customHeight="1">
      <c r="A636" s="1"/>
      <c r="B636" s="1"/>
      <c r="C636" s="1"/>
      <c r="D636" s="1"/>
      <c r="E636" s="1"/>
      <c r="F636" s="2"/>
      <c r="G636" s="1"/>
    </row>
    <row r="637" ht="14.25" customHeight="1">
      <c r="A637" s="1"/>
      <c r="B637" s="1"/>
      <c r="C637" s="1"/>
      <c r="D637" s="1"/>
      <c r="E637" s="1"/>
      <c r="F637" s="2"/>
      <c r="G637" s="1"/>
    </row>
    <row r="638" ht="14.25" customHeight="1">
      <c r="A638" s="1"/>
      <c r="B638" s="1"/>
      <c r="C638" s="1"/>
      <c r="D638" s="1"/>
      <c r="E638" s="1"/>
      <c r="F638" s="2"/>
      <c r="G638" s="1"/>
    </row>
    <row r="639" ht="14.25" customHeight="1">
      <c r="A639" s="1"/>
      <c r="B639" s="1"/>
      <c r="C639" s="1"/>
      <c r="D639" s="1"/>
      <c r="E639" s="1"/>
      <c r="F639" s="2"/>
      <c r="G639" s="1"/>
    </row>
    <row r="640" ht="14.25" customHeight="1">
      <c r="A640" s="1"/>
      <c r="B640" s="1"/>
      <c r="C640" s="1"/>
      <c r="D640" s="1"/>
      <c r="E640" s="1"/>
      <c r="F640" s="2"/>
      <c r="G640" s="1"/>
    </row>
    <row r="641" ht="14.25" customHeight="1">
      <c r="A641" s="1"/>
      <c r="B641" s="1"/>
      <c r="C641" s="1"/>
      <c r="D641" s="1"/>
      <c r="E641" s="1"/>
      <c r="F641" s="2"/>
      <c r="G641" s="1"/>
    </row>
    <row r="642" ht="14.25" customHeight="1">
      <c r="A642" s="1"/>
      <c r="B642" s="1"/>
      <c r="C642" s="1"/>
      <c r="D642" s="1"/>
      <c r="E642" s="1"/>
      <c r="F642" s="2"/>
      <c r="G642" s="1"/>
    </row>
    <row r="643" ht="14.25" customHeight="1">
      <c r="A643" s="1"/>
      <c r="B643" s="1"/>
      <c r="C643" s="1"/>
      <c r="D643" s="1"/>
      <c r="E643" s="1"/>
      <c r="F643" s="2"/>
      <c r="G643" s="1"/>
    </row>
    <row r="644" ht="14.25" customHeight="1">
      <c r="A644" s="1"/>
      <c r="B644" s="1"/>
      <c r="C644" s="1"/>
      <c r="D644" s="1"/>
      <c r="E644" s="1"/>
      <c r="F644" s="2"/>
      <c r="G644" s="1"/>
    </row>
    <row r="645" ht="14.25" customHeight="1">
      <c r="A645" s="1"/>
      <c r="B645" s="1"/>
      <c r="C645" s="1"/>
      <c r="D645" s="1"/>
      <c r="E645" s="1"/>
      <c r="F645" s="2"/>
      <c r="G645" s="1"/>
    </row>
    <row r="646" ht="14.25" customHeight="1">
      <c r="A646" s="1"/>
      <c r="B646" s="1"/>
      <c r="C646" s="1"/>
      <c r="D646" s="1"/>
      <c r="E646" s="1"/>
      <c r="F646" s="2"/>
      <c r="G646" s="1"/>
    </row>
    <row r="647" ht="14.25" customHeight="1">
      <c r="A647" s="1"/>
      <c r="B647" s="1"/>
      <c r="C647" s="1"/>
      <c r="D647" s="1"/>
      <c r="E647" s="1"/>
      <c r="F647" s="2"/>
      <c r="G647" s="1"/>
    </row>
    <row r="648" ht="14.25" customHeight="1">
      <c r="A648" s="1"/>
      <c r="B648" s="1"/>
      <c r="C648" s="1"/>
      <c r="D648" s="1"/>
      <c r="E648" s="1"/>
      <c r="F648" s="2"/>
      <c r="G648" s="1"/>
    </row>
    <row r="649" ht="14.25" customHeight="1">
      <c r="A649" s="1"/>
      <c r="B649" s="1"/>
      <c r="C649" s="1"/>
      <c r="D649" s="1"/>
      <c r="E649" s="1"/>
      <c r="F649" s="2"/>
      <c r="G649" s="1"/>
    </row>
    <row r="650" ht="14.25" customHeight="1">
      <c r="A650" s="1"/>
      <c r="B650" s="1"/>
      <c r="C650" s="1"/>
      <c r="D650" s="1"/>
      <c r="E650" s="1"/>
      <c r="F650" s="2"/>
      <c r="G650" s="1"/>
    </row>
    <row r="651" ht="14.25" customHeight="1">
      <c r="A651" s="1"/>
      <c r="B651" s="1"/>
      <c r="C651" s="1"/>
      <c r="D651" s="1"/>
      <c r="E651" s="1"/>
      <c r="F651" s="2"/>
      <c r="G651" s="1"/>
    </row>
    <row r="652" ht="14.25" customHeight="1">
      <c r="A652" s="1"/>
      <c r="B652" s="1"/>
      <c r="C652" s="1"/>
      <c r="D652" s="1"/>
      <c r="E652" s="1"/>
      <c r="F652" s="2"/>
      <c r="G652" s="1"/>
    </row>
    <row r="653" ht="14.25" customHeight="1">
      <c r="A653" s="1"/>
      <c r="B653" s="1"/>
      <c r="C653" s="1"/>
      <c r="D653" s="1"/>
      <c r="E653" s="1"/>
      <c r="F653" s="2"/>
      <c r="G653" s="1"/>
    </row>
    <row r="654" ht="14.25" customHeight="1">
      <c r="A654" s="1"/>
      <c r="B654" s="1"/>
      <c r="C654" s="1"/>
      <c r="D654" s="1"/>
      <c r="E654" s="1"/>
      <c r="F654" s="2"/>
      <c r="G654" s="1"/>
    </row>
    <row r="655" ht="14.25" customHeight="1">
      <c r="A655" s="1"/>
      <c r="B655" s="1"/>
      <c r="C655" s="1"/>
      <c r="D655" s="1"/>
      <c r="E655" s="1"/>
      <c r="F655" s="2"/>
      <c r="G655" s="1"/>
    </row>
    <row r="656" ht="14.25" customHeight="1">
      <c r="A656" s="1"/>
      <c r="B656" s="1"/>
      <c r="C656" s="1"/>
      <c r="D656" s="1"/>
      <c r="E656" s="1"/>
      <c r="F656" s="2"/>
      <c r="G656" s="1"/>
    </row>
    <row r="657" ht="14.25" customHeight="1">
      <c r="A657" s="1"/>
      <c r="B657" s="1"/>
      <c r="C657" s="1"/>
      <c r="D657" s="1"/>
      <c r="E657" s="1"/>
      <c r="F657" s="2"/>
      <c r="G657" s="1"/>
    </row>
    <row r="658" ht="14.25" customHeight="1">
      <c r="A658" s="1"/>
      <c r="B658" s="1"/>
      <c r="C658" s="1"/>
      <c r="D658" s="1"/>
      <c r="E658" s="1"/>
      <c r="F658" s="2"/>
      <c r="G658" s="1"/>
    </row>
    <row r="659" ht="14.25" customHeight="1">
      <c r="A659" s="1"/>
      <c r="B659" s="1"/>
      <c r="C659" s="1"/>
      <c r="D659" s="1"/>
      <c r="E659" s="1"/>
      <c r="F659" s="2"/>
      <c r="G659" s="1"/>
    </row>
    <row r="660" ht="14.25" customHeight="1">
      <c r="A660" s="1"/>
      <c r="B660" s="1"/>
      <c r="C660" s="1"/>
      <c r="D660" s="1"/>
      <c r="E660" s="1"/>
      <c r="F660" s="2"/>
      <c r="G660" s="1"/>
    </row>
    <row r="661" ht="14.25" customHeight="1">
      <c r="A661" s="1"/>
      <c r="B661" s="1"/>
      <c r="C661" s="1"/>
      <c r="D661" s="1"/>
      <c r="E661" s="1"/>
      <c r="F661" s="2"/>
      <c r="G661" s="1"/>
    </row>
    <row r="662" ht="14.25" customHeight="1">
      <c r="A662" s="1"/>
      <c r="B662" s="1"/>
      <c r="C662" s="1"/>
      <c r="D662" s="1"/>
      <c r="E662" s="1"/>
      <c r="F662" s="2"/>
      <c r="G662" s="1"/>
    </row>
    <row r="663" ht="14.25" customHeight="1">
      <c r="A663" s="1"/>
      <c r="B663" s="1"/>
      <c r="C663" s="1"/>
      <c r="D663" s="1"/>
      <c r="E663" s="1"/>
      <c r="F663" s="2"/>
      <c r="G663" s="1"/>
    </row>
    <row r="664" ht="14.25" customHeight="1">
      <c r="A664" s="1"/>
      <c r="B664" s="1"/>
      <c r="C664" s="1"/>
      <c r="D664" s="1"/>
      <c r="E664" s="1"/>
      <c r="F664" s="2"/>
      <c r="G664" s="1"/>
    </row>
    <row r="665" ht="14.25" customHeight="1">
      <c r="A665" s="1"/>
      <c r="B665" s="1"/>
      <c r="C665" s="1"/>
      <c r="D665" s="1"/>
      <c r="E665" s="1"/>
      <c r="F665" s="2"/>
      <c r="G665" s="1"/>
    </row>
    <row r="666" ht="14.25" customHeight="1">
      <c r="A666" s="1"/>
      <c r="B666" s="1"/>
      <c r="C666" s="1"/>
      <c r="D666" s="1"/>
      <c r="E666" s="1"/>
      <c r="F666" s="2"/>
      <c r="G666" s="1"/>
    </row>
    <row r="667" ht="14.25" customHeight="1">
      <c r="A667" s="1"/>
      <c r="B667" s="1"/>
      <c r="C667" s="1"/>
      <c r="D667" s="1"/>
      <c r="E667" s="1"/>
      <c r="F667" s="2"/>
      <c r="G667" s="1"/>
    </row>
    <row r="668" ht="14.25" customHeight="1">
      <c r="A668" s="1"/>
      <c r="B668" s="1"/>
      <c r="C668" s="1"/>
      <c r="D668" s="1"/>
      <c r="E668" s="1"/>
      <c r="F668" s="2"/>
      <c r="G668" s="1"/>
    </row>
    <row r="669" ht="14.25" customHeight="1">
      <c r="A669" s="1"/>
      <c r="B669" s="1"/>
      <c r="C669" s="1"/>
      <c r="D669" s="1"/>
      <c r="E669" s="1"/>
      <c r="F669" s="2"/>
      <c r="G669" s="1"/>
    </row>
    <row r="670" ht="14.25" customHeight="1">
      <c r="A670" s="1"/>
      <c r="B670" s="1"/>
      <c r="C670" s="1"/>
      <c r="D670" s="1"/>
      <c r="E670" s="1"/>
      <c r="F670" s="2"/>
      <c r="G670" s="1"/>
    </row>
    <row r="671" ht="14.25" customHeight="1">
      <c r="A671" s="1"/>
      <c r="B671" s="1"/>
      <c r="C671" s="1"/>
      <c r="D671" s="1"/>
      <c r="E671" s="1"/>
      <c r="F671" s="2"/>
      <c r="G671" s="1"/>
    </row>
    <row r="672" ht="14.25" customHeight="1">
      <c r="A672" s="1"/>
      <c r="B672" s="1"/>
      <c r="C672" s="1"/>
      <c r="D672" s="1"/>
      <c r="E672" s="1"/>
      <c r="F672" s="2"/>
      <c r="G672" s="1"/>
    </row>
    <row r="673" ht="14.25" customHeight="1">
      <c r="A673" s="1"/>
      <c r="B673" s="1"/>
      <c r="C673" s="1"/>
      <c r="D673" s="1"/>
      <c r="E673" s="1"/>
      <c r="F673" s="2"/>
      <c r="G673" s="1"/>
    </row>
    <row r="674" ht="14.25" customHeight="1">
      <c r="A674" s="1"/>
      <c r="B674" s="1"/>
      <c r="C674" s="1"/>
      <c r="D674" s="1"/>
      <c r="E674" s="1"/>
      <c r="F674" s="2"/>
      <c r="G674" s="1"/>
    </row>
    <row r="675" ht="14.25" customHeight="1">
      <c r="A675" s="1"/>
      <c r="B675" s="1"/>
      <c r="C675" s="1"/>
      <c r="D675" s="1"/>
      <c r="E675" s="1"/>
      <c r="F675" s="2"/>
      <c r="G675" s="1"/>
    </row>
    <row r="676" ht="14.25" customHeight="1">
      <c r="A676" s="1"/>
      <c r="B676" s="1"/>
      <c r="C676" s="1"/>
      <c r="D676" s="1"/>
      <c r="E676" s="1"/>
      <c r="F676" s="2"/>
      <c r="G676" s="1"/>
    </row>
    <row r="677" ht="14.25" customHeight="1">
      <c r="A677" s="1"/>
      <c r="B677" s="1"/>
      <c r="C677" s="1"/>
      <c r="D677" s="1"/>
      <c r="E677" s="1"/>
      <c r="F677" s="2"/>
      <c r="G677" s="1"/>
    </row>
    <row r="678" ht="14.25" customHeight="1">
      <c r="A678" s="1"/>
      <c r="B678" s="1"/>
      <c r="C678" s="1"/>
      <c r="D678" s="1"/>
      <c r="E678" s="1"/>
      <c r="F678" s="2"/>
      <c r="G678" s="1"/>
    </row>
    <row r="679" ht="14.25" customHeight="1">
      <c r="A679" s="1"/>
      <c r="B679" s="1"/>
      <c r="C679" s="1"/>
      <c r="D679" s="1"/>
      <c r="E679" s="1"/>
      <c r="F679" s="2"/>
      <c r="G679" s="1"/>
    </row>
    <row r="680" ht="14.25" customHeight="1">
      <c r="A680" s="1"/>
      <c r="B680" s="1"/>
      <c r="C680" s="1"/>
      <c r="D680" s="1"/>
      <c r="E680" s="1"/>
      <c r="F680" s="2"/>
      <c r="G680" s="1"/>
    </row>
    <row r="681" ht="14.25" customHeight="1">
      <c r="A681" s="1"/>
      <c r="B681" s="1"/>
      <c r="C681" s="1"/>
      <c r="D681" s="1"/>
      <c r="E681" s="1"/>
      <c r="F681" s="2"/>
      <c r="G681" s="1"/>
    </row>
    <row r="682" ht="14.25" customHeight="1">
      <c r="A682" s="1"/>
      <c r="B682" s="1"/>
      <c r="C682" s="1"/>
      <c r="D682" s="1"/>
      <c r="E682" s="1"/>
      <c r="F682" s="2"/>
      <c r="G682" s="1"/>
    </row>
    <row r="683" ht="14.25" customHeight="1">
      <c r="A683" s="1"/>
      <c r="B683" s="1"/>
      <c r="C683" s="1"/>
      <c r="D683" s="1"/>
      <c r="E683" s="1"/>
      <c r="F683" s="2"/>
      <c r="G683" s="1"/>
    </row>
    <row r="684" ht="14.25" customHeight="1">
      <c r="A684" s="1"/>
      <c r="B684" s="1"/>
      <c r="C684" s="1"/>
      <c r="D684" s="1"/>
      <c r="E684" s="1"/>
      <c r="F684" s="2"/>
      <c r="G684" s="1"/>
    </row>
    <row r="685" ht="14.25" customHeight="1">
      <c r="A685" s="1"/>
      <c r="B685" s="1"/>
      <c r="C685" s="1"/>
      <c r="D685" s="1"/>
      <c r="E685" s="1"/>
      <c r="F685" s="2"/>
      <c r="G685" s="1"/>
    </row>
    <row r="686" ht="14.25" customHeight="1">
      <c r="A686" s="1"/>
      <c r="B686" s="1"/>
      <c r="C686" s="1"/>
      <c r="D686" s="1"/>
      <c r="E686" s="1"/>
      <c r="F686" s="2"/>
      <c r="G686" s="1"/>
    </row>
    <row r="687" ht="14.25" customHeight="1">
      <c r="A687" s="1"/>
      <c r="B687" s="1"/>
      <c r="C687" s="1"/>
      <c r="D687" s="1"/>
      <c r="E687" s="1"/>
      <c r="F687" s="2"/>
      <c r="G687" s="1"/>
    </row>
    <row r="688" ht="14.25" customHeight="1">
      <c r="A688" s="1"/>
      <c r="B688" s="1"/>
      <c r="C688" s="1"/>
      <c r="D688" s="1"/>
      <c r="E688" s="1"/>
      <c r="F688" s="2"/>
      <c r="G688" s="1"/>
    </row>
    <row r="689" ht="14.25" customHeight="1">
      <c r="A689" s="1"/>
      <c r="B689" s="1"/>
      <c r="C689" s="1"/>
      <c r="D689" s="1"/>
      <c r="E689" s="1"/>
      <c r="F689" s="2"/>
      <c r="G689" s="1"/>
    </row>
    <row r="690" ht="14.25" customHeight="1">
      <c r="A690" s="1"/>
      <c r="B690" s="1"/>
      <c r="C690" s="1"/>
      <c r="D690" s="1"/>
      <c r="E690" s="1"/>
      <c r="F690" s="2"/>
      <c r="G690" s="1"/>
    </row>
    <row r="691" ht="14.25" customHeight="1">
      <c r="A691" s="1"/>
      <c r="B691" s="1"/>
      <c r="C691" s="1"/>
      <c r="D691" s="1"/>
      <c r="E691" s="1"/>
      <c r="F691" s="2"/>
      <c r="G691" s="1"/>
    </row>
    <row r="692" ht="14.25" customHeight="1">
      <c r="A692" s="1"/>
      <c r="B692" s="1"/>
      <c r="C692" s="1"/>
      <c r="D692" s="1"/>
      <c r="E692" s="1"/>
      <c r="F692" s="2"/>
      <c r="G692" s="1"/>
    </row>
    <row r="693" ht="14.25" customHeight="1">
      <c r="A693" s="1"/>
      <c r="B693" s="1"/>
      <c r="C693" s="1"/>
      <c r="D693" s="1"/>
      <c r="E693" s="1"/>
      <c r="F693" s="2"/>
      <c r="G693" s="1"/>
    </row>
    <row r="694" ht="14.25" customHeight="1">
      <c r="A694" s="1"/>
      <c r="B694" s="1"/>
      <c r="C694" s="1"/>
      <c r="D694" s="1"/>
      <c r="E694" s="1"/>
      <c r="F694" s="2"/>
      <c r="G694" s="1"/>
    </row>
    <row r="695" ht="14.25" customHeight="1">
      <c r="A695" s="1"/>
      <c r="B695" s="1"/>
      <c r="C695" s="1"/>
      <c r="D695" s="1"/>
      <c r="E695" s="1"/>
      <c r="F695" s="2"/>
      <c r="G695" s="1"/>
    </row>
    <row r="696" ht="14.25" customHeight="1">
      <c r="A696" s="1"/>
      <c r="B696" s="1"/>
      <c r="C696" s="1"/>
      <c r="D696" s="1"/>
      <c r="E696" s="1"/>
      <c r="F696" s="2"/>
      <c r="G696" s="1"/>
    </row>
    <row r="697" ht="14.25" customHeight="1">
      <c r="A697" s="1"/>
      <c r="B697" s="1"/>
      <c r="C697" s="1"/>
      <c r="D697" s="1"/>
      <c r="E697" s="1"/>
      <c r="F697" s="2"/>
      <c r="G697" s="1"/>
    </row>
    <row r="698" ht="14.25" customHeight="1">
      <c r="A698" s="1"/>
      <c r="B698" s="1"/>
      <c r="C698" s="1"/>
      <c r="D698" s="1"/>
      <c r="E698" s="1"/>
      <c r="F698" s="2"/>
      <c r="G698" s="1"/>
    </row>
    <row r="699" ht="14.25" customHeight="1">
      <c r="A699" s="1"/>
      <c r="B699" s="1"/>
      <c r="C699" s="1"/>
      <c r="D699" s="1"/>
      <c r="E699" s="1"/>
      <c r="F699" s="2"/>
      <c r="G699" s="1"/>
    </row>
    <row r="700" ht="14.25" customHeight="1">
      <c r="A700" s="1"/>
      <c r="B700" s="1"/>
      <c r="C700" s="1"/>
      <c r="D700" s="1"/>
      <c r="E700" s="1"/>
      <c r="F700" s="2"/>
      <c r="G700" s="1"/>
    </row>
    <row r="701" ht="14.25" customHeight="1">
      <c r="A701" s="1"/>
      <c r="B701" s="1"/>
      <c r="C701" s="1"/>
      <c r="D701" s="1"/>
      <c r="E701" s="1"/>
      <c r="F701" s="2"/>
      <c r="G701" s="1"/>
    </row>
    <row r="702" ht="14.25" customHeight="1">
      <c r="A702" s="1"/>
      <c r="B702" s="1"/>
      <c r="C702" s="1"/>
      <c r="D702" s="1"/>
      <c r="E702" s="1"/>
      <c r="F702" s="2"/>
      <c r="G702" s="1"/>
    </row>
    <row r="703" ht="14.25" customHeight="1">
      <c r="A703" s="1"/>
      <c r="B703" s="1"/>
      <c r="C703" s="1"/>
      <c r="D703" s="1"/>
      <c r="E703" s="1"/>
      <c r="F703" s="2"/>
      <c r="G703" s="1"/>
    </row>
    <row r="704" ht="14.25" customHeight="1">
      <c r="A704" s="1"/>
      <c r="B704" s="1"/>
      <c r="C704" s="1"/>
      <c r="D704" s="1"/>
      <c r="E704" s="1"/>
      <c r="F704" s="2"/>
      <c r="G704" s="1"/>
    </row>
    <row r="705" ht="14.25" customHeight="1">
      <c r="A705" s="1"/>
      <c r="B705" s="1"/>
      <c r="C705" s="1"/>
      <c r="D705" s="1"/>
      <c r="E705" s="1"/>
      <c r="F705" s="2"/>
      <c r="G705" s="1"/>
    </row>
    <row r="706" ht="14.25" customHeight="1">
      <c r="A706" s="1"/>
      <c r="B706" s="1"/>
      <c r="C706" s="1"/>
      <c r="D706" s="1"/>
      <c r="E706" s="1"/>
      <c r="F706" s="2"/>
      <c r="G706" s="1"/>
    </row>
    <row r="707" ht="14.25" customHeight="1">
      <c r="A707" s="1"/>
      <c r="B707" s="1"/>
      <c r="C707" s="1"/>
      <c r="D707" s="1"/>
      <c r="E707" s="1"/>
      <c r="F707" s="2"/>
      <c r="G707" s="1"/>
    </row>
    <row r="708" ht="14.25" customHeight="1">
      <c r="A708" s="1"/>
      <c r="B708" s="1"/>
      <c r="C708" s="1"/>
      <c r="D708" s="1"/>
      <c r="E708" s="1"/>
      <c r="F708" s="2"/>
      <c r="G708" s="1"/>
    </row>
    <row r="709" ht="14.25" customHeight="1">
      <c r="A709" s="1"/>
      <c r="B709" s="1"/>
      <c r="C709" s="1"/>
      <c r="D709" s="1"/>
      <c r="E709" s="1"/>
      <c r="F709" s="2"/>
      <c r="G709" s="1"/>
    </row>
    <row r="710" ht="14.25" customHeight="1">
      <c r="A710" s="1"/>
      <c r="B710" s="1"/>
      <c r="C710" s="1"/>
      <c r="D710" s="1"/>
      <c r="E710" s="1"/>
      <c r="F710" s="2"/>
      <c r="G710" s="1"/>
    </row>
    <row r="711" ht="14.25" customHeight="1">
      <c r="A711" s="1"/>
      <c r="B711" s="1"/>
      <c r="C711" s="1"/>
      <c r="D711" s="1"/>
      <c r="E711" s="1"/>
      <c r="F711" s="2"/>
      <c r="G711" s="1"/>
    </row>
    <row r="712" ht="14.25" customHeight="1">
      <c r="A712" s="1"/>
      <c r="B712" s="1"/>
      <c r="C712" s="1"/>
      <c r="D712" s="1"/>
      <c r="E712" s="1"/>
      <c r="F712" s="2"/>
      <c r="G712" s="1"/>
    </row>
    <row r="713" ht="14.25" customHeight="1">
      <c r="A713" s="1"/>
      <c r="B713" s="1"/>
      <c r="C713" s="1"/>
      <c r="D713" s="1"/>
      <c r="E713" s="1"/>
      <c r="F713" s="2"/>
      <c r="G713" s="1"/>
    </row>
    <row r="714" ht="14.25" customHeight="1">
      <c r="A714" s="1"/>
      <c r="B714" s="1"/>
      <c r="C714" s="1"/>
      <c r="D714" s="1"/>
      <c r="E714" s="1"/>
      <c r="F714" s="2"/>
      <c r="G714" s="1"/>
    </row>
    <row r="715" ht="14.25" customHeight="1">
      <c r="A715" s="1"/>
      <c r="B715" s="1"/>
      <c r="C715" s="1"/>
      <c r="D715" s="1"/>
      <c r="E715" s="1"/>
      <c r="F715" s="2"/>
      <c r="G715" s="1"/>
    </row>
    <row r="716" ht="14.25" customHeight="1">
      <c r="A716" s="1"/>
      <c r="B716" s="1"/>
      <c r="C716" s="1"/>
      <c r="D716" s="1"/>
      <c r="E716" s="1"/>
      <c r="F716" s="2"/>
      <c r="G716" s="1"/>
    </row>
    <row r="717" ht="14.25" customHeight="1">
      <c r="A717" s="1"/>
      <c r="B717" s="1"/>
      <c r="C717" s="1"/>
      <c r="D717" s="1"/>
      <c r="E717" s="1"/>
      <c r="F717" s="2"/>
      <c r="G717" s="1"/>
    </row>
    <row r="718" ht="14.25" customHeight="1">
      <c r="A718" s="1"/>
      <c r="B718" s="1"/>
      <c r="C718" s="1"/>
      <c r="D718" s="1"/>
      <c r="E718" s="1"/>
      <c r="F718" s="2"/>
      <c r="G718" s="1"/>
    </row>
    <row r="719" ht="14.25" customHeight="1">
      <c r="A719" s="1"/>
      <c r="B719" s="1"/>
      <c r="C719" s="1"/>
      <c r="D719" s="1"/>
      <c r="E719" s="1"/>
      <c r="F719" s="2"/>
      <c r="G719" s="1"/>
    </row>
    <row r="720" ht="14.25" customHeight="1">
      <c r="A720" s="1"/>
      <c r="B720" s="1"/>
      <c r="C720" s="1"/>
      <c r="D720" s="1"/>
      <c r="E720" s="1"/>
      <c r="F720" s="2"/>
      <c r="G720" s="1"/>
    </row>
    <row r="721" ht="14.25" customHeight="1">
      <c r="A721" s="1"/>
      <c r="B721" s="1"/>
      <c r="C721" s="1"/>
      <c r="D721" s="1"/>
      <c r="E721" s="1"/>
      <c r="F721" s="2"/>
      <c r="G721" s="1"/>
    </row>
    <row r="722" ht="14.25" customHeight="1">
      <c r="A722" s="1"/>
      <c r="B722" s="1"/>
      <c r="C722" s="1"/>
      <c r="D722" s="1"/>
      <c r="E722" s="1"/>
      <c r="F722" s="2"/>
      <c r="G722" s="1"/>
    </row>
    <row r="723" ht="14.25" customHeight="1">
      <c r="A723" s="1"/>
      <c r="B723" s="1"/>
      <c r="C723" s="1"/>
      <c r="D723" s="1"/>
      <c r="E723" s="1"/>
      <c r="F723" s="2"/>
      <c r="G723" s="1"/>
    </row>
    <row r="724" ht="14.25" customHeight="1">
      <c r="A724" s="1"/>
      <c r="B724" s="1"/>
      <c r="C724" s="1"/>
      <c r="D724" s="1"/>
      <c r="E724" s="1"/>
      <c r="F724" s="2"/>
      <c r="G724" s="1"/>
    </row>
    <row r="725" ht="14.25" customHeight="1">
      <c r="A725" s="1"/>
      <c r="B725" s="1"/>
      <c r="C725" s="1"/>
      <c r="D725" s="1"/>
      <c r="E725" s="1"/>
      <c r="F725" s="2"/>
      <c r="G725" s="1"/>
    </row>
    <row r="726" ht="14.25" customHeight="1">
      <c r="A726" s="1"/>
      <c r="B726" s="1"/>
      <c r="C726" s="1"/>
      <c r="D726" s="1"/>
      <c r="E726" s="1"/>
      <c r="F726" s="2"/>
      <c r="G726" s="1"/>
    </row>
    <row r="727" ht="14.25" customHeight="1">
      <c r="A727" s="1"/>
      <c r="B727" s="1"/>
      <c r="C727" s="1"/>
      <c r="D727" s="1"/>
      <c r="E727" s="1"/>
      <c r="F727" s="2"/>
      <c r="G727" s="1"/>
    </row>
    <row r="728" ht="14.25" customHeight="1">
      <c r="A728" s="1"/>
      <c r="B728" s="1"/>
      <c r="C728" s="1"/>
      <c r="D728" s="1"/>
      <c r="E728" s="1"/>
      <c r="F728" s="2"/>
      <c r="G728" s="1"/>
    </row>
    <row r="729" ht="14.25" customHeight="1">
      <c r="A729" s="1"/>
      <c r="B729" s="1"/>
      <c r="C729" s="1"/>
      <c r="D729" s="1"/>
      <c r="E729" s="1"/>
      <c r="F729" s="2"/>
      <c r="G729" s="1"/>
    </row>
    <row r="730" ht="14.25" customHeight="1">
      <c r="A730" s="1"/>
      <c r="B730" s="1"/>
      <c r="C730" s="1"/>
      <c r="D730" s="1"/>
      <c r="E730" s="1"/>
      <c r="F730" s="2"/>
      <c r="G730" s="1"/>
    </row>
    <row r="731" ht="14.25" customHeight="1">
      <c r="A731" s="1"/>
      <c r="B731" s="1"/>
      <c r="C731" s="1"/>
      <c r="D731" s="1"/>
      <c r="E731" s="1"/>
      <c r="F731" s="2"/>
      <c r="G731" s="1"/>
    </row>
    <row r="732" ht="14.25" customHeight="1">
      <c r="A732" s="1"/>
      <c r="B732" s="1"/>
      <c r="C732" s="1"/>
      <c r="D732" s="1"/>
      <c r="E732" s="1"/>
      <c r="F732" s="2"/>
      <c r="G732" s="1"/>
    </row>
    <row r="733" ht="14.25" customHeight="1">
      <c r="A733" s="1"/>
      <c r="B733" s="1"/>
      <c r="C733" s="1"/>
      <c r="D733" s="1"/>
      <c r="E733" s="1"/>
      <c r="F733" s="2"/>
      <c r="G733" s="1"/>
    </row>
    <row r="734" ht="14.25" customHeight="1">
      <c r="A734" s="1"/>
      <c r="B734" s="1"/>
      <c r="C734" s="1"/>
      <c r="D734" s="1"/>
      <c r="E734" s="1"/>
      <c r="F734" s="2"/>
      <c r="G734" s="1"/>
    </row>
    <row r="735" ht="14.25" customHeight="1">
      <c r="A735" s="1"/>
      <c r="B735" s="1"/>
      <c r="C735" s="1"/>
      <c r="D735" s="1"/>
      <c r="E735" s="1"/>
      <c r="F735" s="2"/>
      <c r="G735" s="1"/>
    </row>
    <row r="736" ht="14.25" customHeight="1">
      <c r="A736" s="1"/>
      <c r="B736" s="1"/>
      <c r="C736" s="1"/>
      <c r="D736" s="1"/>
      <c r="E736" s="1"/>
      <c r="F736" s="2"/>
      <c r="G736" s="1"/>
    </row>
    <row r="737" ht="14.25" customHeight="1">
      <c r="A737" s="1"/>
      <c r="B737" s="1"/>
      <c r="C737" s="1"/>
      <c r="D737" s="1"/>
      <c r="E737" s="1"/>
      <c r="F737" s="2"/>
      <c r="G737" s="1"/>
    </row>
    <row r="738" ht="14.25" customHeight="1">
      <c r="A738" s="1"/>
      <c r="B738" s="1"/>
      <c r="C738" s="1"/>
      <c r="D738" s="1"/>
      <c r="E738" s="1"/>
      <c r="F738" s="2"/>
      <c r="G738" s="1"/>
    </row>
    <row r="739" ht="14.25" customHeight="1">
      <c r="A739" s="1"/>
      <c r="B739" s="1"/>
      <c r="C739" s="1"/>
      <c r="D739" s="1"/>
      <c r="E739" s="1"/>
      <c r="F739" s="2"/>
      <c r="G739" s="1"/>
    </row>
    <row r="740" ht="14.25" customHeight="1">
      <c r="A740" s="1"/>
      <c r="B740" s="1"/>
      <c r="C740" s="1"/>
      <c r="D740" s="1"/>
      <c r="E740" s="1"/>
      <c r="F740" s="2"/>
      <c r="G740" s="1"/>
    </row>
    <row r="741" ht="14.25" customHeight="1">
      <c r="A741" s="1"/>
      <c r="B741" s="1"/>
      <c r="C741" s="1"/>
      <c r="D741" s="1"/>
      <c r="E741" s="1"/>
      <c r="F741" s="2"/>
      <c r="G741" s="1"/>
    </row>
    <row r="742" ht="14.25" customHeight="1">
      <c r="A742" s="1"/>
      <c r="B742" s="1"/>
      <c r="C742" s="1"/>
      <c r="D742" s="1"/>
      <c r="E742" s="1"/>
      <c r="F742" s="2"/>
      <c r="G742" s="1"/>
    </row>
    <row r="743" ht="14.25" customHeight="1">
      <c r="A743" s="1"/>
      <c r="B743" s="1"/>
      <c r="C743" s="1"/>
      <c r="D743" s="1"/>
      <c r="E743" s="1"/>
      <c r="F743" s="2"/>
      <c r="G743" s="1"/>
    </row>
    <row r="744" ht="14.25" customHeight="1">
      <c r="A744" s="1"/>
      <c r="B744" s="1"/>
      <c r="C744" s="1"/>
      <c r="D744" s="1"/>
      <c r="E744" s="1"/>
      <c r="F744" s="2"/>
      <c r="G744" s="1"/>
    </row>
    <row r="745" ht="14.25" customHeight="1">
      <c r="A745" s="1"/>
      <c r="B745" s="1"/>
      <c r="C745" s="1"/>
      <c r="D745" s="1"/>
      <c r="E745" s="1"/>
      <c r="F745" s="2"/>
      <c r="G745" s="1"/>
    </row>
    <row r="746" ht="14.25" customHeight="1">
      <c r="A746" s="1"/>
      <c r="B746" s="1"/>
      <c r="C746" s="1"/>
      <c r="D746" s="1"/>
      <c r="E746" s="1"/>
      <c r="F746" s="2"/>
      <c r="G746" s="1"/>
    </row>
    <row r="747" ht="14.25" customHeight="1">
      <c r="A747" s="1"/>
      <c r="B747" s="1"/>
      <c r="C747" s="1"/>
      <c r="D747" s="1"/>
      <c r="E747" s="1"/>
      <c r="F747" s="2"/>
      <c r="G747" s="1"/>
    </row>
    <row r="748" ht="14.25" customHeight="1">
      <c r="A748" s="1"/>
      <c r="B748" s="1"/>
      <c r="C748" s="1"/>
      <c r="D748" s="1"/>
      <c r="E748" s="1"/>
      <c r="F748" s="2"/>
      <c r="G748" s="1"/>
    </row>
    <row r="749" ht="14.25" customHeight="1">
      <c r="A749" s="1"/>
      <c r="B749" s="1"/>
      <c r="C749" s="1"/>
      <c r="D749" s="1"/>
      <c r="E749" s="1"/>
      <c r="F749" s="2"/>
      <c r="G749" s="1"/>
    </row>
    <row r="750" ht="14.25" customHeight="1">
      <c r="A750" s="1"/>
      <c r="B750" s="1"/>
      <c r="C750" s="1"/>
      <c r="D750" s="1"/>
      <c r="E750" s="1"/>
      <c r="F750" s="2"/>
      <c r="G750" s="1"/>
    </row>
    <row r="751" ht="14.25" customHeight="1">
      <c r="A751" s="1"/>
      <c r="B751" s="1"/>
      <c r="C751" s="1"/>
      <c r="D751" s="1"/>
      <c r="E751" s="1"/>
      <c r="F751" s="2"/>
      <c r="G751" s="1"/>
    </row>
    <row r="752" ht="14.25" customHeight="1">
      <c r="A752" s="1"/>
      <c r="B752" s="1"/>
      <c r="C752" s="1"/>
      <c r="D752" s="1"/>
      <c r="E752" s="1"/>
      <c r="F752" s="2"/>
      <c r="G752" s="1"/>
    </row>
    <row r="753" ht="14.25" customHeight="1">
      <c r="A753" s="1"/>
      <c r="B753" s="1"/>
      <c r="C753" s="1"/>
      <c r="D753" s="1"/>
      <c r="E753" s="1"/>
      <c r="F753" s="2"/>
      <c r="G753" s="1"/>
    </row>
    <row r="754" ht="14.25" customHeight="1">
      <c r="A754" s="1"/>
      <c r="B754" s="1"/>
      <c r="C754" s="1"/>
      <c r="D754" s="1"/>
      <c r="E754" s="1"/>
      <c r="F754" s="2"/>
      <c r="G754" s="1"/>
    </row>
    <row r="755" ht="14.25" customHeight="1">
      <c r="A755" s="1"/>
      <c r="B755" s="1"/>
      <c r="C755" s="1"/>
      <c r="D755" s="1"/>
      <c r="E755" s="1"/>
      <c r="F755" s="2"/>
      <c r="G755" s="1"/>
    </row>
    <row r="756" ht="14.25" customHeight="1">
      <c r="A756" s="1"/>
      <c r="B756" s="1"/>
      <c r="C756" s="1"/>
      <c r="D756" s="1"/>
      <c r="E756" s="1"/>
      <c r="F756" s="2"/>
      <c r="G756" s="1"/>
    </row>
    <row r="757" ht="14.25" customHeight="1">
      <c r="A757" s="1"/>
      <c r="B757" s="1"/>
      <c r="C757" s="1"/>
      <c r="D757" s="1"/>
      <c r="E757" s="1"/>
      <c r="F757" s="2"/>
      <c r="G757" s="1"/>
    </row>
    <row r="758" ht="14.25" customHeight="1">
      <c r="A758" s="1"/>
      <c r="B758" s="1"/>
      <c r="C758" s="1"/>
      <c r="D758" s="1"/>
      <c r="E758" s="1"/>
      <c r="F758" s="2"/>
      <c r="G758" s="1"/>
    </row>
    <row r="759" ht="14.25" customHeight="1">
      <c r="A759" s="1"/>
      <c r="B759" s="1"/>
      <c r="C759" s="1"/>
      <c r="D759" s="1"/>
      <c r="E759" s="1"/>
      <c r="F759" s="2"/>
      <c r="G759" s="1"/>
    </row>
    <row r="760" ht="14.25" customHeight="1">
      <c r="A760" s="1"/>
      <c r="B760" s="1"/>
      <c r="C760" s="1"/>
      <c r="D760" s="1"/>
      <c r="E760" s="1"/>
      <c r="F760" s="2"/>
      <c r="G760" s="1"/>
    </row>
    <row r="761" ht="14.25" customHeight="1">
      <c r="A761" s="1"/>
      <c r="B761" s="1"/>
      <c r="C761" s="1"/>
      <c r="D761" s="1"/>
      <c r="E761" s="1"/>
      <c r="F761" s="2"/>
      <c r="G761" s="1"/>
    </row>
    <row r="762" ht="14.25" customHeight="1">
      <c r="A762" s="1"/>
      <c r="B762" s="1"/>
      <c r="C762" s="1"/>
      <c r="D762" s="1"/>
      <c r="E762" s="1"/>
      <c r="F762" s="2"/>
      <c r="G762" s="1"/>
    </row>
    <row r="763" ht="14.25" customHeight="1">
      <c r="A763" s="1"/>
      <c r="B763" s="1"/>
      <c r="C763" s="1"/>
      <c r="D763" s="1"/>
      <c r="E763" s="1"/>
      <c r="F763" s="2"/>
      <c r="G763" s="1"/>
    </row>
    <row r="764" ht="14.25" customHeight="1">
      <c r="A764" s="1"/>
      <c r="B764" s="1"/>
      <c r="C764" s="1"/>
      <c r="D764" s="1"/>
      <c r="E764" s="1"/>
      <c r="F764" s="2"/>
      <c r="G764" s="1"/>
    </row>
    <row r="765" ht="14.25" customHeight="1">
      <c r="A765" s="1"/>
      <c r="B765" s="1"/>
      <c r="C765" s="1"/>
      <c r="D765" s="1"/>
      <c r="E765" s="1"/>
      <c r="F765" s="2"/>
      <c r="G765" s="1"/>
    </row>
    <row r="766" ht="14.25" customHeight="1">
      <c r="A766" s="1"/>
      <c r="B766" s="1"/>
      <c r="C766" s="1"/>
      <c r="D766" s="1"/>
      <c r="E766" s="1"/>
      <c r="F766" s="2"/>
      <c r="G766" s="1"/>
    </row>
    <row r="767" ht="14.25" customHeight="1">
      <c r="A767" s="1"/>
      <c r="B767" s="1"/>
      <c r="C767" s="1"/>
      <c r="D767" s="1"/>
      <c r="E767" s="1"/>
      <c r="F767" s="2"/>
      <c r="G767" s="1"/>
    </row>
    <row r="768" ht="14.25" customHeight="1">
      <c r="A768" s="1"/>
      <c r="B768" s="1"/>
      <c r="C768" s="1"/>
      <c r="D768" s="1"/>
      <c r="E768" s="1"/>
      <c r="F768" s="2"/>
      <c r="G768" s="1"/>
    </row>
    <row r="769" ht="14.25" customHeight="1">
      <c r="A769" s="1"/>
      <c r="B769" s="1"/>
      <c r="C769" s="1"/>
      <c r="D769" s="1"/>
      <c r="E769" s="1"/>
      <c r="F769" s="2"/>
      <c r="G769" s="1"/>
    </row>
    <row r="770" ht="14.25" customHeight="1">
      <c r="A770" s="1"/>
      <c r="B770" s="1"/>
      <c r="C770" s="1"/>
      <c r="D770" s="1"/>
      <c r="E770" s="1"/>
      <c r="F770" s="2"/>
      <c r="G770" s="1"/>
    </row>
    <row r="771" ht="14.25" customHeight="1">
      <c r="A771" s="1"/>
      <c r="B771" s="1"/>
      <c r="C771" s="1"/>
      <c r="D771" s="1"/>
      <c r="E771" s="1"/>
      <c r="F771" s="2"/>
      <c r="G771" s="1"/>
    </row>
    <row r="772" ht="14.25" customHeight="1">
      <c r="A772" s="1"/>
      <c r="B772" s="1"/>
      <c r="C772" s="1"/>
      <c r="D772" s="1"/>
      <c r="E772" s="1"/>
      <c r="F772" s="2"/>
      <c r="G772" s="1"/>
    </row>
    <row r="773" ht="14.25" customHeight="1">
      <c r="A773" s="1"/>
      <c r="B773" s="1"/>
      <c r="C773" s="1"/>
      <c r="D773" s="1"/>
      <c r="E773" s="1"/>
      <c r="F773" s="2"/>
      <c r="G773" s="1"/>
    </row>
    <row r="774" ht="14.25" customHeight="1">
      <c r="A774" s="1"/>
      <c r="B774" s="1"/>
      <c r="C774" s="1"/>
      <c r="D774" s="1"/>
      <c r="E774" s="1"/>
      <c r="F774" s="2"/>
      <c r="G774" s="1"/>
    </row>
    <row r="775" ht="14.25" customHeight="1">
      <c r="A775" s="1"/>
      <c r="B775" s="1"/>
      <c r="C775" s="1"/>
      <c r="D775" s="1"/>
      <c r="E775" s="1"/>
      <c r="F775" s="2"/>
      <c r="G775" s="1"/>
    </row>
    <row r="776" ht="14.25" customHeight="1">
      <c r="A776" s="1"/>
      <c r="B776" s="1"/>
      <c r="C776" s="1"/>
      <c r="D776" s="1"/>
      <c r="E776" s="1"/>
      <c r="F776" s="2"/>
      <c r="G776" s="1"/>
    </row>
    <row r="777" ht="14.25" customHeight="1">
      <c r="A777" s="1"/>
      <c r="B777" s="1"/>
      <c r="C777" s="1"/>
      <c r="D777" s="1"/>
      <c r="E777" s="1"/>
      <c r="F777" s="2"/>
      <c r="G777" s="1"/>
    </row>
    <row r="778" ht="14.25" customHeight="1">
      <c r="A778" s="1"/>
      <c r="B778" s="1"/>
      <c r="C778" s="1"/>
      <c r="D778" s="1"/>
      <c r="E778" s="1"/>
      <c r="F778" s="2"/>
      <c r="G778" s="1"/>
    </row>
    <row r="779" ht="14.25" customHeight="1">
      <c r="A779" s="1"/>
      <c r="B779" s="1"/>
      <c r="C779" s="1"/>
      <c r="D779" s="1"/>
      <c r="E779" s="1"/>
      <c r="F779" s="2"/>
      <c r="G779" s="1"/>
    </row>
    <row r="780" ht="14.25" customHeight="1">
      <c r="A780" s="1"/>
      <c r="B780" s="1"/>
      <c r="C780" s="1"/>
      <c r="D780" s="1"/>
      <c r="E780" s="1"/>
      <c r="F780" s="2"/>
      <c r="G780" s="1"/>
    </row>
    <row r="781" ht="14.25" customHeight="1">
      <c r="A781" s="1"/>
      <c r="B781" s="1"/>
      <c r="C781" s="1"/>
      <c r="D781" s="1"/>
      <c r="E781" s="1"/>
      <c r="F781" s="2"/>
      <c r="G781" s="1"/>
    </row>
    <row r="782" ht="14.25" customHeight="1">
      <c r="A782" s="1"/>
      <c r="B782" s="1"/>
      <c r="C782" s="1"/>
      <c r="D782" s="1"/>
      <c r="E782" s="1"/>
      <c r="F782" s="2"/>
      <c r="G782" s="1"/>
    </row>
    <row r="783" ht="14.25" customHeight="1">
      <c r="A783" s="1"/>
      <c r="B783" s="1"/>
      <c r="C783" s="1"/>
      <c r="D783" s="1"/>
      <c r="E783" s="1"/>
      <c r="F783" s="2"/>
      <c r="G783" s="1"/>
    </row>
    <row r="784" ht="14.25" customHeight="1">
      <c r="A784" s="1"/>
      <c r="B784" s="1"/>
      <c r="C784" s="1"/>
      <c r="D784" s="1"/>
      <c r="E784" s="1"/>
      <c r="F784" s="2"/>
      <c r="G784" s="1"/>
    </row>
    <row r="785" ht="14.25" customHeight="1">
      <c r="A785" s="1"/>
      <c r="B785" s="1"/>
      <c r="C785" s="1"/>
      <c r="D785" s="1"/>
      <c r="E785" s="1"/>
      <c r="F785" s="2"/>
      <c r="G785" s="1"/>
    </row>
    <row r="786" ht="14.25" customHeight="1">
      <c r="A786" s="1"/>
      <c r="B786" s="1"/>
      <c r="C786" s="1"/>
      <c r="D786" s="1"/>
      <c r="E786" s="1"/>
      <c r="F786" s="2"/>
      <c r="G786" s="1"/>
    </row>
    <row r="787" ht="14.25" customHeight="1">
      <c r="A787" s="1"/>
      <c r="B787" s="1"/>
      <c r="C787" s="1"/>
      <c r="D787" s="1"/>
      <c r="E787" s="1"/>
      <c r="F787" s="2"/>
      <c r="G787" s="1"/>
    </row>
    <row r="788" ht="14.25" customHeight="1">
      <c r="A788" s="1"/>
      <c r="B788" s="1"/>
      <c r="C788" s="1"/>
      <c r="D788" s="1"/>
      <c r="E788" s="1"/>
      <c r="F788" s="2"/>
      <c r="G788" s="1"/>
    </row>
    <row r="789" ht="14.25" customHeight="1">
      <c r="A789" s="1"/>
      <c r="B789" s="1"/>
      <c r="C789" s="1"/>
      <c r="D789" s="1"/>
      <c r="E789" s="1"/>
      <c r="F789" s="2"/>
      <c r="G789" s="1"/>
    </row>
    <row r="790" ht="14.25" customHeight="1">
      <c r="A790" s="1"/>
      <c r="B790" s="1"/>
      <c r="C790" s="1"/>
      <c r="D790" s="1"/>
      <c r="E790" s="1"/>
      <c r="F790" s="2"/>
      <c r="G790" s="1"/>
    </row>
    <row r="791" ht="14.25" customHeight="1">
      <c r="A791" s="1"/>
      <c r="B791" s="1"/>
      <c r="C791" s="1"/>
      <c r="D791" s="1"/>
      <c r="E791" s="1"/>
      <c r="F791" s="2"/>
      <c r="G791" s="1"/>
    </row>
    <row r="792" ht="14.25" customHeight="1">
      <c r="A792" s="1"/>
      <c r="B792" s="1"/>
      <c r="C792" s="1"/>
      <c r="D792" s="1"/>
      <c r="E792" s="1"/>
      <c r="F792" s="2"/>
      <c r="G792" s="1"/>
    </row>
    <row r="793" ht="14.25" customHeight="1">
      <c r="A793" s="1"/>
      <c r="B793" s="1"/>
      <c r="C793" s="1"/>
      <c r="D793" s="1"/>
      <c r="E793" s="1"/>
      <c r="F793" s="2"/>
      <c r="G793" s="1"/>
    </row>
    <row r="794" ht="14.25" customHeight="1">
      <c r="A794" s="1"/>
      <c r="B794" s="1"/>
      <c r="C794" s="1"/>
      <c r="D794" s="1"/>
      <c r="E794" s="1"/>
      <c r="F794" s="2"/>
      <c r="G794" s="1"/>
    </row>
    <row r="795" ht="14.25" customHeight="1">
      <c r="A795" s="1"/>
      <c r="B795" s="1"/>
      <c r="C795" s="1"/>
      <c r="D795" s="1"/>
      <c r="E795" s="1"/>
      <c r="F795" s="2"/>
      <c r="G795" s="1"/>
    </row>
    <row r="796" ht="14.25" customHeight="1">
      <c r="A796" s="1"/>
      <c r="B796" s="1"/>
      <c r="C796" s="1"/>
      <c r="D796" s="1"/>
      <c r="E796" s="1"/>
      <c r="F796" s="2"/>
      <c r="G796" s="1"/>
    </row>
    <row r="797" ht="14.25" customHeight="1">
      <c r="A797" s="1"/>
      <c r="B797" s="1"/>
      <c r="C797" s="1"/>
      <c r="D797" s="1"/>
      <c r="E797" s="1"/>
      <c r="F797" s="2"/>
      <c r="G797" s="1"/>
    </row>
    <row r="798" ht="14.25" customHeight="1">
      <c r="A798" s="1"/>
      <c r="B798" s="1"/>
      <c r="C798" s="1"/>
      <c r="D798" s="1"/>
      <c r="E798" s="1"/>
      <c r="F798" s="2"/>
      <c r="G798" s="1"/>
    </row>
    <row r="799" ht="14.25" customHeight="1">
      <c r="A799" s="1"/>
      <c r="B799" s="1"/>
      <c r="C799" s="1"/>
      <c r="D799" s="1"/>
      <c r="E799" s="1"/>
      <c r="F799" s="2"/>
      <c r="G799" s="1"/>
    </row>
    <row r="800" ht="14.25" customHeight="1">
      <c r="A800" s="1"/>
      <c r="B800" s="1"/>
      <c r="C800" s="1"/>
      <c r="D800" s="1"/>
      <c r="E800" s="1"/>
      <c r="F800" s="2"/>
      <c r="G800" s="1"/>
    </row>
    <row r="801" ht="14.25" customHeight="1">
      <c r="A801" s="1"/>
      <c r="B801" s="1"/>
      <c r="C801" s="1"/>
      <c r="D801" s="1"/>
      <c r="E801" s="1"/>
      <c r="F801" s="2"/>
      <c r="G801" s="1"/>
    </row>
    <row r="802" ht="14.25" customHeight="1">
      <c r="A802" s="1"/>
      <c r="B802" s="1"/>
      <c r="C802" s="1"/>
      <c r="D802" s="1"/>
      <c r="E802" s="1"/>
      <c r="F802" s="2"/>
      <c r="G802" s="1"/>
    </row>
    <row r="803" ht="14.25" customHeight="1">
      <c r="A803" s="1"/>
      <c r="B803" s="1"/>
      <c r="C803" s="1"/>
      <c r="D803" s="1"/>
      <c r="E803" s="1"/>
      <c r="F803" s="2"/>
      <c r="G803" s="1"/>
    </row>
    <row r="804" ht="14.25" customHeight="1">
      <c r="A804" s="1"/>
      <c r="B804" s="1"/>
      <c r="C804" s="1"/>
      <c r="D804" s="1"/>
      <c r="E804" s="1"/>
      <c r="F804" s="2"/>
      <c r="G804" s="1"/>
    </row>
    <row r="805" ht="14.25" customHeight="1">
      <c r="A805" s="1"/>
      <c r="B805" s="1"/>
      <c r="C805" s="1"/>
      <c r="D805" s="1"/>
      <c r="E805" s="1"/>
      <c r="F805" s="2"/>
      <c r="G805" s="1"/>
    </row>
    <row r="806" ht="14.25" customHeight="1">
      <c r="A806" s="1"/>
      <c r="B806" s="1"/>
      <c r="C806" s="1"/>
      <c r="D806" s="1"/>
      <c r="E806" s="1"/>
      <c r="F806" s="2"/>
      <c r="G806" s="1"/>
    </row>
    <row r="807" ht="14.25" customHeight="1">
      <c r="A807" s="1"/>
      <c r="B807" s="1"/>
      <c r="C807" s="1"/>
      <c r="D807" s="1"/>
      <c r="E807" s="1"/>
      <c r="F807" s="2"/>
      <c r="G807" s="1"/>
    </row>
    <row r="808" ht="14.25" customHeight="1">
      <c r="A808" s="1"/>
      <c r="B808" s="1"/>
      <c r="C808" s="1"/>
      <c r="D808" s="1"/>
      <c r="E808" s="1"/>
      <c r="F808" s="2"/>
      <c r="G808" s="1"/>
    </row>
    <row r="809" ht="14.25" customHeight="1">
      <c r="A809" s="1"/>
      <c r="B809" s="1"/>
      <c r="C809" s="1"/>
      <c r="D809" s="1"/>
      <c r="E809" s="1"/>
      <c r="F809" s="2"/>
      <c r="G809" s="1"/>
    </row>
    <row r="810" ht="14.25" customHeight="1">
      <c r="A810" s="1"/>
      <c r="B810" s="1"/>
      <c r="C810" s="1"/>
      <c r="D810" s="1"/>
      <c r="E810" s="1"/>
      <c r="F810" s="2"/>
      <c r="G810" s="1"/>
    </row>
    <row r="811" ht="14.25" customHeight="1">
      <c r="A811" s="1"/>
      <c r="B811" s="1"/>
      <c r="C811" s="1"/>
      <c r="D811" s="1"/>
      <c r="E811" s="1"/>
      <c r="F811" s="2"/>
      <c r="G811" s="1"/>
    </row>
    <row r="812" ht="14.25" customHeight="1">
      <c r="A812" s="1"/>
      <c r="B812" s="1"/>
      <c r="C812" s="1"/>
      <c r="D812" s="1"/>
      <c r="E812" s="1"/>
      <c r="F812" s="2"/>
      <c r="G812" s="1"/>
    </row>
    <row r="813" ht="14.25" customHeight="1">
      <c r="A813" s="1"/>
      <c r="B813" s="1"/>
      <c r="C813" s="1"/>
      <c r="D813" s="1"/>
      <c r="E813" s="1"/>
      <c r="F813" s="2"/>
      <c r="G813" s="1"/>
    </row>
    <row r="814" ht="14.25" customHeight="1">
      <c r="A814" s="1"/>
      <c r="B814" s="1"/>
      <c r="C814" s="1"/>
      <c r="D814" s="1"/>
      <c r="E814" s="1"/>
      <c r="F814" s="2"/>
      <c r="G814" s="1"/>
    </row>
    <row r="815" ht="14.25" customHeight="1">
      <c r="A815" s="1"/>
      <c r="B815" s="1"/>
      <c r="C815" s="1"/>
      <c r="D815" s="1"/>
      <c r="E815" s="1"/>
      <c r="F815" s="2"/>
      <c r="G815" s="1"/>
    </row>
    <row r="816" ht="14.25" customHeight="1">
      <c r="A816" s="1"/>
      <c r="B816" s="1"/>
      <c r="C816" s="1"/>
      <c r="D816" s="1"/>
      <c r="E816" s="1"/>
      <c r="F816" s="2"/>
      <c r="G816" s="1"/>
    </row>
    <row r="817" ht="14.25" customHeight="1">
      <c r="A817" s="1"/>
      <c r="B817" s="1"/>
      <c r="C817" s="1"/>
      <c r="D817" s="1"/>
      <c r="E817" s="1"/>
      <c r="F817" s="2"/>
      <c r="G817" s="1"/>
    </row>
    <row r="818" ht="14.25" customHeight="1">
      <c r="A818" s="1"/>
      <c r="B818" s="1"/>
      <c r="C818" s="1"/>
      <c r="D818" s="1"/>
      <c r="E818" s="1"/>
      <c r="F818" s="2"/>
      <c r="G818" s="1"/>
    </row>
    <row r="819" ht="14.25" customHeight="1">
      <c r="A819" s="1"/>
      <c r="B819" s="1"/>
      <c r="C819" s="1"/>
      <c r="D819" s="1"/>
      <c r="E819" s="1"/>
      <c r="F819" s="2"/>
      <c r="G819" s="1"/>
    </row>
    <row r="820" ht="14.25" customHeight="1">
      <c r="A820" s="1"/>
      <c r="B820" s="1"/>
      <c r="C820" s="1"/>
      <c r="D820" s="1"/>
      <c r="E820" s="1"/>
      <c r="F820" s="2"/>
      <c r="G820" s="1"/>
    </row>
    <row r="821" ht="14.25" customHeight="1">
      <c r="A821" s="1"/>
      <c r="B821" s="1"/>
      <c r="C821" s="1"/>
      <c r="D821" s="1"/>
      <c r="E821" s="1"/>
      <c r="F821" s="2"/>
      <c r="G821" s="1"/>
    </row>
    <row r="822" ht="14.25" customHeight="1">
      <c r="A822" s="1"/>
      <c r="B822" s="1"/>
      <c r="C822" s="1"/>
      <c r="D822" s="1"/>
      <c r="E822" s="1"/>
      <c r="F822" s="2"/>
      <c r="G822" s="1"/>
    </row>
    <row r="823" ht="14.25" customHeight="1">
      <c r="A823" s="1"/>
      <c r="B823" s="1"/>
      <c r="C823" s="1"/>
      <c r="D823" s="1"/>
      <c r="E823" s="1"/>
      <c r="F823" s="2"/>
      <c r="G823" s="1"/>
    </row>
    <row r="824" ht="14.25" customHeight="1">
      <c r="A824" s="1"/>
      <c r="B824" s="1"/>
      <c r="C824" s="1"/>
      <c r="D824" s="1"/>
      <c r="E824" s="1"/>
      <c r="F824" s="2"/>
      <c r="G824" s="1"/>
    </row>
    <row r="825" ht="14.25" customHeight="1">
      <c r="A825" s="1"/>
      <c r="B825" s="1"/>
      <c r="C825" s="1"/>
      <c r="D825" s="1"/>
      <c r="E825" s="1"/>
      <c r="F825" s="2"/>
      <c r="G825" s="1"/>
    </row>
    <row r="826" ht="14.25" customHeight="1">
      <c r="A826" s="1"/>
      <c r="B826" s="1"/>
      <c r="C826" s="1"/>
      <c r="D826" s="1"/>
      <c r="E826" s="1"/>
      <c r="F826" s="2"/>
      <c r="G826" s="1"/>
    </row>
    <row r="827" ht="14.25" customHeight="1">
      <c r="A827" s="1"/>
      <c r="B827" s="1"/>
      <c r="C827" s="1"/>
      <c r="D827" s="1"/>
      <c r="E827" s="1"/>
      <c r="F827" s="2"/>
      <c r="G827" s="1"/>
    </row>
    <row r="828" ht="14.25" customHeight="1">
      <c r="A828" s="1"/>
      <c r="B828" s="1"/>
      <c r="C828" s="1"/>
      <c r="D828" s="1"/>
      <c r="E828" s="1"/>
      <c r="F828" s="2"/>
      <c r="G828" s="1"/>
    </row>
    <row r="829" ht="14.25" customHeight="1">
      <c r="A829" s="1"/>
      <c r="B829" s="1"/>
      <c r="C829" s="1"/>
      <c r="D829" s="1"/>
      <c r="E829" s="1"/>
      <c r="F829" s="2"/>
      <c r="G829" s="1"/>
    </row>
    <row r="830" ht="14.25" customHeight="1">
      <c r="A830" s="1"/>
      <c r="B830" s="1"/>
      <c r="C830" s="1"/>
      <c r="D830" s="1"/>
      <c r="E830" s="1"/>
      <c r="F830" s="2"/>
      <c r="G830" s="1"/>
    </row>
    <row r="831" ht="14.25" customHeight="1">
      <c r="A831" s="1"/>
      <c r="B831" s="1"/>
      <c r="C831" s="1"/>
      <c r="D831" s="1"/>
      <c r="E831" s="1"/>
      <c r="F831" s="2"/>
      <c r="G831" s="1"/>
    </row>
    <row r="832" ht="14.25" customHeight="1">
      <c r="A832" s="1"/>
      <c r="B832" s="1"/>
      <c r="C832" s="1"/>
      <c r="D832" s="1"/>
      <c r="E832" s="1"/>
      <c r="F832" s="2"/>
      <c r="G832" s="1"/>
    </row>
    <row r="833" ht="14.25" customHeight="1">
      <c r="A833" s="1"/>
      <c r="B833" s="1"/>
      <c r="C833" s="1"/>
      <c r="D833" s="1"/>
      <c r="E833" s="1"/>
      <c r="F833" s="2"/>
      <c r="G833" s="1"/>
    </row>
    <row r="834" ht="14.25" customHeight="1">
      <c r="A834" s="1"/>
      <c r="B834" s="1"/>
      <c r="C834" s="1"/>
      <c r="D834" s="1"/>
      <c r="E834" s="1"/>
      <c r="F834" s="2"/>
      <c r="G834" s="1"/>
    </row>
    <row r="835" ht="14.25" customHeight="1">
      <c r="A835" s="1"/>
      <c r="B835" s="1"/>
      <c r="C835" s="1"/>
      <c r="D835" s="1"/>
      <c r="E835" s="1"/>
      <c r="F835" s="2"/>
      <c r="G835" s="1"/>
    </row>
    <row r="836" ht="14.25" customHeight="1">
      <c r="A836" s="1"/>
      <c r="B836" s="1"/>
      <c r="C836" s="1"/>
      <c r="D836" s="1"/>
      <c r="E836" s="1"/>
      <c r="F836" s="2"/>
      <c r="G836" s="1"/>
    </row>
    <row r="837" ht="14.25" customHeight="1">
      <c r="A837" s="1"/>
      <c r="B837" s="1"/>
      <c r="C837" s="1"/>
      <c r="D837" s="1"/>
      <c r="E837" s="1"/>
      <c r="F837" s="2"/>
      <c r="G837" s="1"/>
    </row>
    <row r="838" ht="14.25" customHeight="1">
      <c r="A838" s="1"/>
      <c r="B838" s="1"/>
      <c r="C838" s="1"/>
      <c r="D838" s="1"/>
      <c r="E838" s="1"/>
      <c r="F838" s="2"/>
      <c r="G838" s="1"/>
    </row>
    <row r="839" ht="14.25" customHeight="1">
      <c r="A839" s="1"/>
      <c r="B839" s="1"/>
      <c r="C839" s="1"/>
      <c r="D839" s="1"/>
      <c r="E839" s="1"/>
      <c r="F839" s="2"/>
      <c r="G839" s="1"/>
    </row>
    <row r="840" ht="14.25" customHeight="1">
      <c r="A840" s="1"/>
      <c r="B840" s="1"/>
      <c r="C840" s="1"/>
      <c r="D840" s="1"/>
      <c r="E840" s="1"/>
      <c r="F840" s="2"/>
      <c r="G840" s="1"/>
    </row>
    <row r="841" ht="14.25" customHeight="1">
      <c r="A841" s="1"/>
      <c r="B841" s="1"/>
      <c r="C841" s="1"/>
      <c r="D841" s="1"/>
      <c r="E841" s="1"/>
      <c r="F841" s="2"/>
      <c r="G841" s="1"/>
    </row>
    <row r="842" ht="14.25" customHeight="1">
      <c r="A842" s="1"/>
      <c r="B842" s="1"/>
      <c r="C842" s="1"/>
      <c r="D842" s="1"/>
      <c r="E842" s="1"/>
      <c r="F842" s="2"/>
      <c r="G842" s="1"/>
    </row>
    <row r="843" ht="14.25" customHeight="1">
      <c r="A843" s="1"/>
      <c r="B843" s="1"/>
      <c r="C843" s="1"/>
      <c r="D843" s="1"/>
      <c r="E843" s="1"/>
      <c r="F843" s="2"/>
      <c r="G843" s="1"/>
    </row>
    <row r="844" ht="14.25" customHeight="1">
      <c r="A844" s="1"/>
      <c r="B844" s="1"/>
      <c r="C844" s="1"/>
      <c r="D844" s="1"/>
      <c r="E844" s="1"/>
      <c r="F844" s="2"/>
      <c r="G844" s="1"/>
    </row>
    <row r="845" ht="14.25" customHeight="1">
      <c r="A845" s="1"/>
      <c r="B845" s="1"/>
      <c r="C845" s="1"/>
      <c r="D845" s="1"/>
      <c r="E845" s="1"/>
      <c r="F845" s="2"/>
      <c r="G845" s="1"/>
    </row>
    <row r="846" ht="14.25" customHeight="1">
      <c r="A846" s="1"/>
      <c r="B846" s="1"/>
      <c r="C846" s="1"/>
      <c r="D846" s="1"/>
      <c r="E846" s="1"/>
      <c r="F846" s="2"/>
      <c r="G846" s="1"/>
    </row>
    <row r="847" ht="14.25" customHeight="1">
      <c r="A847" s="1"/>
      <c r="B847" s="1"/>
      <c r="C847" s="1"/>
      <c r="D847" s="1"/>
      <c r="E847" s="1"/>
      <c r="F847" s="2"/>
      <c r="G847" s="1"/>
    </row>
    <row r="848" ht="14.25" customHeight="1">
      <c r="A848" s="1"/>
      <c r="B848" s="1"/>
      <c r="C848" s="1"/>
      <c r="D848" s="1"/>
      <c r="E848" s="1"/>
      <c r="F848" s="2"/>
      <c r="G848" s="1"/>
    </row>
    <row r="849" ht="14.25" customHeight="1">
      <c r="A849" s="1"/>
      <c r="B849" s="1"/>
      <c r="C849" s="1"/>
      <c r="D849" s="1"/>
      <c r="E849" s="1"/>
      <c r="F849" s="2"/>
      <c r="G849" s="1"/>
    </row>
    <row r="850" ht="14.25" customHeight="1">
      <c r="A850" s="1"/>
      <c r="B850" s="1"/>
      <c r="C850" s="1"/>
      <c r="D850" s="1"/>
      <c r="E850" s="1"/>
      <c r="F850" s="2"/>
      <c r="G850" s="1"/>
    </row>
    <row r="851" ht="14.25" customHeight="1">
      <c r="A851" s="1"/>
      <c r="B851" s="1"/>
      <c r="C851" s="1"/>
      <c r="D851" s="1"/>
      <c r="E851" s="1"/>
      <c r="F851" s="2"/>
      <c r="G851" s="1"/>
    </row>
    <row r="852" ht="14.25" customHeight="1">
      <c r="A852" s="1"/>
      <c r="B852" s="1"/>
      <c r="C852" s="1"/>
      <c r="D852" s="1"/>
      <c r="E852" s="1"/>
      <c r="F852" s="2"/>
      <c r="G852" s="1"/>
    </row>
    <row r="853" ht="14.25" customHeight="1">
      <c r="A853" s="1"/>
      <c r="B853" s="1"/>
      <c r="C853" s="1"/>
      <c r="D853" s="1"/>
      <c r="E853" s="1"/>
      <c r="F853" s="2"/>
      <c r="G853" s="1"/>
    </row>
    <row r="854" ht="14.25" customHeight="1">
      <c r="A854" s="1"/>
      <c r="B854" s="1"/>
      <c r="C854" s="1"/>
      <c r="D854" s="1"/>
      <c r="E854" s="1"/>
      <c r="F854" s="2"/>
      <c r="G854" s="1"/>
    </row>
    <row r="855" ht="14.25" customHeight="1">
      <c r="A855" s="1"/>
      <c r="B855" s="1"/>
      <c r="C855" s="1"/>
      <c r="D855" s="1"/>
      <c r="E855" s="1"/>
      <c r="F855" s="2"/>
      <c r="G855" s="1"/>
    </row>
    <row r="856" ht="14.25" customHeight="1">
      <c r="A856" s="1"/>
      <c r="B856" s="1"/>
      <c r="C856" s="1"/>
      <c r="D856" s="1"/>
      <c r="E856" s="1"/>
      <c r="F856" s="2"/>
      <c r="G856" s="1"/>
    </row>
    <row r="857" ht="14.25" customHeight="1">
      <c r="A857" s="1"/>
      <c r="B857" s="1"/>
      <c r="C857" s="1"/>
      <c r="D857" s="1"/>
      <c r="E857" s="1"/>
      <c r="F857" s="2"/>
      <c r="G857" s="1"/>
    </row>
    <row r="858" ht="14.25" customHeight="1">
      <c r="A858" s="1"/>
      <c r="B858" s="1"/>
      <c r="C858" s="1"/>
      <c r="D858" s="1"/>
      <c r="E858" s="1"/>
      <c r="F858" s="2"/>
      <c r="G858" s="1"/>
    </row>
    <row r="859" ht="14.25" customHeight="1">
      <c r="A859" s="1"/>
      <c r="B859" s="1"/>
      <c r="C859" s="1"/>
      <c r="D859" s="1"/>
      <c r="E859" s="1"/>
      <c r="F859" s="2"/>
      <c r="G859" s="1"/>
    </row>
    <row r="860" ht="14.25" customHeight="1">
      <c r="A860" s="1"/>
      <c r="B860" s="1"/>
      <c r="C860" s="1"/>
      <c r="D860" s="1"/>
      <c r="E860" s="1"/>
      <c r="F860" s="2"/>
      <c r="G860" s="1"/>
    </row>
    <row r="861" ht="14.25" customHeight="1">
      <c r="A861" s="1"/>
      <c r="B861" s="1"/>
      <c r="C861" s="1"/>
      <c r="D861" s="1"/>
      <c r="E861" s="1"/>
      <c r="F861" s="2"/>
      <c r="G861" s="1"/>
    </row>
    <row r="862" ht="14.25" customHeight="1">
      <c r="A862" s="1"/>
      <c r="B862" s="1"/>
      <c r="C862" s="1"/>
      <c r="D862" s="1"/>
      <c r="E862" s="1"/>
      <c r="F862" s="2"/>
      <c r="G862" s="1"/>
    </row>
    <row r="863" ht="14.25" customHeight="1">
      <c r="A863" s="1"/>
      <c r="B863" s="1"/>
      <c r="C863" s="1"/>
      <c r="D863" s="1"/>
      <c r="E863" s="1"/>
      <c r="F863" s="2"/>
      <c r="G863" s="1"/>
    </row>
    <row r="864" ht="14.25" customHeight="1">
      <c r="A864" s="1"/>
      <c r="B864" s="1"/>
      <c r="C864" s="1"/>
      <c r="D864" s="1"/>
      <c r="E864" s="1"/>
      <c r="F864" s="2"/>
      <c r="G864" s="1"/>
    </row>
    <row r="865" ht="14.25" customHeight="1">
      <c r="A865" s="1"/>
      <c r="B865" s="1"/>
      <c r="C865" s="1"/>
      <c r="D865" s="1"/>
      <c r="E865" s="1"/>
      <c r="F865" s="2"/>
      <c r="G865" s="1"/>
    </row>
    <row r="866" ht="14.25" customHeight="1">
      <c r="A866" s="1"/>
      <c r="B866" s="1"/>
      <c r="C866" s="1"/>
      <c r="D866" s="1"/>
      <c r="E866" s="1"/>
      <c r="F866" s="2"/>
      <c r="G866" s="1"/>
    </row>
    <row r="867" ht="14.25" customHeight="1">
      <c r="A867" s="1"/>
      <c r="B867" s="1"/>
      <c r="C867" s="1"/>
      <c r="D867" s="1"/>
      <c r="E867" s="1"/>
      <c r="F867" s="2"/>
      <c r="G867" s="1"/>
    </row>
    <row r="868" ht="14.25" customHeight="1">
      <c r="A868" s="1"/>
      <c r="B868" s="1"/>
      <c r="C868" s="1"/>
      <c r="D868" s="1"/>
      <c r="E868" s="1"/>
      <c r="F868" s="2"/>
      <c r="G868" s="1"/>
    </row>
    <row r="869" ht="14.25" customHeight="1">
      <c r="A869" s="1"/>
      <c r="B869" s="1"/>
      <c r="C869" s="1"/>
      <c r="D869" s="1"/>
      <c r="E869" s="1"/>
      <c r="F869" s="2"/>
      <c r="G869" s="1"/>
    </row>
    <row r="870" ht="14.25" customHeight="1">
      <c r="A870" s="1"/>
      <c r="B870" s="1"/>
      <c r="C870" s="1"/>
      <c r="D870" s="1"/>
      <c r="E870" s="1"/>
      <c r="F870" s="2"/>
      <c r="G870" s="1"/>
    </row>
    <row r="871" ht="14.25" customHeight="1">
      <c r="A871" s="1"/>
      <c r="B871" s="1"/>
      <c r="C871" s="1"/>
      <c r="D871" s="1"/>
      <c r="E871" s="1"/>
      <c r="F871" s="2"/>
      <c r="G871" s="1"/>
    </row>
    <row r="872" ht="14.25" customHeight="1">
      <c r="A872" s="1"/>
      <c r="B872" s="1"/>
      <c r="C872" s="1"/>
      <c r="D872" s="1"/>
      <c r="E872" s="1"/>
      <c r="F872" s="2"/>
      <c r="G872" s="1"/>
    </row>
    <row r="873" ht="14.25" customHeight="1">
      <c r="A873" s="1"/>
      <c r="B873" s="1"/>
      <c r="C873" s="1"/>
      <c r="D873" s="1"/>
      <c r="E873" s="1"/>
      <c r="F873" s="2"/>
      <c r="G873" s="1"/>
    </row>
    <row r="874" ht="14.25" customHeight="1">
      <c r="A874" s="1"/>
      <c r="B874" s="1"/>
      <c r="C874" s="1"/>
      <c r="D874" s="1"/>
      <c r="E874" s="1"/>
      <c r="F874" s="2"/>
      <c r="G874" s="1"/>
    </row>
    <row r="875" ht="14.25" customHeight="1">
      <c r="A875" s="1"/>
      <c r="B875" s="1"/>
      <c r="C875" s="1"/>
      <c r="D875" s="1"/>
      <c r="E875" s="1"/>
      <c r="F875" s="2"/>
      <c r="G875" s="1"/>
    </row>
    <row r="876" ht="14.25" customHeight="1">
      <c r="A876" s="1"/>
      <c r="B876" s="1"/>
      <c r="C876" s="1"/>
      <c r="D876" s="1"/>
      <c r="E876" s="1"/>
      <c r="F876" s="2"/>
      <c r="G876" s="1"/>
    </row>
    <row r="877" ht="14.25" customHeight="1">
      <c r="A877" s="1"/>
      <c r="B877" s="1"/>
      <c r="C877" s="1"/>
      <c r="D877" s="1"/>
      <c r="E877" s="1"/>
      <c r="F877" s="2"/>
      <c r="G877" s="1"/>
    </row>
    <row r="878" ht="14.25" customHeight="1">
      <c r="A878" s="1"/>
      <c r="B878" s="1"/>
      <c r="C878" s="1"/>
      <c r="D878" s="1"/>
      <c r="E878" s="1"/>
      <c r="F878" s="2"/>
      <c r="G878" s="1"/>
    </row>
    <row r="879" ht="14.25" customHeight="1">
      <c r="A879" s="1"/>
      <c r="B879" s="1"/>
      <c r="C879" s="1"/>
      <c r="D879" s="1"/>
      <c r="E879" s="1"/>
      <c r="F879" s="2"/>
      <c r="G879" s="1"/>
    </row>
    <row r="880" ht="14.25" customHeight="1">
      <c r="A880" s="1"/>
      <c r="B880" s="1"/>
      <c r="C880" s="1"/>
      <c r="D880" s="1"/>
      <c r="E880" s="1"/>
      <c r="F880" s="2"/>
      <c r="G880" s="1"/>
    </row>
    <row r="881" ht="14.25" customHeight="1">
      <c r="A881" s="1"/>
      <c r="B881" s="1"/>
      <c r="C881" s="1"/>
      <c r="D881" s="1"/>
      <c r="E881" s="1"/>
      <c r="F881" s="2"/>
      <c r="G881" s="1"/>
    </row>
    <row r="882" ht="14.25" customHeight="1">
      <c r="A882" s="1"/>
      <c r="B882" s="1"/>
      <c r="C882" s="1"/>
      <c r="D882" s="1"/>
      <c r="E882" s="1"/>
      <c r="F882" s="2"/>
      <c r="G882" s="1"/>
    </row>
    <row r="883" ht="14.25" customHeight="1">
      <c r="A883" s="1"/>
      <c r="B883" s="1"/>
      <c r="C883" s="1"/>
      <c r="D883" s="1"/>
      <c r="E883" s="1"/>
      <c r="F883" s="2"/>
      <c r="G883" s="1"/>
    </row>
    <row r="884" ht="14.25" customHeight="1">
      <c r="A884" s="1"/>
      <c r="B884" s="1"/>
      <c r="C884" s="1"/>
      <c r="D884" s="1"/>
      <c r="E884" s="1"/>
      <c r="F884" s="2"/>
      <c r="G884" s="1"/>
    </row>
    <row r="885" ht="14.25" customHeight="1">
      <c r="A885" s="1"/>
      <c r="B885" s="1"/>
      <c r="C885" s="1"/>
      <c r="D885" s="1"/>
      <c r="E885" s="1"/>
      <c r="F885" s="2"/>
      <c r="G885" s="1"/>
    </row>
    <row r="886" ht="14.25" customHeight="1">
      <c r="A886" s="1"/>
      <c r="B886" s="1"/>
      <c r="C886" s="1"/>
      <c r="D886" s="1"/>
      <c r="E886" s="1"/>
      <c r="F886" s="2"/>
      <c r="G886" s="1"/>
    </row>
    <row r="887" ht="14.25" customHeight="1">
      <c r="A887" s="1"/>
      <c r="B887" s="1"/>
      <c r="C887" s="1"/>
      <c r="D887" s="1"/>
      <c r="E887" s="1"/>
      <c r="F887" s="2"/>
      <c r="G887" s="1"/>
    </row>
    <row r="888" ht="14.25" customHeight="1">
      <c r="A888" s="1"/>
      <c r="B888" s="1"/>
      <c r="C888" s="1"/>
      <c r="D888" s="1"/>
      <c r="E888" s="1"/>
      <c r="F888" s="2"/>
      <c r="G888" s="1"/>
    </row>
    <row r="889" ht="14.25" customHeight="1">
      <c r="A889" s="1"/>
      <c r="B889" s="1"/>
      <c r="C889" s="1"/>
      <c r="D889" s="1"/>
      <c r="E889" s="1"/>
      <c r="F889" s="2"/>
      <c r="G889" s="1"/>
    </row>
    <row r="890" ht="14.25" customHeight="1">
      <c r="A890" s="1"/>
      <c r="B890" s="1"/>
      <c r="C890" s="1"/>
      <c r="D890" s="1"/>
      <c r="E890" s="1"/>
      <c r="F890" s="2"/>
      <c r="G890" s="1"/>
    </row>
    <row r="891" ht="14.25" customHeight="1">
      <c r="A891" s="1"/>
      <c r="B891" s="1"/>
      <c r="C891" s="1"/>
      <c r="D891" s="1"/>
      <c r="E891" s="1"/>
      <c r="F891" s="2"/>
      <c r="G891" s="1"/>
    </row>
    <row r="892" ht="14.25" customHeight="1">
      <c r="A892" s="1"/>
      <c r="B892" s="1"/>
      <c r="C892" s="1"/>
      <c r="D892" s="1"/>
      <c r="E892" s="1"/>
      <c r="F892" s="2"/>
      <c r="G892" s="1"/>
    </row>
    <row r="893" ht="14.25" customHeight="1">
      <c r="A893" s="1"/>
      <c r="B893" s="1"/>
      <c r="C893" s="1"/>
      <c r="D893" s="1"/>
      <c r="E893" s="1"/>
      <c r="F893" s="2"/>
      <c r="G893" s="1"/>
    </row>
    <row r="894" ht="14.25" customHeight="1">
      <c r="A894" s="1"/>
      <c r="B894" s="1"/>
      <c r="C894" s="1"/>
      <c r="D894" s="1"/>
      <c r="E894" s="1"/>
      <c r="F894" s="2"/>
      <c r="G894" s="1"/>
    </row>
    <row r="895" ht="14.25" customHeight="1">
      <c r="A895" s="1"/>
      <c r="B895" s="1"/>
      <c r="C895" s="1"/>
      <c r="D895" s="1"/>
      <c r="E895" s="1"/>
      <c r="F895" s="2"/>
      <c r="G895" s="1"/>
    </row>
    <row r="896" ht="14.25" customHeight="1">
      <c r="A896" s="1"/>
      <c r="B896" s="1"/>
      <c r="C896" s="1"/>
      <c r="D896" s="1"/>
      <c r="E896" s="1"/>
      <c r="F896" s="2"/>
      <c r="G896" s="1"/>
    </row>
    <row r="897" ht="14.25" customHeight="1">
      <c r="A897" s="1"/>
      <c r="B897" s="1"/>
      <c r="C897" s="1"/>
      <c r="D897" s="1"/>
      <c r="E897" s="1"/>
      <c r="F897" s="2"/>
      <c r="G897" s="1"/>
    </row>
    <row r="898" ht="14.25" customHeight="1">
      <c r="A898" s="1"/>
      <c r="B898" s="1"/>
      <c r="C898" s="1"/>
      <c r="D898" s="1"/>
      <c r="E898" s="1"/>
      <c r="F898" s="2"/>
      <c r="G898" s="1"/>
    </row>
    <row r="899" ht="14.25" customHeight="1">
      <c r="A899" s="1"/>
      <c r="B899" s="1"/>
      <c r="C899" s="1"/>
      <c r="D899" s="1"/>
      <c r="E899" s="1"/>
      <c r="F899" s="2"/>
      <c r="G899" s="1"/>
    </row>
    <row r="900" ht="14.25" customHeight="1">
      <c r="A900" s="1"/>
      <c r="B900" s="1"/>
      <c r="C900" s="1"/>
      <c r="D900" s="1"/>
      <c r="E900" s="1"/>
      <c r="F900" s="2"/>
      <c r="G900" s="1"/>
    </row>
    <row r="901" ht="14.25" customHeight="1">
      <c r="A901" s="1"/>
      <c r="B901" s="1"/>
      <c r="C901" s="1"/>
      <c r="D901" s="1"/>
      <c r="E901" s="1"/>
      <c r="F901" s="2"/>
      <c r="G901" s="1"/>
    </row>
    <row r="902" ht="14.25" customHeight="1">
      <c r="A902" s="1"/>
      <c r="B902" s="1"/>
      <c r="C902" s="1"/>
      <c r="D902" s="1"/>
      <c r="E902" s="1"/>
      <c r="F902" s="2"/>
      <c r="G902" s="1"/>
    </row>
    <row r="903" ht="14.25" customHeight="1">
      <c r="A903" s="1"/>
      <c r="B903" s="1"/>
      <c r="C903" s="1"/>
      <c r="D903" s="1"/>
      <c r="E903" s="1"/>
      <c r="F903" s="2"/>
      <c r="G903" s="1"/>
    </row>
    <row r="904" ht="14.25" customHeight="1">
      <c r="A904" s="1"/>
      <c r="B904" s="1"/>
      <c r="C904" s="1"/>
      <c r="D904" s="1"/>
      <c r="E904" s="1"/>
      <c r="F904" s="2"/>
      <c r="G904" s="1"/>
    </row>
    <row r="905" ht="14.25" customHeight="1">
      <c r="A905" s="1"/>
      <c r="B905" s="1"/>
      <c r="C905" s="1"/>
      <c r="D905" s="1"/>
      <c r="E905" s="1"/>
      <c r="F905" s="2"/>
      <c r="G905" s="1"/>
    </row>
    <row r="906" ht="14.25" customHeight="1">
      <c r="A906" s="1"/>
      <c r="B906" s="1"/>
      <c r="C906" s="1"/>
      <c r="D906" s="1"/>
      <c r="E906" s="1"/>
      <c r="F906" s="2"/>
      <c r="G906" s="1"/>
    </row>
    <row r="907" ht="14.25" customHeight="1">
      <c r="A907" s="1"/>
      <c r="B907" s="1"/>
      <c r="C907" s="1"/>
      <c r="D907" s="1"/>
      <c r="E907" s="1"/>
      <c r="F907" s="2"/>
      <c r="G907" s="1"/>
    </row>
    <row r="908" ht="14.25" customHeight="1">
      <c r="A908" s="1"/>
      <c r="B908" s="1"/>
      <c r="C908" s="1"/>
      <c r="D908" s="1"/>
      <c r="E908" s="1"/>
      <c r="F908" s="2"/>
      <c r="G908" s="1"/>
    </row>
    <row r="909" ht="14.25" customHeight="1">
      <c r="A909" s="1"/>
      <c r="B909" s="1"/>
      <c r="C909" s="1"/>
      <c r="D909" s="1"/>
      <c r="E909" s="1"/>
      <c r="F909" s="2"/>
      <c r="G909" s="1"/>
    </row>
    <row r="910" ht="14.25" customHeight="1">
      <c r="A910" s="1"/>
      <c r="B910" s="1"/>
      <c r="C910" s="1"/>
      <c r="D910" s="1"/>
      <c r="E910" s="1"/>
      <c r="F910" s="2"/>
      <c r="G910" s="1"/>
    </row>
    <row r="911" ht="14.25" customHeight="1">
      <c r="A911" s="1"/>
      <c r="B911" s="1"/>
      <c r="C911" s="1"/>
      <c r="D911" s="1"/>
      <c r="E911" s="1"/>
      <c r="F911" s="2"/>
      <c r="G911" s="1"/>
    </row>
    <row r="912" ht="14.25" customHeight="1">
      <c r="A912" s="1"/>
      <c r="B912" s="1"/>
      <c r="C912" s="1"/>
      <c r="D912" s="1"/>
      <c r="E912" s="1"/>
      <c r="F912" s="2"/>
      <c r="G912" s="1"/>
    </row>
    <row r="913" ht="14.25" customHeight="1">
      <c r="A913" s="1"/>
      <c r="B913" s="1"/>
      <c r="C913" s="1"/>
      <c r="D913" s="1"/>
      <c r="E913" s="1"/>
      <c r="F913" s="2"/>
      <c r="G913" s="1"/>
    </row>
    <row r="914" ht="14.25" customHeight="1">
      <c r="A914" s="1"/>
      <c r="B914" s="1"/>
      <c r="C914" s="1"/>
      <c r="D914" s="1"/>
      <c r="E914" s="1"/>
      <c r="F914" s="2"/>
      <c r="G914" s="1"/>
    </row>
    <row r="915" ht="14.25" customHeight="1">
      <c r="A915" s="1"/>
      <c r="B915" s="1"/>
      <c r="C915" s="1"/>
      <c r="D915" s="1"/>
      <c r="E915" s="1"/>
      <c r="F915" s="2"/>
      <c r="G915" s="1"/>
    </row>
    <row r="916" ht="14.25" customHeight="1">
      <c r="A916" s="1"/>
      <c r="B916" s="1"/>
      <c r="C916" s="1"/>
      <c r="D916" s="1"/>
      <c r="E916" s="1"/>
      <c r="F916" s="2"/>
      <c r="G916" s="1"/>
    </row>
    <row r="917" ht="14.25" customHeight="1">
      <c r="A917" s="1"/>
      <c r="B917" s="1"/>
      <c r="C917" s="1"/>
      <c r="D917" s="1"/>
      <c r="E917" s="1"/>
      <c r="F917" s="2"/>
      <c r="G917" s="1"/>
    </row>
    <row r="918" ht="14.25" customHeight="1">
      <c r="A918" s="1"/>
      <c r="B918" s="1"/>
      <c r="C918" s="1"/>
      <c r="D918" s="1"/>
      <c r="E918" s="1"/>
      <c r="F918" s="2"/>
      <c r="G918" s="1"/>
    </row>
    <row r="919" ht="14.25" customHeight="1">
      <c r="A919" s="1"/>
      <c r="B919" s="1"/>
      <c r="C919" s="1"/>
      <c r="D919" s="1"/>
      <c r="E919" s="1"/>
      <c r="F919" s="2"/>
      <c r="G919" s="1"/>
    </row>
    <row r="920" ht="14.25" customHeight="1">
      <c r="A920" s="1"/>
      <c r="B920" s="1"/>
      <c r="C920" s="1"/>
      <c r="D920" s="1"/>
      <c r="E920" s="1"/>
      <c r="F920" s="2"/>
      <c r="G920" s="1"/>
    </row>
    <row r="921" ht="14.25" customHeight="1">
      <c r="A921" s="1"/>
      <c r="B921" s="1"/>
      <c r="C921" s="1"/>
      <c r="D921" s="1"/>
      <c r="E921" s="1"/>
      <c r="F921" s="2"/>
      <c r="G921" s="1"/>
    </row>
    <row r="922" ht="14.25" customHeight="1">
      <c r="A922" s="1"/>
      <c r="B922" s="1"/>
      <c r="C922" s="1"/>
      <c r="D922" s="1"/>
      <c r="E922" s="1"/>
      <c r="F922" s="2"/>
      <c r="G922" s="1"/>
    </row>
    <row r="923" ht="14.25" customHeight="1">
      <c r="A923" s="1"/>
      <c r="B923" s="1"/>
      <c r="C923" s="1"/>
      <c r="D923" s="1"/>
      <c r="E923" s="1"/>
      <c r="F923" s="2"/>
      <c r="G923" s="1"/>
    </row>
    <row r="924" ht="14.25" customHeight="1">
      <c r="A924" s="1"/>
      <c r="B924" s="1"/>
      <c r="C924" s="1"/>
      <c r="D924" s="1"/>
      <c r="E924" s="1"/>
      <c r="F924" s="2"/>
      <c r="G924" s="1"/>
    </row>
    <row r="925" ht="14.25" customHeight="1">
      <c r="A925" s="1"/>
      <c r="B925" s="1"/>
      <c r="C925" s="1"/>
      <c r="D925" s="1"/>
      <c r="E925" s="1"/>
      <c r="F925" s="2"/>
      <c r="G925" s="1"/>
    </row>
    <row r="926" ht="14.25" customHeight="1">
      <c r="A926" s="1"/>
      <c r="B926" s="1"/>
      <c r="C926" s="1"/>
      <c r="D926" s="1"/>
      <c r="E926" s="1"/>
      <c r="F926" s="2"/>
      <c r="G926" s="1"/>
    </row>
    <row r="927" ht="14.25" customHeight="1">
      <c r="A927" s="1"/>
      <c r="B927" s="1"/>
      <c r="C927" s="1"/>
      <c r="D927" s="1"/>
      <c r="E927" s="1"/>
      <c r="F927" s="2"/>
      <c r="G927" s="1"/>
    </row>
    <row r="928" ht="14.25" customHeight="1">
      <c r="A928" s="1"/>
      <c r="B928" s="1"/>
      <c r="C928" s="1"/>
      <c r="D928" s="1"/>
      <c r="E928" s="1"/>
      <c r="F928" s="2"/>
      <c r="G928" s="1"/>
    </row>
    <row r="929" ht="14.25" customHeight="1">
      <c r="A929" s="1"/>
      <c r="B929" s="1"/>
      <c r="C929" s="1"/>
      <c r="D929" s="1"/>
      <c r="E929" s="1"/>
      <c r="F929" s="2"/>
      <c r="G929" s="1"/>
    </row>
    <row r="930" ht="14.25" customHeight="1">
      <c r="A930" s="1"/>
      <c r="B930" s="1"/>
      <c r="C930" s="1"/>
      <c r="D930" s="1"/>
      <c r="E930" s="1"/>
      <c r="F930" s="2"/>
      <c r="G930" s="1"/>
    </row>
    <row r="931" ht="14.25" customHeight="1">
      <c r="A931" s="1"/>
      <c r="B931" s="1"/>
      <c r="C931" s="1"/>
      <c r="D931" s="1"/>
      <c r="E931" s="1"/>
      <c r="F931" s="2"/>
      <c r="G931" s="1"/>
    </row>
    <row r="932" ht="14.25" customHeight="1">
      <c r="A932" s="1"/>
      <c r="B932" s="1"/>
      <c r="C932" s="1"/>
      <c r="D932" s="1"/>
      <c r="E932" s="1"/>
      <c r="F932" s="2"/>
      <c r="G932" s="1"/>
    </row>
    <row r="933" ht="14.25" customHeight="1">
      <c r="A933" s="1"/>
      <c r="B933" s="1"/>
      <c r="C933" s="1"/>
      <c r="D933" s="1"/>
      <c r="E933" s="1"/>
      <c r="F933" s="2"/>
      <c r="G933" s="1"/>
    </row>
    <row r="934" ht="14.25" customHeight="1">
      <c r="A934" s="1"/>
      <c r="B934" s="1"/>
      <c r="C934" s="1"/>
      <c r="D934" s="1"/>
      <c r="E934" s="1"/>
      <c r="F934" s="2"/>
      <c r="G934" s="1"/>
    </row>
    <row r="935" ht="14.25" customHeight="1">
      <c r="A935" s="1"/>
      <c r="B935" s="1"/>
      <c r="C935" s="1"/>
      <c r="D935" s="1"/>
      <c r="E935" s="1"/>
      <c r="F935" s="2"/>
      <c r="G935" s="1"/>
    </row>
    <row r="936" ht="14.25" customHeight="1">
      <c r="A936" s="1"/>
      <c r="B936" s="1"/>
      <c r="C936" s="1"/>
      <c r="D936" s="1"/>
      <c r="E936" s="1"/>
      <c r="F936" s="2"/>
      <c r="G936" s="1"/>
    </row>
    <row r="937" ht="14.25" customHeight="1">
      <c r="A937" s="1"/>
      <c r="B937" s="1"/>
      <c r="C937" s="1"/>
      <c r="D937" s="1"/>
      <c r="E937" s="1"/>
      <c r="F937" s="2"/>
      <c r="G937" s="1"/>
    </row>
    <row r="938" ht="14.25" customHeight="1">
      <c r="A938" s="1"/>
      <c r="B938" s="1"/>
      <c r="C938" s="1"/>
      <c r="D938" s="1"/>
      <c r="E938" s="1"/>
      <c r="F938" s="2"/>
      <c r="G938" s="1"/>
    </row>
    <row r="939" ht="14.25" customHeight="1">
      <c r="A939" s="1"/>
      <c r="B939" s="1"/>
      <c r="C939" s="1"/>
      <c r="D939" s="1"/>
      <c r="E939" s="1"/>
      <c r="F939" s="2"/>
      <c r="G939" s="1"/>
    </row>
    <row r="940" ht="14.25" customHeight="1">
      <c r="A940" s="1"/>
      <c r="B940" s="1"/>
      <c r="C940" s="1"/>
      <c r="D940" s="1"/>
      <c r="E940" s="1"/>
      <c r="F940" s="2"/>
      <c r="G940" s="1"/>
    </row>
    <row r="941" ht="14.25" customHeight="1">
      <c r="A941" s="1"/>
      <c r="B941" s="1"/>
      <c r="C941" s="1"/>
      <c r="D941" s="1"/>
      <c r="E941" s="1"/>
      <c r="F941" s="2"/>
      <c r="G941" s="1"/>
    </row>
    <row r="942" ht="14.25" customHeight="1">
      <c r="A942" s="1"/>
      <c r="B942" s="1"/>
      <c r="C942" s="1"/>
      <c r="D942" s="1"/>
      <c r="E942" s="1"/>
      <c r="F942" s="2"/>
      <c r="G942" s="1"/>
    </row>
    <row r="943" ht="14.25" customHeight="1">
      <c r="A943" s="1"/>
      <c r="B943" s="1"/>
      <c r="C943" s="1"/>
      <c r="D943" s="1"/>
      <c r="E943" s="1"/>
      <c r="F943" s="2"/>
      <c r="G943" s="1"/>
    </row>
    <row r="944" ht="14.25" customHeight="1">
      <c r="A944" s="1"/>
      <c r="B944" s="1"/>
      <c r="C944" s="1"/>
      <c r="D944" s="1"/>
      <c r="E944" s="1"/>
      <c r="F944" s="2"/>
      <c r="G944" s="1"/>
    </row>
    <row r="945" ht="14.25" customHeight="1">
      <c r="A945" s="1"/>
      <c r="B945" s="1"/>
      <c r="C945" s="1"/>
      <c r="D945" s="1"/>
      <c r="E945" s="1"/>
      <c r="F945" s="2"/>
      <c r="G945" s="1"/>
    </row>
    <row r="946" ht="14.25" customHeight="1">
      <c r="A946" s="1"/>
      <c r="B946" s="1"/>
      <c r="C946" s="1"/>
      <c r="D946" s="1"/>
      <c r="E946" s="1"/>
      <c r="F946" s="2"/>
      <c r="G946" s="1"/>
    </row>
    <row r="947" ht="14.25" customHeight="1">
      <c r="A947" s="1"/>
      <c r="B947" s="1"/>
      <c r="C947" s="1"/>
      <c r="D947" s="1"/>
      <c r="E947" s="1"/>
      <c r="F947" s="2"/>
      <c r="G947" s="1"/>
    </row>
    <row r="948" ht="14.25" customHeight="1">
      <c r="A948" s="1"/>
      <c r="B948" s="1"/>
      <c r="C948" s="1"/>
      <c r="D948" s="1"/>
      <c r="E948" s="1"/>
      <c r="F948" s="2"/>
      <c r="G948" s="1"/>
    </row>
    <row r="949" ht="14.25" customHeight="1">
      <c r="A949" s="1"/>
      <c r="B949" s="1"/>
      <c r="C949" s="1"/>
      <c r="D949" s="1"/>
      <c r="E949" s="1"/>
      <c r="F949" s="2"/>
      <c r="G949" s="1"/>
    </row>
    <row r="950" ht="14.25" customHeight="1">
      <c r="A950" s="1"/>
      <c r="B950" s="1"/>
      <c r="C950" s="1"/>
      <c r="D950" s="1"/>
      <c r="E950" s="1"/>
      <c r="F950" s="2"/>
      <c r="G950" s="1"/>
    </row>
    <row r="951" ht="14.25" customHeight="1">
      <c r="A951" s="1"/>
      <c r="B951" s="1"/>
      <c r="C951" s="1"/>
      <c r="D951" s="1"/>
      <c r="E951" s="1"/>
      <c r="F951" s="2"/>
      <c r="G951" s="1"/>
    </row>
    <row r="952" ht="14.25" customHeight="1">
      <c r="A952" s="1"/>
      <c r="B952" s="1"/>
      <c r="C952" s="1"/>
      <c r="D952" s="1"/>
      <c r="E952" s="1"/>
      <c r="F952" s="2"/>
      <c r="G952" s="1"/>
    </row>
    <row r="953" ht="14.25" customHeight="1">
      <c r="A953" s="1"/>
      <c r="B953" s="1"/>
      <c r="C953" s="1"/>
      <c r="D953" s="1"/>
      <c r="E953" s="1"/>
      <c r="F953" s="2"/>
      <c r="G953" s="1"/>
    </row>
    <row r="954" ht="14.25" customHeight="1">
      <c r="A954" s="1"/>
      <c r="B954" s="1"/>
      <c r="C954" s="1"/>
      <c r="D954" s="1"/>
      <c r="E954" s="1"/>
      <c r="F954" s="2"/>
      <c r="G954" s="1"/>
    </row>
    <row r="955" ht="14.25" customHeight="1">
      <c r="A955" s="1"/>
      <c r="B955" s="1"/>
      <c r="C955" s="1"/>
      <c r="D955" s="1"/>
      <c r="E955" s="1"/>
      <c r="F955" s="2"/>
      <c r="G955" s="1"/>
    </row>
    <row r="956" ht="14.25" customHeight="1">
      <c r="A956" s="1"/>
      <c r="B956" s="1"/>
      <c r="C956" s="1"/>
      <c r="D956" s="1"/>
      <c r="E956" s="1"/>
      <c r="F956" s="2"/>
      <c r="G956" s="1"/>
    </row>
    <row r="957" ht="14.25" customHeight="1">
      <c r="A957" s="1"/>
      <c r="B957" s="1"/>
      <c r="C957" s="1"/>
      <c r="D957" s="1"/>
      <c r="E957" s="1"/>
      <c r="F957" s="2"/>
      <c r="G957" s="1"/>
    </row>
    <row r="958" ht="14.25" customHeight="1">
      <c r="A958" s="1"/>
      <c r="B958" s="1"/>
      <c r="C958" s="1"/>
      <c r="D958" s="1"/>
      <c r="E958" s="1"/>
      <c r="F958" s="2"/>
      <c r="G958" s="1"/>
    </row>
    <row r="959" ht="14.25" customHeight="1">
      <c r="A959" s="1"/>
      <c r="B959" s="1"/>
      <c r="C959" s="1"/>
      <c r="D959" s="1"/>
      <c r="E959" s="1"/>
      <c r="F959" s="2"/>
      <c r="G959" s="1"/>
    </row>
    <row r="960" ht="14.25" customHeight="1">
      <c r="A960" s="1"/>
      <c r="B960" s="1"/>
      <c r="C960" s="1"/>
      <c r="D960" s="1"/>
      <c r="E960" s="1"/>
      <c r="F960" s="2"/>
      <c r="G960" s="1"/>
    </row>
    <row r="961" ht="14.25" customHeight="1">
      <c r="A961" s="1"/>
      <c r="B961" s="1"/>
      <c r="C961" s="1"/>
      <c r="D961" s="1"/>
      <c r="E961" s="1"/>
      <c r="F961" s="2"/>
      <c r="G961" s="1"/>
    </row>
    <row r="962" ht="14.25" customHeight="1">
      <c r="A962" s="1"/>
      <c r="B962" s="1"/>
      <c r="C962" s="1"/>
      <c r="D962" s="1"/>
      <c r="E962" s="1"/>
      <c r="F962" s="2"/>
      <c r="G962" s="1"/>
    </row>
    <row r="963" ht="14.25" customHeight="1">
      <c r="A963" s="1"/>
      <c r="B963" s="1"/>
      <c r="C963" s="1"/>
      <c r="D963" s="1"/>
      <c r="E963" s="1"/>
      <c r="F963" s="2"/>
      <c r="G963" s="1"/>
    </row>
    <row r="964" ht="14.25" customHeight="1">
      <c r="A964" s="1"/>
      <c r="B964" s="1"/>
      <c r="C964" s="1"/>
      <c r="D964" s="1"/>
      <c r="E964" s="1"/>
      <c r="F964" s="2"/>
      <c r="G964" s="1"/>
    </row>
    <row r="965" ht="14.25" customHeight="1">
      <c r="A965" s="1"/>
      <c r="B965" s="1"/>
      <c r="C965" s="1"/>
      <c r="D965" s="1"/>
      <c r="E965" s="1"/>
      <c r="F965" s="2"/>
      <c r="G965" s="1"/>
    </row>
    <row r="966" ht="14.25" customHeight="1">
      <c r="A966" s="1"/>
      <c r="B966" s="1"/>
      <c r="C966" s="1"/>
      <c r="D966" s="1"/>
      <c r="E966" s="1"/>
      <c r="F966" s="2"/>
      <c r="G966" s="1"/>
    </row>
    <row r="967" ht="14.25" customHeight="1">
      <c r="A967" s="1"/>
      <c r="B967" s="1"/>
      <c r="C967" s="1"/>
      <c r="D967" s="1"/>
      <c r="E967" s="1"/>
      <c r="F967" s="2"/>
      <c r="G967" s="1"/>
    </row>
    <row r="968" ht="14.25" customHeight="1">
      <c r="A968" s="1"/>
      <c r="B968" s="1"/>
      <c r="C968" s="1"/>
      <c r="D968" s="1"/>
      <c r="E968" s="1"/>
      <c r="F968" s="2"/>
      <c r="G968" s="1"/>
    </row>
    <row r="969" ht="14.25" customHeight="1">
      <c r="A969" s="1"/>
      <c r="B969" s="1"/>
      <c r="C969" s="1"/>
      <c r="D969" s="1"/>
      <c r="E969" s="1"/>
      <c r="F969" s="2"/>
      <c r="G969" s="1"/>
    </row>
    <row r="970" ht="14.25" customHeight="1">
      <c r="A970" s="1"/>
      <c r="B970" s="1"/>
      <c r="C970" s="1"/>
      <c r="D970" s="1"/>
      <c r="E970" s="1"/>
      <c r="F970" s="2"/>
      <c r="G970" s="1"/>
    </row>
    <row r="971" ht="14.25" customHeight="1">
      <c r="A971" s="1"/>
      <c r="B971" s="1"/>
      <c r="C971" s="1"/>
      <c r="D971" s="1"/>
      <c r="E971" s="1"/>
      <c r="F971" s="2"/>
      <c r="G971" s="1"/>
    </row>
    <row r="972" ht="14.25" customHeight="1">
      <c r="A972" s="1"/>
      <c r="B972" s="1"/>
      <c r="C972" s="1"/>
      <c r="D972" s="1"/>
      <c r="E972" s="1"/>
      <c r="F972" s="2"/>
      <c r="G972" s="1"/>
    </row>
    <row r="973" ht="14.25" customHeight="1">
      <c r="A973" s="1"/>
      <c r="B973" s="1"/>
      <c r="C973" s="1"/>
      <c r="D973" s="1"/>
      <c r="E973" s="1"/>
      <c r="F973" s="2"/>
      <c r="G973" s="1"/>
    </row>
    <row r="974" ht="14.25" customHeight="1">
      <c r="A974" s="1"/>
      <c r="B974" s="1"/>
      <c r="C974" s="1"/>
      <c r="D974" s="1"/>
      <c r="E974" s="1"/>
      <c r="F974" s="2"/>
      <c r="G974" s="1"/>
    </row>
    <row r="975" ht="14.25" customHeight="1">
      <c r="A975" s="1"/>
      <c r="B975" s="1"/>
      <c r="C975" s="1"/>
      <c r="D975" s="1"/>
      <c r="E975" s="1"/>
      <c r="F975" s="2"/>
      <c r="G975" s="1"/>
    </row>
    <row r="976" ht="14.25" customHeight="1">
      <c r="A976" s="1"/>
      <c r="B976" s="1"/>
      <c r="C976" s="1"/>
      <c r="D976" s="1"/>
      <c r="E976" s="1"/>
      <c r="F976" s="2"/>
      <c r="G976" s="1"/>
    </row>
    <row r="977" ht="14.25" customHeight="1">
      <c r="A977" s="1"/>
      <c r="B977" s="1"/>
      <c r="C977" s="1"/>
      <c r="D977" s="1"/>
      <c r="E977" s="1"/>
      <c r="F977" s="2"/>
      <c r="G977" s="1"/>
    </row>
    <row r="978" ht="14.25" customHeight="1">
      <c r="A978" s="1"/>
      <c r="B978" s="1"/>
      <c r="C978" s="1"/>
      <c r="D978" s="1"/>
      <c r="E978" s="1"/>
      <c r="F978" s="2"/>
      <c r="G978" s="1"/>
    </row>
    <row r="979" ht="14.25" customHeight="1">
      <c r="A979" s="1"/>
      <c r="B979" s="1"/>
      <c r="C979" s="1"/>
      <c r="D979" s="1"/>
      <c r="E979" s="1"/>
      <c r="F979" s="2"/>
      <c r="G979" s="1"/>
    </row>
    <row r="980" ht="14.25" customHeight="1">
      <c r="A980" s="1"/>
      <c r="B980" s="1"/>
      <c r="C980" s="1"/>
      <c r="D980" s="1"/>
      <c r="E980" s="1"/>
      <c r="F980" s="2"/>
      <c r="G980" s="1"/>
    </row>
    <row r="981" ht="14.25" customHeight="1">
      <c r="A981" s="1"/>
      <c r="B981" s="1"/>
      <c r="C981" s="1"/>
      <c r="D981" s="1"/>
      <c r="E981" s="1"/>
      <c r="F981" s="2"/>
      <c r="G981" s="1"/>
    </row>
    <row r="982" ht="14.25" customHeight="1">
      <c r="A982" s="1"/>
      <c r="B982" s="1"/>
      <c r="C982" s="1"/>
      <c r="D982" s="1"/>
      <c r="E982" s="1"/>
      <c r="F982" s="2"/>
      <c r="G982" s="1"/>
    </row>
    <row r="983" ht="14.25" customHeight="1">
      <c r="A983" s="1"/>
      <c r="B983" s="1"/>
      <c r="C983" s="1"/>
      <c r="D983" s="1"/>
      <c r="E983" s="1"/>
      <c r="F983" s="2"/>
      <c r="G983" s="1"/>
    </row>
    <row r="984" ht="14.25" customHeight="1">
      <c r="A984" s="1"/>
      <c r="B984" s="1"/>
      <c r="C984" s="1"/>
      <c r="D984" s="1"/>
      <c r="E984" s="1"/>
      <c r="F984" s="2"/>
      <c r="G984" s="1"/>
    </row>
    <row r="985" ht="14.25" customHeight="1">
      <c r="A985" s="1"/>
      <c r="B985" s="1"/>
      <c r="C985" s="1"/>
      <c r="D985" s="1"/>
      <c r="E985" s="1"/>
      <c r="F985" s="2"/>
      <c r="G985" s="1"/>
    </row>
    <row r="986" ht="14.25" customHeight="1">
      <c r="A986" s="1"/>
      <c r="B986" s="1"/>
      <c r="C986" s="1"/>
      <c r="D986" s="1"/>
      <c r="E986" s="1"/>
      <c r="F986" s="2"/>
      <c r="G986" s="1"/>
    </row>
    <row r="987" ht="14.25" customHeight="1">
      <c r="A987" s="1"/>
      <c r="B987" s="1"/>
      <c r="C987" s="1"/>
      <c r="D987" s="1"/>
      <c r="E987" s="1"/>
      <c r="F987" s="2"/>
      <c r="G987" s="1"/>
    </row>
    <row r="988" ht="14.25" customHeight="1">
      <c r="A988" s="1"/>
      <c r="B988" s="1"/>
      <c r="C988" s="1"/>
      <c r="D988" s="1"/>
      <c r="E988" s="1"/>
      <c r="F988" s="2"/>
      <c r="G988" s="1"/>
    </row>
    <row r="989" ht="14.25" customHeight="1">
      <c r="A989" s="1"/>
      <c r="B989" s="1"/>
      <c r="C989" s="1"/>
      <c r="D989" s="1"/>
      <c r="E989" s="1"/>
      <c r="F989" s="2"/>
      <c r="G989" s="1"/>
    </row>
    <row r="990" ht="14.25" customHeight="1">
      <c r="A990" s="1"/>
      <c r="B990" s="1"/>
      <c r="C990" s="1"/>
      <c r="D990" s="1"/>
      <c r="E990" s="1"/>
      <c r="F990" s="2"/>
      <c r="G990" s="1"/>
    </row>
    <row r="991" ht="14.25" customHeight="1">
      <c r="A991" s="1"/>
      <c r="B991" s="1"/>
      <c r="C991" s="1"/>
      <c r="D991" s="1"/>
      <c r="E991" s="1"/>
      <c r="F991" s="2"/>
      <c r="G991" s="1"/>
    </row>
    <row r="992" ht="14.25" customHeight="1">
      <c r="A992" s="1"/>
      <c r="B992" s="1"/>
      <c r="C992" s="1"/>
      <c r="D992" s="1"/>
      <c r="E992" s="1"/>
      <c r="F992" s="2"/>
      <c r="G992" s="1"/>
    </row>
    <row r="993" ht="14.25" customHeight="1">
      <c r="A993" s="1"/>
      <c r="B993" s="1"/>
      <c r="C993" s="1"/>
      <c r="D993" s="1"/>
      <c r="E993" s="1"/>
      <c r="F993" s="2"/>
      <c r="G993" s="1"/>
    </row>
    <row r="994" ht="14.25" customHeight="1">
      <c r="A994" s="1"/>
      <c r="B994" s="1"/>
      <c r="C994" s="1"/>
      <c r="D994" s="1"/>
      <c r="E994" s="1"/>
      <c r="F994" s="2"/>
      <c r="G994" s="1"/>
    </row>
    <row r="995" ht="14.25" customHeight="1">
      <c r="A995" s="1"/>
      <c r="B995" s="1"/>
      <c r="C995" s="1"/>
      <c r="D995" s="1"/>
      <c r="E995" s="1"/>
      <c r="F995" s="2"/>
      <c r="G995" s="1"/>
    </row>
    <row r="996" ht="14.25" customHeight="1">
      <c r="A996" s="1"/>
      <c r="B996" s="1"/>
      <c r="C996" s="1"/>
      <c r="D996" s="1"/>
      <c r="E996" s="1"/>
      <c r="F996" s="2"/>
      <c r="G996" s="1"/>
    </row>
    <row r="997" ht="14.25" customHeight="1">
      <c r="A997" s="1"/>
      <c r="B997" s="1"/>
      <c r="C997" s="1"/>
      <c r="D997" s="1"/>
      <c r="E997" s="1"/>
      <c r="F997" s="2"/>
      <c r="G997" s="1"/>
    </row>
    <row r="998" ht="14.25" customHeight="1">
      <c r="A998" s="1"/>
      <c r="B998" s="1"/>
      <c r="C998" s="1"/>
      <c r="D998" s="1"/>
      <c r="E998" s="1"/>
      <c r="F998" s="2"/>
      <c r="G998" s="1"/>
    </row>
    <row r="999" ht="14.25" customHeight="1">
      <c r="A999" s="1"/>
      <c r="B999" s="1"/>
      <c r="C999" s="1"/>
      <c r="D999" s="1"/>
      <c r="E999" s="1"/>
      <c r="F999" s="2"/>
      <c r="G999" s="1"/>
    </row>
    <row r="1000" ht="14.25" customHeight="1">
      <c r="A1000" s="1"/>
      <c r="B1000" s="1"/>
      <c r="C1000" s="1"/>
      <c r="D1000" s="1"/>
      <c r="E1000" s="1"/>
      <c r="F1000" s="2"/>
      <c r="G1000" s="1"/>
    </row>
  </sheetData>
  <conditionalFormatting sqref="F123:Z123 D127 AC5:AD120">
    <cfRule type="cellIs" dxfId="0" priority="1" operator="notEqual">
      <formula>0</formula>
    </cfRule>
  </conditionalFormatting>
  <conditionalFormatting sqref="K5:K120">
    <cfRule type="cellIs" dxfId="1" priority="2" operator="greaterThan">
      <formula>1500</formula>
    </cfRule>
  </conditionalFormatting>
  <conditionalFormatting sqref="L5:L120">
    <cfRule type="cellIs" dxfId="1" priority="3" operator="greaterThan">
      <formula>300</formula>
    </cfRule>
  </conditionalFormatting>
  <conditionalFormatting sqref="S5:T120 M5:M120">
    <cfRule type="cellIs" dxfId="1" priority="4" operator="greaterThan">
      <formula>200</formula>
    </cfRule>
  </conditionalFormatting>
  <conditionalFormatting sqref="P5:P120">
    <cfRule type="cellIs" dxfId="1" priority="5" operator="greaterThan">
      <formula>600</formula>
    </cfRule>
  </conditionalFormatting>
  <conditionalFormatting sqref="Q5:R120">
    <cfRule type="cellIs" dxfId="1" priority="6" operator="greaterThan">
      <formula>1000</formula>
    </cfRule>
  </conditionalFormatting>
  <conditionalFormatting sqref="U5:U120">
    <cfRule type="cellIs" dxfId="1" priority="7" operator="greaterThan">
      <formula>100</formula>
    </cfRule>
  </conditionalFormatting>
  <conditionalFormatting sqref="X5:Y120">
    <cfRule type="cellIs" dxfId="1" priority="8" operator="greaterThan">
      <formula>60</formula>
    </cfRule>
  </conditionalFormatting>
  <conditionalFormatting sqref="K54:K71">
    <cfRule type="cellIs" dxfId="1" priority="9" operator="greaterThan">
      <formula>1500</formula>
    </cfRule>
  </conditionalFormatting>
  <conditionalFormatting sqref="L54:L71">
    <cfRule type="cellIs" dxfId="1" priority="10" operator="greaterThan">
      <formula>300</formula>
    </cfRule>
  </conditionalFormatting>
  <conditionalFormatting sqref="M54:M71 S54:T71">
    <cfRule type="cellIs" dxfId="1" priority="11" operator="greaterThan">
      <formula>200</formula>
    </cfRule>
  </conditionalFormatting>
  <conditionalFormatting sqref="P54:P71">
    <cfRule type="cellIs" dxfId="1" priority="12" operator="greaterThan">
      <formula>600</formula>
    </cfRule>
  </conditionalFormatting>
  <conditionalFormatting sqref="Q54:R71 S62">
    <cfRule type="cellIs" dxfId="1" priority="13" operator="greaterThan">
      <formula>1000</formula>
    </cfRule>
  </conditionalFormatting>
  <conditionalFormatting sqref="U54:U71">
    <cfRule type="cellIs" dxfId="1" priority="14" operator="greaterThan">
      <formula>100</formula>
    </cfRule>
  </conditionalFormatting>
  <conditionalFormatting sqref="X54:Y71">
    <cfRule type="cellIs" dxfId="1" priority="15" operator="greaterThan">
      <formula>60</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2" width="12.71"/>
    <col customWidth="1" min="3" max="3" width="7.86"/>
    <col customWidth="1" min="4" max="4" width="10.0"/>
    <col customWidth="1" min="5" max="5" width="5.71"/>
    <col customWidth="1" min="6" max="6" width="5.86"/>
    <col customWidth="1" min="7" max="7" width="6.43"/>
    <col customWidth="1" min="8" max="8" width="9.14"/>
    <col customWidth="1" min="9" max="9" width="9.86"/>
    <col customWidth="1" min="10" max="10" width="9.14"/>
    <col customWidth="1" min="11" max="11" width="10.14"/>
    <col customWidth="1" min="12" max="12" width="6.14"/>
    <col customWidth="1" min="13" max="13" width="11.43"/>
    <col customWidth="1" min="14" max="14" width="7.43"/>
    <col customWidth="1" min="15" max="15" width="6.71"/>
    <col customWidth="1" min="16" max="16" width="11.43"/>
    <col customWidth="1" min="17" max="17" width="21.14"/>
    <col customWidth="1" min="18" max="20" width="9.14"/>
    <col customWidth="1" min="21" max="26" width="10.0"/>
  </cols>
  <sheetData>
    <row r="1" ht="14.25" customHeight="1">
      <c r="A1" s="52"/>
      <c r="B1" s="53"/>
      <c r="C1" s="53"/>
      <c r="D1" s="53"/>
      <c r="E1" s="53"/>
      <c r="F1" s="53"/>
      <c r="G1" s="1"/>
      <c r="H1" s="1"/>
      <c r="I1" s="1"/>
      <c r="J1" s="1"/>
      <c r="K1" s="1"/>
      <c r="L1" s="1"/>
      <c r="M1" s="1"/>
      <c r="N1" s="1"/>
      <c r="O1" s="1"/>
      <c r="P1" s="1"/>
      <c r="Q1" s="1"/>
      <c r="R1" s="1"/>
      <c r="S1" s="1"/>
      <c r="T1" s="1"/>
    </row>
    <row r="2" ht="15.0" customHeight="1">
      <c r="A2" s="54" t="s">
        <v>188</v>
      </c>
      <c r="B2" s="55"/>
      <c r="C2" s="55"/>
      <c r="D2" s="55"/>
      <c r="E2" s="55"/>
      <c r="F2" s="55"/>
      <c r="G2" s="55"/>
      <c r="H2" s="55"/>
      <c r="I2" s="55"/>
      <c r="J2" s="55"/>
      <c r="K2" s="55"/>
      <c r="L2" s="55"/>
      <c r="M2" s="55"/>
      <c r="N2" s="55"/>
      <c r="O2" s="55"/>
      <c r="P2" s="56"/>
      <c r="Q2" s="57"/>
      <c r="R2" s="57"/>
      <c r="S2" s="57"/>
      <c r="T2" s="57"/>
      <c r="U2" s="58"/>
      <c r="V2" s="58"/>
      <c r="W2" s="58"/>
      <c r="X2" s="58"/>
      <c r="Y2" s="58"/>
      <c r="Z2" s="58"/>
    </row>
    <row r="3" ht="14.25" customHeight="1">
      <c r="A3" s="58"/>
      <c r="B3" s="58"/>
      <c r="C3" s="58"/>
      <c r="D3" s="58"/>
      <c r="E3" s="58"/>
      <c r="F3" s="58"/>
      <c r="G3" s="58"/>
      <c r="H3" s="57"/>
      <c r="I3" s="58"/>
      <c r="J3" s="58"/>
      <c r="K3" s="58"/>
      <c r="L3" s="58"/>
      <c r="M3" s="58"/>
      <c r="N3" s="58"/>
      <c r="O3" s="58"/>
      <c r="P3" s="58"/>
      <c r="Q3" s="57"/>
      <c r="R3" s="57"/>
      <c r="S3" s="57"/>
      <c r="T3" s="57"/>
      <c r="U3" s="58"/>
      <c r="V3" s="58"/>
      <c r="W3" s="58"/>
      <c r="X3" s="58"/>
      <c r="Y3" s="58"/>
      <c r="Z3" s="58"/>
    </row>
    <row r="4" ht="44.25" customHeight="1">
      <c r="A4" s="59" t="s">
        <v>189</v>
      </c>
      <c r="B4" s="55"/>
      <c r="C4" s="55"/>
      <c r="D4" s="55"/>
      <c r="E4" s="55"/>
      <c r="F4" s="55"/>
      <c r="G4" s="55"/>
      <c r="H4" s="55"/>
      <c r="I4" s="55"/>
      <c r="J4" s="55"/>
      <c r="K4" s="55"/>
      <c r="L4" s="55"/>
      <c r="M4" s="55"/>
      <c r="N4" s="55"/>
      <c r="O4" s="55"/>
      <c r="P4" s="56"/>
      <c r="Q4" s="57"/>
      <c r="R4" s="57"/>
      <c r="S4" s="57"/>
      <c r="T4" s="57"/>
      <c r="U4" s="58"/>
      <c r="V4" s="58"/>
      <c r="W4" s="58"/>
      <c r="X4" s="58"/>
      <c r="Y4" s="58"/>
      <c r="Z4" s="58"/>
    </row>
    <row r="5" ht="15.0" customHeight="1">
      <c r="A5" s="59" t="s">
        <v>190</v>
      </c>
      <c r="B5" s="55"/>
      <c r="C5" s="55"/>
      <c r="D5" s="55"/>
      <c r="E5" s="55"/>
      <c r="F5" s="55"/>
      <c r="G5" s="55"/>
      <c r="H5" s="55"/>
      <c r="I5" s="55"/>
      <c r="J5" s="55"/>
      <c r="K5" s="55"/>
      <c r="L5" s="55"/>
      <c r="M5" s="55"/>
      <c r="N5" s="55"/>
      <c r="O5" s="55"/>
      <c r="P5" s="56"/>
      <c r="Q5" s="57"/>
      <c r="R5" s="57"/>
      <c r="S5" s="57"/>
      <c r="T5" s="57"/>
      <c r="U5" s="58"/>
      <c r="V5" s="58"/>
      <c r="W5" s="58"/>
      <c r="X5" s="58"/>
      <c r="Y5" s="58"/>
      <c r="Z5" s="58"/>
    </row>
    <row r="6" ht="27.75" customHeight="1">
      <c r="A6" s="59" t="s">
        <v>191</v>
      </c>
      <c r="B6" s="55"/>
      <c r="C6" s="55"/>
      <c r="D6" s="55"/>
      <c r="E6" s="55"/>
      <c r="F6" s="55"/>
      <c r="G6" s="55"/>
      <c r="H6" s="55"/>
      <c r="I6" s="55"/>
      <c r="J6" s="55"/>
      <c r="K6" s="55"/>
      <c r="L6" s="55"/>
      <c r="M6" s="55"/>
      <c r="N6" s="55"/>
      <c r="O6" s="55"/>
      <c r="P6" s="56"/>
      <c r="Q6" s="57"/>
      <c r="R6" s="57"/>
      <c r="S6" s="57"/>
      <c r="T6" s="57"/>
      <c r="U6" s="58"/>
      <c r="V6" s="58"/>
      <c r="W6" s="58"/>
      <c r="X6" s="58"/>
      <c r="Y6" s="58"/>
      <c r="Z6" s="58"/>
    </row>
    <row r="7" ht="14.25" customHeight="1">
      <c r="A7" s="59" t="s">
        <v>192</v>
      </c>
      <c r="B7" s="55"/>
      <c r="C7" s="55"/>
      <c r="D7" s="55"/>
      <c r="E7" s="55"/>
      <c r="F7" s="55"/>
      <c r="G7" s="55"/>
      <c r="H7" s="55"/>
      <c r="I7" s="55"/>
      <c r="J7" s="55"/>
      <c r="K7" s="55"/>
      <c r="L7" s="55"/>
      <c r="M7" s="55"/>
      <c r="N7" s="55"/>
      <c r="O7" s="55"/>
      <c r="P7" s="56"/>
      <c r="Q7" s="57"/>
      <c r="R7" s="57"/>
      <c r="S7" s="57"/>
      <c r="T7" s="57"/>
      <c r="U7" s="58"/>
      <c r="V7" s="58"/>
      <c r="W7" s="58"/>
      <c r="X7" s="58"/>
      <c r="Y7" s="58"/>
      <c r="Z7" s="58"/>
    </row>
    <row r="8" ht="92.25" customHeight="1">
      <c r="A8" s="60" t="s">
        <v>193</v>
      </c>
      <c r="B8" s="55"/>
      <c r="C8" s="55"/>
      <c r="D8" s="55"/>
      <c r="E8" s="55"/>
      <c r="F8" s="55"/>
      <c r="G8" s="55"/>
      <c r="H8" s="55"/>
      <c r="I8" s="55"/>
      <c r="J8" s="55"/>
      <c r="K8" s="55"/>
      <c r="L8" s="55"/>
      <c r="M8" s="55"/>
      <c r="N8" s="55"/>
      <c r="O8" s="55"/>
      <c r="P8" s="56"/>
      <c r="Q8" s="57"/>
      <c r="R8" s="57"/>
      <c r="S8" s="57"/>
      <c r="T8" s="57"/>
      <c r="U8" s="58"/>
      <c r="V8" s="58"/>
      <c r="W8" s="58"/>
      <c r="X8" s="58"/>
      <c r="Y8" s="58"/>
      <c r="Z8" s="58"/>
    </row>
    <row r="9" ht="14.25" customHeight="1">
      <c r="A9" s="61"/>
      <c r="B9" s="62"/>
      <c r="C9" s="62"/>
      <c r="D9" s="62"/>
      <c r="E9" s="62"/>
      <c r="F9" s="62"/>
      <c r="G9" s="61"/>
      <c r="H9" s="58"/>
      <c r="I9" s="61"/>
      <c r="J9" s="61"/>
      <c r="K9" s="61"/>
      <c r="L9" s="61"/>
      <c r="M9" s="61"/>
      <c r="N9" s="61"/>
      <c r="O9" s="61"/>
      <c r="P9" s="61"/>
      <c r="Q9" s="57"/>
      <c r="R9" s="57"/>
      <c r="S9" s="57"/>
      <c r="T9" s="57"/>
      <c r="U9" s="58"/>
      <c r="V9" s="58"/>
      <c r="W9" s="58"/>
      <c r="X9" s="58"/>
      <c r="Y9" s="58"/>
      <c r="Z9" s="58"/>
    </row>
    <row r="10" ht="82.5" customHeight="1">
      <c r="A10" s="63" t="s">
        <v>194</v>
      </c>
      <c r="B10" s="63" t="s">
        <v>195</v>
      </c>
      <c r="C10" s="63" t="s">
        <v>196</v>
      </c>
      <c r="D10" s="64" t="s">
        <v>197</v>
      </c>
      <c r="E10" s="64" t="s">
        <v>198</v>
      </c>
      <c r="F10" s="64" t="s">
        <v>199</v>
      </c>
      <c r="G10" s="63" t="s">
        <v>200</v>
      </c>
      <c r="H10" s="64" t="s">
        <v>201</v>
      </c>
      <c r="I10" s="64" t="s">
        <v>202</v>
      </c>
      <c r="J10" s="64" t="s">
        <v>203</v>
      </c>
      <c r="K10" s="64" t="s">
        <v>204</v>
      </c>
      <c r="L10" s="64" t="s">
        <v>205</v>
      </c>
      <c r="M10" s="64" t="s">
        <v>206</v>
      </c>
      <c r="N10" s="64" t="s">
        <v>207</v>
      </c>
      <c r="O10" s="63" t="s">
        <v>208</v>
      </c>
      <c r="P10" s="63" t="s">
        <v>209</v>
      </c>
      <c r="Q10" s="65" t="s">
        <v>210</v>
      </c>
      <c r="R10" s="66"/>
      <c r="S10" s="66"/>
      <c r="T10" s="66"/>
      <c r="U10" s="67"/>
      <c r="V10" s="67"/>
      <c r="W10" s="67"/>
      <c r="X10" s="67"/>
      <c r="Y10" s="67"/>
      <c r="Z10" s="67"/>
    </row>
    <row r="11" ht="179.25" customHeight="1">
      <c r="A11" s="68" t="s">
        <v>211</v>
      </c>
      <c r="B11" s="68" t="s">
        <v>212</v>
      </c>
      <c r="C11" s="69" t="s">
        <v>213</v>
      </c>
      <c r="D11" s="68" t="s">
        <v>214</v>
      </c>
      <c r="E11" s="70" t="s">
        <v>215</v>
      </c>
      <c r="F11" s="71">
        <v>4.0</v>
      </c>
      <c r="G11" s="69" t="s">
        <v>216</v>
      </c>
      <c r="H11" s="72" t="s">
        <v>217</v>
      </c>
      <c r="I11" s="73"/>
      <c r="J11" s="73"/>
      <c r="K11" s="74" t="s">
        <v>218</v>
      </c>
      <c r="L11" s="75">
        <v>2020.0</v>
      </c>
      <c r="M11" s="75" t="s">
        <v>219</v>
      </c>
      <c r="N11" s="75"/>
      <c r="O11" s="76">
        <v>1000.0</v>
      </c>
      <c r="P11" s="77">
        <v>500.0</v>
      </c>
      <c r="Q11" s="77" t="s">
        <v>65</v>
      </c>
      <c r="R11" s="1"/>
      <c r="S11" s="1"/>
      <c r="T11" s="1"/>
    </row>
    <row r="12" ht="110.25" customHeight="1">
      <c r="A12" s="68" t="s">
        <v>220</v>
      </c>
      <c r="B12" s="68" t="s">
        <v>221</v>
      </c>
      <c r="C12" s="69" t="s">
        <v>73</v>
      </c>
      <c r="D12" s="68" t="s">
        <v>222</v>
      </c>
      <c r="E12" s="70">
        <v>12.0</v>
      </c>
      <c r="F12" s="71">
        <v>12.0</v>
      </c>
      <c r="G12" s="69" t="s">
        <v>223</v>
      </c>
      <c r="H12" s="78" t="s">
        <v>224</v>
      </c>
      <c r="I12" s="79" t="s">
        <v>225</v>
      </c>
      <c r="J12" s="73" t="s">
        <v>226</v>
      </c>
      <c r="K12" s="74" t="s">
        <v>227</v>
      </c>
      <c r="L12" s="75">
        <v>2020.0</v>
      </c>
      <c r="M12" s="75" t="s">
        <v>228</v>
      </c>
      <c r="N12" s="80">
        <v>2592.0</v>
      </c>
      <c r="O12" s="76">
        <v>1000.0</v>
      </c>
      <c r="P12" s="77">
        <v>500.0</v>
      </c>
      <c r="Q12" s="77" t="s">
        <v>229</v>
      </c>
      <c r="R12" s="1"/>
      <c r="S12" s="1"/>
      <c r="T12" s="1"/>
    </row>
    <row r="13" ht="132.0" customHeight="1">
      <c r="A13" s="81" t="s">
        <v>230</v>
      </c>
      <c r="B13" s="82" t="s">
        <v>231</v>
      </c>
      <c r="C13" s="83" t="s">
        <v>100</v>
      </c>
      <c r="D13" s="81" t="s">
        <v>214</v>
      </c>
      <c r="E13" s="82" t="s">
        <v>232</v>
      </c>
      <c r="F13" s="84" t="s">
        <v>233</v>
      </c>
      <c r="G13" s="85" t="s">
        <v>216</v>
      </c>
      <c r="H13" s="86" t="s">
        <v>234</v>
      </c>
      <c r="I13" s="87"/>
      <c r="J13" s="88" t="s">
        <v>235</v>
      </c>
      <c r="K13" s="89" t="s">
        <v>236</v>
      </c>
      <c r="L13" s="90">
        <v>2020.0</v>
      </c>
      <c r="M13" s="90" t="s">
        <v>237</v>
      </c>
      <c r="N13" s="90"/>
      <c r="O13" s="91">
        <v>1200.0</v>
      </c>
      <c r="P13" s="92">
        <v>600.0</v>
      </c>
      <c r="Q13" s="92" t="s">
        <v>108</v>
      </c>
      <c r="R13" s="1"/>
      <c r="S13" s="1"/>
      <c r="T13" s="1"/>
    </row>
    <row r="14" ht="171.0" customHeight="1">
      <c r="A14" s="88" t="s">
        <v>238</v>
      </c>
      <c r="B14" s="82" t="s">
        <v>239</v>
      </c>
      <c r="C14" s="83" t="s">
        <v>100</v>
      </c>
      <c r="D14" s="93" t="s">
        <v>240</v>
      </c>
      <c r="E14" s="94" t="s">
        <v>241</v>
      </c>
      <c r="F14" s="90"/>
      <c r="G14" s="95" t="s">
        <v>242</v>
      </c>
      <c r="H14" s="96" t="s">
        <v>243</v>
      </c>
      <c r="I14" s="97" t="s">
        <v>244</v>
      </c>
      <c r="J14" s="88" t="s">
        <v>245</v>
      </c>
      <c r="K14" s="89"/>
      <c r="L14" s="84">
        <v>2020.0</v>
      </c>
      <c r="M14" s="84" t="s">
        <v>228</v>
      </c>
      <c r="N14" s="84">
        <v>0.968</v>
      </c>
      <c r="O14" s="98">
        <v>1000.0</v>
      </c>
      <c r="P14" s="92">
        <v>333.33</v>
      </c>
      <c r="Q14" s="92" t="s">
        <v>108</v>
      </c>
      <c r="R14" s="1"/>
      <c r="S14" s="1"/>
      <c r="T14" s="1"/>
    </row>
    <row r="15" ht="388.5" customHeight="1">
      <c r="A15" s="99" t="s">
        <v>246</v>
      </c>
      <c r="B15" s="99" t="s">
        <v>247</v>
      </c>
      <c r="C15" s="69" t="s">
        <v>100</v>
      </c>
      <c r="D15" s="99" t="s">
        <v>248</v>
      </c>
      <c r="E15" s="69" t="s">
        <v>249</v>
      </c>
      <c r="F15" s="75"/>
      <c r="G15" s="69" t="s">
        <v>250</v>
      </c>
      <c r="H15" s="100" t="s">
        <v>251</v>
      </c>
      <c r="I15" s="100" t="s">
        <v>252</v>
      </c>
      <c r="J15" s="101" t="s">
        <v>253</v>
      </c>
      <c r="K15" s="102" t="s">
        <v>253</v>
      </c>
      <c r="L15" s="75">
        <v>2020.0</v>
      </c>
      <c r="M15" s="75" t="s">
        <v>254</v>
      </c>
      <c r="N15" s="75">
        <v>12.28</v>
      </c>
      <c r="O15" s="76">
        <v>1500.0</v>
      </c>
      <c r="P15" s="77">
        <v>750.0</v>
      </c>
      <c r="Q15" s="77" t="s">
        <v>255</v>
      </c>
      <c r="R15" s="1"/>
      <c r="S15" s="1"/>
      <c r="T15" s="1"/>
    </row>
    <row r="16" ht="234.0" customHeight="1">
      <c r="A16" s="68" t="s">
        <v>256</v>
      </c>
      <c r="B16" s="68" t="s">
        <v>136</v>
      </c>
      <c r="C16" s="69" t="s">
        <v>123</v>
      </c>
      <c r="D16" s="68" t="s">
        <v>257</v>
      </c>
      <c r="E16" s="70">
        <v>0.0</v>
      </c>
      <c r="F16" s="71" t="s">
        <v>258</v>
      </c>
      <c r="G16" s="69" t="s">
        <v>259</v>
      </c>
      <c r="H16" s="72">
        <v>0.0</v>
      </c>
      <c r="I16" s="73" t="s">
        <v>260</v>
      </c>
      <c r="J16" s="73">
        <v>6.05445300014E11</v>
      </c>
      <c r="K16" s="74" t="s">
        <v>261</v>
      </c>
      <c r="L16" s="75">
        <v>2020.0</v>
      </c>
      <c r="M16" s="75" t="s">
        <v>262</v>
      </c>
      <c r="N16" s="75">
        <v>0.0</v>
      </c>
      <c r="O16" s="76">
        <v>1200.0</v>
      </c>
      <c r="P16" s="77">
        <v>1200.0</v>
      </c>
      <c r="Q16" s="77" t="s">
        <v>136</v>
      </c>
      <c r="R16" s="1"/>
      <c r="S16" s="1"/>
      <c r="T16" s="1"/>
    </row>
    <row r="17" ht="138.0" customHeight="1">
      <c r="A17" s="68" t="s">
        <v>263</v>
      </c>
      <c r="B17" s="68" t="s">
        <v>264</v>
      </c>
      <c r="C17" s="69" t="s">
        <v>142</v>
      </c>
      <c r="D17" s="68" t="s">
        <v>265</v>
      </c>
      <c r="E17" s="70" t="s">
        <v>266</v>
      </c>
      <c r="F17" s="71">
        <v>4.0</v>
      </c>
      <c r="G17" s="69" t="s">
        <v>267</v>
      </c>
      <c r="H17" s="72" t="s">
        <v>268</v>
      </c>
      <c r="I17" s="73" t="s">
        <v>269</v>
      </c>
      <c r="J17" s="73" t="s">
        <v>270</v>
      </c>
      <c r="K17" s="74" t="s">
        <v>271</v>
      </c>
      <c r="L17" s="75">
        <v>2020.0</v>
      </c>
      <c r="M17" s="75" t="s">
        <v>272</v>
      </c>
      <c r="N17" s="75">
        <v>1.877</v>
      </c>
      <c r="O17" s="76">
        <v>1000.0</v>
      </c>
      <c r="P17" s="77">
        <v>1000.0</v>
      </c>
      <c r="Q17" s="77" t="s">
        <v>273</v>
      </c>
      <c r="R17" s="1"/>
      <c r="S17" s="1"/>
      <c r="T17" s="1"/>
    </row>
    <row r="18" ht="138.0" customHeight="1">
      <c r="A18" s="68" t="s">
        <v>274</v>
      </c>
      <c r="B18" s="68" t="s">
        <v>275</v>
      </c>
      <c r="C18" s="69" t="s">
        <v>142</v>
      </c>
      <c r="D18" s="68" t="s">
        <v>276</v>
      </c>
      <c r="E18" s="70">
        <v>30.0</v>
      </c>
      <c r="F18" s="71">
        <v>1.0</v>
      </c>
      <c r="G18" s="69" t="s">
        <v>277</v>
      </c>
      <c r="H18" s="72" t="s">
        <v>278</v>
      </c>
      <c r="I18" s="73" t="s">
        <v>279</v>
      </c>
      <c r="J18" s="73" t="s">
        <v>280</v>
      </c>
      <c r="K18" s="74" t="s">
        <v>281</v>
      </c>
      <c r="L18" s="75">
        <v>2020.0</v>
      </c>
      <c r="M18" s="75" t="s">
        <v>254</v>
      </c>
      <c r="N18" s="75">
        <v>2192.0</v>
      </c>
      <c r="O18" s="76">
        <v>1500.0</v>
      </c>
      <c r="P18" s="77">
        <v>300.0</v>
      </c>
      <c r="Q18" s="77" t="s">
        <v>164</v>
      </c>
      <c r="R18" s="1"/>
      <c r="S18" s="1"/>
      <c r="T18" s="1"/>
    </row>
    <row r="19" ht="110.25" customHeight="1">
      <c r="A19" s="68" t="s">
        <v>282</v>
      </c>
      <c r="B19" s="68" t="s">
        <v>283</v>
      </c>
      <c r="C19" s="69" t="s">
        <v>142</v>
      </c>
      <c r="D19" s="68" t="s">
        <v>284</v>
      </c>
      <c r="E19" s="70">
        <v>12.0</v>
      </c>
      <c r="F19" s="71">
        <v>12.0</v>
      </c>
      <c r="G19" s="69" t="s">
        <v>223</v>
      </c>
      <c r="H19" s="72" t="s">
        <v>224</v>
      </c>
      <c r="I19" s="73" t="s">
        <v>285</v>
      </c>
      <c r="J19" s="73" t="s">
        <v>226</v>
      </c>
      <c r="K19" s="74" t="s">
        <v>286</v>
      </c>
      <c r="L19" s="75">
        <v>2020.0</v>
      </c>
      <c r="M19" s="75" t="s">
        <v>228</v>
      </c>
      <c r="N19" s="75">
        <v>2576.0</v>
      </c>
      <c r="O19" s="76">
        <v>1000.0</v>
      </c>
      <c r="P19" s="77">
        <v>500.0</v>
      </c>
      <c r="Q19" s="77" t="s">
        <v>164</v>
      </c>
      <c r="R19" s="1"/>
      <c r="S19" s="1"/>
      <c r="T19" s="1"/>
    </row>
    <row r="20" ht="261.75" customHeight="1">
      <c r="A20" s="68" t="s">
        <v>287</v>
      </c>
      <c r="B20" s="68" t="s">
        <v>288</v>
      </c>
      <c r="C20" s="69" t="s">
        <v>142</v>
      </c>
      <c r="D20" s="68" t="s">
        <v>289</v>
      </c>
      <c r="E20" s="70">
        <v>14.0</v>
      </c>
      <c r="F20" s="71">
        <v>2.0</v>
      </c>
      <c r="G20" s="69" t="s">
        <v>290</v>
      </c>
      <c r="H20" s="72" t="s">
        <v>291</v>
      </c>
      <c r="I20" s="73" t="s">
        <v>292</v>
      </c>
      <c r="J20" s="73" t="s">
        <v>293</v>
      </c>
      <c r="K20" s="74" t="s">
        <v>294</v>
      </c>
      <c r="L20" s="75">
        <v>2020.0</v>
      </c>
      <c r="M20" s="75" t="s">
        <v>295</v>
      </c>
      <c r="N20" s="75">
        <v>3.296</v>
      </c>
      <c r="O20" s="76">
        <v>1500.0</v>
      </c>
      <c r="P20" s="77">
        <v>1500.0</v>
      </c>
      <c r="Q20" s="77" t="s">
        <v>169</v>
      </c>
      <c r="R20" s="1"/>
      <c r="S20" s="1"/>
      <c r="T20" s="1"/>
    </row>
    <row r="21" ht="151.5" customHeight="1">
      <c r="A21" s="68" t="s">
        <v>296</v>
      </c>
      <c r="B21" s="68" t="s">
        <v>297</v>
      </c>
      <c r="C21" s="69" t="s">
        <v>142</v>
      </c>
      <c r="D21" s="68" t="s">
        <v>289</v>
      </c>
      <c r="E21" s="70">
        <v>14.0</v>
      </c>
      <c r="F21" s="71">
        <v>2.0</v>
      </c>
      <c r="G21" s="69" t="s">
        <v>290</v>
      </c>
      <c r="H21" s="72" t="s">
        <v>298</v>
      </c>
      <c r="I21" s="73" t="s">
        <v>299</v>
      </c>
      <c r="J21" s="73" t="s">
        <v>300</v>
      </c>
      <c r="K21" s="74" t="s">
        <v>301</v>
      </c>
      <c r="L21" s="75">
        <v>2020.0</v>
      </c>
      <c r="M21" s="75" t="s">
        <v>295</v>
      </c>
      <c r="N21" s="75">
        <v>3.296</v>
      </c>
      <c r="O21" s="76">
        <v>1500.0</v>
      </c>
      <c r="P21" s="77">
        <v>1500.0</v>
      </c>
      <c r="Q21" s="77" t="s">
        <v>169</v>
      </c>
      <c r="R21" s="1"/>
      <c r="S21" s="1"/>
      <c r="T21" s="1"/>
    </row>
    <row r="22" ht="179.25" customHeight="1">
      <c r="A22" s="68" t="s">
        <v>302</v>
      </c>
      <c r="B22" s="68" t="s">
        <v>303</v>
      </c>
      <c r="C22" s="69" t="s">
        <v>142</v>
      </c>
      <c r="D22" s="68" t="s">
        <v>276</v>
      </c>
      <c r="E22" s="70">
        <v>30.0</v>
      </c>
      <c r="F22" s="71">
        <v>1.0</v>
      </c>
      <c r="G22" s="69" t="s">
        <v>304</v>
      </c>
      <c r="H22" s="72" t="s">
        <v>278</v>
      </c>
      <c r="I22" s="73" t="s">
        <v>305</v>
      </c>
      <c r="J22" s="73" t="s">
        <v>280</v>
      </c>
      <c r="K22" s="74" t="s">
        <v>281</v>
      </c>
      <c r="L22" s="75">
        <v>2020.0</v>
      </c>
      <c r="M22" s="75" t="s">
        <v>295</v>
      </c>
      <c r="N22" s="75">
        <v>2.192</v>
      </c>
      <c r="O22" s="76">
        <v>1500.0</v>
      </c>
      <c r="P22" s="77">
        <v>300.0</v>
      </c>
      <c r="Q22" s="77" t="s">
        <v>169</v>
      </c>
      <c r="R22" s="1"/>
      <c r="S22" s="1"/>
      <c r="T22" s="1"/>
    </row>
    <row r="23" ht="138.0" customHeight="1">
      <c r="A23" s="68" t="s">
        <v>306</v>
      </c>
      <c r="B23" s="68" t="s">
        <v>307</v>
      </c>
      <c r="C23" s="69" t="s">
        <v>142</v>
      </c>
      <c r="D23" s="68" t="s">
        <v>276</v>
      </c>
      <c r="E23" s="70">
        <v>30.0</v>
      </c>
      <c r="F23" s="71">
        <v>1.0</v>
      </c>
      <c r="G23" s="69" t="s">
        <v>304</v>
      </c>
      <c r="H23" s="72" t="s">
        <v>278</v>
      </c>
      <c r="I23" s="73" t="s">
        <v>308</v>
      </c>
      <c r="J23" s="73" t="s">
        <v>280</v>
      </c>
      <c r="K23" s="74" t="s">
        <v>281</v>
      </c>
      <c r="L23" s="75">
        <v>2020.0</v>
      </c>
      <c r="M23" s="75" t="s">
        <v>309</v>
      </c>
      <c r="N23" s="75">
        <v>2.192</v>
      </c>
      <c r="O23" s="76">
        <v>1500.0</v>
      </c>
      <c r="P23" s="77">
        <v>300.0</v>
      </c>
      <c r="Q23" s="77" t="s">
        <v>170</v>
      </c>
      <c r="R23" s="1"/>
      <c r="S23" s="1"/>
      <c r="T23" s="1"/>
    </row>
    <row r="24" ht="110.25" customHeight="1">
      <c r="A24" s="68" t="s">
        <v>310</v>
      </c>
      <c r="B24" s="68" t="s">
        <v>311</v>
      </c>
      <c r="C24" s="69" t="s">
        <v>142</v>
      </c>
      <c r="D24" s="68" t="s">
        <v>312</v>
      </c>
      <c r="E24" s="70">
        <v>20.0</v>
      </c>
      <c r="F24" s="71">
        <v>4.0</v>
      </c>
      <c r="G24" s="69" t="s">
        <v>313</v>
      </c>
      <c r="H24" s="72" t="s">
        <v>314</v>
      </c>
      <c r="I24" s="73" t="s">
        <v>315</v>
      </c>
      <c r="J24" s="73" t="s">
        <v>316</v>
      </c>
      <c r="K24" s="74" t="s">
        <v>317</v>
      </c>
      <c r="L24" s="75">
        <v>2020.0</v>
      </c>
      <c r="M24" s="75" t="s">
        <v>318</v>
      </c>
      <c r="N24" s="75">
        <v>0.839</v>
      </c>
      <c r="O24" s="76">
        <v>1500.0</v>
      </c>
      <c r="P24" s="77">
        <v>1500.0</v>
      </c>
      <c r="Q24" s="77" t="s">
        <v>173</v>
      </c>
      <c r="R24" s="1"/>
      <c r="S24" s="1"/>
      <c r="T24" s="1"/>
    </row>
    <row r="25" ht="151.5" customHeight="1">
      <c r="A25" s="68" t="s">
        <v>319</v>
      </c>
      <c r="B25" s="68" t="s">
        <v>311</v>
      </c>
      <c r="C25" s="69" t="s">
        <v>142</v>
      </c>
      <c r="D25" s="68" t="s">
        <v>320</v>
      </c>
      <c r="E25" s="70">
        <v>103.0</v>
      </c>
      <c r="F25" s="71" t="s">
        <v>321</v>
      </c>
      <c r="G25" s="69" t="s">
        <v>322</v>
      </c>
      <c r="H25" s="72" t="s">
        <v>323</v>
      </c>
      <c r="I25" s="73" t="s">
        <v>324</v>
      </c>
      <c r="J25" s="73" t="s">
        <v>325</v>
      </c>
      <c r="K25" s="74" t="s">
        <v>326</v>
      </c>
      <c r="L25" s="75">
        <v>2020.0</v>
      </c>
      <c r="M25" s="75" t="s">
        <v>327</v>
      </c>
      <c r="N25" s="75">
        <v>4.802</v>
      </c>
      <c r="O25" s="76">
        <v>1500.0</v>
      </c>
      <c r="P25" s="77">
        <v>1500.0</v>
      </c>
      <c r="Q25" s="77" t="s">
        <v>173</v>
      </c>
      <c r="R25" s="1"/>
      <c r="S25" s="1"/>
      <c r="T25" s="1"/>
    </row>
    <row r="26" ht="96.0" customHeight="1">
      <c r="A26" s="68" t="s">
        <v>302</v>
      </c>
      <c r="B26" s="68" t="s">
        <v>328</v>
      </c>
      <c r="C26" s="69" t="s">
        <v>142</v>
      </c>
      <c r="D26" s="68" t="s">
        <v>276</v>
      </c>
      <c r="E26" s="70">
        <v>30.0</v>
      </c>
      <c r="F26" s="71">
        <v>1.0</v>
      </c>
      <c r="G26" s="69" t="s">
        <v>304</v>
      </c>
      <c r="H26" s="72" t="s">
        <v>278</v>
      </c>
      <c r="I26" s="73" t="s">
        <v>308</v>
      </c>
      <c r="J26" s="73" t="s">
        <v>329</v>
      </c>
      <c r="K26" s="74" t="s">
        <v>281</v>
      </c>
      <c r="L26" s="75">
        <v>2020.0</v>
      </c>
      <c r="M26" s="75" t="s">
        <v>327</v>
      </c>
      <c r="N26" s="75">
        <v>2.192</v>
      </c>
      <c r="O26" s="76">
        <v>1500.0</v>
      </c>
      <c r="P26" s="77">
        <v>300.0</v>
      </c>
      <c r="Q26" s="77" t="s">
        <v>173</v>
      </c>
      <c r="R26" s="1"/>
      <c r="S26" s="1"/>
      <c r="T26" s="1"/>
    </row>
    <row r="27" ht="14.25" customHeight="1">
      <c r="A27" s="68"/>
      <c r="B27" s="68"/>
      <c r="C27" s="69"/>
      <c r="D27" s="68"/>
      <c r="E27" s="70"/>
      <c r="F27" s="71"/>
      <c r="G27" s="69"/>
      <c r="H27" s="72"/>
      <c r="I27" s="73"/>
      <c r="J27" s="73"/>
      <c r="K27" s="74"/>
      <c r="L27" s="75"/>
      <c r="M27" s="75"/>
      <c r="N27" s="75"/>
      <c r="O27" s="76"/>
      <c r="P27" s="77"/>
      <c r="Q27" s="77"/>
      <c r="R27" s="1"/>
      <c r="S27" s="1"/>
      <c r="T27" s="1"/>
    </row>
    <row r="28" ht="14.25" customHeight="1">
      <c r="A28" s="68"/>
      <c r="B28" s="68"/>
      <c r="C28" s="69"/>
      <c r="D28" s="68"/>
      <c r="E28" s="70"/>
      <c r="F28" s="71"/>
      <c r="G28" s="69"/>
      <c r="H28" s="72"/>
      <c r="I28" s="73"/>
      <c r="J28" s="73"/>
      <c r="K28" s="74"/>
      <c r="L28" s="75"/>
      <c r="M28" s="75"/>
      <c r="N28" s="75"/>
      <c r="O28" s="76"/>
      <c r="P28" s="77"/>
      <c r="Q28" s="77"/>
      <c r="R28" s="1"/>
      <c r="S28" s="1"/>
      <c r="T28" s="1"/>
    </row>
    <row r="29" ht="14.25" customHeight="1">
      <c r="A29" s="68"/>
      <c r="B29" s="68"/>
      <c r="C29" s="69"/>
      <c r="D29" s="68"/>
      <c r="E29" s="70"/>
      <c r="F29" s="71"/>
      <c r="G29" s="69"/>
      <c r="H29" s="72"/>
      <c r="I29" s="73"/>
      <c r="J29" s="73"/>
      <c r="K29" s="74"/>
      <c r="L29" s="75"/>
      <c r="M29" s="75"/>
      <c r="N29" s="75"/>
      <c r="O29" s="76"/>
      <c r="P29" s="77"/>
      <c r="Q29" s="77"/>
      <c r="R29" s="1"/>
      <c r="S29" s="1"/>
      <c r="T29" s="1"/>
    </row>
    <row r="30" ht="14.25" customHeight="1">
      <c r="A30" s="101"/>
      <c r="B30" s="75"/>
      <c r="C30" s="75"/>
      <c r="D30" s="75"/>
      <c r="E30" s="75"/>
      <c r="F30" s="75"/>
      <c r="G30" s="75"/>
      <c r="H30" s="101"/>
      <c r="I30" s="101"/>
      <c r="J30" s="101"/>
      <c r="K30" s="102"/>
      <c r="L30" s="75"/>
      <c r="M30" s="75"/>
      <c r="N30" s="75"/>
      <c r="O30" s="103"/>
      <c r="P30" s="77"/>
      <c r="Q30" s="77"/>
      <c r="R30" s="1"/>
      <c r="S30" s="1"/>
      <c r="T30" s="1"/>
    </row>
    <row r="31" ht="14.25" customHeight="1">
      <c r="A31" s="101"/>
      <c r="B31" s="75"/>
      <c r="C31" s="75"/>
      <c r="D31" s="75"/>
      <c r="E31" s="75"/>
      <c r="F31" s="75"/>
      <c r="G31" s="75"/>
      <c r="H31" s="101"/>
      <c r="I31" s="101"/>
      <c r="J31" s="101"/>
      <c r="K31" s="102"/>
      <c r="L31" s="75"/>
      <c r="M31" s="75"/>
      <c r="N31" s="75"/>
      <c r="O31" s="103"/>
      <c r="P31" s="77"/>
      <c r="Q31" s="77"/>
      <c r="R31" s="1"/>
      <c r="S31" s="1"/>
      <c r="T31" s="1"/>
    </row>
    <row r="32" ht="14.25" customHeight="1">
      <c r="A32" s="104" t="s">
        <v>180</v>
      </c>
      <c r="B32" s="53"/>
      <c r="C32" s="53"/>
      <c r="D32" s="53"/>
      <c r="E32" s="53"/>
      <c r="F32" s="53"/>
      <c r="G32" s="1"/>
      <c r="H32" s="1"/>
      <c r="I32" s="1"/>
      <c r="J32" s="1"/>
      <c r="K32" s="1"/>
      <c r="L32" s="1"/>
      <c r="M32" s="1"/>
      <c r="N32" s="1"/>
      <c r="O32" s="57"/>
      <c r="P32" s="105">
        <f>SUM(P11:P31)</f>
        <v>12583.33</v>
      </c>
      <c r="Q32" s="1"/>
      <c r="R32" s="1"/>
      <c r="S32" s="1"/>
      <c r="T32" s="1"/>
    </row>
    <row r="33" ht="14.25" customHeight="1">
      <c r="A33" s="52"/>
      <c r="B33" s="53"/>
      <c r="C33" s="53"/>
      <c r="D33" s="53"/>
      <c r="E33" s="53"/>
      <c r="F33" s="53"/>
      <c r="G33" s="1"/>
      <c r="H33" s="1"/>
      <c r="I33" s="1"/>
      <c r="J33" s="1"/>
      <c r="K33" s="1"/>
      <c r="L33" s="1"/>
      <c r="M33" s="1"/>
      <c r="N33" s="1"/>
      <c r="O33" s="1"/>
      <c r="P33" s="1"/>
      <c r="Q33" s="1"/>
      <c r="R33" s="1"/>
      <c r="S33" s="1"/>
      <c r="T33" s="1"/>
    </row>
    <row r="34" ht="14.25" customHeight="1">
      <c r="A34" s="106" t="s">
        <v>330</v>
      </c>
      <c r="B34" s="107"/>
      <c r="C34" s="107"/>
      <c r="D34" s="107"/>
      <c r="E34" s="107"/>
      <c r="F34" s="107"/>
      <c r="G34" s="107"/>
      <c r="H34" s="107"/>
      <c r="I34" s="107"/>
      <c r="J34" s="107"/>
      <c r="K34" s="107"/>
      <c r="L34" s="107"/>
      <c r="M34" s="107"/>
      <c r="N34" s="107"/>
      <c r="O34" s="107"/>
      <c r="P34" s="108"/>
      <c r="Q34" s="1"/>
      <c r="R34" s="1"/>
      <c r="S34" s="1"/>
      <c r="T34" s="1"/>
    </row>
    <row r="35" ht="14.25" customHeight="1">
      <c r="A35" s="52"/>
      <c r="B35" s="53"/>
      <c r="C35" s="53"/>
      <c r="D35" s="53"/>
      <c r="E35" s="53"/>
      <c r="F35" s="53"/>
      <c r="G35" s="1"/>
      <c r="H35" s="1"/>
      <c r="I35" s="1"/>
      <c r="J35" s="1"/>
      <c r="K35" s="1"/>
      <c r="L35" s="1"/>
      <c r="M35" s="1"/>
      <c r="N35" s="1"/>
      <c r="O35" s="1"/>
      <c r="P35" s="1"/>
      <c r="Q35" s="1"/>
      <c r="R35" s="1"/>
      <c r="S35" s="1"/>
      <c r="T35" s="1"/>
    </row>
    <row r="36" ht="14.25" customHeight="1">
      <c r="A36" s="52"/>
      <c r="B36" s="53"/>
      <c r="C36" s="53"/>
      <c r="D36" s="53"/>
      <c r="E36" s="53"/>
      <c r="F36" s="53"/>
      <c r="G36" s="1"/>
      <c r="H36" s="1"/>
      <c r="I36" s="1"/>
      <c r="J36" s="1"/>
      <c r="K36" s="1"/>
      <c r="L36" s="1"/>
      <c r="M36" s="1"/>
      <c r="N36" s="1"/>
      <c r="O36" s="1"/>
      <c r="P36" s="1"/>
      <c r="Q36" s="1"/>
      <c r="R36" s="1"/>
      <c r="S36" s="1"/>
      <c r="T36" s="1"/>
    </row>
    <row r="37" ht="14.25" customHeight="1">
      <c r="A37" s="52"/>
      <c r="B37" s="53"/>
      <c r="C37" s="53"/>
      <c r="D37" s="53"/>
      <c r="E37" s="53"/>
      <c r="F37" s="53"/>
      <c r="G37" s="1"/>
      <c r="H37" s="1"/>
      <c r="I37" s="1"/>
      <c r="J37" s="1"/>
      <c r="K37" s="1"/>
      <c r="L37" s="1"/>
      <c r="M37" s="1"/>
      <c r="N37" s="1"/>
      <c r="O37" s="1"/>
      <c r="P37" s="1"/>
      <c r="Q37" s="1"/>
      <c r="R37" s="1"/>
      <c r="S37" s="1"/>
      <c r="T37" s="1"/>
    </row>
    <row r="38" ht="14.25" customHeight="1">
      <c r="A38" s="52"/>
      <c r="B38" s="53"/>
      <c r="C38" s="53"/>
      <c r="D38" s="53"/>
      <c r="E38" s="53"/>
      <c r="F38" s="53"/>
      <c r="G38" s="1"/>
      <c r="H38" s="1"/>
      <c r="I38" s="1"/>
      <c r="J38" s="1"/>
      <c r="K38" s="1"/>
      <c r="L38" s="1"/>
      <c r="M38" s="1"/>
      <c r="N38" s="1"/>
      <c r="O38" s="1"/>
      <c r="P38" s="1"/>
      <c r="Q38" s="1"/>
      <c r="R38" s="1"/>
      <c r="S38" s="1"/>
      <c r="T38" s="1"/>
    </row>
    <row r="39" ht="14.25" customHeight="1">
      <c r="A39" s="52"/>
      <c r="B39" s="53"/>
      <c r="C39" s="53"/>
      <c r="D39" s="53"/>
      <c r="E39" s="53"/>
      <c r="F39" s="53"/>
      <c r="G39" s="1"/>
      <c r="H39" s="1"/>
      <c r="I39" s="1"/>
      <c r="J39" s="1"/>
      <c r="K39" s="1"/>
      <c r="L39" s="1"/>
      <c r="M39" s="1"/>
      <c r="N39" s="1"/>
      <c r="O39" s="1"/>
      <c r="P39" s="1"/>
      <c r="Q39" s="1"/>
      <c r="R39" s="1"/>
      <c r="S39" s="1"/>
      <c r="T39" s="1"/>
    </row>
    <row r="40" ht="14.25" customHeight="1">
      <c r="A40" s="52"/>
      <c r="B40" s="53"/>
      <c r="C40" s="53"/>
      <c r="D40" s="53"/>
      <c r="E40" s="53"/>
      <c r="F40" s="53"/>
      <c r="G40" s="1"/>
      <c r="H40" s="1"/>
      <c r="I40" s="1"/>
      <c r="J40" s="1"/>
      <c r="K40" s="1"/>
      <c r="L40" s="1"/>
      <c r="M40" s="1"/>
      <c r="N40" s="1"/>
      <c r="O40" s="1"/>
      <c r="P40" s="1"/>
      <c r="Q40" s="1"/>
      <c r="R40" s="1"/>
      <c r="S40" s="1"/>
      <c r="T40" s="1"/>
    </row>
    <row r="41" ht="14.25" customHeight="1">
      <c r="A41" s="52"/>
      <c r="B41" s="53"/>
      <c r="C41" s="53"/>
      <c r="D41" s="53"/>
      <c r="E41" s="53"/>
      <c r="F41" s="53"/>
      <c r="G41" s="1"/>
      <c r="H41" s="1"/>
      <c r="I41" s="1"/>
      <c r="J41" s="1"/>
      <c r="K41" s="1"/>
      <c r="L41" s="1"/>
      <c r="M41" s="1"/>
      <c r="N41" s="1"/>
      <c r="O41" s="1"/>
      <c r="P41" s="1"/>
      <c r="Q41" s="1"/>
      <c r="R41" s="1"/>
      <c r="S41" s="1"/>
      <c r="T41" s="1"/>
    </row>
    <row r="42" ht="14.25" customHeight="1">
      <c r="A42" s="52"/>
      <c r="B42" s="53"/>
      <c r="C42" s="53"/>
      <c r="D42" s="53"/>
      <c r="E42" s="53"/>
      <c r="F42" s="53"/>
      <c r="G42" s="1"/>
      <c r="H42" s="1"/>
      <c r="I42" s="1"/>
      <c r="J42" s="1"/>
      <c r="K42" s="1"/>
      <c r="L42" s="1"/>
      <c r="M42" s="1"/>
      <c r="N42" s="1"/>
      <c r="O42" s="1"/>
      <c r="P42" s="1"/>
      <c r="Q42" s="1"/>
      <c r="R42" s="1"/>
      <c r="S42" s="1"/>
      <c r="T42" s="1"/>
    </row>
    <row r="43" ht="14.25" customHeight="1">
      <c r="A43" s="52"/>
      <c r="B43" s="53"/>
      <c r="C43" s="53"/>
      <c r="D43" s="53"/>
      <c r="E43" s="53"/>
      <c r="F43" s="53"/>
      <c r="G43" s="1"/>
      <c r="H43" s="1"/>
      <c r="I43" s="1"/>
      <c r="J43" s="1"/>
      <c r="K43" s="1"/>
      <c r="L43" s="1"/>
      <c r="M43" s="1"/>
      <c r="N43" s="1"/>
      <c r="O43" s="1"/>
      <c r="P43" s="1"/>
      <c r="Q43" s="1"/>
      <c r="R43" s="1"/>
      <c r="S43" s="1"/>
      <c r="T43" s="1"/>
    </row>
    <row r="44" ht="14.25" customHeight="1">
      <c r="A44" s="52"/>
      <c r="B44" s="53"/>
      <c r="C44" s="53"/>
      <c r="D44" s="53"/>
      <c r="E44" s="53"/>
      <c r="F44" s="53"/>
      <c r="G44" s="1"/>
      <c r="H44" s="1"/>
      <c r="I44" s="1"/>
      <c r="J44" s="1"/>
      <c r="K44" s="1"/>
      <c r="L44" s="1"/>
      <c r="M44" s="1"/>
      <c r="N44" s="1"/>
      <c r="O44" s="1"/>
      <c r="P44" s="1"/>
      <c r="Q44" s="1"/>
      <c r="R44" s="1"/>
      <c r="S44" s="1"/>
      <c r="T44" s="1"/>
    </row>
    <row r="45" ht="14.25" customHeight="1">
      <c r="A45" s="52"/>
      <c r="B45" s="53"/>
      <c r="C45" s="53"/>
      <c r="D45" s="53"/>
      <c r="E45" s="53"/>
      <c r="F45" s="53"/>
      <c r="G45" s="1"/>
      <c r="H45" s="1"/>
      <c r="I45" s="1"/>
      <c r="J45" s="1"/>
      <c r="K45" s="1"/>
      <c r="L45" s="1"/>
      <c r="M45" s="1"/>
      <c r="N45" s="1"/>
      <c r="O45" s="1"/>
      <c r="P45" s="1"/>
      <c r="Q45" s="1"/>
      <c r="R45" s="1"/>
      <c r="S45" s="1"/>
      <c r="T45" s="1"/>
    </row>
    <row r="46" ht="14.25" customHeight="1">
      <c r="A46" s="52"/>
      <c r="B46" s="53"/>
      <c r="C46" s="53"/>
      <c r="D46" s="53"/>
      <c r="E46" s="53"/>
      <c r="F46" s="53"/>
      <c r="G46" s="1"/>
      <c r="H46" s="1"/>
      <c r="I46" s="1"/>
      <c r="J46" s="1"/>
      <c r="K46" s="1"/>
      <c r="L46" s="1"/>
      <c r="M46" s="1"/>
      <c r="N46" s="1"/>
      <c r="O46" s="1"/>
      <c r="P46" s="1"/>
      <c r="Q46" s="1"/>
      <c r="R46" s="1"/>
      <c r="S46" s="1"/>
      <c r="T46" s="1"/>
    </row>
    <row r="47" ht="14.25" customHeight="1">
      <c r="A47" s="52"/>
      <c r="B47" s="53"/>
      <c r="C47" s="53"/>
      <c r="D47" s="53"/>
      <c r="E47" s="53"/>
      <c r="F47" s="53"/>
      <c r="G47" s="1"/>
      <c r="H47" s="1"/>
      <c r="I47" s="1"/>
      <c r="J47" s="1"/>
      <c r="K47" s="1"/>
      <c r="L47" s="1"/>
      <c r="M47" s="1"/>
      <c r="N47" s="1"/>
      <c r="O47" s="1"/>
      <c r="P47" s="1"/>
      <c r="Q47" s="1"/>
      <c r="R47" s="1"/>
      <c r="S47" s="1"/>
      <c r="T47" s="1"/>
    </row>
    <row r="48" ht="14.25" customHeight="1">
      <c r="A48" s="52"/>
      <c r="B48" s="53"/>
      <c r="C48" s="53"/>
      <c r="D48" s="53"/>
      <c r="E48" s="53"/>
      <c r="F48" s="53"/>
      <c r="G48" s="1"/>
      <c r="H48" s="1"/>
      <c r="I48" s="1"/>
      <c r="J48" s="1"/>
      <c r="K48" s="1"/>
      <c r="L48" s="1"/>
      <c r="M48" s="1"/>
      <c r="N48" s="1"/>
      <c r="O48" s="1"/>
      <c r="P48" s="1"/>
      <c r="Q48" s="1"/>
      <c r="R48" s="1"/>
      <c r="S48" s="1"/>
      <c r="T48" s="1"/>
    </row>
    <row r="49" ht="14.25" customHeight="1">
      <c r="A49" s="52"/>
      <c r="B49" s="53"/>
      <c r="C49" s="53"/>
      <c r="D49" s="53"/>
      <c r="E49" s="53"/>
      <c r="F49" s="53"/>
      <c r="G49" s="1"/>
      <c r="H49" s="1"/>
      <c r="I49" s="1"/>
      <c r="J49" s="1"/>
      <c r="K49" s="1"/>
      <c r="L49" s="1"/>
      <c r="M49" s="1"/>
      <c r="N49" s="1"/>
      <c r="O49" s="1"/>
      <c r="P49" s="1"/>
      <c r="Q49" s="1"/>
      <c r="R49" s="1"/>
      <c r="S49" s="1"/>
      <c r="T49" s="1"/>
    </row>
    <row r="50" ht="14.25" customHeight="1">
      <c r="A50" s="52"/>
      <c r="B50" s="53"/>
      <c r="C50" s="53"/>
      <c r="D50" s="53"/>
      <c r="E50" s="53"/>
      <c r="F50" s="53"/>
      <c r="G50" s="1"/>
      <c r="H50" s="1"/>
      <c r="I50" s="1"/>
      <c r="J50" s="1"/>
      <c r="K50" s="1"/>
      <c r="L50" s="1"/>
      <c r="M50" s="1"/>
      <c r="N50" s="1"/>
      <c r="O50" s="1"/>
      <c r="P50" s="1"/>
      <c r="Q50" s="1"/>
      <c r="R50" s="1"/>
      <c r="S50" s="1"/>
      <c r="T50" s="1"/>
    </row>
    <row r="51" ht="14.25" customHeight="1">
      <c r="A51" s="52"/>
      <c r="B51" s="53"/>
      <c r="C51" s="53"/>
      <c r="D51" s="53"/>
      <c r="E51" s="53"/>
      <c r="F51" s="53"/>
      <c r="G51" s="1"/>
      <c r="H51" s="1"/>
      <c r="I51" s="1"/>
      <c r="J51" s="1"/>
      <c r="K51" s="1"/>
      <c r="L51" s="1"/>
      <c r="M51" s="1"/>
      <c r="N51" s="1"/>
      <c r="O51" s="1"/>
      <c r="P51" s="1"/>
      <c r="Q51" s="1"/>
      <c r="R51" s="1"/>
      <c r="S51" s="1"/>
      <c r="T51" s="1"/>
    </row>
    <row r="52" ht="14.25" customHeight="1">
      <c r="A52" s="52"/>
      <c r="B52" s="53"/>
      <c r="C52" s="53"/>
      <c r="D52" s="53"/>
      <c r="E52" s="53"/>
      <c r="F52" s="53"/>
      <c r="G52" s="1"/>
      <c r="H52" s="1"/>
      <c r="I52" s="1"/>
      <c r="J52" s="1"/>
      <c r="K52" s="1"/>
      <c r="L52" s="1"/>
      <c r="M52" s="1"/>
      <c r="N52" s="1"/>
      <c r="O52" s="1"/>
      <c r="P52" s="1"/>
      <c r="Q52" s="1"/>
      <c r="R52" s="1"/>
      <c r="S52" s="1"/>
      <c r="T52" s="1"/>
    </row>
    <row r="53" ht="14.25" customHeight="1">
      <c r="A53" s="52"/>
      <c r="B53" s="53"/>
      <c r="C53" s="53"/>
      <c r="D53" s="53"/>
      <c r="E53" s="53"/>
      <c r="F53" s="53"/>
      <c r="G53" s="1"/>
      <c r="H53" s="1"/>
      <c r="I53" s="1"/>
      <c r="J53" s="1"/>
      <c r="K53" s="1"/>
      <c r="L53" s="1"/>
      <c r="M53" s="1"/>
      <c r="N53" s="1"/>
      <c r="O53" s="1"/>
      <c r="P53" s="1"/>
      <c r="Q53" s="1"/>
      <c r="R53" s="1"/>
      <c r="S53" s="1"/>
      <c r="T53" s="1"/>
    </row>
    <row r="54" ht="14.25" customHeight="1">
      <c r="A54" s="52"/>
      <c r="B54" s="53"/>
      <c r="C54" s="53"/>
      <c r="D54" s="53"/>
      <c r="E54" s="53"/>
      <c r="F54" s="53"/>
      <c r="G54" s="1"/>
      <c r="H54" s="1"/>
      <c r="I54" s="1"/>
      <c r="J54" s="1"/>
      <c r="K54" s="1"/>
      <c r="L54" s="1"/>
      <c r="M54" s="1"/>
      <c r="N54" s="1"/>
      <c r="O54" s="1"/>
      <c r="P54" s="1"/>
      <c r="Q54" s="1"/>
      <c r="R54" s="1"/>
      <c r="S54" s="1"/>
      <c r="T54" s="1"/>
    </row>
    <row r="55" ht="14.25" customHeight="1">
      <c r="A55" s="52"/>
      <c r="B55" s="53"/>
      <c r="C55" s="53"/>
      <c r="D55" s="53"/>
      <c r="E55" s="53"/>
      <c r="F55" s="53"/>
      <c r="G55" s="1"/>
      <c r="H55" s="1"/>
      <c r="I55" s="1"/>
      <c r="J55" s="1"/>
      <c r="K55" s="1"/>
      <c r="L55" s="1"/>
      <c r="M55" s="1"/>
      <c r="N55" s="1"/>
      <c r="O55" s="1"/>
      <c r="P55" s="1"/>
      <c r="Q55" s="1"/>
      <c r="R55" s="1"/>
      <c r="S55" s="1"/>
      <c r="T55" s="1"/>
    </row>
    <row r="56" ht="14.25" customHeight="1">
      <c r="A56" s="52"/>
      <c r="B56" s="53"/>
      <c r="C56" s="53"/>
      <c r="D56" s="53"/>
      <c r="E56" s="53"/>
      <c r="F56" s="53"/>
      <c r="G56" s="1"/>
      <c r="H56" s="1"/>
      <c r="I56" s="1"/>
      <c r="J56" s="1"/>
      <c r="K56" s="1"/>
      <c r="L56" s="1"/>
      <c r="M56" s="1"/>
      <c r="N56" s="1"/>
      <c r="O56" s="1"/>
      <c r="P56" s="1"/>
      <c r="Q56" s="1"/>
      <c r="R56" s="1"/>
      <c r="S56" s="1"/>
      <c r="T56" s="1"/>
    </row>
    <row r="57" ht="14.25" customHeight="1">
      <c r="A57" s="52"/>
      <c r="B57" s="53"/>
      <c r="C57" s="53"/>
      <c r="D57" s="53"/>
      <c r="E57" s="53"/>
      <c r="F57" s="53"/>
      <c r="G57" s="1"/>
      <c r="H57" s="1"/>
      <c r="I57" s="1"/>
      <c r="J57" s="1"/>
      <c r="K57" s="1"/>
      <c r="L57" s="1"/>
      <c r="M57" s="1"/>
      <c r="N57" s="1"/>
      <c r="O57" s="1"/>
      <c r="P57" s="1"/>
      <c r="Q57" s="1"/>
      <c r="R57" s="1"/>
      <c r="S57" s="1"/>
      <c r="T57" s="1"/>
    </row>
    <row r="58" ht="14.25" customHeight="1">
      <c r="A58" s="52"/>
      <c r="B58" s="53"/>
      <c r="C58" s="53"/>
      <c r="D58" s="53"/>
      <c r="E58" s="53"/>
      <c r="F58" s="53"/>
      <c r="G58" s="1"/>
      <c r="H58" s="1"/>
      <c r="I58" s="1"/>
      <c r="J58" s="1"/>
      <c r="K58" s="1"/>
      <c r="L58" s="1"/>
      <c r="M58" s="1"/>
      <c r="N58" s="1"/>
      <c r="O58" s="1"/>
      <c r="P58" s="1"/>
      <c r="Q58" s="1"/>
      <c r="R58" s="1"/>
      <c r="S58" s="1"/>
      <c r="T58" s="1"/>
    </row>
    <row r="59" ht="14.25" customHeight="1">
      <c r="A59" s="52"/>
      <c r="B59" s="53"/>
      <c r="C59" s="53"/>
      <c r="D59" s="53"/>
      <c r="E59" s="53"/>
      <c r="F59" s="53"/>
      <c r="G59" s="1"/>
      <c r="H59" s="1"/>
      <c r="I59" s="1"/>
      <c r="J59" s="1"/>
      <c r="K59" s="1"/>
      <c r="L59" s="1"/>
      <c r="M59" s="1"/>
      <c r="N59" s="1"/>
      <c r="O59" s="1"/>
      <c r="P59" s="1"/>
      <c r="Q59" s="1"/>
      <c r="R59" s="1"/>
      <c r="S59" s="1"/>
      <c r="T59" s="1"/>
    </row>
    <row r="60" ht="14.25" customHeight="1">
      <c r="A60" s="52"/>
      <c r="B60" s="53"/>
      <c r="C60" s="53"/>
      <c r="D60" s="53"/>
      <c r="E60" s="53"/>
      <c r="F60" s="53"/>
      <c r="G60" s="1"/>
      <c r="H60" s="1"/>
      <c r="I60" s="1"/>
      <c r="J60" s="1"/>
      <c r="K60" s="1"/>
      <c r="L60" s="1"/>
      <c r="M60" s="1"/>
      <c r="N60" s="1"/>
      <c r="O60" s="1"/>
      <c r="P60" s="1"/>
      <c r="Q60" s="1"/>
      <c r="R60" s="1"/>
      <c r="S60" s="1"/>
      <c r="T60" s="1"/>
    </row>
    <row r="61" ht="14.25" customHeight="1">
      <c r="A61" s="52"/>
      <c r="B61" s="53"/>
      <c r="C61" s="53"/>
      <c r="D61" s="53"/>
      <c r="E61" s="53"/>
      <c r="F61" s="53"/>
      <c r="G61" s="1"/>
      <c r="H61" s="1"/>
      <c r="I61" s="1"/>
      <c r="J61" s="1"/>
      <c r="K61" s="1"/>
      <c r="L61" s="1"/>
      <c r="M61" s="1"/>
      <c r="N61" s="1"/>
      <c r="O61" s="1"/>
      <c r="P61" s="1"/>
      <c r="Q61" s="1"/>
      <c r="R61" s="1"/>
      <c r="S61" s="1"/>
      <c r="T61" s="1"/>
    </row>
    <row r="62" ht="14.25" customHeight="1">
      <c r="A62" s="52"/>
      <c r="B62" s="53"/>
      <c r="C62" s="53"/>
      <c r="D62" s="53"/>
      <c r="E62" s="53"/>
      <c r="F62" s="53"/>
      <c r="G62" s="1"/>
      <c r="H62" s="1"/>
      <c r="I62" s="1"/>
      <c r="J62" s="1"/>
      <c r="K62" s="1"/>
      <c r="L62" s="1"/>
      <c r="M62" s="1"/>
      <c r="N62" s="1"/>
      <c r="O62" s="1"/>
      <c r="P62" s="1"/>
      <c r="Q62" s="1"/>
      <c r="R62" s="1"/>
      <c r="S62" s="1"/>
      <c r="T62" s="1"/>
    </row>
    <row r="63" ht="14.25" customHeight="1">
      <c r="A63" s="52"/>
      <c r="B63" s="53"/>
      <c r="C63" s="53"/>
      <c r="D63" s="53"/>
      <c r="E63" s="53"/>
      <c r="F63" s="53"/>
      <c r="G63" s="1"/>
      <c r="H63" s="1"/>
      <c r="I63" s="1"/>
      <c r="J63" s="1"/>
      <c r="K63" s="1"/>
      <c r="L63" s="1"/>
      <c r="M63" s="1"/>
      <c r="N63" s="1"/>
      <c r="O63" s="1"/>
      <c r="P63" s="1"/>
      <c r="Q63" s="1"/>
      <c r="R63" s="1"/>
      <c r="S63" s="1"/>
      <c r="T63" s="1"/>
    </row>
    <row r="64" ht="14.25" customHeight="1">
      <c r="A64" s="52"/>
      <c r="B64" s="53"/>
      <c r="C64" s="53"/>
      <c r="D64" s="53"/>
      <c r="E64" s="53"/>
      <c r="F64" s="53"/>
      <c r="G64" s="1"/>
      <c r="H64" s="1"/>
      <c r="I64" s="1"/>
      <c r="J64" s="1"/>
      <c r="K64" s="1"/>
      <c r="L64" s="1"/>
      <c r="M64" s="1"/>
      <c r="N64" s="1"/>
      <c r="O64" s="1"/>
      <c r="P64" s="1"/>
      <c r="Q64" s="1"/>
      <c r="R64" s="1"/>
      <c r="S64" s="1"/>
      <c r="T64" s="1"/>
    </row>
    <row r="65" ht="14.25" customHeight="1">
      <c r="A65" s="52"/>
      <c r="B65" s="53"/>
      <c r="C65" s="53"/>
      <c r="D65" s="53"/>
      <c r="E65" s="53"/>
      <c r="F65" s="53"/>
      <c r="G65" s="1"/>
      <c r="H65" s="1"/>
      <c r="I65" s="1"/>
      <c r="J65" s="1"/>
      <c r="K65" s="1"/>
      <c r="L65" s="1"/>
      <c r="M65" s="1"/>
      <c r="N65" s="1"/>
      <c r="O65" s="1"/>
      <c r="P65" s="1"/>
      <c r="Q65" s="1"/>
      <c r="R65" s="1"/>
      <c r="S65" s="1"/>
      <c r="T65" s="1"/>
    </row>
    <row r="66" ht="14.25" customHeight="1">
      <c r="A66" s="52"/>
      <c r="B66" s="53"/>
      <c r="C66" s="53"/>
      <c r="D66" s="53"/>
      <c r="E66" s="53"/>
      <c r="F66" s="53"/>
      <c r="G66" s="1"/>
      <c r="H66" s="1"/>
      <c r="I66" s="1"/>
      <c r="J66" s="1"/>
      <c r="K66" s="1"/>
      <c r="L66" s="1"/>
      <c r="M66" s="1"/>
      <c r="N66" s="1"/>
      <c r="O66" s="1"/>
      <c r="P66" s="1"/>
      <c r="Q66" s="1"/>
      <c r="R66" s="1"/>
      <c r="S66" s="1"/>
      <c r="T66" s="1"/>
    </row>
    <row r="67" ht="14.25" customHeight="1">
      <c r="A67" s="52"/>
      <c r="B67" s="53"/>
      <c r="C67" s="53"/>
      <c r="D67" s="53"/>
      <c r="E67" s="53"/>
      <c r="F67" s="53"/>
      <c r="G67" s="1"/>
      <c r="H67" s="1"/>
      <c r="I67" s="1"/>
      <c r="J67" s="1"/>
      <c r="K67" s="1"/>
      <c r="L67" s="1"/>
      <c r="M67" s="1"/>
      <c r="N67" s="1"/>
      <c r="O67" s="1"/>
      <c r="P67" s="1"/>
      <c r="Q67" s="1"/>
      <c r="R67" s="1"/>
      <c r="S67" s="1"/>
      <c r="T67" s="1"/>
    </row>
    <row r="68" ht="14.25" customHeight="1">
      <c r="A68" s="52"/>
      <c r="B68" s="53"/>
      <c r="C68" s="53"/>
      <c r="D68" s="53"/>
      <c r="E68" s="53"/>
      <c r="F68" s="53"/>
      <c r="G68" s="1"/>
      <c r="H68" s="1"/>
      <c r="I68" s="1"/>
      <c r="J68" s="1"/>
      <c r="K68" s="1"/>
      <c r="L68" s="1"/>
      <c r="M68" s="1"/>
      <c r="N68" s="1"/>
      <c r="O68" s="1"/>
      <c r="P68" s="1"/>
      <c r="Q68" s="1"/>
      <c r="R68" s="1"/>
      <c r="S68" s="1"/>
      <c r="T68" s="1"/>
    </row>
    <row r="69" ht="14.25" customHeight="1">
      <c r="A69" s="52"/>
      <c r="B69" s="53"/>
      <c r="C69" s="53"/>
      <c r="D69" s="53"/>
      <c r="E69" s="53"/>
      <c r="F69" s="53"/>
      <c r="G69" s="1"/>
      <c r="H69" s="1"/>
      <c r="I69" s="1"/>
      <c r="J69" s="1"/>
      <c r="K69" s="1"/>
      <c r="L69" s="1"/>
      <c r="M69" s="1"/>
      <c r="N69" s="1"/>
      <c r="O69" s="1"/>
      <c r="P69" s="1"/>
      <c r="Q69" s="1"/>
      <c r="R69" s="1"/>
      <c r="S69" s="1"/>
      <c r="T69" s="1"/>
    </row>
    <row r="70" ht="14.25" customHeight="1">
      <c r="A70" s="52"/>
      <c r="B70" s="53"/>
      <c r="C70" s="53"/>
      <c r="D70" s="53"/>
      <c r="E70" s="53"/>
      <c r="F70" s="53"/>
      <c r="G70" s="1"/>
      <c r="H70" s="1"/>
      <c r="I70" s="1"/>
      <c r="J70" s="1"/>
      <c r="K70" s="1"/>
      <c r="L70" s="1"/>
      <c r="M70" s="1"/>
      <c r="N70" s="1"/>
      <c r="O70" s="1"/>
      <c r="P70" s="1"/>
      <c r="Q70" s="1"/>
      <c r="R70" s="1"/>
      <c r="S70" s="1"/>
      <c r="T70" s="1"/>
    </row>
    <row r="71" ht="14.25" customHeight="1">
      <c r="A71" s="52"/>
      <c r="B71" s="53"/>
      <c r="C71" s="53"/>
      <c r="D71" s="53"/>
      <c r="E71" s="53"/>
      <c r="F71" s="53"/>
      <c r="G71" s="1"/>
      <c r="H71" s="1"/>
      <c r="I71" s="1"/>
      <c r="J71" s="1"/>
      <c r="K71" s="1"/>
      <c r="L71" s="1"/>
      <c r="M71" s="1"/>
      <c r="N71" s="1"/>
      <c r="O71" s="1"/>
      <c r="P71" s="1"/>
      <c r="Q71" s="1"/>
      <c r="R71" s="1"/>
      <c r="S71" s="1"/>
      <c r="T71" s="1"/>
    </row>
    <row r="72" ht="14.25" customHeight="1">
      <c r="A72" s="52"/>
      <c r="B72" s="53"/>
      <c r="C72" s="53"/>
      <c r="D72" s="53"/>
      <c r="E72" s="53"/>
      <c r="F72" s="53"/>
      <c r="G72" s="1"/>
      <c r="H72" s="1"/>
      <c r="I72" s="1"/>
      <c r="J72" s="1"/>
      <c r="K72" s="1"/>
      <c r="L72" s="1"/>
      <c r="M72" s="1"/>
      <c r="N72" s="1"/>
      <c r="O72" s="1"/>
      <c r="P72" s="1"/>
      <c r="Q72" s="1"/>
      <c r="R72" s="1"/>
      <c r="S72" s="1"/>
      <c r="T72" s="1"/>
    </row>
    <row r="73" ht="14.25" customHeight="1">
      <c r="A73" s="52"/>
      <c r="B73" s="53"/>
      <c r="C73" s="53"/>
      <c r="D73" s="53"/>
      <c r="E73" s="53"/>
      <c r="F73" s="53"/>
      <c r="G73" s="1"/>
      <c r="H73" s="1"/>
      <c r="I73" s="1"/>
      <c r="J73" s="1"/>
      <c r="K73" s="1"/>
      <c r="L73" s="1"/>
      <c r="M73" s="1"/>
      <c r="N73" s="1"/>
      <c r="O73" s="1"/>
      <c r="P73" s="1"/>
      <c r="Q73" s="1"/>
      <c r="R73" s="1"/>
      <c r="S73" s="1"/>
      <c r="T73" s="1"/>
    </row>
    <row r="74" ht="14.25" customHeight="1">
      <c r="A74" s="52"/>
      <c r="B74" s="53"/>
      <c r="C74" s="53"/>
      <c r="D74" s="53"/>
      <c r="E74" s="53"/>
      <c r="F74" s="53"/>
      <c r="G74" s="1"/>
      <c r="H74" s="1"/>
      <c r="I74" s="1"/>
      <c r="J74" s="1"/>
      <c r="K74" s="1"/>
      <c r="L74" s="1"/>
      <c r="M74" s="1"/>
      <c r="N74" s="1"/>
      <c r="O74" s="1"/>
      <c r="P74" s="1"/>
      <c r="Q74" s="1"/>
      <c r="R74" s="1"/>
      <c r="S74" s="1"/>
      <c r="T74" s="1"/>
    </row>
    <row r="75" ht="14.25" customHeight="1">
      <c r="A75" s="52"/>
      <c r="B75" s="53"/>
      <c r="C75" s="53"/>
      <c r="D75" s="53"/>
      <c r="E75" s="53"/>
      <c r="F75" s="53"/>
      <c r="G75" s="1"/>
      <c r="H75" s="1"/>
      <c r="I75" s="1"/>
      <c r="J75" s="1"/>
      <c r="K75" s="1"/>
      <c r="L75" s="1"/>
      <c r="M75" s="1"/>
      <c r="N75" s="1"/>
      <c r="O75" s="1"/>
      <c r="P75" s="1"/>
      <c r="Q75" s="1"/>
      <c r="R75" s="1"/>
      <c r="S75" s="1"/>
      <c r="T75" s="1"/>
    </row>
    <row r="76" ht="14.25" customHeight="1">
      <c r="A76" s="52"/>
      <c r="B76" s="53"/>
      <c r="C76" s="53"/>
      <c r="D76" s="53"/>
      <c r="E76" s="53"/>
      <c r="F76" s="53"/>
      <c r="G76" s="1"/>
      <c r="H76" s="1"/>
      <c r="I76" s="1"/>
      <c r="J76" s="1"/>
      <c r="K76" s="1"/>
      <c r="L76" s="1"/>
      <c r="M76" s="1"/>
      <c r="N76" s="1"/>
      <c r="O76" s="1"/>
      <c r="P76" s="1"/>
      <c r="Q76" s="1"/>
      <c r="R76" s="1"/>
      <c r="S76" s="1"/>
      <c r="T76" s="1"/>
    </row>
    <row r="77" ht="14.25" customHeight="1">
      <c r="A77" s="52"/>
      <c r="B77" s="53"/>
      <c r="C77" s="53"/>
      <c r="D77" s="53"/>
      <c r="E77" s="53"/>
      <c r="F77" s="53"/>
      <c r="G77" s="1"/>
      <c r="H77" s="1"/>
      <c r="I77" s="1"/>
      <c r="J77" s="1"/>
      <c r="K77" s="1"/>
      <c r="L77" s="1"/>
      <c r="M77" s="1"/>
      <c r="N77" s="1"/>
      <c r="O77" s="1"/>
      <c r="P77" s="1"/>
      <c r="Q77" s="1"/>
      <c r="R77" s="1"/>
      <c r="S77" s="1"/>
      <c r="T77" s="1"/>
    </row>
    <row r="78" ht="14.25" customHeight="1">
      <c r="A78" s="52"/>
      <c r="B78" s="53"/>
      <c r="C78" s="53"/>
      <c r="D78" s="53"/>
      <c r="E78" s="53"/>
      <c r="F78" s="53"/>
      <c r="G78" s="1"/>
      <c r="H78" s="1"/>
      <c r="I78" s="1"/>
      <c r="J78" s="1"/>
      <c r="K78" s="1"/>
      <c r="L78" s="1"/>
      <c r="M78" s="1"/>
      <c r="N78" s="1"/>
      <c r="O78" s="1"/>
      <c r="P78" s="1"/>
      <c r="Q78" s="1"/>
      <c r="R78" s="1"/>
      <c r="S78" s="1"/>
      <c r="T78" s="1"/>
    </row>
    <row r="79" ht="14.25" customHeight="1">
      <c r="A79" s="52"/>
      <c r="B79" s="53"/>
      <c r="C79" s="53"/>
      <c r="D79" s="53"/>
      <c r="E79" s="53"/>
      <c r="F79" s="53"/>
      <c r="G79" s="1"/>
      <c r="H79" s="1"/>
      <c r="I79" s="1"/>
      <c r="J79" s="1"/>
      <c r="K79" s="1"/>
      <c r="L79" s="1"/>
      <c r="M79" s="1"/>
      <c r="N79" s="1"/>
      <c r="O79" s="1"/>
      <c r="P79" s="1"/>
      <c r="Q79" s="1"/>
      <c r="R79" s="1"/>
      <c r="S79" s="1"/>
      <c r="T79" s="1"/>
    </row>
    <row r="80" ht="14.25" customHeight="1">
      <c r="A80" s="52"/>
      <c r="B80" s="53"/>
      <c r="C80" s="53"/>
      <c r="D80" s="53"/>
      <c r="E80" s="53"/>
      <c r="F80" s="53"/>
      <c r="G80" s="1"/>
      <c r="H80" s="1"/>
      <c r="I80" s="1"/>
      <c r="J80" s="1"/>
      <c r="K80" s="1"/>
      <c r="L80" s="1"/>
      <c r="M80" s="1"/>
      <c r="N80" s="1"/>
      <c r="O80" s="1"/>
      <c r="P80" s="1"/>
      <c r="Q80" s="1"/>
      <c r="R80" s="1"/>
      <c r="S80" s="1"/>
      <c r="T80" s="1"/>
    </row>
    <row r="81" ht="14.25" customHeight="1">
      <c r="A81" s="52"/>
      <c r="B81" s="53"/>
      <c r="C81" s="53"/>
      <c r="D81" s="53"/>
      <c r="E81" s="53"/>
      <c r="F81" s="53"/>
      <c r="G81" s="1"/>
      <c r="H81" s="1"/>
      <c r="I81" s="1"/>
      <c r="J81" s="1"/>
      <c r="K81" s="1"/>
      <c r="L81" s="1"/>
      <c r="M81" s="1"/>
      <c r="N81" s="1"/>
      <c r="O81" s="1"/>
      <c r="P81" s="1"/>
      <c r="Q81" s="1"/>
      <c r="R81" s="1"/>
      <c r="S81" s="1"/>
      <c r="T81" s="1"/>
    </row>
    <row r="82" ht="14.25" customHeight="1">
      <c r="A82" s="52"/>
      <c r="B82" s="53"/>
      <c r="C82" s="53"/>
      <c r="D82" s="53"/>
      <c r="E82" s="53"/>
      <c r="F82" s="53"/>
      <c r="G82" s="1"/>
      <c r="H82" s="1"/>
      <c r="I82" s="1"/>
      <c r="J82" s="1"/>
      <c r="K82" s="1"/>
      <c r="L82" s="1"/>
      <c r="M82" s="1"/>
      <c r="N82" s="1"/>
      <c r="O82" s="1"/>
      <c r="P82" s="1"/>
      <c r="Q82" s="1"/>
      <c r="R82" s="1"/>
      <c r="S82" s="1"/>
      <c r="T82" s="1"/>
    </row>
    <row r="83" ht="14.25" customHeight="1">
      <c r="A83" s="52"/>
      <c r="B83" s="53"/>
      <c r="C83" s="53"/>
      <c r="D83" s="53"/>
      <c r="E83" s="53"/>
      <c r="F83" s="53"/>
      <c r="G83" s="1"/>
      <c r="H83" s="1"/>
      <c r="I83" s="1"/>
      <c r="J83" s="1"/>
      <c r="K83" s="1"/>
      <c r="L83" s="1"/>
      <c r="M83" s="1"/>
      <c r="N83" s="1"/>
      <c r="O83" s="1"/>
      <c r="P83" s="1"/>
      <c r="Q83" s="1"/>
      <c r="R83" s="1"/>
      <c r="S83" s="1"/>
      <c r="T83" s="1"/>
    </row>
    <row r="84" ht="14.25" customHeight="1">
      <c r="A84" s="52"/>
      <c r="B84" s="53"/>
      <c r="C84" s="53"/>
      <c r="D84" s="53"/>
      <c r="E84" s="53"/>
      <c r="F84" s="53"/>
      <c r="G84" s="1"/>
      <c r="H84" s="1"/>
      <c r="I84" s="1"/>
      <c r="J84" s="1"/>
      <c r="K84" s="1"/>
      <c r="L84" s="1"/>
      <c r="M84" s="1"/>
      <c r="N84" s="1"/>
      <c r="O84" s="1"/>
      <c r="P84" s="1"/>
      <c r="Q84" s="1"/>
      <c r="R84" s="1"/>
      <c r="S84" s="1"/>
      <c r="T84" s="1"/>
    </row>
    <row r="85" ht="14.25" customHeight="1">
      <c r="A85" s="52"/>
      <c r="B85" s="53"/>
      <c r="C85" s="53"/>
      <c r="D85" s="53"/>
      <c r="E85" s="53"/>
      <c r="F85" s="53"/>
      <c r="G85" s="1"/>
      <c r="H85" s="1"/>
      <c r="I85" s="1"/>
      <c r="J85" s="1"/>
      <c r="K85" s="1"/>
      <c r="L85" s="1"/>
      <c r="M85" s="1"/>
      <c r="N85" s="1"/>
      <c r="O85" s="1"/>
      <c r="P85" s="1"/>
      <c r="Q85" s="1"/>
      <c r="R85" s="1"/>
      <c r="S85" s="1"/>
      <c r="T85" s="1"/>
    </row>
    <row r="86" ht="14.25" customHeight="1">
      <c r="A86" s="52"/>
      <c r="B86" s="53"/>
      <c r="C86" s="53"/>
      <c r="D86" s="53"/>
      <c r="E86" s="53"/>
      <c r="F86" s="53"/>
      <c r="G86" s="1"/>
      <c r="H86" s="1"/>
      <c r="I86" s="1"/>
      <c r="J86" s="1"/>
      <c r="K86" s="1"/>
      <c r="L86" s="1"/>
      <c r="M86" s="1"/>
      <c r="N86" s="1"/>
      <c r="O86" s="1"/>
      <c r="P86" s="1"/>
      <c r="Q86" s="1"/>
      <c r="R86" s="1"/>
      <c r="S86" s="1"/>
      <c r="T86" s="1"/>
    </row>
    <row r="87" ht="14.25" customHeight="1">
      <c r="A87" s="52"/>
      <c r="B87" s="53"/>
      <c r="C87" s="53"/>
      <c r="D87" s="53"/>
      <c r="E87" s="53"/>
      <c r="F87" s="53"/>
      <c r="G87" s="1"/>
      <c r="H87" s="1"/>
      <c r="I87" s="1"/>
      <c r="J87" s="1"/>
      <c r="K87" s="1"/>
      <c r="L87" s="1"/>
      <c r="M87" s="1"/>
      <c r="N87" s="1"/>
      <c r="O87" s="1"/>
      <c r="P87" s="1"/>
      <c r="Q87" s="1"/>
      <c r="R87" s="1"/>
      <c r="S87" s="1"/>
      <c r="T87" s="1"/>
    </row>
    <row r="88" ht="14.25" customHeight="1">
      <c r="A88" s="52"/>
      <c r="B88" s="53"/>
      <c r="C88" s="53"/>
      <c r="D88" s="53"/>
      <c r="E88" s="53"/>
      <c r="F88" s="53"/>
      <c r="G88" s="1"/>
      <c r="H88" s="1"/>
      <c r="I88" s="1"/>
      <c r="J88" s="1"/>
      <c r="K88" s="1"/>
      <c r="L88" s="1"/>
      <c r="M88" s="1"/>
      <c r="N88" s="1"/>
      <c r="O88" s="1"/>
      <c r="P88" s="1"/>
      <c r="Q88" s="1"/>
      <c r="R88" s="1"/>
      <c r="S88" s="1"/>
      <c r="T88" s="1"/>
    </row>
    <row r="89" ht="14.25" customHeight="1">
      <c r="A89" s="52"/>
      <c r="B89" s="53"/>
      <c r="C89" s="53"/>
      <c r="D89" s="53"/>
      <c r="E89" s="53"/>
      <c r="F89" s="53"/>
      <c r="G89" s="1"/>
      <c r="H89" s="1"/>
      <c r="I89" s="1"/>
      <c r="J89" s="1"/>
      <c r="K89" s="1"/>
      <c r="L89" s="1"/>
      <c r="M89" s="1"/>
      <c r="N89" s="1"/>
      <c r="O89" s="1"/>
      <c r="P89" s="1"/>
      <c r="Q89" s="1"/>
      <c r="R89" s="1"/>
      <c r="S89" s="1"/>
      <c r="T89" s="1"/>
    </row>
    <row r="90" ht="14.25" customHeight="1">
      <c r="A90" s="52"/>
      <c r="B90" s="53"/>
      <c r="C90" s="53"/>
      <c r="D90" s="53"/>
      <c r="E90" s="53"/>
      <c r="F90" s="53"/>
      <c r="G90" s="1"/>
      <c r="H90" s="1"/>
      <c r="I90" s="1"/>
      <c r="J90" s="1"/>
      <c r="K90" s="1"/>
      <c r="L90" s="1"/>
      <c r="M90" s="1"/>
      <c r="N90" s="1"/>
      <c r="O90" s="1"/>
      <c r="P90" s="1"/>
      <c r="Q90" s="1"/>
      <c r="R90" s="1"/>
      <c r="S90" s="1"/>
      <c r="T90" s="1"/>
    </row>
    <row r="91" ht="14.25" customHeight="1">
      <c r="A91" s="52"/>
      <c r="B91" s="53"/>
      <c r="C91" s="53"/>
      <c r="D91" s="53"/>
      <c r="E91" s="53"/>
      <c r="F91" s="53"/>
      <c r="G91" s="1"/>
      <c r="H91" s="1"/>
      <c r="I91" s="1"/>
      <c r="J91" s="1"/>
      <c r="K91" s="1"/>
      <c r="L91" s="1"/>
      <c r="M91" s="1"/>
      <c r="N91" s="1"/>
      <c r="O91" s="1"/>
      <c r="P91" s="1"/>
      <c r="Q91" s="1"/>
      <c r="R91" s="1"/>
      <c r="S91" s="1"/>
      <c r="T91" s="1"/>
    </row>
    <row r="92" ht="14.25" customHeight="1">
      <c r="A92" s="52"/>
      <c r="B92" s="53"/>
      <c r="C92" s="53"/>
      <c r="D92" s="53"/>
      <c r="E92" s="53"/>
      <c r="F92" s="53"/>
      <c r="G92" s="1"/>
      <c r="H92" s="1"/>
      <c r="I92" s="1"/>
      <c r="J92" s="1"/>
      <c r="K92" s="1"/>
      <c r="L92" s="1"/>
      <c r="M92" s="1"/>
      <c r="N92" s="1"/>
      <c r="O92" s="1"/>
      <c r="P92" s="1"/>
      <c r="Q92" s="1"/>
      <c r="R92" s="1"/>
      <c r="S92" s="1"/>
      <c r="T92" s="1"/>
    </row>
    <row r="93" ht="14.25" customHeight="1">
      <c r="A93" s="52"/>
      <c r="B93" s="53"/>
      <c r="C93" s="53"/>
      <c r="D93" s="53"/>
      <c r="E93" s="53"/>
      <c r="F93" s="53"/>
      <c r="G93" s="1"/>
      <c r="H93" s="1"/>
      <c r="I93" s="1"/>
      <c r="J93" s="1"/>
      <c r="K93" s="1"/>
      <c r="L93" s="1"/>
      <c r="M93" s="1"/>
      <c r="N93" s="1"/>
      <c r="O93" s="1"/>
      <c r="P93" s="1"/>
      <c r="Q93" s="1"/>
      <c r="R93" s="1"/>
      <c r="S93" s="1"/>
      <c r="T93" s="1"/>
    </row>
    <row r="94" ht="14.25" customHeight="1">
      <c r="A94" s="52"/>
      <c r="B94" s="53"/>
      <c r="C94" s="53"/>
      <c r="D94" s="53"/>
      <c r="E94" s="53"/>
      <c r="F94" s="53"/>
      <c r="G94" s="1"/>
      <c r="H94" s="1"/>
      <c r="I94" s="1"/>
      <c r="J94" s="1"/>
      <c r="K94" s="1"/>
      <c r="L94" s="1"/>
      <c r="M94" s="1"/>
      <c r="N94" s="1"/>
      <c r="O94" s="1"/>
      <c r="P94" s="1"/>
      <c r="Q94" s="1"/>
      <c r="R94" s="1"/>
      <c r="S94" s="1"/>
      <c r="T94" s="1"/>
    </row>
    <row r="95" ht="14.25" customHeight="1">
      <c r="A95" s="52"/>
      <c r="B95" s="53"/>
      <c r="C95" s="53"/>
      <c r="D95" s="53"/>
      <c r="E95" s="53"/>
      <c r="F95" s="53"/>
      <c r="G95" s="1"/>
      <c r="H95" s="1"/>
      <c r="I95" s="1"/>
      <c r="J95" s="1"/>
      <c r="K95" s="1"/>
      <c r="L95" s="1"/>
      <c r="M95" s="1"/>
      <c r="N95" s="1"/>
      <c r="O95" s="1"/>
      <c r="P95" s="1"/>
      <c r="Q95" s="1"/>
      <c r="R95" s="1"/>
      <c r="S95" s="1"/>
      <c r="T95" s="1"/>
    </row>
    <row r="96" ht="14.25" customHeight="1">
      <c r="A96" s="52"/>
      <c r="B96" s="53"/>
      <c r="C96" s="53"/>
      <c r="D96" s="53"/>
      <c r="E96" s="53"/>
      <c r="F96" s="53"/>
      <c r="G96" s="1"/>
      <c r="H96" s="1"/>
      <c r="I96" s="1"/>
      <c r="J96" s="1"/>
      <c r="K96" s="1"/>
      <c r="L96" s="1"/>
      <c r="M96" s="1"/>
      <c r="N96" s="1"/>
      <c r="O96" s="1"/>
      <c r="P96" s="1"/>
      <c r="Q96" s="1"/>
      <c r="R96" s="1"/>
      <c r="S96" s="1"/>
      <c r="T96" s="1"/>
    </row>
    <row r="97" ht="14.25" customHeight="1">
      <c r="A97" s="52"/>
      <c r="B97" s="53"/>
      <c r="C97" s="53"/>
      <c r="D97" s="53"/>
      <c r="E97" s="53"/>
      <c r="F97" s="53"/>
      <c r="G97" s="1"/>
      <c r="H97" s="1"/>
      <c r="I97" s="1"/>
      <c r="J97" s="1"/>
      <c r="K97" s="1"/>
      <c r="L97" s="1"/>
      <c r="M97" s="1"/>
      <c r="N97" s="1"/>
      <c r="O97" s="1"/>
      <c r="P97" s="1"/>
      <c r="Q97" s="1"/>
      <c r="R97" s="1"/>
      <c r="S97" s="1"/>
      <c r="T97" s="1"/>
    </row>
    <row r="98" ht="14.25" customHeight="1">
      <c r="A98" s="52"/>
      <c r="B98" s="53"/>
      <c r="C98" s="53"/>
      <c r="D98" s="53"/>
      <c r="E98" s="53"/>
      <c r="F98" s="53"/>
      <c r="G98" s="1"/>
      <c r="H98" s="1"/>
      <c r="I98" s="1"/>
      <c r="J98" s="1"/>
      <c r="K98" s="1"/>
      <c r="L98" s="1"/>
      <c r="M98" s="1"/>
      <c r="N98" s="1"/>
      <c r="O98" s="1"/>
      <c r="P98" s="1"/>
      <c r="Q98" s="1"/>
      <c r="R98" s="1"/>
      <c r="S98" s="1"/>
      <c r="T98" s="1"/>
    </row>
    <row r="99" ht="14.25" customHeight="1">
      <c r="A99" s="52"/>
      <c r="B99" s="53"/>
      <c r="C99" s="53"/>
      <c r="D99" s="53"/>
      <c r="E99" s="53"/>
      <c r="F99" s="53"/>
      <c r="G99" s="1"/>
      <c r="H99" s="1"/>
      <c r="I99" s="1"/>
      <c r="J99" s="1"/>
      <c r="K99" s="1"/>
      <c r="L99" s="1"/>
      <c r="M99" s="1"/>
      <c r="N99" s="1"/>
      <c r="O99" s="1"/>
      <c r="P99" s="1"/>
      <c r="Q99" s="1"/>
      <c r="R99" s="1"/>
      <c r="S99" s="1"/>
      <c r="T99" s="1"/>
    </row>
    <row r="100" ht="14.25" customHeight="1">
      <c r="A100" s="52"/>
      <c r="B100" s="53"/>
      <c r="C100" s="53"/>
      <c r="D100" s="53"/>
      <c r="E100" s="53"/>
      <c r="F100" s="53"/>
      <c r="G100" s="1"/>
      <c r="H100" s="1"/>
      <c r="I100" s="1"/>
      <c r="J100" s="1"/>
      <c r="K100" s="1"/>
      <c r="L100" s="1"/>
      <c r="M100" s="1"/>
      <c r="N100" s="1"/>
      <c r="O100" s="1"/>
      <c r="P100" s="1"/>
      <c r="Q100" s="1"/>
      <c r="R100" s="1"/>
      <c r="S100" s="1"/>
      <c r="T100" s="1"/>
    </row>
    <row r="101" ht="14.25" customHeight="1">
      <c r="A101" s="52"/>
      <c r="B101" s="53"/>
      <c r="C101" s="53"/>
      <c r="D101" s="53"/>
      <c r="E101" s="53"/>
      <c r="F101" s="53"/>
      <c r="G101" s="1"/>
      <c r="H101" s="1"/>
      <c r="I101" s="1"/>
      <c r="J101" s="1"/>
      <c r="K101" s="1"/>
      <c r="L101" s="1"/>
      <c r="M101" s="1"/>
      <c r="N101" s="1"/>
      <c r="O101" s="1"/>
      <c r="P101" s="1"/>
      <c r="Q101" s="1"/>
      <c r="R101" s="1"/>
      <c r="S101" s="1"/>
      <c r="T101" s="1"/>
    </row>
    <row r="102" ht="14.25" customHeight="1">
      <c r="A102" s="52"/>
      <c r="B102" s="53"/>
      <c r="C102" s="53"/>
      <c r="D102" s="53"/>
      <c r="E102" s="53"/>
      <c r="F102" s="53"/>
      <c r="G102" s="1"/>
      <c r="H102" s="1"/>
      <c r="I102" s="1"/>
      <c r="J102" s="1"/>
      <c r="K102" s="1"/>
      <c r="L102" s="1"/>
      <c r="M102" s="1"/>
      <c r="N102" s="1"/>
      <c r="O102" s="1"/>
      <c r="P102" s="1"/>
      <c r="Q102" s="1"/>
      <c r="R102" s="1"/>
      <c r="S102" s="1"/>
      <c r="T102" s="1"/>
    </row>
    <row r="103" ht="14.25" customHeight="1">
      <c r="A103" s="52"/>
      <c r="B103" s="53"/>
      <c r="C103" s="53"/>
      <c r="D103" s="53"/>
      <c r="E103" s="53"/>
      <c r="F103" s="53"/>
      <c r="G103" s="1"/>
      <c r="H103" s="1"/>
      <c r="I103" s="1"/>
      <c r="J103" s="1"/>
      <c r="K103" s="1"/>
      <c r="L103" s="1"/>
      <c r="M103" s="1"/>
      <c r="N103" s="1"/>
      <c r="O103" s="1"/>
      <c r="P103" s="1"/>
      <c r="Q103" s="1"/>
      <c r="R103" s="1"/>
      <c r="S103" s="1"/>
      <c r="T103" s="1"/>
    </row>
    <row r="104" ht="14.25" customHeight="1">
      <c r="A104" s="52"/>
      <c r="B104" s="53"/>
      <c r="C104" s="53"/>
      <c r="D104" s="53"/>
      <c r="E104" s="53"/>
      <c r="F104" s="53"/>
      <c r="G104" s="1"/>
      <c r="H104" s="1"/>
      <c r="I104" s="1"/>
      <c r="J104" s="1"/>
      <c r="K104" s="1"/>
      <c r="L104" s="1"/>
      <c r="M104" s="1"/>
      <c r="N104" s="1"/>
      <c r="O104" s="1"/>
      <c r="P104" s="1"/>
      <c r="Q104" s="1"/>
      <c r="R104" s="1"/>
      <c r="S104" s="1"/>
      <c r="T104" s="1"/>
    </row>
    <row r="105" ht="14.25" customHeight="1">
      <c r="A105" s="52"/>
      <c r="B105" s="53"/>
      <c r="C105" s="53"/>
      <c r="D105" s="53"/>
      <c r="E105" s="53"/>
      <c r="F105" s="53"/>
      <c r="G105" s="1"/>
      <c r="H105" s="1"/>
      <c r="I105" s="1"/>
      <c r="J105" s="1"/>
      <c r="K105" s="1"/>
      <c r="L105" s="1"/>
      <c r="M105" s="1"/>
      <c r="N105" s="1"/>
      <c r="O105" s="1"/>
      <c r="P105" s="1"/>
      <c r="Q105" s="1"/>
      <c r="R105" s="1"/>
      <c r="S105" s="1"/>
      <c r="T105" s="1"/>
    </row>
    <row r="106" ht="14.25" customHeight="1">
      <c r="A106" s="52"/>
      <c r="B106" s="53"/>
      <c r="C106" s="53"/>
      <c r="D106" s="53"/>
      <c r="E106" s="53"/>
      <c r="F106" s="53"/>
      <c r="G106" s="1"/>
      <c r="H106" s="1"/>
      <c r="I106" s="1"/>
      <c r="J106" s="1"/>
      <c r="K106" s="1"/>
      <c r="L106" s="1"/>
      <c r="M106" s="1"/>
      <c r="N106" s="1"/>
      <c r="O106" s="1"/>
      <c r="P106" s="1"/>
      <c r="Q106" s="1"/>
      <c r="R106" s="1"/>
      <c r="S106" s="1"/>
      <c r="T106" s="1"/>
    </row>
    <row r="107" ht="14.25" customHeight="1">
      <c r="A107" s="52"/>
      <c r="B107" s="53"/>
      <c r="C107" s="53"/>
      <c r="D107" s="53"/>
      <c r="E107" s="53"/>
      <c r="F107" s="53"/>
      <c r="G107" s="1"/>
      <c r="H107" s="1"/>
      <c r="I107" s="1"/>
      <c r="J107" s="1"/>
      <c r="K107" s="1"/>
      <c r="L107" s="1"/>
      <c r="M107" s="1"/>
      <c r="N107" s="1"/>
      <c r="O107" s="1"/>
      <c r="P107" s="1"/>
      <c r="Q107" s="1"/>
      <c r="R107" s="1"/>
      <c r="S107" s="1"/>
      <c r="T107" s="1"/>
    </row>
    <row r="108" ht="14.25" customHeight="1">
      <c r="A108" s="52"/>
      <c r="B108" s="53"/>
      <c r="C108" s="53"/>
      <c r="D108" s="53"/>
      <c r="E108" s="53"/>
      <c r="F108" s="53"/>
      <c r="G108" s="1"/>
      <c r="H108" s="1"/>
      <c r="I108" s="1"/>
      <c r="J108" s="1"/>
      <c r="K108" s="1"/>
      <c r="L108" s="1"/>
      <c r="M108" s="1"/>
      <c r="N108" s="1"/>
      <c r="O108" s="1"/>
      <c r="P108" s="1"/>
      <c r="Q108" s="1"/>
      <c r="R108" s="1"/>
      <c r="S108" s="1"/>
      <c r="T108" s="1"/>
    </row>
    <row r="109" ht="14.25" customHeight="1">
      <c r="A109" s="52"/>
      <c r="B109" s="53"/>
      <c r="C109" s="53"/>
      <c r="D109" s="53"/>
      <c r="E109" s="53"/>
      <c r="F109" s="53"/>
      <c r="G109" s="1"/>
      <c r="H109" s="1"/>
      <c r="I109" s="1"/>
      <c r="J109" s="1"/>
      <c r="K109" s="1"/>
      <c r="L109" s="1"/>
      <c r="M109" s="1"/>
      <c r="N109" s="1"/>
      <c r="O109" s="1"/>
      <c r="P109" s="1"/>
      <c r="Q109" s="1"/>
      <c r="R109" s="1"/>
      <c r="S109" s="1"/>
      <c r="T109" s="1"/>
    </row>
    <row r="110" ht="14.25" customHeight="1">
      <c r="A110" s="52"/>
      <c r="B110" s="53"/>
      <c r="C110" s="53"/>
      <c r="D110" s="53"/>
      <c r="E110" s="53"/>
      <c r="F110" s="53"/>
      <c r="G110" s="1"/>
      <c r="H110" s="1"/>
      <c r="I110" s="1"/>
      <c r="J110" s="1"/>
      <c r="K110" s="1"/>
      <c r="L110" s="1"/>
      <c r="M110" s="1"/>
      <c r="N110" s="1"/>
      <c r="O110" s="1"/>
      <c r="P110" s="1"/>
      <c r="Q110" s="1"/>
      <c r="R110" s="1"/>
      <c r="S110" s="1"/>
      <c r="T110" s="1"/>
    </row>
    <row r="111" ht="14.25" customHeight="1">
      <c r="A111" s="52"/>
      <c r="B111" s="53"/>
      <c r="C111" s="53"/>
      <c r="D111" s="53"/>
      <c r="E111" s="53"/>
      <c r="F111" s="53"/>
      <c r="G111" s="1"/>
      <c r="H111" s="1"/>
      <c r="I111" s="1"/>
      <c r="J111" s="1"/>
      <c r="K111" s="1"/>
      <c r="L111" s="1"/>
      <c r="M111" s="1"/>
      <c r="N111" s="1"/>
      <c r="O111" s="1"/>
      <c r="P111" s="1"/>
      <c r="Q111" s="1"/>
      <c r="R111" s="1"/>
      <c r="S111" s="1"/>
      <c r="T111" s="1"/>
    </row>
    <row r="112" ht="14.25" customHeight="1">
      <c r="A112" s="52"/>
      <c r="B112" s="53"/>
      <c r="C112" s="53"/>
      <c r="D112" s="53"/>
      <c r="E112" s="53"/>
      <c r="F112" s="53"/>
      <c r="G112" s="1"/>
      <c r="H112" s="1"/>
      <c r="I112" s="1"/>
      <c r="J112" s="1"/>
      <c r="K112" s="1"/>
      <c r="L112" s="1"/>
      <c r="M112" s="1"/>
      <c r="N112" s="1"/>
      <c r="O112" s="1"/>
      <c r="P112" s="1"/>
      <c r="Q112" s="1"/>
      <c r="R112" s="1"/>
      <c r="S112" s="1"/>
      <c r="T112" s="1"/>
    </row>
    <row r="113" ht="14.25" customHeight="1">
      <c r="A113" s="52"/>
      <c r="B113" s="53"/>
      <c r="C113" s="53"/>
      <c r="D113" s="53"/>
      <c r="E113" s="53"/>
      <c r="F113" s="53"/>
      <c r="G113" s="1"/>
      <c r="H113" s="1"/>
      <c r="I113" s="1"/>
      <c r="J113" s="1"/>
      <c r="K113" s="1"/>
      <c r="L113" s="1"/>
      <c r="M113" s="1"/>
      <c r="N113" s="1"/>
      <c r="O113" s="1"/>
      <c r="P113" s="1"/>
      <c r="Q113" s="1"/>
      <c r="R113" s="1"/>
      <c r="S113" s="1"/>
      <c r="T113" s="1"/>
    </row>
    <row r="114" ht="14.25" customHeight="1">
      <c r="A114" s="52"/>
      <c r="B114" s="53"/>
      <c r="C114" s="53"/>
      <c r="D114" s="53"/>
      <c r="E114" s="53"/>
      <c r="F114" s="53"/>
      <c r="G114" s="1"/>
      <c r="H114" s="1"/>
      <c r="I114" s="1"/>
      <c r="J114" s="1"/>
      <c r="K114" s="1"/>
      <c r="L114" s="1"/>
      <c r="M114" s="1"/>
      <c r="N114" s="1"/>
      <c r="O114" s="1"/>
      <c r="P114" s="1"/>
      <c r="Q114" s="1"/>
      <c r="R114" s="1"/>
      <c r="S114" s="1"/>
      <c r="T114" s="1"/>
    </row>
    <row r="115" ht="14.25" customHeight="1">
      <c r="A115" s="52"/>
      <c r="B115" s="53"/>
      <c r="C115" s="53"/>
      <c r="D115" s="53"/>
      <c r="E115" s="53"/>
      <c r="F115" s="53"/>
      <c r="G115" s="1"/>
      <c r="H115" s="1"/>
      <c r="I115" s="1"/>
      <c r="J115" s="1"/>
      <c r="K115" s="1"/>
      <c r="L115" s="1"/>
      <c r="M115" s="1"/>
      <c r="N115" s="1"/>
      <c r="O115" s="1"/>
      <c r="P115" s="1"/>
      <c r="Q115" s="1"/>
      <c r="R115" s="1"/>
      <c r="S115" s="1"/>
      <c r="T115" s="1"/>
    </row>
    <row r="116" ht="14.25" customHeight="1">
      <c r="A116" s="52"/>
      <c r="B116" s="53"/>
      <c r="C116" s="53"/>
      <c r="D116" s="53"/>
      <c r="E116" s="53"/>
      <c r="F116" s="53"/>
      <c r="G116" s="1"/>
      <c r="H116" s="1"/>
      <c r="I116" s="1"/>
      <c r="J116" s="1"/>
      <c r="K116" s="1"/>
      <c r="L116" s="1"/>
      <c r="M116" s="1"/>
      <c r="N116" s="1"/>
      <c r="O116" s="1"/>
      <c r="P116" s="1"/>
      <c r="Q116" s="1"/>
      <c r="R116" s="1"/>
      <c r="S116" s="1"/>
      <c r="T116" s="1"/>
    </row>
    <row r="117" ht="14.25" customHeight="1">
      <c r="A117" s="52"/>
      <c r="B117" s="53"/>
      <c r="C117" s="53"/>
      <c r="D117" s="53"/>
      <c r="E117" s="53"/>
      <c r="F117" s="53"/>
      <c r="G117" s="1"/>
      <c r="H117" s="1"/>
      <c r="I117" s="1"/>
      <c r="J117" s="1"/>
      <c r="K117" s="1"/>
      <c r="L117" s="1"/>
      <c r="M117" s="1"/>
      <c r="N117" s="1"/>
      <c r="O117" s="1"/>
      <c r="P117" s="1"/>
      <c r="Q117" s="1"/>
      <c r="R117" s="1"/>
      <c r="S117" s="1"/>
      <c r="T117" s="1"/>
    </row>
    <row r="118" ht="14.25" customHeight="1">
      <c r="A118" s="52"/>
      <c r="B118" s="53"/>
      <c r="C118" s="53"/>
      <c r="D118" s="53"/>
      <c r="E118" s="53"/>
      <c r="F118" s="53"/>
      <c r="G118" s="1"/>
      <c r="H118" s="1"/>
      <c r="I118" s="1"/>
      <c r="J118" s="1"/>
      <c r="K118" s="1"/>
      <c r="L118" s="1"/>
      <c r="M118" s="1"/>
      <c r="N118" s="1"/>
      <c r="O118" s="1"/>
      <c r="P118" s="1"/>
      <c r="Q118" s="1"/>
      <c r="R118" s="1"/>
      <c r="S118" s="1"/>
      <c r="T118" s="1"/>
    </row>
    <row r="119" ht="14.25" customHeight="1">
      <c r="A119" s="52"/>
      <c r="B119" s="53"/>
      <c r="C119" s="53"/>
      <c r="D119" s="53"/>
      <c r="E119" s="53"/>
      <c r="F119" s="53"/>
      <c r="G119" s="1"/>
      <c r="H119" s="1"/>
      <c r="I119" s="1"/>
      <c r="J119" s="1"/>
      <c r="K119" s="1"/>
      <c r="L119" s="1"/>
      <c r="M119" s="1"/>
      <c r="N119" s="1"/>
      <c r="O119" s="1"/>
      <c r="P119" s="1"/>
      <c r="Q119" s="1"/>
      <c r="R119" s="1"/>
      <c r="S119" s="1"/>
      <c r="T119" s="1"/>
    </row>
    <row r="120" ht="14.25" customHeight="1">
      <c r="A120" s="52"/>
      <c r="B120" s="53"/>
      <c r="C120" s="53"/>
      <c r="D120" s="53"/>
      <c r="E120" s="53"/>
      <c r="F120" s="53"/>
      <c r="G120" s="1"/>
      <c r="H120" s="1"/>
      <c r="I120" s="1"/>
      <c r="J120" s="1"/>
      <c r="K120" s="1"/>
      <c r="L120" s="1"/>
      <c r="M120" s="1"/>
      <c r="N120" s="1"/>
      <c r="O120" s="1"/>
      <c r="P120" s="1"/>
      <c r="Q120" s="1"/>
      <c r="R120" s="1"/>
      <c r="S120" s="1"/>
      <c r="T120" s="1"/>
    </row>
    <row r="121" ht="14.25" customHeight="1">
      <c r="A121" s="52"/>
      <c r="B121" s="53"/>
      <c r="C121" s="53"/>
      <c r="D121" s="53"/>
      <c r="E121" s="53"/>
      <c r="F121" s="53"/>
      <c r="G121" s="1"/>
      <c r="H121" s="1"/>
      <c r="I121" s="1"/>
      <c r="J121" s="1"/>
      <c r="K121" s="1"/>
      <c r="L121" s="1"/>
      <c r="M121" s="1"/>
      <c r="N121" s="1"/>
      <c r="O121" s="1"/>
      <c r="P121" s="1"/>
      <c r="Q121" s="1"/>
      <c r="R121" s="1"/>
      <c r="S121" s="1"/>
      <c r="T121" s="1"/>
    </row>
    <row r="122" ht="14.25" customHeight="1">
      <c r="A122" s="52"/>
      <c r="B122" s="53"/>
      <c r="C122" s="53"/>
      <c r="D122" s="53"/>
      <c r="E122" s="53"/>
      <c r="F122" s="53"/>
      <c r="G122" s="1"/>
      <c r="H122" s="1"/>
      <c r="I122" s="1"/>
      <c r="J122" s="1"/>
      <c r="K122" s="1"/>
      <c r="L122" s="1"/>
      <c r="M122" s="1"/>
      <c r="N122" s="1"/>
      <c r="O122" s="1"/>
      <c r="P122" s="1"/>
      <c r="Q122" s="1"/>
      <c r="R122" s="1"/>
      <c r="S122" s="1"/>
      <c r="T122" s="1"/>
    </row>
    <row r="123" ht="14.25" customHeight="1">
      <c r="A123" s="52"/>
      <c r="B123" s="53"/>
      <c r="C123" s="53"/>
      <c r="D123" s="53"/>
      <c r="E123" s="53"/>
      <c r="F123" s="53"/>
      <c r="G123" s="1"/>
      <c r="H123" s="1"/>
      <c r="I123" s="1"/>
      <c r="J123" s="1"/>
      <c r="K123" s="1"/>
      <c r="L123" s="1"/>
      <c r="M123" s="1"/>
      <c r="N123" s="1"/>
      <c r="O123" s="1"/>
      <c r="P123" s="1"/>
      <c r="Q123" s="1"/>
      <c r="R123" s="1"/>
      <c r="S123" s="1"/>
      <c r="T123" s="1"/>
    </row>
    <row r="124" ht="14.25" customHeight="1">
      <c r="A124" s="52"/>
      <c r="B124" s="53"/>
      <c r="C124" s="53"/>
      <c r="D124" s="53"/>
      <c r="E124" s="53"/>
      <c r="F124" s="53"/>
      <c r="G124" s="1"/>
      <c r="H124" s="1"/>
      <c r="I124" s="1"/>
      <c r="J124" s="1"/>
      <c r="K124" s="1"/>
      <c r="L124" s="1"/>
      <c r="M124" s="1"/>
      <c r="N124" s="1"/>
      <c r="O124" s="1"/>
      <c r="P124" s="1"/>
      <c r="Q124" s="1"/>
      <c r="R124" s="1"/>
      <c r="S124" s="1"/>
      <c r="T124" s="1"/>
    </row>
    <row r="125" ht="14.25" customHeight="1">
      <c r="A125" s="52"/>
      <c r="B125" s="53"/>
      <c r="C125" s="53"/>
      <c r="D125" s="53"/>
      <c r="E125" s="53"/>
      <c r="F125" s="53"/>
      <c r="G125" s="1"/>
      <c r="H125" s="1"/>
      <c r="I125" s="1"/>
      <c r="J125" s="1"/>
      <c r="K125" s="1"/>
      <c r="L125" s="1"/>
      <c r="M125" s="1"/>
      <c r="N125" s="1"/>
      <c r="O125" s="1"/>
      <c r="P125" s="1"/>
      <c r="Q125" s="1"/>
      <c r="R125" s="1"/>
      <c r="S125" s="1"/>
      <c r="T125" s="1"/>
    </row>
    <row r="126" ht="14.25" customHeight="1">
      <c r="A126" s="52"/>
      <c r="B126" s="53"/>
      <c r="C126" s="53"/>
      <c r="D126" s="53"/>
      <c r="E126" s="53"/>
      <c r="F126" s="53"/>
      <c r="G126" s="1"/>
      <c r="H126" s="1"/>
      <c r="I126" s="1"/>
      <c r="J126" s="1"/>
      <c r="K126" s="1"/>
      <c r="L126" s="1"/>
      <c r="M126" s="1"/>
      <c r="N126" s="1"/>
      <c r="O126" s="1"/>
      <c r="P126" s="1"/>
      <c r="Q126" s="1"/>
      <c r="R126" s="1"/>
      <c r="S126" s="1"/>
      <c r="T126" s="1"/>
    </row>
    <row r="127" ht="14.25" customHeight="1">
      <c r="A127" s="52"/>
      <c r="B127" s="53"/>
      <c r="C127" s="53"/>
      <c r="D127" s="53"/>
      <c r="E127" s="53"/>
      <c r="F127" s="53"/>
      <c r="G127" s="1"/>
      <c r="H127" s="1"/>
      <c r="I127" s="1"/>
      <c r="J127" s="1"/>
      <c r="K127" s="1"/>
      <c r="L127" s="1"/>
      <c r="M127" s="1"/>
      <c r="N127" s="1"/>
      <c r="O127" s="1"/>
      <c r="P127" s="1"/>
      <c r="Q127" s="1"/>
      <c r="R127" s="1"/>
      <c r="S127" s="1"/>
      <c r="T127" s="1"/>
    </row>
    <row r="128" ht="14.25" customHeight="1">
      <c r="A128" s="52"/>
      <c r="B128" s="53"/>
      <c r="C128" s="53"/>
      <c r="D128" s="53"/>
      <c r="E128" s="53"/>
      <c r="F128" s="53"/>
      <c r="G128" s="1"/>
      <c r="H128" s="1"/>
      <c r="I128" s="1"/>
      <c r="J128" s="1"/>
      <c r="K128" s="1"/>
      <c r="L128" s="1"/>
      <c r="M128" s="1"/>
      <c r="N128" s="1"/>
      <c r="O128" s="1"/>
      <c r="P128" s="1"/>
      <c r="Q128" s="1"/>
      <c r="R128" s="1"/>
      <c r="S128" s="1"/>
      <c r="T128" s="1"/>
    </row>
    <row r="129" ht="14.25" customHeight="1">
      <c r="A129" s="52"/>
      <c r="B129" s="53"/>
      <c r="C129" s="53"/>
      <c r="D129" s="53"/>
      <c r="E129" s="53"/>
      <c r="F129" s="53"/>
      <c r="G129" s="1"/>
      <c r="H129" s="1"/>
      <c r="I129" s="1"/>
      <c r="J129" s="1"/>
      <c r="K129" s="1"/>
      <c r="L129" s="1"/>
      <c r="M129" s="1"/>
      <c r="N129" s="1"/>
      <c r="O129" s="1"/>
      <c r="P129" s="1"/>
      <c r="Q129" s="1"/>
      <c r="R129" s="1"/>
      <c r="S129" s="1"/>
      <c r="T129" s="1"/>
    </row>
    <row r="130" ht="14.25" customHeight="1">
      <c r="A130" s="52"/>
      <c r="B130" s="53"/>
      <c r="C130" s="53"/>
      <c r="D130" s="53"/>
      <c r="E130" s="53"/>
      <c r="F130" s="53"/>
      <c r="G130" s="1"/>
      <c r="H130" s="1"/>
      <c r="I130" s="1"/>
      <c r="J130" s="1"/>
      <c r="K130" s="1"/>
      <c r="L130" s="1"/>
      <c r="M130" s="1"/>
      <c r="N130" s="1"/>
      <c r="O130" s="1"/>
      <c r="P130" s="1"/>
      <c r="Q130" s="1"/>
      <c r="R130" s="1"/>
      <c r="S130" s="1"/>
      <c r="T130" s="1"/>
    </row>
    <row r="131" ht="14.25" customHeight="1">
      <c r="A131" s="52"/>
      <c r="B131" s="53"/>
      <c r="C131" s="53"/>
      <c r="D131" s="53"/>
      <c r="E131" s="53"/>
      <c r="F131" s="53"/>
      <c r="G131" s="1"/>
      <c r="H131" s="1"/>
      <c r="I131" s="1"/>
      <c r="J131" s="1"/>
      <c r="K131" s="1"/>
      <c r="L131" s="1"/>
      <c r="M131" s="1"/>
      <c r="N131" s="1"/>
      <c r="O131" s="1"/>
      <c r="P131" s="1"/>
      <c r="Q131" s="1"/>
      <c r="R131" s="1"/>
      <c r="S131" s="1"/>
      <c r="T131" s="1"/>
    </row>
    <row r="132" ht="14.25" customHeight="1">
      <c r="A132" s="52"/>
      <c r="B132" s="53"/>
      <c r="C132" s="53"/>
      <c r="D132" s="53"/>
      <c r="E132" s="53"/>
      <c r="F132" s="53"/>
      <c r="G132" s="1"/>
      <c r="H132" s="1"/>
      <c r="I132" s="1"/>
      <c r="J132" s="1"/>
      <c r="K132" s="1"/>
      <c r="L132" s="1"/>
      <c r="M132" s="1"/>
      <c r="N132" s="1"/>
      <c r="O132" s="1"/>
      <c r="P132" s="1"/>
      <c r="Q132" s="1"/>
      <c r="R132" s="1"/>
      <c r="S132" s="1"/>
      <c r="T132" s="1"/>
    </row>
    <row r="133" ht="14.25" customHeight="1">
      <c r="A133" s="52"/>
      <c r="B133" s="53"/>
      <c r="C133" s="53"/>
      <c r="D133" s="53"/>
      <c r="E133" s="53"/>
      <c r="F133" s="53"/>
      <c r="G133" s="1"/>
      <c r="H133" s="1"/>
      <c r="I133" s="1"/>
      <c r="J133" s="1"/>
      <c r="K133" s="1"/>
      <c r="L133" s="1"/>
      <c r="M133" s="1"/>
      <c r="N133" s="1"/>
      <c r="O133" s="1"/>
      <c r="P133" s="1"/>
      <c r="Q133" s="1"/>
      <c r="R133" s="1"/>
      <c r="S133" s="1"/>
      <c r="T133" s="1"/>
    </row>
    <row r="134" ht="14.25" customHeight="1">
      <c r="A134" s="52"/>
      <c r="B134" s="53"/>
      <c r="C134" s="53"/>
      <c r="D134" s="53"/>
      <c r="E134" s="53"/>
      <c r="F134" s="53"/>
      <c r="G134" s="1"/>
      <c r="H134" s="1"/>
      <c r="I134" s="1"/>
      <c r="J134" s="1"/>
      <c r="K134" s="1"/>
      <c r="L134" s="1"/>
      <c r="M134" s="1"/>
      <c r="N134" s="1"/>
      <c r="O134" s="1"/>
      <c r="P134" s="1"/>
      <c r="Q134" s="1"/>
      <c r="R134" s="1"/>
      <c r="S134" s="1"/>
      <c r="T134" s="1"/>
    </row>
    <row r="135" ht="14.25" customHeight="1">
      <c r="A135" s="52"/>
      <c r="B135" s="53"/>
      <c r="C135" s="53"/>
      <c r="D135" s="53"/>
      <c r="E135" s="53"/>
      <c r="F135" s="53"/>
      <c r="G135" s="1"/>
      <c r="H135" s="1"/>
      <c r="I135" s="1"/>
      <c r="J135" s="1"/>
      <c r="K135" s="1"/>
      <c r="L135" s="1"/>
      <c r="M135" s="1"/>
      <c r="N135" s="1"/>
      <c r="O135" s="1"/>
      <c r="P135" s="1"/>
      <c r="Q135" s="1"/>
      <c r="R135" s="1"/>
      <c r="S135" s="1"/>
      <c r="T135" s="1"/>
    </row>
    <row r="136" ht="14.25" customHeight="1">
      <c r="A136" s="52"/>
      <c r="B136" s="53"/>
      <c r="C136" s="53"/>
      <c r="D136" s="53"/>
      <c r="E136" s="53"/>
      <c r="F136" s="53"/>
      <c r="G136" s="1"/>
      <c r="H136" s="1"/>
      <c r="I136" s="1"/>
      <c r="J136" s="1"/>
      <c r="K136" s="1"/>
      <c r="L136" s="1"/>
      <c r="M136" s="1"/>
      <c r="N136" s="1"/>
      <c r="O136" s="1"/>
      <c r="P136" s="1"/>
      <c r="Q136" s="1"/>
      <c r="R136" s="1"/>
      <c r="S136" s="1"/>
      <c r="T136" s="1"/>
    </row>
    <row r="137" ht="14.25" customHeight="1">
      <c r="A137" s="52"/>
      <c r="B137" s="53"/>
      <c r="C137" s="53"/>
      <c r="D137" s="53"/>
      <c r="E137" s="53"/>
      <c r="F137" s="53"/>
      <c r="G137" s="1"/>
      <c r="H137" s="1"/>
      <c r="I137" s="1"/>
      <c r="J137" s="1"/>
      <c r="K137" s="1"/>
      <c r="L137" s="1"/>
      <c r="M137" s="1"/>
      <c r="N137" s="1"/>
      <c r="O137" s="1"/>
      <c r="P137" s="1"/>
      <c r="Q137" s="1"/>
      <c r="R137" s="1"/>
      <c r="S137" s="1"/>
      <c r="T137" s="1"/>
    </row>
    <row r="138" ht="14.25" customHeight="1">
      <c r="A138" s="52"/>
      <c r="B138" s="53"/>
      <c r="C138" s="53"/>
      <c r="D138" s="53"/>
      <c r="E138" s="53"/>
      <c r="F138" s="53"/>
      <c r="G138" s="1"/>
      <c r="H138" s="1"/>
      <c r="I138" s="1"/>
      <c r="J138" s="1"/>
      <c r="K138" s="1"/>
      <c r="L138" s="1"/>
      <c r="M138" s="1"/>
      <c r="N138" s="1"/>
      <c r="O138" s="1"/>
      <c r="P138" s="1"/>
      <c r="Q138" s="1"/>
      <c r="R138" s="1"/>
      <c r="S138" s="1"/>
      <c r="T138" s="1"/>
    </row>
    <row r="139" ht="14.25" customHeight="1">
      <c r="A139" s="52"/>
      <c r="B139" s="53"/>
      <c r="C139" s="53"/>
      <c r="D139" s="53"/>
      <c r="E139" s="53"/>
      <c r="F139" s="53"/>
      <c r="G139" s="1"/>
      <c r="H139" s="1"/>
      <c r="I139" s="1"/>
      <c r="J139" s="1"/>
      <c r="K139" s="1"/>
      <c r="L139" s="1"/>
      <c r="M139" s="1"/>
      <c r="N139" s="1"/>
      <c r="O139" s="1"/>
      <c r="P139" s="1"/>
      <c r="Q139" s="1"/>
      <c r="R139" s="1"/>
      <c r="S139" s="1"/>
      <c r="T139" s="1"/>
    </row>
    <row r="140" ht="14.25" customHeight="1">
      <c r="A140" s="52"/>
      <c r="B140" s="53"/>
      <c r="C140" s="53"/>
      <c r="D140" s="53"/>
      <c r="E140" s="53"/>
      <c r="F140" s="53"/>
      <c r="G140" s="1"/>
      <c r="H140" s="1"/>
      <c r="I140" s="1"/>
      <c r="J140" s="1"/>
      <c r="K140" s="1"/>
      <c r="L140" s="1"/>
      <c r="M140" s="1"/>
      <c r="N140" s="1"/>
      <c r="O140" s="1"/>
      <c r="P140" s="1"/>
      <c r="Q140" s="1"/>
      <c r="R140" s="1"/>
      <c r="S140" s="1"/>
      <c r="T140" s="1"/>
    </row>
    <row r="141" ht="14.25" customHeight="1">
      <c r="A141" s="52"/>
      <c r="B141" s="53"/>
      <c r="C141" s="53"/>
      <c r="D141" s="53"/>
      <c r="E141" s="53"/>
      <c r="F141" s="53"/>
      <c r="G141" s="1"/>
      <c r="H141" s="1"/>
      <c r="I141" s="1"/>
      <c r="J141" s="1"/>
      <c r="K141" s="1"/>
      <c r="L141" s="1"/>
      <c r="M141" s="1"/>
      <c r="N141" s="1"/>
      <c r="O141" s="1"/>
      <c r="P141" s="1"/>
      <c r="Q141" s="1"/>
      <c r="R141" s="1"/>
      <c r="S141" s="1"/>
      <c r="T141" s="1"/>
    </row>
    <row r="142" ht="14.25" customHeight="1">
      <c r="A142" s="52"/>
      <c r="B142" s="53"/>
      <c r="C142" s="53"/>
      <c r="D142" s="53"/>
      <c r="E142" s="53"/>
      <c r="F142" s="53"/>
      <c r="G142" s="1"/>
      <c r="H142" s="1"/>
      <c r="I142" s="1"/>
      <c r="J142" s="1"/>
      <c r="K142" s="1"/>
      <c r="L142" s="1"/>
      <c r="M142" s="1"/>
      <c r="N142" s="1"/>
      <c r="O142" s="1"/>
      <c r="P142" s="1"/>
      <c r="Q142" s="1"/>
      <c r="R142" s="1"/>
      <c r="S142" s="1"/>
      <c r="T142" s="1"/>
    </row>
    <row r="143" ht="14.25" customHeight="1">
      <c r="A143" s="52"/>
      <c r="B143" s="53"/>
      <c r="C143" s="53"/>
      <c r="D143" s="53"/>
      <c r="E143" s="53"/>
      <c r="F143" s="53"/>
      <c r="G143" s="1"/>
      <c r="H143" s="1"/>
      <c r="I143" s="1"/>
      <c r="J143" s="1"/>
      <c r="K143" s="1"/>
      <c r="L143" s="1"/>
      <c r="M143" s="1"/>
      <c r="N143" s="1"/>
      <c r="O143" s="1"/>
      <c r="P143" s="1"/>
      <c r="Q143" s="1"/>
      <c r="R143" s="1"/>
      <c r="S143" s="1"/>
      <c r="T143" s="1"/>
    </row>
    <row r="144" ht="14.25" customHeight="1">
      <c r="A144" s="52"/>
      <c r="B144" s="53"/>
      <c r="C144" s="53"/>
      <c r="D144" s="53"/>
      <c r="E144" s="53"/>
      <c r="F144" s="53"/>
      <c r="G144" s="1"/>
      <c r="H144" s="1"/>
      <c r="I144" s="1"/>
      <c r="J144" s="1"/>
      <c r="K144" s="1"/>
      <c r="L144" s="1"/>
      <c r="M144" s="1"/>
      <c r="N144" s="1"/>
      <c r="O144" s="1"/>
      <c r="P144" s="1"/>
      <c r="Q144" s="1"/>
      <c r="R144" s="1"/>
      <c r="S144" s="1"/>
      <c r="T144" s="1"/>
    </row>
    <row r="145" ht="14.25" customHeight="1">
      <c r="A145" s="52"/>
      <c r="B145" s="53"/>
      <c r="C145" s="53"/>
      <c r="D145" s="53"/>
      <c r="E145" s="53"/>
      <c r="F145" s="53"/>
      <c r="G145" s="1"/>
      <c r="H145" s="1"/>
      <c r="I145" s="1"/>
      <c r="J145" s="1"/>
      <c r="K145" s="1"/>
      <c r="L145" s="1"/>
      <c r="M145" s="1"/>
      <c r="N145" s="1"/>
      <c r="O145" s="1"/>
      <c r="P145" s="1"/>
      <c r="Q145" s="1"/>
      <c r="R145" s="1"/>
      <c r="S145" s="1"/>
      <c r="T145" s="1"/>
    </row>
    <row r="146" ht="14.25" customHeight="1">
      <c r="A146" s="52"/>
      <c r="B146" s="53"/>
      <c r="C146" s="53"/>
      <c r="D146" s="53"/>
      <c r="E146" s="53"/>
      <c r="F146" s="53"/>
      <c r="G146" s="1"/>
      <c r="H146" s="1"/>
      <c r="I146" s="1"/>
      <c r="J146" s="1"/>
      <c r="K146" s="1"/>
      <c r="L146" s="1"/>
      <c r="M146" s="1"/>
      <c r="N146" s="1"/>
      <c r="O146" s="1"/>
      <c r="P146" s="1"/>
      <c r="Q146" s="1"/>
      <c r="R146" s="1"/>
      <c r="S146" s="1"/>
      <c r="T146" s="1"/>
    </row>
    <row r="147" ht="14.25" customHeight="1">
      <c r="A147" s="52"/>
      <c r="B147" s="53"/>
      <c r="C147" s="53"/>
      <c r="D147" s="53"/>
      <c r="E147" s="53"/>
      <c r="F147" s="53"/>
      <c r="G147" s="1"/>
      <c r="H147" s="1"/>
      <c r="I147" s="1"/>
      <c r="J147" s="1"/>
      <c r="K147" s="1"/>
      <c r="L147" s="1"/>
      <c r="M147" s="1"/>
      <c r="N147" s="1"/>
      <c r="O147" s="1"/>
      <c r="P147" s="1"/>
      <c r="Q147" s="1"/>
      <c r="R147" s="1"/>
      <c r="S147" s="1"/>
      <c r="T147" s="1"/>
    </row>
    <row r="148" ht="14.25" customHeight="1">
      <c r="A148" s="52"/>
      <c r="B148" s="53"/>
      <c r="C148" s="53"/>
      <c r="D148" s="53"/>
      <c r="E148" s="53"/>
      <c r="F148" s="53"/>
      <c r="G148" s="1"/>
      <c r="H148" s="1"/>
      <c r="I148" s="1"/>
      <c r="J148" s="1"/>
      <c r="K148" s="1"/>
      <c r="L148" s="1"/>
      <c r="M148" s="1"/>
      <c r="N148" s="1"/>
      <c r="O148" s="1"/>
      <c r="P148" s="1"/>
      <c r="Q148" s="1"/>
      <c r="R148" s="1"/>
      <c r="S148" s="1"/>
      <c r="T148" s="1"/>
    </row>
    <row r="149" ht="14.25" customHeight="1">
      <c r="A149" s="52"/>
      <c r="B149" s="53"/>
      <c r="C149" s="53"/>
      <c r="D149" s="53"/>
      <c r="E149" s="53"/>
      <c r="F149" s="53"/>
      <c r="G149" s="1"/>
      <c r="H149" s="1"/>
      <c r="I149" s="1"/>
      <c r="J149" s="1"/>
      <c r="K149" s="1"/>
      <c r="L149" s="1"/>
      <c r="M149" s="1"/>
      <c r="N149" s="1"/>
      <c r="O149" s="1"/>
      <c r="P149" s="1"/>
      <c r="Q149" s="1"/>
      <c r="R149" s="1"/>
      <c r="S149" s="1"/>
      <c r="T149" s="1"/>
    </row>
    <row r="150" ht="14.25" customHeight="1">
      <c r="A150" s="52"/>
      <c r="B150" s="53"/>
      <c r="C150" s="53"/>
      <c r="D150" s="53"/>
      <c r="E150" s="53"/>
      <c r="F150" s="53"/>
      <c r="G150" s="1"/>
      <c r="H150" s="1"/>
      <c r="I150" s="1"/>
      <c r="J150" s="1"/>
      <c r="K150" s="1"/>
      <c r="L150" s="1"/>
      <c r="M150" s="1"/>
      <c r="N150" s="1"/>
      <c r="O150" s="1"/>
      <c r="P150" s="1"/>
      <c r="Q150" s="1"/>
      <c r="R150" s="1"/>
      <c r="S150" s="1"/>
      <c r="T150" s="1"/>
    </row>
    <row r="151" ht="14.25" customHeight="1">
      <c r="A151" s="52"/>
      <c r="B151" s="53"/>
      <c r="C151" s="53"/>
      <c r="D151" s="53"/>
      <c r="E151" s="53"/>
      <c r="F151" s="53"/>
      <c r="G151" s="1"/>
      <c r="H151" s="1"/>
      <c r="I151" s="1"/>
      <c r="J151" s="1"/>
      <c r="K151" s="1"/>
      <c r="L151" s="1"/>
      <c r="M151" s="1"/>
      <c r="N151" s="1"/>
      <c r="O151" s="1"/>
      <c r="P151" s="1"/>
      <c r="Q151" s="1"/>
      <c r="R151" s="1"/>
      <c r="S151" s="1"/>
      <c r="T151" s="1"/>
    </row>
    <row r="152" ht="14.25" customHeight="1">
      <c r="A152" s="52"/>
      <c r="B152" s="53"/>
      <c r="C152" s="53"/>
      <c r="D152" s="53"/>
      <c r="E152" s="53"/>
      <c r="F152" s="53"/>
      <c r="G152" s="1"/>
      <c r="H152" s="1"/>
      <c r="I152" s="1"/>
      <c r="J152" s="1"/>
      <c r="K152" s="1"/>
      <c r="L152" s="1"/>
      <c r="M152" s="1"/>
      <c r="N152" s="1"/>
      <c r="O152" s="1"/>
      <c r="P152" s="1"/>
      <c r="Q152" s="1"/>
      <c r="R152" s="1"/>
      <c r="S152" s="1"/>
      <c r="T152" s="1"/>
    </row>
    <row r="153" ht="14.25" customHeight="1">
      <c r="A153" s="52"/>
      <c r="B153" s="53"/>
      <c r="C153" s="53"/>
      <c r="D153" s="53"/>
      <c r="E153" s="53"/>
      <c r="F153" s="53"/>
      <c r="G153" s="1"/>
      <c r="H153" s="1"/>
      <c r="I153" s="1"/>
      <c r="J153" s="1"/>
      <c r="K153" s="1"/>
      <c r="L153" s="1"/>
      <c r="M153" s="1"/>
      <c r="N153" s="1"/>
      <c r="O153" s="1"/>
      <c r="P153" s="1"/>
      <c r="Q153" s="1"/>
      <c r="R153" s="1"/>
      <c r="S153" s="1"/>
      <c r="T153" s="1"/>
    </row>
    <row r="154" ht="14.25" customHeight="1">
      <c r="A154" s="52"/>
      <c r="B154" s="53"/>
      <c r="C154" s="53"/>
      <c r="D154" s="53"/>
      <c r="E154" s="53"/>
      <c r="F154" s="53"/>
      <c r="G154" s="1"/>
      <c r="H154" s="1"/>
      <c r="I154" s="1"/>
      <c r="J154" s="1"/>
      <c r="K154" s="1"/>
      <c r="L154" s="1"/>
      <c r="M154" s="1"/>
      <c r="N154" s="1"/>
      <c r="O154" s="1"/>
      <c r="P154" s="1"/>
      <c r="Q154" s="1"/>
      <c r="R154" s="1"/>
      <c r="S154" s="1"/>
      <c r="T154" s="1"/>
    </row>
    <row r="155" ht="14.25" customHeight="1">
      <c r="A155" s="52"/>
      <c r="B155" s="53"/>
      <c r="C155" s="53"/>
      <c r="D155" s="53"/>
      <c r="E155" s="53"/>
      <c r="F155" s="53"/>
      <c r="G155" s="1"/>
      <c r="H155" s="1"/>
      <c r="I155" s="1"/>
      <c r="J155" s="1"/>
      <c r="K155" s="1"/>
      <c r="L155" s="1"/>
      <c r="M155" s="1"/>
      <c r="N155" s="1"/>
      <c r="O155" s="1"/>
      <c r="P155" s="1"/>
      <c r="Q155" s="1"/>
      <c r="R155" s="1"/>
      <c r="S155" s="1"/>
      <c r="T155" s="1"/>
    </row>
    <row r="156" ht="14.25" customHeight="1">
      <c r="A156" s="52"/>
      <c r="B156" s="53"/>
      <c r="C156" s="53"/>
      <c r="D156" s="53"/>
      <c r="E156" s="53"/>
      <c r="F156" s="53"/>
      <c r="G156" s="1"/>
      <c r="H156" s="1"/>
      <c r="I156" s="1"/>
      <c r="J156" s="1"/>
      <c r="K156" s="1"/>
      <c r="L156" s="1"/>
      <c r="M156" s="1"/>
      <c r="N156" s="1"/>
      <c r="O156" s="1"/>
      <c r="P156" s="1"/>
      <c r="Q156" s="1"/>
      <c r="R156" s="1"/>
      <c r="S156" s="1"/>
      <c r="T156" s="1"/>
    </row>
    <row r="157" ht="14.25" customHeight="1">
      <c r="A157" s="52"/>
      <c r="B157" s="53"/>
      <c r="C157" s="53"/>
      <c r="D157" s="53"/>
      <c r="E157" s="53"/>
      <c r="F157" s="53"/>
      <c r="G157" s="1"/>
      <c r="H157" s="1"/>
      <c r="I157" s="1"/>
      <c r="J157" s="1"/>
      <c r="K157" s="1"/>
      <c r="L157" s="1"/>
      <c r="M157" s="1"/>
      <c r="N157" s="1"/>
      <c r="O157" s="1"/>
      <c r="P157" s="1"/>
      <c r="Q157" s="1"/>
      <c r="R157" s="1"/>
      <c r="S157" s="1"/>
      <c r="T157" s="1"/>
    </row>
    <row r="158" ht="14.25" customHeight="1">
      <c r="A158" s="52"/>
      <c r="B158" s="53"/>
      <c r="C158" s="53"/>
      <c r="D158" s="53"/>
      <c r="E158" s="53"/>
      <c r="F158" s="53"/>
      <c r="G158" s="1"/>
      <c r="H158" s="1"/>
      <c r="I158" s="1"/>
      <c r="J158" s="1"/>
      <c r="K158" s="1"/>
      <c r="L158" s="1"/>
      <c r="M158" s="1"/>
      <c r="N158" s="1"/>
      <c r="O158" s="1"/>
      <c r="P158" s="1"/>
      <c r="Q158" s="1"/>
      <c r="R158" s="1"/>
      <c r="S158" s="1"/>
      <c r="T158" s="1"/>
    </row>
    <row r="159" ht="14.25" customHeight="1">
      <c r="A159" s="52"/>
      <c r="B159" s="53"/>
      <c r="C159" s="53"/>
      <c r="D159" s="53"/>
      <c r="E159" s="53"/>
      <c r="F159" s="53"/>
      <c r="G159" s="1"/>
      <c r="H159" s="1"/>
      <c r="I159" s="1"/>
      <c r="J159" s="1"/>
      <c r="K159" s="1"/>
      <c r="L159" s="1"/>
      <c r="M159" s="1"/>
      <c r="N159" s="1"/>
      <c r="O159" s="1"/>
      <c r="P159" s="1"/>
      <c r="Q159" s="1"/>
      <c r="R159" s="1"/>
      <c r="S159" s="1"/>
      <c r="T159" s="1"/>
    </row>
    <row r="160" ht="14.25" customHeight="1">
      <c r="A160" s="52"/>
      <c r="B160" s="53"/>
      <c r="C160" s="53"/>
      <c r="D160" s="53"/>
      <c r="E160" s="53"/>
      <c r="F160" s="53"/>
      <c r="G160" s="1"/>
      <c r="H160" s="1"/>
      <c r="I160" s="1"/>
      <c r="J160" s="1"/>
      <c r="K160" s="1"/>
      <c r="L160" s="1"/>
      <c r="M160" s="1"/>
      <c r="N160" s="1"/>
      <c r="O160" s="1"/>
      <c r="P160" s="1"/>
      <c r="Q160" s="1"/>
      <c r="R160" s="1"/>
      <c r="S160" s="1"/>
      <c r="T160" s="1"/>
    </row>
    <row r="161" ht="14.25" customHeight="1">
      <c r="A161" s="52"/>
      <c r="B161" s="53"/>
      <c r="C161" s="53"/>
      <c r="D161" s="53"/>
      <c r="E161" s="53"/>
      <c r="F161" s="53"/>
      <c r="G161" s="1"/>
      <c r="H161" s="1"/>
      <c r="I161" s="1"/>
      <c r="J161" s="1"/>
      <c r="K161" s="1"/>
      <c r="L161" s="1"/>
      <c r="M161" s="1"/>
      <c r="N161" s="1"/>
      <c r="O161" s="1"/>
      <c r="P161" s="1"/>
      <c r="Q161" s="1"/>
      <c r="R161" s="1"/>
      <c r="S161" s="1"/>
      <c r="T161" s="1"/>
    </row>
    <row r="162" ht="14.25" customHeight="1">
      <c r="A162" s="52"/>
      <c r="B162" s="53"/>
      <c r="C162" s="53"/>
      <c r="D162" s="53"/>
      <c r="E162" s="53"/>
      <c r="F162" s="53"/>
      <c r="G162" s="1"/>
      <c r="H162" s="1"/>
      <c r="I162" s="1"/>
      <c r="J162" s="1"/>
      <c r="K162" s="1"/>
      <c r="L162" s="1"/>
      <c r="M162" s="1"/>
      <c r="N162" s="1"/>
      <c r="O162" s="1"/>
      <c r="P162" s="1"/>
      <c r="Q162" s="1"/>
      <c r="R162" s="1"/>
      <c r="S162" s="1"/>
      <c r="T162" s="1"/>
    </row>
    <row r="163" ht="14.25" customHeight="1">
      <c r="A163" s="52"/>
      <c r="B163" s="53"/>
      <c r="C163" s="53"/>
      <c r="D163" s="53"/>
      <c r="E163" s="53"/>
      <c r="F163" s="53"/>
      <c r="G163" s="1"/>
      <c r="H163" s="1"/>
      <c r="I163" s="1"/>
      <c r="J163" s="1"/>
      <c r="K163" s="1"/>
      <c r="L163" s="1"/>
      <c r="M163" s="1"/>
      <c r="N163" s="1"/>
      <c r="O163" s="1"/>
      <c r="P163" s="1"/>
      <c r="Q163" s="1"/>
      <c r="R163" s="1"/>
      <c r="S163" s="1"/>
      <c r="T163" s="1"/>
    </row>
    <row r="164" ht="14.25" customHeight="1">
      <c r="A164" s="52"/>
      <c r="B164" s="53"/>
      <c r="C164" s="53"/>
      <c r="D164" s="53"/>
      <c r="E164" s="53"/>
      <c r="F164" s="53"/>
      <c r="G164" s="1"/>
      <c r="H164" s="1"/>
      <c r="I164" s="1"/>
      <c r="J164" s="1"/>
      <c r="K164" s="1"/>
      <c r="L164" s="1"/>
      <c r="M164" s="1"/>
      <c r="N164" s="1"/>
      <c r="O164" s="1"/>
      <c r="P164" s="1"/>
      <c r="Q164" s="1"/>
      <c r="R164" s="1"/>
      <c r="S164" s="1"/>
      <c r="T164" s="1"/>
    </row>
    <row r="165" ht="14.25" customHeight="1">
      <c r="A165" s="52"/>
      <c r="B165" s="53"/>
      <c r="C165" s="53"/>
      <c r="D165" s="53"/>
      <c r="E165" s="53"/>
      <c r="F165" s="53"/>
      <c r="G165" s="1"/>
      <c r="H165" s="1"/>
      <c r="I165" s="1"/>
      <c r="J165" s="1"/>
      <c r="K165" s="1"/>
      <c r="L165" s="1"/>
      <c r="M165" s="1"/>
      <c r="N165" s="1"/>
      <c r="O165" s="1"/>
      <c r="P165" s="1"/>
      <c r="Q165" s="1"/>
      <c r="R165" s="1"/>
      <c r="S165" s="1"/>
      <c r="T165" s="1"/>
    </row>
    <row r="166" ht="14.25" customHeight="1">
      <c r="A166" s="52"/>
      <c r="B166" s="53"/>
      <c r="C166" s="53"/>
      <c r="D166" s="53"/>
      <c r="E166" s="53"/>
      <c r="F166" s="53"/>
      <c r="G166" s="1"/>
      <c r="H166" s="1"/>
      <c r="I166" s="1"/>
      <c r="J166" s="1"/>
      <c r="K166" s="1"/>
      <c r="L166" s="1"/>
      <c r="M166" s="1"/>
      <c r="N166" s="1"/>
      <c r="O166" s="1"/>
      <c r="P166" s="1"/>
      <c r="Q166" s="1"/>
      <c r="R166" s="1"/>
      <c r="S166" s="1"/>
      <c r="T166" s="1"/>
    </row>
    <row r="167" ht="14.25" customHeight="1">
      <c r="A167" s="52"/>
      <c r="B167" s="53"/>
      <c r="C167" s="53"/>
      <c r="D167" s="53"/>
      <c r="E167" s="53"/>
      <c r="F167" s="53"/>
      <c r="G167" s="1"/>
      <c r="H167" s="1"/>
      <c r="I167" s="1"/>
      <c r="J167" s="1"/>
      <c r="K167" s="1"/>
      <c r="L167" s="1"/>
      <c r="M167" s="1"/>
      <c r="N167" s="1"/>
      <c r="O167" s="1"/>
      <c r="P167" s="1"/>
      <c r="Q167" s="1"/>
      <c r="R167" s="1"/>
      <c r="S167" s="1"/>
      <c r="T167" s="1"/>
    </row>
    <row r="168" ht="14.25" customHeight="1">
      <c r="A168" s="52"/>
      <c r="B168" s="53"/>
      <c r="C168" s="53"/>
      <c r="D168" s="53"/>
      <c r="E168" s="53"/>
      <c r="F168" s="53"/>
      <c r="G168" s="1"/>
      <c r="H168" s="1"/>
      <c r="I168" s="1"/>
      <c r="J168" s="1"/>
      <c r="K168" s="1"/>
      <c r="L168" s="1"/>
      <c r="M168" s="1"/>
      <c r="N168" s="1"/>
      <c r="O168" s="1"/>
      <c r="P168" s="1"/>
      <c r="Q168" s="1"/>
      <c r="R168" s="1"/>
      <c r="S168" s="1"/>
      <c r="T168" s="1"/>
    </row>
    <row r="169" ht="14.25" customHeight="1">
      <c r="A169" s="52"/>
      <c r="B169" s="53"/>
      <c r="C169" s="53"/>
      <c r="D169" s="53"/>
      <c r="E169" s="53"/>
      <c r="F169" s="53"/>
      <c r="G169" s="1"/>
      <c r="H169" s="1"/>
      <c r="I169" s="1"/>
      <c r="J169" s="1"/>
      <c r="K169" s="1"/>
      <c r="L169" s="1"/>
      <c r="M169" s="1"/>
      <c r="N169" s="1"/>
      <c r="O169" s="1"/>
      <c r="P169" s="1"/>
      <c r="Q169" s="1"/>
      <c r="R169" s="1"/>
      <c r="S169" s="1"/>
      <c r="T169" s="1"/>
    </row>
    <row r="170" ht="14.25" customHeight="1">
      <c r="A170" s="52"/>
      <c r="B170" s="53"/>
      <c r="C170" s="53"/>
      <c r="D170" s="53"/>
      <c r="E170" s="53"/>
      <c r="F170" s="53"/>
      <c r="G170" s="1"/>
      <c r="H170" s="1"/>
      <c r="I170" s="1"/>
      <c r="J170" s="1"/>
      <c r="K170" s="1"/>
      <c r="L170" s="1"/>
      <c r="M170" s="1"/>
      <c r="N170" s="1"/>
      <c r="O170" s="1"/>
      <c r="P170" s="1"/>
      <c r="Q170" s="1"/>
      <c r="R170" s="1"/>
      <c r="S170" s="1"/>
      <c r="T170" s="1"/>
    </row>
    <row r="171" ht="14.25" customHeight="1">
      <c r="A171" s="52"/>
      <c r="B171" s="53"/>
      <c r="C171" s="53"/>
      <c r="D171" s="53"/>
      <c r="E171" s="53"/>
      <c r="F171" s="53"/>
      <c r="G171" s="1"/>
      <c r="H171" s="1"/>
      <c r="I171" s="1"/>
      <c r="J171" s="1"/>
      <c r="K171" s="1"/>
      <c r="L171" s="1"/>
      <c r="M171" s="1"/>
      <c r="N171" s="1"/>
      <c r="O171" s="1"/>
      <c r="P171" s="1"/>
      <c r="Q171" s="1"/>
      <c r="R171" s="1"/>
      <c r="S171" s="1"/>
      <c r="T171" s="1"/>
    </row>
    <row r="172" ht="14.25" customHeight="1">
      <c r="A172" s="52"/>
      <c r="B172" s="53"/>
      <c r="C172" s="53"/>
      <c r="D172" s="53"/>
      <c r="E172" s="53"/>
      <c r="F172" s="53"/>
      <c r="G172" s="1"/>
      <c r="H172" s="1"/>
      <c r="I172" s="1"/>
      <c r="J172" s="1"/>
      <c r="K172" s="1"/>
      <c r="L172" s="1"/>
      <c r="M172" s="1"/>
      <c r="N172" s="1"/>
      <c r="O172" s="1"/>
      <c r="P172" s="1"/>
      <c r="Q172" s="1"/>
      <c r="R172" s="1"/>
      <c r="S172" s="1"/>
      <c r="T172" s="1"/>
    </row>
    <row r="173" ht="14.25" customHeight="1">
      <c r="A173" s="52"/>
      <c r="B173" s="53"/>
      <c r="C173" s="53"/>
      <c r="D173" s="53"/>
      <c r="E173" s="53"/>
      <c r="F173" s="53"/>
      <c r="G173" s="1"/>
      <c r="H173" s="1"/>
      <c r="I173" s="1"/>
      <c r="J173" s="1"/>
      <c r="K173" s="1"/>
      <c r="L173" s="1"/>
      <c r="M173" s="1"/>
      <c r="N173" s="1"/>
      <c r="O173" s="1"/>
      <c r="P173" s="1"/>
      <c r="Q173" s="1"/>
      <c r="R173" s="1"/>
      <c r="S173" s="1"/>
      <c r="T173" s="1"/>
    </row>
    <row r="174" ht="14.25" customHeight="1">
      <c r="A174" s="52"/>
      <c r="B174" s="53"/>
      <c r="C174" s="53"/>
      <c r="D174" s="53"/>
      <c r="E174" s="53"/>
      <c r="F174" s="53"/>
      <c r="G174" s="1"/>
      <c r="H174" s="1"/>
      <c r="I174" s="1"/>
      <c r="J174" s="1"/>
      <c r="K174" s="1"/>
      <c r="L174" s="1"/>
      <c r="M174" s="1"/>
      <c r="N174" s="1"/>
      <c r="O174" s="1"/>
      <c r="P174" s="1"/>
      <c r="Q174" s="1"/>
      <c r="R174" s="1"/>
      <c r="S174" s="1"/>
      <c r="T174" s="1"/>
    </row>
    <row r="175" ht="14.25" customHeight="1">
      <c r="A175" s="52"/>
      <c r="B175" s="53"/>
      <c r="C175" s="53"/>
      <c r="D175" s="53"/>
      <c r="E175" s="53"/>
      <c r="F175" s="53"/>
      <c r="G175" s="1"/>
      <c r="H175" s="1"/>
      <c r="I175" s="1"/>
      <c r="J175" s="1"/>
      <c r="K175" s="1"/>
      <c r="L175" s="1"/>
      <c r="M175" s="1"/>
      <c r="N175" s="1"/>
      <c r="O175" s="1"/>
      <c r="P175" s="1"/>
      <c r="Q175" s="1"/>
      <c r="R175" s="1"/>
      <c r="S175" s="1"/>
      <c r="T175" s="1"/>
    </row>
    <row r="176" ht="14.25" customHeight="1">
      <c r="A176" s="52"/>
      <c r="B176" s="53"/>
      <c r="C176" s="53"/>
      <c r="D176" s="53"/>
      <c r="E176" s="53"/>
      <c r="F176" s="53"/>
      <c r="G176" s="1"/>
      <c r="H176" s="1"/>
      <c r="I176" s="1"/>
      <c r="J176" s="1"/>
      <c r="K176" s="1"/>
      <c r="L176" s="1"/>
      <c r="M176" s="1"/>
      <c r="N176" s="1"/>
      <c r="O176" s="1"/>
      <c r="P176" s="1"/>
      <c r="Q176" s="1"/>
      <c r="R176" s="1"/>
      <c r="S176" s="1"/>
      <c r="T176" s="1"/>
    </row>
    <row r="177" ht="14.25" customHeight="1">
      <c r="A177" s="52"/>
      <c r="B177" s="53"/>
      <c r="C177" s="53"/>
      <c r="D177" s="53"/>
      <c r="E177" s="53"/>
      <c r="F177" s="53"/>
      <c r="G177" s="1"/>
      <c r="H177" s="1"/>
      <c r="I177" s="1"/>
      <c r="J177" s="1"/>
      <c r="K177" s="1"/>
      <c r="L177" s="1"/>
      <c r="M177" s="1"/>
      <c r="N177" s="1"/>
      <c r="O177" s="1"/>
      <c r="P177" s="1"/>
      <c r="Q177" s="1"/>
      <c r="R177" s="1"/>
      <c r="S177" s="1"/>
      <c r="T177" s="1"/>
    </row>
    <row r="178" ht="14.25" customHeight="1">
      <c r="A178" s="52"/>
      <c r="B178" s="53"/>
      <c r="C178" s="53"/>
      <c r="D178" s="53"/>
      <c r="E178" s="53"/>
      <c r="F178" s="53"/>
      <c r="G178" s="1"/>
      <c r="H178" s="1"/>
      <c r="I178" s="1"/>
      <c r="J178" s="1"/>
      <c r="K178" s="1"/>
      <c r="L178" s="1"/>
      <c r="M178" s="1"/>
      <c r="N178" s="1"/>
      <c r="O178" s="1"/>
      <c r="P178" s="1"/>
      <c r="Q178" s="1"/>
      <c r="R178" s="1"/>
      <c r="S178" s="1"/>
      <c r="T178" s="1"/>
    </row>
    <row r="179" ht="14.25" customHeight="1">
      <c r="A179" s="52"/>
      <c r="B179" s="53"/>
      <c r="C179" s="53"/>
      <c r="D179" s="53"/>
      <c r="E179" s="53"/>
      <c r="F179" s="53"/>
      <c r="G179" s="1"/>
      <c r="H179" s="1"/>
      <c r="I179" s="1"/>
      <c r="J179" s="1"/>
      <c r="K179" s="1"/>
      <c r="L179" s="1"/>
      <c r="M179" s="1"/>
      <c r="N179" s="1"/>
      <c r="O179" s="1"/>
      <c r="P179" s="1"/>
      <c r="Q179" s="1"/>
      <c r="R179" s="1"/>
      <c r="S179" s="1"/>
      <c r="T179" s="1"/>
    </row>
    <row r="180" ht="14.25" customHeight="1">
      <c r="A180" s="52"/>
      <c r="B180" s="53"/>
      <c r="C180" s="53"/>
      <c r="D180" s="53"/>
      <c r="E180" s="53"/>
      <c r="F180" s="53"/>
      <c r="G180" s="1"/>
      <c r="H180" s="1"/>
      <c r="I180" s="1"/>
      <c r="J180" s="1"/>
      <c r="K180" s="1"/>
      <c r="L180" s="1"/>
      <c r="M180" s="1"/>
      <c r="N180" s="1"/>
      <c r="O180" s="1"/>
      <c r="P180" s="1"/>
      <c r="Q180" s="1"/>
      <c r="R180" s="1"/>
      <c r="S180" s="1"/>
      <c r="T180" s="1"/>
    </row>
    <row r="181" ht="14.25" customHeight="1">
      <c r="A181" s="52"/>
      <c r="B181" s="53"/>
      <c r="C181" s="53"/>
      <c r="D181" s="53"/>
      <c r="E181" s="53"/>
      <c r="F181" s="53"/>
      <c r="G181" s="1"/>
      <c r="H181" s="1"/>
      <c r="I181" s="1"/>
      <c r="J181" s="1"/>
      <c r="K181" s="1"/>
      <c r="L181" s="1"/>
      <c r="M181" s="1"/>
      <c r="N181" s="1"/>
      <c r="O181" s="1"/>
      <c r="P181" s="1"/>
      <c r="Q181" s="1"/>
      <c r="R181" s="1"/>
      <c r="S181" s="1"/>
      <c r="T181" s="1"/>
    </row>
    <row r="182" ht="14.25" customHeight="1">
      <c r="A182" s="52"/>
      <c r="B182" s="53"/>
      <c r="C182" s="53"/>
      <c r="D182" s="53"/>
      <c r="E182" s="53"/>
      <c r="F182" s="53"/>
      <c r="G182" s="1"/>
      <c r="H182" s="1"/>
      <c r="I182" s="1"/>
      <c r="J182" s="1"/>
      <c r="K182" s="1"/>
      <c r="L182" s="1"/>
      <c r="M182" s="1"/>
      <c r="N182" s="1"/>
      <c r="O182" s="1"/>
      <c r="P182" s="1"/>
      <c r="Q182" s="1"/>
      <c r="R182" s="1"/>
      <c r="S182" s="1"/>
      <c r="T182" s="1"/>
    </row>
    <row r="183" ht="14.25" customHeight="1">
      <c r="A183" s="52"/>
      <c r="B183" s="53"/>
      <c r="C183" s="53"/>
      <c r="D183" s="53"/>
      <c r="E183" s="53"/>
      <c r="F183" s="53"/>
      <c r="G183" s="1"/>
      <c r="H183" s="1"/>
      <c r="I183" s="1"/>
      <c r="J183" s="1"/>
      <c r="K183" s="1"/>
      <c r="L183" s="1"/>
      <c r="M183" s="1"/>
      <c r="N183" s="1"/>
      <c r="O183" s="1"/>
      <c r="P183" s="1"/>
      <c r="Q183" s="1"/>
      <c r="R183" s="1"/>
      <c r="S183" s="1"/>
      <c r="T183" s="1"/>
    </row>
    <row r="184" ht="14.25" customHeight="1">
      <c r="A184" s="52"/>
      <c r="B184" s="53"/>
      <c r="C184" s="53"/>
      <c r="D184" s="53"/>
      <c r="E184" s="53"/>
      <c r="F184" s="53"/>
      <c r="G184" s="1"/>
      <c r="H184" s="1"/>
      <c r="I184" s="1"/>
      <c r="J184" s="1"/>
      <c r="K184" s="1"/>
      <c r="L184" s="1"/>
      <c r="M184" s="1"/>
      <c r="N184" s="1"/>
      <c r="O184" s="1"/>
      <c r="P184" s="1"/>
      <c r="Q184" s="1"/>
      <c r="R184" s="1"/>
      <c r="S184" s="1"/>
      <c r="T184" s="1"/>
    </row>
    <row r="185" ht="14.25" customHeight="1">
      <c r="A185" s="52"/>
      <c r="B185" s="53"/>
      <c r="C185" s="53"/>
      <c r="D185" s="53"/>
      <c r="E185" s="53"/>
      <c r="F185" s="53"/>
      <c r="G185" s="1"/>
      <c r="H185" s="1"/>
      <c r="I185" s="1"/>
      <c r="J185" s="1"/>
      <c r="K185" s="1"/>
      <c r="L185" s="1"/>
      <c r="M185" s="1"/>
      <c r="N185" s="1"/>
      <c r="O185" s="1"/>
      <c r="P185" s="1"/>
      <c r="Q185" s="1"/>
      <c r="R185" s="1"/>
      <c r="S185" s="1"/>
      <c r="T185" s="1"/>
    </row>
    <row r="186" ht="14.25" customHeight="1">
      <c r="A186" s="52"/>
      <c r="B186" s="53"/>
      <c r="C186" s="53"/>
      <c r="D186" s="53"/>
      <c r="E186" s="53"/>
      <c r="F186" s="53"/>
      <c r="G186" s="1"/>
      <c r="H186" s="1"/>
      <c r="I186" s="1"/>
      <c r="J186" s="1"/>
      <c r="K186" s="1"/>
      <c r="L186" s="1"/>
      <c r="M186" s="1"/>
      <c r="N186" s="1"/>
      <c r="O186" s="1"/>
      <c r="P186" s="1"/>
      <c r="Q186" s="1"/>
      <c r="R186" s="1"/>
      <c r="S186" s="1"/>
      <c r="T186" s="1"/>
    </row>
    <row r="187" ht="14.25" customHeight="1">
      <c r="A187" s="52"/>
      <c r="B187" s="53"/>
      <c r="C187" s="53"/>
      <c r="D187" s="53"/>
      <c r="E187" s="53"/>
      <c r="F187" s="53"/>
      <c r="G187" s="1"/>
      <c r="H187" s="1"/>
      <c r="I187" s="1"/>
      <c r="J187" s="1"/>
      <c r="K187" s="1"/>
      <c r="L187" s="1"/>
      <c r="M187" s="1"/>
      <c r="N187" s="1"/>
      <c r="O187" s="1"/>
      <c r="P187" s="1"/>
      <c r="Q187" s="1"/>
      <c r="R187" s="1"/>
      <c r="S187" s="1"/>
      <c r="T187" s="1"/>
    </row>
    <row r="188" ht="14.25" customHeight="1">
      <c r="A188" s="52"/>
      <c r="B188" s="53"/>
      <c r="C188" s="53"/>
      <c r="D188" s="53"/>
      <c r="E188" s="53"/>
      <c r="F188" s="53"/>
      <c r="G188" s="1"/>
      <c r="H188" s="1"/>
      <c r="I188" s="1"/>
      <c r="J188" s="1"/>
      <c r="K188" s="1"/>
      <c r="L188" s="1"/>
      <c r="M188" s="1"/>
      <c r="N188" s="1"/>
      <c r="O188" s="1"/>
      <c r="P188" s="1"/>
      <c r="Q188" s="1"/>
      <c r="R188" s="1"/>
      <c r="S188" s="1"/>
      <c r="T188" s="1"/>
    </row>
    <row r="189" ht="14.25" customHeight="1">
      <c r="A189" s="52"/>
      <c r="B189" s="53"/>
      <c r="C189" s="53"/>
      <c r="D189" s="53"/>
      <c r="E189" s="53"/>
      <c r="F189" s="53"/>
      <c r="G189" s="1"/>
      <c r="H189" s="1"/>
      <c r="I189" s="1"/>
      <c r="J189" s="1"/>
      <c r="K189" s="1"/>
      <c r="L189" s="1"/>
      <c r="M189" s="1"/>
      <c r="N189" s="1"/>
      <c r="O189" s="1"/>
      <c r="P189" s="1"/>
      <c r="Q189" s="1"/>
      <c r="R189" s="1"/>
      <c r="S189" s="1"/>
      <c r="T189" s="1"/>
    </row>
    <row r="190" ht="14.25" customHeight="1">
      <c r="A190" s="52"/>
      <c r="B190" s="53"/>
      <c r="C190" s="53"/>
      <c r="D190" s="53"/>
      <c r="E190" s="53"/>
      <c r="F190" s="53"/>
      <c r="G190" s="1"/>
      <c r="H190" s="1"/>
      <c r="I190" s="1"/>
      <c r="J190" s="1"/>
      <c r="K190" s="1"/>
      <c r="L190" s="1"/>
      <c r="M190" s="1"/>
      <c r="N190" s="1"/>
      <c r="O190" s="1"/>
      <c r="P190" s="1"/>
      <c r="Q190" s="1"/>
      <c r="R190" s="1"/>
      <c r="S190" s="1"/>
      <c r="T190" s="1"/>
    </row>
    <row r="191" ht="14.25" customHeight="1">
      <c r="A191" s="52"/>
      <c r="B191" s="53"/>
      <c r="C191" s="53"/>
      <c r="D191" s="53"/>
      <c r="E191" s="53"/>
      <c r="F191" s="53"/>
      <c r="G191" s="1"/>
      <c r="H191" s="1"/>
      <c r="I191" s="1"/>
      <c r="J191" s="1"/>
      <c r="K191" s="1"/>
      <c r="L191" s="1"/>
      <c r="M191" s="1"/>
      <c r="N191" s="1"/>
      <c r="O191" s="1"/>
      <c r="P191" s="1"/>
      <c r="Q191" s="1"/>
      <c r="R191" s="1"/>
      <c r="S191" s="1"/>
      <c r="T191" s="1"/>
    </row>
    <row r="192" ht="14.25" customHeight="1">
      <c r="A192" s="52"/>
      <c r="B192" s="53"/>
      <c r="C192" s="53"/>
      <c r="D192" s="53"/>
      <c r="E192" s="53"/>
      <c r="F192" s="53"/>
      <c r="G192" s="1"/>
      <c r="H192" s="1"/>
      <c r="I192" s="1"/>
      <c r="J192" s="1"/>
      <c r="K192" s="1"/>
      <c r="L192" s="1"/>
      <c r="M192" s="1"/>
      <c r="N192" s="1"/>
      <c r="O192" s="1"/>
      <c r="P192" s="1"/>
      <c r="Q192" s="1"/>
      <c r="R192" s="1"/>
      <c r="S192" s="1"/>
      <c r="T192" s="1"/>
    </row>
    <row r="193" ht="14.25" customHeight="1">
      <c r="A193" s="52"/>
      <c r="B193" s="53"/>
      <c r="C193" s="53"/>
      <c r="D193" s="53"/>
      <c r="E193" s="53"/>
      <c r="F193" s="53"/>
      <c r="G193" s="1"/>
      <c r="H193" s="1"/>
      <c r="I193" s="1"/>
      <c r="J193" s="1"/>
      <c r="K193" s="1"/>
      <c r="L193" s="1"/>
      <c r="M193" s="1"/>
      <c r="N193" s="1"/>
      <c r="O193" s="1"/>
      <c r="P193" s="1"/>
      <c r="Q193" s="1"/>
      <c r="R193" s="1"/>
      <c r="S193" s="1"/>
      <c r="T193" s="1"/>
    </row>
    <row r="194" ht="14.25" customHeight="1">
      <c r="A194" s="52"/>
      <c r="B194" s="53"/>
      <c r="C194" s="53"/>
      <c r="D194" s="53"/>
      <c r="E194" s="53"/>
      <c r="F194" s="53"/>
      <c r="G194" s="1"/>
      <c r="H194" s="1"/>
      <c r="I194" s="1"/>
      <c r="J194" s="1"/>
      <c r="K194" s="1"/>
      <c r="L194" s="1"/>
      <c r="M194" s="1"/>
      <c r="N194" s="1"/>
      <c r="O194" s="1"/>
      <c r="P194" s="1"/>
      <c r="Q194" s="1"/>
      <c r="R194" s="1"/>
      <c r="S194" s="1"/>
      <c r="T194" s="1"/>
    </row>
    <row r="195" ht="14.25" customHeight="1">
      <c r="A195" s="52"/>
      <c r="B195" s="53"/>
      <c r="C195" s="53"/>
      <c r="D195" s="53"/>
      <c r="E195" s="53"/>
      <c r="F195" s="53"/>
      <c r="G195" s="1"/>
      <c r="H195" s="1"/>
      <c r="I195" s="1"/>
      <c r="J195" s="1"/>
      <c r="K195" s="1"/>
      <c r="L195" s="1"/>
      <c r="M195" s="1"/>
      <c r="N195" s="1"/>
      <c r="O195" s="1"/>
      <c r="P195" s="1"/>
      <c r="Q195" s="1"/>
      <c r="R195" s="1"/>
      <c r="S195" s="1"/>
      <c r="T195" s="1"/>
    </row>
    <row r="196" ht="14.25" customHeight="1">
      <c r="A196" s="52"/>
      <c r="B196" s="53"/>
      <c r="C196" s="53"/>
      <c r="D196" s="53"/>
      <c r="E196" s="53"/>
      <c r="F196" s="53"/>
      <c r="G196" s="1"/>
      <c r="H196" s="1"/>
      <c r="I196" s="1"/>
      <c r="J196" s="1"/>
      <c r="K196" s="1"/>
      <c r="L196" s="1"/>
      <c r="M196" s="1"/>
      <c r="N196" s="1"/>
      <c r="O196" s="1"/>
      <c r="P196" s="1"/>
      <c r="Q196" s="1"/>
      <c r="R196" s="1"/>
      <c r="S196" s="1"/>
      <c r="T196" s="1"/>
    </row>
    <row r="197" ht="14.25" customHeight="1">
      <c r="A197" s="52"/>
      <c r="B197" s="53"/>
      <c r="C197" s="53"/>
      <c r="D197" s="53"/>
      <c r="E197" s="53"/>
      <c r="F197" s="53"/>
      <c r="G197" s="1"/>
      <c r="H197" s="1"/>
      <c r="I197" s="1"/>
      <c r="J197" s="1"/>
      <c r="K197" s="1"/>
      <c r="L197" s="1"/>
      <c r="M197" s="1"/>
      <c r="N197" s="1"/>
      <c r="O197" s="1"/>
      <c r="P197" s="1"/>
      <c r="Q197" s="1"/>
      <c r="R197" s="1"/>
      <c r="S197" s="1"/>
      <c r="T197" s="1"/>
    </row>
    <row r="198" ht="14.25" customHeight="1">
      <c r="A198" s="52"/>
      <c r="B198" s="53"/>
      <c r="C198" s="53"/>
      <c r="D198" s="53"/>
      <c r="E198" s="53"/>
      <c r="F198" s="53"/>
      <c r="G198" s="1"/>
      <c r="H198" s="1"/>
      <c r="I198" s="1"/>
      <c r="J198" s="1"/>
      <c r="K198" s="1"/>
      <c r="L198" s="1"/>
      <c r="M198" s="1"/>
      <c r="N198" s="1"/>
      <c r="O198" s="1"/>
      <c r="P198" s="1"/>
      <c r="Q198" s="1"/>
      <c r="R198" s="1"/>
      <c r="S198" s="1"/>
      <c r="T198" s="1"/>
    </row>
    <row r="199" ht="14.25" customHeight="1">
      <c r="A199" s="52"/>
      <c r="B199" s="53"/>
      <c r="C199" s="53"/>
      <c r="D199" s="53"/>
      <c r="E199" s="53"/>
      <c r="F199" s="53"/>
      <c r="G199" s="1"/>
      <c r="H199" s="1"/>
      <c r="I199" s="1"/>
      <c r="J199" s="1"/>
      <c r="K199" s="1"/>
      <c r="L199" s="1"/>
      <c r="M199" s="1"/>
      <c r="N199" s="1"/>
      <c r="O199" s="1"/>
      <c r="P199" s="1"/>
      <c r="Q199" s="1"/>
      <c r="R199" s="1"/>
      <c r="S199" s="1"/>
      <c r="T199" s="1"/>
    </row>
    <row r="200" ht="14.25" customHeight="1">
      <c r="A200" s="52"/>
      <c r="B200" s="53"/>
      <c r="C200" s="53"/>
      <c r="D200" s="53"/>
      <c r="E200" s="53"/>
      <c r="F200" s="53"/>
      <c r="G200" s="1"/>
      <c r="H200" s="1"/>
      <c r="I200" s="1"/>
      <c r="J200" s="1"/>
      <c r="K200" s="1"/>
      <c r="L200" s="1"/>
      <c r="M200" s="1"/>
      <c r="N200" s="1"/>
      <c r="O200" s="1"/>
      <c r="P200" s="1"/>
      <c r="Q200" s="1"/>
      <c r="R200" s="1"/>
      <c r="S200" s="1"/>
      <c r="T200" s="1"/>
    </row>
    <row r="201" ht="14.25" customHeight="1">
      <c r="A201" s="52"/>
      <c r="B201" s="53"/>
      <c r="C201" s="53"/>
      <c r="D201" s="53"/>
      <c r="E201" s="53"/>
      <c r="F201" s="53"/>
      <c r="G201" s="1"/>
      <c r="H201" s="1"/>
      <c r="I201" s="1"/>
      <c r="J201" s="1"/>
      <c r="K201" s="1"/>
      <c r="L201" s="1"/>
      <c r="M201" s="1"/>
      <c r="N201" s="1"/>
      <c r="O201" s="1"/>
      <c r="P201" s="1"/>
      <c r="Q201" s="1"/>
      <c r="R201" s="1"/>
      <c r="S201" s="1"/>
      <c r="T201" s="1"/>
    </row>
    <row r="202" ht="14.25" customHeight="1">
      <c r="A202" s="52"/>
      <c r="B202" s="53"/>
      <c r="C202" s="53"/>
      <c r="D202" s="53"/>
      <c r="E202" s="53"/>
      <c r="F202" s="53"/>
      <c r="G202" s="1"/>
      <c r="H202" s="1"/>
      <c r="I202" s="1"/>
      <c r="J202" s="1"/>
      <c r="K202" s="1"/>
      <c r="L202" s="1"/>
      <c r="M202" s="1"/>
      <c r="N202" s="1"/>
      <c r="O202" s="1"/>
      <c r="P202" s="1"/>
      <c r="Q202" s="1"/>
      <c r="R202" s="1"/>
      <c r="S202" s="1"/>
      <c r="T202" s="1"/>
    </row>
    <row r="203" ht="14.25" customHeight="1">
      <c r="A203" s="52"/>
      <c r="B203" s="53"/>
      <c r="C203" s="53"/>
      <c r="D203" s="53"/>
      <c r="E203" s="53"/>
      <c r="F203" s="53"/>
      <c r="G203" s="1"/>
      <c r="H203" s="1"/>
      <c r="I203" s="1"/>
      <c r="J203" s="1"/>
      <c r="K203" s="1"/>
      <c r="L203" s="1"/>
      <c r="M203" s="1"/>
      <c r="N203" s="1"/>
      <c r="O203" s="1"/>
      <c r="P203" s="1"/>
      <c r="Q203" s="1"/>
      <c r="R203" s="1"/>
      <c r="S203" s="1"/>
      <c r="T203" s="1"/>
    </row>
    <row r="204" ht="14.25" customHeight="1">
      <c r="A204" s="52"/>
      <c r="B204" s="53"/>
      <c r="C204" s="53"/>
      <c r="D204" s="53"/>
      <c r="E204" s="53"/>
      <c r="F204" s="53"/>
      <c r="G204" s="1"/>
      <c r="H204" s="1"/>
      <c r="I204" s="1"/>
      <c r="J204" s="1"/>
      <c r="K204" s="1"/>
      <c r="L204" s="1"/>
      <c r="M204" s="1"/>
      <c r="N204" s="1"/>
      <c r="O204" s="1"/>
      <c r="P204" s="1"/>
      <c r="Q204" s="1"/>
      <c r="R204" s="1"/>
      <c r="S204" s="1"/>
      <c r="T204" s="1"/>
    </row>
    <row r="205" ht="14.25" customHeight="1">
      <c r="A205" s="52"/>
      <c r="B205" s="53"/>
      <c r="C205" s="53"/>
      <c r="D205" s="53"/>
      <c r="E205" s="53"/>
      <c r="F205" s="53"/>
      <c r="G205" s="1"/>
      <c r="H205" s="1"/>
      <c r="I205" s="1"/>
      <c r="J205" s="1"/>
      <c r="K205" s="1"/>
      <c r="L205" s="1"/>
      <c r="M205" s="1"/>
      <c r="N205" s="1"/>
      <c r="O205" s="1"/>
      <c r="P205" s="1"/>
      <c r="Q205" s="1"/>
      <c r="R205" s="1"/>
      <c r="S205" s="1"/>
      <c r="T205" s="1"/>
    </row>
    <row r="206" ht="14.25" customHeight="1">
      <c r="A206" s="52"/>
      <c r="B206" s="53"/>
      <c r="C206" s="53"/>
      <c r="D206" s="53"/>
      <c r="E206" s="53"/>
      <c r="F206" s="53"/>
      <c r="G206" s="1"/>
      <c r="H206" s="1"/>
      <c r="I206" s="1"/>
      <c r="J206" s="1"/>
      <c r="K206" s="1"/>
      <c r="L206" s="1"/>
      <c r="M206" s="1"/>
      <c r="N206" s="1"/>
      <c r="O206" s="1"/>
      <c r="P206" s="1"/>
      <c r="Q206" s="1"/>
      <c r="R206" s="1"/>
      <c r="S206" s="1"/>
      <c r="T206" s="1"/>
    </row>
    <row r="207" ht="14.25" customHeight="1">
      <c r="A207" s="52"/>
      <c r="B207" s="53"/>
      <c r="C207" s="53"/>
      <c r="D207" s="53"/>
      <c r="E207" s="53"/>
      <c r="F207" s="53"/>
      <c r="G207" s="1"/>
      <c r="H207" s="1"/>
      <c r="I207" s="1"/>
      <c r="J207" s="1"/>
      <c r="K207" s="1"/>
      <c r="L207" s="1"/>
      <c r="M207" s="1"/>
      <c r="N207" s="1"/>
      <c r="O207" s="1"/>
      <c r="P207" s="1"/>
      <c r="Q207" s="1"/>
      <c r="R207" s="1"/>
      <c r="S207" s="1"/>
      <c r="T207" s="1"/>
    </row>
    <row r="208" ht="14.25" customHeight="1">
      <c r="A208" s="52"/>
      <c r="B208" s="53"/>
      <c r="C208" s="53"/>
      <c r="D208" s="53"/>
      <c r="E208" s="53"/>
      <c r="F208" s="53"/>
      <c r="G208" s="1"/>
      <c r="H208" s="1"/>
      <c r="I208" s="1"/>
      <c r="J208" s="1"/>
      <c r="K208" s="1"/>
      <c r="L208" s="1"/>
      <c r="M208" s="1"/>
      <c r="N208" s="1"/>
      <c r="O208" s="1"/>
      <c r="P208" s="1"/>
      <c r="Q208" s="1"/>
      <c r="R208" s="1"/>
      <c r="S208" s="1"/>
      <c r="T208" s="1"/>
    </row>
    <row r="209" ht="14.25" customHeight="1">
      <c r="A209" s="52"/>
      <c r="B209" s="53"/>
      <c r="C209" s="53"/>
      <c r="D209" s="53"/>
      <c r="E209" s="53"/>
      <c r="F209" s="53"/>
      <c r="G209" s="1"/>
      <c r="H209" s="1"/>
      <c r="I209" s="1"/>
      <c r="J209" s="1"/>
      <c r="K209" s="1"/>
      <c r="L209" s="1"/>
      <c r="M209" s="1"/>
      <c r="N209" s="1"/>
      <c r="O209" s="1"/>
      <c r="P209" s="1"/>
      <c r="Q209" s="1"/>
      <c r="R209" s="1"/>
      <c r="S209" s="1"/>
      <c r="T209" s="1"/>
    </row>
    <row r="210" ht="14.25" customHeight="1">
      <c r="A210" s="52"/>
      <c r="B210" s="53"/>
      <c r="C210" s="53"/>
      <c r="D210" s="53"/>
      <c r="E210" s="53"/>
      <c r="F210" s="53"/>
      <c r="G210" s="1"/>
      <c r="H210" s="1"/>
      <c r="I210" s="1"/>
      <c r="J210" s="1"/>
      <c r="K210" s="1"/>
      <c r="L210" s="1"/>
      <c r="M210" s="1"/>
      <c r="N210" s="1"/>
      <c r="O210" s="1"/>
      <c r="P210" s="1"/>
      <c r="Q210" s="1"/>
      <c r="R210" s="1"/>
      <c r="S210" s="1"/>
      <c r="T210" s="1"/>
    </row>
    <row r="211" ht="14.25" customHeight="1">
      <c r="A211" s="52"/>
      <c r="B211" s="53"/>
      <c r="C211" s="53"/>
      <c r="D211" s="53"/>
      <c r="E211" s="53"/>
      <c r="F211" s="53"/>
      <c r="G211" s="1"/>
      <c r="H211" s="1"/>
      <c r="I211" s="1"/>
      <c r="J211" s="1"/>
      <c r="K211" s="1"/>
      <c r="L211" s="1"/>
      <c r="M211" s="1"/>
      <c r="N211" s="1"/>
      <c r="O211" s="1"/>
      <c r="P211" s="1"/>
      <c r="Q211" s="1"/>
      <c r="R211" s="1"/>
      <c r="S211" s="1"/>
      <c r="T211" s="1"/>
    </row>
    <row r="212" ht="14.25" customHeight="1">
      <c r="A212" s="52"/>
      <c r="B212" s="53"/>
      <c r="C212" s="53"/>
      <c r="D212" s="53"/>
      <c r="E212" s="53"/>
      <c r="F212" s="53"/>
      <c r="G212" s="1"/>
      <c r="H212" s="1"/>
      <c r="I212" s="1"/>
      <c r="J212" s="1"/>
      <c r="K212" s="1"/>
      <c r="L212" s="1"/>
      <c r="M212" s="1"/>
      <c r="N212" s="1"/>
      <c r="O212" s="1"/>
      <c r="P212" s="1"/>
      <c r="Q212" s="1"/>
      <c r="R212" s="1"/>
      <c r="S212" s="1"/>
      <c r="T212" s="1"/>
    </row>
    <row r="213" ht="14.25" customHeight="1">
      <c r="A213" s="52"/>
      <c r="B213" s="53"/>
      <c r="C213" s="53"/>
      <c r="D213" s="53"/>
      <c r="E213" s="53"/>
      <c r="F213" s="53"/>
      <c r="G213" s="1"/>
      <c r="H213" s="1"/>
      <c r="I213" s="1"/>
      <c r="J213" s="1"/>
      <c r="K213" s="1"/>
      <c r="L213" s="1"/>
      <c r="M213" s="1"/>
      <c r="N213" s="1"/>
      <c r="O213" s="1"/>
      <c r="P213" s="1"/>
      <c r="Q213" s="1"/>
      <c r="R213" s="1"/>
      <c r="S213" s="1"/>
      <c r="T213" s="1"/>
    </row>
    <row r="214" ht="14.25" customHeight="1">
      <c r="A214" s="52"/>
      <c r="B214" s="53"/>
      <c r="C214" s="53"/>
      <c r="D214" s="53"/>
      <c r="E214" s="53"/>
      <c r="F214" s="53"/>
      <c r="G214" s="1"/>
      <c r="H214" s="1"/>
      <c r="I214" s="1"/>
      <c r="J214" s="1"/>
      <c r="K214" s="1"/>
      <c r="L214" s="1"/>
      <c r="M214" s="1"/>
      <c r="N214" s="1"/>
      <c r="O214" s="1"/>
      <c r="P214" s="1"/>
      <c r="Q214" s="1"/>
      <c r="R214" s="1"/>
      <c r="S214" s="1"/>
      <c r="T214" s="1"/>
    </row>
    <row r="215" ht="14.25" customHeight="1">
      <c r="A215" s="52"/>
      <c r="B215" s="53"/>
      <c r="C215" s="53"/>
      <c r="D215" s="53"/>
      <c r="E215" s="53"/>
      <c r="F215" s="53"/>
      <c r="G215" s="1"/>
      <c r="H215" s="1"/>
      <c r="I215" s="1"/>
      <c r="J215" s="1"/>
      <c r="K215" s="1"/>
      <c r="L215" s="1"/>
      <c r="M215" s="1"/>
      <c r="N215" s="1"/>
      <c r="O215" s="1"/>
      <c r="P215" s="1"/>
      <c r="Q215" s="1"/>
      <c r="R215" s="1"/>
      <c r="S215" s="1"/>
      <c r="T215" s="1"/>
    </row>
    <row r="216" ht="14.25" customHeight="1">
      <c r="A216" s="52"/>
      <c r="B216" s="53"/>
      <c r="C216" s="53"/>
      <c r="D216" s="53"/>
      <c r="E216" s="53"/>
      <c r="F216" s="53"/>
      <c r="G216" s="1"/>
      <c r="H216" s="1"/>
      <c r="I216" s="1"/>
      <c r="J216" s="1"/>
      <c r="K216" s="1"/>
      <c r="L216" s="1"/>
      <c r="M216" s="1"/>
      <c r="N216" s="1"/>
      <c r="O216" s="1"/>
      <c r="P216" s="1"/>
      <c r="Q216" s="1"/>
      <c r="R216" s="1"/>
      <c r="S216" s="1"/>
      <c r="T216" s="1"/>
    </row>
    <row r="217" ht="14.25" customHeight="1">
      <c r="A217" s="52"/>
      <c r="B217" s="53"/>
      <c r="C217" s="53"/>
      <c r="D217" s="53"/>
      <c r="E217" s="53"/>
      <c r="F217" s="53"/>
      <c r="G217" s="1"/>
      <c r="H217" s="1"/>
      <c r="I217" s="1"/>
      <c r="J217" s="1"/>
      <c r="K217" s="1"/>
      <c r="L217" s="1"/>
      <c r="M217" s="1"/>
      <c r="N217" s="1"/>
      <c r="O217" s="1"/>
      <c r="P217" s="1"/>
      <c r="Q217" s="1"/>
      <c r="R217" s="1"/>
      <c r="S217" s="1"/>
      <c r="T217" s="1"/>
    </row>
    <row r="218" ht="14.25" customHeight="1">
      <c r="A218" s="52"/>
      <c r="B218" s="53"/>
      <c r="C218" s="53"/>
      <c r="D218" s="53"/>
      <c r="E218" s="53"/>
      <c r="F218" s="53"/>
      <c r="G218" s="1"/>
      <c r="H218" s="1"/>
      <c r="I218" s="1"/>
      <c r="J218" s="1"/>
      <c r="K218" s="1"/>
      <c r="L218" s="1"/>
      <c r="M218" s="1"/>
      <c r="N218" s="1"/>
      <c r="O218" s="1"/>
      <c r="P218" s="1"/>
      <c r="Q218" s="1"/>
      <c r="R218" s="1"/>
      <c r="S218" s="1"/>
      <c r="T218" s="1"/>
    </row>
    <row r="219" ht="14.25" customHeight="1">
      <c r="A219" s="52"/>
      <c r="B219" s="53"/>
      <c r="C219" s="53"/>
      <c r="D219" s="53"/>
      <c r="E219" s="53"/>
      <c r="F219" s="53"/>
      <c r="G219" s="1"/>
      <c r="H219" s="1"/>
      <c r="I219" s="1"/>
      <c r="J219" s="1"/>
      <c r="K219" s="1"/>
      <c r="L219" s="1"/>
      <c r="M219" s="1"/>
      <c r="N219" s="1"/>
      <c r="O219" s="1"/>
      <c r="P219" s="1"/>
      <c r="Q219" s="1"/>
      <c r="R219" s="1"/>
      <c r="S219" s="1"/>
      <c r="T219" s="1"/>
    </row>
    <row r="220" ht="14.25" customHeight="1">
      <c r="A220" s="52"/>
      <c r="B220" s="53"/>
      <c r="C220" s="53"/>
      <c r="D220" s="53"/>
      <c r="E220" s="53"/>
      <c r="F220" s="53"/>
      <c r="G220" s="1"/>
      <c r="H220" s="1"/>
      <c r="I220" s="1"/>
      <c r="J220" s="1"/>
      <c r="K220" s="1"/>
      <c r="L220" s="1"/>
      <c r="M220" s="1"/>
      <c r="N220" s="1"/>
      <c r="O220" s="1"/>
      <c r="P220" s="1"/>
      <c r="Q220" s="1"/>
      <c r="R220" s="1"/>
      <c r="S220" s="1"/>
      <c r="T220" s="1"/>
    </row>
    <row r="221" ht="14.25" customHeight="1">
      <c r="A221" s="52"/>
      <c r="B221" s="53"/>
      <c r="C221" s="53"/>
      <c r="D221" s="53"/>
      <c r="E221" s="53"/>
      <c r="F221" s="53"/>
      <c r="G221" s="1"/>
      <c r="H221" s="1"/>
      <c r="I221" s="1"/>
      <c r="J221" s="1"/>
      <c r="K221" s="1"/>
      <c r="L221" s="1"/>
      <c r="M221" s="1"/>
      <c r="N221" s="1"/>
      <c r="O221" s="1"/>
      <c r="P221" s="1"/>
      <c r="Q221" s="1"/>
      <c r="R221" s="1"/>
      <c r="S221" s="1"/>
      <c r="T221" s="1"/>
    </row>
    <row r="222" ht="14.25" customHeight="1">
      <c r="A222" s="52"/>
      <c r="B222" s="53"/>
      <c r="C222" s="53"/>
      <c r="D222" s="53"/>
      <c r="E222" s="53"/>
      <c r="F222" s="53"/>
      <c r="G222" s="1"/>
      <c r="H222" s="1"/>
      <c r="I222" s="1"/>
      <c r="J222" s="1"/>
      <c r="K222" s="1"/>
      <c r="L222" s="1"/>
      <c r="M222" s="1"/>
      <c r="N222" s="1"/>
      <c r="O222" s="1"/>
      <c r="P222" s="1"/>
      <c r="Q222" s="1"/>
      <c r="R222" s="1"/>
      <c r="S222" s="1"/>
      <c r="T222" s="1"/>
    </row>
    <row r="223" ht="14.25" customHeight="1">
      <c r="A223" s="52"/>
      <c r="B223" s="53"/>
      <c r="C223" s="53"/>
      <c r="D223" s="53"/>
      <c r="E223" s="53"/>
      <c r="F223" s="53"/>
      <c r="G223" s="1"/>
      <c r="H223" s="1"/>
      <c r="I223" s="1"/>
      <c r="J223" s="1"/>
      <c r="K223" s="1"/>
      <c r="L223" s="1"/>
      <c r="M223" s="1"/>
      <c r="N223" s="1"/>
      <c r="O223" s="1"/>
      <c r="P223" s="1"/>
      <c r="Q223" s="1"/>
      <c r="R223" s="1"/>
      <c r="S223" s="1"/>
      <c r="T223" s="1"/>
    </row>
    <row r="224" ht="14.25" customHeight="1">
      <c r="A224" s="52"/>
      <c r="B224" s="53"/>
      <c r="C224" s="53"/>
      <c r="D224" s="53"/>
      <c r="E224" s="53"/>
      <c r="F224" s="53"/>
      <c r="G224" s="1"/>
      <c r="H224" s="1"/>
      <c r="I224" s="1"/>
      <c r="J224" s="1"/>
      <c r="K224" s="1"/>
      <c r="L224" s="1"/>
      <c r="M224" s="1"/>
      <c r="N224" s="1"/>
      <c r="O224" s="1"/>
      <c r="P224" s="1"/>
      <c r="Q224" s="1"/>
      <c r="R224" s="1"/>
      <c r="S224" s="1"/>
      <c r="T224" s="1"/>
    </row>
    <row r="225" ht="14.25" customHeight="1">
      <c r="A225" s="52"/>
      <c r="B225" s="53"/>
      <c r="C225" s="53"/>
      <c r="D225" s="53"/>
      <c r="E225" s="53"/>
      <c r="F225" s="53"/>
      <c r="G225" s="1"/>
      <c r="H225" s="1"/>
      <c r="I225" s="1"/>
      <c r="J225" s="1"/>
      <c r="K225" s="1"/>
      <c r="L225" s="1"/>
      <c r="M225" s="1"/>
      <c r="N225" s="1"/>
      <c r="O225" s="1"/>
      <c r="P225" s="1"/>
      <c r="Q225" s="1"/>
      <c r="R225" s="1"/>
      <c r="S225" s="1"/>
      <c r="T225" s="1"/>
    </row>
    <row r="226" ht="14.25" customHeight="1">
      <c r="A226" s="52"/>
      <c r="B226" s="53"/>
      <c r="C226" s="53"/>
      <c r="D226" s="53"/>
      <c r="E226" s="53"/>
      <c r="F226" s="53"/>
      <c r="G226" s="1"/>
      <c r="H226" s="1"/>
      <c r="I226" s="1"/>
      <c r="J226" s="1"/>
      <c r="K226" s="1"/>
      <c r="L226" s="1"/>
      <c r="M226" s="1"/>
      <c r="N226" s="1"/>
      <c r="O226" s="1"/>
      <c r="P226" s="1"/>
      <c r="Q226" s="1"/>
      <c r="R226" s="1"/>
      <c r="S226" s="1"/>
      <c r="T226" s="1"/>
    </row>
    <row r="227" ht="14.25" customHeight="1">
      <c r="A227" s="52"/>
      <c r="B227" s="53"/>
      <c r="C227" s="53"/>
      <c r="D227" s="53"/>
      <c r="E227" s="53"/>
      <c r="F227" s="53"/>
      <c r="G227" s="1"/>
      <c r="H227" s="1"/>
      <c r="I227" s="1"/>
      <c r="J227" s="1"/>
      <c r="K227" s="1"/>
      <c r="L227" s="1"/>
      <c r="M227" s="1"/>
      <c r="N227" s="1"/>
      <c r="O227" s="1"/>
      <c r="P227" s="1"/>
      <c r="Q227" s="1"/>
      <c r="R227" s="1"/>
      <c r="S227" s="1"/>
      <c r="T227" s="1"/>
    </row>
    <row r="228" ht="14.25" customHeight="1">
      <c r="A228" s="52"/>
      <c r="B228" s="53"/>
      <c r="C228" s="53"/>
      <c r="D228" s="53"/>
      <c r="E228" s="53"/>
      <c r="F228" s="53"/>
      <c r="G228" s="1"/>
      <c r="H228" s="1"/>
      <c r="I228" s="1"/>
      <c r="J228" s="1"/>
      <c r="K228" s="1"/>
      <c r="L228" s="1"/>
      <c r="M228" s="1"/>
      <c r="N228" s="1"/>
      <c r="O228" s="1"/>
      <c r="P228" s="1"/>
      <c r="Q228" s="1"/>
      <c r="R228" s="1"/>
      <c r="S228" s="1"/>
      <c r="T228" s="1"/>
    </row>
    <row r="229" ht="14.25" customHeight="1">
      <c r="A229" s="52"/>
      <c r="B229" s="53"/>
      <c r="C229" s="53"/>
      <c r="D229" s="53"/>
      <c r="E229" s="53"/>
      <c r="F229" s="53"/>
      <c r="G229" s="1"/>
      <c r="H229" s="1"/>
      <c r="I229" s="1"/>
      <c r="J229" s="1"/>
      <c r="K229" s="1"/>
      <c r="L229" s="1"/>
      <c r="M229" s="1"/>
      <c r="N229" s="1"/>
      <c r="O229" s="1"/>
      <c r="P229" s="1"/>
      <c r="Q229" s="1"/>
      <c r="R229" s="1"/>
      <c r="S229" s="1"/>
      <c r="T229" s="1"/>
    </row>
    <row r="230" ht="14.25" customHeight="1">
      <c r="A230" s="52"/>
      <c r="B230" s="53"/>
      <c r="C230" s="53"/>
      <c r="D230" s="53"/>
      <c r="E230" s="53"/>
      <c r="F230" s="53"/>
      <c r="G230" s="1"/>
      <c r="H230" s="1"/>
      <c r="I230" s="1"/>
      <c r="J230" s="1"/>
      <c r="K230" s="1"/>
      <c r="L230" s="1"/>
      <c r="M230" s="1"/>
      <c r="N230" s="1"/>
      <c r="O230" s="1"/>
      <c r="P230" s="1"/>
      <c r="Q230" s="1"/>
      <c r="R230" s="1"/>
      <c r="S230" s="1"/>
      <c r="T230" s="1"/>
    </row>
    <row r="231" ht="14.25" customHeight="1">
      <c r="A231" s="52"/>
      <c r="B231" s="53"/>
      <c r="C231" s="53"/>
      <c r="D231" s="53"/>
      <c r="E231" s="53"/>
      <c r="F231" s="53"/>
      <c r="G231" s="1"/>
      <c r="H231" s="1"/>
      <c r="I231" s="1"/>
      <c r="J231" s="1"/>
      <c r="K231" s="1"/>
      <c r="L231" s="1"/>
      <c r="M231" s="1"/>
      <c r="N231" s="1"/>
      <c r="O231" s="1"/>
      <c r="P231" s="1"/>
      <c r="Q231" s="1"/>
      <c r="R231" s="1"/>
      <c r="S231" s="1"/>
      <c r="T231" s="1"/>
    </row>
    <row r="232" ht="14.25" customHeight="1">
      <c r="A232" s="52"/>
      <c r="B232" s="53"/>
      <c r="C232" s="53"/>
      <c r="D232" s="53"/>
      <c r="E232" s="53"/>
      <c r="F232" s="53"/>
      <c r="G232" s="1"/>
      <c r="H232" s="1"/>
      <c r="I232" s="1"/>
      <c r="J232" s="1"/>
      <c r="K232" s="1"/>
      <c r="L232" s="1"/>
      <c r="M232" s="1"/>
      <c r="N232" s="1"/>
      <c r="O232" s="1"/>
      <c r="P232" s="1"/>
      <c r="Q232" s="1"/>
      <c r="R232" s="1"/>
      <c r="S232" s="1"/>
      <c r="T232" s="1"/>
    </row>
    <row r="233" ht="14.25" customHeight="1">
      <c r="A233" s="52"/>
      <c r="B233" s="53"/>
      <c r="C233" s="53"/>
      <c r="D233" s="53"/>
      <c r="E233" s="53"/>
      <c r="F233" s="53"/>
      <c r="G233" s="1"/>
      <c r="H233" s="1"/>
      <c r="I233" s="1"/>
      <c r="J233" s="1"/>
      <c r="K233" s="1"/>
      <c r="L233" s="1"/>
      <c r="M233" s="1"/>
      <c r="N233" s="1"/>
      <c r="O233" s="1"/>
      <c r="P233" s="1"/>
      <c r="Q233" s="1"/>
      <c r="R233" s="1"/>
      <c r="S233" s="1"/>
      <c r="T233" s="1"/>
    </row>
    <row r="234" ht="14.25" customHeight="1">
      <c r="A234" s="52"/>
      <c r="B234" s="53"/>
      <c r="C234" s="53"/>
      <c r="D234" s="53"/>
      <c r="E234" s="53"/>
      <c r="F234" s="53"/>
      <c r="G234" s="1"/>
      <c r="H234" s="1"/>
      <c r="I234" s="1"/>
      <c r="J234" s="1"/>
      <c r="K234" s="1"/>
      <c r="L234" s="1"/>
      <c r="M234" s="1"/>
      <c r="N234" s="1"/>
      <c r="O234" s="1"/>
      <c r="P234" s="1"/>
      <c r="Q234" s="1"/>
      <c r="R234" s="1"/>
      <c r="S234" s="1"/>
      <c r="T234" s="1"/>
    </row>
    <row r="235" ht="14.25" customHeight="1">
      <c r="A235" s="52"/>
      <c r="B235" s="53"/>
      <c r="C235" s="53"/>
      <c r="D235" s="53"/>
      <c r="E235" s="53"/>
      <c r="F235" s="53"/>
      <c r="G235" s="1"/>
      <c r="H235" s="1"/>
      <c r="I235" s="1"/>
      <c r="J235" s="1"/>
      <c r="K235" s="1"/>
      <c r="L235" s="1"/>
      <c r="M235" s="1"/>
      <c r="N235" s="1"/>
      <c r="O235" s="1"/>
      <c r="P235" s="1"/>
      <c r="Q235" s="1"/>
      <c r="R235" s="1"/>
      <c r="S235" s="1"/>
      <c r="T235" s="1"/>
    </row>
    <row r="236" ht="14.25" customHeight="1">
      <c r="A236" s="52"/>
      <c r="B236" s="53"/>
      <c r="C236" s="53"/>
      <c r="D236" s="53"/>
      <c r="E236" s="53"/>
      <c r="F236" s="53"/>
      <c r="G236" s="1"/>
      <c r="H236" s="1"/>
      <c r="I236" s="1"/>
      <c r="J236" s="1"/>
      <c r="K236" s="1"/>
      <c r="L236" s="1"/>
      <c r="M236" s="1"/>
      <c r="N236" s="1"/>
      <c r="O236" s="1"/>
      <c r="P236" s="1"/>
      <c r="Q236" s="1"/>
      <c r="R236" s="1"/>
      <c r="S236" s="1"/>
      <c r="T236" s="1"/>
    </row>
    <row r="237" ht="14.25" customHeight="1">
      <c r="A237" s="52"/>
      <c r="B237" s="53"/>
      <c r="C237" s="53"/>
      <c r="D237" s="53"/>
      <c r="E237" s="53"/>
      <c r="F237" s="53"/>
      <c r="G237" s="1"/>
      <c r="H237" s="1"/>
      <c r="I237" s="1"/>
      <c r="J237" s="1"/>
      <c r="K237" s="1"/>
      <c r="L237" s="1"/>
      <c r="M237" s="1"/>
      <c r="N237" s="1"/>
      <c r="O237" s="1"/>
      <c r="P237" s="1"/>
      <c r="Q237" s="1"/>
      <c r="R237" s="1"/>
      <c r="S237" s="1"/>
      <c r="T237" s="1"/>
    </row>
    <row r="238" ht="14.25" customHeight="1">
      <c r="A238" s="52"/>
      <c r="B238" s="53"/>
      <c r="C238" s="53"/>
      <c r="D238" s="53"/>
      <c r="E238" s="53"/>
      <c r="F238" s="53"/>
      <c r="G238" s="1"/>
      <c r="H238" s="1"/>
      <c r="I238" s="1"/>
      <c r="J238" s="1"/>
      <c r="K238" s="1"/>
      <c r="L238" s="1"/>
      <c r="M238" s="1"/>
      <c r="N238" s="1"/>
      <c r="O238" s="1"/>
      <c r="P238" s="1"/>
      <c r="Q238" s="1"/>
      <c r="R238" s="1"/>
      <c r="S238" s="1"/>
      <c r="T238" s="1"/>
    </row>
    <row r="239" ht="14.25" customHeight="1">
      <c r="A239" s="52"/>
      <c r="B239" s="53"/>
      <c r="C239" s="53"/>
      <c r="D239" s="53"/>
      <c r="E239" s="53"/>
      <c r="F239" s="53"/>
      <c r="G239" s="1"/>
      <c r="H239" s="1"/>
      <c r="I239" s="1"/>
      <c r="J239" s="1"/>
      <c r="K239" s="1"/>
      <c r="L239" s="1"/>
      <c r="M239" s="1"/>
      <c r="N239" s="1"/>
      <c r="O239" s="1"/>
      <c r="P239" s="1"/>
      <c r="Q239" s="1"/>
      <c r="R239" s="1"/>
      <c r="S239" s="1"/>
      <c r="T239" s="1"/>
    </row>
    <row r="240" ht="14.25" customHeight="1">
      <c r="A240" s="52"/>
      <c r="B240" s="53"/>
      <c r="C240" s="53"/>
      <c r="D240" s="53"/>
      <c r="E240" s="53"/>
      <c r="F240" s="53"/>
      <c r="G240" s="1"/>
      <c r="H240" s="1"/>
      <c r="I240" s="1"/>
      <c r="J240" s="1"/>
      <c r="K240" s="1"/>
      <c r="L240" s="1"/>
      <c r="M240" s="1"/>
      <c r="N240" s="1"/>
      <c r="O240" s="1"/>
      <c r="P240" s="1"/>
      <c r="Q240" s="1"/>
      <c r="R240" s="1"/>
      <c r="S240" s="1"/>
      <c r="T240" s="1"/>
    </row>
    <row r="241" ht="14.25" customHeight="1">
      <c r="A241" s="52"/>
      <c r="B241" s="53"/>
      <c r="C241" s="53"/>
      <c r="D241" s="53"/>
      <c r="E241" s="53"/>
      <c r="F241" s="53"/>
      <c r="G241" s="1"/>
      <c r="H241" s="1"/>
      <c r="I241" s="1"/>
      <c r="J241" s="1"/>
      <c r="K241" s="1"/>
      <c r="L241" s="1"/>
      <c r="M241" s="1"/>
      <c r="N241" s="1"/>
      <c r="O241" s="1"/>
      <c r="P241" s="1"/>
      <c r="Q241" s="1"/>
      <c r="R241" s="1"/>
      <c r="S241" s="1"/>
      <c r="T241" s="1"/>
    </row>
    <row r="242" ht="14.25" customHeight="1">
      <c r="A242" s="52"/>
      <c r="B242" s="53"/>
      <c r="C242" s="53"/>
      <c r="D242" s="53"/>
      <c r="E242" s="53"/>
      <c r="F242" s="53"/>
      <c r="G242" s="1"/>
      <c r="H242" s="1"/>
      <c r="I242" s="1"/>
      <c r="J242" s="1"/>
      <c r="K242" s="1"/>
      <c r="L242" s="1"/>
      <c r="M242" s="1"/>
      <c r="N242" s="1"/>
      <c r="O242" s="1"/>
      <c r="P242" s="1"/>
      <c r="Q242" s="1"/>
      <c r="R242" s="1"/>
      <c r="S242" s="1"/>
      <c r="T242" s="1"/>
    </row>
    <row r="243" ht="14.25" customHeight="1">
      <c r="A243" s="52"/>
      <c r="B243" s="53"/>
      <c r="C243" s="53"/>
      <c r="D243" s="53"/>
      <c r="E243" s="53"/>
      <c r="F243" s="53"/>
      <c r="G243" s="1"/>
      <c r="H243" s="1"/>
      <c r="I243" s="1"/>
      <c r="J243" s="1"/>
      <c r="K243" s="1"/>
      <c r="L243" s="1"/>
      <c r="M243" s="1"/>
      <c r="N243" s="1"/>
      <c r="O243" s="1"/>
      <c r="P243" s="1"/>
      <c r="Q243" s="1"/>
      <c r="R243" s="1"/>
      <c r="S243" s="1"/>
      <c r="T243" s="1"/>
    </row>
    <row r="244" ht="14.25" customHeight="1">
      <c r="A244" s="52"/>
      <c r="B244" s="53"/>
      <c r="C244" s="53"/>
      <c r="D244" s="53"/>
      <c r="E244" s="53"/>
      <c r="F244" s="53"/>
      <c r="G244" s="1"/>
      <c r="H244" s="1"/>
      <c r="I244" s="1"/>
      <c r="J244" s="1"/>
      <c r="K244" s="1"/>
      <c r="L244" s="1"/>
      <c r="M244" s="1"/>
      <c r="N244" s="1"/>
      <c r="O244" s="1"/>
      <c r="P244" s="1"/>
      <c r="Q244" s="1"/>
      <c r="R244" s="1"/>
      <c r="S244" s="1"/>
      <c r="T244" s="1"/>
    </row>
    <row r="245" ht="14.25" customHeight="1">
      <c r="A245" s="52"/>
      <c r="B245" s="53"/>
      <c r="C245" s="53"/>
      <c r="D245" s="53"/>
      <c r="E245" s="53"/>
      <c r="F245" s="53"/>
      <c r="G245" s="1"/>
      <c r="H245" s="1"/>
      <c r="I245" s="1"/>
      <c r="J245" s="1"/>
      <c r="K245" s="1"/>
      <c r="L245" s="1"/>
      <c r="M245" s="1"/>
      <c r="N245" s="1"/>
      <c r="O245" s="1"/>
      <c r="P245" s="1"/>
      <c r="Q245" s="1"/>
      <c r="R245" s="1"/>
      <c r="S245" s="1"/>
      <c r="T245" s="1"/>
    </row>
    <row r="246" ht="14.25" customHeight="1">
      <c r="A246" s="52"/>
      <c r="B246" s="53"/>
      <c r="C246" s="53"/>
      <c r="D246" s="53"/>
      <c r="E246" s="53"/>
      <c r="F246" s="53"/>
      <c r="G246" s="1"/>
      <c r="H246" s="1"/>
      <c r="I246" s="1"/>
      <c r="J246" s="1"/>
      <c r="K246" s="1"/>
      <c r="L246" s="1"/>
      <c r="M246" s="1"/>
      <c r="N246" s="1"/>
      <c r="O246" s="1"/>
      <c r="P246" s="1"/>
      <c r="Q246" s="1"/>
      <c r="R246" s="1"/>
      <c r="S246" s="1"/>
      <c r="T246" s="1"/>
    </row>
    <row r="247" ht="14.25" customHeight="1">
      <c r="A247" s="52"/>
      <c r="B247" s="53"/>
      <c r="C247" s="53"/>
      <c r="D247" s="53"/>
      <c r="E247" s="53"/>
      <c r="F247" s="53"/>
      <c r="G247" s="1"/>
      <c r="H247" s="1"/>
      <c r="I247" s="1"/>
      <c r="J247" s="1"/>
      <c r="K247" s="1"/>
      <c r="L247" s="1"/>
      <c r="M247" s="1"/>
      <c r="N247" s="1"/>
      <c r="O247" s="1"/>
      <c r="P247" s="1"/>
      <c r="Q247" s="1"/>
      <c r="R247" s="1"/>
      <c r="S247" s="1"/>
      <c r="T247" s="1"/>
    </row>
    <row r="248" ht="14.25" customHeight="1">
      <c r="A248" s="52"/>
      <c r="B248" s="53"/>
      <c r="C248" s="53"/>
      <c r="D248" s="53"/>
      <c r="E248" s="53"/>
      <c r="F248" s="53"/>
      <c r="G248" s="1"/>
      <c r="H248" s="1"/>
      <c r="I248" s="1"/>
      <c r="J248" s="1"/>
      <c r="K248" s="1"/>
      <c r="L248" s="1"/>
      <c r="M248" s="1"/>
      <c r="N248" s="1"/>
      <c r="O248" s="1"/>
      <c r="P248" s="1"/>
      <c r="Q248" s="1"/>
      <c r="R248" s="1"/>
      <c r="S248" s="1"/>
      <c r="T248" s="1"/>
    </row>
    <row r="249" ht="14.25" customHeight="1">
      <c r="A249" s="52"/>
      <c r="B249" s="53"/>
      <c r="C249" s="53"/>
      <c r="D249" s="53"/>
      <c r="E249" s="53"/>
      <c r="F249" s="53"/>
      <c r="G249" s="1"/>
      <c r="H249" s="1"/>
      <c r="I249" s="1"/>
      <c r="J249" s="1"/>
      <c r="K249" s="1"/>
      <c r="L249" s="1"/>
      <c r="M249" s="1"/>
      <c r="N249" s="1"/>
      <c r="O249" s="1"/>
      <c r="P249" s="1"/>
      <c r="Q249" s="1"/>
      <c r="R249" s="1"/>
      <c r="S249" s="1"/>
      <c r="T249" s="1"/>
    </row>
    <row r="250" ht="14.25" customHeight="1">
      <c r="A250" s="52"/>
      <c r="B250" s="53"/>
      <c r="C250" s="53"/>
      <c r="D250" s="53"/>
      <c r="E250" s="53"/>
      <c r="F250" s="53"/>
      <c r="G250" s="1"/>
      <c r="H250" s="1"/>
      <c r="I250" s="1"/>
      <c r="J250" s="1"/>
      <c r="K250" s="1"/>
      <c r="L250" s="1"/>
      <c r="M250" s="1"/>
      <c r="N250" s="1"/>
      <c r="O250" s="1"/>
      <c r="P250" s="1"/>
      <c r="Q250" s="1"/>
      <c r="R250" s="1"/>
      <c r="S250" s="1"/>
      <c r="T250" s="1"/>
    </row>
    <row r="251" ht="14.25" customHeight="1">
      <c r="A251" s="52"/>
      <c r="B251" s="53"/>
      <c r="C251" s="53"/>
      <c r="D251" s="53"/>
      <c r="E251" s="53"/>
      <c r="F251" s="53"/>
      <c r="G251" s="1"/>
      <c r="H251" s="1"/>
      <c r="I251" s="1"/>
      <c r="J251" s="1"/>
      <c r="K251" s="1"/>
      <c r="L251" s="1"/>
      <c r="M251" s="1"/>
      <c r="N251" s="1"/>
      <c r="O251" s="1"/>
      <c r="P251" s="1"/>
      <c r="Q251" s="1"/>
      <c r="R251" s="1"/>
      <c r="S251" s="1"/>
      <c r="T251" s="1"/>
    </row>
    <row r="252" ht="14.25" customHeight="1">
      <c r="A252" s="52"/>
      <c r="B252" s="53"/>
      <c r="C252" s="53"/>
      <c r="D252" s="53"/>
      <c r="E252" s="53"/>
      <c r="F252" s="53"/>
      <c r="G252" s="1"/>
      <c r="H252" s="1"/>
      <c r="I252" s="1"/>
      <c r="J252" s="1"/>
      <c r="K252" s="1"/>
      <c r="L252" s="1"/>
      <c r="M252" s="1"/>
      <c r="N252" s="1"/>
      <c r="O252" s="1"/>
      <c r="P252" s="1"/>
      <c r="Q252" s="1"/>
      <c r="R252" s="1"/>
      <c r="S252" s="1"/>
      <c r="T252" s="1"/>
    </row>
    <row r="253" ht="14.25" customHeight="1">
      <c r="A253" s="52"/>
      <c r="B253" s="53"/>
      <c r="C253" s="53"/>
      <c r="D253" s="53"/>
      <c r="E253" s="53"/>
      <c r="F253" s="53"/>
      <c r="G253" s="1"/>
      <c r="H253" s="1"/>
      <c r="I253" s="1"/>
      <c r="J253" s="1"/>
      <c r="K253" s="1"/>
      <c r="L253" s="1"/>
      <c r="M253" s="1"/>
      <c r="N253" s="1"/>
      <c r="O253" s="1"/>
      <c r="P253" s="1"/>
      <c r="Q253" s="1"/>
      <c r="R253" s="1"/>
      <c r="S253" s="1"/>
      <c r="T253" s="1"/>
    </row>
    <row r="254" ht="14.25" customHeight="1">
      <c r="A254" s="52"/>
      <c r="B254" s="53"/>
      <c r="C254" s="53"/>
      <c r="D254" s="53"/>
      <c r="E254" s="53"/>
      <c r="F254" s="53"/>
      <c r="G254" s="1"/>
      <c r="H254" s="1"/>
      <c r="I254" s="1"/>
      <c r="J254" s="1"/>
      <c r="K254" s="1"/>
      <c r="L254" s="1"/>
      <c r="M254" s="1"/>
      <c r="N254" s="1"/>
      <c r="O254" s="1"/>
      <c r="P254" s="1"/>
      <c r="Q254" s="1"/>
      <c r="R254" s="1"/>
      <c r="S254" s="1"/>
      <c r="T254" s="1"/>
    </row>
    <row r="255" ht="14.25" customHeight="1">
      <c r="A255" s="52"/>
      <c r="B255" s="53"/>
      <c r="C255" s="53"/>
      <c r="D255" s="53"/>
      <c r="E255" s="53"/>
      <c r="F255" s="53"/>
      <c r="G255" s="1"/>
      <c r="H255" s="1"/>
      <c r="I255" s="1"/>
      <c r="J255" s="1"/>
      <c r="K255" s="1"/>
      <c r="L255" s="1"/>
      <c r="M255" s="1"/>
      <c r="N255" s="1"/>
      <c r="O255" s="1"/>
      <c r="P255" s="1"/>
      <c r="Q255" s="1"/>
      <c r="R255" s="1"/>
      <c r="S255" s="1"/>
      <c r="T255" s="1"/>
    </row>
    <row r="256" ht="14.25" customHeight="1">
      <c r="A256" s="52"/>
      <c r="B256" s="53"/>
      <c r="C256" s="53"/>
      <c r="D256" s="53"/>
      <c r="E256" s="53"/>
      <c r="F256" s="53"/>
      <c r="G256" s="1"/>
      <c r="H256" s="1"/>
      <c r="I256" s="1"/>
      <c r="J256" s="1"/>
      <c r="K256" s="1"/>
      <c r="L256" s="1"/>
      <c r="M256" s="1"/>
      <c r="N256" s="1"/>
      <c r="O256" s="1"/>
      <c r="P256" s="1"/>
      <c r="Q256" s="1"/>
      <c r="R256" s="1"/>
      <c r="S256" s="1"/>
      <c r="T256" s="1"/>
    </row>
    <row r="257" ht="14.25" customHeight="1">
      <c r="A257" s="52"/>
      <c r="B257" s="53"/>
      <c r="C257" s="53"/>
      <c r="D257" s="53"/>
      <c r="E257" s="53"/>
      <c r="F257" s="53"/>
      <c r="G257" s="1"/>
      <c r="H257" s="1"/>
      <c r="I257" s="1"/>
      <c r="J257" s="1"/>
      <c r="K257" s="1"/>
      <c r="L257" s="1"/>
      <c r="M257" s="1"/>
      <c r="N257" s="1"/>
      <c r="O257" s="1"/>
      <c r="P257" s="1"/>
      <c r="Q257" s="1"/>
      <c r="R257" s="1"/>
      <c r="S257" s="1"/>
      <c r="T257" s="1"/>
    </row>
    <row r="258" ht="14.25" customHeight="1">
      <c r="A258" s="52"/>
      <c r="B258" s="53"/>
      <c r="C258" s="53"/>
      <c r="D258" s="53"/>
      <c r="E258" s="53"/>
      <c r="F258" s="53"/>
      <c r="G258" s="1"/>
      <c r="H258" s="1"/>
      <c r="I258" s="1"/>
      <c r="J258" s="1"/>
      <c r="K258" s="1"/>
      <c r="L258" s="1"/>
      <c r="M258" s="1"/>
      <c r="N258" s="1"/>
      <c r="O258" s="1"/>
      <c r="P258" s="1"/>
      <c r="Q258" s="1"/>
      <c r="R258" s="1"/>
      <c r="S258" s="1"/>
      <c r="T258" s="1"/>
    </row>
    <row r="259" ht="14.25" customHeight="1">
      <c r="A259" s="52"/>
      <c r="B259" s="53"/>
      <c r="C259" s="53"/>
      <c r="D259" s="53"/>
      <c r="E259" s="53"/>
      <c r="F259" s="53"/>
      <c r="G259" s="1"/>
      <c r="H259" s="1"/>
      <c r="I259" s="1"/>
      <c r="J259" s="1"/>
      <c r="K259" s="1"/>
      <c r="L259" s="1"/>
      <c r="M259" s="1"/>
      <c r="N259" s="1"/>
      <c r="O259" s="1"/>
      <c r="P259" s="1"/>
      <c r="Q259" s="1"/>
      <c r="R259" s="1"/>
      <c r="S259" s="1"/>
      <c r="T259" s="1"/>
    </row>
    <row r="260" ht="14.25" customHeight="1">
      <c r="A260" s="52"/>
      <c r="B260" s="53"/>
      <c r="C260" s="53"/>
      <c r="D260" s="53"/>
      <c r="E260" s="53"/>
      <c r="F260" s="53"/>
      <c r="G260" s="1"/>
      <c r="H260" s="1"/>
      <c r="I260" s="1"/>
      <c r="J260" s="1"/>
      <c r="K260" s="1"/>
      <c r="L260" s="1"/>
      <c r="M260" s="1"/>
      <c r="N260" s="1"/>
      <c r="O260" s="1"/>
      <c r="P260" s="1"/>
      <c r="Q260" s="1"/>
      <c r="R260" s="1"/>
      <c r="S260" s="1"/>
      <c r="T260" s="1"/>
    </row>
    <row r="261" ht="14.25" customHeight="1">
      <c r="A261" s="52"/>
      <c r="B261" s="53"/>
      <c r="C261" s="53"/>
      <c r="D261" s="53"/>
      <c r="E261" s="53"/>
      <c r="F261" s="53"/>
      <c r="G261" s="1"/>
      <c r="H261" s="1"/>
      <c r="I261" s="1"/>
      <c r="J261" s="1"/>
      <c r="K261" s="1"/>
      <c r="L261" s="1"/>
      <c r="M261" s="1"/>
      <c r="N261" s="1"/>
      <c r="O261" s="1"/>
      <c r="P261" s="1"/>
      <c r="Q261" s="1"/>
      <c r="R261" s="1"/>
      <c r="S261" s="1"/>
      <c r="T261" s="1"/>
    </row>
    <row r="262" ht="14.25" customHeight="1">
      <c r="A262" s="52"/>
      <c r="B262" s="53"/>
      <c r="C262" s="53"/>
      <c r="D262" s="53"/>
      <c r="E262" s="53"/>
      <c r="F262" s="53"/>
      <c r="G262" s="1"/>
      <c r="H262" s="1"/>
      <c r="I262" s="1"/>
      <c r="J262" s="1"/>
      <c r="K262" s="1"/>
      <c r="L262" s="1"/>
      <c r="M262" s="1"/>
      <c r="N262" s="1"/>
      <c r="O262" s="1"/>
      <c r="P262" s="1"/>
      <c r="Q262" s="1"/>
      <c r="R262" s="1"/>
      <c r="S262" s="1"/>
      <c r="T262" s="1"/>
    </row>
    <row r="263" ht="14.25" customHeight="1">
      <c r="A263" s="52"/>
      <c r="B263" s="53"/>
      <c r="C263" s="53"/>
      <c r="D263" s="53"/>
      <c r="E263" s="53"/>
      <c r="F263" s="53"/>
      <c r="G263" s="1"/>
      <c r="H263" s="1"/>
      <c r="I263" s="1"/>
      <c r="J263" s="1"/>
      <c r="K263" s="1"/>
      <c r="L263" s="1"/>
      <c r="M263" s="1"/>
      <c r="N263" s="1"/>
      <c r="O263" s="1"/>
      <c r="P263" s="1"/>
      <c r="Q263" s="1"/>
      <c r="R263" s="1"/>
      <c r="S263" s="1"/>
      <c r="T263" s="1"/>
    </row>
    <row r="264" ht="14.25" customHeight="1">
      <c r="A264" s="52"/>
      <c r="B264" s="53"/>
      <c r="C264" s="53"/>
      <c r="D264" s="53"/>
      <c r="E264" s="53"/>
      <c r="F264" s="53"/>
      <c r="G264" s="1"/>
      <c r="H264" s="1"/>
      <c r="I264" s="1"/>
      <c r="J264" s="1"/>
      <c r="K264" s="1"/>
      <c r="L264" s="1"/>
      <c r="M264" s="1"/>
      <c r="N264" s="1"/>
      <c r="O264" s="1"/>
      <c r="P264" s="1"/>
      <c r="Q264" s="1"/>
      <c r="R264" s="1"/>
      <c r="S264" s="1"/>
      <c r="T264" s="1"/>
    </row>
    <row r="265" ht="14.25" customHeight="1">
      <c r="A265" s="52"/>
      <c r="B265" s="53"/>
      <c r="C265" s="53"/>
      <c r="D265" s="53"/>
      <c r="E265" s="53"/>
      <c r="F265" s="53"/>
      <c r="G265" s="1"/>
      <c r="H265" s="1"/>
      <c r="I265" s="1"/>
      <c r="J265" s="1"/>
      <c r="K265" s="1"/>
      <c r="L265" s="1"/>
      <c r="M265" s="1"/>
      <c r="N265" s="1"/>
      <c r="O265" s="1"/>
      <c r="P265" s="1"/>
      <c r="Q265" s="1"/>
      <c r="R265" s="1"/>
      <c r="S265" s="1"/>
      <c r="T265" s="1"/>
    </row>
    <row r="266" ht="14.25" customHeight="1">
      <c r="A266" s="52"/>
      <c r="B266" s="53"/>
      <c r="C266" s="53"/>
      <c r="D266" s="53"/>
      <c r="E266" s="53"/>
      <c r="F266" s="53"/>
      <c r="G266" s="1"/>
      <c r="H266" s="1"/>
      <c r="I266" s="1"/>
      <c r="J266" s="1"/>
      <c r="K266" s="1"/>
      <c r="L266" s="1"/>
      <c r="M266" s="1"/>
      <c r="N266" s="1"/>
      <c r="O266" s="1"/>
      <c r="P266" s="1"/>
      <c r="Q266" s="1"/>
      <c r="R266" s="1"/>
      <c r="S266" s="1"/>
      <c r="T266" s="1"/>
    </row>
    <row r="267" ht="14.25" customHeight="1">
      <c r="A267" s="52"/>
      <c r="B267" s="53"/>
      <c r="C267" s="53"/>
      <c r="D267" s="53"/>
      <c r="E267" s="53"/>
      <c r="F267" s="53"/>
      <c r="G267" s="1"/>
      <c r="H267" s="1"/>
      <c r="I267" s="1"/>
      <c r="J267" s="1"/>
      <c r="K267" s="1"/>
      <c r="L267" s="1"/>
      <c r="M267" s="1"/>
      <c r="N267" s="1"/>
      <c r="O267" s="1"/>
      <c r="P267" s="1"/>
      <c r="Q267" s="1"/>
      <c r="R267" s="1"/>
      <c r="S267" s="1"/>
      <c r="T267" s="1"/>
    </row>
    <row r="268" ht="14.25" customHeight="1">
      <c r="A268" s="52"/>
      <c r="B268" s="53"/>
      <c r="C268" s="53"/>
      <c r="D268" s="53"/>
      <c r="E268" s="53"/>
      <c r="F268" s="53"/>
      <c r="G268" s="1"/>
      <c r="H268" s="1"/>
      <c r="I268" s="1"/>
      <c r="J268" s="1"/>
      <c r="K268" s="1"/>
      <c r="L268" s="1"/>
      <c r="M268" s="1"/>
      <c r="N268" s="1"/>
      <c r="O268" s="1"/>
      <c r="P268" s="1"/>
      <c r="Q268" s="1"/>
      <c r="R268" s="1"/>
      <c r="S268" s="1"/>
      <c r="T268" s="1"/>
    </row>
    <row r="269" ht="14.25" customHeight="1">
      <c r="A269" s="52"/>
      <c r="B269" s="53"/>
      <c r="C269" s="53"/>
      <c r="D269" s="53"/>
      <c r="E269" s="53"/>
      <c r="F269" s="53"/>
      <c r="G269" s="1"/>
      <c r="H269" s="1"/>
      <c r="I269" s="1"/>
      <c r="J269" s="1"/>
      <c r="K269" s="1"/>
      <c r="L269" s="1"/>
      <c r="M269" s="1"/>
      <c r="N269" s="1"/>
      <c r="O269" s="1"/>
      <c r="P269" s="1"/>
      <c r="Q269" s="1"/>
      <c r="R269" s="1"/>
      <c r="S269" s="1"/>
      <c r="T269" s="1"/>
    </row>
    <row r="270" ht="14.25" customHeight="1">
      <c r="A270" s="52"/>
      <c r="B270" s="53"/>
      <c r="C270" s="53"/>
      <c r="D270" s="53"/>
      <c r="E270" s="53"/>
      <c r="F270" s="53"/>
      <c r="G270" s="1"/>
      <c r="H270" s="1"/>
      <c r="I270" s="1"/>
      <c r="J270" s="1"/>
      <c r="K270" s="1"/>
      <c r="L270" s="1"/>
      <c r="M270" s="1"/>
      <c r="N270" s="1"/>
      <c r="O270" s="1"/>
      <c r="P270" s="1"/>
      <c r="Q270" s="1"/>
      <c r="R270" s="1"/>
      <c r="S270" s="1"/>
      <c r="T270" s="1"/>
    </row>
    <row r="271" ht="14.25" customHeight="1">
      <c r="A271" s="52"/>
      <c r="B271" s="53"/>
      <c r="C271" s="53"/>
      <c r="D271" s="53"/>
      <c r="E271" s="53"/>
      <c r="F271" s="53"/>
      <c r="G271" s="1"/>
      <c r="H271" s="1"/>
      <c r="I271" s="1"/>
      <c r="J271" s="1"/>
      <c r="K271" s="1"/>
      <c r="L271" s="1"/>
      <c r="M271" s="1"/>
      <c r="N271" s="1"/>
      <c r="O271" s="1"/>
      <c r="P271" s="1"/>
      <c r="Q271" s="1"/>
      <c r="R271" s="1"/>
      <c r="S271" s="1"/>
      <c r="T271" s="1"/>
    </row>
    <row r="272" ht="14.25" customHeight="1">
      <c r="A272" s="52"/>
      <c r="B272" s="53"/>
      <c r="C272" s="53"/>
      <c r="D272" s="53"/>
      <c r="E272" s="53"/>
      <c r="F272" s="53"/>
      <c r="G272" s="1"/>
      <c r="H272" s="1"/>
      <c r="I272" s="1"/>
      <c r="J272" s="1"/>
      <c r="K272" s="1"/>
      <c r="L272" s="1"/>
      <c r="M272" s="1"/>
      <c r="N272" s="1"/>
      <c r="O272" s="1"/>
      <c r="P272" s="1"/>
      <c r="Q272" s="1"/>
      <c r="R272" s="1"/>
      <c r="S272" s="1"/>
      <c r="T272" s="1"/>
    </row>
    <row r="273" ht="14.25" customHeight="1">
      <c r="A273" s="52"/>
      <c r="B273" s="53"/>
      <c r="C273" s="53"/>
      <c r="D273" s="53"/>
      <c r="E273" s="53"/>
      <c r="F273" s="53"/>
      <c r="G273" s="1"/>
      <c r="H273" s="1"/>
      <c r="I273" s="1"/>
      <c r="J273" s="1"/>
      <c r="K273" s="1"/>
      <c r="L273" s="1"/>
      <c r="M273" s="1"/>
      <c r="N273" s="1"/>
      <c r="O273" s="1"/>
      <c r="P273" s="1"/>
      <c r="Q273" s="1"/>
      <c r="R273" s="1"/>
      <c r="S273" s="1"/>
      <c r="T273" s="1"/>
    </row>
    <row r="274" ht="14.25" customHeight="1">
      <c r="A274" s="52"/>
      <c r="B274" s="53"/>
      <c r="C274" s="53"/>
      <c r="D274" s="53"/>
      <c r="E274" s="53"/>
      <c r="F274" s="53"/>
      <c r="G274" s="1"/>
      <c r="H274" s="1"/>
      <c r="I274" s="1"/>
      <c r="J274" s="1"/>
      <c r="K274" s="1"/>
      <c r="L274" s="1"/>
      <c r="M274" s="1"/>
      <c r="N274" s="1"/>
      <c r="O274" s="1"/>
      <c r="P274" s="1"/>
      <c r="Q274" s="1"/>
      <c r="R274" s="1"/>
      <c r="S274" s="1"/>
      <c r="T274" s="1"/>
    </row>
    <row r="275" ht="14.25" customHeight="1">
      <c r="A275" s="52"/>
      <c r="B275" s="53"/>
      <c r="C275" s="53"/>
      <c r="D275" s="53"/>
      <c r="E275" s="53"/>
      <c r="F275" s="53"/>
      <c r="G275" s="1"/>
      <c r="H275" s="1"/>
      <c r="I275" s="1"/>
      <c r="J275" s="1"/>
      <c r="K275" s="1"/>
      <c r="L275" s="1"/>
      <c r="M275" s="1"/>
      <c r="N275" s="1"/>
      <c r="O275" s="1"/>
      <c r="P275" s="1"/>
      <c r="Q275" s="1"/>
      <c r="R275" s="1"/>
      <c r="S275" s="1"/>
      <c r="T275" s="1"/>
    </row>
    <row r="276" ht="14.25" customHeight="1">
      <c r="A276" s="52"/>
      <c r="B276" s="53"/>
      <c r="C276" s="53"/>
      <c r="D276" s="53"/>
      <c r="E276" s="53"/>
      <c r="F276" s="53"/>
      <c r="G276" s="1"/>
      <c r="H276" s="1"/>
      <c r="I276" s="1"/>
      <c r="J276" s="1"/>
      <c r="K276" s="1"/>
      <c r="L276" s="1"/>
      <c r="M276" s="1"/>
      <c r="N276" s="1"/>
      <c r="O276" s="1"/>
      <c r="P276" s="1"/>
      <c r="Q276" s="1"/>
      <c r="R276" s="1"/>
      <c r="S276" s="1"/>
      <c r="T276" s="1"/>
    </row>
    <row r="277" ht="14.25" customHeight="1">
      <c r="A277" s="52"/>
      <c r="B277" s="53"/>
      <c r="C277" s="53"/>
      <c r="D277" s="53"/>
      <c r="E277" s="53"/>
      <c r="F277" s="53"/>
      <c r="G277" s="1"/>
      <c r="H277" s="1"/>
      <c r="I277" s="1"/>
      <c r="J277" s="1"/>
      <c r="K277" s="1"/>
      <c r="L277" s="1"/>
      <c r="M277" s="1"/>
      <c r="N277" s="1"/>
      <c r="O277" s="1"/>
      <c r="P277" s="1"/>
      <c r="Q277" s="1"/>
      <c r="R277" s="1"/>
      <c r="S277" s="1"/>
      <c r="T277" s="1"/>
    </row>
    <row r="278" ht="14.25" customHeight="1">
      <c r="A278" s="52"/>
      <c r="B278" s="53"/>
      <c r="C278" s="53"/>
      <c r="D278" s="53"/>
      <c r="E278" s="53"/>
      <c r="F278" s="53"/>
      <c r="G278" s="1"/>
      <c r="H278" s="1"/>
      <c r="I278" s="1"/>
      <c r="J278" s="1"/>
      <c r="K278" s="1"/>
      <c r="L278" s="1"/>
      <c r="M278" s="1"/>
      <c r="N278" s="1"/>
      <c r="O278" s="1"/>
      <c r="P278" s="1"/>
      <c r="Q278" s="1"/>
      <c r="R278" s="1"/>
      <c r="S278" s="1"/>
      <c r="T278" s="1"/>
    </row>
    <row r="279" ht="14.25" customHeight="1">
      <c r="A279" s="52"/>
      <c r="B279" s="53"/>
      <c r="C279" s="53"/>
      <c r="D279" s="53"/>
      <c r="E279" s="53"/>
      <c r="F279" s="53"/>
      <c r="G279" s="1"/>
      <c r="H279" s="1"/>
      <c r="I279" s="1"/>
      <c r="J279" s="1"/>
      <c r="K279" s="1"/>
      <c r="L279" s="1"/>
      <c r="M279" s="1"/>
      <c r="N279" s="1"/>
      <c r="O279" s="1"/>
      <c r="P279" s="1"/>
      <c r="Q279" s="1"/>
      <c r="R279" s="1"/>
      <c r="S279" s="1"/>
      <c r="T279" s="1"/>
    </row>
    <row r="280" ht="14.25" customHeight="1">
      <c r="A280" s="52"/>
      <c r="B280" s="53"/>
      <c r="C280" s="53"/>
      <c r="D280" s="53"/>
      <c r="E280" s="53"/>
      <c r="F280" s="53"/>
      <c r="G280" s="1"/>
      <c r="H280" s="1"/>
      <c r="I280" s="1"/>
      <c r="J280" s="1"/>
      <c r="K280" s="1"/>
      <c r="L280" s="1"/>
      <c r="M280" s="1"/>
      <c r="N280" s="1"/>
      <c r="O280" s="1"/>
      <c r="P280" s="1"/>
      <c r="Q280" s="1"/>
      <c r="R280" s="1"/>
      <c r="S280" s="1"/>
      <c r="T280" s="1"/>
    </row>
    <row r="281" ht="14.25" customHeight="1">
      <c r="A281" s="52"/>
      <c r="B281" s="53"/>
      <c r="C281" s="53"/>
      <c r="D281" s="53"/>
      <c r="E281" s="53"/>
      <c r="F281" s="53"/>
      <c r="G281" s="1"/>
      <c r="H281" s="1"/>
      <c r="I281" s="1"/>
      <c r="J281" s="1"/>
      <c r="K281" s="1"/>
      <c r="L281" s="1"/>
      <c r="M281" s="1"/>
      <c r="N281" s="1"/>
      <c r="O281" s="1"/>
      <c r="P281" s="1"/>
      <c r="Q281" s="1"/>
      <c r="R281" s="1"/>
      <c r="S281" s="1"/>
      <c r="T281" s="1"/>
    </row>
    <row r="282" ht="14.25" customHeight="1">
      <c r="A282" s="52"/>
      <c r="B282" s="53"/>
      <c r="C282" s="53"/>
      <c r="D282" s="53"/>
      <c r="E282" s="53"/>
      <c r="F282" s="53"/>
      <c r="G282" s="1"/>
      <c r="H282" s="1"/>
      <c r="I282" s="1"/>
      <c r="J282" s="1"/>
      <c r="K282" s="1"/>
      <c r="L282" s="1"/>
      <c r="M282" s="1"/>
      <c r="N282" s="1"/>
      <c r="O282" s="1"/>
      <c r="P282" s="1"/>
      <c r="Q282" s="1"/>
      <c r="R282" s="1"/>
      <c r="S282" s="1"/>
      <c r="T282" s="1"/>
    </row>
    <row r="283" ht="14.25" customHeight="1">
      <c r="A283" s="52"/>
      <c r="B283" s="53"/>
      <c r="C283" s="53"/>
      <c r="D283" s="53"/>
      <c r="E283" s="53"/>
      <c r="F283" s="53"/>
      <c r="G283" s="1"/>
      <c r="H283" s="1"/>
      <c r="I283" s="1"/>
      <c r="J283" s="1"/>
      <c r="K283" s="1"/>
      <c r="L283" s="1"/>
      <c r="M283" s="1"/>
      <c r="N283" s="1"/>
      <c r="O283" s="1"/>
      <c r="P283" s="1"/>
      <c r="Q283" s="1"/>
      <c r="R283" s="1"/>
      <c r="S283" s="1"/>
      <c r="T283" s="1"/>
    </row>
    <row r="284" ht="14.25" customHeight="1">
      <c r="A284" s="52"/>
      <c r="B284" s="53"/>
      <c r="C284" s="53"/>
      <c r="D284" s="53"/>
      <c r="E284" s="53"/>
      <c r="F284" s="53"/>
      <c r="G284" s="1"/>
      <c r="H284" s="1"/>
      <c r="I284" s="1"/>
      <c r="J284" s="1"/>
      <c r="K284" s="1"/>
      <c r="L284" s="1"/>
      <c r="M284" s="1"/>
      <c r="N284" s="1"/>
      <c r="O284" s="1"/>
      <c r="P284" s="1"/>
      <c r="Q284" s="1"/>
      <c r="R284" s="1"/>
      <c r="S284" s="1"/>
      <c r="T284" s="1"/>
    </row>
    <row r="285" ht="14.25" customHeight="1">
      <c r="A285" s="52"/>
      <c r="B285" s="53"/>
      <c r="C285" s="53"/>
      <c r="D285" s="53"/>
      <c r="E285" s="53"/>
      <c r="F285" s="53"/>
      <c r="G285" s="1"/>
      <c r="H285" s="1"/>
      <c r="I285" s="1"/>
      <c r="J285" s="1"/>
      <c r="K285" s="1"/>
      <c r="L285" s="1"/>
      <c r="M285" s="1"/>
      <c r="N285" s="1"/>
      <c r="O285" s="1"/>
      <c r="P285" s="1"/>
      <c r="Q285" s="1"/>
      <c r="R285" s="1"/>
      <c r="S285" s="1"/>
      <c r="T285" s="1"/>
    </row>
    <row r="286" ht="14.25" customHeight="1">
      <c r="A286" s="52"/>
      <c r="B286" s="53"/>
      <c r="C286" s="53"/>
      <c r="D286" s="53"/>
      <c r="E286" s="53"/>
      <c r="F286" s="53"/>
      <c r="G286" s="1"/>
      <c r="H286" s="1"/>
      <c r="I286" s="1"/>
      <c r="J286" s="1"/>
      <c r="K286" s="1"/>
      <c r="L286" s="1"/>
      <c r="M286" s="1"/>
      <c r="N286" s="1"/>
      <c r="O286" s="1"/>
      <c r="P286" s="1"/>
      <c r="Q286" s="1"/>
      <c r="R286" s="1"/>
      <c r="S286" s="1"/>
      <c r="T286" s="1"/>
    </row>
    <row r="287" ht="14.25" customHeight="1">
      <c r="A287" s="52"/>
      <c r="B287" s="53"/>
      <c r="C287" s="53"/>
      <c r="D287" s="53"/>
      <c r="E287" s="53"/>
      <c r="F287" s="53"/>
      <c r="G287" s="1"/>
      <c r="H287" s="1"/>
      <c r="I287" s="1"/>
      <c r="J287" s="1"/>
      <c r="K287" s="1"/>
      <c r="L287" s="1"/>
      <c r="M287" s="1"/>
      <c r="N287" s="1"/>
      <c r="O287" s="1"/>
      <c r="P287" s="1"/>
      <c r="Q287" s="1"/>
      <c r="R287" s="1"/>
      <c r="S287" s="1"/>
      <c r="T287" s="1"/>
    </row>
    <row r="288" ht="14.25" customHeight="1">
      <c r="A288" s="52"/>
      <c r="B288" s="53"/>
      <c r="C288" s="53"/>
      <c r="D288" s="53"/>
      <c r="E288" s="53"/>
      <c r="F288" s="53"/>
      <c r="G288" s="1"/>
      <c r="H288" s="1"/>
      <c r="I288" s="1"/>
      <c r="J288" s="1"/>
      <c r="K288" s="1"/>
      <c r="L288" s="1"/>
      <c r="M288" s="1"/>
      <c r="N288" s="1"/>
      <c r="O288" s="1"/>
      <c r="P288" s="1"/>
      <c r="Q288" s="1"/>
      <c r="R288" s="1"/>
      <c r="S288" s="1"/>
      <c r="T288" s="1"/>
    </row>
    <row r="289" ht="14.25" customHeight="1">
      <c r="A289" s="52"/>
      <c r="B289" s="53"/>
      <c r="C289" s="53"/>
      <c r="D289" s="53"/>
      <c r="E289" s="53"/>
      <c r="F289" s="53"/>
      <c r="G289" s="1"/>
      <c r="H289" s="1"/>
      <c r="I289" s="1"/>
      <c r="J289" s="1"/>
      <c r="K289" s="1"/>
      <c r="L289" s="1"/>
      <c r="M289" s="1"/>
      <c r="N289" s="1"/>
      <c r="O289" s="1"/>
      <c r="P289" s="1"/>
      <c r="Q289" s="1"/>
      <c r="R289" s="1"/>
      <c r="S289" s="1"/>
      <c r="T289" s="1"/>
    </row>
    <row r="290" ht="14.25" customHeight="1">
      <c r="A290" s="52"/>
      <c r="B290" s="53"/>
      <c r="C290" s="53"/>
      <c r="D290" s="53"/>
      <c r="E290" s="53"/>
      <c r="F290" s="53"/>
      <c r="G290" s="1"/>
      <c r="H290" s="1"/>
      <c r="I290" s="1"/>
      <c r="J290" s="1"/>
      <c r="K290" s="1"/>
      <c r="L290" s="1"/>
      <c r="M290" s="1"/>
      <c r="N290" s="1"/>
      <c r="O290" s="1"/>
      <c r="P290" s="1"/>
      <c r="Q290" s="1"/>
      <c r="R290" s="1"/>
      <c r="S290" s="1"/>
      <c r="T290" s="1"/>
    </row>
    <row r="291" ht="14.25" customHeight="1">
      <c r="A291" s="52"/>
      <c r="B291" s="53"/>
      <c r="C291" s="53"/>
      <c r="D291" s="53"/>
      <c r="E291" s="53"/>
      <c r="F291" s="53"/>
      <c r="G291" s="1"/>
      <c r="H291" s="1"/>
      <c r="I291" s="1"/>
      <c r="J291" s="1"/>
      <c r="K291" s="1"/>
      <c r="L291" s="1"/>
      <c r="M291" s="1"/>
      <c r="N291" s="1"/>
      <c r="O291" s="1"/>
      <c r="P291" s="1"/>
      <c r="Q291" s="1"/>
      <c r="R291" s="1"/>
      <c r="S291" s="1"/>
      <c r="T291" s="1"/>
    </row>
    <row r="292" ht="14.25" customHeight="1">
      <c r="A292" s="52"/>
      <c r="B292" s="53"/>
      <c r="C292" s="53"/>
      <c r="D292" s="53"/>
      <c r="E292" s="53"/>
      <c r="F292" s="53"/>
      <c r="G292" s="1"/>
      <c r="H292" s="1"/>
      <c r="I292" s="1"/>
      <c r="J292" s="1"/>
      <c r="K292" s="1"/>
      <c r="L292" s="1"/>
      <c r="M292" s="1"/>
      <c r="N292" s="1"/>
      <c r="O292" s="1"/>
      <c r="P292" s="1"/>
      <c r="Q292" s="1"/>
      <c r="R292" s="1"/>
      <c r="S292" s="1"/>
      <c r="T292" s="1"/>
    </row>
    <row r="293" ht="14.25" customHeight="1">
      <c r="A293" s="52"/>
      <c r="B293" s="53"/>
      <c r="C293" s="53"/>
      <c r="D293" s="53"/>
      <c r="E293" s="53"/>
      <c r="F293" s="53"/>
      <c r="G293" s="1"/>
      <c r="H293" s="1"/>
      <c r="I293" s="1"/>
      <c r="J293" s="1"/>
      <c r="K293" s="1"/>
      <c r="L293" s="1"/>
      <c r="M293" s="1"/>
      <c r="N293" s="1"/>
      <c r="O293" s="1"/>
      <c r="P293" s="1"/>
      <c r="Q293" s="1"/>
      <c r="R293" s="1"/>
      <c r="S293" s="1"/>
      <c r="T293" s="1"/>
    </row>
    <row r="294" ht="14.25" customHeight="1">
      <c r="A294" s="52"/>
      <c r="B294" s="53"/>
      <c r="C294" s="53"/>
      <c r="D294" s="53"/>
      <c r="E294" s="53"/>
      <c r="F294" s="53"/>
      <c r="G294" s="1"/>
      <c r="H294" s="1"/>
      <c r="I294" s="1"/>
      <c r="J294" s="1"/>
      <c r="K294" s="1"/>
      <c r="L294" s="1"/>
      <c r="M294" s="1"/>
      <c r="N294" s="1"/>
      <c r="O294" s="1"/>
      <c r="P294" s="1"/>
      <c r="Q294" s="1"/>
      <c r="R294" s="1"/>
      <c r="S294" s="1"/>
      <c r="T294" s="1"/>
    </row>
    <row r="295" ht="14.25" customHeight="1">
      <c r="A295" s="52"/>
      <c r="B295" s="53"/>
      <c r="C295" s="53"/>
      <c r="D295" s="53"/>
      <c r="E295" s="53"/>
      <c r="F295" s="53"/>
      <c r="G295" s="1"/>
      <c r="H295" s="1"/>
      <c r="I295" s="1"/>
      <c r="J295" s="1"/>
      <c r="K295" s="1"/>
      <c r="L295" s="1"/>
      <c r="M295" s="1"/>
      <c r="N295" s="1"/>
      <c r="O295" s="1"/>
      <c r="P295" s="1"/>
      <c r="Q295" s="1"/>
      <c r="R295" s="1"/>
      <c r="S295" s="1"/>
      <c r="T295" s="1"/>
    </row>
    <row r="296" ht="14.25" customHeight="1">
      <c r="A296" s="52"/>
      <c r="B296" s="53"/>
      <c r="C296" s="53"/>
      <c r="D296" s="53"/>
      <c r="E296" s="53"/>
      <c r="F296" s="53"/>
      <c r="G296" s="1"/>
      <c r="H296" s="1"/>
      <c r="I296" s="1"/>
      <c r="J296" s="1"/>
      <c r="K296" s="1"/>
      <c r="L296" s="1"/>
      <c r="M296" s="1"/>
      <c r="N296" s="1"/>
      <c r="O296" s="1"/>
      <c r="P296" s="1"/>
      <c r="Q296" s="1"/>
      <c r="R296" s="1"/>
      <c r="S296" s="1"/>
      <c r="T296" s="1"/>
    </row>
    <row r="297" ht="14.25" customHeight="1">
      <c r="A297" s="52"/>
      <c r="B297" s="53"/>
      <c r="C297" s="53"/>
      <c r="D297" s="53"/>
      <c r="E297" s="53"/>
      <c r="F297" s="53"/>
      <c r="G297" s="1"/>
      <c r="H297" s="1"/>
      <c r="I297" s="1"/>
      <c r="J297" s="1"/>
      <c r="K297" s="1"/>
      <c r="L297" s="1"/>
      <c r="M297" s="1"/>
      <c r="N297" s="1"/>
      <c r="O297" s="1"/>
      <c r="P297" s="1"/>
      <c r="Q297" s="1"/>
      <c r="R297" s="1"/>
      <c r="S297" s="1"/>
      <c r="T297" s="1"/>
    </row>
    <row r="298" ht="14.25" customHeight="1">
      <c r="A298" s="52"/>
      <c r="B298" s="53"/>
      <c r="C298" s="53"/>
      <c r="D298" s="53"/>
      <c r="E298" s="53"/>
      <c r="F298" s="53"/>
      <c r="G298" s="1"/>
      <c r="H298" s="1"/>
      <c r="I298" s="1"/>
      <c r="J298" s="1"/>
      <c r="K298" s="1"/>
      <c r="L298" s="1"/>
      <c r="M298" s="1"/>
      <c r="N298" s="1"/>
      <c r="O298" s="1"/>
      <c r="P298" s="1"/>
      <c r="Q298" s="1"/>
      <c r="R298" s="1"/>
      <c r="S298" s="1"/>
      <c r="T298" s="1"/>
    </row>
    <row r="299" ht="14.25" customHeight="1">
      <c r="A299" s="52"/>
      <c r="B299" s="53"/>
      <c r="C299" s="53"/>
      <c r="D299" s="53"/>
      <c r="E299" s="53"/>
      <c r="F299" s="53"/>
      <c r="G299" s="1"/>
      <c r="H299" s="1"/>
      <c r="I299" s="1"/>
      <c r="J299" s="1"/>
      <c r="K299" s="1"/>
      <c r="L299" s="1"/>
      <c r="M299" s="1"/>
      <c r="N299" s="1"/>
      <c r="O299" s="1"/>
      <c r="P299" s="1"/>
      <c r="Q299" s="1"/>
      <c r="R299" s="1"/>
      <c r="S299" s="1"/>
      <c r="T299" s="1"/>
    </row>
    <row r="300" ht="14.25" customHeight="1">
      <c r="A300" s="52"/>
      <c r="B300" s="53"/>
      <c r="C300" s="53"/>
      <c r="D300" s="53"/>
      <c r="E300" s="53"/>
      <c r="F300" s="53"/>
      <c r="G300" s="1"/>
      <c r="H300" s="1"/>
      <c r="I300" s="1"/>
      <c r="J300" s="1"/>
      <c r="K300" s="1"/>
      <c r="L300" s="1"/>
      <c r="M300" s="1"/>
      <c r="N300" s="1"/>
      <c r="O300" s="1"/>
      <c r="P300" s="1"/>
      <c r="Q300" s="1"/>
      <c r="R300" s="1"/>
      <c r="S300" s="1"/>
      <c r="T300" s="1"/>
    </row>
    <row r="301" ht="14.25" customHeight="1">
      <c r="A301" s="52"/>
      <c r="B301" s="53"/>
      <c r="C301" s="53"/>
      <c r="D301" s="53"/>
      <c r="E301" s="53"/>
      <c r="F301" s="53"/>
      <c r="G301" s="1"/>
      <c r="H301" s="1"/>
      <c r="I301" s="1"/>
      <c r="J301" s="1"/>
      <c r="K301" s="1"/>
      <c r="L301" s="1"/>
      <c r="M301" s="1"/>
      <c r="N301" s="1"/>
      <c r="O301" s="1"/>
      <c r="P301" s="1"/>
      <c r="Q301" s="1"/>
      <c r="R301" s="1"/>
      <c r="S301" s="1"/>
      <c r="T301" s="1"/>
    </row>
    <row r="302" ht="14.25" customHeight="1">
      <c r="A302" s="52"/>
      <c r="B302" s="53"/>
      <c r="C302" s="53"/>
      <c r="D302" s="53"/>
      <c r="E302" s="53"/>
      <c r="F302" s="53"/>
      <c r="G302" s="1"/>
      <c r="H302" s="1"/>
      <c r="I302" s="1"/>
      <c r="J302" s="1"/>
      <c r="K302" s="1"/>
      <c r="L302" s="1"/>
      <c r="M302" s="1"/>
      <c r="N302" s="1"/>
      <c r="O302" s="1"/>
      <c r="P302" s="1"/>
      <c r="Q302" s="1"/>
      <c r="R302" s="1"/>
      <c r="S302" s="1"/>
      <c r="T302" s="1"/>
    </row>
    <row r="303" ht="14.25" customHeight="1">
      <c r="A303" s="52"/>
      <c r="B303" s="53"/>
      <c r="C303" s="53"/>
      <c r="D303" s="53"/>
      <c r="E303" s="53"/>
      <c r="F303" s="53"/>
      <c r="G303" s="1"/>
      <c r="H303" s="1"/>
      <c r="I303" s="1"/>
      <c r="J303" s="1"/>
      <c r="K303" s="1"/>
      <c r="L303" s="1"/>
      <c r="M303" s="1"/>
      <c r="N303" s="1"/>
      <c r="O303" s="1"/>
      <c r="P303" s="1"/>
      <c r="Q303" s="1"/>
      <c r="R303" s="1"/>
      <c r="S303" s="1"/>
      <c r="T303" s="1"/>
    </row>
    <row r="304" ht="14.25" customHeight="1">
      <c r="A304" s="52"/>
      <c r="B304" s="53"/>
      <c r="C304" s="53"/>
      <c r="D304" s="53"/>
      <c r="E304" s="53"/>
      <c r="F304" s="53"/>
      <c r="G304" s="1"/>
      <c r="H304" s="1"/>
      <c r="I304" s="1"/>
      <c r="J304" s="1"/>
      <c r="K304" s="1"/>
      <c r="L304" s="1"/>
      <c r="M304" s="1"/>
      <c r="N304" s="1"/>
      <c r="O304" s="1"/>
      <c r="P304" s="1"/>
      <c r="Q304" s="1"/>
      <c r="R304" s="1"/>
      <c r="S304" s="1"/>
      <c r="T304" s="1"/>
    </row>
    <row r="305" ht="14.25" customHeight="1">
      <c r="A305" s="52"/>
      <c r="B305" s="53"/>
      <c r="C305" s="53"/>
      <c r="D305" s="53"/>
      <c r="E305" s="53"/>
      <c r="F305" s="53"/>
      <c r="G305" s="1"/>
      <c r="H305" s="1"/>
      <c r="I305" s="1"/>
      <c r="J305" s="1"/>
      <c r="K305" s="1"/>
      <c r="L305" s="1"/>
      <c r="M305" s="1"/>
      <c r="N305" s="1"/>
      <c r="O305" s="1"/>
      <c r="P305" s="1"/>
      <c r="Q305" s="1"/>
      <c r="R305" s="1"/>
      <c r="S305" s="1"/>
      <c r="T305" s="1"/>
    </row>
    <row r="306" ht="14.25" customHeight="1">
      <c r="A306" s="52"/>
      <c r="B306" s="53"/>
      <c r="C306" s="53"/>
      <c r="D306" s="53"/>
      <c r="E306" s="53"/>
      <c r="F306" s="53"/>
      <c r="G306" s="1"/>
      <c r="H306" s="1"/>
      <c r="I306" s="1"/>
      <c r="J306" s="1"/>
      <c r="K306" s="1"/>
      <c r="L306" s="1"/>
      <c r="M306" s="1"/>
      <c r="N306" s="1"/>
      <c r="O306" s="1"/>
      <c r="P306" s="1"/>
      <c r="Q306" s="1"/>
      <c r="R306" s="1"/>
      <c r="S306" s="1"/>
      <c r="T306" s="1"/>
    </row>
    <row r="307" ht="14.25" customHeight="1">
      <c r="A307" s="52"/>
      <c r="B307" s="53"/>
      <c r="C307" s="53"/>
      <c r="D307" s="53"/>
      <c r="E307" s="53"/>
      <c r="F307" s="53"/>
      <c r="G307" s="1"/>
      <c r="H307" s="1"/>
      <c r="I307" s="1"/>
      <c r="J307" s="1"/>
      <c r="K307" s="1"/>
      <c r="L307" s="1"/>
      <c r="M307" s="1"/>
      <c r="N307" s="1"/>
      <c r="O307" s="1"/>
      <c r="P307" s="1"/>
      <c r="Q307" s="1"/>
      <c r="R307" s="1"/>
      <c r="S307" s="1"/>
      <c r="T307" s="1"/>
    </row>
    <row r="308" ht="14.25" customHeight="1">
      <c r="A308" s="52"/>
      <c r="B308" s="53"/>
      <c r="C308" s="53"/>
      <c r="D308" s="53"/>
      <c r="E308" s="53"/>
      <c r="F308" s="53"/>
      <c r="G308" s="1"/>
      <c r="H308" s="1"/>
      <c r="I308" s="1"/>
      <c r="J308" s="1"/>
      <c r="K308" s="1"/>
      <c r="L308" s="1"/>
      <c r="M308" s="1"/>
      <c r="N308" s="1"/>
      <c r="O308" s="1"/>
      <c r="P308" s="1"/>
      <c r="Q308" s="1"/>
      <c r="R308" s="1"/>
      <c r="S308" s="1"/>
      <c r="T308" s="1"/>
    </row>
    <row r="309" ht="14.25" customHeight="1">
      <c r="A309" s="52"/>
      <c r="B309" s="53"/>
      <c r="C309" s="53"/>
      <c r="D309" s="53"/>
      <c r="E309" s="53"/>
      <c r="F309" s="53"/>
      <c r="G309" s="1"/>
      <c r="H309" s="1"/>
      <c r="I309" s="1"/>
      <c r="J309" s="1"/>
      <c r="K309" s="1"/>
      <c r="L309" s="1"/>
      <c r="M309" s="1"/>
      <c r="N309" s="1"/>
      <c r="O309" s="1"/>
      <c r="P309" s="1"/>
      <c r="Q309" s="1"/>
      <c r="R309" s="1"/>
      <c r="S309" s="1"/>
      <c r="T309" s="1"/>
    </row>
    <row r="310" ht="14.25" customHeight="1">
      <c r="A310" s="52"/>
      <c r="B310" s="53"/>
      <c r="C310" s="53"/>
      <c r="D310" s="53"/>
      <c r="E310" s="53"/>
      <c r="F310" s="53"/>
      <c r="G310" s="1"/>
      <c r="H310" s="1"/>
      <c r="I310" s="1"/>
      <c r="J310" s="1"/>
      <c r="K310" s="1"/>
      <c r="L310" s="1"/>
      <c r="M310" s="1"/>
      <c r="N310" s="1"/>
      <c r="O310" s="1"/>
      <c r="P310" s="1"/>
      <c r="Q310" s="1"/>
      <c r="R310" s="1"/>
      <c r="S310" s="1"/>
      <c r="T310" s="1"/>
    </row>
    <row r="311" ht="14.25" customHeight="1">
      <c r="A311" s="52"/>
      <c r="B311" s="53"/>
      <c r="C311" s="53"/>
      <c r="D311" s="53"/>
      <c r="E311" s="53"/>
      <c r="F311" s="53"/>
      <c r="G311" s="1"/>
      <c r="H311" s="1"/>
      <c r="I311" s="1"/>
      <c r="J311" s="1"/>
      <c r="K311" s="1"/>
      <c r="L311" s="1"/>
      <c r="M311" s="1"/>
      <c r="N311" s="1"/>
      <c r="O311" s="1"/>
      <c r="P311" s="1"/>
      <c r="Q311" s="1"/>
      <c r="R311" s="1"/>
      <c r="S311" s="1"/>
      <c r="T311" s="1"/>
    </row>
    <row r="312" ht="14.25" customHeight="1">
      <c r="A312" s="52"/>
      <c r="B312" s="53"/>
      <c r="C312" s="53"/>
      <c r="D312" s="53"/>
      <c r="E312" s="53"/>
      <c r="F312" s="53"/>
      <c r="G312" s="1"/>
      <c r="H312" s="1"/>
      <c r="I312" s="1"/>
      <c r="J312" s="1"/>
      <c r="K312" s="1"/>
      <c r="L312" s="1"/>
      <c r="M312" s="1"/>
      <c r="N312" s="1"/>
      <c r="O312" s="1"/>
      <c r="P312" s="1"/>
      <c r="Q312" s="1"/>
      <c r="R312" s="1"/>
      <c r="S312" s="1"/>
      <c r="T312" s="1"/>
    </row>
    <row r="313" ht="14.25" customHeight="1">
      <c r="A313" s="52"/>
      <c r="B313" s="53"/>
      <c r="C313" s="53"/>
      <c r="D313" s="53"/>
      <c r="E313" s="53"/>
      <c r="F313" s="53"/>
      <c r="G313" s="1"/>
      <c r="H313" s="1"/>
      <c r="I313" s="1"/>
      <c r="J313" s="1"/>
      <c r="K313" s="1"/>
      <c r="L313" s="1"/>
      <c r="M313" s="1"/>
      <c r="N313" s="1"/>
      <c r="O313" s="1"/>
      <c r="P313" s="1"/>
      <c r="Q313" s="1"/>
      <c r="R313" s="1"/>
      <c r="S313" s="1"/>
      <c r="T313" s="1"/>
    </row>
    <row r="314" ht="14.25" customHeight="1">
      <c r="A314" s="52"/>
      <c r="B314" s="53"/>
      <c r="C314" s="53"/>
      <c r="D314" s="53"/>
      <c r="E314" s="53"/>
      <c r="F314" s="53"/>
      <c r="G314" s="1"/>
      <c r="H314" s="1"/>
      <c r="I314" s="1"/>
      <c r="J314" s="1"/>
      <c r="K314" s="1"/>
      <c r="L314" s="1"/>
      <c r="M314" s="1"/>
      <c r="N314" s="1"/>
      <c r="O314" s="1"/>
      <c r="P314" s="1"/>
      <c r="Q314" s="1"/>
      <c r="R314" s="1"/>
      <c r="S314" s="1"/>
      <c r="T314" s="1"/>
    </row>
    <row r="315" ht="14.25" customHeight="1">
      <c r="A315" s="52"/>
      <c r="B315" s="53"/>
      <c r="C315" s="53"/>
      <c r="D315" s="53"/>
      <c r="E315" s="53"/>
      <c r="F315" s="53"/>
      <c r="G315" s="1"/>
      <c r="H315" s="1"/>
      <c r="I315" s="1"/>
      <c r="J315" s="1"/>
      <c r="K315" s="1"/>
      <c r="L315" s="1"/>
      <c r="M315" s="1"/>
      <c r="N315" s="1"/>
      <c r="O315" s="1"/>
      <c r="P315" s="1"/>
      <c r="Q315" s="1"/>
      <c r="R315" s="1"/>
      <c r="S315" s="1"/>
      <c r="T315" s="1"/>
    </row>
    <row r="316" ht="14.25" customHeight="1">
      <c r="A316" s="52"/>
      <c r="B316" s="53"/>
      <c r="C316" s="53"/>
      <c r="D316" s="53"/>
      <c r="E316" s="53"/>
      <c r="F316" s="53"/>
      <c r="G316" s="1"/>
      <c r="H316" s="1"/>
      <c r="I316" s="1"/>
      <c r="J316" s="1"/>
      <c r="K316" s="1"/>
      <c r="L316" s="1"/>
      <c r="M316" s="1"/>
      <c r="N316" s="1"/>
      <c r="O316" s="1"/>
      <c r="P316" s="1"/>
      <c r="Q316" s="1"/>
      <c r="R316" s="1"/>
      <c r="S316" s="1"/>
      <c r="T316" s="1"/>
    </row>
    <row r="317" ht="14.25" customHeight="1">
      <c r="A317" s="52"/>
      <c r="B317" s="53"/>
      <c r="C317" s="53"/>
      <c r="D317" s="53"/>
      <c r="E317" s="53"/>
      <c r="F317" s="53"/>
      <c r="G317" s="1"/>
      <c r="H317" s="1"/>
      <c r="I317" s="1"/>
      <c r="J317" s="1"/>
      <c r="K317" s="1"/>
      <c r="L317" s="1"/>
      <c r="M317" s="1"/>
      <c r="N317" s="1"/>
      <c r="O317" s="1"/>
      <c r="P317" s="1"/>
      <c r="Q317" s="1"/>
      <c r="R317" s="1"/>
      <c r="S317" s="1"/>
      <c r="T317" s="1"/>
    </row>
    <row r="318" ht="14.25" customHeight="1">
      <c r="A318" s="52"/>
      <c r="B318" s="53"/>
      <c r="C318" s="53"/>
      <c r="D318" s="53"/>
      <c r="E318" s="53"/>
      <c r="F318" s="53"/>
      <c r="G318" s="1"/>
      <c r="H318" s="1"/>
      <c r="I318" s="1"/>
      <c r="J318" s="1"/>
      <c r="K318" s="1"/>
      <c r="L318" s="1"/>
      <c r="M318" s="1"/>
      <c r="N318" s="1"/>
      <c r="O318" s="1"/>
      <c r="P318" s="1"/>
      <c r="Q318" s="1"/>
      <c r="R318" s="1"/>
      <c r="S318" s="1"/>
      <c r="T318" s="1"/>
    </row>
    <row r="319" ht="14.25" customHeight="1">
      <c r="A319" s="52"/>
      <c r="B319" s="53"/>
      <c r="C319" s="53"/>
      <c r="D319" s="53"/>
      <c r="E319" s="53"/>
      <c r="F319" s="53"/>
      <c r="G319" s="1"/>
      <c r="H319" s="1"/>
      <c r="I319" s="1"/>
      <c r="J319" s="1"/>
      <c r="K319" s="1"/>
      <c r="L319" s="1"/>
      <c r="M319" s="1"/>
      <c r="N319" s="1"/>
      <c r="O319" s="1"/>
      <c r="P319" s="1"/>
      <c r="Q319" s="1"/>
      <c r="R319" s="1"/>
      <c r="S319" s="1"/>
      <c r="T319" s="1"/>
    </row>
    <row r="320" ht="14.25" customHeight="1">
      <c r="A320" s="52"/>
      <c r="B320" s="53"/>
      <c r="C320" s="53"/>
      <c r="D320" s="53"/>
      <c r="E320" s="53"/>
      <c r="F320" s="53"/>
      <c r="G320" s="1"/>
      <c r="H320" s="1"/>
      <c r="I320" s="1"/>
      <c r="J320" s="1"/>
      <c r="K320" s="1"/>
      <c r="L320" s="1"/>
      <c r="M320" s="1"/>
      <c r="N320" s="1"/>
      <c r="O320" s="1"/>
      <c r="P320" s="1"/>
      <c r="Q320" s="1"/>
      <c r="R320" s="1"/>
      <c r="S320" s="1"/>
      <c r="T320" s="1"/>
    </row>
    <row r="321" ht="14.25" customHeight="1">
      <c r="A321" s="52"/>
      <c r="B321" s="53"/>
      <c r="C321" s="53"/>
      <c r="D321" s="53"/>
      <c r="E321" s="53"/>
      <c r="F321" s="53"/>
      <c r="G321" s="1"/>
      <c r="H321" s="1"/>
      <c r="I321" s="1"/>
      <c r="J321" s="1"/>
      <c r="K321" s="1"/>
      <c r="L321" s="1"/>
      <c r="M321" s="1"/>
      <c r="N321" s="1"/>
      <c r="O321" s="1"/>
      <c r="P321" s="1"/>
      <c r="Q321" s="1"/>
      <c r="R321" s="1"/>
      <c r="S321" s="1"/>
      <c r="T321" s="1"/>
    </row>
    <row r="322" ht="14.25" customHeight="1">
      <c r="A322" s="52"/>
      <c r="B322" s="53"/>
      <c r="C322" s="53"/>
      <c r="D322" s="53"/>
      <c r="E322" s="53"/>
      <c r="F322" s="53"/>
      <c r="G322" s="1"/>
      <c r="H322" s="1"/>
      <c r="I322" s="1"/>
      <c r="J322" s="1"/>
      <c r="K322" s="1"/>
      <c r="L322" s="1"/>
      <c r="M322" s="1"/>
      <c r="N322" s="1"/>
      <c r="O322" s="1"/>
      <c r="P322" s="1"/>
      <c r="Q322" s="1"/>
      <c r="R322" s="1"/>
      <c r="S322" s="1"/>
      <c r="T322" s="1"/>
    </row>
    <row r="323" ht="14.25" customHeight="1">
      <c r="A323" s="52"/>
      <c r="B323" s="53"/>
      <c r="C323" s="53"/>
      <c r="D323" s="53"/>
      <c r="E323" s="53"/>
      <c r="F323" s="53"/>
      <c r="G323" s="1"/>
      <c r="H323" s="1"/>
      <c r="I323" s="1"/>
      <c r="J323" s="1"/>
      <c r="K323" s="1"/>
      <c r="L323" s="1"/>
      <c r="M323" s="1"/>
      <c r="N323" s="1"/>
      <c r="O323" s="1"/>
      <c r="P323" s="1"/>
      <c r="Q323" s="1"/>
      <c r="R323" s="1"/>
      <c r="S323" s="1"/>
      <c r="T323" s="1"/>
    </row>
    <row r="324" ht="14.25" customHeight="1">
      <c r="A324" s="52"/>
      <c r="B324" s="53"/>
      <c r="C324" s="53"/>
      <c r="D324" s="53"/>
      <c r="E324" s="53"/>
      <c r="F324" s="53"/>
      <c r="G324" s="1"/>
      <c r="H324" s="1"/>
      <c r="I324" s="1"/>
      <c r="J324" s="1"/>
      <c r="K324" s="1"/>
      <c r="L324" s="1"/>
      <c r="M324" s="1"/>
      <c r="N324" s="1"/>
      <c r="O324" s="1"/>
      <c r="P324" s="1"/>
      <c r="Q324" s="1"/>
      <c r="R324" s="1"/>
      <c r="S324" s="1"/>
      <c r="T324" s="1"/>
    </row>
    <row r="325" ht="14.25" customHeight="1">
      <c r="A325" s="52"/>
      <c r="B325" s="53"/>
      <c r="C325" s="53"/>
      <c r="D325" s="53"/>
      <c r="E325" s="53"/>
      <c r="F325" s="53"/>
      <c r="G325" s="1"/>
      <c r="H325" s="1"/>
      <c r="I325" s="1"/>
      <c r="J325" s="1"/>
      <c r="K325" s="1"/>
      <c r="L325" s="1"/>
      <c r="M325" s="1"/>
      <c r="N325" s="1"/>
      <c r="O325" s="1"/>
      <c r="P325" s="1"/>
      <c r="Q325" s="1"/>
      <c r="R325" s="1"/>
      <c r="S325" s="1"/>
      <c r="T325" s="1"/>
    </row>
    <row r="326" ht="14.25" customHeight="1">
      <c r="A326" s="52"/>
      <c r="B326" s="53"/>
      <c r="C326" s="53"/>
      <c r="D326" s="53"/>
      <c r="E326" s="53"/>
      <c r="F326" s="53"/>
      <c r="G326" s="1"/>
      <c r="H326" s="1"/>
      <c r="I326" s="1"/>
      <c r="J326" s="1"/>
      <c r="K326" s="1"/>
      <c r="L326" s="1"/>
      <c r="M326" s="1"/>
      <c r="N326" s="1"/>
      <c r="O326" s="1"/>
      <c r="P326" s="1"/>
      <c r="Q326" s="1"/>
      <c r="R326" s="1"/>
      <c r="S326" s="1"/>
      <c r="T326" s="1"/>
    </row>
    <row r="327" ht="14.25" customHeight="1">
      <c r="A327" s="52"/>
      <c r="B327" s="53"/>
      <c r="C327" s="53"/>
      <c r="D327" s="53"/>
      <c r="E327" s="53"/>
      <c r="F327" s="53"/>
      <c r="G327" s="1"/>
      <c r="H327" s="1"/>
      <c r="I327" s="1"/>
      <c r="J327" s="1"/>
      <c r="K327" s="1"/>
      <c r="L327" s="1"/>
      <c r="M327" s="1"/>
      <c r="N327" s="1"/>
      <c r="O327" s="1"/>
      <c r="P327" s="1"/>
      <c r="Q327" s="1"/>
      <c r="R327" s="1"/>
      <c r="S327" s="1"/>
      <c r="T327" s="1"/>
    </row>
    <row r="328" ht="14.25" customHeight="1">
      <c r="A328" s="52"/>
      <c r="B328" s="53"/>
      <c r="C328" s="53"/>
      <c r="D328" s="53"/>
      <c r="E328" s="53"/>
      <c r="F328" s="53"/>
      <c r="G328" s="1"/>
      <c r="H328" s="1"/>
      <c r="I328" s="1"/>
      <c r="J328" s="1"/>
      <c r="K328" s="1"/>
      <c r="L328" s="1"/>
      <c r="M328" s="1"/>
      <c r="N328" s="1"/>
      <c r="O328" s="1"/>
      <c r="P328" s="1"/>
      <c r="Q328" s="1"/>
      <c r="R328" s="1"/>
      <c r="S328" s="1"/>
      <c r="T328" s="1"/>
    </row>
    <row r="329" ht="14.25" customHeight="1">
      <c r="A329" s="52"/>
      <c r="B329" s="53"/>
      <c r="C329" s="53"/>
      <c r="D329" s="53"/>
      <c r="E329" s="53"/>
      <c r="F329" s="53"/>
      <c r="G329" s="1"/>
      <c r="H329" s="1"/>
      <c r="I329" s="1"/>
      <c r="J329" s="1"/>
      <c r="K329" s="1"/>
      <c r="L329" s="1"/>
      <c r="M329" s="1"/>
      <c r="N329" s="1"/>
      <c r="O329" s="1"/>
      <c r="P329" s="1"/>
      <c r="Q329" s="1"/>
      <c r="R329" s="1"/>
      <c r="S329" s="1"/>
      <c r="T329" s="1"/>
    </row>
    <row r="330" ht="14.25" customHeight="1">
      <c r="A330" s="52"/>
      <c r="B330" s="53"/>
      <c r="C330" s="53"/>
      <c r="D330" s="53"/>
      <c r="E330" s="53"/>
      <c r="F330" s="53"/>
      <c r="G330" s="1"/>
      <c r="H330" s="1"/>
      <c r="I330" s="1"/>
      <c r="J330" s="1"/>
      <c r="K330" s="1"/>
      <c r="L330" s="1"/>
      <c r="M330" s="1"/>
      <c r="N330" s="1"/>
      <c r="O330" s="1"/>
      <c r="P330" s="1"/>
      <c r="Q330" s="1"/>
      <c r="R330" s="1"/>
      <c r="S330" s="1"/>
      <c r="T330" s="1"/>
    </row>
    <row r="331" ht="14.25" customHeight="1">
      <c r="A331" s="52"/>
      <c r="B331" s="53"/>
      <c r="C331" s="53"/>
      <c r="D331" s="53"/>
      <c r="E331" s="53"/>
      <c r="F331" s="53"/>
      <c r="G331" s="1"/>
      <c r="H331" s="1"/>
      <c r="I331" s="1"/>
      <c r="J331" s="1"/>
      <c r="K331" s="1"/>
      <c r="L331" s="1"/>
      <c r="M331" s="1"/>
      <c r="N331" s="1"/>
      <c r="O331" s="1"/>
      <c r="P331" s="1"/>
      <c r="Q331" s="1"/>
      <c r="R331" s="1"/>
      <c r="S331" s="1"/>
      <c r="T331" s="1"/>
    </row>
    <row r="332" ht="14.25" customHeight="1">
      <c r="A332" s="52"/>
      <c r="B332" s="53"/>
      <c r="C332" s="53"/>
      <c r="D332" s="53"/>
      <c r="E332" s="53"/>
      <c r="F332" s="53"/>
      <c r="G332" s="1"/>
      <c r="H332" s="1"/>
      <c r="I332" s="1"/>
      <c r="J332" s="1"/>
      <c r="K332" s="1"/>
      <c r="L332" s="1"/>
      <c r="M332" s="1"/>
      <c r="N332" s="1"/>
      <c r="O332" s="1"/>
      <c r="P332" s="1"/>
      <c r="Q332" s="1"/>
      <c r="R332" s="1"/>
      <c r="S332" s="1"/>
      <c r="T332" s="1"/>
    </row>
    <row r="333" ht="14.25" customHeight="1">
      <c r="A333" s="52"/>
      <c r="B333" s="53"/>
      <c r="C333" s="53"/>
      <c r="D333" s="53"/>
      <c r="E333" s="53"/>
      <c r="F333" s="53"/>
      <c r="G333" s="1"/>
      <c r="H333" s="1"/>
      <c r="I333" s="1"/>
      <c r="J333" s="1"/>
      <c r="K333" s="1"/>
      <c r="L333" s="1"/>
      <c r="M333" s="1"/>
      <c r="N333" s="1"/>
      <c r="O333" s="1"/>
      <c r="P333" s="1"/>
      <c r="Q333" s="1"/>
      <c r="R333" s="1"/>
      <c r="S333" s="1"/>
      <c r="T333" s="1"/>
    </row>
    <row r="334" ht="14.25" customHeight="1">
      <c r="A334" s="52"/>
      <c r="B334" s="53"/>
      <c r="C334" s="53"/>
      <c r="D334" s="53"/>
      <c r="E334" s="53"/>
      <c r="F334" s="53"/>
      <c r="G334" s="1"/>
      <c r="H334" s="1"/>
      <c r="I334" s="1"/>
      <c r="J334" s="1"/>
      <c r="K334" s="1"/>
      <c r="L334" s="1"/>
      <c r="M334" s="1"/>
      <c r="N334" s="1"/>
      <c r="O334" s="1"/>
      <c r="P334" s="1"/>
      <c r="Q334" s="1"/>
      <c r="R334" s="1"/>
      <c r="S334" s="1"/>
      <c r="T334" s="1"/>
    </row>
    <row r="335" ht="14.25" customHeight="1">
      <c r="A335" s="52"/>
      <c r="B335" s="53"/>
      <c r="C335" s="53"/>
      <c r="D335" s="53"/>
      <c r="E335" s="53"/>
      <c r="F335" s="53"/>
      <c r="G335" s="1"/>
      <c r="H335" s="1"/>
      <c r="I335" s="1"/>
      <c r="J335" s="1"/>
      <c r="K335" s="1"/>
      <c r="L335" s="1"/>
      <c r="M335" s="1"/>
      <c r="N335" s="1"/>
      <c r="O335" s="1"/>
      <c r="P335" s="1"/>
      <c r="Q335" s="1"/>
      <c r="R335" s="1"/>
      <c r="S335" s="1"/>
      <c r="T335" s="1"/>
    </row>
    <row r="336" ht="14.25" customHeight="1">
      <c r="A336" s="52"/>
      <c r="B336" s="53"/>
      <c r="C336" s="53"/>
      <c r="D336" s="53"/>
      <c r="E336" s="53"/>
      <c r="F336" s="53"/>
      <c r="G336" s="1"/>
      <c r="H336" s="1"/>
      <c r="I336" s="1"/>
      <c r="J336" s="1"/>
      <c r="K336" s="1"/>
      <c r="L336" s="1"/>
      <c r="M336" s="1"/>
      <c r="N336" s="1"/>
      <c r="O336" s="1"/>
      <c r="P336" s="1"/>
      <c r="Q336" s="1"/>
      <c r="R336" s="1"/>
      <c r="S336" s="1"/>
      <c r="T336" s="1"/>
    </row>
    <row r="337" ht="14.25" customHeight="1">
      <c r="A337" s="52"/>
      <c r="B337" s="53"/>
      <c r="C337" s="53"/>
      <c r="D337" s="53"/>
      <c r="E337" s="53"/>
      <c r="F337" s="53"/>
      <c r="G337" s="1"/>
      <c r="H337" s="1"/>
      <c r="I337" s="1"/>
      <c r="J337" s="1"/>
      <c r="K337" s="1"/>
      <c r="L337" s="1"/>
      <c r="M337" s="1"/>
      <c r="N337" s="1"/>
      <c r="O337" s="1"/>
      <c r="P337" s="1"/>
      <c r="Q337" s="1"/>
      <c r="R337" s="1"/>
      <c r="S337" s="1"/>
      <c r="T337" s="1"/>
    </row>
    <row r="338" ht="14.25" customHeight="1">
      <c r="A338" s="52"/>
      <c r="B338" s="53"/>
      <c r="C338" s="53"/>
      <c r="D338" s="53"/>
      <c r="E338" s="53"/>
      <c r="F338" s="53"/>
      <c r="G338" s="1"/>
      <c r="H338" s="1"/>
      <c r="I338" s="1"/>
      <c r="J338" s="1"/>
      <c r="K338" s="1"/>
      <c r="L338" s="1"/>
      <c r="M338" s="1"/>
      <c r="N338" s="1"/>
      <c r="O338" s="1"/>
      <c r="P338" s="1"/>
      <c r="Q338" s="1"/>
      <c r="R338" s="1"/>
      <c r="S338" s="1"/>
      <c r="T338" s="1"/>
    </row>
    <row r="339" ht="14.25" customHeight="1">
      <c r="A339" s="52"/>
      <c r="B339" s="53"/>
      <c r="C339" s="53"/>
      <c r="D339" s="53"/>
      <c r="E339" s="53"/>
      <c r="F339" s="53"/>
      <c r="G339" s="1"/>
      <c r="H339" s="1"/>
      <c r="I339" s="1"/>
      <c r="J339" s="1"/>
      <c r="K339" s="1"/>
      <c r="L339" s="1"/>
      <c r="M339" s="1"/>
      <c r="N339" s="1"/>
      <c r="O339" s="1"/>
      <c r="P339" s="1"/>
      <c r="Q339" s="1"/>
      <c r="R339" s="1"/>
      <c r="S339" s="1"/>
      <c r="T339" s="1"/>
    </row>
    <row r="340" ht="14.25" customHeight="1">
      <c r="A340" s="52"/>
      <c r="B340" s="53"/>
      <c r="C340" s="53"/>
      <c r="D340" s="53"/>
      <c r="E340" s="53"/>
      <c r="F340" s="53"/>
      <c r="G340" s="1"/>
      <c r="H340" s="1"/>
      <c r="I340" s="1"/>
      <c r="J340" s="1"/>
      <c r="K340" s="1"/>
      <c r="L340" s="1"/>
      <c r="M340" s="1"/>
      <c r="N340" s="1"/>
      <c r="O340" s="1"/>
      <c r="P340" s="1"/>
      <c r="Q340" s="1"/>
      <c r="R340" s="1"/>
      <c r="S340" s="1"/>
      <c r="T340" s="1"/>
    </row>
    <row r="341" ht="14.25" customHeight="1">
      <c r="A341" s="52"/>
      <c r="B341" s="53"/>
      <c r="C341" s="53"/>
      <c r="D341" s="53"/>
      <c r="E341" s="53"/>
      <c r="F341" s="53"/>
      <c r="G341" s="1"/>
      <c r="H341" s="1"/>
      <c r="I341" s="1"/>
      <c r="J341" s="1"/>
      <c r="K341" s="1"/>
      <c r="L341" s="1"/>
      <c r="M341" s="1"/>
      <c r="N341" s="1"/>
      <c r="O341" s="1"/>
      <c r="P341" s="1"/>
      <c r="Q341" s="1"/>
      <c r="R341" s="1"/>
      <c r="S341" s="1"/>
      <c r="T341" s="1"/>
    </row>
    <row r="342" ht="14.25" customHeight="1">
      <c r="A342" s="52"/>
      <c r="B342" s="53"/>
      <c r="C342" s="53"/>
      <c r="D342" s="53"/>
      <c r="E342" s="53"/>
      <c r="F342" s="53"/>
      <c r="G342" s="1"/>
      <c r="H342" s="1"/>
      <c r="I342" s="1"/>
      <c r="J342" s="1"/>
      <c r="K342" s="1"/>
      <c r="L342" s="1"/>
      <c r="M342" s="1"/>
      <c r="N342" s="1"/>
      <c r="O342" s="1"/>
      <c r="P342" s="1"/>
      <c r="Q342" s="1"/>
      <c r="R342" s="1"/>
      <c r="S342" s="1"/>
      <c r="T342" s="1"/>
    </row>
    <row r="343" ht="14.25" customHeight="1">
      <c r="A343" s="52"/>
      <c r="B343" s="53"/>
      <c r="C343" s="53"/>
      <c r="D343" s="53"/>
      <c r="E343" s="53"/>
      <c r="F343" s="53"/>
      <c r="G343" s="1"/>
      <c r="H343" s="1"/>
      <c r="I343" s="1"/>
      <c r="J343" s="1"/>
      <c r="K343" s="1"/>
      <c r="L343" s="1"/>
      <c r="M343" s="1"/>
      <c r="N343" s="1"/>
      <c r="O343" s="1"/>
      <c r="P343" s="1"/>
      <c r="Q343" s="1"/>
      <c r="R343" s="1"/>
      <c r="S343" s="1"/>
      <c r="T343" s="1"/>
    </row>
    <row r="344" ht="14.25" customHeight="1">
      <c r="A344" s="52"/>
      <c r="B344" s="53"/>
      <c r="C344" s="53"/>
      <c r="D344" s="53"/>
      <c r="E344" s="53"/>
      <c r="F344" s="53"/>
      <c r="G344" s="1"/>
      <c r="H344" s="1"/>
      <c r="I344" s="1"/>
      <c r="J344" s="1"/>
      <c r="K344" s="1"/>
      <c r="L344" s="1"/>
      <c r="M344" s="1"/>
      <c r="N344" s="1"/>
      <c r="O344" s="1"/>
      <c r="P344" s="1"/>
      <c r="Q344" s="1"/>
      <c r="R344" s="1"/>
      <c r="S344" s="1"/>
      <c r="T344" s="1"/>
    </row>
    <row r="345" ht="14.25" customHeight="1">
      <c r="A345" s="52"/>
      <c r="B345" s="53"/>
      <c r="C345" s="53"/>
      <c r="D345" s="53"/>
      <c r="E345" s="53"/>
      <c r="F345" s="53"/>
      <c r="G345" s="1"/>
      <c r="H345" s="1"/>
      <c r="I345" s="1"/>
      <c r="J345" s="1"/>
      <c r="K345" s="1"/>
      <c r="L345" s="1"/>
      <c r="M345" s="1"/>
      <c r="N345" s="1"/>
      <c r="O345" s="1"/>
      <c r="P345" s="1"/>
      <c r="Q345" s="1"/>
      <c r="R345" s="1"/>
      <c r="S345" s="1"/>
      <c r="T345" s="1"/>
    </row>
    <row r="346" ht="14.25" customHeight="1">
      <c r="A346" s="52"/>
      <c r="B346" s="53"/>
      <c r="C346" s="53"/>
      <c r="D346" s="53"/>
      <c r="E346" s="53"/>
      <c r="F346" s="53"/>
      <c r="G346" s="1"/>
      <c r="H346" s="1"/>
      <c r="I346" s="1"/>
      <c r="J346" s="1"/>
      <c r="K346" s="1"/>
      <c r="L346" s="1"/>
      <c r="M346" s="1"/>
      <c r="N346" s="1"/>
      <c r="O346" s="1"/>
      <c r="P346" s="1"/>
      <c r="Q346" s="1"/>
      <c r="R346" s="1"/>
      <c r="S346" s="1"/>
      <c r="T346" s="1"/>
    </row>
    <row r="347" ht="14.25" customHeight="1">
      <c r="A347" s="52"/>
      <c r="B347" s="53"/>
      <c r="C347" s="53"/>
      <c r="D347" s="53"/>
      <c r="E347" s="53"/>
      <c r="F347" s="53"/>
      <c r="G347" s="1"/>
      <c r="H347" s="1"/>
      <c r="I347" s="1"/>
      <c r="J347" s="1"/>
      <c r="K347" s="1"/>
      <c r="L347" s="1"/>
      <c r="M347" s="1"/>
      <c r="N347" s="1"/>
      <c r="O347" s="1"/>
      <c r="P347" s="1"/>
      <c r="Q347" s="1"/>
      <c r="R347" s="1"/>
      <c r="S347" s="1"/>
      <c r="T347" s="1"/>
    </row>
    <row r="348" ht="14.25" customHeight="1">
      <c r="A348" s="52"/>
      <c r="B348" s="53"/>
      <c r="C348" s="53"/>
      <c r="D348" s="53"/>
      <c r="E348" s="53"/>
      <c r="F348" s="53"/>
      <c r="G348" s="1"/>
      <c r="H348" s="1"/>
      <c r="I348" s="1"/>
      <c r="J348" s="1"/>
      <c r="K348" s="1"/>
      <c r="L348" s="1"/>
      <c r="M348" s="1"/>
      <c r="N348" s="1"/>
      <c r="O348" s="1"/>
      <c r="P348" s="1"/>
      <c r="Q348" s="1"/>
      <c r="R348" s="1"/>
      <c r="S348" s="1"/>
      <c r="T348" s="1"/>
    </row>
    <row r="349" ht="14.25" customHeight="1">
      <c r="A349" s="52"/>
      <c r="B349" s="53"/>
      <c r="C349" s="53"/>
      <c r="D349" s="53"/>
      <c r="E349" s="53"/>
      <c r="F349" s="53"/>
      <c r="G349" s="1"/>
      <c r="H349" s="1"/>
      <c r="I349" s="1"/>
      <c r="J349" s="1"/>
      <c r="K349" s="1"/>
      <c r="L349" s="1"/>
      <c r="M349" s="1"/>
      <c r="N349" s="1"/>
      <c r="O349" s="1"/>
      <c r="P349" s="1"/>
      <c r="Q349" s="1"/>
      <c r="R349" s="1"/>
      <c r="S349" s="1"/>
      <c r="T349" s="1"/>
    </row>
    <row r="350" ht="14.25" customHeight="1">
      <c r="A350" s="52"/>
      <c r="B350" s="53"/>
      <c r="C350" s="53"/>
      <c r="D350" s="53"/>
      <c r="E350" s="53"/>
      <c r="F350" s="53"/>
      <c r="G350" s="1"/>
      <c r="H350" s="1"/>
      <c r="I350" s="1"/>
      <c r="J350" s="1"/>
      <c r="K350" s="1"/>
      <c r="L350" s="1"/>
      <c r="M350" s="1"/>
      <c r="N350" s="1"/>
      <c r="O350" s="1"/>
      <c r="P350" s="1"/>
      <c r="Q350" s="1"/>
      <c r="R350" s="1"/>
      <c r="S350" s="1"/>
      <c r="T350" s="1"/>
    </row>
    <row r="351" ht="14.25" customHeight="1">
      <c r="A351" s="52"/>
      <c r="B351" s="53"/>
      <c r="C351" s="53"/>
      <c r="D351" s="53"/>
      <c r="E351" s="53"/>
      <c r="F351" s="53"/>
      <c r="G351" s="1"/>
      <c r="H351" s="1"/>
      <c r="I351" s="1"/>
      <c r="J351" s="1"/>
      <c r="K351" s="1"/>
      <c r="L351" s="1"/>
      <c r="M351" s="1"/>
      <c r="N351" s="1"/>
      <c r="O351" s="1"/>
      <c r="P351" s="1"/>
      <c r="Q351" s="1"/>
      <c r="R351" s="1"/>
      <c r="S351" s="1"/>
      <c r="T351" s="1"/>
    </row>
    <row r="352" ht="14.25" customHeight="1">
      <c r="A352" s="52"/>
      <c r="B352" s="53"/>
      <c r="C352" s="53"/>
      <c r="D352" s="53"/>
      <c r="E352" s="53"/>
      <c r="F352" s="53"/>
      <c r="G352" s="1"/>
      <c r="H352" s="1"/>
      <c r="I352" s="1"/>
      <c r="J352" s="1"/>
      <c r="K352" s="1"/>
      <c r="L352" s="1"/>
      <c r="M352" s="1"/>
      <c r="N352" s="1"/>
      <c r="O352" s="1"/>
      <c r="P352" s="1"/>
      <c r="Q352" s="1"/>
      <c r="R352" s="1"/>
      <c r="S352" s="1"/>
      <c r="T352" s="1"/>
    </row>
    <row r="353" ht="14.25" customHeight="1">
      <c r="A353" s="52"/>
      <c r="B353" s="53"/>
      <c r="C353" s="53"/>
      <c r="D353" s="53"/>
      <c r="E353" s="53"/>
      <c r="F353" s="53"/>
      <c r="G353" s="1"/>
      <c r="H353" s="1"/>
      <c r="I353" s="1"/>
      <c r="J353" s="1"/>
      <c r="K353" s="1"/>
      <c r="L353" s="1"/>
      <c r="M353" s="1"/>
      <c r="N353" s="1"/>
      <c r="O353" s="1"/>
      <c r="P353" s="1"/>
      <c r="Q353" s="1"/>
      <c r="R353" s="1"/>
      <c r="S353" s="1"/>
      <c r="T353" s="1"/>
    </row>
    <row r="354" ht="14.25" customHeight="1">
      <c r="A354" s="52"/>
      <c r="B354" s="53"/>
      <c r="C354" s="53"/>
      <c r="D354" s="53"/>
      <c r="E354" s="53"/>
      <c r="F354" s="53"/>
      <c r="G354" s="1"/>
      <c r="H354" s="1"/>
      <c r="I354" s="1"/>
      <c r="J354" s="1"/>
      <c r="K354" s="1"/>
      <c r="L354" s="1"/>
      <c r="M354" s="1"/>
      <c r="N354" s="1"/>
      <c r="O354" s="1"/>
      <c r="P354" s="1"/>
      <c r="Q354" s="1"/>
      <c r="R354" s="1"/>
      <c r="S354" s="1"/>
      <c r="T354" s="1"/>
    </row>
    <row r="355" ht="14.25" customHeight="1">
      <c r="A355" s="52"/>
      <c r="B355" s="53"/>
      <c r="C355" s="53"/>
      <c r="D355" s="53"/>
      <c r="E355" s="53"/>
      <c r="F355" s="53"/>
      <c r="G355" s="1"/>
      <c r="H355" s="1"/>
      <c r="I355" s="1"/>
      <c r="J355" s="1"/>
      <c r="K355" s="1"/>
      <c r="L355" s="1"/>
      <c r="M355" s="1"/>
      <c r="N355" s="1"/>
      <c r="O355" s="1"/>
      <c r="P355" s="1"/>
      <c r="Q355" s="1"/>
      <c r="R355" s="1"/>
      <c r="S355" s="1"/>
      <c r="T355" s="1"/>
    </row>
    <row r="356" ht="14.25" customHeight="1">
      <c r="A356" s="52"/>
      <c r="B356" s="53"/>
      <c r="C356" s="53"/>
      <c r="D356" s="53"/>
      <c r="E356" s="53"/>
      <c r="F356" s="53"/>
      <c r="G356" s="1"/>
      <c r="H356" s="1"/>
      <c r="I356" s="1"/>
      <c r="J356" s="1"/>
      <c r="K356" s="1"/>
      <c r="L356" s="1"/>
      <c r="M356" s="1"/>
      <c r="N356" s="1"/>
      <c r="O356" s="1"/>
      <c r="P356" s="1"/>
      <c r="Q356" s="1"/>
      <c r="R356" s="1"/>
      <c r="S356" s="1"/>
      <c r="T356" s="1"/>
    </row>
    <row r="357" ht="14.25" customHeight="1">
      <c r="A357" s="52"/>
      <c r="B357" s="53"/>
      <c r="C357" s="53"/>
      <c r="D357" s="53"/>
      <c r="E357" s="53"/>
      <c r="F357" s="53"/>
      <c r="G357" s="1"/>
      <c r="H357" s="1"/>
      <c r="I357" s="1"/>
      <c r="J357" s="1"/>
      <c r="K357" s="1"/>
      <c r="L357" s="1"/>
      <c r="M357" s="1"/>
      <c r="N357" s="1"/>
      <c r="O357" s="1"/>
      <c r="P357" s="1"/>
      <c r="Q357" s="1"/>
      <c r="R357" s="1"/>
      <c r="S357" s="1"/>
      <c r="T357" s="1"/>
    </row>
    <row r="358" ht="14.25" customHeight="1">
      <c r="A358" s="52"/>
      <c r="B358" s="53"/>
      <c r="C358" s="53"/>
      <c r="D358" s="53"/>
      <c r="E358" s="53"/>
      <c r="F358" s="53"/>
      <c r="G358" s="1"/>
      <c r="H358" s="1"/>
      <c r="I358" s="1"/>
      <c r="J358" s="1"/>
      <c r="K358" s="1"/>
      <c r="L358" s="1"/>
      <c r="M358" s="1"/>
      <c r="N358" s="1"/>
      <c r="O358" s="1"/>
      <c r="P358" s="1"/>
      <c r="Q358" s="1"/>
      <c r="R358" s="1"/>
      <c r="S358" s="1"/>
      <c r="T358" s="1"/>
    </row>
    <row r="359" ht="14.25" customHeight="1">
      <c r="A359" s="52"/>
      <c r="B359" s="53"/>
      <c r="C359" s="53"/>
      <c r="D359" s="53"/>
      <c r="E359" s="53"/>
      <c r="F359" s="53"/>
      <c r="G359" s="1"/>
      <c r="H359" s="1"/>
      <c r="I359" s="1"/>
      <c r="J359" s="1"/>
      <c r="K359" s="1"/>
      <c r="L359" s="1"/>
      <c r="M359" s="1"/>
      <c r="N359" s="1"/>
      <c r="O359" s="1"/>
      <c r="P359" s="1"/>
      <c r="Q359" s="1"/>
      <c r="R359" s="1"/>
      <c r="S359" s="1"/>
      <c r="T359" s="1"/>
    </row>
    <row r="360" ht="14.25" customHeight="1">
      <c r="A360" s="52"/>
      <c r="B360" s="53"/>
      <c r="C360" s="53"/>
      <c r="D360" s="53"/>
      <c r="E360" s="53"/>
      <c r="F360" s="53"/>
      <c r="G360" s="1"/>
      <c r="H360" s="1"/>
      <c r="I360" s="1"/>
      <c r="J360" s="1"/>
      <c r="K360" s="1"/>
      <c r="L360" s="1"/>
      <c r="M360" s="1"/>
      <c r="N360" s="1"/>
      <c r="O360" s="1"/>
      <c r="P360" s="1"/>
      <c r="Q360" s="1"/>
      <c r="R360" s="1"/>
      <c r="S360" s="1"/>
      <c r="T360" s="1"/>
    </row>
    <row r="361" ht="14.25" customHeight="1">
      <c r="A361" s="52"/>
      <c r="B361" s="53"/>
      <c r="C361" s="53"/>
      <c r="D361" s="53"/>
      <c r="E361" s="53"/>
      <c r="F361" s="53"/>
      <c r="G361" s="1"/>
      <c r="H361" s="1"/>
      <c r="I361" s="1"/>
      <c r="J361" s="1"/>
      <c r="K361" s="1"/>
      <c r="L361" s="1"/>
      <c r="M361" s="1"/>
      <c r="N361" s="1"/>
      <c r="O361" s="1"/>
      <c r="P361" s="1"/>
      <c r="Q361" s="1"/>
      <c r="R361" s="1"/>
      <c r="S361" s="1"/>
      <c r="T361" s="1"/>
    </row>
    <row r="362" ht="14.25" customHeight="1">
      <c r="A362" s="52"/>
      <c r="B362" s="53"/>
      <c r="C362" s="53"/>
      <c r="D362" s="53"/>
      <c r="E362" s="53"/>
      <c r="F362" s="53"/>
      <c r="G362" s="1"/>
      <c r="H362" s="1"/>
      <c r="I362" s="1"/>
      <c r="J362" s="1"/>
      <c r="K362" s="1"/>
      <c r="L362" s="1"/>
      <c r="M362" s="1"/>
      <c r="N362" s="1"/>
      <c r="O362" s="1"/>
      <c r="P362" s="1"/>
      <c r="Q362" s="1"/>
      <c r="R362" s="1"/>
      <c r="S362" s="1"/>
      <c r="T362" s="1"/>
    </row>
    <row r="363" ht="14.25" customHeight="1">
      <c r="A363" s="52"/>
      <c r="B363" s="53"/>
      <c r="C363" s="53"/>
      <c r="D363" s="53"/>
      <c r="E363" s="53"/>
      <c r="F363" s="53"/>
      <c r="G363" s="1"/>
      <c r="H363" s="1"/>
      <c r="I363" s="1"/>
      <c r="J363" s="1"/>
      <c r="K363" s="1"/>
      <c r="L363" s="1"/>
      <c r="M363" s="1"/>
      <c r="N363" s="1"/>
      <c r="O363" s="1"/>
      <c r="P363" s="1"/>
      <c r="Q363" s="1"/>
      <c r="R363" s="1"/>
      <c r="S363" s="1"/>
      <c r="T363" s="1"/>
    </row>
    <row r="364" ht="14.25" customHeight="1">
      <c r="A364" s="52"/>
      <c r="B364" s="53"/>
      <c r="C364" s="53"/>
      <c r="D364" s="53"/>
      <c r="E364" s="53"/>
      <c r="F364" s="53"/>
      <c r="G364" s="1"/>
      <c r="H364" s="1"/>
      <c r="I364" s="1"/>
      <c r="J364" s="1"/>
      <c r="K364" s="1"/>
      <c r="L364" s="1"/>
      <c r="M364" s="1"/>
      <c r="N364" s="1"/>
      <c r="O364" s="1"/>
      <c r="P364" s="1"/>
      <c r="Q364" s="1"/>
      <c r="R364" s="1"/>
      <c r="S364" s="1"/>
      <c r="T364" s="1"/>
    </row>
    <row r="365" ht="14.25" customHeight="1">
      <c r="A365" s="52"/>
      <c r="B365" s="53"/>
      <c r="C365" s="53"/>
      <c r="D365" s="53"/>
      <c r="E365" s="53"/>
      <c r="F365" s="53"/>
      <c r="G365" s="1"/>
      <c r="H365" s="1"/>
      <c r="I365" s="1"/>
      <c r="J365" s="1"/>
      <c r="K365" s="1"/>
      <c r="L365" s="1"/>
      <c r="M365" s="1"/>
      <c r="N365" s="1"/>
      <c r="O365" s="1"/>
      <c r="P365" s="1"/>
      <c r="Q365" s="1"/>
      <c r="R365" s="1"/>
      <c r="S365" s="1"/>
      <c r="T365" s="1"/>
    </row>
    <row r="366" ht="14.25" customHeight="1">
      <c r="A366" s="52"/>
      <c r="B366" s="53"/>
      <c r="C366" s="53"/>
      <c r="D366" s="53"/>
      <c r="E366" s="53"/>
      <c r="F366" s="53"/>
      <c r="G366" s="1"/>
      <c r="H366" s="1"/>
      <c r="I366" s="1"/>
      <c r="J366" s="1"/>
      <c r="K366" s="1"/>
      <c r="L366" s="1"/>
      <c r="M366" s="1"/>
      <c r="N366" s="1"/>
      <c r="O366" s="1"/>
      <c r="P366" s="1"/>
      <c r="Q366" s="1"/>
      <c r="R366" s="1"/>
      <c r="S366" s="1"/>
      <c r="T366" s="1"/>
    </row>
    <row r="367" ht="14.25" customHeight="1">
      <c r="A367" s="52"/>
      <c r="B367" s="53"/>
      <c r="C367" s="53"/>
      <c r="D367" s="53"/>
      <c r="E367" s="53"/>
      <c r="F367" s="53"/>
      <c r="G367" s="1"/>
      <c r="H367" s="1"/>
      <c r="I367" s="1"/>
      <c r="J367" s="1"/>
      <c r="K367" s="1"/>
      <c r="L367" s="1"/>
      <c r="M367" s="1"/>
      <c r="N367" s="1"/>
      <c r="O367" s="1"/>
      <c r="P367" s="1"/>
      <c r="Q367" s="1"/>
      <c r="R367" s="1"/>
      <c r="S367" s="1"/>
      <c r="T367" s="1"/>
    </row>
    <row r="368" ht="14.25" customHeight="1">
      <c r="A368" s="52"/>
      <c r="B368" s="53"/>
      <c r="C368" s="53"/>
      <c r="D368" s="53"/>
      <c r="E368" s="53"/>
      <c r="F368" s="53"/>
      <c r="G368" s="1"/>
      <c r="H368" s="1"/>
      <c r="I368" s="1"/>
      <c r="J368" s="1"/>
      <c r="K368" s="1"/>
      <c r="L368" s="1"/>
      <c r="M368" s="1"/>
      <c r="N368" s="1"/>
      <c r="O368" s="1"/>
      <c r="P368" s="1"/>
      <c r="Q368" s="1"/>
      <c r="R368" s="1"/>
      <c r="S368" s="1"/>
      <c r="T368" s="1"/>
    </row>
    <row r="369" ht="14.25" customHeight="1">
      <c r="A369" s="52"/>
      <c r="B369" s="53"/>
      <c r="C369" s="53"/>
      <c r="D369" s="53"/>
      <c r="E369" s="53"/>
      <c r="F369" s="53"/>
      <c r="G369" s="1"/>
      <c r="H369" s="1"/>
      <c r="I369" s="1"/>
      <c r="J369" s="1"/>
      <c r="K369" s="1"/>
      <c r="L369" s="1"/>
      <c r="M369" s="1"/>
      <c r="N369" s="1"/>
      <c r="O369" s="1"/>
      <c r="P369" s="1"/>
      <c r="Q369" s="1"/>
      <c r="R369" s="1"/>
      <c r="S369" s="1"/>
      <c r="T369" s="1"/>
    </row>
    <row r="370" ht="14.25" customHeight="1">
      <c r="A370" s="52"/>
      <c r="B370" s="53"/>
      <c r="C370" s="53"/>
      <c r="D370" s="53"/>
      <c r="E370" s="53"/>
      <c r="F370" s="53"/>
      <c r="G370" s="1"/>
      <c r="H370" s="1"/>
      <c r="I370" s="1"/>
      <c r="J370" s="1"/>
      <c r="K370" s="1"/>
      <c r="L370" s="1"/>
      <c r="M370" s="1"/>
      <c r="N370" s="1"/>
      <c r="O370" s="1"/>
      <c r="P370" s="1"/>
      <c r="Q370" s="1"/>
      <c r="R370" s="1"/>
      <c r="S370" s="1"/>
      <c r="T370" s="1"/>
    </row>
    <row r="371" ht="14.25" customHeight="1">
      <c r="A371" s="52"/>
      <c r="B371" s="53"/>
      <c r="C371" s="53"/>
      <c r="D371" s="53"/>
      <c r="E371" s="53"/>
      <c r="F371" s="53"/>
      <c r="G371" s="1"/>
      <c r="H371" s="1"/>
      <c r="I371" s="1"/>
      <c r="J371" s="1"/>
      <c r="K371" s="1"/>
      <c r="L371" s="1"/>
      <c r="M371" s="1"/>
      <c r="N371" s="1"/>
      <c r="O371" s="1"/>
      <c r="P371" s="1"/>
      <c r="Q371" s="1"/>
      <c r="R371" s="1"/>
      <c r="S371" s="1"/>
      <c r="T371" s="1"/>
    </row>
    <row r="372" ht="14.25" customHeight="1">
      <c r="A372" s="52"/>
      <c r="B372" s="53"/>
      <c r="C372" s="53"/>
      <c r="D372" s="53"/>
      <c r="E372" s="53"/>
      <c r="F372" s="53"/>
      <c r="G372" s="1"/>
      <c r="H372" s="1"/>
      <c r="I372" s="1"/>
      <c r="J372" s="1"/>
      <c r="K372" s="1"/>
      <c r="L372" s="1"/>
      <c r="M372" s="1"/>
      <c r="N372" s="1"/>
      <c r="O372" s="1"/>
      <c r="P372" s="1"/>
      <c r="Q372" s="1"/>
      <c r="R372" s="1"/>
      <c r="S372" s="1"/>
      <c r="T372" s="1"/>
    </row>
    <row r="373" ht="14.25" customHeight="1">
      <c r="A373" s="52"/>
      <c r="B373" s="53"/>
      <c r="C373" s="53"/>
      <c r="D373" s="53"/>
      <c r="E373" s="53"/>
      <c r="F373" s="53"/>
      <c r="G373" s="1"/>
      <c r="H373" s="1"/>
      <c r="I373" s="1"/>
      <c r="J373" s="1"/>
      <c r="K373" s="1"/>
      <c r="L373" s="1"/>
      <c r="M373" s="1"/>
      <c r="N373" s="1"/>
      <c r="O373" s="1"/>
      <c r="P373" s="1"/>
      <c r="Q373" s="1"/>
      <c r="R373" s="1"/>
      <c r="S373" s="1"/>
      <c r="T373" s="1"/>
    </row>
    <row r="374" ht="14.25" customHeight="1">
      <c r="A374" s="52"/>
      <c r="B374" s="53"/>
      <c r="C374" s="53"/>
      <c r="D374" s="53"/>
      <c r="E374" s="53"/>
      <c r="F374" s="53"/>
      <c r="G374" s="1"/>
      <c r="H374" s="1"/>
      <c r="I374" s="1"/>
      <c r="J374" s="1"/>
      <c r="K374" s="1"/>
      <c r="L374" s="1"/>
      <c r="M374" s="1"/>
      <c r="N374" s="1"/>
      <c r="O374" s="1"/>
      <c r="P374" s="1"/>
      <c r="Q374" s="1"/>
      <c r="R374" s="1"/>
      <c r="S374" s="1"/>
      <c r="T374" s="1"/>
    </row>
    <row r="375" ht="14.25" customHeight="1">
      <c r="A375" s="52"/>
      <c r="B375" s="53"/>
      <c r="C375" s="53"/>
      <c r="D375" s="53"/>
      <c r="E375" s="53"/>
      <c r="F375" s="53"/>
      <c r="G375" s="1"/>
      <c r="H375" s="1"/>
      <c r="I375" s="1"/>
      <c r="J375" s="1"/>
      <c r="K375" s="1"/>
      <c r="L375" s="1"/>
      <c r="M375" s="1"/>
      <c r="N375" s="1"/>
      <c r="O375" s="1"/>
      <c r="P375" s="1"/>
      <c r="Q375" s="1"/>
      <c r="R375" s="1"/>
      <c r="S375" s="1"/>
      <c r="T375" s="1"/>
    </row>
    <row r="376" ht="14.25" customHeight="1">
      <c r="A376" s="52"/>
      <c r="B376" s="53"/>
      <c r="C376" s="53"/>
      <c r="D376" s="53"/>
      <c r="E376" s="53"/>
      <c r="F376" s="53"/>
      <c r="G376" s="1"/>
      <c r="H376" s="1"/>
      <c r="I376" s="1"/>
      <c r="J376" s="1"/>
      <c r="K376" s="1"/>
      <c r="L376" s="1"/>
      <c r="M376" s="1"/>
      <c r="N376" s="1"/>
      <c r="O376" s="1"/>
      <c r="P376" s="1"/>
      <c r="Q376" s="1"/>
      <c r="R376" s="1"/>
      <c r="S376" s="1"/>
      <c r="T376" s="1"/>
    </row>
    <row r="377" ht="14.25" customHeight="1">
      <c r="A377" s="52"/>
      <c r="B377" s="53"/>
      <c r="C377" s="53"/>
      <c r="D377" s="53"/>
      <c r="E377" s="53"/>
      <c r="F377" s="53"/>
      <c r="G377" s="1"/>
      <c r="H377" s="1"/>
      <c r="I377" s="1"/>
      <c r="J377" s="1"/>
      <c r="K377" s="1"/>
      <c r="L377" s="1"/>
      <c r="M377" s="1"/>
      <c r="N377" s="1"/>
      <c r="O377" s="1"/>
      <c r="P377" s="1"/>
      <c r="Q377" s="1"/>
      <c r="R377" s="1"/>
      <c r="S377" s="1"/>
      <c r="T377" s="1"/>
    </row>
    <row r="378" ht="14.25" customHeight="1">
      <c r="A378" s="52"/>
      <c r="B378" s="53"/>
      <c r="C378" s="53"/>
      <c r="D378" s="53"/>
      <c r="E378" s="53"/>
      <c r="F378" s="53"/>
      <c r="G378" s="1"/>
      <c r="H378" s="1"/>
      <c r="I378" s="1"/>
      <c r="J378" s="1"/>
      <c r="K378" s="1"/>
      <c r="L378" s="1"/>
      <c r="M378" s="1"/>
      <c r="N378" s="1"/>
      <c r="O378" s="1"/>
      <c r="P378" s="1"/>
      <c r="Q378" s="1"/>
      <c r="R378" s="1"/>
      <c r="S378" s="1"/>
      <c r="T378" s="1"/>
    </row>
    <row r="379" ht="14.25" customHeight="1">
      <c r="A379" s="52"/>
      <c r="B379" s="53"/>
      <c r="C379" s="53"/>
      <c r="D379" s="53"/>
      <c r="E379" s="53"/>
      <c r="F379" s="53"/>
      <c r="G379" s="1"/>
      <c r="H379" s="1"/>
      <c r="I379" s="1"/>
      <c r="J379" s="1"/>
      <c r="K379" s="1"/>
      <c r="L379" s="1"/>
      <c r="M379" s="1"/>
      <c r="N379" s="1"/>
      <c r="O379" s="1"/>
      <c r="P379" s="1"/>
      <c r="Q379" s="1"/>
      <c r="R379" s="1"/>
      <c r="S379" s="1"/>
      <c r="T379" s="1"/>
    </row>
    <row r="380" ht="14.25" customHeight="1">
      <c r="A380" s="52"/>
      <c r="B380" s="53"/>
      <c r="C380" s="53"/>
      <c r="D380" s="53"/>
      <c r="E380" s="53"/>
      <c r="F380" s="53"/>
      <c r="G380" s="1"/>
      <c r="H380" s="1"/>
      <c r="I380" s="1"/>
      <c r="J380" s="1"/>
      <c r="K380" s="1"/>
      <c r="L380" s="1"/>
      <c r="M380" s="1"/>
      <c r="N380" s="1"/>
      <c r="O380" s="1"/>
      <c r="P380" s="1"/>
      <c r="Q380" s="1"/>
      <c r="R380" s="1"/>
      <c r="S380" s="1"/>
      <c r="T380" s="1"/>
    </row>
    <row r="381" ht="14.25" customHeight="1">
      <c r="A381" s="52"/>
      <c r="B381" s="53"/>
      <c r="C381" s="53"/>
      <c r="D381" s="53"/>
      <c r="E381" s="53"/>
      <c r="F381" s="53"/>
      <c r="G381" s="1"/>
      <c r="H381" s="1"/>
      <c r="I381" s="1"/>
      <c r="J381" s="1"/>
      <c r="K381" s="1"/>
      <c r="L381" s="1"/>
      <c r="M381" s="1"/>
      <c r="N381" s="1"/>
      <c r="O381" s="1"/>
      <c r="P381" s="1"/>
      <c r="Q381" s="1"/>
      <c r="R381" s="1"/>
      <c r="S381" s="1"/>
      <c r="T381" s="1"/>
    </row>
    <row r="382" ht="14.25" customHeight="1">
      <c r="A382" s="52"/>
      <c r="B382" s="53"/>
      <c r="C382" s="53"/>
      <c r="D382" s="53"/>
      <c r="E382" s="53"/>
      <c r="F382" s="53"/>
      <c r="G382" s="1"/>
      <c r="H382" s="1"/>
      <c r="I382" s="1"/>
      <c r="J382" s="1"/>
      <c r="K382" s="1"/>
      <c r="L382" s="1"/>
      <c r="M382" s="1"/>
      <c r="N382" s="1"/>
      <c r="O382" s="1"/>
      <c r="P382" s="1"/>
      <c r="Q382" s="1"/>
      <c r="R382" s="1"/>
      <c r="S382" s="1"/>
      <c r="T382" s="1"/>
    </row>
    <row r="383" ht="14.25" customHeight="1">
      <c r="A383" s="52"/>
      <c r="B383" s="53"/>
      <c r="C383" s="53"/>
      <c r="D383" s="53"/>
      <c r="E383" s="53"/>
      <c r="F383" s="53"/>
      <c r="G383" s="1"/>
      <c r="H383" s="1"/>
      <c r="I383" s="1"/>
      <c r="J383" s="1"/>
      <c r="K383" s="1"/>
      <c r="L383" s="1"/>
      <c r="M383" s="1"/>
      <c r="N383" s="1"/>
      <c r="O383" s="1"/>
      <c r="P383" s="1"/>
      <c r="Q383" s="1"/>
      <c r="R383" s="1"/>
      <c r="S383" s="1"/>
      <c r="T383" s="1"/>
    </row>
    <row r="384" ht="14.25" customHeight="1">
      <c r="A384" s="52"/>
      <c r="B384" s="53"/>
      <c r="C384" s="53"/>
      <c r="D384" s="53"/>
      <c r="E384" s="53"/>
      <c r="F384" s="53"/>
      <c r="G384" s="1"/>
      <c r="H384" s="1"/>
      <c r="I384" s="1"/>
      <c r="J384" s="1"/>
      <c r="K384" s="1"/>
      <c r="L384" s="1"/>
      <c r="M384" s="1"/>
      <c r="N384" s="1"/>
      <c r="O384" s="1"/>
      <c r="P384" s="1"/>
      <c r="Q384" s="1"/>
      <c r="R384" s="1"/>
      <c r="S384" s="1"/>
      <c r="T384" s="1"/>
    </row>
    <row r="385" ht="14.25" customHeight="1">
      <c r="A385" s="52"/>
      <c r="B385" s="53"/>
      <c r="C385" s="53"/>
      <c r="D385" s="53"/>
      <c r="E385" s="53"/>
      <c r="F385" s="53"/>
      <c r="G385" s="1"/>
      <c r="H385" s="1"/>
      <c r="I385" s="1"/>
      <c r="J385" s="1"/>
      <c r="K385" s="1"/>
      <c r="L385" s="1"/>
      <c r="M385" s="1"/>
      <c r="N385" s="1"/>
      <c r="O385" s="1"/>
      <c r="P385" s="1"/>
      <c r="Q385" s="1"/>
      <c r="R385" s="1"/>
      <c r="S385" s="1"/>
      <c r="T385" s="1"/>
    </row>
    <row r="386" ht="14.25" customHeight="1">
      <c r="A386" s="52"/>
      <c r="B386" s="53"/>
      <c r="C386" s="53"/>
      <c r="D386" s="53"/>
      <c r="E386" s="53"/>
      <c r="F386" s="53"/>
      <c r="G386" s="1"/>
      <c r="H386" s="1"/>
      <c r="I386" s="1"/>
      <c r="J386" s="1"/>
      <c r="K386" s="1"/>
      <c r="L386" s="1"/>
      <c r="M386" s="1"/>
      <c r="N386" s="1"/>
      <c r="O386" s="1"/>
      <c r="P386" s="1"/>
      <c r="Q386" s="1"/>
      <c r="R386" s="1"/>
      <c r="S386" s="1"/>
      <c r="T386" s="1"/>
    </row>
    <row r="387" ht="14.25" customHeight="1">
      <c r="A387" s="52"/>
      <c r="B387" s="53"/>
      <c r="C387" s="53"/>
      <c r="D387" s="53"/>
      <c r="E387" s="53"/>
      <c r="F387" s="53"/>
      <c r="G387" s="1"/>
      <c r="H387" s="1"/>
      <c r="I387" s="1"/>
      <c r="J387" s="1"/>
      <c r="K387" s="1"/>
      <c r="L387" s="1"/>
      <c r="M387" s="1"/>
      <c r="N387" s="1"/>
      <c r="O387" s="1"/>
      <c r="P387" s="1"/>
      <c r="Q387" s="1"/>
      <c r="R387" s="1"/>
      <c r="S387" s="1"/>
      <c r="T387" s="1"/>
    </row>
    <row r="388" ht="14.25" customHeight="1">
      <c r="A388" s="52"/>
      <c r="B388" s="53"/>
      <c r="C388" s="53"/>
      <c r="D388" s="53"/>
      <c r="E388" s="53"/>
      <c r="F388" s="53"/>
      <c r="G388" s="1"/>
      <c r="H388" s="1"/>
      <c r="I388" s="1"/>
      <c r="J388" s="1"/>
      <c r="K388" s="1"/>
      <c r="L388" s="1"/>
      <c r="M388" s="1"/>
      <c r="N388" s="1"/>
      <c r="O388" s="1"/>
      <c r="P388" s="1"/>
      <c r="Q388" s="1"/>
      <c r="R388" s="1"/>
      <c r="S388" s="1"/>
      <c r="T388" s="1"/>
    </row>
    <row r="389" ht="14.25" customHeight="1">
      <c r="A389" s="52"/>
      <c r="B389" s="53"/>
      <c r="C389" s="53"/>
      <c r="D389" s="53"/>
      <c r="E389" s="53"/>
      <c r="F389" s="53"/>
      <c r="G389" s="1"/>
      <c r="H389" s="1"/>
      <c r="I389" s="1"/>
      <c r="J389" s="1"/>
      <c r="K389" s="1"/>
      <c r="L389" s="1"/>
      <c r="M389" s="1"/>
      <c r="N389" s="1"/>
      <c r="O389" s="1"/>
      <c r="P389" s="1"/>
      <c r="Q389" s="1"/>
      <c r="R389" s="1"/>
      <c r="S389" s="1"/>
      <c r="T389" s="1"/>
    </row>
    <row r="390" ht="14.25" customHeight="1">
      <c r="A390" s="52"/>
      <c r="B390" s="53"/>
      <c r="C390" s="53"/>
      <c r="D390" s="53"/>
      <c r="E390" s="53"/>
      <c r="F390" s="53"/>
      <c r="G390" s="1"/>
      <c r="H390" s="1"/>
      <c r="I390" s="1"/>
      <c r="J390" s="1"/>
      <c r="K390" s="1"/>
      <c r="L390" s="1"/>
      <c r="M390" s="1"/>
      <c r="N390" s="1"/>
      <c r="O390" s="1"/>
      <c r="P390" s="1"/>
      <c r="Q390" s="1"/>
      <c r="R390" s="1"/>
      <c r="S390" s="1"/>
      <c r="T390" s="1"/>
    </row>
    <row r="391" ht="14.25" customHeight="1">
      <c r="A391" s="52"/>
      <c r="B391" s="53"/>
      <c r="C391" s="53"/>
      <c r="D391" s="53"/>
      <c r="E391" s="53"/>
      <c r="F391" s="53"/>
      <c r="G391" s="1"/>
      <c r="H391" s="1"/>
      <c r="I391" s="1"/>
      <c r="J391" s="1"/>
      <c r="K391" s="1"/>
      <c r="L391" s="1"/>
      <c r="M391" s="1"/>
      <c r="N391" s="1"/>
      <c r="O391" s="1"/>
      <c r="P391" s="1"/>
      <c r="Q391" s="1"/>
      <c r="R391" s="1"/>
      <c r="S391" s="1"/>
      <c r="T391" s="1"/>
    </row>
    <row r="392" ht="14.25" customHeight="1">
      <c r="A392" s="52"/>
      <c r="B392" s="53"/>
      <c r="C392" s="53"/>
      <c r="D392" s="53"/>
      <c r="E392" s="53"/>
      <c r="F392" s="53"/>
      <c r="G392" s="1"/>
      <c r="H392" s="1"/>
      <c r="I392" s="1"/>
      <c r="J392" s="1"/>
      <c r="K392" s="1"/>
      <c r="L392" s="1"/>
      <c r="M392" s="1"/>
      <c r="N392" s="1"/>
      <c r="O392" s="1"/>
      <c r="P392" s="1"/>
      <c r="Q392" s="1"/>
      <c r="R392" s="1"/>
      <c r="S392" s="1"/>
      <c r="T392" s="1"/>
    </row>
    <row r="393" ht="14.25" customHeight="1">
      <c r="A393" s="52"/>
      <c r="B393" s="53"/>
      <c r="C393" s="53"/>
      <c r="D393" s="53"/>
      <c r="E393" s="53"/>
      <c r="F393" s="53"/>
      <c r="G393" s="1"/>
      <c r="H393" s="1"/>
      <c r="I393" s="1"/>
      <c r="J393" s="1"/>
      <c r="K393" s="1"/>
      <c r="L393" s="1"/>
      <c r="M393" s="1"/>
      <c r="N393" s="1"/>
      <c r="O393" s="1"/>
      <c r="P393" s="1"/>
      <c r="Q393" s="1"/>
      <c r="R393" s="1"/>
      <c r="S393" s="1"/>
      <c r="T393" s="1"/>
    </row>
    <row r="394" ht="14.25" customHeight="1">
      <c r="A394" s="52"/>
      <c r="B394" s="53"/>
      <c r="C394" s="53"/>
      <c r="D394" s="53"/>
      <c r="E394" s="53"/>
      <c r="F394" s="53"/>
      <c r="G394" s="1"/>
      <c r="H394" s="1"/>
      <c r="I394" s="1"/>
      <c r="J394" s="1"/>
      <c r="K394" s="1"/>
      <c r="L394" s="1"/>
      <c r="M394" s="1"/>
      <c r="N394" s="1"/>
      <c r="O394" s="1"/>
      <c r="P394" s="1"/>
      <c r="Q394" s="1"/>
      <c r="R394" s="1"/>
      <c r="S394" s="1"/>
      <c r="T394" s="1"/>
    </row>
    <row r="395" ht="14.25" customHeight="1">
      <c r="A395" s="52"/>
      <c r="B395" s="53"/>
      <c r="C395" s="53"/>
      <c r="D395" s="53"/>
      <c r="E395" s="53"/>
      <c r="F395" s="53"/>
      <c r="G395" s="1"/>
      <c r="H395" s="1"/>
      <c r="I395" s="1"/>
      <c r="J395" s="1"/>
      <c r="K395" s="1"/>
      <c r="L395" s="1"/>
      <c r="M395" s="1"/>
      <c r="N395" s="1"/>
      <c r="O395" s="1"/>
      <c r="P395" s="1"/>
      <c r="Q395" s="1"/>
      <c r="R395" s="1"/>
      <c r="S395" s="1"/>
      <c r="T395" s="1"/>
    </row>
    <row r="396" ht="14.25" customHeight="1">
      <c r="A396" s="52"/>
      <c r="B396" s="53"/>
      <c r="C396" s="53"/>
      <c r="D396" s="53"/>
      <c r="E396" s="53"/>
      <c r="F396" s="53"/>
      <c r="G396" s="1"/>
      <c r="H396" s="1"/>
      <c r="I396" s="1"/>
      <c r="J396" s="1"/>
      <c r="K396" s="1"/>
      <c r="L396" s="1"/>
      <c r="M396" s="1"/>
      <c r="N396" s="1"/>
      <c r="O396" s="1"/>
      <c r="P396" s="1"/>
      <c r="Q396" s="1"/>
      <c r="R396" s="1"/>
      <c r="S396" s="1"/>
      <c r="T396" s="1"/>
    </row>
    <row r="397" ht="14.25" customHeight="1">
      <c r="A397" s="52"/>
      <c r="B397" s="53"/>
      <c r="C397" s="53"/>
      <c r="D397" s="53"/>
      <c r="E397" s="53"/>
      <c r="F397" s="53"/>
      <c r="G397" s="1"/>
      <c r="H397" s="1"/>
      <c r="I397" s="1"/>
      <c r="J397" s="1"/>
      <c r="K397" s="1"/>
      <c r="L397" s="1"/>
      <c r="M397" s="1"/>
      <c r="N397" s="1"/>
      <c r="O397" s="1"/>
      <c r="P397" s="1"/>
      <c r="Q397" s="1"/>
      <c r="R397" s="1"/>
      <c r="S397" s="1"/>
      <c r="T397" s="1"/>
    </row>
    <row r="398" ht="14.25" customHeight="1">
      <c r="A398" s="52"/>
      <c r="B398" s="53"/>
      <c r="C398" s="53"/>
      <c r="D398" s="53"/>
      <c r="E398" s="53"/>
      <c r="F398" s="53"/>
      <c r="G398" s="1"/>
      <c r="H398" s="1"/>
      <c r="I398" s="1"/>
      <c r="J398" s="1"/>
      <c r="K398" s="1"/>
      <c r="L398" s="1"/>
      <c r="M398" s="1"/>
      <c r="N398" s="1"/>
      <c r="O398" s="1"/>
      <c r="P398" s="1"/>
      <c r="Q398" s="1"/>
      <c r="R398" s="1"/>
      <c r="S398" s="1"/>
      <c r="T398" s="1"/>
    </row>
    <row r="399" ht="14.25" customHeight="1">
      <c r="A399" s="52"/>
      <c r="B399" s="53"/>
      <c r="C399" s="53"/>
      <c r="D399" s="53"/>
      <c r="E399" s="53"/>
      <c r="F399" s="53"/>
      <c r="G399" s="1"/>
      <c r="H399" s="1"/>
      <c r="I399" s="1"/>
      <c r="J399" s="1"/>
      <c r="K399" s="1"/>
      <c r="L399" s="1"/>
      <c r="M399" s="1"/>
      <c r="N399" s="1"/>
      <c r="O399" s="1"/>
      <c r="P399" s="1"/>
      <c r="Q399" s="1"/>
      <c r="R399" s="1"/>
      <c r="S399" s="1"/>
      <c r="T399" s="1"/>
    </row>
    <row r="400" ht="14.25" customHeight="1">
      <c r="A400" s="52"/>
      <c r="B400" s="53"/>
      <c r="C400" s="53"/>
      <c r="D400" s="53"/>
      <c r="E400" s="53"/>
      <c r="F400" s="53"/>
      <c r="G400" s="1"/>
      <c r="H400" s="1"/>
      <c r="I400" s="1"/>
      <c r="J400" s="1"/>
      <c r="K400" s="1"/>
      <c r="L400" s="1"/>
      <c r="M400" s="1"/>
      <c r="N400" s="1"/>
      <c r="O400" s="1"/>
      <c r="P400" s="1"/>
      <c r="Q400" s="1"/>
      <c r="R400" s="1"/>
      <c r="S400" s="1"/>
      <c r="T400" s="1"/>
    </row>
    <row r="401" ht="14.25" customHeight="1">
      <c r="A401" s="52"/>
      <c r="B401" s="53"/>
      <c r="C401" s="53"/>
      <c r="D401" s="53"/>
      <c r="E401" s="53"/>
      <c r="F401" s="53"/>
      <c r="G401" s="1"/>
      <c r="H401" s="1"/>
      <c r="I401" s="1"/>
      <c r="J401" s="1"/>
      <c r="K401" s="1"/>
      <c r="L401" s="1"/>
      <c r="M401" s="1"/>
      <c r="N401" s="1"/>
      <c r="O401" s="1"/>
      <c r="P401" s="1"/>
      <c r="Q401" s="1"/>
      <c r="R401" s="1"/>
      <c r="S401" s="1"/>
      <c r="T401" s="1"/>
    </row>
    <row r="402" ht="14.25" customHeight="1">
      <c r="A402" s="52"/>
      <c r="B402" s="53"/>
      <c r="C402" s="53"/>
      <c r="D402" s="53"/>
      <c r="E402" s="53"/>
      <c r="F402" s="53"/>
      <c r="G402" s="1"/>
      <c r="H402" s="1"/>
      <c r="I402" s="1"/>
      <c r="J402" s="1"/>
      <c r="K402" s="1"/>
      <c r="L402" s="1"/>
      <c r="M402" s="1"/>
      <c r="N402" s="1"/>
      <c r="O402" s="1"/>
      <c r="P402" s="1"/>
      <c r="Q402" s="1"/>
      <c r="R402" s="1"/>
      <c r="S402" s="1"/>
      <c r="T402" s="1"/>
    </row>
    <row r="403" ht="14.25" customHeight="1">
      <c r="A403" s="52"/>
      <c r="B403" s="53"/>
      <c r="C403" s="53"/>
      <c r="D403" s="53"/>
      <c r="E403" s="53"/>
      <c r="F403" s="53"/>
      <c r="G403" s="1"/>
      <c r="H403" s="1"/>
      <c r="I403" s="1"/>
      <c r="J403" s="1"/>
      <c r="K403" s="1"/>
      <c r="L403" s="1"/>
      <c r="M403" s="1"/>
      <c r="N403" s="1"/>
      <c r="O403" s="1"/>
      <c r="P403" s="1"/>
      <c r="Q403" s="1"/>
      <c r="R403" s="1"/>
      <c r="S403" s="1"/>
      <c r="T403" s="1"/>
    </row>
    <row r="404" ht="14.25" customHeight="1">
      <c r="A404" s="52"/>
      <c r="B404" s="53"/>
      <c r="C404" s="53"/>
      <c r="D404" s="53"/>
      <c r="E404" s="53"/>
      <c r="F404" s="53"/>
      <c r="G404" s="1"/>
      <c r="H404" s="1"/>
      <c r="I404" s="1"/>
      <c r="J404" s="1"/>
      <c r="K404" s="1"/>
      <c r="L404" s="1"/>
      <c r="M404" s="1"/>
      <c r="N404" s="1"/>
      <c r="O404" s="1"/>
      <c r="P404" s="1"/>
      <c r="Q404" s="1"/>
      <c r="R404" s="1"/>
      <c r="S404" s="1"/>
      <c r="T404" s="1"/>
    </row>
    <row r="405" ht="14.25" customHeight="1">
      <c r="A405" s="52"/>
      <c r="B405" s="53"/>
      <c r="C405" s="53"/>
      <c r="D405" s="53"/>
      <c r="E405" s="53"/>
      <c r="F405" s="53"/>
      <c r="G405" s="1"/>
      <c r="H405" s="1"/>
      <c r="I405" s="1"/>
      <c r="J405" s="1"/>
      <c r="K405" s="1"/>
      <c r="L405" s="1"/>
      <c r="M405" s="1"/>
      <c r="N405" s="1"/>
      <c r="O405" s="1"/>
      <c r="P405" s="1"/>
      <c r="Q405" s="1"/>
      <c r="R405" s="1"/>
      <c r="S405" s="1"/>
      <c r="T405" s="1"/>
    </row>
    <row r="406" ht="14.25" customHeight="1">
      <c r="A406" s="52"/>
      <c r="B406" s="53"/>
      <c r="C406" s="53"/>
      <c r="D406" s="53"/>
      <c r="E406" s="53"/>
      <c r="F406" s="53"/>
      <c r="G406" s="1"/>
      <c r="H406" s="1"/>
      <c r="I406" s="1"/>
      <c r="J406" s="1"/>
      <c r="K406" s="1"/>
      <c r="L406" s="1"/>
      <c r="M406" s="1"/>
      <c r="N406" s="1"/>
      <c r="O406" s="1"/>
      <c r="P406" s="1"/>
      <c r="Q406" s="1"/>
      <c r="R406" s="1"/>
      <c r="S406" s="1"/>
      <c r="T406" s="1"/>
    </row>
    <row r="407" ht="14.25" customHeight="1">
      <c r="A407" s="52"/>
      <c r="B407" s="53"/>
      <c r="C407" s="53"/>
      <c r="D407" s="53"/>
      <c r="E407" s="53"/>
      <c r="F407" s="53"/>
      <c r="G407" s="1"/>
      <c r="H407" s="1"/>
      <c r="I407" s="1"/>
      <c r="J407" s="1"/>
      <c r="K407" s="1"/>
      <c r="L407" s="1"/>
      <c r="M407" s="1"/>
      <c r="N407" s="1"/>
      <c r="O407" s="1"/>
      <c r="P407" s="1"/>
      <c r="Q407" s="1"/>
      <c r="R407" s="1"/>
      <c r="S407" s="1"/>
      <c r="T407" s="1"/>
    </row>
    <row r="408" ht="14.25" customHeight="1">
      <c r="A408" s="52"/>
      <c r="B408" s="53"/>
      <c r="C408" s="53"/>
      <c r="D408" s="53"/>
      <c r="E408" s="53"/>
      <c r="F408" s="53"/>
      <c r="G408" s="1"/>
      <c r="H408" s="1"/>
      <c r="I408" s="1"/>
      <c r="J408" s="1"/>
      <c r="K408" s="1"/>
      <c r="L408" s="1"/>
      <c r="M408" s="1"/>
      <c r="N408" s="1"/>
      <c r="O408" s="1"/>
      <c r="P408" s="1"/>
      <c r="Q408" s="1"/>
      <c r="R408" s="1"/>
      <c r="S408" s="1"/>
      <c r="T408" s="1"/>
    </row>
    <row r="409" ht="14.25" customHeight="1">
      <c r="A409" s="52"/>
      <c r="B409" s="53"/>
      <c r="C409" s="53"/>
      <c r="D409" s="53"/>
      <c r="E409" s="53"/>
      <c r="F409" s="53"/>
      <c r="G409" s="1"/>
      <c r="H409" s="1"/>
      <c r="I409" s="1"/>
      <c r="J409" s="1"/>
      <c r="K409" s="1"/>
      <c r="L409" s="1"/>
      <c r="M409" s="1"/>
      <c r="N409" s="1"/>
      <c r="O409" s="1"/>
      <c r="P409" s="1"/>
      <c r="Q409" s="1"/>
      <c r="R409" s="1"/>
      <c r="S409" s="1"/>
      <c r="T409" s="1"/>
    </row>
    <row r="410" ht="14.25" customHeight="1">
      <c r="A410" s="52"/>
      <c r="B410" s="53"/>
      <c r="C410" s="53"/>
      <c r="D410" s="53"/>
      <c r="E410" s="53"/>
      <c r="F410" s="53"/>
      <c r="G410" s="1"/>
      <c r="H410" s="1"/>
      <c r="I410" s="1"/>
      <c r="J410" s="1"/>
      <c r="K410" s="1"/>
      <c r="L410" s="1"/>
      <c r="M410" s="1"/>
      <c r="N410" s="1"/>
      <c r="O410" s="1"/>
      <c r="P410" s="1"/>
      <c r="Q410" s="1"/>
      <c r="R410" s="1"/>
      <c r="S410" s="1"/>
      <c r="T410" s="1"/>
    </row>
    <row r="411" ht="14.25" customHeight="1">
      <c r="A411" s="52"/>
      <c r="B411" s="53"/>
      <c r="C411" s="53"/>
      <c r="D411" s="53"/>
      <c r="E411" s="53"/>
      <c r="F411" s="53"/>
      <c r="G411" s="1"/>
      <c r="H411" s="1"/>
      <c r="I411" s="1"/>
      <c r="J411" s="1"/>
      <c r="K411" s="1"/>
      <c r="L411" s="1"/>
      <c r="M411" s="1"/>
      <c r="N411" s="1"/>
      <c r="O411" s="1"/>
      <c r="P411" s="1"/>
      <c r="Q411" s="1"/>
      <c r="R411" s="1"/>
      <c r="S411" s="1"/>
      <c r="T411" s="1"/>
    </row>
    <row r="412" ht="14.25" customHeight="1">
      <c r="A412" s="52"/>
      <c r="B412" s="53"/>
      <c r="C412" s="53"/>
      <c r="D412" s="53"/>
      <c r="E412" s="53"/>
      <c r="F412" s="53"/>
      <c r="G412" s="1"/>
      <c r="H412" s="1"/>
      <c r="I412" s="1"/>
      <c r="J412" s="1"/>
      <c r="K412" s="1"/>
      <c r="L412" s="1"/>
      <c r="M412" s="1"/>
      <c r="N412" s="1"/>
      <c r="O412" s="1"/>
      <c r="P412" s="1"/>
      <c r="Q412" s="1"/>
      <c r="R412" s="1"/>
      <c r="S412" s="1"/>
      <c r="T412" s="1"/>
    </row>
    <row r="413" ht="14.25" customHeight="1">
      <c r="A413" s="52"/>
      <c r="B413" s="53"/>
      <c r="C413" s="53"/>
      <c r="D413" s="53"/>
      <c r="E413" s="53"/>
      <c r="F413" s="53"/>
      <c r="G413" s="1"/>
      <c r="H413" s="1"/>
      <c r="I413" s="1"/>
      <c r="J413" s="1"/>
      <c r="K413" s="1"/>
      <c r="L413" s="1"/>
      <c r="M413" s="1"/>
      <c r="N413" s="1"/>
      <c r="O413" s="1"/>
      <c r="P413" s="1"/>
      <c r="Q413" s="1"/>
      <c r="R413" s="1"/>
      <c r="S413" s="1"/>
      <c r="T413" s="1"/>
    </row>
    <row r="414" ht="14.25" customHeight="1">
      <c r="A414" s="52"/>
      <c r="B414" s="53"/>
      <c r="C414" s="53"/>
      <c r="D414" s="53"/>
      <c r="E414" s="53"/>
      <c r="F414" s="53"/>
      <c r="G414" s="1"/>
      <c r="H414" s="1"/>
      <c r="I414" s="1"/>
      <c r="J414" s="1"/>
      <c r="K414" s="1"/>
      <c r="L414" s="1"/>
      <c r="M414" s="1"/>
      <c r="N414" s="1"/>
      <c r="O414" s="1"/>
      <c r="P414" s="1"/>
      <c r="Q414" s="1"/>
      <c r="R414" s="1"/>
      <c r="S414" s="1"/>
      <c r="T414" s="1"/>
    </row>
    <row r="415" ht="14.25" customHeight="1">
      <c r="A415" s="52"/>
      <c r="B415" s="53"/>
      <c r="C415" s="53"/>
      <c r="D415" s="53"/>
      <c r="E415" s="53"/>
      <c r="F415" s="53"/>
      <c r="G415" s="1"/>
      <c r="H415" s="1"/>
      <c r="I415" s="1"/>
      <c r="J415" s="1"/>
      <c r="K415" s="1"/>
      <c r="L415" s="1"/>
      <c r="M415" s="1"/>
      <c r="N415" s="1"/>
      <c r="O415" s="1"/>
      <c r="P415" s="1"/>
      <c r="Q415" s="1"/>
      <c r="R415" s="1"/>
      <c r="S415" s="1"/>
      <c r="T415" s="1"/>
    </row>
    <row r="416" ht="14.25" customHeight="1">
      <c r="A416" s="52"/>
      <c r="B416" s="53"/>
      <c r="C416" s="53"/>
      <c r="D416" s="53"/>
      <c r="E416" s="53"/>
      <c r="F416" s="53"/>
      <c r="G416" s="1"/>
      <c r="H416" s="1"/>
      <c r="I416" s="1"/>
      <c r="J416" s="1"/>
      <c r="K416" s="1"/>
      <c r="L416" s="1"/>
      <c r="M416" s="1"/>
      <c r="N416" s="1"/>
      <c r="O416" s="1"/>
      <c r="P416" s="1"/>
      <c r="Q416" s="1"/>
      <c r="R416" s="1"/>
      <c r="S416" s="1"/>
      <c r="T416" s="1"/>
    </row>
    <row r="417" ht="14.25" customHeight="1">
      <c r="A417" s="52"/>
      <c r="B417" s="53"/>
      <c r="C417" s="53"/>
      <c r="D417" s="53"/>
      <c r="E417" s="53"/>
      <c r="F417" s="53"/>
      <c r="G417" s="1"/>
      <c r="H417" s="1"/>
      <c r="I417" s="1"/>
      <c r="J417" s="1"/>
      <c r="K417" s="1"/>
      <c r="L417" s="1"/>
      <c r="M417" s="1"/>
      <c r="N417" s="1"/>
      <c r="O417" s="1"/>
      <c r="P417" s="1"/>
      <c r="Q417" s="1"/>
      <c r="R417" s="1"/>
      <c r="S417" s="1"/>
      <c r="T417" s="1"/>
    </row>
    <row r="418" ht="14.25" customHeight="1">
      <c r="A418" s="52"/>
      <c r="B418" s="53"/>
      <c r="C418" s="53"/>
      <c r="D418" s="53"/>
      <c r="E418" s="53"/>
      <c r="F418" s="53"/>
      <c r="G418" s="1"/>
      <c r="H418" s="1"/>
      <c r="I418" s="1"/>
      <c r="J418" s="1"/>
      <c r="K418" s="1"/>
      <c r="L418" s="1"/>
      <c r="M418" s="1"/>
      <c r="N418" s="1"/>
      <c r="O418" s="1"/>
      <c r="P418" s="1"/>
      <c r="Q418" s="1"/>
      <c r="R418" s="1"/>
      <c r="S418" s="1"/>
      <c r="T418" s="1"/>
    </row>
    <row r="419" ht="14.25" customHeight="1">
      <c r="A419" s="52"/>
      <c r="B419" s="53"/>
      <c r="C419" s="53"/>
      <c r="D419" s="53"/>
      <c r="E419" s="53"/>
      <c r="F419" s="53"/>
      <c r="G419" s="1"/>
      <c r="H419" s="1"/>
      <c r="I419" s="1"/>
      <c r="J419" s="1"/>
      <c r="K419" s="1"/>
      <c r="L419" s="1"/>
      <c r="M419" s="1"/>
      <c r="N419" s="1"/>
      <c r="O419" s="1"/>
      <c r="P419" s="1"/>
      <c r="Q419" s="1"/>
      <c r="R419" s="1"/>
      <c r="S419" s="1"/>
      <c r="T419" s="1"/>
    </row>
    <row r="420" ht="14.25" customHeight="1">
      <c r="A420" s="52"/>
      <c r="B420" s="53"/>
      <c r="C420" s="53"/>
      <c r="D420" s="53"/>
      <c r="E420" s="53"/>
      <c r="F420" s="53"/>
      <c r="G420" s="1"/>
      <c r="H420" s="1"/>
      <c r="I420" s="1"/>
      <c r="J420" s="1"/>
      <c r="K420" s="1"/>
      <c r="L420" s="1"/>
      <c r="M420" s="1"/>
      <c r="N420" s="1"/>
      <c r="O420" s="1"/>
      <c r="P420" s="1"/>
      <c r="Q420" s="1"/>
      <c r="R420" s="1"/>
      <c r="S420" s="1"/>
      <c r="T420" s="1"/>
    </row>
    <row r="421" ht="14.25" customHeight="1">
      <c r="A421" s="52"/>
      <c r="B421" s="53"/>
      <c r="C421" s="53"/>
      <c r="D421" s="53"/>
      <c r="E421" s="53"/>
      <c r="F421" s="53"/>
      <c r="G421" s="1"/>
      <c r="H421" s="1"/>
      <c r="I421" s="1"/>
      <c r="J421" s="1"/>
      <c r="K421" s="1"/>
      <c r="L421" s="1"/>
      <c r="M421" s="1"/>
      <c r="N421" s="1"/>
      <c r="O421" s="1"/>
      <c r="P421" s="1"/>
      <c r="Q421" s="1"/>
      <c r="R421" s="1"/>
      <c r="S421" s="1"/>
      <c r="T421" s="1"/>
    </row>
    <row r="422" ht="14.25" customHeight="1">
      <c r="A422" s="52"/>
      <c r="B422" s="53"/>
      <c r="C422" s="53"/>
      <c r="D422" s="53"/>
      <c r="E422" s="53"/>
      <c r="F422" s="53"/>
      <c r="G422" s="1"/>
      <c r="H422" s="1"/>
      <c r="I422" s="1"/>
      <c r="J422" s="1"/>
      <c r="K422" s="1"/>
      <c r="L422" s="1"/>
      <c r="M422" s="1"/>
      <c r="N422" s="1"/>
      <c r="O422" s="1"/>
      <c r="P422" s="1"/>
      <c r="Q422" s="1"/>
      <c r="R422" s="1"/>
      <c r="S422" s="1"/>
      <c r="T422" s="1"/>
    </row>
    <row r="423" ht="14.25" customHeight="1">
      <c r="A423" s="52"/>
      <c r="B423" s="53"/>
      <c r="C423" s="53"/>
      <c r="D423" s="53"/>
      <c r="E423" s="53"/>
      <c r="F423" s="53"/>
      <c r="G423" s="1"/>
      <c r="H423" s="1"/>
      <c r="I423" s="1"/>
      <c r="J423" s="1"/>
      <c r="K423" s="1"/>
      <c r="L423" s="1"/>
      <c r="M423" s="1"/>
      <c r="N423" s="1"/>
      <c r="O423" s="1"/>
      <c r="P423" s="1"/>
      <c r="Q423" s="1"/>
      <c r="R423" s="1"/>
      <c r="S423" s="1"/>
      <c r="T423" s="1"/>
    </row>
    <row r="424" ht="14.25" customHeight="1">
      <c r="A424" s="52"/>
      <c r="B424" s="53"/>
      <c r="C424" s="53"/>
      <c r="D424" s="53"/>
      <c r="E424" s="53"/>
      <c r="F424" s="53"/>
      <c r="G424" s="1"/>
      <c r="H424" s="1"/>
      <c r="I424" s="1"/>
      <c r="J424" s="1"/>
      <c r="K424" s="1"/>
      <c r="L424" s="1"/>
      <c r="M424" s="1"/>
      <c r="N424" s="1"/>
      <c r="O424" s="1"/>
      <c r="P424" s="1"/>
      <c r="Q424" s="1"/>
      <c r="R424" s="1"/>
      <c r="S424" s="1"/>
      <c r="T424" s="1"/>
    </row>
    <row r="425" ht="14.25" customHeight="1">
      <c r="A425" s="52"/>
      <c r="B425" s="53"/>
      <c r="C425" s="53"/>
      <c r="D425" s="53"/>
      <c r="E425" s="53"/>
      <c r="F425" s="53"/>
      <c r="G425" s="1"/>
      <c r="H425" s="1"/>
      <c r="I425" s="1"/>
      <c r="J425" s="1"/>
      <c r="K425" s="1"/>
      <c r="L425" s="1"/>
      <c r="M425" s="1"/>
      <c r="N425" s="1"/>
      <c r="O425" s="1"/>
      <c r="P425" s="1"/>
      <c r="Q425" s="1"/>
      <c r="R425" s="1"/>
      <c r="S425" s="1"/>
      <c r="T425" s="1"/>
    </row>
    <row r="426" ht="14.25" customHeight="1">
      <c r="A426" s="52"/>
      <c r="B426" s="53"/>
      <c r="C426" s="53"/>
      <c r="D426" s="53"/>
      <c r="E426" s="53"/>
      <c r="F426" s="53"/>
      <c r="G426" s="1"/>
      <c r="H426" s="1"/>
      <c r="I426" s="1"/>
      <c r="J426" s="1"/>
      <c r="K426" s="1"/>
      <c r="L426" s="1"/>
      <c r="M426" s="1"/>
      <c r="N426" s="1"/>
      <c r="O426" s="1"/>
      <c r="P426" s="1"/>
      <c r="Q426" s="1"/>
      <c r="R426" s="1"/>
      <c r="S426" s="1"/>
      <c r="T426" s="1"/>
    </row>
    <row r="427" ht="14.25" customHeight="1">
      <c r="A427" s="52"/>
      <c r="B427" s="53"/>
      <c r="C427" s="53"/>
      <c r="D427" s="53"/>
      <c r="E427" s="53"/>
      <c r="F427" s="53"/>
      <c r="G427" s="1"/>
      <c r="H427" s="1"/>
      <c r="I427" s="1"/>
      <c r="J427" s="1"/>
      <c r="K427" s="1"/>
      <c r="L427" s="1"/>
      <c r="M427" s="1"/>
      <c r="N427" s="1"/>
      <c r="O427" s="1"/>
      <c r="P427" s="1"/>
      <c r="Q427" s="1"/>
      <c r="R427" s="1"/>
      <c r="S427" s="1"/>
      <c r="T427" s="1"/>
    </row>
    <row r="428" ht="14.25" customHeight="1">
      <c r="A428" s="52"/>
      <c r="B428" s="53"/>
      <c r="C428" s="53"/>
      <c r="D428" s="53"/>
      <c r="E428" s="53"/>
      <c r="F428" s="53"/>
      <c r="G428" s="1"/>
      <c r="H428" s="1"/>
      <c r="I428" s="1"/>
      <c r="J428" s="1"/>
      <c r="K428" s="1"/>
      <c r="L428" s="1"/>
      <c r="M428" s="1"/>
      <c r="N428" s="1"/>
      <c r="O428" s="1"/>
      <c r="P428" s="1"/>
      <c r="Q428" s="1"/>
      <c r="R428" s="1"/>
      <c r="S428" s="1"/>
      <c r="T428" s="1"/>
    </row>
    <row r="429" ht="14.25" customHeight="1">
      <c r="A429" s="52"/>
      <c r="B429" s="53"/>
      <c r="C429" s="53"/>
      <c r="D429" s="53"/>
      <c r="E429" s="53"/>
      <c r="F429" s="53"/>
      <c r="G429" s="1"/>
      <c r="H429" s="1"/>
      <c r="I429" s="1"/>
      <c r="J429" s="1"/>
      <c r="K429" s="1"/>
      <c r="L429" s="1"/>
      <c r="M429" s="1"/>
      <c r="N429" s="1"/>
      <c r="O429" s="1"/>
      <c r="P429" s="1"/>
      <c r="Q429" s="1"/>
      <c r="R429" s="1"/>
      <c r="S429" s="1"/>
      <c r="T429" s="1"/>
    </row>
    <row r="430" ht="14.25" customHeight="1">
      <c r="A430" s="52"/>
      <c r="B430" s="53"/>
      <c r="C430" s="53"/>
      <c r="D430" s="53"/>
      <c r="E430" s="53"/>
      <c r="F430" s="53"/>
      <c r="G430" s="1"/>
      <c r="H430" s="1"/>
      <c r="I430" s="1"/>
      <c r="J430" s="1"/>
      <c r="K430" s="1"/>
      <c r="L430" s="1"/>
      <c r="M430" s="1"/>
      <c r="N430" s="1"/>
      <c r="O430" s="1"/>
      <c r="P430" s="1"/>
      <c r="Q430" s="1"/>
      <c r="R430" s="1"/>
      <c r="S430" s="1"/>
      <c r="T430" s="1"/>
    </row>
    <row r="431" ht="14.25" customHeight="1">
      <c r="A431" s="52"/>
      <c r="B431" s="53"/>
      <c r="C431" s="53"/>
      <c r="D431" s="53"/>
      <c r="E431" s="53"/>
      <c r="F431" s="53"/>
      <c r="G431" s="1"/>
      <c r="H431" s="1"/>
      <c r="I431" s="1"/>
      <c r="J431" s="1"/>
      <c r="K431" s="1"/>
      <c r="L431" s="1"/>
      <c r="M431" s="1"/>
      <c r="N431" s="1"/>
      <c r="O431" s="1"/>
      <c r="P431" s="1"/>
      <c r="Q431" s="1"/>
      <c r="R431" s="1"/>
      <c r="S431" s="1"/>
      <c r="T431" s="1"/>
    </row>
    <row r="432" ht="14.25" customHeight="1">
      <c r="A432" s="52"/>
      <c r="B432" s="53"/>
      <c r="C432" s="53"/>
      <c r="D432" s="53"/>
      <c r="E432" s="53"/>
      <c r="F432" s="53"/>
      <c r="G432" s="1"/>
      <c r="H432" s="1"/>
      <c r="I432" s="1"/>
      <c r="J432" s="1"/>
      <c r="K432" s="1"/>
      <c r="L432" s="1"/>
      <c r="M432" s="1"/>
      <c r="N432" s="1"/>
      <c r="O432" s="1"/>
      <c r="P432" s="1"/>
      <c r="Q432" s="1"/>
      <c r="R432" s="1"/>
      <c r="S432" s="1"/>
      <c r="T432" s="1"/>
    </row>
    <row r="433" ht="14.25" customHeight="1">
      <c r="A433" s="52"/>
      <c r="B433" s="53"/>
      <c r="C433" s="53"/>
      <c r="D433" s="53"/>
      <c r="E433" s="53"/>
      <c r="F433" s="53"/>
      <c r="G433" s="1"/>
      <c r="H433" s="1"/>
      <c r="I433" s="1"/>
      <c r="J433" s="1"/>
      <c r="K433" s="1"/>
      <c r="L433" s="1"/>
      <c r="M433" s="1"/>
      <c r="N433" s="1"/>
      <c r="O433" s="1"/>
      <c r="P433" s="1"/>
      <c r="Q433" s="1"/>
      <c r="R433" s="1"/>
      <c r="S433" s="1"/>
      <c r="T433" s="1"/>
    </row>
    <row r="434" ht="14.25" customHeight="1">
      <c r="A434" s="52"/>
      <c r="B434" s="53"/>
      <c r="C434" s="53"/>
      <c r="D434" s="53"/>
      <c r="E434" s="53"/>
      <c r="F434" s="53"/>
      <c r="G434" s="1"/>
      <c r="H434" s="1"/>
      <c r="I434" s="1"/>
      <c r="J434" s="1"/>
      <c r="K434" s="1"/>
      <c r="L434" s="1"/>
      <c r="M434" s="1"/>
      <c r="N434" s="1"/>
      <c r="O434" s="1"/>
      <c r="P434" s="1"/>
      <c r="Q434" s="1"/>
      <c r="R434" s="1"/>
      <c r="S434" s="1"/>
      <c r="T434" s="1"/>
    </row>
    <row r="435" ht="14.25" customHeight="1">
      <c r="A435" s="52"/>
      <c r="B435" s="53"/>
      <c r="C435" s="53"/>
      <c r="D435" s="53"/>
      <c r="E435" s="53"/>
      <c r="F435" s="53"/>
      <c r="G435" s="1"/>
      <c r="H435" s="1"/>
      <c r="I435" s="1"/>
      <c r="J435" s="1"/>
      <c r="K435" s="1"/>
      <c r="L435" s="1"/>
      <c r="M435" s="1"/>
      <c r="N435" s="1"/>
      <c r="O435" s="1"/>
      <c r="P435" s="1"/>
      <c r="Q435" s="1"/>
      <c r="R435" s="1"/>
      <c r="S435" s="1"/>
      <c r="T435" s="1"/>
    </row>
    <row r="436" ht="14.25" customHeight="1">
      <c r="A436" s="52"/>
      <c r="B436" s="53"/>
      <c r="C436" s="53"/>
      <c r="D436" s="53"/>
      <c r="E436" s="53"/>
      <c r="F436" s="53"/>
      <c r="G436" s="1"/>
      <c r="H436" s="1"/>
      <c r="I436" s="1"/>
      <c r="J436" s="1"/>
      <c r="K436" s="1"/>
      <c r="L436" s="1"/>
      <c r="M436" s="1"/>
      <c r="N436" s="1"/>
      <c r="O436" s="1"/>
      <c r="P436" s="1"/>
      <c r="Q436" s="1"/>
      <c r="R436" s="1"/>
      <c r="S436" s="1"/>
      <c r="T436" s="1"/>
    </row>
    <row r="437" ht="14.25" customHeight="1">
      <c r="A437" s="52"/>
      <c r="B437" s="53"/>
      <c r="C437" s="53"/>
      <c r="D437" s="53"/>
      <c r="E437" s="53"/>
      <c r="F437" s="53"/>
      <c r="G437" s="1"/>
      <c r="H437" s="1"/>
      <c r="I437" s="1"/>
      <c r="J437" s="1"/>
      <c r="K437" s="1"/>
      <c r="L437" s="1"/>
      <c r="M437" s="1"/>
      <c r="N437" s="1"/>
      <c r="O437" s="1"/>
      <c r="P437" s="1"/>
      <c r="Q437" s="1"/>
      <c r="R437" s="1"/>
      <c r="S437" s="1"/>
      <c r="T437" s="1"/>
    </row>
    <row r="438" ht="14.25" customHeight="1">
      <c r="A438" s="52"/>
      <c r="B438" s="53"/>
      <c r="C438" s="53"/>
      <c r="D438" s="53"/>
      <c r="E438" s="53"/>
      <c r="F438" s="53"/>
      <c r="G438" s="1"/>
      <c r="H438" s="1"/>
      <c r="I438" s="1"/>
      <c r="J438" s="1"/>
      <c r="K438" s="1"/>
      <c r="L438" s="1"/>
      <c r="M438" s="1"/>
      <c r="N438" s="1"/>
      <c r="O438" s="1"/>
      <c r="P438" s="1"/>
      <c r="Q438" s="1"/>
      <c r="R438" s="1"/>
      <c r="S438" s="1"/>
      <c r="T438" s="1"/>
    </row>
    <row r="439" ht="14.25" customHeight="1">
      <c r="A439" s="52"/>
      <c r="B439" s="53"/>
      <c r="C439" s="53"/>
      <c r="D439" s="53"/>
      <c r="E439" s="53"/>
      <c r="F439" s="53"/>
      <c r="G439" s="1"/>
      <c r="H439" s="1"/>
      <c r="I439" s="1"/>
      <c r="J439" s="1"/>
      <c r="K439" s="1"/>
      <c r="L439" s="1"/>
      <c r="M439" s="1"/>
      <c r="N439" s="1"/>
      <c r="O439" s="1"/>
      <c r="P439" s="1"/>
      <c r="Q439" s="1"/>
      <c r="R439" s="1"/>
      <c r="S439" s="1"/>
      <c r="T439" s="1"/>
    </row>
    <row r="440" ht="14.25" customHeight="1">
      <c r="A440" s="52"/>
      <c r="B440" s="53"/>
      <c r="C440" s="53"/>
      <c r="D440" s="53"/>
      <c r="E440" s="53"/>
      <c r="F440" s="53"/>
      <c r="G440" s="1"/>
      <c r="H440" s="1"/>
      <c r="I440" s="1"/>
      <c r="J440" s="1"/>
      <c r="K440" s="1"/>
      <c r="L440" s="1"/>
      <c r="M440" s="1"/>
      <c r="N440" s="1"/>
      <c r="O440" s="1"/>
      <c r="P440" s="1"/>
      <c r="Q440" s="1"/>
      <c r="R440" s="1"/>
      <c r="S440" s="1"/>
      <c r="T440" s="1"/>
    </row>
    <row r="441" ht="14.25" customHeight="1">
      <c r="A441" s="52"/>
      <c r="B441" s="53"/>
      <c r="C441" s="53"/>
      <c r="D441" s="53"/>
      <c r="E441" s="53"/>
      <c r="F441" s="53"/>
      <c r="G441" s="1"/>
      <c r="H441" s="1"/>
      <c r="I441" s="1"/>
      <c r="J441" s="1"/>
      <c r="K441" s="1"/>
      <c r="L441" s="1"/>
      <c r="M441" s="1"/>
      <c r="N441" s="1"/>
      <c r="O441" s="1"/>
      <c r="P441" s="1"/>
      <c r="Q441" s="1"/>
      <c r="R441" s="1"/>
      <c r="S441" s="1"/>
      <c r="T441" s="1"/>
    </row>
    <row r="442" ht="14.25" customHeight="1">
      <c r="A442" s="52"/>
      <c r="B442" s="53"/>
      <c r="C442" s="53"/>
      <c r="D442" s="53"/>
      <c r="E442" s="53"/>
      <c r="F442" s="53"/>
      <c r="G442" s="1"/>
      <c r="H442" s="1"/>
      <c r="I442" s="1"/>
      <c r="J442" s="1"/>
      <c r="K442" s="1"/>
      <c r="L442" s="1"/>
      <c r="M442" s="1"/>
      <c r="N442" s="1"/>
      <c r="O442" s="1"/>
      <c r="P442" s="1"/>
      <c r="Q442" s="1"/>
      <c r="R442" s="1"/>
      <c r="S442" s="1"/>
      <c r="T442" s="1"/>
    </row>
    <row r="443" ht="14.25" customHeight="1">
      <c r="A443" s="52"/>
      <c r="B443" s="53"/>
      <c r="C443" s="53"/>
      <c r="D443" s="53"/>
      <c r="E443" s="53"/>
      <c r="F443" s="53"/>
      <c r="G443" s="1"/>
      <c r="H443" s="1"/>
      <c r="I443" s="1"/>
      <c r="J443" s="1"/>
      <c r="K443" s="1"/>
      <c r="L443" s="1"/>
      <c r="M443" s="1"/>
      <c r="N443" s="1"/>
      <c r="O443" s="1"/>
      <c r="P443" s="1"/>
      <c r="Q443" s="1"/>
      <c r="R443" s="1"/>
      <c r="S443" s="1"/>
      <c r="T443" s="1"/>
    </row>
    <row r="444" ht="14.25" customHeight="1">
      <c r="A444" s="52"/>
      <c r="B444" s="53"/>
      <c r="C444" s="53"/>
      <c r="D444" s="53"/>
      <c r="E444" s="53"/>
      <c r="F444" s="53"/>
      <c r="G444" s="1"/>
      <c r="H444" s="1"/>
      <c r="I444" s="1"/>
      <c r="J444" s="1"/>
      <c r="K444" s="1"/>
      <c r="L444" s="1"/>
      <c r="M444" s="1"/>
      <c r="N444" s="1"/>
      <c r="O444" s="1"/>
      <c r="P444" s="1"/>
      <c r="Q444" s="1"/>
      <c r="R444" s="1"/>
      <c r="S444" s="1"/>
      <c r="T444" s="1"/>
    </row>
    <row r="445" ht="14.25" customHeight="1">
      <c r="A445" s="52"/>
      <c r="B445" s="53"/>
      <c r="C445" s="53"/>
      <c r="D445" s="53"/>
      <c r="E445" s="53"/>
      <c r="F445" s="53"/>
      <c r="G445" s="1"/>
      <c r="H445" s="1"/>
      <c r="I445" s="1"/>
      <c r="J445" s="1"/>
      <c r="K445" s="1"/>
      <c r="L445" s="1"/>
      <c r="M445" s="1"/>
      <c r="N445" s="1"/>
      <c r="O445" s="1"/>
      <c r="P445" s="1"/>
      <c r="Q445" s="1"/>
      <c r="R445" s="1"/>
      <c r="S445" s="1"/>
      <c r="T445" s="1"/>
    </row>
    <row r="446" ht="14.25" customHeight="1">
      <c r="A446" s="52"/>
      <c r="B446" s="53"/>
      <c r="C446" s="53"/>
      <c r="D446" s="53"/>
      <c r="E446" s="53"/>
      <c r="F446" s="53"/>
      <c r="G446" s="1"/>
      <c r="H446" s="1"/>
      <c r="I446" s="1"/>
      <c r="J446" s="1"/>
      <c r="K446" s="1"/>
      <c r="L446" s="1"/>
      <c r="M446" s="1"/>
      <c r="N446" s="1"/>
      <c r="O446" s="1"/>
      <c r="P446" s="1"/>
      <c r="Q446" s="1"/>
      <c r="R446" s="1"/>
      <c r="S446" s="1"/>
      <c r="T446" s="1"/>
    </row>
    <row r="447" ht="14.25" customHeight="1">
      <c r="A447" s="52"/>
      <c r="B447" s="53"/>
      <c r="C447" s="53"/>
      <c r="D447" s="53"/>
      <c r="E447" s="53"/>
      <c r="F447" s="53"/>
      <c r="G447" s="1"/>
      <c r="H447" s="1"/>
      <c r="I447" s="1"/>
      <c r="J447" s="1"/>
      <c r="K447" s="1"/>
      <c r="L447" s="1"/>
      <c r="M447" s="1"/>
      <c r="N447" s="1"/>
      <c r="O447" s="1"/>
      <c r="P447" s="1"/>
      <c r="Q447" s="1"/>
      <c r="R447" s="1"/>
      <c r="S447" s="1"/>
      <c r="T447" s="1"/>
    </row>
    <row r="448" ht="14.25" customHeight="1">
      <c r="A448" s="52"/>
      <c r="B448" s="53"/>
      <c r="C448" s="53"/>
      <c r="D448" s="53"/>
      <c r="E448" s="53"/>
      <c r="F448" s="53"/>
      <c r="G448" s="1"/>
      <c r="H448" s="1"/>
      <c r="I448" s="1"/>
      <c r="J448" s="1"/>
      <c r="K448" s="1"/>
      <c r="L448" s="1"/>
      <c r="M448" s="1"/>
      <c r="N448" s="1"/>
      <c r="O448" s="1"/>
      <c r="P448" s="1"/>
      <c r="Q448" s="1"/>
      <c r="R448" s="1"/>
      <c r="S448" s="1"/>
      <c r="T448" s="1"/>
    </row>
    <row r="449" ht="14.25" customHeight="1">
      <c r="A449" s="52"/>
      <c r="B449" s="53"/>
      <c r="C449" s="53"/>
      <c r="D449" s="53"/>
      <c r="E449" s="53"/>
      <c r="F449" s="53"/>
      <c r="G449" s="1"/>
      <c r="H449" s="1"/>
      <c r="I449" s="1"/>
      <c r="J449" s="1"/>
      <c r="K449" s="1"/>
      <c r="L449" s="1"/>
      <c r="M449" s="1"/>
      <c r="N449" s="1"/>
      <c r="O449" s="1"/>
      <c r="P449" s="1"/>
      <c r="Q449" s="1"/>
      <c r="R449" s="1"/>
      <c r="S449" s="1"/>
      <c r="T449" s="1"/>
    </row>
    <row r="450" ht="14.25" customHeight="1">
      <c r="A450" s="52"/>
      <c r="B450" s="53"/>
      <c r="C450" s="53"/>
      <c r="D450" s="53"/>
      <c r="E450" s="53"/>
      <c r="F450" s="53"/>
      <c r="G450" s="1"/>
      <c r="H450" s="1"/>
      <c r="I450" s="1"/>
      <c r="J450" s="1"/>
      <c r="K450" s="1"/>
      <c r="L450" s="1"/>
      <c r="M450" s="1"/>
      <c r="N450" s="1"/>
      <c r="O450" s="1"/>
      <c r="P450" s="1"/>
      <c r="Q450" s="1"/>
      <c r="R450" s="1"/>
      <c r="S450" s="1"/>
      <c r="T450" s="1"/>
    </row>
    <row r="451" ht="14.25" customHeight="1">
      <c r="A451" s="52"/>
      <c r="B451" s="53"/>
      <c r="C451" s="53"/>
      <c r="D451" s="53"/>
      <c r="E451" s="53"/>
      <c r="F451" s="53"/>
      <c r="G451" s="1"/>
      <c r="H451" s="1"/>
      <c r="I451" s="1"/>
      <c r="J451" s="1"/>
      <c r="K451" s="1"/>
      <c r="L451" s="1"/>
      <c r="M451" s="1"/>
      <c r="N451" s="1"/>
      <c r="O451" s="1"/>
      <c r="P451" s="1"/>
      <c r="Q451" s="1"/>
      <c r="R451" s="1"/>
      <c r="S451" s="1"/>
      <c r="T451" s="1"/>
    </row>
    <row r="452" ht="14.25" customHeight="1">
      <c r="A452" s="52"/>
      <c r="B452" s="53"/>
      <c r="C452" s="53"/>
      <c r="D452" s="53"/>
      <c r="E452" s="53"/>
      <c r="F452" s="53"/>
      <c r="G452" s="1"/>
      <c r="H452" s="1"/>
      <c r="I452" s="1"/>
      <c r="J452" s="1"/>
      <c r="K452" s="1"/>
      <c r="L452" s="1"/>
      <c r="M452" s="1"/>
      <c r="N452" s="1"/>
      <c r="O452" s="1"/>
      <c r="P452" s="1"/>
      <c r="Q452" s="1"/>
      <c r="R452" s="1"/>
      <c r="S452" s="1"/>
      <c r="T452" s="1"/>
    </row>
    <row r="453" ht="14.25" customHeight="1">
      <c r="A453" s="52"/>
      <c r="B453" s="53"/>
      <c r="C453" s="53"/>
      <c r="D453" s="53"/>
      <c r="E453" s="53"/>
      <c r="F453" s="53"/>
      <c r="G453" s="1"/>
      <c r="H453" s="1"/>
      <c r="I453" s="1"/>
      <c r="J453" s="1"/>
      <c r="K453" s="1"/>
      <c r="L453" s="1"/>
      <c r="M453" s="1"/>
      <c r="N453" s="1"/>
      <c r="O453" s="1"/>
      <c r="P453" s="1"/>
      <c r="Q453" s="1"/>
      <c r="R453" s="1"/>
      <c r="S453" s="1"/>
      <c r="T453" s="1"/>
    </row>
    <row r="454" ht="14.25" customHeight="1">
      <c r="A454" s="52"/>
      <c r="B454" s="53"/>
      <c r="C454" s="53"/>
      <c r="D454" s="53"/>
      <c r="E454" s="53"/>
      <c r="F454" s="53"/>
      <c r="G454" s="1"/>
      <c r="H454" s="1"/>
      <c r="I454" s="1"/>
      <c r="J454" s="1"/>
      <c r="K454" s="1"/>
      <c r="L454" s="1"/>
      <c r="M454" s="1"/>
      <c r="N454" s="1"/>
      <c r="O454" s="1"/>
      <c r="P454" s="1"/>
      <c r="Q454" s="1"/>
      <c r="R454" s="1"/>
      <c r="S454" s="1"/>
      <c r="T454" s="1"/>
    </row>
    <row r="455" ht="14.25" customHeight="1">
      <c r="A455" s="52"/>
      <c r="B455" s="53"/>
      <c r="C455" s="53"/>
      <c r="D455" s="53"/>
      <c r="E455" s="53"/>
      <c r="F455" s="53"/>
      <c r="G455" s="1"/>
      <c r="H455" s="1"/>
      <c r="I455" s="1"/>
      <c r="J455" s="1"/>
      <c r="K455" s="1"/>
      <c r="L455" s="1"/>
      <c r="M455" s="1"/>
      <c r="N455" s="1"/>
      <c r="O455" s="1"/>
      <c r="P455" s="1"/>
      <c r="Q455" s="1"/>
      <c r="R455" s="1"/>
      <c r="S455" s="1"/>
      <c r="T455" s="1"/>
    </row>
    <row r="456" ht="14.25" customHeight="1">
      <c r="A456" s="52"/>
      <c r="B456" s="53"/>
      <c r="C456" s="53"/>
      <c r="D456" s="53"/>
      <c r="E456" s="53"/>
      <c r="F456" s="53"/>
      <c r="G456" s="1"/>
      <c r="H456" s="1"/>
      <c r="I456" s="1"/>
      <c r="J456" s="1"/>
      <c r="K456" s="1"/>
      <c r="L456" s="1"/>
      <c r="M456" s="1"/>
      <c r="N456" s="1"/>
      <c r="O456" s="1"/>
      <c r="P456" s="1"/>
      <c r="Q456" s="1"/>
      <c r="R456" s="1"/>
      <c r="S456" s="1"/>
      <c r="T456" s="1"/>
    </row>
    <row r="457" ht="14.25" customHeight="1">
      <c r="A457" s="52"/>
      <c r="B457" s="53"/>
      <c r="C457" s="53"/>
      <c r="D457" s="53"/>
      <c r="E457" s="53"/>
      <c r="F457" s="53"/>
      <c r="G457" s="1"/>
      <c r="H457" s="1"/>
      <c r="I457" s="1"/>
      <c r="J457" s="1"/>
      <c r="K457" s="1"/>
      <c r="L457" s="1"/>
      <c r="M457" s="1"/>
      <c r="N457" s="1"/>
      <c r="O457" s="1"/>
      <c r="P457" s="1"/>
      <c r="Q457" s="1"/>
      <c r="R457" s="1"/>
      <c r="S457" s="1"/>
      <c r="T457" s="1"/>
    </row>
    <row r="458" ht="14.25" customHeight="1">
      <c r="A458" s="52"/>
      <c r="B458" s="53"/>
      <c r="C458" s="53"/>
      <c r="D458" s="53"/>
      <c r="E458" s="53"/>
      <c r="F458" s="53"/>
      <c r="G458" s="1"/>
      <c r="H458" s="1"/>
      <c r="I458" s="1"/>
      <c r="J458" s="1"/>
      <c r="K458" s="1"/>
      <c r="L458" s="1"/>
      <c r="M458" s="1"/>
      <c r="N458" s="1"/>
      <c r="O458" s="1"/>
      <c r="P458" s="1"/>
      <c r="Q458" s="1"/>
      <c r="R458" s="1"/>
      <c r="S458" s="1"/>
      <c r="T458" s="1"/>
    </row>
    <row r="459" ht="14.25" customHeight="1">
      <c r="A459" s="52"/>
      <c r="B459" s="53"/>
      <c r="C459" s="53"/>
      <c r="D459" s="53"/>
      <c r="E459" s="53"/>
      <c r="F459" s="53"/>
      <c r="G459" s="1"/>
      <c r="H459" s="1"/>
      <c r="I459" s="1"/>
      <c r="J459" s="1"/>
      <c r="K459" s="1"/>
      <c r="L459" s="1"/>
      <c r="M459" s="1"/>
      <c r="N459" s="1"/>
      <c r="O459" s="1"/>
      <c r="P459" s="1"/>
      <c r="Q459" s="1"/>
      <c r="R459" s="1"/>
      <c r="S459" s="1"/>
      <c r="T459" s="1"/>
    </row>
    <row r="460" ht="14.25" customHeight="1">
      <c r="A460" s="52"/>
      <c r="B460" s="53"/>
      <c r="C460" s="53"/>
      <c r="D460" s="53"/>
      <c r="E460" s="53"/>
      <c r="F460" s="53"/>
      <c r="G460" s="1"/>
      <c r="H460" s="1"/>
      <c r="I460" s="1"/>
      <c r="J460" s="1"/>
      <c r="K460" s="1"/>
      <c r="L460" s="1"/>
      <c r="M460" s="1"/>
      <c r="N460" s="1"/>
      <c r="O460" s="1"/>
      <c r="P460" s="1"/>
      <c r="Q460" s="1"/>
      <c r="R460" s="1"/>
      <c r="S460" s="1"/>
      <c r="T460" s="1"/>
    </row>
    <row r="461" ht="14.25" customHeight="1">
      <c r="A461" s="52"/>
      <c r="B461" s="53"/>
      <c r="C461" s="53"/>
      <c r="D461" s="53"/>
      <c r="E461" s="53"/>
      <c r="F461" s="53"/>
      <c r="G461" s="1"/>
      <c r="H461" s="1"/>
      <c r="I461" s="1"/>
      <c r="J461" s="1"/>
      <c r="K461" s="1"/>
      <c r="L461" s="1"/>
      <c r="M461" s="1"/>
      <c r="N461" s="1"/>
      <c r="O461" s="1"/>
      <c r="P461" s="1"/>
      <c r="Q461" s="1"/>
      <c r="R461" s="1"/>
      <c r="S461" s="1"/>
      <c r="T461" s="1"/>
    </row>
    <row r="462" ht="14.25" customHeight="1">
      <c r="A462" s="52"/>
      <c r="B462" s="53"/>
      <c r="C462" s="53"/>
      <c r="D462" s="53"/>
      <c r="E462" s="53"/>
      <c r="F462" s="53"/>
      <c r="G462" s="1"/>
      <c r="H462" s="1"/>
      <c r="I462" s="1"/>
      <c r="J462" s="1"/>
      <c r="K462" s="1"/>
      <c r="L462" s="1"/>
      <c r="M462" s="1"/>
      <c r="N462" s="1"/>
      <c r="O462" s="1"/>
      <c r="P462" s="1"/>
      <c r="Q462" s="1"/>
      <c r="R462" s="1"/>
      <c r="S462" s="1"/>
      <c r="T462" s="1"/>
    </row>
    <row r="463" ht="14.25" customHeight="1">
      <c r="A463" s="52"/>
      <c r="B463" s="53"/>
      <c r="C463" s="53"/>
      <c r="D463" s="53"/>
      <c r="E463" s="53"/>
      <c r="F463" s="53"/>
      <c r="G463" s="1"/>
      <c r="H463" s="1"/>
      <c r="I463" s="1"/>
      <c r="J463" s="1"/>
      <c r="K463" s="1"/>
      <c r="L463" s="1"/>
      <c r="M463" s="1"/>
      <c r="N463" s="1"/>
      <c r="O463" s="1"/>
      <c r="P463" s="1"/>
      <c r="Q463" s="1"/>
      <c r="R463" s="1"/>
      <c r="S463" s="1"/>
      <c r="T463" s="1"/>
    </row>
    <row r="464" ht="14.25" customHeight="1">
      <c r="A464" s="52"/>
      <c r="B464" s="53"/>
      <c r="C464" s="53"/>
      <c r="D464" s="53"/>
      <c r="E464" s="53"/>
      <c r="F464" s="53"/>
      <c r="G464" s="1"/>
      <c r="H464" s="1"/>
      <c r="I464" s="1"/>
      <c r="J464" s="1"/>
      <c r="K464" s="1"/>
      <c r="L464" s="1"/>
      <c r="M464" s="1"/>
      <c r="N464" s="1"/>
      <c r="O464" s="1"/>
      <c r="P464" s="1"/>
      <c r="Q464" s="1"/>
      <c r="R464" s="1"/>
      <c r="S464" s="1"/>
      <c r="T464" s="1"/>
    </row>
    <row r="465" ht="14.25" customHeight="1">
      <c r="A465" s="52"/>
      <c r="B465" s="53"/>
      <c r="C465" s="53"/>
      <c r="D465" s="53"/>
      <c r="E465" s="53"/>
      <c r="F465" s="53"/>
      <c r="G465" s="1"/>
      <c r="H465" s="1"/>
      <c r="I465" s="1"/>
      <c r="J465" s="1"/>
      <c r="K465" s="1"/>
      <c r="L465" s="1"/>
      <c r="M465" s="1"/>
      <c r="N465" s="1"/>
      <c r="O465" s="1"/>
      <c r="P465" s="1"/>
      <c r="Q465" s="1"/>
      <c r="R465" s="1"/>
      <c r="S465" s="1"/>
      <c r="T465" s="1"/>
    </row>
    <row r="466" ht="14.25" customHeight="1">
      <c r="A466" s="52"/>
      <c r="B466" s="53"/>
      <c r="C466" s="53"/>
      <c r="D466" s="53"/>
      <c r="E466" s="53"/>
      <c r="F466" s="53"/>
      <c r="G466" s="1"/>
      <c r="H466" s="1"/>
      <c r="I466" s="1"/>
      <c r="J466" s="1"/>
      <c r="K466" s="1"/>
      <c r="L466" s="1"/>
      <c r="M466" s="1"/>
      <c r="N466" s="1"/>
      <c r="O466" s="1"/>
      <c r="P466" s="1"/>
      <c r="Q466" s="1"/>
      <c r="R466" s="1"/>
      <c r="S466" s="1"/>
      <c r="T466" s="1"/>
    </row>
    <row r="467" ht="14.25" customHeight="1">
      <c r="A467" s="52"/>
      <c r="B467" s="53"/>
      <c r="C467" s="53"/>
      <c r="D467" s="53"/>
      <c r="E467" s="53"/>
      <c r="F467" s="53"/>
      <c r="G467" s="1"/>
      <c r="H467" s="1"/>
      <c r="I467" s="1"/>
      <c r="J467" s="1"/>
      <c r="K467" s="1"/>
      <c r="L467" s="1"/>
      <c r="M467" s="1"/>
      <c r="N467" s="1"/>
      <c r="O467" s="1"/>
      <c r="P467" s="1"/>
      <c r="Q467" s="1"/>
      <c r="R467" s="1"/>
      <c r="S467" s="1"/>
      <c r="T467" s="1"/>
    </row>
    <row r="468" ht="14.25" customHeight="1">
      <c r="A468" s="52"/>
      <c r="B468" s="53"/>
      <c r="C468" s="53"/>
      <c r="D468" s="53"/>
      <c r="E468" s="53"/>
      <c r="F468" s="53"/>
      <c r="G468" s="1"/>
      <c r="H468" s="1"/>
      <c r="I468" s="1"/>
      <c r="J468" s="1"/>
      <c r="K468" s="1"/>
      <c r="L468" s="1"/>
      <c r="M468" s="1"/>
      <c r="N468" s="1"/>
      <c r="O468" s="1"/>
      <c r="P468" s="1"/>
      <c r="Q468" s="1"/>
      <c r="R468" s="1"/>
      <c r="S468" s="1"/>
      <c r="T468" s="1"/>
    </row>
    <row r="469" ht="14.25" customHeight="1">
      <c r="A469" s="52"/>
      <c r="B469" s="53"/>
      <c r="C469" s="53"/>
      <c r="D469" s="53"/>
      <c r="E469" s="53"/>
      <c r="F469" s="53"/>
      <c r="G469" s="1"/>
      <c r="H469" s="1"/>
      <c r="I469" s="1"/>
      <c r="J469" s="1"/>
      <c r="K469" s="1"/>
      <c r="L469" s="1"/>
      <c r="M469" s="1"/>
      <c r="N469" s="1"/>
      <c r="O469" s="1"/>
      <c r="P469" s="1"/>
      <c r="Q469" s="1"/>
      <c r="R469" s="1"/>
      <c r="S469" s="1"/>
      <c r="T469" s="1"/>
    </row>
    <row r="470" ht="14.25" customHeight="1">
      <c r="A470" s="52"/>
      <c r="B470" s="53"/>
      <c r="C470" s="53"/>
      <c r="D470" s="53"/>
      <c r="E470" s="53"/>
      <c r="F470" s="53"/>
      <c r="G470" s="1"/>
      <c r="H470" s="1"/>
      <c r="I470" s="1"/>
      <c r="J470" s="1"/>
      <c r="K470" s="1"/>
      <c r="L470" s="1"/>
      <c r="M470" s="1"/>
      <c r="N470" s="1"/>
      <c r="O470" s="1"/>
      <c r="P470" s="1"/>
      <c r="Q470" s="1"/>
      <c r="R470" s="1"/>
      <c r="S470" s="1"/>
      <c r="T470" s="1"/>
    </row>
    <row r="471" ht="14.25" customHeight="1">
      <c r="A471" s="52"/>
      <c r="B471" s="53"/>
      <c r="C471" s="53"/>
      <c r="D471" s="53"/>
      <c r="E471" s="53"/>
      <c r="F471" s="53"/>
      <c r="G471" s="1"/>
      <c r="H471" s="1"/>
      <c r="I471" s="1"/>
      <c r="J471" s="1"/>
      <c r="K471" s="1"/>
      <c r="L471" s="1"/>
      <c r="M471" s="1"/>
      <c r="N471" s="1"/>
      <c r="O471" s="1"/>
      <c r="P471" s="1"/>
      <c r="Q471" s="1"/>
      <c r="R471" s="1"/>
      <c r="S471" s="1"/>
      <c r="T471" s="1"/>
    </row>
    <row r="472" ht="14.25" customHeight="1">
      <c r="A472" s="52"/>
      <c r="B472" s="53"/>
      <c r="C472" s="53"/>
      <c r="D472" s="53"/>
      <c r="E472" s="53"/>
      <c r="F472" s="53"/>
      <c r="G472" s="1"/>
      <c r="H472" s="1"/>
      <c r="I472" s="1"/>
      <c r="J472" s="1"/>
      <c r="K472" s="1"/>
      <c r="L472" s="1"/>
      <c r="M472" s="1"/>
      <c r="N472" s="1"/>
      <c r="O472" s="1"/>
      <c r="P472" s="1"/>
      <c r="Q472" s="1"/>
      <c r="R472" s="1"/>
      <c r="S472" s="1"/>
      <c r="T472" s="1"/>
    </row>
    <row r="473" ht="14.25" customHeight="1">
      <c r="A473" s="52"/>
      <c r="B473" s="53"/>
      <c r="C473" s="53"/>
      <c r="D473" s="53"/>
      <c r="E473" s="53"/>
      <c r="F473" s="53"/>
      <c r="G473" s="1"/>
      <c r="H473" s="1"/>
      <c r="I473" s="1"/>
      <c r="J473" s="1"/>
      <c r="K473" s="1"/>
      <c r="L473" s="1"/>
      <c r="M473" s="1"/>
      <c r="N473" s="1"/>
      <c r="O473" s="1"/>
      <c r="P473" s="1"/>
      <c r="Q473" s="1"/>
      <c r="R473" s="1"/>
      <c r="S473" s="1"/>
      <c r="T473" s="1"/>
    </row>
    <row r="474" ht="14.25" customHeight="1">
      <c r="A474" s="52"/>
      <c r="B474" s="53"/>
      <c r="C474" s="53"/>
      <c r="D474" s="53"/>
      <c r="E474" s="53"/>
      <c r="F474" s="53"/>
      <c r="G474" s="1"/>
      <c r="H474" s="1"/>
      <c r="I474" s="1"/>
      <c r="J474" s="1"/>
      <c r="K474" s="1"/>
      <c r="L474" s="1"/>
      <c r="M474" s="1"/>
      <c r="N474" s="1"/>
      <c r="O474" s="1"/>
      <c r="P474" s="1"/>
      <c r="Q474" s="1"/>
      <c r="R474" s="1"/>
      <c r="S474" s="1"/>
      <c r="T474" s="1"/>
    </row>
    <row r="475" ht="14.25" customHeight="1">
      <c r="A475" s="52"/>
      <c r="B475" s="53"/>
      <c r="C475" s="53"/>
      <c r="D475" s="53"/>
      <c r="E475" s="53"/>
      <c r="F475" s="53"/>
      <c r="G475" s="1"/>
      <c r="H475" s="1"/>
      <c r="I475" s="1"/>
      <c r="J475" s="1"/>
      <c r="K475" s="1"/>
      <c r="L475" s="1"/>
      <c r="M475" s="1"/>
      <c r="N475" s="1"/>
      <c r="O475" s="1"/>
      <c r="P475" s="1"/>
      <c r="Q475" s="1"/>
      <c r="R475" s="1"/>
      <c r="S475" s="1"/>
      <c r="T475" s="1"/>
    </row>
    <row r="476" ht="14.25" customHeight="1">
      <c r="A476" s="52"/>
      <c r="B476" s="53"/>
      <c r="C476" s="53"/>
      <c r="D476" s="53"/>
      <c r="E476" s="53"/>
      <c r="F476" s="53"/>
      <c r="G476" s="1"/>
      <c r="H476" s="1"/>
      <c r="I476" s="1"/>
      <c r="J476" s="1"/>
      <c r="K476" s="1"/>
      <c r="L476" s="1"/>
      <c r="M476" s="1"/>
      <c r="N476" s="1"/>
      <c r="O476" s="1"/>
      <c r="P476" s="1"/>
      <c r="Q476" s="1"/>
      <c r="R476" s="1"/>
      <c r="S476" s="1"/>
      <c r="T476" s="1"/>
    </row>
    <row r="477" ht="14.25" customHeight="1">
      <c r="A477" s="52"/>
      <c r="B477" s="53"/>
      <c r="C477" s="53"/>
      <c r="D477" s="53"/>
      <c r="E477" s="53"/>
      <c r="F477" s="53"/>
      <c r="G477" s="1"/>
      <c r="H477" s="1"/>
      <c r="I477" s="1"/>
      <c r="J477" s="1"/>
      <c r="K477" s="1"/>
      <c r="L477" s="1"/>
      <c r="M477" s="1"/>
      <c r="N477" s="1"/>
      <c r="O477" s="1"/>
      <c r="P477" s="1"/>
      <c r="Q477" s="1"/>
      <c r="R477" s="1"/>
      <c r="S477" s="1"/>
      <c r="T477" s="1"/>
    </row>
    <row r="478" ht="14.25" customHeight="1">
      <c r="A478" s="52"/>
      <c r="B478" s="53"/>
      <c r="C478" s="53"/>
      <c r="D478" s="53"/>
      <c r="E478" s="53"/>
      <c r="F478" s="53"/>
      <c r="G478" s="1"/>
      <c r="H478" s="1"/>
      <c r="I478" s="1"/>
      <c r="J478" s="1"/>
      <c r="K478" s="1"/>
      <c r="L478" s="1"/>
      <c r="M478" s="1"/>
      <c r="N478" s="1"/>
      <c r="O478" s="1"/>
      <c r="P478" s="1"/>
      <c r="Q478" s="1"/>
      <c r="R478" s="1"/>
      <c r="S478" s="1"/>
      <c r="T478" s="1"/>
    </row>
    <row r="479" ht="14.25" customHeight="1">
      <c r="A479" s="52"/>
      <c r="B479" s="53"/>
      <c r="C479" s="53"/>
      <c r="D479" s="53"/>
      <c r="E479" s="53"/>
      <c r="F479" s="53"/>
      <c r="G479" s="1"/>
      <c r="H479" s="1"/>
      <c r="I479" s="1"/>
      <c r="J479" s="1"/>
      <c r="K479" s="1"/>
      <c r="L479" s="1"/>
      <c r="M479" s="1"/>
      <c r="N479" s="1"/>
      <c r="O479" s="1"/>
      <c r="P479" s="1"/>
      <c r="Q479" s="1"/>
      <c r="R479" s="1"/>
      <c r="S479" s="1"/>
      <c r="T479" s="1"/>
    </row>
    <row r="480" ht="14.25" customHeight="1">
      <c r="A480" s="52"/>
      <c r="B480" s="53"/>
      <c r="C480" s="53"/>
      <c r="D480" s="53"/>
      <c r="E480" s="53"/>
      <c r="F480" s="53"/>
      <c r="G480" s="1"/>
      <c r="H480" s="1"/>
      <c r="I480" s="1"/>
      <c r="J480" s="1"/>
      <c r="K480" s="1"/>
      <c r="L480" s="1"/>
      <c r="M480" s="1"/>
      <c r="N480" s="1"/>
      <c r="O480" s="1"/>
      <c r="P480" s="1"/>
      <c r="Q480" s="1"/>
      <c r="R480" s="1"/>
      <c r="S480" s="1"/>
      <c r="T480" s="1"/>
    </row>
    <row r="481" ht="14.25" customHeight="1">
      <c r="A481" s="52"/>
      <c r="B481" s="53"/>
      <c r="C481" s="53"/>
      <c r="D481" s="53"/>
      <c r="E481" s="53"/>
      <c r="F481" s="53"/>
      <c r="G481" s="1"/>
      <c r="H481" s="1"/>
      <c r="I481" s="1"/>
      <c r="J481" s="1"/>
      <c r="K481" s="1"/>
      <c r="L481" s="1"/>
      <c r="M481" s="1"/>
      <c r="N481" s="1"/>
      <c r="O481" s="1"/>
      <c r="P481" s="1"/>
      <c r="Q481" s="1"/>
      <c r="R481" s="1"/>
      <c r="S481" s="1"/>
      <c r="T481" s="1"/>
    </row>
    <row r="482" ht="14.25" customHeight="1">
      <c r="A482" s="52"/>
      <c r="B482" s="53"/>
      <c r="C482" s="53"/>
      <c r="D482" s="53"/>
      <c r="E482" s="53"/>
      <c r="F482" s="53"/>
      <c r="G482" s="1"/>
      <c r="H482" s="1"/>
      <c r="I482" s="1"/>
      <c r="J482" s="1"/>
      <c r="K482" s="1"/>
      <c r="L482" s="1"/>
      <c r="M482" s="1"/>
      <c r="N482" s="1"/>
      <c r="O482" s="1"/>
      <c r="P482" s="1"/>
      <c r="Q482" s="1"/>
      <c r="R482" s="1"/>
      <c r="S482" s="1"/>
      <c r="T482" s="1"/>
    </row>
    <row r="483" ht="14.25" customHeight="1">
      <c r="A483" s="52"/>
      <c r="B483" s="53"/>
      <c r="C483" s="53"/>
      <c r="D483" s="53"/>
      <c r="E483" s="53"/>
      <c r="F483" s="53"/>
      <c r="G483" s="1"/>
      <c r="H483" s="1"/>
      <c r="I483" s="1"/>
      <c r="J483" s="1"/>
      <c r="K483" s="1"/>
      <c r="L483" s="1"/>
      <c r="M483" s="1"/>
      <c r="N483" s="1"/>
      <c r="O483" s="1"/>
      <c r="P483" s="1"/>
      <c r="Q483" s="1"/>
      <c r="R483" s="1"/>
      <c r="S483" s="1"/>
      <c r="T483" s="1"/>
    </row>
    <row r="484" ht="14.25" customHeight="1">
      <c r="A484" s="52"/>
      <c r="B484" s="53"/>
      <c r="C484" s="53"/>
      <c r="D484" s="53"/>
      <c r="E484" s="53"/>
      <c r="F484" s="53"/>
      <c r="G484" s="1"/>
      <c r="H484" s="1"/>
      <c r="I484" s="1"/>
      <c r="J484" s="1"/>
      <c r="K484" s="1"/>
      <c r="L484" s="1"/>
      <c r="M484" s="1"/>
      <c r="N484" s="1"/>
      <c r="O484" s="1"/>
      <c r="P484" s="1"/>
      <c r="Q484" s="1"/>
      <c r="R484" s="1"/>
      <c r="S484" s="1"/>
      <c r="T484" s="1"/>
    </row>
    <row r="485" ht="14.25" customHeight="1">
      <c r="A485" s="52"/>
      <c r="B485" s="53"/>
      <c r="C485" s="53"/>
      <c r="D485" s="53"/>
      <c r="E485" s="53"/>
      <c r="F485" s="53"/>
      <c r="G485" s="1"/>
      <c r="H485" s="1"/>
      <c r="I485" s="1"/>
      <c r="J485" s="1"/>
      <c r="K485" s="1"/>
      <c r="L485" s="1"/>
      <c r="M485" s="1"/>
      <c r="N485" s="1"/>
      <c r="O485" s="1"/>
      <c r="P485" s="1"/>
      <c r="Q485" s="1"/>
      <c r="R485" s="1"/>
      <c r="S485" s="1"/>
      <c r="T485" s="1"/>
    </row>
    <row r="486" ht="14.25" customHeight="1">
      <c r="A486" s="52"/>
      <c r="B486" s="53"/>
      <c r="C486" s="53"/>
      <c r="D486" s="53"/>
      <c r="E486" s="53"/>
      <c r="F486" s="53"/>
      <c r="G486" s="1"/>
      <c r="H486" s="1"/>
      <c r="I486" s="1"/>
      <c r="J486" s="1"/>
      <c r="K486" s="1"/>
      <c r="L486" s="1"/>
      <c r="M486" s="1"/>
      <c r="N486" s="1"/>
      <c r="O486" s="1"/>
      <c r="P486" s="1"/>
      <c r="Q486" s="1"/>
      <c r="R486" s="1"/>
      <c r="S486" s="1"/>
      <c r="T486" s="1"/>
    </row>
    <row r="487" ht="14.25" customHeight="1">
      <c r="A487" s="52"/>
      <c r="B487" s="53"/>
      <c r="C487" s="53"/>
      <c r="D487" s="53"/>
      <c r="E487" s="53"/>
      <c r="F487" s="53"/>
      <c r="G487" s="1"/>
      <c r="H487" s="1"/>
      <c r="I487" s="1"/>
      <c r="J487" s="1"/>
      <c r="K487" s="1"/>
      <c r="L487" s="1"/>
      <c r="M487" s="1"/>
      <c r="N487" s="1"/>
      <c r="O487" s="1"/>
      <c r="P487" s="1"/>
      <c r="Q487" s="1"/>
      <c r="R487" s="1"/>
      <c r="S487" s="1"/>
      <c r="T487" s="1"/>
    </row>
    <row r="488" ht="14.25" customHeight="1">
      <c r="A488" s="52"/>
      <c r="B488" s="53"/>
      <c r="C488" s="53"/>
      <c r="D488" s="53"/>
      <c r="E488" s="53"/>
      <c r="F488" s="53"/>
      <c r="G488" s="1"/>
      <c r="H488" s="1"/>
      <c r="I488" s="1"/>
      <c r="J488" s="1"/>
      <c r="K488" s="1"/>
      <c r="L488" s="1"/>
      <c r="M488" s="1"/>
      <c r="N488" s="1"/>
      <c r="O488" s="1"/>
      <c r="P488" s="1"/>
      <c r="Q488" s="1"/>
      <c r="R488" s="1"/>
      <c r="S488" s="1"/>
      <c r="T488" s="1"/>
    </row>
    <row r="489" ht="14.25" customHeight="1">
      <c r="A489" s="52"/>
      <c r="B489" s="53"/>
      <c r="C489" s="53"/>
      <c r="D489" s="53"/>
      <c r="E489" s="53"/>
      <c r="F489" s="53"/>
      <c r="G489" s="1"/>
      <c r="H489" s="1"/>
      <c r="I489" s="1"/>
      <c r="J489" s="1"/>
      <c r="K489" s="1"/>
      <c r="L489" s="1"/>
      <c r="M489" s="1"/>
      <c r="N489" s="1"/>
      <c r="O489" s="1"/>
      <c r="P489" s="1"/>
      <c r="Q489" s="1"/>
      <c r="R489" s="1"/>
      <c r="S489" s="1"/>
      <c r="T489" s="1"/>
    </row>
    <row r="490" ht="14.25" customHeight="1">
      <c r="A490" s="52"/>
      <c r="B490" s="53"/>
      <c r="C490" s="53"/>
      <c r="D490" s="53"/>
      <c r="E490" s="53"/>
      <c r="F490" s="53"/>
      <c r="G490" s="1"/>
      <c r="H490" s="1"/>
      <c r="I490" s="1"/>
      <c r="J490" s="1"/>
      <c r="K490" s="1"/>
      <c r="L490" s="1"/>
      <c r="M490" s="1"/>
      <c r="N490" s="1"/>
      <c r="O490" s="1"/>
      <c r="P490" s="1"/>
      <c r="Q490" s="1"/>
      <c r="R490" s="1"/>
      <c r="S490" s="1"/>
      <c r="T490" s="1"/>
    </row>
    <row r="491" ht="14.25" customHeight="1">
      <c r="A491" s="52"/>
      <c r="B491" s="53"/>
      <c r="C491" s="53"/>
      <c r="D491" s="53"/>
      <c r="E491" s="53"/>
      <c r="F491" s="53"/>
      <c r="G491" s="1"/>
      <c r="H491" s="1"/>
      <c r="I491" s="1"/>
      <c r="J491" s="1"/>
      <c r="K491" s="1"/>
      <c r="L491" s="1"/>
      <c r="M491" s="1"/>
      <c r="N491" s="1"/>
      <c r="O491" s="1"/>
      <c r="P491" s="1"/>
      <c r="Q491" s="1"/>
      <c r="R491" s="1"/>
      <c r="S491" s="1"/>
      <c r="T491" s="1"/>
    </row>
    <row r="492" ht="14.25" customHeight="1">
      <c r="A492" s="52"/>
      <c r="B492" s="53"/>
      <c r="C492" s="53"/>
      <c r="D492" s="53"/>
      <c r="E492" s="53"/>
      <c r="F492" s="53"/>
      <c r="G492" s="1"/>
      <c r="H492" s="1"/>
      <c r="I492" s="1"/>
      <c r="J492" s="1"/>
      <c r="K492" s="1"/>
      <c r="L492" s="1"/>
      <c r="M492" s="1"/>
      <c r="N492" s="1"/>
      <c r="O492" s="1"/>
      <c r="P492" s="1"/>
      <c r="Q492" s="1"/>
      <c r="R492" s="1"/>
      <c r="S492" s="1"/>
      <c r="T492" s="1"/>
    </row>
    <row r="493" ht="14.25" customHeight="1">
      <c r="A493" s="52"/>
      <c r="B493" s="53"/>
      <c r="C493" s="53"/>
      <c r="D493" s="53"/>
      <c r="E493" s="53"/>
      <c r="F493" s="53"/>
      <c r="G493" s="1"/>
      <c r="H493" s="1"/>
      <c r="I493" s="1"/>
      <c r="J493" s="1"/>
      <c r="K493" s="1"/>
      <c r="L493" s="1"/>
      <c r="M493" s="1"/>
      <c r="N493" s="1"/>
      <c r="O493" s="1"/>
      <c r="P493" s="1"/>
      <c r="Q493" s="1"/>
      <c r="R493" s="1"/>
      <c r="S493" s="1"/>
      <c r="T493" s="1"/>
    </row>
    <row r="494" ht="14.25" customHeight="1">
      <c r="A494" s="52"/>
      <c r="B494" s="53"/>
      <c r="C494" s="53"/>
      <c r="D494" s="53"/>
      <c r="E494" s="53"/>
      <c r="F494" s="53"/>
      <c r="G494" s="1"/>
      <c r="H494" s="1"/>
      <c r="I494" s="1"/>
      <c r="J494" s="1"/>
      <c r="K494" s="1"/>
      <c r="L494" s="1"/>
      <c r="M494" s="1"/>
      <c r="N494" s="1"/>
      <c r="O494" s="1"/>
      <c r="P494" s="1"/>
      <c r="Q494" s="1"/>
      <c r="R494" s="1"/>
      <c r="S494" s="1"/>
      <c r="T494" s="1"/>
    </row>
    <row r="495" ht="14.25" customHeight="1">
      <c r="A495" s="52"/>
      <c r="B495" s="53"/>
      <c r="C495" s="53"/>
      <c r="D495" s="53"/>
      <c r="E495" s="53"/>
      <c r="F495" s="53"/>
      <c r="G495" s="1"/>
      <c r="H495" s="1"/>
      <c r="I495" s="1"/>
      <c r="J495" s="1"/>
      <c r="K495" s="1"/>
      <c r="L495" s="1"/>
      <c r="M495" s="1"/>
      <c r="N495" s="1"/>
      <c r="O495" s="1"/>
      <c r="P495" s="1"/>
      <c r="Q495" s="1"/>
      <c r="R495" s="1"/>
      <c r="S495" s="1"/>
      <c r="T495" s="1"/>
    </row>
    <row r="496" ht="14.25" customHeight="1">
      <c r="A496" s="52"/>
      <c r="B496" s="53"/>
      <c r="C496" s="53"/>
      <c r="D496" s="53"/>
      <c r="E496" s="53"/>
      <c r="F496" s="53"/>
      <c r="G496" s="1"/>
      <c r="H496" s="1"/>
      <c r="I496" s="1"/>
      <c r="J496" s="1"/>
      <c r="K496" s="1"/>
      <c r="L496" s="1"/>
      <c r="M496" s="1"/>
      <c r="N496" s="1"/>
      <c r="O496" s="1"/>
      <c r="P496" s="1"/>
      <c r="Q496" s="1"/>
      <c r="R496" s="1"/>
      <c r="S496" s="1"/>
      <c r="T496" s="1"/>
    </row>
    <row r="497" ht="14.25" customHeight="1">
      <c r="A497" s="52"/>
      <c r="B497" s="53"/>
      <c r="C497" s="53"/>
      <c r="D497" s="53"/>
      <c r="E497" s="53"/>
      <c r="F497" s="53"/>
      <c r="G497" s="1"/>
      <c r="H497" s="1"/>
      <c r="I497" s="1"/>
      <c r="J497" s="1"/>
      <c r="K497" s="1"/>
      <c r="L497" s="1"/>
      <c r="M497" s="1"/>
      <c r="N497" s="1"/>
      <c r="O497" s="1"/>
      <c r="P497" s="1"/>
      <c r="Q497" s="1"/>
      <c r="R497" s="1"/>
      <c r="S497" s="1"/>
      <c r="T497" s="1"/>
    </row>
    <row r="498" ht="14.25" customHeight="1">
      <c r="A498" s="52"/>
      <c r="B498" s="53"/>
      <c r="C498" s="53"/>
      <c r="D498" s="53"/>
      <c r="E498" s="53"/>
      <c r="F498" s="53"/>
      <c r="G498" s="1"/>
      <c r="H498" s="1"/>
      <c r="I498" s="1"/>
      <c r="J498" s="1"/>
      <c r="K498" s="1"/>
      <c r="L498" s="1"/>
      <c r="M498" s="1"/>
      <c r="N498" s="1"/>
      <c r="O498" s="1"/>
      <c r="P498" s="1"/>
      <c r="Q498" s="1"/>
      <c r="R498" s="1"/>
      <c r="S498" s="1"/>
      <c r="T498" s="1"/>
    </row>
    <row r="499" ht="14.25" customHeight="1">
      <c r="A499" s="52"/>
      <c r="B499" s="53"/>
      <c r="C499" s="53"/>
      <c r="D499" s="53"/>
      <c r="E499" s="53"/>
      <c r="F499" s="53"/>
      <c r="G499" s="1"/>
      <c r="H499" s="1"/>
      <c r="I499" s="1"/>
      <c r="J499" s="1"/>
      <c r="K499" s="1"/>
      <c r="L499" s="1"/>
      <c r="M499" s="1"/>
      <c r="N499" s="1"/>
      <c r="O499" s="1"/>
      <c r="P499" s="1"/>
      <c r="Q499" s="1"/>
      <c r="R499" s="1"/>
      <c r="S499" s="1"/>
      <c r="T499" s="1"/>
    </row>
    <row r="500" ht="14.25" customHeight="1">
      <c r="A500" s="52"/>
      <c r="B500" s="53"/>
      <c r="C500" s="53"/>
      <c r="D500" s="53"/>
      <c r="E500" s="53"/>
      <c r="F500" s="53"/>
      <c r="G500" s="1"/>
      <c r="H500" s="1"/>
      <c r="I500" s="1"/>
      <c r="J500" s="1"/>
      <c r="K500" s="1"/>
      <c r="L500" s="1"/>
      <c r="M500" s="1"/>
      <c r="N500" s="1"/>
      <c r="O500" s="1"/>
      <c r="P500" s="1"/>
      <c r="Q500" s="1"/>
      <c r="R500" s="1"/>
      <c r="S500" s="1"/>
      <c r="T500" s="1"/>
    </row>
    <row r="501" ht="14.25" customHeight="1">
      <c r="A501" s="52"/>
      <c r="B501" s="53"/>
      <c r="C501" s="53"/>
      <c r="D501" s="53"/>
      <c r="E501" s="53"/>
      <c r="F501" s="53"/>
      <c r="G501" s="1"/>
      <c r="H501" s="1"/>
      <c r="I501" s="1"/>
      <c r="J501" s="1"/>
      <c r="K501" s="1"/>
      <c r="L501" s="1"/>
      <c r="M501" s="1"/>
      <c r="N501" s="1"/>
      <c r="O501" s="1"/>
      <c r="P501" s="1"/>
      <c r="Q501" s="1"/>
      <c r="R501" s="1"/>
      <c r="S501" s="1"/>
      <c r="T501" s="1"/>
    </row>
    <row r="502" ht="14.25" customHeight="1">
      <c r="A502" s="52"/>
      <c r="B502" s="53"/>
      <c r="C502" s="53"/>
      <c r="D502" s="53"/>
      <c r="E502" s="53"/>
      <c r="F502" s="53"/>
      <c r="G502" s="1"/>
      <c r="H502" s="1"/>
      <c r="I502" s="1"/>
      <c r="J502" s="1"/>
      <c r="K502" s="1"/>
      <c r="L502" s="1"/>
      <c r="M502" s="1"/>
      <c r="N502" s="1"/>
      <c r="O502" s="1"/>
      <c r="P502" s="1"/>
      <c r="Q502" s="1"/>
      <c r="R502" s="1"/>
      <c r="S502" s="1"/>
      <c r="T502" s="1"/>
    </row>
    <row r="503" ht="14.25" customHeight="1">
      <c r="A503" s="52"/>
      <c r="B503" s="53"/>
      <c r="C503" s="53"/>
      <c r="D503" s="53"/>
      <c r="E503" s="53"/>
      <c r="F503" s="53"/>
      <c r="G503" s="1"/>
      <c r="H503" s="1"/>
      <c r="I503" s="1"/>
      <c r="J503" s="1"/>
      <c r="K503" s="1"/>
      <c r="L503" s="1"/>
      <c r="M503" s="1"/>
      <c r="N503" s="1"/>
      <c r="O503" s="1"/>
      <c r="P503" s="1"/>
      <c r="Q503" s="1"/>
      <c r="R503" s="1"/>
      <c r="S503" s="1"/>
      <c r="T503" s="1"/>
    </row>
    <row r="504" ht="14.25" customHeight="1">
      <c r="A504" s="52"/>
      <c r="B504" s="53"/>
      <c r="C504" s="53"/>
      <c r="D504" s="53"/>
      <c r="E504" s="53"/>
      <c r="F504" s="53"/>
      <c r="G504" s="1"/>
      <c r="H504" s="1"/>
      <c r="I504" s="1"/>
      <c r="J504" s="1"/>
      <c r="K504" s="1"/>
      <c r="L504" s="1"/>
      <c r="M504" s="1"/>
      <c r="N504" s="1"/>
      <c r="O504" s="1"/>
      <c r="P504" s="1"/>
      <c r="Q504" s="1"/>
      <c r="R504" s="1"/>
      <c r="S504" s="1"/>
      <c r="T504" s="1"/>
    </row>
    <row r="505" ht="14.25" customHeight="1">
      <c r="A505" s="52"/>
      <c r="B505" s="53"/>
      <c r="C505" s="53"/>
      <c r="D505" s="53"/>
      <c r="E505" s="53"/>
      <c r="F505" s="53"/>
      <c r="G505" s="1"/>
      <c r="H505" s="1"/>
      <c r="I505" s="1"/>
      <c r="J505" s="1"/>
      <c r="K505" s="1"/>
      <c r="L505" s="1"/>
      <c r="M505" s="1"/>
      <c r="N505" s="1"/>
      <c r="O505" s="1"/>
      <c r="P505" s="1"/>
      <c r="Q505" s="1"/>
      <c r="R505" s="1"/>
      <c r="S505" s="1"/>
      <c r="T505" s="1"/>
    </row>
    <row r="506" ht="14.25" customHeight="1">
      <c r="A506" s="52"/>
      <c r="B506" s="53"/>
      <c r="C506" s="53"/>
      <c r="D506" s="53"/>
      <c r="E506" s="53"/>
      <c r="F506" s="53"/>
      <c r="G506" s="1"/>
      <c r="H506" s="1"/>
      <c r="I506" s="1"/>
      <c r="J506" s="1"/>
      <c r="K506" s="1"/>
      <c r="L506" s="1"/>
      <c r="M506" s="1"/>
      <c r="N506" s="1"/>
      <c r="O506" s="1"/>
      <c r="P506" s="1"/>
      <c r="Q506" s="1"/>
      <c r="R506" s="1"/>
      <c r="S506" s="1"/>
      <c r="T506" s="1"/>
    </row>
    <row r="507" ht="14.25" customHeight="1">
      <c r="A507" s="52"/>
      <c r="B507" s="53"/>
      <c r="C507" s="53"/>
      <c r="D507" s="53"/>
      <c r="E507" s="53"/>
      <c r="F507" s="53"/>
      <c r="G507" s="1"/>
      <c r="H507" s="1"/>
      <c r="I507" s="1"/>
      <c r="J507" s="1"/>
      <c r="K507" s="1"/>
      <c r="L507" s="1"/>
      <c r="M507" s="1"/>
      <c r="N507" s="1"/>
      <c r="O507" s="1"/>
      <c r="P507" s="1"/>
      <c r="Q507" s="1"/>
      <c r="R507" s="1"/>
      <c r="S507" s="1"/>
      <c r="T507" s="1"/>
    </row>
    <row r="508" ht="14.25" customHeight="1">
      <c r="A508" s="52"/>
      <c r="B508" s="53"/>
      <c r="C508" s="53"/>
      <c r="D508" s="53"/>
      <c r="E508" s="53"/>
      <c r="F508" s="53"/>
      <c r="G508" s="1"/>
      <c r="H508" s="1"/>
      <c r="I508" s="1"/>
      <c r="J508" s="1"/>
      <c r="K508" s="1"/>
      <c r="L508" s="1"/>
      <c r="M508" s="1"/>
      <c r="N508" s="1"/>
      <c r="O508" s="1"/>
      <c r="P508" s="1"/>
      <c r="Q508" s="1"/>
      <c r="R508" s="1"/>
      <c r="S508" s="1"/>
      <c r="T508" s="1"/>
    </row>
    <row r="509" ht="14.25" customHeight="1">
      <c r="A509" s="52"/>
      <c r="B509" s="53"/>
      <c r="C509" s="53"/>
      <c r="D509" s="53"/>
      <c r="E509" s="53"/>
      <c r="F509" s="53"/>
      <c r="G509" s="1"/>
      <c r="H509" s="1"/>
      <c r="I509" s="1"/>
      <c r="J509" s="1"/>
      <c r="K509" s="1"/>
      <c r="L509" s="1"/>
      <c r="M509" s="1"/>
      <c r="N509" s="1"/>
      <c r="O509" s="1"/>
      <c r="P509" s="1"/>
      <c r="Q509" s="1"/>
      <c r="R509" s="1"/>
      <c r="S509" s="1"/>
      <c r="T509" s="1"/>
    </row>
    <row r="510" ht="14.25" customHeight="1">
      <c r="A510" s="52"/>
      <c r="B510" s="53"/>
      <c r="C510" s="53"/>
      <c r="D510" s="53"/>
      <c r="E510" s="53"/>
      <c r="F510" s="53"/>
      <c r="G510" s="1"/>
      <c r="H510" s="1"/>
      <c r="I510" s="1"/>
      <c r="J510" s="1"/>
      <c r="K510" s="1"/>
      <c r="L510" s="1"/>
      <c r="M510" s="1"/>
      <c r="N510" s="1"/>
      <c r="O510" s="1"/>
      <c r="P510" s="1"/>
      <c r="Q510" s="1"/>
      <c r="R510" s="1"/>
      <c r="S510" s="1"/>
      <c r="T510" s="1"/>
    </row>
    <row r="511" ht="14.25" customHeight="1">
      <c r="A511" s="52"/>
      <c r="B511" s="53"/>
      <c r="C511" s="53"/>
      <c r="D511" s="53"/>
      <c r="E511" s="53"/>
      <c r="F511" s="53"/>
      <c r="G511" s="1"/>
      <c r="H511" s="1"/>
      <c r="I511" s="1"/>
      <c r="J511" s="1"/>
      <c r="K511" s="1"/>
      <c r="L511" s="1"/>
      <c r="M511" s="1"/>
      <c r="N511" s="1"/>
      <c r="O511" s="1"/>
      <c r="P511" s="1"/>
      <c r="Q511" s="1"/>
      <c r="R511" s="1"/>
      <c r="S511" s="1"/>
      <c r="T511" s="1"/>
    </row>
    <row r="512" ht="14.25" customHeight="1">
      <c r="A512" s="52"/>
      <c r="B512" s="53"/>
      <c r="C512" s="53"/>
      <c r="D512" s="53"/>
      <c r="E512" s="53"/>
      <c r="F512" s="53"/>
      <c r="G512" s="1"/>
      <c r="H512" s="1"/>
      <c r="I512" s="1"/>
      <c r="J512" s="1"/>
      <c r="K512" s="1"/>
      <c r="L512" s="1"/>
      <c r="M512" s="1"/>
      <c r="N512" s="1"/>
      <c r="O512" s="1"/>
      <c r="P512" s="1"/>
      <c r="Q512" s="1"/>
      <c r="R512" s="1"/>
      <c r="S512" s="1"/>
      <c r="T512" s="1"/>
    </row>
    <row r="513" ht="14.25" customHeight="1">
      <c r="A513" s="52"/>
      <c r="B513" s="53"/>
      <c r="C513" s="53"/>
      <c r="D513" s="53"/>
      <c r="E513" s="53"/>
      <c r="F513" s="53"/>
      <c r="G513" s="1"/>
      <c r="H513" s="1"/>
      <c r="I513" s="1"/>
      <c r="J513" s="1"/>
      <c r="K513" s="1"/>
      <c r="L513" s="1"/>
      <c r="M513" s="1"/>
      <c r="N513" s="1"/>
      <c r="O513" s="1"/>
      <c r="P513" s="1"/>
      <c r="Q513" s="1"/>
      <c r="R513" s="1"/>
      <c r="S513" s="1"/>
      <c r="T513" s="1"/>
    </row>
    <row r="514" ht="14.25" customHeight="1">
      <c r="A514" s="52"/>
      <c r="B514" s="53"/>
      <c r="C514" s="53"/>
      <c r="D514" s="53"/>
      <c r="E514" s="53"/>
      <c r="F514" s="53"/>
      <c r="G514" s="1"/>
      <c r="H514" s="1"/>
      <c r="I514" s="1"/>
      <c r="J514" s="1"/>
      <c r="K514" s="1"/>
      <c r="L514" s="1"/>
      <c r="M514" s="1"/>
      <c r="N514" s="1"/>
      <c r="O514" s="1"/>
      <c r="P514" s="1"/>
      <c r="Q514" s="1"/>
      <c r="R514" s="1"/>
      <c r="S514" s="1"/>
      <c r="T514" s="1"/>
    </row>
    <row r="515" ht="14.25" customHeight="1">
      <c r="A515" s="52"/>
      <c r="B515" s="53"/>
      <c r="C515" s="53"/>
      <c r="D515" s="53"/>
      <c r="E515" s="53"/>
      <c r="F515" s="53"/>
      <c r="G515" s="1"/>
      <c r="H515" s="1"/>
      <c r="I515" s="1"/>
      <c r="J515" s="1"/>
      <c r="K515" s="1"/>
      <c r="L515" s="1"/>
      <c r="M515" s="1"/>
      <c r="N515" s="1"/>
      <c r="O515" s="1"/>
      <c r="P515" s="1"/>
      <c r="Q515" s="1"/>
      <c r="R515" s="1"/>
      <c r="S515" s="1"/>
      <c r="T515" s="1"/>
    </row>
    <row r="516" ht="14.25" customHeight="1">
      <c r="A516" s="52"/>
      <c r="B516" s="53"/>
      <c r="C516" s="53"/>
      <c r="D516" s="53"/>
      <c r="E516" s="53"/>
      <c r="F516" s="53"/>
      <c r="G516" s="1"/>
      <c r="H516" s="1"/>
      <c r="I516" s="1"/>
      <c r="J516" s="1"/>
      <c r="K516" s="1"/>
      <c r="L516" s="1"/>
      <c r="M516" s="1"/>
      <c r="N516" s="1"/>
      <c r="O516" s="1"/>
      <c r="P516" s="1"/>
      <c r="Q516" s="1"/>
      <c r="R516" s="1"/>
      <c r="S516" s="1"/>
      <c r="T516" s="1"/>
    </row>
    <row r="517" ht="14.25" customHeight="1">
      <c r="A517" s="52"/>
      <c r="B517" s="53"/>
      <c r="C517" s="53"/>
      <c r="D517" s="53"/>
      <c r="E517" s="53"/>
      <c r="F517" s="53"/>
      <c r="G517" s="1"/>
      <c r="H517" s="1"/>
      <c r="I517" s="1"/>
      <c r="J517" s="1"/>
      <c r="K517" s="1"/>
      <c r="L517" s="1"/>
      <c r="M517" s="1"/>
      <c r="N517" s="1"/>
      <c r="O517" s="1"/>
      <c r="P517" s="1"/>
      <c r="Q517" s="1"/>
      <c r="R517" s="1"/>
      <c r="S517" s="1"/>
      <c r="T517" s="1"/>
    </row>
    <row r="518" ht="14.25" customHeight="1">
      <c r="A518" s="52"/>
      <c r="B518" s="53"/>
      <c r="C518" s="53"/>
      <c r="D518" s="53"/>
      <c r="E518" s="53"/>
      <c r="F518" s="53"/>
      <c r="G518" s="1"/>
      <c r="H518" s="1"/>
      <c r="I518" s="1"/>
      <c r="J518" s="1"/>
      <c r="K518" s="1"/>
      <c r="L518" s="1"/>
      <c r="M518" s="1"/>
      <c r="N518" s="1"/>
      <c r="O518" s="1"/>
      <c r="P518" s="1"/>
      <c r="Q518" s="1"/>
      <c r="R518" s="1"/>
      <c r="S518" s="1"/>
      <c r="T518" s="1"/>
    </row>
    <row r="519" ht="14.25" customHeight="1">
      <c r="A519" s="52"/>
      <c r="B519" s="53"/>
      <c r="C519" s="53"/>
      <c r="D519" s="53"/>
      <c r="E519" s="53"/>
      <c r="F519" s="53"/>
      <c r="G519" s="1"/>
      <c r="H519" s="1"/>
      <c r="I519" s="1"/>
      <c r="J519" s="1"/>
      <c r="K519" s="1"/>
      <c r="L519" s="1"/>
      <c r="M519" s="1"/>
      <c r="N519" s="1"/>
      <c r="O519" s="1"/>
      <c r="P519" s="1"/>
      <c r="Q519" s="1"/>
      <c r="R519" s="1"/>
      <c r="S519" s="1"/>
      <c r="T519" s="1"/>
    </row>
    <row r="520" ht="14.25" customHeight="1">
      <c r="A520" s="52"/>
      <c r="B520" s="53"/>
      <c r="C520" s="53"/>
      <c r="D520" s="53"/>
      <c r="E520" s="53"/>
      <c r="F520" s="53"/>
      <c r="G520" s="1"/>
      <c r="H520" s="1"/>
      <c r="I520" s="1"/>
      <c r="J520" s="1"/>
      <c r="K520" s="1"/>
      <c r="L520" s="1"/>
      <c r="M520" s="1"/>
      <c r="N520" s="1"/>
      <c r="O520" s="1"/>
      <c r="P520" s="1"/>
      <c r="Q520" s="1"/>
      <c r="R520" s="1"/>
      <c r="S520" s="1"/>
      <c r="T520" s="1"/>
    </row>
    <row r="521" ht="14.25" customHeight="1">
      <c r="A521" s="52"/>
      <c r="B521" s="53"/>
      <c r="C521" s="53"/>
      <c r="D521" s="53"/>
      <c r="E521" s="53"/>
      <c r="F521" s="53"/>
      <c r="G521" s="1"/>
      <c r="H521" s="1"/>
      <c r="I521" s="1"/>
      <c r="J521" s="1"/>
      <c r="K521" s="1"/>
      <c r="L521" s="1"/>
      <c r="M521" s="1"/>
      <c r="N521" s="1"/>
      <c r="O521" s="1"/>
      <c r="P521" s="1"/>
      <c r="Q521" s="1"/>
      <c r="R521" s="1"/>
      <c r="S521" s="1"/>
      <c r="T521" s="1"/>
    </row>
    <row r="522" ht="14.25" customHeight="1">
      <c r="A522" s="52"/>
      <c r="B522" s="53"/>
      <c r="C522" s="53"/>
      <c r="D522" s="53"/>
      <c r="E522" s="53"/>
      <c r="F522" s="53"/>
      <c r="G522" s="1"/>
      <c r="H522" s="1"/>
      <c r="I522" s="1"/>
      <c r="J522" s="1"/>
      <c r="K522" s="1"/>
      <c r="L522" s="1"/>
      <c r="M522" s="1"/>
      <c r="N522" s="1"/>
      <c r="O522" s="1"/>
      <c r="P522" s="1"/>
      <c r="Q522" s="1"/>
      <c r="R522" s="1"/>
      <c r="S522" s="1"/>
      <c r="T522" s="1"/>
    </row>
    <row r="523" ht="14.25" customHeight="1">
      <c r="A523" s="52"/>
      <c r="B523" s="53"/>
      <c r="C523" s="53"/>
      <c r="D523" s="53"/>
      <c r="E523" s="53"/>
      <c r="F523" s="53"/>
      <c r="G523" s="1"/>
      <c r="H523" s="1"/>
      <c r="I523" s="1"/>
      <c r="J523" s="1"/>
      <c r="K523" s="1"/>
      <c r="L523" s="1"/>
      <c r="M523" s="1"/>
      <c r="N523" s="1"/>
      <c r="O523" s="1"/>
      <c r="P523" s="1"/>
      <c r="Q523" s="1"/>
      <c r="R523" s="1"/>
      <c r="S523" s="1"/>
      <c r="T523" s="1"/>
    </row>
    <row r="524" ht="14.25" customHeight="1">
      <c r="A524" s="52"/>
      <c r="B524" s="53"/>
      <c r="C524" s="53"/>
      <c r="D524" s="53"/>
      <c r="E524" s="53"/>
      <c r="F524" s="53"/>
      <c r="G524" s="1"/>
      <c r="H524" s="1"/>
      <c r="I524" s="1"/>
      <c r="J524" s="1"/>
      <c r="K524" s="1"/>
      <c r="L524" s="1"/>
      <c r="M524" s="1"/>
      <c r="N524" s="1"/>
      <c r="O524" s="1"/>
      <c r="P524" s="1"/>
      <c r="Q524" s="1"/>
      <c r="R524" s="1"/>
      <c r="S524" s="1"/>
      <c r="T524" s="1"/>
    </row>
    <row r="525" ht="14.25" customHeight="1">
      <c r="A525" s="52"/>
      <c r="B525" s="53"/>
      <c r="C525" s="53"/>
      <c r="D525" s="53"/>
      <c r="E525" s="53"/>
      <c r="F525" s="53"/>
      <c r="G525" s="1"/>
      <c r="H525" s="1"/>
      <c r="I525" s="1"/>
      <c r="J525" s="1"/>
      <c r="K525" s="1"/>
      <c r="L525" s="1"/>
      <c r="M525" s="1"/>
      <c r="N525" s="1"/>
      <c r="O525" s="1"/>
      <c r="P525" s="1"/>
      <c r="Q525" s="1"/>
      <c r="R525" s="1"/>
      <c r="S525" s="1"/>
      <c r="T525" s="1"/>
    </row>
    <row r="526" ht="14.25" customHeight="1">
      <c r="A526" s="52"/>
      <c r="B526" s="53"/>
      <c r="C526" s="53"/>
      <c r="D526" s="53"/>
      <c r="E526" s="53"/>
      <c r="F526" s="53"/>
      <c r="G526" s="1"/>
      <c r="H526" s="1"/>
      <c r="I526" s="1"/>
      <c r="J526" s="1"/>
      <c r="K526" s="1"/>
      <c r="L526" s="1"/>
      <c r="M526" s="1"/>
      <c r="N526" s="1"/>
      <c r="O526" s="1"/>
      <c r="P526" s="1"/>
      <c r="Q526" s="1"/>
      <c r="R526" s="1"/>
      <c r="S526" s="1"/>
      <c r="T526" s="1"/>
    </row>
    <row r="527" ht="14.25" customHeight="1">
      <c r="A527" s="52"/>
      <c r="B527" s="53"/>
      <c r="C527" s="53"/>
      <c r="D527" s="53"/>
      <c r="E527" s="53"/>
      <c r="F527" s="53"/>
      <c r="G527" s="1"/>
      <c r="H527" s="1"/>
      <c r="I527" s="1"/>
      <c r="J527" s="1"/>
      <c r="K527" s="1"/>
      <c r="L527" s="1"/>
      <c r="M527" s="1"/>
      <c r="N527" s="1"/>
      <c r="O527" s="1"/>
      <c r="P527" s="1"/>
      <c r="Q527" s="1"/>
      <c r="R527" s="1"/>
      <c r="S527" s="1"/>
      <c r="T527" s="1"/>
    </row>
    <row r="528" ht="14.25" customHeight="1">
      <c r="A528" s="52"/>
      <c r="B528" s="53"/>
      <c r="C528" s="53"/>
      <c r="D528" s="53"/>
      <c r="E528" s="53"/>
      <c r="F528" s="53"/>
      <c r="G528" s="1"/>
      <c r="H528" s="1"/>
      <c r="I528" s="1"/>
      <c r="J528" s="1"/>
      <c r="K528" s="1"/>
      <c r="L528" s="1"/>
      <c r="M528" s="1"/>
      <c r="N528" s="1"/>
      <c r="O528" s="1"/>
      <c r="P528" s="1"/>
      <c r="Q528" s="1"/>
      <c r="R528" s="1"/>
      <c r="S528" s="1"/>
      <c r="T528" s="1"/>
    </row>
    <row r="529" ht="14.25" customHeight="1">
      <c r="A529" s="52"/>
      <c r="B529" s="53"/>
      <c r="C529" s="53"/>
      <c r="D529" s="53"/>
      <c r="E529" s="53"/>
      <c r="F529" s="53"/>
      <c r="G529" s="1"/>
      <c r="H529" s="1"/>
      <c r="I529" s="1"/>
      <c r="J529" s="1"/>
      <c r="K529" s="1"/>
      <c r="L529" s="1"/>
      <c r="M529" s="1"/>
      <c r="N529" s="1"/>
      <c r="O529" s="1"/>
      <c r="P529" s="1"/>
      <c r="Q529" s="1"/>
      <c r="R529" s="1"/>
      <c r="S529" s="1"/>
      <c r="T529" s="1"/>
    </row>
    <row r="530" ht="14.25" customHeight="1">
      <c r="A530" s="52"/>
      <c r="B530" s="53"/>
      <c r="C530" s="53"/>
      <c r="D530" s="53"/>
      <c r="E530" s="53"/>
      <c r="F530" s="53"/>
      <c r="G530" s="1"/>
      <c r="H530" s="1"/>
      <c r="I530" s="1"/>
      <c r="J530" s="1"/>
      <c r="K530" s="1"/>
      <c r="L530" s="1"/>
      <c r="M530" s="1"/>
      <c r="N530" s="1"/>
      <c r="O530" s="1"/>
      <c r="P530" s="1"/>
      <c r="Q530" s="1"/>
      <c r="R530" s="1"/>
      <c r="S530" s="1"/>
      <c r="T530" s="1"/>
    </row>
    <row r="531" ht="14.25" customHeight="1">
      <c r="A531" s="52"/>
      <c r="B531" s="53"/>
      <c r="C531" s="53"/>
      <c r="D531" s="53"/>
      <c r="E531" s="53"/>
      <c r="F531" s="53"/>
      <c r="G531" s="1"/>
      <c r="H531" s="1"/>
      <c r="I531" s="1"/>
      <c r="J531" s="1"/>
      <c r="K531" s="1"/>
      <c r="L531" s="1"/>
      <c r="M531" s="1"/>
      <c r="N531" s="1"/>
      <c r="O531" s="1"/>
      <c r="P531" s="1"/>
      <c r="Q531" s="1"/>
      <c r="R531" s="1"/>
      <c r="S531" s="1"/>
      <c r="T531" s="1"/>
    </row>
    <row r="532" ht="14.25" customHeight="1">
      <c r="A532" s="52"/>
      <c r="B532" s="53"/>
      <c r="C532" s="53"/>
      <c r="D532" s="53"/>
      <c r="E532" s="53"/>
      <c r="F532" s="53"/>
      <c r="G532" s="1"/>
      <c r="H532" s="1"/>
      <c r="I532" s="1"/>
      <c r="J532" s="1"/>
      <c r="K532" s="1"/>
      <c r="L532" s="1"/>
      <c r="M532" s="1"/>
      <c r="N532" s="1"/>
      <c r="O532" s="1"/>
      <c r="P532" s="1"/>
      <c r="Q532" s="1"/>
      <c r="R532" s="1"/>
      <c r="S532" s="1"/>
      <c r="T532" s="1"/>
    </row>
    <row r="533" ht="14.25" customHeight="1">
      <c r="A533" s="52"/>
      <c r="B533" s="53"/>
      <c r="C533" s="53"/>
      <c r="D533" s="53"/>
      <c r="E533" s="53"/>
      <c r="F533" s="53"/>
      <c r="G533" s="1"/>
      <c r="H533" s="1"/>
      <c r="I533" s="1"/>
      <c r="J533" s="1"/>
      <c r="K533" s="1"/>
      <c r="L533" s="1"/>
      <c r="M533" s="1"/>
      <c r="N533" s="1"/>
      <c r="O533" s="1"/>
      <c r="P533" s="1"/>
      <c r="Q533" s="1"/>
      <c r="R533" s="1"/>
      <c r="S533" s="1"/>
      <c r="T533" s="1"/>
    </row>
    <row r="534" ht="14.25" customHeight="1">
      <c r="A534" s="52"/>
      <c r="B534" s="53"/>
      <c r="C534" s="53"/>
      <c r="D534" s="53"/>
      <c r="E534" s="53"/>
      <c r="F534" s="53"/>
      <c r="G534" s="1"/>
      <c r="H534" s="1"/>
      <c r="I534" s="1"/>
      <c r="J534" s="1"/>
      <c r="K534" s="1"/>
      <c r="L534" s="1"/>
      <c r="M534" s="1"/>
      <c r="N534" s="1"/>
      <c r="O534" s="1"/>
      <c r="P534" s="1"/>
      <c r="Q534" s="1"/>
      <c r="R534" s="1"/>
      <c r="S534" s="1"/>
      <c r="T534" s="1"/>
    </row>
    <row r="535" ht="14.25" customHeight="1">
      <c r="A535" s="52"/>
      <c r="B535" s="53"/>
      <c r="C535" s="53"/>
      <c r="D535" s="53"/>
      <c r="E535" s="53"/>
      <c r="F535" s="53"/>
      <c r="G535" s="1"/>
      <c r="H535" s="1"/>
      <c r="I535" s="1"/>
      <c r="J535" s="1"/>
      <c r="K535" s="1"/>
      <c r="L535" s="1"/>
      <c r="M535" s="1"/>
      <c r="N535" s="1"/>
      <c r="O535" s="1"/>
      <c r="P535" s="1"/>
      <c r="Q535" s="1"/>
      <c r="R535" s="1"/>
      <c r="S535" s="1"/>
      <c r="T535" s="1"/>
    </row>
    <row r="536" ht="14.25" customHeight="1">
      <c r="A536" s="52"/>
      <c r="B536" s="53"/>
      <c r="C536" s="53"/>
      <c r="D536" s="53"/>
      <c r="E536" s="53"/>
      <c r="F536" s="53"/>
      <c r="G536" s="1"/>
      <c r="H536" s="1"/>
      <c r="I536" s="1"/>
      <c r="J536" s="1"/>
      <c r="K536" s="1"/>
      <c r="L536" s="1"/>
      <c r="M536" s="1"/>
      <c r="N536" s="1"/>
      <c r="O536" s="1"/>
      <c r="P536" s="1"/>
      <c r="Q536" s="1"/>
      <c r="R536" s="1"/>
      <c r="S536" s="1"/>
      <c r="T536" s="1"/>
    </row>
    <row r="537" ht="14.25" customHeight="1">
      <c r="A537" s="52"/>
      <c r="B537" s="53"/>
      <c r="C537" s="53"/>
      <c r="D537" s="53"/>
      <c r="E537" s="53"/>
      <c r="F537" s="53"/>
      <c r="G537" s="1"/>
      <c r="H537" s="1"/>
      <c r="I537" s="1"/>
      <c r="J537" s="1"/>
      <c r="K537" s="1"/>
      <c r="L537" s="1"/>
      <c r="M537" s="1"/>
      <c r="N537" s="1"/>
      <c r="O537" s="1"/>
      <c r="P537" s="1"/>
      <c r="Q537" s="1"/>
      <c r="R537" s="1"/>
      <c r="S537" s="1"/>
      <c r="T537" s="1"/>
    </row>
    <row r="538" ht="14.25" customHeight="1">
      <c r="A538" s="52"/>
      <c r="B538" s="53"/>
      <c r="C538" s="53"/>
      <c r="D538" s="53"/>
      <c r="E538" s="53"/>
      <c r="F538" s="53"/>
      <c r="G538" s="1"/>
      <c r="H538" s="1"/>
      <c r="I538" s="1"/>
      <c r="J538" s="1"/>
      <c r="K538" s="1"/>
      <c r="L538" s="1"/>
      <c r="M538" s="1"/>
      <c r="N538" s="1"/>
      <c r="O538" s="1"/>
      <c r="P538" s="1"/>
      <c r="Q538" s="1"/>
      <c r="R538" s="1"/>
      <c r="S538" s="1"/>
      <c r="T538" s="1"/>
    </row>
    <row r="539" ht="14.25" customHeight="1">
      <c r="A539" s="52"/>
      <c r="B539" s="53"/>
      <c r="C539" s="53"/>
      <c r="D539" s="53"/>
      <c r="E539" s="53"/>
      <c r="F539" s="53"/>
      <c r="G539" s="1"/>
      <c r="H539" s="1"/>
      <c r="I539" s="1"/>
      <c r="J539" s="1"/>
      <c r="K539" s="1"/>
      <c r="L539" s="1"/>
      <c r="M539" s="1"/>
      <c r="N539" s="1"/>
      <c r="O539" s="1"/>
      <c r="P539" s="1"/>
      <c r="Q539" s="1"/>
      <c r="R539" s="1"/>
      <c r="S539" s="1"/>
      <c r="T539" s="1"/>
    </row>
    <row r="540" ht="14.25" customHeight="1">
      <c r="A540" s="52"/>
      <c r="B540" s="53"/>
      <c r="C540" s="53"/>
      <c r="D540" s="53"/>
      <c r="E540" s="53"/>
      <c r="F540" s="53"/>
      <c r="G540" s="1"/>
      <c r="H540" s="1"/>
      <c r="I540" s="1"/>
      <c r="J540" s="1"/>
      <c r="K540" s="1"/>
      <c r="L540" s="1"/>
      <c r="M540" s="1"/>
      <c r="N540" s="1"/>
      <c r="O540" s="1"/>
      <c r="P540" s="1"/>
      <c r="Q540" s="1"/>
      <c r="R540" s="1"/>
      <c r="S540" s="1"/>
      <c r="T540" s="1"/>
    </row>
    <row r="541" ht="14.25" customHeight="1">
      <c r="A541" s="52"/>
      <c r="B541" s="53"/>
      <c r="C541" s="53"/>
      <c r="D541" s="53"/>
      <c r="E541" s="53"/>
      <c r="F541" s="53"/>
      <c r="G541" s="1"/>
      <c r="H541" s="1"/>
      <c r="I541" s="1"/>
      <c r="J541" s="1"/>
      <c r="K541" s="1"/>
      <c r="L541" s="1"/>
      <c r="M541" s="1"/>
      <c r="N541" s="1"/>
      <c r="O541" s="1"/>
      <c r="P541" s="1"/>
      <c r="Q541" s="1"/>
      <c r="R541" s="1"/>
      <c r="S541" s="1"/>
      <c r="T541" s="1"/>
    </row>
    <row r="542" ht="14.25" customHeight="1">
      <c r="A542" s="52"/>
      <c r="B542" s="53"/>
      <c r="C542" s="53"/>
      <c r="D542" s="53"/>
      <c r="E542" s="53"/>
      <c r="F542" s="53"/>
      <c r="G542" s="1"/>
      <c r="H542" s="1"/>
      <c r="I542" s="1"/>
      <c r="J542" s="1"/>
      <c r="K542" s="1"/>
      <c r="L542" s="1"/>
      <c r="M542" s="1"/>
      <c r="N542" s="1"/>
      <c r="O542" s="1"/>
      <c r="P542" s="1"/>
      <c r="Q542" s="1"/>
      <c r="R542" s="1"/>
      <c r="S542" s="1"/>
      <c r="T542" s="1"/>
    </row>
    <row r="543" ht="14.25" customHeight="1">
      <c r="A543" s="52"/>
      <c r="B543" s="53"/>
      <c r="C543" s="53"/>
      <c r="D543" s="53"/>
      <c r="E543" s="53"/>
      <c r="F543" s="53"/>
      <c r="G543" s="1"/>
      <c r="H543" s="1"/>
      <c r="I543" s="1"/>
      <c r="J543" s="1"/>
      <c r="K543" s="1"/>
      <c r="L543" s="1"/>
      <c r="M543" s="1"/>
      <c r="N543" s="1"/>
      <c r="O543" s="1"/>
      <c r="P543" s="1"/>
      <c r="Q543" s="1"/>
      <c r="R543" s="1"/>
      <c r="S543" s="1"/>
      <c r="T543" s="1"/>
    </row>
    <row r="544" ht="14.25" customHeight="1">
      <c r="A544" s="52"/>
      <c r="B544" s="53"/>
      <c r="C544" s="53"/>
      <c r="D544" s="53"/>
      <c r="E544" s="53"/>
      <c r="F544" s="53"/>
      <c r="G544" s="1"/>
      <c r="H544" s="1"/>
      <c r="I544" s="1"/>
      <c r="J544" s="1"/>
      <c r="K544" s="1"/>
      <c r="L544" s="1"/>
      <c r="M544" s="1"/>
      <c r="N544" s="1"/>
      <c r="O544" s="1"/>
      <c r="P544" s="1"/>
      <c r="Q544" s="1"/>
      <c r="R544" s="1"/>
      <c r="S544" s="1"/>
      <c r="T544" s="1"/>
    </row>
    <row r="545" ht="14.25" customHeight="1">
      <c r="A545" s="52"/>
      <c r="B545" s="53"/>
      <c r="C545" s="53"/>
      <c r="D545" s="53"/>
      <c r="E545" s="53"/>
      <c r="F545" s="53"/>
      <c r="G545" s="1"/>
      <c r="H545" s="1"/>
      <c r="I545" s="1"/>
      <c r="J545" s="1"/>
      <c r="K545" s="1"/>
      <c r="L545" s="1"/>
      <c r="M545" s="1"/>
      <c r="N545" s="1"/>
      <c r="O545" s="1"/>
      <c r="P545" s="1"/>
      <c r="Q545" s="1"/>
      <c r="R545" s="1"/>
      <c r="S545" s="1"/>
      <c r="T545" s="1"/>
    </row>
    <row r="546" ht="14.25" customHeight="1">
      <c r="A546" s="52"/>
      <c r="B546" s="53"/>
      <c r="C546" s="53"/>
      <c r="D546" s="53"/>
      <c r="E546" s="53"/>
      <c r="F546" s="53"/>
      <c r="G546" s="1"/>
      <c r="H546" s="1"/>
      <c r="I546" s="1"/>
      <c r="J546" s="1"/>
      <c r="K546" s="1"/>
      <c r="L546" s="1"/>
      <c r="M546" s="1"/>
      <c r="N546" s="1"/>
      <c r="O546" s="1"/>
      <c r="P546" s="1"/>
      <c r="Q546" s="1"/>
      <c r="R546" s="1"/>
      <c r="S546" s="1"/>
      <c r="T546" s="1"/>
    </row>
    <row r="547" ht="14.25" customHeight="1">
      <c r="A547" s="52"/>
      <c r="B547" s="53"/>
      <c r="C547" s="53"/>
      <c r="D547" s="53"/>
      <c r="E547" s="53"/>
      <c r="F547" s="53"/>
      <c r="G547" s="1"/>
      <c r="H547" s="1"/>
      <c r="I547" s="1"/>
      <c r="J547" s="1"/>
      <c r="K547" s="1"/>
      <c r="L547" s="1"/>
      <c r="M547" s="1"/>
      <c r="N547" s="1"/>
      <c r="O547" s="1"/>
      <c r="P547" s="1"/>
      <c r="Q547" s="1"/>
      <c r="R547" s="1"/>
      <c r="S547" s="1"/>
      <c r="T547" s="1"/>
    </row>
    <row r="548" ht="14.25" customHeight="1">
      <c r="A548" s="52"/>
      <c r="B548" s="53"/>
      <c r="C548" s="53"/>
      <c r="D548" s="53"/>
      <c r="E548" s="53"/>
      <c r="F548" s="53"/>
      <c r="G548" s="1"/>
      <c r="H548" s="1"/>
      <c r="I548" s="1"/>
      <c r="J548" s="1"/>
      <c r="K548" s="1"/>
      <c r="L548" s="1"/>
      <c r="M548" s="1"/>
      <c r="N548" s="1"/>
      <c r="O548" s="1"/>
      <c r="P548" s="1"/>
      <c r="Q548" s="1"/>
      <c r="R548" s="1"/>
      <c r="S548" s="1"/>
      <c r="T548" s="1"/>
    </row>
    <row r="549" ht="14.25" customHeight="1">
      <c r="A549" s="52"/>
      <c r="B549" s="53"/>
      <c r="C549" s="53"/>
      <c r="D549" s="53"/>
      <c r="E549" s="53"/>
      <c r="F549" s="53"/>
      <c r="G549" s="1"/>
      <c r="H549" s="1"/>
      <c r="I549" s="1"/>
      <c r="J549" s="1"/>
      <c r="K549" s="1"/>
      <c r="L549" s="1"/>
      <c r="M549" s="1"/>
      <c r="N549" s="1"/>
      <c r="O549" s="1"/>
      <c r="P549" s="1"/>
      <c r="Q549" s="1"/>
      <c r="R549" s="1"/>
      <c r="S549" s="1"/>
      <c r="T549" s="1"/>
    </row>
    <row r="550" ht="14.25" customHeight="1">
      <c r="A550" s="52"/>
      <c r="B550" s="53"/>
      <c r="C550" s="53"/>
      <c r="D550" s="53"/>
      <c r="E550" s="53"/>
      <c r="F550" s="53"/>
      <c r="G550" s="1"/>
      <c r="H550" s="1"/>
      <c r="I550" s="1"/>
      <c r="J550" s="1"/>
      <c r="K550" s="1"/>
      <c r="L550" s="1"/>
      <c r="M550" s="1"/>
      <c r="N550" s="1"/>
      <c r="O550" s="1"/>
      <c r="P550" s="1"/>
      <c r="Q550" s="1"/>
      <c r="R550" s="1"/>
      <c r="S550" s="1"/>
      <c r="T550" s="1"/>
    </row>
    <row r="551" ht="14.25" customHeight="1">
      <c r="A551" s="52"/>
      <c r="B551" s="53"/>
      <c r="C551" s="53"/>
      <c r="D551" s="53"/>
      <c r="E551" s="53"/>
      <c r="F551" s="53"/>
      <c r="G551" s="1"/>
      <c r="H551" s="1"/>
      <c r="I551" s="1"/>
      <c r="J551" s="1"/>
      <c r="K551" s="1"/>
      <c r="L551" s="1"/>
      <c r="M551" s="1"/>
      <c r="N551" s="1"/>
      <c r="O551" s="1"/>
      <c r="P551" s="1"/>
      <c r="Q551" s="1"/>
      <c r="R551" s="1"/>
      <c r="S551" s="1"/>
      <c r="T551" s="1"/>
    </row>
    <row r="552" ht="14.25" customHeight="1">
      <c r="A552" s="52"/>
      <c r="B552" s="53"/>
      <c r="C552" s="53"/>
      <c r="D552" s="53"/>
      <c r="E552" s="53"/>
      <c r="F552" s="53"/>
      <c r="G552" s="1"/>
      <c r="H552" s="1"/>
      <c r="I552" s="1"/>
      <c r="J552" s="1"/>
      <c r="K552" s="1"/>
      <c r="L552" s="1"/>
      <c r="M552" s="1"/>
      <c r="N552" s="1"/>
      <c r="O552" s="1"/>
      <c r="P552" s="1"/>
      <c r="Q552" s="1"/>
      <c r="R552" s="1"/>
      <c r="S552" s="1"/>
      <c r="T552" s="1"/>
    </row>
    <row r="553" ht="14.25" customHeight="1">
      <c r="A553" s="52"/>
      <c r="B553" s="53"/>
      <c r="C553" s="53"/>
      <c r="D553" s="53"/>
      <c r="E553" s="53"/>
      <c r="F553" s="53"/>
      <c r="G553" s="1"/>
      <c r="H553" s="1"/>
      <c r="I553" s="1"/>
      <c r="J553" s="1"/>
      <c r="K553" s="1"/>
      <c r="L553" s="1"/>
      <c r="M553" s="1"/>
      <c r="N553" s="1"/>
      <c r="O553" s="1"/>
      <c r="P553" s="1"/>
      <c r="Q553" s="1"/>
      <c r="R553" s="1"/>
      <c r="S553" s="1"/>
      <c r="T553" s="1"/>
    </row>
    <row r="554" ht="14.25" customHeight="1">
      <c r="A554" s="52"/>
      <c r="B554" s="53"/>
      <c r="C554" s="53"/>
      <c r="D554" s="53"/>
      <c r="E554" s="53"/>
      <c r="F554" s="53"/>
      <c r="G554" s="1"/>
      <c r="H554" s="1"/>
      <c r="I554" s="1"/>
      <c r="J554" s="1"/>
      <c r="K554" s="1"/>
      <c r="L554" s="1"/>
      <c r="M554" s="1"/>
      <c r="N554" s="1"/>
      <c r="O554" s="1"/>
      <c r="P554" s="1"/>
      <c r="Q554" s="1"/>
      <c r="R554" s="1"/>
      <c r="S554" s="1"/>
      <c r="T554" s="1"/>
    </row>
    <row r="555" ht="14.25" customHeight="1">
      <c r="A555" s="52"/>
      <c r="B555" s="53"/>
      <c r="C555" s="53"/>
      <c r="D555" s="53"/>
      <c r="E555" s="53"/>
      <c r="F555" s="53"/>
      <c r="G555" s="1"/>
      <c r="H555" s="1"/>
      <c r="I555" s="1"/>
      <c r="J555" s="1"/>
      <c r="K555" s="1"/>
      <c r="L555" s="1"/>
      <c r="M555" s="1"/>
      <c r="N555" s="1"/>
      <c r="O555" s="1"/>
      <c r="P555" s="1"/>
      <c r="Q555" s="1"/>
      <c r="R555" s="1"/>
      <c r="S555" s="1"/>
      <c r="T555" s="1"/>
    </row>
    <row r="556" ht="14.25" customHeight="1">
      <c r="A556" s="52"/>
      <c r="B556" s="53"/>
      <c r="C556" s="53"/>
      <c r="D556" s="53"/>
      <c r="E556" s="53"/>
      <c r="F556" s="53"/>
      <c r="G556" s="1"/>
      <c r="H556" s="1"/>
      <c r="I556" s="1"/>
      <c r="J556" s="1"/>
      <c r="K556" s="1"/>
      <c r="L556" s="1"/>
      <c r="M556" s="1"/>
      <c r="N556" s="1"/>
      <c r="O556" s="1"/>
      <c r="P556" s="1"/>
      <c r="Q556" s="1"/>
      <c r="R556" s="1"/>
      <c r="S556" s="1"/>
      <c r="T556" s="1"/>
    </row>
    <row r="557" ht="14.25" customHeight="1">
      <c r="A557" s="52"/>
      <c r="B557" s="53"/>
      <c r="C557" s="53"/>
      <c r="D557" s="53"/>
      <c r="E557" s="53"/>
      <c r="F557" s="53"/>
      <c r="G557" s="1"/>
      <c r="H557" s="1"/>
      <c r="I557" s="1"/>
      <c r="J557" s="1"/>
      <c r="K557" s="1"/>
      <c r="L557" s="1"/>
      <c r="M557" s="1"/>
      <c r="N557" s="1"/>
      <c r="O557" s="1"/>
      <c r="P557" s="1"/>
      <c r="Q557" s="1"/>
      <c r="R557" s="1"/>
      <c r="S557" s="1"/>
      <c r="T557" s="1"/>
    </row>
    <row r="558" ht="14.25" customHeight="1">
      <c r="A558" s="52"/>
      <c r="B558" s="53"/>
      <c r="C558" s="53"/>
      <c r="D558" s="53"/>
      <c r="E558" s="53"/>
      <c r="F558" s="53"/>
      <c r="G558" s="1"/>
      <c r="H558" s="1"/>
      <c r="I558" s="1"/>
      <c r="J558" s="1"/>
      <c r="K558" s="1"/>
      <c r="L558" s="1"/>
      <c r="M558" s="1"/>
      <c r="N558" s="1"/>
      <c r="O558" s="1"/>
      <c r="P558" s="1"/>
      <c r="Q558" s="1"/>
      <c r="R558" s="1"/>
      <c r="S558" s="1"/>
      <c r="T558" s="1"/>
    </row>
    <row r="559" ht="14.25" customHeight="1">
      <c r="A559" s="52"/>
      <c r="B559" s="53"/>
      <c r="C559" s="53"/>
      <c r="D559" s="53"/>
      <c r="E559" s="53"/>
      <c r="F559" s="53"/>
      <c r="G559" s="1"/>
      <c r="H559" s="1"/>
      <c r="I559" s="1"/>
      <c r="J559" s="1"/>
      <c r="K559" s="1"/>
      <c r="L559" s="1"/>
      <c r="M559" s="1"/>
      <c r="N559" s="1"/>
      <c r="O559" s="1"/>
      <c r="P559" s="1"/>
      <c r="Q559" s="1"/>
      <c r="R559" s="1"/>
      <c r="S559" s="1"/>
      <c r="T559" s="1"/>
    </row>
    <row r="560" ht="14.25" customHeight="1">
      <c r="A560" s="52"/>
      <c r="B560" s="53"/>
      <c r="C560" s="53"/>
      <c r="D560" s="53"/>
      <c r="E560" s="53"/>
      <c r="F560" s="53"/>
      <c r="G560" s="1"/>
      <c r="H560" s="1"/>
      <c r="I560" s="1"/>
      <c r="J560" s="1"/>
      <c r="K560" s="1"/>
      <c r="L560" s="1"/>
      <c r="M560" s="1"/>
      <c r="N560" s="1"/>
      <c r="O560" s="1"/>
      <c r="P560" s="1"/>
      <c r="Q560" s="1"/>
      <c r="R560" s="1"/>
      <c r="S560" s="1"/>
      <c r="T560" s="1"/>
    </row>
    <row r="561" ht="14.25" customHeight="1">
      <c r="A561" s="52"/>
      <c r="B561" s="53"/>
      <c r="C561" s="53"/>
      <c r="D561" s="53"/>
      <c r="E561" s="53"/>
      <c r="F561" s="53"/>
      <c r="G561" s="1"/>
      <c r="H561" s="1"/>
      <c r="I561" s="1"/>
      <c r="J561" s="1"/>
      <c r="K561" s="1"/>
      <c r="L561" s="1"/>
      <c r="M561" s="1"/>
      <c r="N561" s="1"/>
      <c r="O561" s="1"/>
      <c r="P561" s="1"/>
      <c r="Q561" s="1"/>
      <c r="R561" s="1"/>
      <c r="S561" s="1"/>
      <c r="T561" s="1"/>
    </row>
    <row r="562" ht="14.25" customHeight="1">
      <c r="A562" s="52"/>
      <c r="B562" s="53"/>
      <c r="C562" s="53"/>
      <c r="D562" s="53"/>
      <c r="E562" s="53"/>
      <c r="F562" s="53"/>
      <c r="G562" s="1"/>
      <c r="H562" s="1"/>
      <c r="I562" s="1"/>
      <c r="J562" s="1"/>
      <c r="K562" s="1"/>
      <c r="L562" s="1"/>
      <c r="M562" s="1"/>
      <c r="N562" s="1"/>
      <c r="O562" s="1"/>
      <c r="P562" s="1"/>
      <c r="Q562" s="1"/>
      <c r="R562" s="1"/>
      <c r="S562" s="1"/>
      <c r="T562" s="1"/>
    </row>
    <row r="563" ht="14.25" customHeight="1">
      <c r="A563" s="52"/>
      <c r="B563" s="53"/>
      <c r="C563" s="53"/>
      <c r="D563" s="53"/>
      <c r="E563" s="53"/>
      <c r="F563" s="53"/>
      <c r="G563" s="1"/>
      <c r="H563" s="1"/>
      <c r="I563" s="1"/>
      <c r="J563" s="1"/>
      <c r="K563" s="1"/>
      <c r="L563" s="1"/>
      <c r="M563" s="1"/>
      <c r="N563" s="1"/>
      <c r="O563" s="1"/>
      <c r="P563" s="1"/>
      <c r="Q563" s="1"/>
      <c r="R563" s="1"/>
      <c r="S563" s="1"/>
      <c r="T563" s="1"/>
    </row>
    <row r="564" ht="14.25" customHeight="1">
      <c r="A564" s="52"/>
      <c r="B564" s="53"/>
      <c r="C564" s="53"/>
      <c r="D564" s="53"/>
      <c r="E564" s="53"/>
      <c r="F564" s="53"/>
      <c r="G564" s="1"/>
      <c r="H564" s="1"/>
      <c r="I564" s="1"/>
      <c r="J564" s="1"/>
      <c r="K564" s="1"/>
      <c r="L564" s="1"/>
      <c r="M564" s="1"/>
      <c r="N564" s="1"/>
      <c r="O564" s="1"/>
      <c r="P564" s="1"/>
      <c r="Q564" s="1"/>
      <c r="R564" s="1"/>
      <c r="S564" s="1"/>
      <c r="T564" s="1"/>
    </row>
    <row r="565" ht="14.25" customHeight="1">
      <c r="A565" s="52"/>
      <c r="B565" s="53"/>
      <c r="C565" s="53"/>
      <c r="D565" s="53"/>
      <c r="E565" s="53"/>
      <c r="F565" s="53"/>
      <c r="G565" s="1"/>
      <c r="H565" s="1"/>
      <c r="I565" s="1"/>
      <c r="J565" s="1"/>
      <c r="K565" s="1"/>
      <c r="L565" s="1"/>
      <c r="M565" s="1"/>
      <c r="N565" s="1"/>
      <c r="O565" s="1"/>
      <c r="P565" s="1"/>
      <c r="Q565" s="1"/>
      <c r="R565" s="1"/>
      <c r="S565" s="1"/>
      <c r="T565" s="1"/>
    </row>
    <row r="566" ht="14.25" customHeight="1">
      <c r="A566" s="52"/>
      <c r="B566" s="53"/>
      <c r="C566" s="53"/>
      <c r="D566" s="53"/>
      <c r="E566" s="53"/>
      <c r="F566" s="53"/>
      <c r="G566" s="1"/>
      <c r="H566" s="1"/>
      <c r="I566" s="1"/>
      <c r="J566" s="1"/>
      <c r="K566" s="1"/>
      <c r="L566" s="1"/>
      <c r="M566" s="1"/>
      <c r="N566" s="1"/>
      <c r="O566" s="1"/>
      <c r="P566" s="1"/>
      <c r="Q566" s="1"/>
      <c r="R566" s="1"/>
      <c r="S566" s="1"/>
      <c r="T566" s="1"/>
    </row>
    <row r="567" ht="14.25" customHeight="1">
      <c r="A567" s="52"/>
      <c r="B567" s="53"/>
      <c r="C567" s="53"/>
      <c r="D567" s="53"/>
      <c r="E567" s="53"/>
      <c r="F567" s="53"/>
      <c r="G567" s="1"/>
      <c r="H567" s="1"/>
      <c r="I567" s="1"/>
      <c r="J567" s="1"/>
      <c r="K567" s="1"/>
      <c r="L567" s="1"/>
      <c r="M567" s="1"/>
      <c r="N567" s="1"/>
      <c r="O567" s="1"/>
      <c r="P567" s="1"/>
      <c r="Q567" s="1"/>
      <c r="R567" s="1"/>
      <c r="S567" s="1"/>
      <c r="T567" s="1"/>
    </row>
    <row r="568" ht="14.25" customHeight="1">
      <c r="A568" s="52"/>
      <c r="B568" s="53"/>
      <c r="C568" s="53"/>
      <c r="D568" s="53"/>
      <c r="E568" s="53"/>
      <c r="F568" s="53"/>
      <c r="G568" s="1"/>
      <c r="H568" s="1"/>
      <c r="I568" s="1"/>
      <c r="J568" s="1"/>
      <c r="K568" s="1"/>
      <c r="L568" s="1"/>
      <c r="M568" s="1"/>
      <c r="N568" s="1"/>
      <c r="O568" s="1"/>
      <c r="P568" s="1"/>
      <c r="Q568" s="1"/>
      <c r="R568" s="1"/>
      <c r="S568" s="1"/>
      <c r="T568" s="1"/>
    </row>
    <row r="569" ht="14.25" customHeight="1">
      <c r="A569" s="52"/>
      <c r="B569" s="53"/>
      <c r="C569" s="53"/>
      <c r="D569" s="53"/>
      <c r="E569" s="53"/>
      <c r="F569" s="53"/>
      <c r="G569" s="1"/>
      <c r="H569" s="1"/>
      <c r="I569" s="1"/>
      <c r="J569" s="1"/>
      <c r="K569" s="1"/>
      <c r="L569" s="1"/>
      <c r="M569" s="1"/>
      <c r="N569" s="1"/>
      <c r="O569" s="1"/>
      <c r="P569" s="1"/>
      <c r="Q569" s="1"/>
      <c r="R569" s="1"/>
      <c r="S569" s="1"/>
      <c r="T569" s="1"/>
    </row>
    <row r="570" ht="14.25" customHeight="1">
      <c r="A570" s="52"/>
      <c r="B570" s="53"/>
      <c r="C570" s="53"/>
      <c r="D570" s="53"/>
      <c r="E570" s="53"/>
      <c r="F570" s="53"/>
      <c r="G570" s="1"/>
      <c r="H570" s="1"/>
      <c r="I570" s="1"/>
      <c r="J570" s="1"/>
      <c r="K570" s="1"/>
      <c r="L570" s="1"/>
      <c r="M570" s="1"/>
      <c r="N570" s="1"/>
      <c r="O570" s="1"/>
      <c r="P570" s="1"/>
      <c r="Q570" s="1"/>
      <c r="R570" s="1"/>
      <c r="S570" s="1"/>
      <c r="T570" s="1"/>
    </row>
    <row r="571" ht="14.25" customHeight="1">
      <c r="A571" s="52"/>
      <c r="B571" s="53"/>
      <c r="C571" s="53"/>
      <c r="D571" s="53"/>
      <c r="E571" s="53"/>
      <c r="F571" s="53"/>
      <c r="G571" s="1"/>
      <c r="H571" s="1"/>
      <c r="I571" s="1"/>
      <c r="J571" s="1"/>
      <c r="K571" s="1"/>
      <c r="L571" s="1"/>
      <c r="M571" s="1"/>
      <c r="N571" s="1"/>
      <c r="O571" s="1"/>
      <c r="P571" s="1"/>
      <c r="Q571" s="1"/>
      <c r="R571" s="1"/>
      <c r="S571" s="1"/>
      <c r="T571" s="1"/>
    </row>
    <row r="572" ht="14.25" customHeight="1">
      <c r="A572" s="52"/>
      <c r="B572" s="53"/>
      <c r="C572" s="53"/>
      <c r="D572" s="53"/>
      <c r="E572" s="53"/>
      <c r="F572" s="53"/>
      <c r="G572" s="1"/>
      <c r="H572" s="1"/>
      <c r="I572" s="1"/>
      <c r="J572" s="1"/>
      <c r="K572" s="1"/>
      <c r="L572" s="1"/>
      <c r="M572" s="1"/>
      <c r="N572" s="1"/>
      <c r="O572" s="1"/>
      <c r="P572" s="1"/>
      <c r="Q572" s="1"/>
      <c r="R572" s="1"/>
      <c r="S572" s="1"/>
      <c r="T572" s="1"/>
    </row>
    <row r="573" ht="14.25" customHeight="1">
      <c r="A573" s="52"/>
      <c r="B573" s="53"/>
      <c r="C573" s="53"/>
      <c r="D573" s="53"/>
      <c r="E573" s="53"/>
      <c r="F573" s="53"/>
      <c r="G573" s="1"/>
      <c r="H573" s="1"/>
      <c r="I573" s="1"/>
      <c r="J573" s="1"/>
      <c r="K573" s="1"/>
      <c r="L573" s="1"/>
      <c r="M573" s="1"/>
      <c r="N573" s="1"/>
      <c r="O573" s="1"/>
      <c r="P573" s="1"/>
      <c r="Q573" s="1"/>
      <c r="R573" s="1"/>
      <c r="S573" s="1"/>
      <c r="T573" s="1"/>
    </row>
    <row r="574" ht="14.25" customHeight="1">
      <c r="A574" s="52"/>
      <c r="B574" s="53"/>
      <c r="C574" s="53"/>
      <c r="D574" s="53"/>
      <c r="E574" s="53"/>
      <c r="F574" s="53"/>
      <c r="G574" s="1"/>
      <c r="H574" s="1"/>
      <c r="I574" s="1"/>
      <c r="J574" s="1"/>
      <c r="K574" s="1"/>
      <c r="L574" s="1"/>
      <c r="M574" s="1"/>
      <c r="N574" s="1"/>
      <c r="O574" s="1"/>
      <c r="P574" s="1"/>
      <c r="Q574" s="1"/>
      <c r="R574" s="1"/>
      <c r="S574" s="1"/>
      <c r="T574" s="1"/>
    </row>
    <row r="575" ht="14.25" customHeight="1">
      <c r="A575" s="52"/>
      <c r="B575" s="53"/>
      <c r="C575" s="53"/>
      <c r="D575" s="53"/>
      <c r="E575" s="53"/>
      <c r="F575" s="53"/>
      <c r="G575" s="1"/>
      <c r="H575" s="1"/>
      <c r="I575" s="1"/>
      <c r="J575" s="1"/>
      <c r="K575" s="1"/>
      <c r="L575" s="1"/>
      <c r="M575" s="1"/>
      <c r="N575" s="1"/>
      <c r="O575" s="1"/>
      <c r="P575" s="1"/>
      <c r="Q575" s="1"/>
      <c r="R575" s="1"/>
      <c r="S575" s="1"/>
      <c r="T575" s="1"/>
    </row>
    <row r="576" ht="14.25" customHeight="1">
      <c r="A576" s="52"/>
      <c r="B576" s="53"/>
      <c r="C576" s="53"/>
      <c r="D576" s="53"/>
      <c r="E576" s="53"/>
      <c r="F576" s="53"/>
      <c r="G576" s="1"/>
      <c r="H576" s="1"/>
      <c r="I576" s="1"/>
      <c r="J576" s="1"/>
      <c r="K576" s="1"/>
      <c r="L576" s="1"/>
      <c r="M576" s="1"/>
      <c r="N576" s="1"/>
      <c r="O576" s="1"/>
      <c r="P576" s="1"/>
      <c r="Q576" s="1"/>
      <c r="R576" s="1"/>
      <c r="S576" s="1"/>
      <c r="T576" s="1"/>
    </row>
    <row r="577" ht="14.25" customHeight="1">
      <c r="A577" s="52"/>
      <c r="B577" s="53"/>
      <c r="C577" s="53"/>
      <c r="D577" s="53"/>
      <c r="E577" s="53"/>
      <c r="F577" s="53"/>
      <c r="G577" s="1"/>
      <c r="H577" s="1"/>
      <c r="I577" s="1"/>
      <c r="J577" s="1"/>
      <c r="K577" s="1"/>
      <c r="L577" s="1"/>
      <c r="M577" s="1"/>
      <c r="N577" s="1"/>
      <c r="O577" s="1"/>
      <c r="P577" s="1"/>
      <c r="Q577" s="1"/>
      <c r="R577" s="1"/>
      <c r="S577" s="1"/>
      <c r="T577" s="1"/>
    </row>
    <row r="578" ht="14.25" customHeight="1">
      <c r="A578" s="52"/>
      <c r="B578" s="53"/>
      <c r="C578" s="53"/>
      <c r="D578" s="53"/>
      <c r="E578" s="53"/>
      <c r="F578" s="53"/>
      <c r="G578" s="1"/>
      <c r="H578" s="1"/>
      <c r="I578" s="1"/>
      <c r="J578" s="1"/>
      <c r="K578" s="1"/>
      <c r="L578" s="1"/>
      <c r="M578" s="1"/>
      <c r="N578" s="1"/>
      <c r="O578" s="1"/>
      <c r="P578" s="1"/>
      <c r="Q578" s="1"/>
      <c r="R578" s="1"/>
      <c r="S578" s="1"/>
      <c r="T578" s="1"/>
    </row>
    <row r="579" ht="14.25" customHeight="1">
      <c r="A579" s="52"/>
      <c r="B579" s="53"/>
      <c r="C579" s="53"/>
      <c r="D579" s="53"/>
      <c r="E579" s="53"/>
      <c r="F579" s="53"/>
      <c r="G579" s="1"/>
      <c r="H579" s="1"/>
      <c r="I579" s="1"/>
      <c r="J579" s="1"/>
      <c r="K579" s="1"/>
      <c r="L579" s="1"/>
      <c r="M579" s="1"/>
      <c r="N579" s="1"/>
      <c r="O579" s="1"/>
      <c r="P579" s="1"/>
      <c r="Q579" s="1"/>
      <c r="R579" s="1"/>
      <c r="S579" s="1"/>
      <c r="T579" s="1"/>
    </row>
    <row r="580" ht="14.25" customHeight="1">
      <c r="A580" s="52"/>
      <c r="B580" s="53"/>
      <c r="C580" s="53"/>
      <c r="D580" s="53"/>
      <c r="E580" s="53"/>
      <c r="F580" s="53"/>
      <c r="G580" s="1"/>
      <c r="H580" s="1"/>
      <c r="I580" s="1"/>
      <c r="J580" s="1"/>
      <c r="K580" s="1"/>
      <c r="L580" s="1"/>
      <c r="M580" s="1"/>
      <c r="N580" s="1"/>
      <c r="O580" s="1"/>
      <c r="P580" s="1"/>
      <c r="Q580" s="1"/>
      <c r="R580" s="1"/>
      <c r="S580" s="1"/>
      <c r="T580" s="1"/>
    </row>
    <row r="581" ht="14.25" customHeight="1">
      <c r="A581" s="52"/>
      <c r="B581" s="53"/>
      <c r="C581" s="53"/>
      <c r="D581" s="53"/>
      <c r="E581" s="53"/>
      <c r="F581" s="53"/>
      <c r="G581" s="1"/>
      <c r="H581" s="1"/>
      <c r="I581" s="1"/>
      <c r="J581" s="1"/>
      <c r="K581" s="1"/>
      <c r="L581" s="1"/>
      <c r="M581" s="1"/>
      <c r="N581" s="1"/>
      <c r="O581" s="1"/>
      <c r="P581" s="1"/>
      <c r="Q581" s="1"/>
      <c r="R581" s="1"/>
      <c r="S581" s="1"/>
      <c r="T581" s="1"/>
    </row>
    <row r="582" ht="14.25" customHeight="1">
      <c r="A582" s="52"/>
      <c r="B582" s="53"/>
      <c r="C582" s="53"/>
      <c r="D582" s="53"/>
      <c r="E582" s="53"/>
      <c r="F582" s="53"/>
      <c r="G582" s="1"/>
      <c r="H582" s="1"/>
      <c r="I582" s="1"/>
      <c r="J582" s="1"/>
      <c r="K582" s="1"/>
      <c r="L582" s="1"/>
      <c r="M582" s="1"/>
      <c r="N582" s="1"/>
      <c r="O582" s="1"/>
      <c r="P582" s="1"/>
      <c r="Q582" s="1"/>
      <c r="R582" s="1"/>
      <c r="S582" s="1"/>
      <c r="T582" s="1"/>
    </row>
    <row r="583" ht="14.25" customHeight="1">
      <c r="A583" s="52"/>
      <c r="B583" s="53"/>
      <c r="C583" s="53"/>
      <c r="D583" s="53"/>
      <c r="E583" s="53"/>
      <c r="F583" s="53"/>
      <c r="G583" s="1"/>
      <c r="H583" s="1"/>
      <c r="I583" s="1"/>
      <c r="J583" s="1"/>
      <c r="K583" s="1"/>
      <c r="L583" s="1"/>
      <c r="M583" s="1"/>
      <c r="N583" s="1"/>
      <c r="O583" s="1"/>
      <c r="P583" s="1"/>
      <c r="Q583" s="1"/>
      <c r="R583" s="1"/>
      <c r="S583" s="1"/>
      <c r="T583" s="1"/>
    </row>
    <row r="584" ht="14.25" customHeight="1">
      <c r="A584" s="52"/>
      <c r="B584" s="53"/>
      <c r="C584" s="53"/>
      <c r="D584" s="53"/>
      <c r="E584" s="53"/>
      <c r="F584" s="53"/>
      <c r="G584" s="1"/>
      <c r="H584" s="1"/>
      <c r="I584" s="1"/>
      <c r="J584" s="1"/>
      <c r="K584" s="1"/>
      <c r="L584" s="1"/>
      <c r="M584" s="1"/>
      <c r="N584" s="1"/>
      <c r="O584" s="1"/>
      <c r="P584" s="1"/>
      <c r="Q584" s="1"/>
      <c r="R584" s="1"/>
      <c r="S584" s="1"/>
      <c r="T584" s="1"/>
    </row>
    <row r="585" ht="14.25" customHeight="1">
      <c r="A585" s="52"/>
      <c r="B585" s="53"/>
      <c r="C585" s="53"/>
      <c r="D585" s="53"/>
      <c r="E585" s="53"/>
      <c r="F585" s="53"/>
      <c r="G585" s="1"/>
      <c r="H585" s="1"/>
      <c r="I585" s="1"/>
      <c r="J585" s="1"/>
      <c r="K585" s="1"/>
      <c r="L585" s="1"/>
      <c r="M585" s="1"/>
      <c r="N585" s="1"/>
      <c r="O585" s="1"/>
      <c r="P585" s="1"/>
      <c r="Q585" s="1"/>
      <c r="R585" s="1"/>
      <c r="S585" s="1"/>
      <c r="T585" s="1"/>
    </row>
    <row r="586" ht="14.25" customHeight="1">
      <c r="A586" s="52"/>
      <c r="B586" s="53"/>
      <c r="C586" s="53"/>
      <c r="D586" s="53"/>
      <c r="E586" s="53"/>
      <c r="F586" s="53"/>
      <c r="G586" s="1"/>
      <c r="H586" s="1"/>
      <c r="I586" s="1"/>
      <c r="J586" s="1"/>
      <c r="K586" s="1"/>
      <c r="L586" s="1"/>
      <c r="M586" s="1"/>
      <c r="N586" s="1"/>
      <c r="O586" s="1"/>
      <c r="P586" s="1"/>
      <c r="Q586" s="1"/>
      <c r="R586" s="1"/>
      <c r="S586" s="1"/>
      <c r="T586" s="1"/>
    </row>
    <row r="587" ht="14.25" customHeight="1">
      <c r="A587" s="52"/>
      <c r="B587" s="53"/>
      <c r="C587" s="53"/>
      <c r="D587" s="53"/>
      <c r="E587" s="53"/>
      <c r="F587" s="53"/>
      <c r="G587" s="1"/>
      <c r="H587" s="1"/>
      <c r="I587" s="1"/>
      <c r="J587" s="1"/>
      <c r="K587" s="1"/>
      <c r="L587" s="1"/>
      <c r="M587" s="1"/>
      <c r="N587" s="1"/>
      <c r="O587" s="1"/>
      <c r="P587" s="1"/>
      <c r="Q587" s="1"/>
      <c r="R587" s="1"/>
      <c r="S587" s="1"/>
      <c r="T587" s="1"/>
    </row>
    <row r="588" ht="14.25" customHeight="1">
      <c r="A588" s="52"/>
      <c r="B588" s="53"/>
      <c r="C588" s="53"/>
      <c r="D588" s="53"/>
      <c r="E588" s="53"/>
      <c r="F588" s="53"/>
      <c r="G588" s="1"/>
      <c r="H588" s="1"/>
      <c r="I588" s="1"/>
      <c r="J588" s="1"/>
      <c r="K588" s="1"/>
      <c r="L588" s="1"/>
      <c r="M588" s="1"/>
      <c r="N588" s="1"/>
      <c r="O588" s="1"/>
      <c r="P588" s="1"/>
      <c r="Q588" s="1"/>
      <c r="R588" s="1"/>
      <c r="S588" s="1"/>
      <c r="T588" s="1"/>
    </row>
    <row r="589" ht="14.25" customHeight="1">
      <c r="A589" s="52"/>
      <c r="B589" s="53"/>
      <c r="C589" s="53"/>
      <c r="D589" s="53"/>
      <c r="E589" s="53"/>
      <c r="F589" s="53"/>
      <c r="G589" s="1"/>
      <c r="H589" s="1"/>
      <c r="I589" s="1"/>
      <c r="J589" s="1"/>
      <c r="K589" s="1"/>
      <c r="L589" s="1"/>
      <c r="M589" s="1"/>
      <c r="N589" s="1"/>
      <c r="O589" s="1"/>
      <c r="P589" s="1"/>
      <c r="Q589" s="1"/>
      <c r="R589" s="1"/>
      <c r="S589" s="1"/>
      <c r="T589" s="1"/>
    </row>
    <row r="590" ht="14.25" customHeight="1">
      <c r="A590" s="52"/>
      <c r="B590" s="53"/>
      <c r="C590" s="53"/>
      <c r="D590" s="53"/>
      <c r="E590" s="53"/>
      <c r="F590" s="53"/>
      <c r="G590" s="1"/>
      <c r="H590" s="1"/>
      <c r="I590" s="1"/>
      <c r="J590" s="1"/>
      <c r="K590" s="1"/>
      <c r="L590" s="1"/>
      <c r="M590" s="1"/>
      <c r="N590" s="1"/>
      <c r="O590" s="1"/>
      <c r="P590" s="1"/>
      <c r="Q590" s="1"/>
      <c r="R590" s="1"/>
      <c r="S590" s="1"/>
      <c r="T590" s="1"/>
    </row>
    <row r="591" ht="14.25" customHeight="1">
      <c r="A591" s="52"/>
      <c r="B591" s="53"/>
      <c r="C591" s="53"/>
      <c r="D591" s="53"/>
      <c r="E591" s="53"/>
      <c r="F591" s="53"/>
      <c r="G591" s="1"/>
      <c r="H591" s="1"/>
      <c r="I591" s="1"/>
      <c r="J591" s="1"/>
      <c r="K591" s="1"/>
      <c r="L591" s="1"/>
      <c r="M591" s="1"/>
      <c r="N591" s="1"/>
      <c r="O591" s="1"/>
      <c r="P591" s="1"/>
      <c r="Q591" s="1"/>
      <c r="R591" s="1"/>
      <c r="S591" s="1"/>
      <c r="T591" s="1"/>
    </row>
    <row r="592" ht="14.25" customHeight="1">
      <c r="A592" s="52"/>
      <c r="B592" s="53"/>
      <c r="C592" s="53"/>
      <c r="D592" s="53"/>
      <c r="E592" s="53"/>
      <c r="F592" s="53"/>
      <c r="G592" s="1"/>
      <c r="H592" s="1"/>
      <c r="I592" s="1"/>
      <c r="J592" s="1"/>
      <c r="K592" s="1"/>
      <c r="L592" s="1"/>
      <c r="M592" s="1"/>
      <c r="N592" s="1"/>
      <c r="O592" s="1"/>
      <c r="P592" s="1"/>
      <c r="Q592" s="1"/>
      <c r="R592" s="1"/>
      <c r="S592" s="1"/>
      <c r="T592" s="1"/>
    </row>
    <row r="593" ht="14.25" customHeight="1">
      <c r="A593" s="52"/>
      <c r="B593" s="53"/>
      <c r="C593" s="53"/>
      <c r="D593" s="53"/>
      <c r="E593" s="53"/>
      <c r="F593" s="53"/>
      <c r="G593" s="1"/>
      <c r="H593" s="1"/>
      <c r="I593" s="1"/>
      <c r="J593" s="1"/>
      <c r="K593" s="1"/>
      <c r="L593" s="1"/>
      <c r="M593" s="1"/>
      <c r="N593" s="1"/>
      <c r="O593" s="1"/>
      <c r="P593" s="1"/>
      <c r="Q593" s="1"/>
      <c r="R593" s="1"/>
      <c r="S593" s="1"/>
      <c r="T593" s="1"/>
    </row>
    <row r="594" ht="14.25" customHeight="1">
      <c r="A594" s="52"/>
      <c r="B594" s="53"/>
      <c r="C594" s="53"/>
      <c r="D594" s="53"/>
      <c r="E594" s="53"/>
      <c r="F594" s="53"/>
      <c r="G594" s="1"/>
      <c r="H594" s="1"/>
      <c r="I594" s="1"/>
      <c r="J594" s="1"/>
      <c r="K594" s="1"/>
      <c r="L594" s="1"/>
      <c r="M594" s="1"/>
      <c r="N594" s="1"/>
      <c r="O594" s="1"/>
      <c r="P594" s="1"/>
      <c r="Q594" s="1"/>
      <c r="R594" s="1"/>
      <c r="S594" s="1"/>
      <c r="T594" s="1"/>
    </row>
    <row r="595" ht="14.25" customHeight="1">
      <c r="A595" s="52"/>
      <c r="B595" s="53"/>
      <c r="C595" s="53"/>
      <c r="D595" s="53"/>
      <c r="E595" s="53"/>
      <c r="F595" s="53"/>
      <c r="G595" s="1"/>
      <c r="H595" s="1"/>
      <c r="I595" s="1"/>
      <c r="J595" s="1"/>
      <c r="K595" s="1"/>
      <c r="L595" s="1"/>
      <c r="M595" s="1"/>
      <c r="N595" s="1"/>
      <c r="O595" s="1"/>
      <c r="P595" s="1"/>
      <c r="Q595" s="1"/>
      <c r="R595" s="1"/>
      <c r="S595" s="1"/>
      <c r="T595" s="1"/>
    </row>
    <row r="596" ht="14.25" customHeight="1">
      <c r="A596" s="52"/>
      <c r="B596" s="53"/>
      <c r="C596" s="53"/>
      <c r="D596" s="53"/>
      <c r="E596" s="53"/>
      <c r="F596" s="53"/>
      <c r="G596" s="1"/>
      <c r="H596" s="1"/>
      <c r="I596" s="1"/>
      <c r="J596" s="1"/>
      <c r="K596" s="1"/>
      <c r="L596" s="1"/>
      <c r="M596" s="1"/>
      <c r="N596" s="1"/>
      <c r="O596" s="1"/>
      <c r="P596" s="1"/>
      <c r="Q596" s="1"/>
      <c r="R596" s="1"/>
      <c r="S596" s="1"/>
      <c r="T596" s="1"/>
    </row>
    <row r="597" ht="14.25" customHeight="1">
      <c r="A597" s="52"/>
      <c r="B597" s="53"/>
      <c r="C597" s="53"/>
      <c r="D597" s="53"/>
      <c r="E597" s="53"/>
      <c r="F597" s="53"/>
      <c r="G597" s="1"/>
      <c r="H597" s="1"/>
      <c r="I597" s="1"/>
      <c r="J597" s="1"/>
      <c r="K597" s="1"/>
      <c r="L597" s="1"/>
      <c r="M597" s="1"/>
      <c r="N597" s="1"/>
      <c r="O597" s="1"/>
      <c r="P597" s="1"/>
      <c r="Q597" s="1"/>
      <c r="R597" s="1"/>
      <c r="S597" s="1"/>
      <c r="T597" s="1"/>
    </row>
    <row r="598" ht="14.25" customHeight="1">
      <c r="A598" s="52"/>
      <c r="B598" s="53"/>
      <c r="C598" s="53"/>
      <c r="D598" s="53"/>
      <c r="E598" s="53"/>
      <c r="F598" s="53"/>
      <c r="G598" s="1"/>
      <c r="H598" s="1"/>
      <c r="I598" s="1"/>
      <c r="J598" s="1"/>
      <c r="K598" s="1"/>
      <c r="L598" s="1"/>
      <c r="M598" s="1"/>
      <c r="N598" s="1"/>
      <c r="O598" s="1"/>
      <c r="P598" s="1"/>
      <c r="Q598" s="1"/>
      <c r="R598" s="1"/>
      <c r="S598" s="1"/>
      <c r="T598" s="1"/>
    </row>
    <row r="599" ht="14.25" customHeight="1">
      <c r="A599" s="52"/>
      <c r="B599" s="53"/>
      <c r="C599" s="53"/>
      <c r="D599" s="53"/>
      <c r="E599" s="53"/>
      <c r="F599" s="53"/>
      <c r="G599" s="1"/>
      <c r="H599" s="1"/>
      <c r="I599" s="1"/>
      <c r="J599" s="1"/>
      <c r="K599" s="1"/>
      <c r="L599" s="1"/>
      <c r="M599" s="1"/>
      <c r="N599" s="1"/>
      <c r="O599" s="1"/>
      <c r="P599" s="1"/>
      <c r="Q599" s="1"/>
      <c r="R599" s="1"/>
      <c r="S599" s="1"/>
      <c r="T599" s="1"/>
    </row>
    <row r="600" ht="14.25" customHeight="1">
      <c r="A600" s="52"/>
      <c r="B600" s="53"/>
      <c r="C600" s="53"/>
      <c r="D600" s="53"/>
      <c r="E600" s="53"/>
      <c r="F600" s="53"/>
      <c r="G600" s="1"/>
      <c r="H600" s="1"/>
      <c r="I600" s="1"/>
      <c r="J600" s="1"/>
      <c r="K600" s="1"/>
      <c r="L600" s="1"/>
      <c r="M600" s="1"/>
      <c r="N600" s="1"/>
      <c r="O600" s="1"/>
      <c r="P600" s="1"/>
      <c r="Q600" s="1"/>
      <c r="R600" s="1"/>
      <c r="S600" s="1"/>
      <c r="T600" s="1"/>
    </row>
    <row r="601" ht="14.25" customHeight="1">
      <c r="A601" s="52"/>
      <c r="B601" s="53"/>
      <c r="C601" s="53"/>
      <c r="D601" s="53"/>
      <c r="E601" s="53"/>
      <c r="F601" s="53"/>
      <c r="G601" s="1"/>
      <c r="H601" s="1"/>
      <c r="I601" s="1"/>
      <c r="J601" s="1"/>
      <c r="K601" s="1"/>
      <c r="L601" s="1"/>
      <c r="M601" s="1"/>
      <c r="N601" s="1"/>
      <c r="O601" s="1"/>
      <c r="P601" s="1"/>
      <c r="Q601" s="1"/>
      <c r="R601" s="1"/>
      <c r="S601" s="1"/>
      <c r="T601" s="1"/>
    </row>
    <row r="602" ht="14.25" customHeight="1">
      <c r="A602" s="52"/>
      <c r="B602" s="53"/>
      <c r="C602" s="53"/>
      <c r="D602" s="53"/>
      <c r="E602" s="53"/>
      <c r="F602" s="53"/>
      <c r="G602" s="1"/>
      <c r="H602" s="1"/>
      <c r="I602" s="1"/>
      <c r="J602" s="1"/>
      <c r="K602" s="1"/>
      <c r="L602" s="1"/>
      <c r="M602" s="1"/>
      <c r="N602" s="1"/>
      <c r="O602" s="1"/>
      <c r="P602" s="1"/>
      <c r="Q602" s="1"/>
      <c r="R602" s="1"/>
      <c r="S602" s="1"/>
      <c r="T602" s="1"/>
    </row>
    <row r="603" ht="14.25" customHeight="1">
      <c r="A603" s="52"/>
      <c r="B603" s="53"/>
      <c r="C603" s="53"/>
      <c r="D603" s="53"/>
      <c r="E603" s="53"/>
      <c r="F603" s="53"/>
      <c r="G603" s="1"/>
      <c r="H603" s="1"/>
      <c r="I603" s="1"/>
      <c r="J603" s="1"/>
      <c r="K603" s="1"/>
      <c r="L603" s="1"/>
      <c r="M603" s="1"/>
      <c r="N603" s="1"/>
      <c r="O603" s="1"/>
      <c r="P603" s="1"/>
      <c r="Q603" s="1"/>
      <c r="R603" s="1"/>
      <c r="S603" s="1"/>
      <c r="T603" s="1"/>
    </row>
    <row r="604" ht="14.25" customHeight="1">
      <c r="A604" s="52"/>
      <c r="B604" s="53"/>
      <c r="C604" s="53"/>
      <c r="D604" s="53"/>
      <c r="E604" s="53"/>
      <c r="F604" s="53"/>
      <c r="G604" s="1"/>
      <c r="H604" s="1"/>
      <c r="I604" s="1"/>
      <c r="J604" s="1"/>
      <c r="K604" s="1"/>
      <c r="L604" s="1"/>
      <c r="M604" s="1"/>
      <c r="N604" s="1"/>
      <c r="O604" s="1"/>
      <c r="P604" s="1"/>
      <c r="Q604" s="1"/>
      <c r="R604" s="1"/>
      <c r="S604" s="1"/>
      <c r="T604" s="1"/>
    </row>
    <row r="605" ht="14.25" customHeight="1">
      <c r="A605" s="52"/>
      <c r="B605" s="53"/>
      <c r="C605" s="53"/>
      <c r="D605" s="53"/>
      <c r="E605" s="53"/>
      <c r="F605" s="53"/>
      <c r="G605" s="1"/>
      <c r="H605" s="1"/>
      <c r="I605" s="1"/>
      <c r="J605" s="1"/>
      <c r="K605" s="1"/>
      <c r="L605" s="1"/>
      <c r="M605" s="1"/>
      <c r="N605" s="1"/>
      <c r="O605" s="1"/>
      <c r="P605" s="1"/>
      <c r="Q605" s="1"/>
      <c r="R605" s="1"/>
      <c r="S605" s="1"/>
      <c r="T605" s="1"/>
    </row>
    <row r="606" ht="14.25" customHeight="1">
      <c r="A606" s="52"/>
      <c r="B606" s="53"/>
      <c r="C606" s="53"/>
      <c r="D606" s="53"/>
      <c r="E606" s="53"/>
      <c r="F606" s="53"/>
      <c r="G606" s="1"/>
      <c r="H606" s="1"/>
      <c r="I606" s="1"/>
      <c r="J606" s="1"/>
      <c r="K606" s="1"/>
      <c r="L606" s="1"/>
      <c r="M606" s="1"/>
      <c r="N606" s="1"/>
      <c r="O606" s="1"/>
      <c r="P606" s="1"/>
      <c r="Q606" s="1"/>
      <c r="R606" s="1"/>
      <c r="S606" s="1"/>
      <c r="T606" s="1"/>
    </row>
    <row r="607" ht="14.25" customHeight="1">
      <c r="A607" s="52"/>
      <c r="B607" s="53"/>
      <c r="C607" s="53"/>
      <c r="D607" s="53"/>
      <c r="E607" s="53"/>
      <c r="F607" s="53"/>
      <c r="G607" s="1"/>
      <c r="H607" s="1"/>
      <c r="I607" s="1"/>
      <c r="J607" s="1"/>
      <c r="K607" s="1"/>
      <c r="L607" s="1"/>
      <c r="M607" s="1"/>
      <c r="N607" s="1"/>
      <c r="O607" s="1"/>
      <c r="P607" s="1"/>
      <c r="Q607" s="1"/>
      <c r="R607" s="1"/>
      <c r="S607" s="1"/>
      <c r="T607" s="1"/>
    </row>
    <row r="608" ht="14.25" customHeight="1">
      <c r="A608" s="52"/>
      <c r="B608" s="53"/>
      <c r="C608" s="53"/>
      <c r="D608" s="53"/>
      <c r="E608" s="53"/>
      <c r="F608" s="53"/>
      <c r="G608" s="1"/>
      <c r="H608" s="1"/>
      <c r="I608" s="1"/>
      <c r="J608" s="1"/>
      <c r="K608" s="1"/>
      <c r="L608" s="1"/>
      <c r="M608" s="1"/>
      <c r="N608" s="1"/>
      <c r="O608" s="1"/>
      <c r="P608" s="1"/>
      <c r="Q608" s="1"/>
      <c r="R608" s="1"/>
      <c r="S608" s="1"/>
      <c r="T608" s="1"/>
    </row>
    <row r="609" ht="14.25" customHeight="1">
      <c r="A609" s="52"/>
      <c r="B609" s="53"/>
      <c r="C609" s="53"/>
      <c r="D609" s="53"/>
      <c r="E609" s="53"/>
      <c r="F609" s="53"/>
      <c r="G609" s="1"/>
      <c r="H609" s="1"/>
      <c r="I609" s="1"/>
      <c r="J609" s="1"/>
      <c r="K609" s="1"/>
      <c r="L609" s="1"/>
      <c r="M609" s="1"/>
      <c r="N609" s="1"/>
      <c r="O609" s="1"/>
      <c r="P609" s="1"/>
      <c r="Q609" s="1"/>
      <c r="R609" s="1"/>
      <c r="S609" s="1"/>
      <c r="T609" s="1"/>
    </row>
    <row r="610" ht="14.25" customHeight="1">
      <c r="A610" s="52"/>
      <c r="B610" s="53"/>
      <c r="C610" s="53"/>
      <c r="D610" s="53"/>
      <c r="E610" s="53"/>
      <c r="F610" s="53"/>
      <c r="G610" s="1"/>
      <c r="H610" s="1"/>
      <c r="I610" s="1"/>
      <c r="J610" s="1"/>
      <c r="K610" s="1"/>
      <c r="L610" s="1"/>
      <c r="M610" s="1"/>
      <c r="N610" s="1"/>
      <c r="O610" s="1"/>
      <c r="P610" s="1"/>
      <c r="Q610" s="1"/>
      <c r="R610" s="1"/>
      <c r="S610" s="1"/>
      <c r="T610" s="1"/>
    </row>
    <row r="611" ht="14.25" customHeight="1">
      <c r="A611" s="52"/>
      <c r="B611" s="53"/>
      <c r="C611" s="53"/>
      <c r="D611" s="53"/>
      <c r="E611" s="53"/>
      <c r="F611" s="53"/>
      <c r="G611" s="1"/>
      <c r="H611" s="1"/>
      <c r="I611" s="1"/>
      <c r="J611" s="1"/>
      <c r="K611" s="1"/>
      <c r="L611" s="1"/>
      <c r="M611" s="1"/>
      <c r="N611" s="1"/>
      <c r="O611" s="1"/>
      <c r="P611" s="1"/>
      <c r="Q611" s="1"/>
      <c r="R611" s="1"/>
      <c r="S611" s="1"/>
      <c r="T611" s="1"/>
    </row>
    <row r="612" ht="14.25" customHeight="1">
      <c r="A612" s="52"/>
      <c r="B612" s="53"/>
      <c r="C612" s="53"/>
      <c r="D612" s="53"/>
      <c r="E612" s="53"/>
      <c r="F612" s="53"/>
      <c r="G612" s="1"/>
      <c r="H612" s="1"/>
      <c r="I612" s="1"/>
      <c r="J612" s="1"/>
      <c r="K612" s="1"/>
      <c r="L612" s="1"/>
      <c r="M612" s="1"/>
      <c r="N612" s="1"/>
      <c r="O612" s="1"/>
      <c r="P612" s="1"/>
      <c r="Q612" s="1"/>
      <c r="R612" s="1"/>
      <c r="S612" s="1"/>
      <c r="T612" s="1"/>
    </row>
    <row r="613" ht="14.25" customHeight="1">
      <c r="A613" s="52"/>
      <c r="B613" s="53"/>
      <c r="C613" s="53"/>
      <c r="D613" s="53"/>
      <c r="E613" s="53"/>
      <c r="F613" s="53"/>
      <c r="G613" s="1"/>
      <c r="H613" s="1"/>
      <c r="I613" s="1"/>
      <c r="J613" s="1"/>
      <c r="K613" s="1"/>
      <c r="L613" s="1"/>
      <c r="M613" s="1"/>
      <c r="N613" s="1"/>
      <c r="O613" s="1"/>
      <c r="P613" s="1"/>
      <c r="Q613" s="1"/>
      <c r="R613" s="1"/>
      <c r="S613" s="1"/>
      <c r="T613" s="1"/>
    </row>
    <row r="614" ht="14.25" customHeight="1">
      <c r="A614" s="52"/>
      <c r="B614" s="53"/>
      <c r="C614" s="53"/>
      <c r="D614" s="53"/>
      <c r="E614" s="53"/>
      <c r="F614" s="53"/>
      <c r="G614" s="1"/>
      <c r="H614" s="1"/>
      <c r="I614" s="1"/>
      <c r="J614" s="1"/>
      <c r="K614" s="1"/>
      <c r="L614" s="1"/>
      <c r="M614" s="1"/>
      <c r="N614" s="1"/>
      <c r="O614" s="1"/>
      <c r="P614" s="1"/>
      <c r="Q614" s="1"/>
      <c r="R614" s="1"/>
      <c r="S614" s="1"/>
      <c r="T614" s="1"/>
    </row>
    <row r="615" ht="14.25" customHeight="1">
      <c r="A615" s="52"/>
      <c r="B615" s="53"/>
      <c r="C615" s="53"/>
      <c r="D615" s="53"/>
      <c r="E615" s="53"/>
      <c r="F615" s="53"/>
      <c r="G615" s="1"/>
      <c r="H615" s="1"/>
      <c r="I615" s="1"/>
      <c r="J615" s="1"/>
      <c r="K615" s="1"/>
      <c r="L615" s="1"/>
      <c r="M615" s="1"/>
      <c r="N615" s="1"/>
      <c r="O615" s="1"/>
      <c r="P615" s="1"/>
      <c r="Q615" s="1"/>
      <c r="R615" s="1"/>
      <c r="S615" s="1"/>
      <c r="T615" s="1"/>
    </row>
    <row r="616" ht="14.25" customHeight="1">
      <c r="A616" s="52"/>
      <c r="B616" s="53"/>
      <c r="C616" s="53"/>
      <c r="D616" s="53"/>
      <c r="E616" s="53"/>
      <c r="F616" s="53"/>
      <c r="G616" s="1"/>
      <c r="H616" s="1"/>
      <c r="I616" s="1"/>
      <c r="J616" s="1"/>
      <c r="K616" s="1"/>
      <c r="L616" s="1"/>
      <c r="M616" s="1"/>
      <c r="N616" s="1"/>
      <c r="O616" s="1"/>
      <c r="P616" s="1"/>
      <c r="Q616" s="1"/>
      <c r="R616" s="1"/>
      <c r="S616" s="1"/>
      <c r="T616" s="1"/>
    </row>
    <row r="617" ht="14.25" customHeight="1">
      <c r="A617" s="52"/>
      <c r="B617" s="53"/>
      <c r="C617" s="53"/>
      <c r="D617" s="53"/>
      <c r="E617" s="53"/>
      <c r="F617" s="53"/>
      <c r="G617" s="1"/>
      <c r="H617" s="1"/>
      <c r="I617" s="1"/>
      <c r="J617" s="1"/>
      <c r="K617" s="1"/>
      <c r="L617" s="1"/>
      <c r="M617" s="1"/>
      <c r="N617" s="1"/>
      <c r="O617" s="1"/>
      <c r="P617" s="1"/>
      <c r="Q617" s="1"/>
      <c r="R617" s="1"/>
      <c r="S617" s="1"/>
      <c r="T617" s="1"/>
    </row>
    <row r="618" ht="14.25" customHeight="1">
      <c r="A618" s="52"/>
      <c r="B618" s="53"/>
      <c r="C618" s="53"/>
      <c r="D618" s="53"/>
      <c r="E618" s="53"/>
      <c r="F618" s="53"/>
      <c r="G618" s="1"/>
      <c r="H618" s="1"/>
      <c r="I618" s="1"/>
      <c r="J618" s="1"/>
      <c r="K618" s="1"/>
      <c r="L618" s="1"/>
      <c r="M618" s="1"/>
      <c r="N618" s="1"/>
      <c r="O618" s="1"/>
      <c r="P618" s="1"/>
      <c r="Q618" s="1"/>
      <c r="R618" s="1"/>
      <c r="S618" s="1"/>
      <c r="T618" s="1"/>
    </row>
    <row r="619" ht="14.25" customHeight="1">
      <c r="A619" s="52"/>
      <c r="B619" s="53"/>
      <c r="C619" s="53"/>
      <c r="D619" s="53"/>
      <c r="E619" s="53"/>
      <c r="F619" s="53"/>
      <c r="G619" s="1"/>
      <c r="H619" s="1"/>
      <c r="I619" s="1"/>
      <c r="J619" s="1"/>
      <c r="K619" s="1"/>
      <c r="L619" s="1"/>
      <c r="M619" s="1"/>
      <c r="N619" s="1"/>
      <c r="O619" s="1"/>
      <c r="P619" s="1"/>
      <c r="Q619" s="1"/>
      <c r="R619" s="1"/>
      <c r="S619" s="1"/>
      <c r="T619" s="1"/>
    </row>
    <row r="620" ht="14.25" customHeight="1">
      <c r="A620" s="52"/>
      <c r="B620" s="53"/>
      <c r="C620" s="53"/>
      <c r="D620" s="53"/>
      <c r="E620" s="53"/>
      <c r="F620" s="53"/>
      <c r="G620" s="1"/>
      <c r="H620" s="1"/>
      <c r="I620" s="1"/>
      <c r="J620" s="1"/>
      <c r="K620" s="1"/>
      <c r="L620" s="1"/>
      <c r="M620" s="1"/>
      <c r="N620" s="1"/>
      <c r="O620" s="1"/>
      <c r="P620" s="1"/>
      <c r="Q620" s="1"/>
      <c r="R620" s="1"/>
      <c r="S620" s="1"/>
      <c r="T620" s="1"/>
    </row>
    <row r="621" ht="14.25" customHeight="1">
      <c r="A621" s="52"/>
      <c r="B621" s="53"/>
      <c r="C621" s="53"/>
      <c r="D621" s="53"/>
      <c r="E621" s="53"/>
      <c r="F621" s="53"/>
      <c r="G621" s="1"/>
      <c r="H621" s="1"/>
      <c r="I621" s="1"/>
      <c r="J621" s="1"/>
      <c r="K621" s="1"/>
      <c r="L621" s="1"/>
      <c r="M621" s="1"/>
      <c r="N621" s="1"/>
      <c r="O621" s="1"/>
      <c r="P621" s="1"/>
      <c r="Q621" s="1"/>
      <c r="R621" s="1"/>
      <c r="S621" s="1"/>
      <c r="T621" s="1"/>
    </row>
    <row r="622" ht="14.25" customHeight="1">
      <c r="A622" s="52"/>
      <c r="B622" s="53"/>
      <c r="C622" s="53"/>
      <c r="D622" s="53"/>
      <c r="E622" s="53"/>
      <c r="F622" s="53"/>
      <c r="G622" s="1"/>
      <c r="H622" s="1"/>
      <c r="I622" s="1"/>
      <c r="J622" s="1"/>
      <c r="K622" s="1"/>
      <c r="L622" s="1"/>
      <c r="M622" s="1"/>
      <c r="N622" s="1"/>
      <c r="O622" s="1"/>
      <c r="P622" s="1"/>
      <c r="Q622" s="1"/>
      <c r="R622" s="1"/>
      <c r="S622" s="1"/>
      <c r="T622" s="1"/>
    </row>
    <row r="623" ht="14.25" customHeight="1">
      <c r="A623" s="52"/>
      <c r="B623" s="53"/>
      <c r="C623" s="53"/>
      <c r="D623" s="53"/>
      <c r="E623" s="53"/>
      <c r="F623" s="53"/>
      <c r="G623" s="1"/>
      <c r="H623" s="1"/>
      <c r="I623" s="1"/>
      <c r="J623" s="1"/>
      <c r="K623" s="1"/>
      <c r="L623" s="1"/>
      <c r="M623" s="1"/>
      <c r="N623" s="1"/>
      <c r="O623" s="1"/>
      <c r="P623" s="1"/>
      <c r="Q623" s="1"/>
      <c r="R623" s="1"/>
      <c r="S623" s="1"/>
      <c r="T623" s="1"/>
    </row>
    <row r="624" ht="14.25" customHeight="1">
      <c r="A624" s="52"/>
      <c r="B624" s="53"/>
      <c r="C624" s="53"/>
      <c r="D624" s="53"/>
      <c r="E624" s="53"/>
      <c r="F624" s="53"/>
      <c r="G624" s="1"/>
      <c r="H624" s="1"/>
      <c r="I624" s="1"/>
      <c r="J624" s="1"/>
      <c r="K624" s="1"/>
      <c r="L624" s="1"/>
      <c r="M624" s="1"/>
      <c r="N624" s="1"/>
      <c r="O624" s="1"/>
      <c r="P624" s="1"/>
      <c r="Q624" s="1"/>
      <c r="R624" s="1"/>
      <c r="S624" s="1"/>
      <c r="T624" s="1"/>
    </row>
    <row r="625" ht="14.25" customHeight="1">
      <c r="A625" s="52"/>
      <c r="B625" s="53"/>
      <c r="C625" s="53"/>
      <c r="D625" s="53"/>
      <c r="E625" s="53"/>
      <c r="F625" s="53"/>
      <c r="G625" s="1"/>
      <c r="H625" s="1"/>
      <c r="I625" s="1"/>
      <c r="J625" s="1"/>
      <c r="K625" s="1"/>
      <c r="L625" s="1"/>
      <c r="M625" s="1"/>
      <c r="N625" s="1"/>
      <c r="O625" s="1"/>
      <c r="P625" s="1"/>
      <c r="Q625" s="1"/>
      <c r="R625" s="1"/>
      <c r="S625" s="1"/>
      <c r="T625" s="1"/>
    </row>
    <row r="626" ht="14.25" customHeight="1">
      <c r="A626" s="52"/>
      <c r="B626" s="53"/>
      <c r="C626" s="53"/>
      <c r="D626" s="53"/>
      <c r="E626" s="53"/>
      <c r="F626" s="53"/>
      <c r="G626" s="1"/>
      <c r="H626" s="1"/>
      <c r="I626" s="1"/>
      <c r="J626" s="1"/>
      <c r="K626" s="1"/>
      <c r="L626" s="1"/>
      <c r="M626" s="1"/>
      <c r="N626" s="1"/>
      <c r="O626" s="1"/>
      <c r="P626" s="1"/>
      <c r="Q626" s="1"/>
      <c r="R626" s="1"/>
      <c r="S626" s="1"/>
      <c r="T626" s="1"/>
    </row>
    <row r="627" ht="14.25" customHeight="1">
      <c r="A627" s="52"/>
      <c r="B627" s="53"/>
      <c r="C627" s="53"/>
      <c r="D627" s="53"/>
      <c r="E627" s="53"/>
      <c r="F627" s="53"/>
      <c r="G627" s="1"/>
      <c r="H627" s="1"/>
      <c r="I627" s="1"/>
      <c r="J627" s="1"/>
      <c r="K627" s="1"/>
      <c r="L627" s="1"/>
      <c r="M627" s="1"/>
      <c r="N627" s="1"/>
      <c r="O627" s="1"/>
      <c r="P627" s="1"/>
      <c r="Q627" s="1"/>
      <c r="R627" s="1"/>
      <c r="S627" s="1"/>
      <c r="T627" s="1"/>
    </row>
    <row r="628" ht="14.25" customHeight="1">
      <c r="A628" s="52"/>
      <c r="B628" s="53"/>
      <c r="C628" s="53"/>
      <c r="D628" s="53"/>
      <c r="E628" s="53"/>
      <c r="F628" s="53"/>
      <c r="G628" s="1"/>
      <c r="H628" s="1"/>
      <c r="I628" s="1"/>
      <c r="J628" s="1"/>
      <c r="K628" s="1"/>
      <c r="L628" s="1"/>
      <c r="M628" s="1"/>
      <c r="N628" s="1"/>
      <c r="O628" s="1"/>
      <c r="P628" s="1"/>
      <c r="Q628" s="1"/>
      <c r="R628" s="1"/>
      <c r="S628" s="1"/>
      <c r="T628" s="1"/>
    </row>
    <row r="629" ht="14.25" customHeight="1">
      <c r="A629" s="52"/>
      <c r="B629" s="53"/>
      <c r="C629" s="53"/>
      <c r="D629" s="53"/>
      <c r="E629" s="53"/>
      <c r="F629" s="53"/>
      <c r="G629" s="1"/>
      <c r="H629" s="1"/>
      <c r="I629" s="1"/>
      <c r="J629" s="1"/>
      <c r="K629" s="1"/>
      <c r="L629" s="1"/>
      <c r="M629" s="1"/>
      <c r="N629" s="1"/>
      <c r="O629" s="1"/>
      <c r="P629" s="1"/>
      <c r="Q629" s="1"/>
      <c r="R629" s="1"/>
      <c r="S629" s="1"/>
      <c r="T629" s="1"/>
    </row>
    <row r="630" ht="14.25" customHeight="1">
      <c r="A630" s="52"/>
      <c r="B630" s="53"/>
      <c r="C630" s="53"/>
      <c r="D630" s="53"/>
      <c r="E630" s="53"/>
      <c r="F630" s="53"/>
      <c r="G630" s="1"/>
      <c r="H630" s="1"/>
      <c r="I630" s="1"/>
      <c r="J630" s="1"/>
      <c r="K630" s="1"/>
      <c r="L630" s="1"/>
      <c r="M630" s="1"/>
      <c r="N630" s="1"/>
      <c r="O630" s="1"/>
      <c r="P630" s="1"/>
      <c r="Q630" s="1"/>
      <c r="R630" s="1"/>
      <c r="S630" s="1"/>
      <c r="T630" s="1"/>
    </row>
    <row r="631" ht="14.25" customHeight="1">
      <c r="A631" s="52"/>
      <c r="B631" s="53"/>
      <c r="C631" s="53"/>
      <c r="D631" s="53"/>
      <c r="E631" s="53"/>
      <c r="F631" s="53"/>
      <c r="G631" s="1"/>
      <c r="H631" s="1"/>
      <c r="I631" s="1"/>
      <c r="J631" s="1"/>
      <c r="K631" s="1"/>
      <c r="L631" s="1"/>
      <c r="M631" s="1"/>
      <c r="N631" s="1"/>
      <c r="O631" s="1"/>
      <c r="P631" s="1"/>
      <c r="Q631" s="1"/>
      <c r="R631" s="1"/>
      <c r="S631" s="1"/>
      <c r="T631" s="1"/>
    </row>
    <row r="632" ht="14.25" customHeight="1">
      <c r="A632" s="52"/>
      <c r="B632" s="53"/>
      <c r="C632" s="53"/>
      <c r="D632" s="53"/>
      <c r="E632" s="53"/>
      <c r="F632" s="53"/>
      <c r="G632" s="1"/>
      <c r="H632" s="1"/>
      <c r="I632" s="1"/>
      <c r="J632" s="1"/>
      <c r="K632" s="1"/>
      <c r="L632" s="1"/>
      <c r="M632" s="1"/>
      <c r="N632" s="1"/>
      <c r="O632" s="1"/>
      <c r="P632" s="1"/>
      <c r="Q632" s="1"/>
      <c r="R632" s="1"/>
      <c r="S632" s="1"/>
      <c r="T632" s="1"/>
    </row>
    <row r="633" ht="14.25" customHeight="1">
      <c r="A633" s="52"/>
      <c r="B633" s="53"/>
      <c r="C633" s="53"/>
      <c r="D633" s="53"/>
      <c r="E633" s="53"/>
      <c r="F633" s="53"/>
      <c r="G633" s="1"/>
      <c r="H633" s="1"/>
      <c r="I633" s="1"/>
      <c r="J633" s="1"/>
      <c r="K633" s="1"/>
      <c r="L633" s="1"/>
      <c r="M633" s="1"/>
      <c r="N633" s="1"/>
      <c r="O633" s="1"/>
      <c r="P633" s="1"/>
      <c r="Q633" s="1"/>
      <c r="R633" s="1"/>
      <c r="S633" s="1"/>
      <c r="T633" s="1"/>
    </row>
    <row r="634" ht="14.25" customHeight="1">
      <c r="A634" s="52"/>
      <c r="B634" s="53"/>
      <c r="C634" s="53"/>
      <c r="D634" s="53"/>
      <c r="E634" s="53"/>
      <c r="F634" s="53"/>
      <c r="G634" s="1"/>
      <c r="H634" s="1"/>
      <c r="I634" s="1"/>
      <c r="J634" s="1"/>
      <c r="K634" s="1"/>
      <c r="L634" s="1"/>
      <c r="M634" s="1"/>
      <c r="N634" s="1"/>
      <c r="O634" s="1"/>
      <c r="P634" s="1"/>
      <c r="Q634" s="1"/>
      <c r="R634" s="1"/>
      <c r="S634" s="1"/>
      <c r="T634" s="1"/>
    </row>
    <row r="635" ht="14.25" customHeight="1">
      <c r="A635" s="52"/>
      <c r="B635" s="53"/>
      <c r="C635" s="53"/>
      <c r="D635" s="53"/>
      <c r="E635" s="53"/>
      <c r="F635" s="53"/>
      <c r="G635" s="1"/>
      <c r="H635" s="1"/>
      <c r="I635" s="1"/>
      <c r="J635" s="1"/>
      <c r="K635" s="1"/>
      <c r="L635" s="1"/>
      <c r="M635" s="1"/>
      <c r="N635" s="1"/>
      <c r="O635" s="1"/>
      <c r="P635" s="1"/>
      <c r="Q635" s="1"/>
      <c r="R635" s="1"/>
      <c r="S635" s="1"/>
      <c r="T635" s="1"/>
    </row>
    <row r="636" ht="14.25" customHeight="1">
      <c r="A636" s="52"/>
      <c r="B636" s="53"/>
      <c r="C636" s="53"/>
      <c r="D636" s="53"/>
      <c r="E636" s="53"/>
      <c r="F636" s="53"/>
      <c r="G636" s="1"/>
      <c r="H636" s="1"/>
      <c r="I636" s="1"/>
      <c r="J636" s="1"/>
      <c r="K636" s="1"/>
      <c r="L636" s="1"/>
      <c r="M636" s="1"/>
      <c r="N636" s="1"/>
      <c r="O636" s="1"/>
      <c r="P636" s="1"/>
      <c r="Q636" s="1"/>
      <c r="R636" s="1"/>
      <c r="S636" s="1"/>
      <c r="T636" s="1"/>
    </row>
    <row r="637" ht="14.25" customHeight="1">
      <c r="A637" s="52"/>
      <c r="B637" s="53"/>
      <c r="C637" s="53"/>
      <c r="D637" s="53"/>
      <c r="E637" s="53"/>
      <c r="F637" s="53"/>
      <c r="G637" s="1"/>
      <c r="H637" s="1"/>
      <c r="I637" s="1"/>
      <c r="J637" s="1"/>
      <c r="K637" s="1"/>
      <c r="L637" s="1"/>
      <c r="M637" s="1"/>
      <c r="N637" s="1"/>
      <c r="O637" s="1"/>
      <c r="P637" s="1"/>
      <c r="Q637" s="1"/>
      <c r="R637" s="1"/>
      <c r="S637" s="1"/>
      <c r="T637" s="1"/>
    </row>
    <row r="638" ht="14.25" customHeight="1">
      <c r="A638" s="52"/>
      <c r="B638" s="53"/>
      <c r="C638" s="53"/>
      <c r="D638" s="53"/>
      <c r="E638" s="53"/>
      <c r="F638" s="53"/>
      <c r="G638" s="1"/>
      <c r="H638" s="1"/>
      <c r="I638" s="1"/>
      <c r="J638" s="1"/>
      <c r="K638" s="1"/>
      <c r="L638" s="1"/>
      <c r="M638" s="1"/>
      <c r="N638" s="1"/>
      <c r="O638" s="1"/>
      <c r="P638" s="1"/>
      <c r="Q638" s="1"/>
      <c r="R638" s="1"/>
      <c r="S638" s="1"/>
      <c r="T638" s="1"/>
    </row>
    <row r="639" ht="14.25" customHeight="1">
      <c r="A639" s="52"/>
      <c r="B639" s="53"/>
      <c r="C639" s="53"/>
      <c r="D639" s="53"/>
      <c r="E639" s="53"/>
      <c r="F639" s="53"/>
      <c r="G639" s="1"/>
      <c r="H639" s="1"/>
      <c r="I639" s="1"/>
      <c r="J639" s="1"/>
      <c r="K639" s="1"/>
      <c r="L639" s="1"/>
      <c r="M639" s="1"/>
      <c r="N639" s="1"/>
      <c r="O639" s="1"/>
      <c r="P639" s="1"/>
      <c r="Q639" s="1"/>
      <c r="R639" s="1"/>
      <c r="S639" s="1"/>
      <c r="T639" s="1"/>
    </row>
    <row r="640" ht="14.25" customHeight="1">
      <c r="A640" s="52"/>
      <c r="B640" s="53"/>
      <c r="C640" s="53"/>
      <c r="D640" s="53"/>
      <c r="E640" s="53"/>
      <c r="F640" s="53"/>
      <c r="G640" s="1"/>
      <c r="H640" s="1"/>
      <c r="I640" s="1"/>
      <c r="J640" s="1"/>
      <c r="K640" s="1"/>
      <c r="L640" s="1"/>
      <c r="M640" s="1"/>
      <c r="N640" s="1"/>
      <c r="O640" s="1"/>
      <c r="P640" s="1"/>
      <c r="Q640" s="1"/>
      <c r="R640" s="1"/>
      <c r="S640" s="1"/>
      <c r="T640" s="1"/>
    </row>
    <row r="641" ht="14.25" customHeight="1">
      <c r="A641" s="52"/>
      <c r="B641" s="53"/>
      <c r="C641" s="53"/>
      <c r="D641" s="53"/>
      <c r="E641" s="53"/>
      <c r="F641" s="53"/>
      <c r="G641" s="1"/>
      <c r="H641" s="1"/>
      <c r="I641" s="1"/>
      <c r="J641" s="1"/>
      <c r="K641" s="1"/>
      <c r="L641" s="1"/>
      <c r="M641" s="1"/>
      <c r="N641" s="1"/>
      <c r="O641" s="1"/>
      <c r="P641" s="1"/>
      <c r="Q641" s="1"/>
      <c r="R641" s="1"/>
      <c r="S641" s="1"/>
      <c r="T641" s="1"/>
    </row>
    <row r="642" ht="14.25" customHeight="1">
      <c r="A642" s="52"/>
      <c r="B642" s="53"/>
      <c r="C642" s="53"/>
      <c r="D642" s="53"/>
      <c r="E642" s="53"/>
      <c r="F642" s="53"/>
      <c r="G642" s="1"/>
      <c r="H642" s="1"/>
      <c r="I642" s="1"/>
      <c r="J642" s="1"/>
      <c r="K642" s="1"/>
      <c r="L642" s="1"/>
      <c r="M642" s="1"/>
      <c r="N642" s="1"/>
      <c r="O642" s="1"/>
      <c r="P642" s="1"/>
      <c r="Q642" s="1"/>
      <c r="R642" s="1"/>
      <c r="S642" s="1"/>
      <c r="T642" s="1"/>
    </row>
    <row r="643" ht="14.25" customHeight="1">
      <c r="A643" s="52"/>
      <c r="B643" s="53"/>
      <c r="C643" s="53"/>
      <c r="D643" s="53"/>
      <c r="E643" s="53"/>
      <c r="F643" s="53"/>
      <c r="G643" s="1"/>
      <c r="H643" s="1"/>
      <c r="I643" s="1"/>
      <c r="J643" s="1"/>
      <c r="K643" s="1"/>
      <c r="L643" s="1"/>
      <c r="M643" s="1"/>
      <c r="N643" s="1"/>
      <c r="O643" s="1"/>
      <c r="P643" s="1"/>
      <c r="Q643" s="1"/>
      <c r="R643" s="1"/>
      <c r="S643" s="1"/>
      <c r="T643" s="1"/>
    </row>
    <row r="644" ht="14.25" customHeight="1">
      <c r="A644" s="52"/>
      <c r="B644" s="53"/>
      <c r="C644" s="53"/>
      <c r="D644" s="53"/>
      <c r="E644" s="53"/>
      <c r="F644" s="53"/>
      <c r="G644" s="1"/>
      <c r="H644" s="1"/>
      <c r="I644" s="1"/>
      <c r="J644" s="1"/>
      <c r="K644" s="1"/>
      <c r="L644" s="1"/>
      <c r="M644" s="1"/>
      <c r="N644" s="1"/>
      <c r="O644" s="1"/>
      <c r="P644" s="1"/>
      <c r="Q644" s="1"/>
      <c r="R644" s="1"/>
      <c r="S644" s="1"/>
      <c r="T644" s="1"/>
    </row>
    <row r="645" ht="14.25" customHeight="1">
      <c r="A645" s="52"/>
      <c r="B645" s="53"/>
      <c r="C645" s="53"/>
      <c r="D645" s="53"/>
      <c r="E645" s="53"/>
      <c r="F645" s="53"/>
      <c r="G645" s="1"/>
      <c r="H645" s="1"/>
      <c r="I645" s="1"/>
      <c r="J645" s="1"/>
      <c r="K645" s="1"/>
      <c r="L645" s="1"/>
      <c r="M645" s="1"/>
      <c r="N645" s="1"/>
      <c r="O645" s="1"/>
      <c r="P645" s="1"/>
      <c r="Q645" s="1"/>
      <c r="R645" s="1"/>
      <c r="S645" s="1"/>
      <c r="T645" s="1"/>
    </row>
    <row r="646" ht="14.25" customHeight="1">
      <c r="A646" s="52"/>
      <c r="B646" s="53"/>
      <c r="C646" s="53"/>
      <c r="D646" s="53"/>
      <c r="E646" s="53"/>
      <c r="F646" s="53"/>
      <c r="G646" s="1"/>
      <c r="H646" s="1"/>
      <c r="I646" s="1"/>
      <c r="J646" s="1"/>
      <c r="K646" s="1"/>
      <c r="L646" s="1"/>
      <c r="M646" s="1"/>
      <c r="N646" s="1"/>
      <c r="O646" s="1"/>
      <c r="P646" s="1"/>
      <c r="Q646" s="1"/>
      <c r="R646" s="1"/>
      <c r="S646" s="1"/>
      <c r="T646" s="1"/>
    </row>
    <row r="647" ht="14.25" customHeight="1">
      <c r="A647" s="52"/>
      <c r="B647" s="53"/>
      <c r="C647" s="53"/>
      <c r="D647" s="53"/>
      <c r="E647" s="53"/>
      <c r="F647" s="53"/>
      <c r="G647" s="1"/>
      <c r="H647" s="1"/>
      <c r="I647" s="1"/>
      <c r="J647" s="1"/>
      <c r="K647" s="1"/>
      <c r="L647" s="1"/>
      <c r="M647" s="1"/>
      <c r="N647" s="1"/>
      <c r="O647" s="1"/>
      <c r="P647" s="1"/>
      <c r="Q647" s="1"/>
      <c r="R647" s="1"/>
      <c r="S647" s="1"/>
      <c r="T647" s="1"/>
    </row>
    <row r="648" ht="14.25" customHeight="1">
      <c r="A648" s="52"/>
      <c r="B648" s="53"/>
      <c r="C648" s="53"/>
      <c r="D648" s="53"/>
      <c r="E648" s="53"/>
      <c r="F648" s="53"/>
      <c r="G648" s="1"/>
      <c r="H648" s="1"/>
      <c r="I648" s="1"/>
      <c r="J648" s="1"/>
      <c r="K648" s="1"/>
      <c r="L648" s="1"/>
      <c r="M648" s="1"/>
      <c r="N648" s="1"/>
      <c r="O648" s="1"/>
      <c r="P648" s="1"/>
      <c r="Q648" s="1"/>
      <c r="R648" s="1"/>
      <c r="S648" s="1"/>
      <c r="T648" s="1"/>
    </row>
    <row r="649" ht="14.25" customHeight="1">
      <c r="A649" s="52"/>
      <c r="B649" s="53"/>
      <c r="C649" s="53"/>
      <c r="D649" s="53"/>
      <c r="E649" s="53"/>
      <c r="F649" s="53"/>
      <c r="G649" s="1"/>
      <c r="H649" s="1"/>
      <c r="I649" s="1"/>
      <c r="J649" s="1"/>
      <c r="K649" s="1"/>
      <c r="L649" s="1"/>
      <c r="M649" s="1"/>
      <c r="N649" s="1"/>
      <c r="O649" s="1"/>
      <c r="P649" s="1"/>
      <c r="Q649" s="1"/>
      <c r="R649" s="1"/>
      <c r="S649" s="1"/>
      <c r="T649" s="1"/>
    </row>
    <row r="650" ht="14.25" customHeight="1">
      <c r="A650" s="52"/>
      <c r="B650" s="53"/>
      <c r="C650" s="53"/>
      <c r="D650" s="53"/>
      <c r="E650" s="53"/>
      <c r="F650" s="53"/>
      <c r="G650" s="1"/>
      <c r="H650" s="1"/>
      <c r="I650" s="1"/>
      <c r="J650" s="1"/>
      <c r="K650" s="1"/>
      <c r="L650" s="1"/>
      <c r="M650" s="1"/>
      <c r="N650" s="1"/>
      <c r="O650" s="1"/>
      <c r="P650" s="1"/>
      <c r="Q650" s="1"/>
      <c r="R650" s="1"/>
      <c r="S650" s="1"/>
      <c r="T650" s="1"/>
    </row>
    <row r="651" ht="14.25" customHeight="1">
      <c r="A651" s="52"/>
      <c r="B651" s="53"/>
      <c r="C651" s="53"/>
      <c r="D651" s="53"/>
      <c r="E651" s="53"/>
      <c r="F651" s="53"/>
      <c r="G651" s="1"/>
      <c r="H651" s="1"/>
      <c r="I651" s="1"/>
      <c r="J651" s="1"/>
      <c r="K651" s="1"/>
      <c r="L651" s="1"/>
      <c r="M651" s="1"/>
      <c r="N651" s="1"/>
      <c r="O651" s="1"/>
      <c r="P651" s="1"/>
      <c r="Q651" s="1"/>
      <c r="R651" s="1"/>
      <c r="S651" s="1"/>
      <c r="T651" s="1"/>
    </row>
    <row r="652" ht="14.25" customHeight="1">
      <c r="A652" s="52"/>
      <c r="B652" s="53"/>
      <c r="C652" s="53"/>
      <c r="D652" s="53"/>
      <c r="E652" s="53"/>
      <c r="F652" s="53"/>
      <c r="G652" s="1"/>
      <c r="H652" s="1"/>
      <c r="I652" s="1"/>
      <c r="J652" s="1"/>
      <c r="K652" s="1"/>
      <c r="L652" s="1"/>
      <c r="M652" s="1"/>
      <c r="N652" s="1"/>
      <c r="O652" s="1"/>
      <c r="P652" s="1"/>
      <c r="Q652" s="1"/>
      <c r="R652" s="1"/>
      <c r="S652" s="1"/>
      <c r="T652" s="1"/>
    </row>
    <row r="653" ht="14.25" customHeight="1">
      <c r="A653" s="52"/>
      <c r="B653" s="53"/>
      <c r="C653" s="53"/>
      <c r="D653" s="53"/>
      <c r="E653" s="53"/>
      <c r="F653" s="53"/>
      <c r="G653" s="1"/>
      <c r="H653" s="1"/>
      <c r="I653" s="1"/>
      <c r="J653" s="1"/>
      <c r="K653" s="1"/>
      <c r="L653" s="1"/>
      <c r="M653" s="1"/>
      <c r="N653" s="1"/>
      <c r="O653" s="1"/>
      <c r="P653" s="1"/>
      <c r="Q653" s="1"/>
      <c r="R653" s="1"/>
      <c r="S653" s="1"/>
      <c r="T653" s="1"/>
    </row>
    <row r="654" ht="14.25" customHeight="1">
      <c r="A654" s="52"/>
      <c r="B654" s="53"/>
      <c r="C654" s="53"/>
      <c r="D654" s="53"/>
      <c r="E654" s="53"/>
      <c r="F654" s="53"/>
      <c r="G654" s="1"/>
      <c r="H654" s="1"/>
      <c r="I654" s="1"/>
      <c r="J654" s="1"/>
      <c r="K654" s="1"/>
      <c r="L654" s="1"/>
      <c r="M654" s="1"/>
      <c r="N654" s="1"/>
      <c r="O654" s="1"/>
      <c r="P654" s="1"/>
      <c r="Q654" s="1"/>
      <c r="R654" s="1"/>
      <c r="S654" s="1"/>
      <c r="T654" s="1"/>
    </row>
    <row r="655" ht="14.25" customHeight="1">
      <c r="A655" s="52"/>
      <c r="B655" s="53"/>
      <c r="C655" s="53"/>
      <c r="D655" s="53"/>
      <c r="E655" s="53"/>
      <c r="F655" s="53"/>
      <c r="G655" s="1"/>
      <c r="H655" s="1"/>
      <c r="I655" s="1"/>
      <c r="J655" s="1"/>
      <c r="K655" s="1"/>
      <c r="L655" s="1"/>
      <c r="M655" s="1"/>
      <c r="N655" s="1"/>
      <c r="O655" s="1"/>
      <c r="P655" s="1"/>
      <c r="Q655" s="1"/>
      <c r="R655" s="1"/>
      <c r="S655" s="1"/>
      <c r="T655" s="1"/>
    </row>
    <row r="656" ht="14.25" customHeight="1">
      <c r="A656" s="52"/>
      <c r="B656" s="53"/>
      <c r="C656" s="53"/>
      <c r="D656" s="53"/>
      <c r="E656" s="53"/>
      <c r="F656" s="53"/>
      <c r="G656" s="1"/>
      <c r="H656" s="1"/>
      <c r="I656" s="1"/>
      <c r="J656" s="1"/>
      <c r="K656" s="1"/>
      <c r="L656" s="1"/>
      <c r="M656" s="1"/>
      <c r="N656" s="1"/>
      <c r="O656" s="1"/>
      <c r="P656" s="1"/>
      <c r="Q656" s="1"/>
      <c r="R656" s="1"/>
      <c r="S656" s="1"/>
      <c r="T656" s="1"/>
    </row>
    <row r="657" ht="14.25" customHeight="1">
      <c r="A657" s="52"/>
      <c r="B657" s="53"/>
      <c r="C657" s="53"/>
      <c r="D657" s="53"/>
      <c r="E657" s="53"/>
      <c r="F657" s="53"/>
      <c r="G657" s="1"/>
      <c r="H657" s="1"/>
      <c r="I657" s="1"/>
      <c r="J657" s="1"/>
      <c r="K657" s="1"/>
      <c r="L657" s="1"/>
      <c r="M657" s="1"/>
      <c r="N657" s="1"/>
      <c r="O657" s="1"/>
      <c r="P657" s="1"/>
      <c r="Q657" s="1"/>
      <c r="R657" s="1"/>
      <c r="S657" s="1"/>
      <c r="T657" s="1"/>
    </row>
    <row r="658" ht="14.25" customHeight="1">
      <c r="A658" s="52"/>
      <c r="B658" s="53"/>
      <c r="C658" s="53"/>
      <c r="D658" s="53"/>
      <c r="E658" s="53"/>
      <c r="F658" s="53"/>
      <c r="G658" s="1"/>
      <c r="H658" s="1"/>
      <c r="I658" s="1"/>
      <c r="J658" s="1"/>
      <c r="K658" s="1"/>
      <c r="L658" s="1"/>
      <c r="M658" s="1"/>
      <c r="N658" s="1"/>
      <c r="O658" s="1"/>
      <c r="P658" s="1"/>
      <c r="Q658" s="1"/>
      <c r="R658" s="1"/>
      <c r="S658" s="1"/>
      <c r="T658" s="1"/>
    </row>
    <row r="659" ht="14.25" customHeight="1">
      <c r="A659" s="52"/>
      <c r="B659" s="53"/>
      <c r="C659" s="53"/>
      <c r="D659" s="53"/>
      <c r="E659" s="53"/>
      <c r="F659" s="53"/>
      <c r="G659" s="1"/>
      <c r="H659" s="1"/>
      <c r="I659" s="1"/>
      <c r="J659" s="1"/>
      <c r="K659" s="1"/>
      <c r="L659" s="1"/>
      <c r="M659" s="1"/>
      <c r="N659" s="1"/>
      <c r="O659" s="1"/>
      <c r="P659" s="1"/>
      <c r="Q659" s="1"/>
      <c r="R659" s="1"/>
      <c r="S659" s="1"/>
      <c r="T659" s="1"/>
    </row>
    <row r="660" ht="14.25" customHeight="1">
      <c r="A660" s="52"/>
      <c r="B660" s="53"/>
      <c r="C660" s="53"/>
      <c r="D660" s="53"/>
      <c r="E660" s="53"/>
      <c r="F660" s="53"/>
      <c r="G660" s="1"/>
      <c r="H660" s="1"/>
      <c r="I660" s="1"/>
      <c r="J660" s="1"/>
      <c r="K660" s="1"/>
      <c r="L660" s="1"/>
      <c r="M660" s="1"/>
      <c r="N660" s="1"/>
      <c r="O660" s="1"/>
      <c r="P660" s="1"/>
      <c r="Q660" s="1"/>
      <c r="R660" s="1"/>
      <c r="S660" s="1"/>
      <c r="T660" s="1"/>
    </row>
    <row r="661" ht="14.25" customHeight="1">
      <c r="A661" s="52"/>
      <c r="B661" s="53"/>
      <c r="C661" s="53"/>
      <c r="D661" s="53"/>
      <c r="E661" s="53"/>
      <c r="F661" s="53"/>
      <c r="G661" s="1"/>
      <c r="H661" s="1"/>
      <c r="I661" s="1"/>
      <c r="J661" s="1"/>
      <c r="K661" s="1"/>
      <c r="L661" s="1"/>
      <c r="M661" s="1"/>
      <c r="N661" s="1"/>
      <c r="O661" s="1"/>
      <c r="P661" s="1"/>
      <c r="Q661" s="1"/>
      <c r="R661" s="1"/>
      <c r="S661" s="1"/>
      <c r="T661" s="1"/>
    </row>
    <row r="662" ht="14.25" customHeight="1">
      <c r="A662" s="52"/>
      <c r="B662" s="53"/>
      <c r="C662" s="53"/>
      <c r="D662" s="53"/>
      <c r="E662" s="53"/>
      <c r="F662" s="53"/>
      <c r="G662" s="1"/>
      <c r="H662" s="1"/>
      <c r="I662" s="1"/>
      <c r="J662" s="1"/>
      <c r="K662" s="1"/>
      <c r="L662" s="1"/>
      <c r="M662" s="1"/>
      <c r="N662" s="1"/>
      <c r="O662" s="1"/>
      <c r="P662" s="1"/>
      <c r="Q662" s="1"/>
      <c r="R662" s="1"/>
      <c r="S662" s="1"/>
      <c r="T662" s="1"/>
    </row>
    <row r="663" ht="14.25" customHeight="1">
      <c r="A663" s="52"/>
      <c r="B663" s="53"/>
      <c r="C663" s="53"/>
      <c r="D663" s="53"/>
      <c r="E663" s="53"/>
      <c r="F663" s="53"/>
      <c r="G663" s="1"/>
      <c r="H663" s="1"/>
      <c r="I663" s="1"/>
      <c r="J663" s="1"/>
      <c r="K663" s="1"/>
      <c r="L663" s="1"/>
      <c r="M663" s="1"/>
      <c r="N663" s="1"/>
      <c r="O663" s="1"/>
      <c r="P663" s="1"/>
      <c r="Q663" s="1"/>
      <c r="R663" s="1"/>
      <c r="S663" s="1"/>
      <c r="T663" s="1"/>
    </row>
    <row r="664" ht="14.25" customHeight="1">
      <c r="A664" s="52"/>
      <c r="B664" s="53"/>
      <c r="C664" s="53"/>
      <c r="D664" s="53"/>
      <c r="E664" s="53"/>
      <c r="F664" s="53"/>
      <c r="G664" s="1"/>
      <c r="H664" s="1"/>
      <c r="I664" s="1"/>
      <c r="J664" s="1"/>
      <c r="K664" s="1"/>
      <c r="L664" s="1"/>
      <c r="M664" s="1"/>
      <c r="N664" s="1"/>
      <c r="O664" s="1"/>
      <c r="P664" s="1"/>
      <c r="Q664" s="1"/>
      <c r="R664" s="1"/>
      <c r="S664" s="1"/>
      <c r="T664" s="1"/>
    </row>
    <row r="665" ht="14.25" customHeight="1">
      <c r="A665" s="52"/>
      <c r="B665" s="53"/>
      <c r="C665" s="53"/>
      <c r="D665" s="53"/>
      <c r="E665" s="53"/>
      <c r="F665" s="53"/>
      <c r="G665" s="1"/>
      <c r="H665" s="1"/>
      <c r="I665" s="1"/>
      <c r="J665" s="1"/>
      <c r="K665" s="1"/>
      <c r="L665" s="1"/>
      <c r="M665" s="1"/>
      <c r="N665" s="1"/>
      <c r="O665" s="1"/>
      <c r="P665" s="1"/>
      <c r="Q665" s="1"/>
      <c r="R665" s="1"/>
      <c r="S665" s="1"/>
      <c r="T665" s="1"/>
    </row>
    <row r="666" ht="14.25" customHeight="1">
      <c r="A666" s="52"/>
      <c r="B666" s="53"/>
      <c r="C666" s="53"/>
      <c r="D666" s="53"/>
      <c r="E666" s="53"/>
      <c r="F666" s="53"/>
      <c r="G666" s="1"/>
      <c r="H666" s="1"/>
      <c r="I666" s="1"/>
      <c r="J666" s="1"/>
      <c r="K666" s="1"/>
      <c r="L666" s="1"/>
      <c r="M666" s="1"/>
      <c r="N666" s="1"/>
      <c r="O666" s="1"/>
      <c r="P666" s="1"/>
      <c r="Q666" s="1"/>
      <c r="R666" s="1"/>
      <c r="S666" s="1"/>
      <c r="T666" s="1"/>
    </row>
    <row r="667" ht="14.25" customHeight="1">
      <c r="A667" s="52"/>
      <c r="B667" s="53"/>
      <c r="C667" s="53"/>
      <c r="D667" s="53"/>
      <c r="E667" s="53"/>
      <c r="F667" s="53"/>
      <c r="G667" s="1"/>
      <c r="H667" s="1"/>
      <c r="I667" s="1"/>
      <c r="J667" s="1"/>
      <c r="K667" s="1"/>
      <c r="L667" s="1"/>
      <c r="M667" s="1"/>
      <c r="N667" s="1"/>
      <c r="O667" s="1"/>
      <c r="P667" s="1"/>
      <c r="Q667" s="1"/>
      <c r="R667" s="1"/>
      <c r="S667" s="1"/>
      <c r="T667" s="1"/>
    </row>
    <row r="668" ht="14.25" customHeight="1">
      <c r="A668" s="52"/>
      <c r="B668" s="53"/>
      <c r="C668" s="53"/>
      <c r="D668" s="53"/>
      <c r="E668" s="53"/>
      <c r="F668" s="53"/>
      <c r="G668" s="1"/>
      <c r="H668" s="1"/>
      <c r="I668" s="1"/>
      <c r="J668" s="1"/>
      <c r="K668" s="1"/>
      <c r="L668" s="1"/>
      <c r="M668" s="1"/>
      <c r="N668" s="1"/>
      <c r="O668" s="1"/>
      <c r="P668" s="1"/>
      <c r="Q668" s="1"/>
      <c r="R668" s="1"/>
      <c r="S668" s="1"/>
      <c r="T668" s="1"/>
    </row>
    <row r="669" ht="14.25" customHeight="1">
      <c r="A669" s="52"/>
      <c r="B669" s="53"/>
      <c r="C669" s="53"/>
      <c r="D669" s="53"/>
      <c r="E669" s="53"/>
      <c r="F669" s="53"/>
      <c r="G669" s="1"/>
      <c r="H669" s="1"/>
      <c r="I669" s="1"/>
      <c r="J669" s="1"/>
      <c r="K669" s="1"/>
      <c r="L669" s="1"/>
      <c r="M669" s="1"/>
      <c r="N669" s="1"/>
      <c r="O669" s="1"/>
      <c r="P669" s="1"/>
      <c r="Q669" s="1"/>
      <c r="R669" s="1"/>
      <c r="S669" s="1"/>
      <c r="T669" s="1"/>
    </row>
    <row r="670" ht="14.25" customHeight="1">
      <c r="A670" s="52"/>
      <c r="B670" s="53"/>
      <c r="C670" s="53"/>
      <c r="D670" s="53"/>
      <c r="E670" s="53"/>
      <c r="F670" s="53"/>
      <c r="G670" s="1"/>
      <c r="H670" s="1"/>
      <c r="I670" s="1"/>
      <c r="J670" s="1"/>
      <c r="K670" s="1"/>
      <c r="L670" s="1"/>
      <c r="M670" s="1"/>
      <c r="N670" s="1"/>
      <c r="O670" s="1"/>
      <c r="P670" s="1"/>
      <c r="Q670" s="1"/>
      <c r="R670" s="1"/>
      <c r="S670" s="1"/>
      <c r="T670" s="1"/>
    </row>
    <row r="671" ht="14.25" customHeight="1">
      <c r="A671" s="52"/>
      <c r="B671" s="53"/>
      <c r="C671" s="53"/>
      <c r="D671" s="53"/>
      <c r="E671" s="53"/>
      <c r="F671" s="53"/>
      <c r="G671" s="1"/>
      <c r="H671" s="1"/>
      <c r="I671" s="1"/>
      <c r="J671" s="1"/>
      <c r="K671" s="1"/>
      <c r="L671" s="1"/>
      <c r="M671" s="1"/>
      <c r="N671" s="1"/>
      <c r="O671" s="1"/>
      <c r="P671" s="1"/>
      <c r="Q671" s="1"/>
      <c r="R671" s="1"/>
      <c r="S671" s="1"/>
      <c r="T671" s="1"/>
    </row>
    <row r="672" ht="14.25" customHeight="1">
      <c r="A672" s="52"/>
      <c r="B672" s="53"/>
      <c r="C672" s="53"/>
      <c r="D672" s="53"/>
      <c r="E672" s="53"/>
      <c r="F672" s="53"/>
      <c r="G672" s="1"/>
      <c r="H672" s="1"/>
      <c r="I672" s="1"/>
      <c r="J672" s="1"/>
      <c r="K672" s="1"/>
      <c r="L672" s="1"/>
      <c r="M672" s="1"/>
      <c r="N672" s="1"/>
      <c r="O672" s="1"/>
      <c r="P672" s="1"/>
      <c r="Q672" s="1"/>
      <c r="R672" s="1"/>
      <c r="S672" s="1"/>
      <c r="T672" s="1"/>
    </row>
    <row r="673" ht="14.25" customHeight="1">
      <c r="A673" s="52"/>
      <c r="B673" s="53"/>
      <c r="C673" s="53"/>
      <c r="D673" s="53"/>
      <c r="E673" s="53"/>
      <c r="F673" s="53"/>
      <c r="G673" s="1"/>
      <c r="H673" s="1"/>
      <c r="I673" s="1"/>
      <c r="J673" s="1"/>
      <c r="K673" s="1"/>
      <c r="L673" s="1"/>
      <c r="M673" s="1"/>
      <c r="N673" s="1"/>
      <c r="O673" s="1"/>
      <c r="P673" s="1"/>
      <c r="Q673" s="1"/>
      <c r="R673" s="1"/>
      <c r="S673" s="1"/>
      <c r="T673" s="1"/>
    </row>
    <row r="674" ht="14.25" customHeight="1">
      <c r="A674" s="52"/>
      <c r="B674" s="53"/>
      <c r="C674" s="53"/>
      <c r="D674" s="53"/>
      <c r="E674" s="53"/>
      <c r="F674" s="53"/>
      <c r="G674" s="1"/>
      <c r="H674" s="1"/>
      <c r="I674" s="1"/>
      <c r="J674" s="1"/>
      <c r="K674" s="1"/>
      <c r="L674" s="1"/>
      <c r="M674" s="1"/>
      <c r="N674" s="1"/>
      <c r="O674" s="1"/>
      <c r="P674" s="1"/>
      <c r="Q674" s="1"/>
      <c r="R674" s="1"/>
      <c r="S674" s="1"/>
      <c r="T674" s="1"/>
    </row>
    <row r="675" ht="14.25" customHeight="1">
      <c r="A675" s="52"/>
      <c r="B675" s="53"/>
      <c r="C675" s="53"/>
      <c r="D675" s="53"/>
      <c r="E675" s="53"/>
      <c r="F675" s="53"/>
      <c r="G675" s="1"/>
      <c r="H675" s="1"/>
      <c r="I675" s="1"/>
      <c r="J675" s="1"/>
      <c r="K675" s="1"/>
      <c r="L675" s="1"/>
      <c r="M675" s="1"/>
      <c r="N675" s="1"/>
      <c r="O675" s="1"/>
      <c r="P675" s="1"/>
      <c r="Q675" s="1"/>
      <c r="R675" s="1"/>
      <c r="S675" s="1"/>
      <c r="T675" s="1"/>
    </row>
    <row r="676" ht="14.25" customHeight="1">
      <c r="A676" s="52"/>
      <c r="B676" s="53"/>
      <c r="C676" s="53"/>
      <c r="D676" s="53"/>
      <c r="E676" s="53"/>
      <c r="F676" s="53"/>
      <c r="G676" s="1"/>
      <c r="H676" s="1"/>
      <c r="I676" s="1"/>
      <c r="J676" s="1"/>
      <c r="K676" s="1"/>
      <c r="L676" s="1"/>
      <c r="M676" s="1"/>
      <c r="N676" s="1"/>
      <c r="O676" s="1"/>
      <c r="P676" s="1"/>
      <c r="Q676" s="1"/>
      <c r="R676" s="1"/>
      <c r="S676" s="1"/>
      <c r="T676" s="1"/>
    </row>
    <row r="677" ht="14.25" customHeight="1">
      <c r="A677" s="52"/>
      <c r="B677" s="53"/>
      <c r="C677" s="53"/>
      <c r="D677" s="53"/>
      <c r="E677" s="53"/>
      <c r="F677" s="53"/>
      <c r="G677" s="1"/>
      <c r="H677" s="1"/>
      <c r="I677" s="1"/>
      <c r="J677" s="1"/>
      <c r="K677" s="1"/>
      <c r="L677" s="1"/>
      <c r="M677" s="1"/>
      <c r="N677" s="1"/>
      <c r="O677" s="1"/>
      <c r="P677" s="1"/>
      <c r="Q677" s="1"/>
      <c r="R677" s="1"/>
      <c r="S677" s="1"/>
      <c r="T677" s="1"/>
    </row>
    <row r="678" ht="14.25" customHeight="1">
      <c r="A678" s="52"/>
      <c r="B678" s="53"/>
      <c r="C678" s="53"/>
      <c r="D678" s="53"/>
      <c r="E678" s="53"/>
      <c r="F678" s="53"/>
      <c r="G678" s="1"/>
      <c r="H678" s="1"/>
      <c r="I678" s="1"/>
      <c r="J678" s="1"/>
      <c r="K678" s="1"/>
      <c r="L678" s="1"/>
      <c r="M678" s="1"/>
      <c r="N678" s="1"/>
      <c r="O678" s="1"/>
      <c r="P678" s="1"/>
      <c r="Q678" s="1"/>
      <c r="R678" s="1"/>
      <c r="S678" s="1"/>
      <c r="T678" s="1"/>
    </row>
    <row r="679" ht="14.25" customHeight="1">
      <c r="A679" s="52"/>
      <c r="B679" s="53"/>
      <c r="C679" s="53"/>
      <c r="D679" s="53"/>
      <c r="E679" s="53"/>
      <c r="F679" s="53"/>
      <c r="G679" s="1"/>
      <c r="H679" s="1"/>
      <c r="I679" s="1"/>
      <c r="J679" s="1"/>
      <c r="K679" s="1"/>
      <c r="L679" s="1"/>
      <c r="M679" s="1"/>
      <c r="N679" s="1"/>
      <c r="O679" s="1"/>
      <c r="P679" s="1"/>
      <c r="Q679" s="1"/>
      <c r="R679" s="1"/>
      <c r="S679" s="1"/>
      <c r="T679" s="1"/>
    </row>
    <row r="680" ht="14.25" customHeight="1">
      <c r="A680" s="52"/>
      <c r="B680" s="53"/>
      <c r="C680" s="53"/>
      <c r="D680" s="53"/>
      <c r="E680" s="53"/>
      <c r="F680" s="53"/>
      <c r="G680" s="1"/>
      <c r="H680" s="1"/>
      <c r="I680" s="1"/>
      <c r="J680" s="1"/>
      <c r="K680" s="1"/>
      <c r="L680" s="1"/>
      <c r="M680" s="1"/>
      <c r="N680" s="1"/>
      <c r="O680" s="1"/>
      <c r="P680" s="1"/>
      <c r="Q680" s="1"/>
      <c r="R680" s="1"/>
      <c r="S680" s="1"/>
      <c r="T680" s="1"/>
    </row>
    <row r="681" ht="14.25" customHeight="1">
      <c r="A681" s="52"/>
      <c r="B681" s="53"/>
      <c r="C681" s="53"/>
      <c r="D681" s="53"/>
      <c r="E681" s="53"/>
      <c r="F681" s="53"/>
      <c r="G681" s="1"/>
      <c r="H681" s="1"/>
      <c r="I681" s="1"/>
      <c r="J681" s="1"/>
      <c r="K681" s="1"/>
      <c r="L681" s="1"/>
      <c r="M681" s="1"/>
      <c r="N681" s="1"/>
      <c r="O681" s="1"/>
      <c r="P681" s="1"/>
      <c r="Q681" s="1"/>
      <c r="R681" s="1"/>
      <c r="S681" s="1"/>
      <c r="T681" s="1"/>
    </row>
    <row r="682" ht="14.25" customHeight="1">
      <c r="A682" s="52"/>
      <c r="B682" s="53"/>
      <c r="C682" s="53"/>
      <c r="D682" s="53"/>
      <c r="E682" s="53"/>
      <c r="F682" s="53"/>
      <c r="G682" s="1"/>
      <c r="H682" s="1"/>
      <c r="I682" s="1"/>
      <c r="J682" s="1"/>
      <c r="K682" s="1"/>
      <c r="L682" s="1"/>
      <c r="M682" s="1"/>
      <c r="N682" s="1"/>
      <c r="O682" s="1"/>
      <c r="P682" s="1"/>
      <c r="Q682" s="1"/>
      <c r="R682" s="1"/>
      <c r="S682" s="1"/>
      <c r="T682" s="1"/>
    </row>
    <row r="683" ht="14.25" customHeight="1">
      <c r="A683" s="52"/>
      <c r="B683" s="53"/>
      <c r="C683" s="53"/>
      <c r="D683" s="53"/>
      <c r="E683" s="53"/>
      <c r="F683" s="53"/>
      <c r="G683" s="1"/>
      <c r="H683" s="1"/>
      <c r="I683" s="1"/>
      <c r="J683" s="1"/>
      <c r="K683" s="1"/>
      <c r="L683" s="1"/>
      <c r="M683" s="1"/>
      <c r="N683" s="1"/>
      <c r="O683" s="1"/>
      <c r="P683" s="1"/>
      <c r="Q683" s="1"/>
      <c r="R683" s="1"/>
      <c r="S683" s="1"/>
      <c r="T683" s="1"/>
    </row>
    <row r="684" ht="14.25" customHeight="1">
      <c r="A684" s="52"/>
      <c r="B684" s="53"/>
      <c r="C684" s="53"/>
      <c r="D684" s="53"/>
      <c r="E684" s="53"/>
      <c r="F684" s="53"/>
      <c r="G684" s="1"/>
      <c r="H684" s="1"/>
      <c r="I684" s="1"/>
      <c r="J684" s="1"/>
      <c r="K684" s="1"/>
      <c r="L684" s="1"/>
      <c r="M684" s="1"/>
      <c r="N684" s="1"/>
      <c r="O684" s="1"/>
      <c r="P684" s="1"/>
      <c r="Q684" s="1"/>
      <c r="R684" s="1"/>
      <c r="S684" s="1"/>
      <c r="T684" s="1"/>
    </row>
    <row r="685" ht="14.25" customHeight="1">
      <c r="A685" s="52"/>
      <c r="B685" s="53"/>
      <c r="C685" s="53"/>
      <c r="D685" s="53"/>
      <c r="E685" s="53"/>
      <c r="F685" s="53"/>
      <c r="G685" s="1"/>
      <c r="H685" s="1"/>
      <c r="I685" s="1"/>
      <c r="J685" s="1"/>
      <c r="K685" s="1"/>
      <c r="L685" s="1"/>
      <c r="M685" s="1"/>
      <c r="N685" s="1"/>
      <c r="O685" s="1"/>
      <c r="P685" s="1"/>
      <c r="Q685" s="1"/>
      <c r="R685" s="1"/>
      <c r="S685" s="1"/>
      <c r="T685" s="1"/>
    </row>
    <row r="686" ht="14.25" customHeight="1">
      <c r="A686" s="52"/>
      <c r="B686" s="53"/>
      <c r="C686" s="53"/>
      <c r="D686" s="53"/>
      <c r="E686" s="53"/>
      <c r="F686" s="53"/>
      <c r="G686" s="1"/>
      <c r="H686" s="1"/>
      <c r="I686" s="1"/>
      <c r="J686" s="1"/>
      <c r="K686" s="1"/>
      <c r="L686" s="1"/>
      <c r="M686" s="1"/>
      <c r="N686" s="1"/>
      <c r="O686" s="1"/>
      <c r="P686" s="1"/>
      <c r="Q686" s="1"/>
      <c r="R686" s="1"/>
      <c r="S686" s="1"/>
      <c r="T686" s="1"/>
    </row>
    <row r="687" ht="14.25" customHeight="1">
      <c r="A687" s="52"/>
      <c r="B687" s="53"/>
      <c r="C687" s="53"/>
      <c r="D687" s="53"/>
      <c r="E687" s="53"/>
      <c r="F687" s="53"/>
      <c r="G687" s="1"/>
      <c r="H687" s="1"/>
      <c r="I687" s="1"/>
      <c r="J687" s="1"/>
      <c r="K687" s="1"/>
      <c r="L687" s="1"/>
      <c r="M687" s="1"/>
      <c r="N687" s="1"/>
      <c r="O687" s="1"/>
      <c r="P687" s="1"/>
      <c r="Q687" s="1"/>
      <c r="R687" s="1"/>
      <c r="S687" s="1"/>
      <c r="T687" s="1"/>
    </row>
    <row r="688" ht="14.25" customHeight="1">
      <c r="A688" s="52"/>
      <c r="B688" s="53"/>
      <c r="C688" s="53"/>
      <c r="D688" s="53"/>
      <c r="E688" s="53"/>
      <c r="F688" s="53"/>
      <c r="G688" s="1"/>
      <c r="H688" s="1"/>
      <c r="I688" s="1"/>
      <c r="J688" s="1"/>
      <c r="K688" s="1"/>
      <c r="L688" s="1"/>
      <c r="M688" s="1"/>
      <c r="N688" s="1"/>
      <c r="O688" s="1"/>
      <c r="P688" s="1"/>
      <c r="Q688" s="1"/>
      <c r="R688" s="1"/>
      <c r="S688" s="1"/>
      <c r="T688" s="1"/>
    </row>
    <row r="689" ht="14.25" customHeight="1">
      <c r="A689" s="52"/>
      <c r="B689" s="53"/>
      <c r="C689" s="53"/>
      <c r="D689" s="53"/>
      <c r="E689" s="53"/>
      <c r="F689" s="53"/>
      <c r="G689" s="1"/>
      <c r="H689" s="1"/>
      <c r="I689" s="1"/>
      <c r="J689" s="1"/>
      <c r="K689" s="1"/>
      <c r="L689" s="1"/>
      <c r="M689" s="1"/>
      <c r="N689" s="1"/>
      <c r="O689" s="1"/>
      <c r="P689" s="1"/>
      <c r="Q689" s="1"/>
      <c r="R689" s="1"/>
      <c r="S689" s="1"/>
      <c r="T689" s="1"/>
    </row>
    <row r="690" ht="14.25" customHeight="1">
      <c r="A690" s="52"/>
      <c r="B690" s="53"/>
      <c r="C690" s="53"/>
      <c r="D690" s="53"/>
      <c r="E690" s="53"/>
      <c r="F690" s="53"/>
      <c r="G690" s="1"/>
      <c r="H690" s="1"/>
      <c r="I690" s="1"/>
      <c r="J690" s="1"/>
      <c r="K690" s="1"/>
      <c r="L690" s="1"/>
      <c r="M690" s="1"/>
      <c r="N690" s="1"/>
      <c r="O690" s="1"/>
      <c r="P690" s="1"/>
      <c r="Q690" s="1"/>
      <c r="R690" s="1"/>
      <c r="S690" s="1"/>
      <c r="T690" s="1"/>
    </row>
    <row r="691" ht="14.25" customHeight="1">
      <c r="A691" s="52"/>
      <c r="B691" s="53"/>
      <c r="C691" s="53"/>
      <c r="D691" s="53"/>
      <c r="E691" s="53"/>
      <c r="F691" s="53"/>
      <c r="G691" s="1"/>
      <c r="H691" s="1"/>
      <c r="I691" s="1"/>
      <c r="J691" s="1"/>
      <c r="K691" s="1"/>
      <c r="L691" s="1"/>
      <c r="M691" s="1"/>
      <c r="N691" s="1"/>
      <c r="O691" s="1"/>
      <c r="P691" s="1"/>
      <c r="Q691" s="1"/>
      <c r="R691" s="1"/>
      <c r="S691" s="1"/>
      <c r="T691" s="1"/>
    </row>
    <row r="692" ht="14.25" customHeight="1">
      <c r="A692" s="52"/>
      <c r="B692" s="53"/>
      <c r="C692" s="53"/>
      <c r="D692" s="53"/>
      <c r="E692" s="53"/>
      <c r="F692" s="53"/>
      <c r="G692" s="1"/>
      <c r="H692" s="1"/>
      <c r="I692" s="1"/>
      <c r="J692" s="1"/>
      <c r="K692" s="1"/>
      <c r="L692" s="1"/>
      <c r="M692" s="1"/>
      <c r="N692" s="1"/>
      <c r="O692" s="1"/>
      <c r="P692" s="1"/>
      <c r="Q692" s="1"/>
      <c r="R692" s="1"/>
      <c r="S692" s="1"/>
      <c r="T692" s="1"/>
    </row>
    <row r="693" ht="14.25" customHeight="1">
      <c r="A693" s="52"/>
      <c r="B693" s="53"/>
      <c r="C693" s="53"/>
      <c r="D693" s="53"/>
      <c r="E693" s="53"/>
      <c r="F693" s="53"/>
      <c r="G693" s="1"/>
      <c r="H693" s="1"/>
      <c r="I693" s="1"/>
      <c r="J693" s="1"/>
      <c r="K693" s="1"/>
      <c r="L693" s="1"/>
      <c r="M693" s="1"/>
      <c r="N693" s="1"/>
      <c r="O693" s="1"/>
      <c r="P693" s="1"/>
      <c r="Q693" s="1"/>
      <c r="R693" s="1"/>
      <c r="S693" s="1"/>
      <c r="T693" s="1"/>
    </row>
    <row r="694" ht="14.25" customHeight="1">
      <c r="A694" s="52"/>
      <c r="B694" s="53"/>
      <c r="C694" s="53"/>
      <c r="D694" s="53"/>
      <c r="E694" s="53"/>
      <c r="F694" s="53"/>
      <c r="G694" s="1"/>
      <c r="H694" s="1"/>
      <c r="I694" s="1"/>
      <c r="J694" s="1"/>
      <c r="K694" s="1"/>
      <c r="L694" s="1"/>
      <c r="M694" s="1"/>
      <c r="N694" s="1"/>
      <c r="O694" s="1"/>
      <c r="P694" s="1"/>
      <c r="Q694" s="1"/>
      <c r="R694" s="1"/>
      <c r="S694" s="1"/>
      <c r="T694" s="1"/>
    </row>
    <row r="695" ht="14.25" customHeight="1">
      <c r="A695" s="52"/>
      <c r="B695" s="53"/>
      <c r="C695" s="53"/>
      <c r="D695" s="53"/>
      <c r="E695" s="53"/>
      <c r="F695" s="53"/>
      <c r="G695" s="1"/>
      <c r="H695" s="1"/>
      <c r="I695" s="1"/>
      <c r="J695" s="1"/>
      <c r="K695" s="1"/>
      <c r="L695" s="1"/>
      <c r="M695" s="1"/>
      <c r="N695" s="1"/>
      <c r="O695" s="1"/>
      <c r="P695" s="1"/>
      <c r="Q695" s="1"/>
      <c r="R695" s="1"/>
      <c r="S695" s="1"/>
      <c r="T695" s="1"/>
    </row>
    <row r="696" ht="14.25" customHeight="1">
      <c r="A696" s="52"/>
      <c r="B696" s="53"/>
      <c r="C696" s="53"/>
      <c r="D696" s="53"/>
      <c r="E696" s="53"/>
      <c r="F696" s="53"/>
      <c r="G696" s="1"/>
      <c r="H696" s="1"/>
      <c r="I696" s="1"/>
      <c r="J696" s="1"/>
      <c r="K696" s="1"/>
      <c r="L696" s="1"/>
      <c r="M696" s="1"/>
      <c r="N696" s="1"/>
      <c r="O696" s="1"/>
      <c r="P696" s="1"/>
      <c r="Q696" s="1"/>
      <c r="R696" s="1"/>
      <c r="S696" s="1"/>
      <c r="T696" s="1"/>
    </row>
    <row r="697" ht="14.25" customHeight="1">
      <c r="A697" s="52"/>
      <c r="B697" s="53"/>
      <c r="C697" s="53"/>
      <c r="D697" s="53"/>
      <c r="E697" s="53"/>
      <c r="F697" s="53"/>
      <c r="G697" s="1"/>
      <c r="H697" s="1"/>
      <c r="I697" s="1"/>
      <c r="J697" s="1"/>
      <c r="K697" s="1"/>
      <c r="L697" s="1"/>
      <c r="M697" s="1"/>
      <c r="N697" s="1"/>
      <c r="O697" s="1"/>
      <c r="P697" s="1"/>
      <c r="Q697" s="1"/>
      <c r="R697" s="1"/>
      <c r="S697" s="1"/>
      <c r="T697" s="1"/>
    </row>
    <row r="698" ht="14.25" customHeight="1">
      <c r="A698" s="52"/>
      <c r="B698" s="53"/>
      <c r="C698" s="53"/>
      <c r="D698" s="53"/>
      <c r="E698" s="53"/>
      <c r="F698" s="53"/>
      <c r="G698" s="1"/>
      <c r="H698" s="1"/>
      <c r="I698" s="1"/>
      <c r="J698" s="1"/>
      <c r="K698" s="1"/>
      <c r="L698" s="1"/>
      <c r="M698" s="1"/>
      <c r="N698" s="1"/>
      <c r="O698" s="1"/>
      <c r="P698" s="1"/>
      <c r="Q698" s="1"/>
      <c r="R698" s="1"/>
      <c r="S698" s="1"/>
      <c r="T698" s="1"/>
    </row>
    <row r="699" ht="14.25" customHeight="1">
      <c r="A699" s="52"/>
      <c r="B699" s="53"/>
      <c r="C699" s="53"/>
      <c r="D699" s="53"/>
      <c r="E699" s="53"/>
      <c r="F699" s="53"/>
      <c r="G699" s="1"/>
      <c r="H699" s="1"/>
      <c r="I699" s="1"/>
      <c r="J699" s="1"/>
      <c r="K699" s="1"/>
      <c r="L699" s="1"/>
      <c r="M699" s="1"/>
      <c r="N699" s="1"/>
      <c r="O699" s="1"/>
      <c r="P699" s="1"/>
      <c r="Q699" s="1"/>
      <c r="R699" s="1"/>
      <c r="S699" s="1"/>
      <c r="T699" s="1"/>
    </row>
    <row r="700" ht="14.25" customHeight="1">
      <c r="A700" s="52"/>
      <c r="B700" s="53"/>
      <c r="C700" s="53"/>
      <c r="D700" s="53"/>
      <c r="E700" s="53"/>
      <c r="F700" s="53"/>
      <c r="G700" s="1"/>
      <c r="H700" s="1"/>
      <c r="I700" s="1"/>
      <c r="J700" s="1"/>
      <c r="K700" s="1"/>
      <c r="L700" s="1"/>
      <c r="M700" s="1"/>
      <c r="N700" s="1"/>
      <c r="O700" s="1"/>
      <c r="P700" s="1"/>
      <c r="Q700" s="1"/>
      <c r="R700" s="1"/>
      <c r="S700" s="1"/>
      <c r="T700" s="1"/>
    </row>
    <row r="701" ht="14.25" customHeight="1">
      <c r="A701" s="52"/>
      <c r="B701" s="53"/>
      <c r="C701" s="53"/>
      <c r="D701" s="53"/>
      <c r="E701" s="53"/>
      <c r="F701" s="53"/>
      <c r="G701" s="1"/>
      <c r="H701" s="1"/>
      <c r="I701" s="1"/>
      <c r="J701" s="1"/>
      <c r="K701" s="1"/>
      <c r="L701" s="1"/>
      <c r="M701" s="1"/>
      <c r="N701" s="1"/>
      <c r="O701" s="1"/>
      <c r="P701" s="1"/>
      <c r="Q701" s="1"/>
      <c r="R701" s="1"/>
      <c r="S701" s="1"/>
      <c r="T701" s="1"/>
    </row>
    <row r="702" ht="14.25" customHeight="1">
      <c r="A702" s="52"/>
      <c r="B702" s="53"/>
      <c r="C702" s="53"/>
      <c r="D702" s="53"/>
      <c r="E702" s="53"/>
      <c r="F702" s="53"/>
      <c r="G702" s="1"/>
      <c r="H702" s="1"/>
      <c r="I702" s="1"/>
      <c r="J702" s="1"/>
      <c r="K702" s="1"/>
      <c r="L702" s="1"/>
      <c r="M702" s="1"/>
      <c r="N702" s="1"/>
      <c r="O702" s="1"/>
      <c r="P702" s="1"/>
      <c r="Q702" s="1"/>
      <c r="R702" s="1"/>
      <c r="S702" s="1"/>
      <c r="T702" s="1"/>
    </row>
    <row r="703" ht="14.25" customHeight="1">
      <c r="A703" s="52"/>
      <c r="B703" s="53"/>
      <c r="C703" s="53"/>
      <c r="D703" s="53"/>
      <c r="E703" s="53"/>
      <c r="F703" s="53"/>
      <c r="G703" s="1"/>
      <c r="H703" s="1"/>
      <c r="I703" s="1"/>
      <c r="J703" s="1"/>
      <c r="K703" s="1"/>
      <c r="L703" s="1"/>
      <c r="M703" s="1"/>
      <c r="N703" s="1"/>
      <c r="O703" s="1"/>
      <c r="P703" s="1"/>
      <c r="Q703" s="1"/>
      <c r="R703" s="1"/>
      <c r="S703" s="1"/>
      <c r="T703" s="1"/>
    </row>
    <row r="704" ht="14.25" customHeight="1">
      <c r="A704" s="52"/>
      <c r="B704" s="53"/>
      <c r="C704" s="53"/>
      <c r="D704" s="53"/>
      <c r="E704" s="53"/>
      <c r="F704" s="53"/>
      <c r="G704" s="1"/>
      <c r="H704" s="1"/>
      <c r="I704" s="1"/>
      <c r="J704" s="1"/>
      <c r="K704" s="1"/>
      <c r="L704" s="1"/>
      <c r="M704" s="1"/>
      <c r="N704" s="1"/>
      <c r="O704" s="1"/>
      <c r="P704" s="1"/>
      <c r="Q704" s="1"/>
      <c r="R704" s="1"/>
      <c r="S704" s="1"/>
      <c r="T704" s="1"/>
    </row>
    <row r="705" ht="14.25" customHeight="1">
      <c r="A705" s="52"/>
      <c r="B705" s="53"/>
      <c r="C705" s="53"/>
      <c r="D705" s="53"/>
      <c r="E705" s="53"/>
      <c r="F705" s="53"/>
      <c r="G705" s="1"/>
      <c r="H705" s="1"/>
      <c r="I705" s="1"/>
      <c r="J705" s="1"/>
      <c r="K705" s="1"/>
      <c r="L705" s="1"/>
      <c r="M705" s="1"/>
      <c r="N705" s="1"/>
      <c r="O705" s="1"/>
      <c r="P705" s="1"/>
      <c r="Q705" s="1"/>
      <c r="R705" s="1"/>
      <c r="S705" s="1"/>
      <c r="T705" s="1"/>
    </row>
    <row r="706" ht="14.25" customHeight="1">
      <c r="A706" s="52"/>
      <c r="B706" s="53"/>
      <c r="C706" s="53"/>
      <c r="D706" s="53"/>
      <c r="E706" s="53"/>
      <c r="F706" s="53"/>
      <c r="G706" s="1"/>
      <c r="H706" s="1"/>
      <c r="I706" s="1"/>
      <c r="J706" s="1"/>
      <c r="K706" s="1"/>
      <c r="L706" s="1"/>
      <c r="M706" s="1"/>
      <c r="N706" s="1"/>
      <c r="O706" s="1"/>
      <c r="P706" s="1"/>
      <c r="Q706" s="1"/>
      <c r="R706" s="1"/>
      <c r="S706" s="1"/>
      <c r="T706" s="1"/>
    </row>
    <row r="707" ht="14.25" customHeight="1">
      <c r="A707" s="52"/>
      <c r="B707" s="53"/>
      <c r="C707" s="53"/>
      <c r="D707" s="53"/>
      <c r="E707" s="53"/>
      <c r="F707" s="53"/>
      <c r="G707" s="1"/>
      <c r="H707" s="1"/>
      <c r="I707" s="1"/>
      <c r="J707" s="1"/>
      <c r="K707" s="1"/>
      <c r="L707" s="1"/>
      <c r="M707" s="1"/>
      <c r="N707" s="1"/>
      <c r="O707" s="1"/>
      <c r="P707" s="1"/>
      <c r="Q707" s="1"/>
      <c r="R707" s="1"/>
      <c r="S707" s="1"/>
      <c r="T707" s="1"/>
    </row>
    <row r="708" ht="14.25" customHeight="1">
      <c r="A708" s="52"/>
      <c r="B708" s="53"/>
      <c r="C708" s="53"/>
      <c r="D708" s="53"/>
      <c r="E708" s="53"/>
      <c r="F708" s="53"/>
      <c r="G708" s="1"/>
      <c r="H708" s="1"/>
      <c r="I708" s="1"/>
      <c r="J708" s="1"/>
      <c r="K708" s="1"/>
      <c r="L708" s="1"/>
      <c r="M708" s="1"/>
      <c r="N708" s="1"/>
      <c r="O708" s="1"/>
      <c r="P708" s="1"/>
      <c r="Q708" s="1"/>
      <c r="R708" s="1"/>
      <c r="S708" s="1"/>
      <c r="T708" s="1"/>
    </row>
    <row r="709" ht="14.25" customHeight="1">
      <c r="A709" s="52"/>
      <c r="B709" s="53"/>
      <c r="C709" s="53"/>
      <c r="D709" s="53"/>
      <c r="E709" s="53"/>
      <c r="F709" s="53"/>
      <c r="G709" s="1"/>
      <c r="H709" s="1"/>
      <c r="I709" s="1"/>
      <c r="J709" s="1"/>
      <c r="K709" s="1"/>
      <c r="L709" s="1"/>
      <c r="M709" s="1"/>
      <c r="N709" s="1"/>
      <c r="O709" s="1"/>
      <c r="P709" s="1"/>
      <c r="Q709" s="1"/>
      <c r="R709" s="1"/>
      <c r="S709" s="1"/>
      <c r="T709" s="1"/>
    </row>
    <row r="710" ht="14.25" customHeight="1">
      <c r="A710" s="52"/>
      <c r="B710" s="53"/>
      <c r="C710" s="53"/>
      <c r="D710" s="53"/>
      <c r="E710" s="53"/>
      <c r="F710" s="53"/>
      <c r="G710" s="1"/>
      <c r="H710" s="1"/>
      <c r="I710" s="1"/>
      <c r="J710" s="1"/>
      <c r="K710" s="1"/>
      <c r="L710" s="1"/>
      <c r="M710" s="1"/>
      <c r="N710" s="1"/>
      <c r="O710" s="1"/>
      <c r="P710" s="1"/>
      <c r="Q710" s="1"/>
      <c r="R710" s="1"/>
      <c r="S710" s="1"/>
      <c r="T710" s="1"/>
    </row>
    <row r="711" ht="14.25" customHeight="1">
      <c r="A711" s="52"/>
      <c r="B711" s="53"/>
      <c r="C711" s="53"/>
      <c r="D711" s="53"/>
      <c r="E711" s="53"/>
      <c r="F711" s="53"/>
      <c r="G711" s="1"/>
      <c r="H711" s="1"/>
      <c r="I711" s="1"/>
      <c r="J711" s="1"/>
      <c r="K711" s="1"/>
      <c r="L711" s="1"/>
      <c r="M711" s="1"/>
      <c r="N711" s="1"/>
      <c r="O711" s="1"/>
      <c r="P711" s="1"/>
      <c r="Q711" s="1"/>
      <c r="R711" s="1"/>
      <c r="S711" s="1"/>
      <c r="T711" s="1"/>
    </row>
    <row r="712" ht="14.25" customHeight="1">
      <c r="A712" s="52"/>
      <c r="B712" s="53"/>
      <c r="C712" s="53"/>
      <c r="D712" s="53"/>
      <c r="E712" s="53"/>
      <c r="F712" s="53"/>
      <c r="G712" s="1"/>
      <c r="H712" s="1"/>
      <c r="I712" s="1"/>
      <c r="J712" s="1"/>
      <c r="K712" s="1"/>
      <c r="L712" s="1"/>
      <c r="M712" s="1"/>
      <c r="N712" s="1"/>
      <c r="O712" s="1"/>
      <c r="P712" s="1"/>
      <c r="Q712" s="1"/>
      <c r="R712" s="1"/>
      <c r="S712" s="1"/>
      <c r="T712" s="1"/>
    </row>
    <row r="713" ht="14.25" customHeight="1">
      <c r="A713" s="52"/>
      <c r="B713" s="53"/>
      <c r="C713" s="53"/>
      <c r="D713" s="53"/>
      <c r="E713" s="53"/>
      <c r="F713" s="53"/>
      <c r="G713" s="1"/>
      <c r="H713" s="1"/>
      <c r="I713" s="1"/>
      <c r="J713" s="1"/>
      <c r="K713" s="1"/>
      <c r="L713" s="1"/>
      <c r="M713" s="1"/>
      <c r="N713" s="1"/>
      <c r="O713" s="1"/>
      <c r="P713" s="1"/>
      <c r="Q713" s="1"/>
      <c r="R713" s="1"/>
      <c r="S713" s="1"/>
      <c r="T713" s="1"/>
    </row>
    <row r="714" ht="14.25" customHeight="1">
      <c r="A714" s="52"/>
      <c r="B714" s="53"/>
      <c r="C714" s="53"/>
      <c r="D714" s="53"/>
      <c r="E714" s="53"/>
      <c r="F714" s="53"/>
      <c r="G714" s="1"/>
      <c r="H714" s="1"/>
      <c r="I714" s="1"/>
      <c r="J714" s="1"/>
      <c r="K714" s="1"/>
      <c r="L714" s="1"/>
      <c r="M714" s="1"/>
      <c r="N714" s="1"/>
      <c r="O714" s="1"/>
      <c r="P714" s="1"/>
      <c r="Q714" s="1"/>
      <c r="R714" s="1"/>
      <c r="S714" s="1"/>
      <c r="T714" s="1"/>
    </row>
    <row r="715" ht="14.25" customHeight="1">
      <c r="A715" s="52"/>
      <c r="B715" s="53"/>
      <c r="C715" s="53"/>
      <c r="D715" s="53"/>
      <c r="E715" s="53"/>
      <c r="F715" s="53"/>
      <c r="G715" s="1"/>
      <c r="H715" s="1"/>
      <c r="I715" s="1"/>
      <c r="J715" s="1"/>
      <c r="K715" s="1"/>
      <c r="L715" s="1"/>
      <c r="M715" s="1"/>
      <c r="N715" s="1"/>
      <c r="O715" s="1"/>
      <c r="P715" s="1"/>
      <c r="Q715" s="1"/>
      <c r="R715" s="1"/>
      <c r="S715" s="1"/>
      <c r="T715" s="1"/>
    </row>
    <row r="716" ht="14.25" customHeight="1">
      <c r="A716" s="52"/>
      <c r="B716" s="53"/>
      <c r="C716" s="53"/>
      <c r="D716" s="53"/>
      <c r="E716" s="53"/>
      <c r="F716" s="53"/>
      <c r="G716" s="1"/>
      <c r="H716" s="1"/>
      <c r="I716" s="1"/>
      <c r="J716" s="1"/>
      <c r="K716" s="1"/>
      <c r="L716" s="1"/>
      <c r="M716" s="1"/>
      <c r="N716" s="1"/>
      <c r="O716" s="1"/>
      <c r="P716" s="1"/>
      <c r="Q716" s="1"/>
      <c r="R716" s="1"/>
      <c r="S716" s="1"/>
      <c r="T716" s="1"/>
    </row>
    <row r="717" ht="14.25" customHeight="1">
      <c r="A717" s="52"/>
      <c r="B717" s="53"/>
      <c r="C717" s="53"/>
      <c r="D717" s="53"/>
      <c r="E717" s="53"/>
      <c r="F717" s="53"/>
      <c r="G717" s="1"/>
      <c r="H717" s="1"/>
      <c r="I717" s="1"/>
      <c r="J717" s="1"/>
      <c r="K717" s="1"/>
      <c r="L717" s="1"/>
      <c r="M717" s="1"/>
      <c r="N717" s="1"/>
      <c r="O717" s="1"/>
      <c r="P717" s="1"/>
      <c r="Q717" s="1"/>
      <c r="R717" s="1"/>
      <c r="S717" s="1"/>
      <c r="T717" s="1"/>
    </row>
    <row r="718" ht="14.25" customHeight="1">
      <c r="A718" s="52"/>
      <c r="B718" s="53"/>
      <c r="C718" s="53"/>
      <c r="D718" s="53"/>
      <c r="E718" s="53"/>
      <c r="F718" s="53"/>
      <c r="G718" s="1"/>
      <c r="H718" s="1"/>
      <c r="I718" s="1"/>
      <c r="J718" s="1"/>
      <c r="K718" s="1"/>
      <c r="L718" s="1"/>
      <c r="M718" s="1"/>
      <c r="N718" s="1"/>
      <c r="O718" s="1"/>
      <c r="P718" s="1"/>
      <c r="Q718" s="1"/>
      <c r="R718" s="1"/>
      <c r="S718" s="1"/>
      <c r="T718" s="1"/>
    </row>
    <row r="719" ht="14.25" customHeight="1">
      <c r="A719" s="52"/>
      <c r="B719" s="53"/>
      <c r="C719" s="53"/>
      <c r="D719" s="53"/>
      <c r="E719" s="53"/>
      <c r="F719" s="53"/>
      <c r="G719" s="1"/>
      <c r="H719" s="1"/>
      <c r="I719" s="1"/>
      <c r="J719" s="1"/>
      <c r="K719" s="1"/>
      <c r="L719" s="1"/>
      <c r="M719" s="1"/>
      <c r="N719" s="1"/>
      <c r="O719" s="1"/>
      <c r="P719" s="1"/>
      <c r="Q719" s="1"/>
      <c r="R719" s="1"/>
      <c r="S719" s="1"/>
      <c r="T719" s="1"/>
    </row>
    <row r="720" ht="14.25" customHeight="1">
      <c r="A720" s="52"/>
      <c r="B720" s="53"/>
      <c r="C720" s="53"/>
      <c r="D720" s="53"/>
      <c r="E720" s="53"/>
      <c r="F720" s="53"/>
      <c r="G720" s="1"/>
      <c r="H720" s="1"/>
      <c r="I720" s="1"/>
      <c r="J720" s="1"/>
      <c r="K720" s="1"/>
      <c r="L720" s="1"/>
      <c r="M720" s="1"/>
      <c r="N720" s="1"/>
      <c r="O720" s="1"/>
      <c r="P720" s="1"/>
      <c r="Q720" s="1"/>
      <c r="R720" s="1"/>
      <c r="S720" s="1"/>
      <c r="T720" s="1"/>
    </row>
    <row r="721" ht="14.25" customHeight="1">
      <c r="A721" s="52"/>
      <c r="B721" s="53"/>
      <c r="C721" s="53"/>
      <c r="D721" s="53"/>
      <c r="E721" s="53"/>
      <c r="F721" s="53"/>
      <c r="G721" s="1"/>
      <c r="H721" s="1"/>
      <c r="I721" s="1"/>
      <c r="J721" s="1"/>
      <c r="K721" s="1"/>
      <c r="L721" s="1"/>
      <c r="M721" s="1"/>
      <c r="N721" s="1"/>
      <c r="O721" s="1"/>
      <c r="P721" s="1"/>
      <c r="Q721" s="1"/>
      <c r="R721" s="1"/>
      <c r="S721" s="1"/>
      <c r="T721" s="1"/>
    </row>
    <row r="722" ht="14.25" customHeight="1">
      <c r="A722" s="52"/>
      <c r="B722" s="53"/>
      <c r="C722" s="53"/>
      <c r="D722" s="53"/>
      <c r="E722" s="53"/>
      <c r="F722" s="53"/>
      <c r="G722" s="1"/>
      <c r="H722" s="1"/>
      <c r="I722" s="1"/>
      <c r="J722" s="1"/>
      <c r="K722" s="1"/>
      <c r="L722" s="1"/>
      <c r="M722" s="1"/>
      <c r="N722" s="1"/>
      <c r="O722" s="1"/>
      <c r="P722" s="1"/>
      <c r="Q722" s="1"/>
      <c r="R722" s="1"/>
      <c r="S722" s="1"/>
      <c r="T722" s="1"/>
    </row>
    <row r="723" ht="14.25" customHeight="1">
      <c r="A723" s="52"/>
      <c r="B723" s="53"/>
      <c r="C723" s="53"/>
      <c r="D723" s="53"/>
      <c r="E723" s="53"/>
      <c r="F723" s="53"/>
      <c r="G723" s="1"/>
      <c r="H723" s="1"/>
      <c r="I723" s="1"/>
      <c r="J723" s="1"/>
      <c r="K723" s="1"/>
      <c r="L723" s="1"/>
      <c r="M723" s="1"/>
      <c r="N723" s="1"/>
      <c r="O723" s="1"/>
      <c r="P723" s="1"/>
      <c r="Q723" s="1"/>
      <c r="R723" s="1"/>
      <c r="S723" s="1"/>
      <c r="T723" s="1"/>
    </row>
    <row r="724" ht="14.25" customHeight="1">
      <c r="A724" s="52"/>
      <c r="B724" s="53"/>
      <c r="C724" s="53"/>
      <c r="D724" s="53"/>
      <c r="E724" s="53"/>
      <c r="F724" s="53"/>
      <c r="G724" s="1"/>
      <c r="H724" s="1"/>
      <c r="I724" s="1"/>
      <c r="J724" s="1"/>
      <c r="K724" s="1"/>
      <c r="L724" s="1"/>
      <c r="M724" s="1"/>
      <c r="N724" s="1"/>
      <c r="O724" s="1"/>
      <c r="P724" s="1"/>
      <c r="Q724" s="1"/>
      <c r="R724" s="1"/>
      <c r="S724" s="1"/>
      <c r="T724" s="1"/>
    </row>
    <row r="725" ht="14.25" customHeight="1">
      <c r="A725" s="52"/>
      <c r="B725" s="53"/>
      <c r="C725" s="53"/>
      <c r="D725" s="53"/>
      <c r="E725" s="53"/>
      <c r="F725" s="53"/>
      <c r="G725" s="1"/>
      <c r="H725" s="1"/>
      <c r="I725" s="1"/>
      <c r="J725" s="1"/>
      <c r="K725" s="1"/>
      <c r="L725" s="1"/>
      <c r="M725" s="1"/>
      <c r="N725" s="1"/>
      <c r="O725" s="1"/>
      <c r="P725" s="1"/>
      <c r="Q725" s="1"/>
      <c r="R725" s="1"/>
      <c r="S725" s="1"/>
      <c r="T725" s="1"/>
    </row>
    <row r="726" ht="14.25" customHeight="1">
      <c r="A726" s="52"/>
      <c r="B726" s="53"/>
      <c r="C726" s="53"/>
      <c r="D726" s="53"/>
      <c r="E726" s="53"/>
      <c r="F726" s="53"/>
      <c r="G726" s="1"/>
      <c r="H726" s="1"/>
      <c r="I726" s="1"/>
      <c r="J726" s="1"/>
      <c r="K726" s="1"/>
      <c r="L726" s="1"/>
      <c r="M726" s="1"/>
      <c r="N726" s="1"/>
      <c r="O726" s="1"/>
      <c r="P726" s="1"/>
      <c r="Q726" s="1"/>
      <c r="R726" s="1"/>
      <c r="S726" s="1"/>
      <c r="T726" s="1"/>
    </row>
    <row r="727" ht="14.25" customHeight="1">
      <c r="A727" s="52"/>
      <c r="B727" s="53"/>
      <c r="C727" s="53"/>
      <c r="D727" s="53"/>
      <c r="E727" s="53"/>
      <c r="F727" s="53"/>
      <c r="G727" s="1"/>
      <c r="H727" s="1"/>
      <c r="I727" s="1"/>
      <c r="J727" s="1"/>
      <c r="K727" s="1"/>
      <c r="L727" s="1"/>
      <c r="M727" s="1"/>
      <c r="N727" s="1"/>
      <c r="O727" s="1"/>
      <c r="P727" s="1"/>
      <c r="Q727" s="1"/>
      <c r="R727" s="1"/>
      <c r="S727" s="1"/>
      <c r="T727" s="1"/>
    </row>
    <row r="728" ht="14.25" customHeight="1">
      <c r="A728" s="52"/>
      <c r="B728" s="53"/>
      <c r="C728" s="53"/>
      <c r="D728" s="53"/>
      <c r="E728" s="53"/>
      <c r="F728" s="53"/>
      <c r="G728" s="1"/>
      <c r="H728" s="1"/>
      <c r="I728" s="1"/>
      <c r="J728" s="1"/>
      <c r="K728" s="1"/>
      <c r="L728" s="1"/>
      <c r="M728" s="1"/>
      <c r="N728" s="1"/>
      <c r="O728" s="1"/>
      <c r="P728" s="1"/>
      <c r="Q728" s="1"/>
      <c r="R728" s="1"/>
      <c r="S728" s="1"/>
      <c r="T728" s="1"/>
    </row>
    <row r="729" ht="14.25" customHeight="1">
      <c r="A729" s="52"/>
      <c r="B729" s="53"/>
      <c r="C729" s="53"/>
      <c r="D729" s="53"/>
      <c r="E729" s="53"/>
      <c r="F729" s="53"/>
      <c r="G729" s="1"/>
      <c r="H729" s="1"/>
      <c r="I729" s="1"/>
      <c r="J729" s="1"/>
      <c r="K729" s="1"/>
      <c r="L729" s="1"/>
      <c r="M729" s="1"/>
      <c r="N729" s="1"/>
      <c r="O729" s="1"/>
      <c r="P729" s="1"/>
      <c r="Q729" s="1"/>
      <c r="R729" s="1"/>
      <c r="S729" s="1"/>
      <c r="T729" s="1"/>
    </row>
    <row r="730" ht="14.25" customHeight="1">
      <c r="A730" s="52"/>
      <c r="B730" s="53"/>
      <c r="C730" s="53"/>
      <c r="D730" s="53"/>
      <c r="E730" s="53"/>
      <c r="F730" s="53"/>
      <c r="G730" s="1"/>
      <c r="H730" s="1"/>
      <c r="I730" s="1"/>
      <c r="J730" s="1"/>
      <c r="K730" s="1"/>
      <c r="L730" s="1"/>
      <c r="M730" s="1"/>
      <c r="N730" s="1"/>
      <c r="O730" s="1"/>
      <c r="P730" s="1"/>
      <c r="Q730" s="1"/>
      <c r="R730" s="1"/>
      <c r="S730" s="1"/>
      <c r="T730" s="1"/>
    </row>
    <row r="731" ht="14.25" customHeight="1">
      <c r="A731" s="52"/>
      <c r="B731" s="53"/>
      <c r="C731" s="53"/>
      <c r="D731" s="53"/>
      <c r="E731" s="53"/>
      <c r="F731" s="53"/>
      <c r="G731" s="1"/>
      <c r="H731" s="1"/>
      <c r="I731" s="1"/>
      <c r="J731" s="1"/>
      <c r="K731" s="1"/>
      <c r="L731" s="1"/>
      <c r="M731" s="1"/>
      <c r="N731" s="1"/>
      <c r="O731" s="1"/>
      <c r="P731" s="1"/>
      <c r="Q731" s="1"/>
      <c r="R731" s="1"/>
      <c r="S731" s="1"/>
      <c r="T731" s="1"/>
    </row>
    <row r="732" ht="14.25" customHeight="1">
      <c r="A732" s="52"/>
      <c r="B732" s="53"/>
      <c r="C732" s="53"/>
      <c r="D732" s="53"/>
      <c r="E732" s="53"/>
      <c r="F732" s="53"/>
      <c r="G732" s="1"/>
      <c r="H732" s="1"/>
      <c r="I732" s="1"/>
      <c r="J732" s="1"/>
      <c r="K732" s="1"/>
      <c r="L732" s="1"/>
      <c r="M732" s="1"/>
      <c r="N732" s="1"/>
      <c r="O732" s="1"/>
      <c r="P732" s="1"/>
      <c r="Q732" s="1"/>
      <c r="R732" s="1"/>
      <c r="S732" s="1"/>
      <c r="T732" s="1"/>
    </row>
    <row r="733" ht="14.25" customHeight="1">
      <c r="A733" s="52"/>
      <c r="B733" s="53"/>
      <c r="C733" s="53"/>
      <c r="D733" s="53"/>
      <c r="E733" s="53"/>
      <c r="F733" s="53"/>
      <c r="G733" s="1"/>
      <c r="H733" s="1"/>
      <c r="I733" s="1"/>
      <c r="J733" s="1"/>
      <c r="K733" s="1"/>
      <c r="L733" s="1"/>
      <c r="M733" s="1"/>
      <c r="N733" s="1"/>
      <c r="O733" s="1"/>
      <c r="P733" s="1"/>
      <c r="Q733" s="1"/>
      <c r="R733" s="1"/>
      <c r="S733" s="1"/>
      <c r="T733" s="1"/>
    </row>
    <row r="734" ht="14.25" customHeight="1">
      <c r="A734" s="52"/>
      <c r="B734" s="53"/>
      <c r="C734" s="53"/>
      <c r="D734" s="53"/>
      <c r="E734" s="53"/>
      <c r="F734" s="53"/>
      <c r="G734" s="1"/>
      <c r="H734" s="1"/>
      <c r="I734" s="1"/>
      <c r="J734" s="1"/>
      <c r="K734" s="1"/>
      <c r="L734" s="1"/>
      <c r="M734" s="1"/>
      <c r="N734" s="1"/>
      <c r="O734" s="1"/>
      <c r="P734" s="1"/>
      <c r="Q734" s="1"/>
      <c r="R734" s="1"/>
      <c r="S734" s="1"/>
      <c r="T734" s="1"/>
    </row>
    <row r="735" ht="14.25" customHeight="1">
      <c r="A735" s="52"/>
      <c r="B735" s="53"/>
      <c r="C735" s="53"/>
      <c r="D735" s="53"/>
      <c r="E735" s="53"/>
      <c r="F735" s="53"/>
      <c r="G735" s="1"/>
      <c r="H735" s="1"/>
      <c r="I735" s="1"/>
      <c r="J735" s="1"/>
      <c r="K735" s="1"/>
      <c r="L735" s="1"/>
      <c r="M735" s="1"/>
      <c r="N735" s="1"/>
      <c r="O735" s="1"/>
      <c r="P735" s="1"/>
      <c r="Q735" s="1"/>
      <c r="R735" s="1"/>
      <c r="S735" s="1"/>
      <c r="T735" s="1"/>
    </row>
    <row r="736" ht="14.25" customHeight="1">
      <c r="A736" s="52"/>
      <c r="B736" s="53"/>
      <c r="C736" s="53"/>
      <c r="D736" s="53"/>
      <c r="E736" s="53"/>
      <c r="F736" s="53"/>
      <c r="G736" s="1"/>
      <c r="H736" s="1"/>
      <c r="I736" s="1"/>
      <c r="J736" s="1"/>
      <c r="K736" s="1"/>
      <c r="L736" s="1"/>
      <c r="M736" s="1"/>
      <c r="N736" s="1"/>
      <c r="O736" s="1"/>
      <c r="P736" s="1"/>
      <c r="Q736" s="1"/>
      <c r="R736" s="1"/>
      <c r="S736" s="1"/>
      <c r="T736" s="1"/>
    </row>
    <row r="737" ht="14.25" customHeight="1">
      <c r="A737" s="52"/>
      <c r="B737" s="53"/>
      <c r="C737" s="53"/>
      <c r="D737" s="53"/>
      <c r="E737" s="53"/>
      <c r="F737" s="53"/>
      <c r="G737" s="1"/>
      <c r="H737" s="1"/>
      <c r="I737" s="1"/>
      <c r="J737" s="1"/>
      <c r="K737" s="1"/>
      <c r="L737" s="1"/>
      <c r="M737" s="1"/>
      <c r="N737" s="1"/>
      <c r="O737" s="1"/>
      <c r="P737" s="1"/>
      <c r="Q737" s="1"/>
      <c r="R737" s="1"/>
      <c r="S737" s="1"/>
      <c r="T737" s="1"/>
    </row>
    <row r="738" ht="14.25" customHeight="1">
      <c r="A738" s="52"/>
      <c r="B738" s="53"/>
      <c r="C738" s="53"/>
      <c r="D738" s="53"/>
      <c r="E738" s="53"/>
      <c r="F738" s="53"/>
      <c r="G738" s="1"/>
      <c r="H738" s="1"/>
      <c r="I738" s="1"/>
      <c r="J738" s="1"/>
      <c r="K738" s="1"/>
      <c r="L738" s="1"/>
      <c r="M738" s="1"/>
      <c r="N738" s="1"/>
      <c r="O738" s="1"/>
      <c r="P738" s="1"/>
      <c r="Q738" s="1"/>
      <c r="R738" s="1"/>
      <c r="S738" s="1"/>
      <c r="T738" s="1"/>
    </row>
    <row r="739" ht="14.25" customHeight="1">
      <c r="A739" s="52"/>
      <c r="B739" s="53"/>
      <c r="C739" s="53"/>
      <c r="D739" s="53"/>
      <c r="E739" s="53"/>
      <c r="F739" s="53"/>
      <c r="G739" s="1"/>
      <c r="H739" s="1"/>
      <c r="I739" s="1"/>
      <c r="J739" s="1"/>
      <c r="K739" s="1"/>
      <c r="L739" s="1"/>
      <c r="M739" s="1"/>
      <c r="N739" s="1"/>
      <c r="O739" s="1"/>
      <c r="P739" s="1"/>
      <c r="Q739" s="1"/>
      <c r="R739" s="1"/>
      <c r="S739" s="1"/>
      <c r="T739" s="1"/>
    </row>
    <row r="740" ht="14.25" customHeight="1">
      <c r="A740" s="52"/>
      <c r="B740" s="53"/>
      <c r="C740" s="53"/>
      <c r="D740" s="53"/>
      <c r="E740" s="53"/>
      <c r="F740" s="53"/>
      <c r="G740" s="1"/>
      <c r="H740" s="1"/>
      <c r="I740" s="1"/>
      <c r="J740" s="1"/>
      <c r="K740" s="1"/>
      <c r="L740" s="1"/>
      <c r="M740" s="1"/>
      <c r="N740" s="1"/>
      <c r="O740" s="1"/>
      <c r="P740" s="1"/>
      <c r="Q740" s="1"/>
      <c r="R740" s="1"/>
      <c r="S740" s="1"/>
      <c r="T740" s="1"/>
    </row>
    <row r="741" ht="14.25" customHeight="1">
      <c r="A741" s="52"/>
      <c r="B741" s="53"/>
      <c r="C741" s="53"/>
      <c r="D741" s="53"/>
      <c r="E741" s="53"/>
      <c r="F741" s="53"/>
      <c r="G741" s="1"/>
      <c r="H741" s="1"/>
      <c r="I741" s="1"/>
      <c r="J741" s="1"/>
      <c r="K741" s="1"/>
      <c r="L741" s="1"/>
      <c r="M741" s="1"/>
      <c r="N741" s="1"/>
      <c r="O741" s="1"/>
      <c r="P741" s="1"/>
      <c r="Q741" s="1"/>
      <c r="R741" s="1"/>
      <c r="S741" s="1"/>
      <c r="T741" s="1"/>
    </row>
    <row r="742" ht="14.25" customHeight="1">
      <c r="A742" s="52"/>
      <c r="B742" s="53"/>
      <c r="C742" s="53"/>
      <c r="D742" s="53"/>
      <c r="E742" s="53"/>
      <c r="F742" s="53"/>
      <c r="G742" s="1"/>
      <c r="H742" s="1"/>
      <c r="I742" s="1"/>
      <c r="J742" s="1"/>
      <c r="K742" s="1"/>
      <c r="L742" s="1"/>
      <c r="M742" s="1"/>
      <c r="N742" s="1"/>
      <c r="O742" s="1"/>
      <c r="P742" s="1"/>
      <c r="Q742" s="1"/>
      <c r="R742" s="1"/>
      <c r="S742" s="1"/>
      <c r="T742" s="1"/>
    </row>
    <row r="743" ht="14.25" customHeight="1">
      <c r="A743" s="52"/>
      <c r="B743" s="53"/>
      <c r="C743" s="53"/>
      <c r="D743" s="53"/>
      <c r="E743" s="53"/>
      <c r="F743" s="53"/>
      <c r="G743" s="1"/>
      <c r="H743" s="1"/>
      <c r="I743" s="1"/>
      <c r="J743" s="1"/>
      <c r="K743" s="1"/>
      <c r="L743" s="1"/>
      <c r="M743" s="1"/>
      <c r="N743" s="1"/>
      <c r="O743" s="1"/>
      <c r="P743" s="1"/>
      <c r="Q743" s="1"/>
      <c r="R743" s="1"/>
      <c r="S743" s="1"/>
      <c r="T743" s="1"/>
    </row>
    <row r="744" ht="14.25" customHeight="1">
      <c r="A744" s="52"/>
      <c r="B744" s="53"/>
      <c r="C744" s="53"/>
      <c r="D744" s="53"/>
      <c r="E744" s="53"/>
      <c r="F744" s="53"/>
      <c r="G744" s="1"/>
      <c r="H744" s="1"/>
      <c r="I744" s="1"/>
      <c r="J744" s="1"/>
      <c r="K744" s="1"/>
      <c r="L744" s="1"/>
      <c r="M744" s="1"/>
      <c r="N744" s="1"/>
      <c r="O744" s="1"/>
      <c r="P744" s="1"/>
      <c r="Q744" s="1"/>
      <c r="R744" s="1"/>
      <c r="S744" s="1"/>
      <c r="T744" s="1"/>
    </row>
    <row r="745" ht="14.25" customHeight="1">
      <c r="A745" s="52"/>
      <c r="B745" s="53"/>
      <c r="C745" s="53"/>
      <c r="D745" s="53"/>
      <c r="E745" s="53"/>
      <c r="F745" s="53"/>
      <c r="G745" s="1"/>
      <c r="H745" s="1"/>
      <c r="I745" s="1"/>
      <c r="J745" s="1"/>
      <c r="K745" s="1"/>
      <c r="L745" s="1"/>
      <c r="M745" s="1"/>
      <c r="N745" s="1"/>
      <c r="O745" s="1"/>
      <c r="P745" s="1"/>
      <c r="Q745" s="1"/>
      <c r="R745" s="1"/>
      <c r="S745" s="1"/>
      <c r="T745" s="1"/>
    </row>
    <row r="746" ht="14.25" customHeight="1">
      <c r="A746" s="52"/>
      <c r="B746" s="53"/>
      <c r="C746" s="53"/>
      <c r="D746" s="53"/>
      <c r="E746" s="53"/>
      <c r="F746" s="53"/>
      <c r="G746" s="1"/>
      <c r="H746" s="1"/>
      <c r="I746" s="1"/>
      <c r="J746" s="1"/>
      <c r="K746" s="1"/>
      <c r="L746" s="1"/>
      <c r="M746" s="1"/>
      <c r="N746" s="1"/>
      <c r="O746" s="1"/>
      <c r="P746" s="1"/>
      <c r="Q746" s="1"/>
      <c r="R746" s="1"/>
      <c r="S746" s="1"/>
      <c r="T746" s="1"/>
    </row>
    <row r="747" ht="14.25" customHeight="1">
      <c r="A747" s="52"/>
      <c r="B747" s="53"/>
      <c r="C747" s="53"/>
      <c r="D747" s="53"/>
      <c r="E747" s="53"/>
      <c r="F747" s="53"/>
      <c r="G747" s="1"/>
      <c r="H747" s="1"/>
      <c r="I747" s="1"/>
      <c r="J747" s="1"/>
      <c r="K747" s="1"/>
      <c r="L747" s="1"/>
      <c r="M747" s="1"/>
      <c r="N747" s="1"/>
      <c r="O747" s="1"/>
      <c r="P747" s="1"/>
      <c r="Q747" s="1"/>
      <c r="R747" s="1"/>
      <c r="S747" s="1"/>
      <c r="T747" s="1"/>
    </row>
    <row r="748" ht="14.25" customHeight="1">
      <c r="A748" s="52"/>
      <c r="B748" s="53"/>
      <c r="C748" s="53"/>
      <c r="D748" s="53"/>
      <c r="E748" s="53"/>
      <c r="F748" s="53"/>
      <c r="G748" s="1"/>
      <c r="H748" s="1"/>
      <c r="I748" s="1"/>
      <c r="J748" s="1"/>
      <c r="K748" s="1"/>
      <c r="L748" s="1"/>
      <c r="M748" s="1"/>
      <c r="N748" s="1"/>
      <c r="O748" s="1"/>
      <c r="P748" s="1"/>
      <c r="Q748" s="1"/>
      <c r="R748" s="1"/>
      <c r="S748" s="1"/>
      <c r="T748" s="1"/>
    </row>
    <row r="749" ht="14.25" customHeight="1">
      <c r="A749" s="52"/>
      <c r="B749" s="53"/>
      <c r="C749" s="53"/>
      <c r="D749" s="53"/>
      <c r="E749" s="53"/>
      <c r="F749" s="53"/>
      <c r="G749" s="1"/>
      <c r="H749" s="1"/>
      <c r="I749" s="1"/>
      <c r="J749" s="1"/>
      <c r="K749" s="1"/>
      <c r="L749" s="1"/>
      <c r="M749" s="1"/>
      <c r="N749" s="1"/>
      <c r="O749" s="1"/>
      <c r="P749" s="1"/>
      <c r="Q749" s="1"/>
      <c r="R749" s="1"/>
      <c r="S749" s="1"/>
      <c r="T749" s="1"/>
    </row>
    <row r="750" ht="14.25" customHeight="1">
      <c r="A750" s="52"/>
      <c r="B750" s="53"/>
      <c r="C750" s="53"/>
      <c r="D750" s="53"/>
      <c r="E750" s="53"/>
      <c r="F750" s="53"/>
      <c r="G750" s="1"/>
      <c r="H750" s="1"/>
      <c r="I750" s="1"/>
      <c r="J750" s="1"/>
      <c r="K750" s="1"/>
      <c r="L750" s="1"/>
      <c r="M750" s="1"/>
      <c r="N750" s="1"/>
      <c r="O750" s="1"/>
      <c r="P750" s="1"/>
      <c r="Q750" s="1"/>
      <c r="R750" s="1"/>
      <c r="S750" s="1"/>
      <c r="T750" s="1"/>
    </row>
    <row r="751" ht="14.25" customHeight="1">
      <c r="A751" s="52"/>
      <c r="B751" s="53"/>
      <c r="C751" s="53"/>
      <c r="D751" s="53"/>
      <c r="E751" s="53"/>
      <c r="F751" s="53"/>
      <c r="G751" s="1"/>
      <c r="H751" s="1"/>
      <c r="I751" s="1"/>
      <c r="J751" s="1"/>
      <c r="K751" s="1"/>
      <c r="L751" s="1"/>
      <c r="M751" s="1"/>
      <c r="N751" s="1"/>
      <c r="O751" s="1"/>
      <c r="P751" s="1"/>
      <c r="Q751" s="1"/>
      <c r="R751" s="1"/>
      <c r="S751" s="1"/>
      <c r="T751" s="1"/>
    </row>
    <row r="752" ht="14.25" customHeight="1">
      <c r="A752" s="52"/>
      <c r="B752" s="53"/>
      <c r="C752" s="53"/>
      <c r="D752" s="53"/>
      <c r="E752" s="53"/>
      <c r="F752" s="53"/>
      <c r="G752" s="1"/>
      <c r="H752" s="1"/>
      <c r="I752" s="1"/>
      <c r="J752" s="1"/>
      <c r="K752" s="1"/>
      <c r="L752" s="1"/>
      <c r="M752" s="1"/>
      <c r="N752" s="1"/>
      <c r="O752" s="1"/>
      <c r="P752" s="1"/>
      <c r="Q752" s="1"/>
      <c r="R752" s="1"/>
      <c r="S752" s="1"/>
      <c r="T752" s="1"/>
    </row>
    <row r="753" ht="14.25" customHeight="1">
      <c r="A753" s="52"/>
      <c r="B753" s="53"/>
      <c r="C753" s="53"/>
      <c r="D753" s="53"/>
      <c r="E753" s="53"/>
      <c r="F753" s="53"/>
      <c r="G753" s="1"/>
      <c r="H753" s="1"/>
      <c r="I753" s="1"/>
      <c r="J753" s="1"/>
      <c r="K753" s="1"/>
      <c r="L753" s="1"/>
      <c r="M753" s="1"/>
      <c r="N753" s="1"/>
      <c r="O753" s="1"/>
      <c r="P753" s="1"/>
      <c r="Q753" s="1"/>
      <c r="R753" s="1"/>
      <c r="S753" s="1"/>
      <c r="T753" s="1"/>
    </row>
    <row r="754" ht="14.25" customHeight="1">
      <c r="A754" s="52"/>
      <c r="B754" s="53"/>
      <c r="C754" s="53"/>
      <c r="D754" s="53"/>
      <c r="E754" s="53"/>
      <c r="F754" s="53"/>
      <c r="G754" s="1"/>
      <c r="H754" s="1"/>
      <c r="I754" s="1"/>
      <c r="J754" s="1"/>
      <c r="K754" s="1"/>
      <c r="L754" s="1"/>
      <c r="M754" s="1"/>
      <c r="N754" s="1"/>
      <c r="O754" s="1"/>
      <c r="P754" s="1"/>
      <c r="Q754" s="1"/>
      <c r="R754" s="1"/>
      <c r="S754" s="1"/>
      <c r="T754" s="1"/>
    </row>
    <row r="755" ht="14.25" customHeight="1">
      <c r="A755" s="52"/>
      <c r="B755" s="53"/>
      <c r="C755" s="53"/>
      <c r="D755" s="53"/>
      <c r="E755" s="53"/>
      <c r="F755" s="53"/>
      <c r="G755" s="1"/>
      <c r="H755" s="1"/>
      <c r="I755" s="1"/>
      <c r="J755" s="1"/>
      <c r="K755" s="1"/>
      <c r="L755" s="1"/>
      <c r="M755" s="1"/>
      <c r="N755" s="1"/>
      <c r="O755" s="1"/>
      <c r="P755" s="1"/>
      <c r="Q755" s="1"/>
      <c r="R755" s="1"/>
      <c r="S755" s="1"/>
      <c r="T755" s="1"/>
    </row>
    <row r="756" ht="14.25" customHeight="1">
      <c r="A756" s="52"/>
      <c r="B756" s="53"/>
      <c r="C756" s="53"/>
      <c r="D756" s="53"/>
      <c r="E756" s="53"/>
      <c r="F756" s="53"/>
      <c r="G756" s="1"/>
      <c r="H756" s="1"/>
      <c r="I756" s="1"/>
      <c r="J756" s="1"/>
      <c r="K756" s="1"/>
      <c r="L756" s="1"/>
      <c r="M756" s="1"/>
      <c r="N756" s="1"/>
      <c r="O756" s="1"/>
      <c r="P756" s="1"/>
      <c r="Q756" s="1"/>
      <c r="R756" s="1"/>
      <c r="S756" s="1"/>
      <c r="T756" s="1"/>
    </row>
    <row r="757" ht="14.25" customHeight="1">
      <c r="A757" s="52"/>
      <c r="B757" s="53"/>
      <c r="C757" s="53"/>
      <c r="D757" s="53"/>
      <c r="E757" s="53"/>
      <c r="F757" s="53"/>
      <c r="G757" s="1"/>
      <c r="H757" s="1"/>
      <c r="I757" s="1"/>
      <c r="J757" s="1"/>
      <c r="K757" s="1"/>
      <c r="L757" s="1"/>
      <c r="M757" s="1"/>
      <c r="N757" s="1"/>
      <c r="O757" s="1"/>
      <c r="P757" s="1"/>
      <c r="Q757" s="1"/>
      <c r="R757" s="1"/>
      <c r="S757" s="1"/>
      <c r="T757" s="1"/>
    </row>
    <row r="758" ht="14.25" customHeight="1">
      <c r="A758" s="52"/>
      <c r="B758" s="53"/>
      <c r="C758" s="53"/>
      <c r="D758" s="53"/>
      <c r="E758" s="53"/>
      <c r="F758" s="53"/>
      <c r="G758" s="1"/>
      <c r="H758" s="1"/>
      <c r="I758" s="1"/>
      <c r="J758" s="1"/>
      <c r="K758" s="1"/>
      <c r="L758" s="1"/>
      <c r="M758" s="1"/>
      <c r="N758" s="1"/>
      <c r="O758" s="1"/>
      <c r="P758" s="1"/>
      <c r="Q758" s="1"/>
      <c r="R758" s="1"/>
      <c r="S758" s="1"/>
      <c r="T758" s="1"/>
    </row>
    <row r="759" ht="14.25" customHeight="1">
      <c r="A759" s="52"/>
      <c r="B759" s="53"/>
      <c r="C759" s="53"/>
      <c r="D759" s="53"/>
      <c r="E759" s="53"/>
      <c r="F759" s="53"/>
      <c r="G759" s="1"/>
      <c r="H759" s="1"/>
      <c r="I759" s="1"/>
      <c r="J759" s="1"/>
      <c r="K759" s="1"/>
      <c r="L759" s="1"/>
      <c r="M759" s="1"/>
      <c r="N759" s="1"/>
      <c r="O759" s="1"/>
      <c r="P759" s="1"/>
      <c r="Q759" s="1"/>
      <c r="R759" s="1"/>
      <c r="S759" s="1"/>
      <c r="T759" s="1"/>
    </row>
    <row r="760" ht="14.25" customHeight="1">
      <c r="A760" s="52"/>
      <c r="B760" s="53"/>
      <c r="C760" s="53"/>
      <c r="D760" s="53"/>
      <c r="E760" s="53"/>
      <c r="F760" s="53"/>
      <c r="G760" s="1"/>
      <c r="H760" s="1"/>
      <c r="I760" s="1"/>
      <c r="J760" s="1"/>
      <c r="K760" s="1"/>
      <c r="L760" s="1"/>
      <c r="M760" s="1"/>
      <c r="N760" s="1"/>
      <c r="O760" s="1"/>
      <c r="P760" s="1"/>
      <c r="Q760" s="1"/>
      <c r="R760" s="1"/>
      <c r="S760" s="1"/>
      <c r="T760" s="1"/>
    </row>
    <row r="761" ht="14.25" customHeight="1">
      <c r="A761" s="52"/>
      <c r="B761" s="53"/>
      <c r="C761" s="53"/>
      <c r="D761" s="53"/>
      <c r="E761" s="53"/>
      <c r="F761" s="53"/>
      <c r="G761" s="1"/>
      <c r="H761" s="1"/>
      <c r="I761" s="1"/>
      <c r="J761" s="1"/>
      <c r="K761" s="1"/>
      <c r="L761" s="1"/>
      <c r="M761" s="1"/>
      <c r="N761" s="1"/>
      <c r="O761" s="1"/>
      <c r="P761" s="1"/>
      <c r="Q761" s="1"/>
      <c r="R761" s="1"/>
      <c r="S761" s="1"/>
      <c r="T761" s="1"/>
    </row>
    <row r="762" ht="14.25" customHeight="1">
      <c r="A762" s="52"/>
      <c r="B762" s="53"/>
      <c r="C762" s="53"/>
      <c r="D762" s="53"/>
      <c r="E762" s="53"/>
      <c r="F762" s="53"/>
      <c r="G762" s="1"/>
      <c r="H762" s="1"/>
      <c r="I762" s="1"/>
      <c r="J762" s="1"/>
      <c r="K762" s="1"/>
      <c r="L762" s="1"/>
      <c r="M762" s="1"/>
      <c r="N762" s="1"/>
      <c r="O762" s="1"/>
      <c r="P762" s="1"/>
      <c r="Q762" s="1"/>
      <c r="R762" s="1"/>
      <c r="S762" s="1"/>
      <c r="T762" s="1"/>
    </row>
    <row r="763" ht="14.25" customHeight="1">
      <c r="A763" s="52"/>
      <c r="B763" s="53"/>
      <c r="C763" s="53"/>
      <c r="D763" s="53"/>
      <c r="E763" s="53"/>
      <c r="F763" s="53"/>
      <c r="G763" s="1"/>
      <c r="H763" s="1"/>
      <c r="I763" s="1"/>
      <c r="J763" s="1"/>
      <c r="K763" s="1"/>
      <c r="L763" s="1"/>
      <c r="M763" s="1"/>
      <c r="N763" s="1"/>
      <c r="O763" s="1"/>
      <c r="P763" s="1"/>
      <c r="Q763" s="1"/>
      <c r="R763" s="1"/>
      <c r="S763" s="1"/>
      <c r="T763" s="1"/>
    </row>
    <row r="764" ht="14.25" customHeight="1">
      <c r="A764" s="52"/>
      <c r="B764" s="53"/>
      <c r="C764" s="53"/>
      <c r="D764" s="53"/>
      <c r="E764" s="53"/>
      <c r="F764" s="53"/>
      <c r="G764" s="1"/>
      <c r="H764" s="1"/>
      <c r="I764" s="1"/>
      <c r="J764" s="1"/>
      <c r="K764" s="1"/>
      <c r="L764" s="1"/>
      <c r="M764" s="1"/>
      <c r="N764" s="1"/>
      <c r="O764" s="1"/>
      <c r="P764" s="1"/>
      <c r="Q764" s="1"/>
      <c r="R764" s="1"/>
      <c r="S764" s="1"/>
      <c r="T764" s="1"/>
    </row>
    <row r="765" ht="14.25" customHeight="1">
      <c r="A765" s="52"/>
      <c r="B765" s="53"/>
      <c r="C765" s="53"/>
      <c r="D765" s="53"/>
      <c r="E765" s="53"/>
      <c r="F765" s="53"/>
      <c r="G765" s="1"/>
      <c r="H765" s="1"/>
      <c r="I765" s="1"/>
      <c r="J765" s="1"/>
      <c r="K765" s="1"/>
      <c r="L765" s="1"/>
      <c r="M765" s="1"/>
      <c r="N765" s="1"/>
      <c r="O765" s="1"/>
      <c r="P765" s="1"/>
      <c r="Q765" s="1"/>
      <c r="R765" s="1"/>
      <c r="S765" s="1"/>
      <c r="T765" s="1"/>
    </row>
    <row r="766" ht="14.25" customHeight="1">
      <c r="A766" s="52"/>
      <c r="B766" s="53"/>
      <c r="C766" s="53"/>
      <c r="D766" s="53"/>
      <c r="E766" s="53"/>
      <c r="F766" s="53"/>
      <c r="G766" s="1"/>
      <c r="H766" s="1"/>
      <c r="I766" s="1"/>
      <c r="J766" s="1"/>
      <c r="K766" s="1"/>
      <c r="L766" s="1"/>
      <c r="M766" s="1"/>
      <c r="N766" s="1"/>
      <c r="O766" s="1"/>
      <c r="P766" s="1"/>
      <c r="Q766" s="1"/>
      <c r="R766" s="1"/>
      <c r="S766" s="1"/>
      <c r="T766" s="1"/>
    </row>
    <row r="767" ht="14.25" customHeight="1">
      <c r="A767" s="52"/>
      <c r="B767" s="53"/>
      <c r="C767" s="53"/>
      <c r="D767" s="53"/>
      <c r="E767" s="53"/>
      <c r="F767" s="53"/>
      <c r="G767" s="1"/>
      <c r="H767" s="1"/>
      <c r="I767" s="1"/>
      <c r="J767" s="1"/>
      <c r="K767" s="1"/>
      <c r="L767" s="1"/>
      <c r="M767" s="1"/>
      <c r="N767" s="1"/>
      <c r="O767" s="1"/>
      <c r="P767" s="1"/>
      <c r="Q767" s="1"/>
      <c r="R767" s="1"/>
      <c r="S767" s="1"/>
      <c r="T767" s="1"/>
    </row>
    <row r="768" ht="14.25" customHeight="1">
      <c r="A768" s="52"/>
      <c r="B768" s="53"/>
      <c r="C768" s="53"/>
      <c r="D768" s="53"/>
      <c r="E768" s="53"/>
      <c r="F768" s="53"/>
      <c r="G768" s="1"/>
      <c r="H768" s="1"/>
      <c r="I768" s="1"/>
      <c r="J768" s="1"/>
      <c r="K768" s="1"/>
      <c r="L768" s="1"/>
      <c r="M768" s="1"/>
      <c r="N768" s="1"/>
      <c r="O768" s="1"/>
      <c r="P768" s="1"/>
      <c r="Q768" s="1"/>
      <c r="R768" s="1"/>
      <c r="S768" s="1"/>
      <c r="T768" s="1"/>
    </row>
    <row r="769" ht="14.25" customHeight="1">
      <c r="A769" s="52"/>
      <c r="B769" s="53"/>
      <c r="C769" s="53"/>
      <c r="D769" s="53"/>
      <c r="E769" s="53"/>
      <c r="F769" s="53"/>
      <c r="G769" s="1"/>
      <c r="H769" s="1"/>
      <c r="I769" s="1"/>
      <c r="J769" s="1"/>
      <c r="K769" s="1"/>
      <c r="L769" s="1"/>
      <c r="M769" s="1"/>
      <c r="N769" s="1"/>
      <c r="O769" s="1"/>
      <c r="P769" s="1"/>
      <c r="Q769" s="1"/>
      <c r="R769" s="1"/>
      <c r="S769" s="1"/>
      <c r="T769" s="1"/>
    </row>
    <row r="770" ht="14.25" customHeight="1">
      <c r="A770" s="52"/>
      <c r="B770" s="53"/>
      <c r="C770" s="53"/>
      <c r="D770" s="53"/>
      <c r="E770" s="53"/>
      <c r="F770" s="53"/>
      <c r="G770" s="1"/>
      <c r="H770" s="1"/>
      <c r="I770" s="1"/>
      <c r="J770" s="1"/>
      <c r="K770" s="1"/>
      <c r="L770" s="1"/>
      <c r="M770" s="1"/>
      <c r="N770" s="1"/>
      <c r="O770" s="1"/>
      <c r="P770" s="1"/>
      <c r="Q770" s="1"/>
      <c r="R770" s="1"/>
      <c r="S770" s="1"/>
      <c r="T770" s="1"/>
    </row>
    <row r="771" ht="14.25" customHeight="1">
      <c r="A771" s="52"/>
      <c r="B771" s="53"/>
      <c r="C771" s="53"/>
      <c r="D771" s="53"/>
      <c r="E771" s="53"/>
      <c r="F771" s="53"/>
      <c r="G771" s="1"/>
      <c r="H771" s="1"/>
      <c r="I771" s="1"/>
      <c r="J771" s="1"/>
      <c r="K771" s="1"/>
      <c r="L771" s="1"/>
      <c r="M771" s="1"/>
      <c r="N771" s="1"/>
      <c r="O771" s="1"/>
      <c r="P771" s="1"/>
      <c r="Q771" s="1"/>
      <c r="R771" s="1"/>
      <c r="S771" s="1"/>
      <c r="T771" s="1"/>
    </row>
    <row r="772" ht="14.25" customHeight="1">
      <c r="A772" s="52"/>
      <c r="B772" s="53"/>
      <c r="C772" s="53"/>
      <c r="D772" s="53"/>
      <c r="E772" s="53"/>
      <c r="F772" s="53"/>
      <c r="G772" s="1"/>
      <c r="H772" s="1"/>
      <c r="I772" s="1"/>
      <c r="J772" s="1"/>
      <c r="K772" s="1"/>
      <c r="L772" s="1"/>
      <c r="M772" s="1"/>
      <c r="N772" s="1"/>
      <c r="O772" s="1"/>
      <c r="P772" s="1"/>
      <c r="Q772" s="1"/>
      <c r="R772" s="1"/>
      <c r="S772" s="1"/>
      <c r="T772" s="1"/>
    </row>
    <row r="773" ht="14.25" customHeight="1">
      <c r="A773" s="52"/>
      <c r="B773" s="53"/>
      <c r="C773" s="53"/>
      <c r="D773" s="53"/>
      <c r="E773" s="53"/>
      <c r="F773" s="53"/>
      <c r="G773" s="1"/>
      <c r="H773" s="1"/>
      <c r="I773" s="1"/>
      <c r="J773" s="1"/>
      <c r="K773" s="1"/>
      <c r="L773" s="1"/>
      <c r="M773" s="1"/>
      <c r="N773" s="1"/>
      <c r="O773" s="1"/>
      <c r="P773" s="1"/>
      <c r="Q773" s="1"/>
      <c r="R773" s="1"/>
      <c r="S773" s="1"/>
      <c r="T773" s="1"/>
    </row>
    <row r="774" ht="14.25" customHeight="1">
      <c r="A774" s="52"/>
      <c r="B774" s="53"/>
      <c r="C774" s="53"/>
      <c r="D774" s="53"/>
      <c r="E774" s="53"/>
      <c r="F774" s="53"/>
      <c r="G774" s="1"/>
      <c r="H774" s="1"/>
      <c r="I774" s="1"/>
      <c r="J774" s="1"/>
      <c r="K774" s="1"/>
      <c r="L774" s="1"/>
      <c r="M774" s="1"/>
      <c r="N774" s="1"/>
      <c r="O774" s="1"/>
      <c r="P774" s="1"/>
      <c r="Q774" s="1"/>
      <c r="R774" s="1"/>
      <c r="S774" s="1"/>
      <c r="T774" s="1"/>
    </row>
    <row r="775" ht="14.25" customHeight="1">
      <c r="A775" s="52"/>
      <c r="B775" s="53"/>
      <c r="C775" s="53"/>
      <c r="D775" s="53"/>
      <c r="E775" s="53"/>
      <c r="F775" s="53"/>
      <c r="G775" s="1"/>
      <c r="H775" s="1"/>
      <c r="I775" s="1"/>
      <c r="J775" s="1"/>
      <c r="K775" s="1"/>
      <c r="L775" s="1"/>
      <c r="M775" s="1"/>
      <c r="N775" s="1"/>
      <c r="O775" s="1"/>
      <c r="P775" s="1"/>
      <c r="Q775" s="1"/>
      <c r="R775" s="1"/>
      <c r="S775" s="1"/>
      <c r="T775" s="1"/>
    </row>
    <row r="776" ht="14.25" customHeight="1">
      <c r="A776" s="52"/>
      <c r="B776" s="53"/>
      <c r="C776" s="53"/>
      <c r="D776" s="53"/>
      <c r="E776" s="53"/>
      <c r="F776" s="53"/>
      <c r="G776" s="1"/>
      <c r="H776" s="1"/>
      <c r="I776" s="1"/>
      <c r="J776" s="1"/>
      <c r="K776" s="1"/>
      <c r="L776" s="1"/>
      <c r="M776" s="1"/>
      <c r="N776" s="1"/>
      <c r="O776" s="1"/>
      <c r="P776" s="1"/>
      <c r="Q776" s="1"/>
      <c r="R776" s="1"/>
      <c r="S776" s="1"/>
      <c r="T776" s="1"/>
    </row>
    <row r="777" ht="14.25" customHeight="1">
      <c r="A777" s="52"/>
      <c r="B777" s="53"/>
      <c r="C777" s="53"/>
      <c r="D777" s="53"/>
      <c r="E777" s="53"/>
      <c r="F777" s="53"/>
      <c r="G777" s="1"/>
      <c r="H777" s="1"/>
      <c r="I777" s="1"/>
      <c r="J777" s="1"/>
      <c r="K777" s="1"/>
      <c r="L777" s="1"/>
      <c r="M777" s="1"/>
      <c r="N777" s="1"/>
      <c r="O777" s="1"/>
      <c r="P777" s="1"/>
      <c r="Q777" s="1"/>
      <c r="R777" s="1"/>
      <c r="S777" s="1"/>
      <c r="T777" s="1"/>
    </row>
    <row r="778" ht="14.25" customHeight="1">
      <c r="A778" s="52"/>
      <c r="B778" s="53"/>
      <c r="C778" s="53"/>
      <c r="D778" s="53"/>
      <c r="E778" s="53"/>
      <c r="F778" s="53"/>
      <c r="G778" s="1"/>
      <c r="H778" s="1"/>
      <c r="I778" s="1"/>
      <c r="J778" s="1"/>
      <c r="K778" s="1"/>
      <c r="L778" s="1"/>
      <c r="M778" s="1"/>
      <c r="N778" s="1"/>
      <c r="O778" s="1"/>
      <c r="P778" s="1"/>
      <c r="Q778" s="1"/>
      <c r="R778" s="1"/>
      <c r="S778" s="1"/>
      <c r="T778" s="1"/>
    </row>
    <row r="779" ht="14.25" customHeight="1">
      <c r="A779" s="52"/>
      <c r="B779" s="53"/>
      <c r="C779" s="53"/>
      <c r="D779" s="53"/>
      <c r="E779" s="53"/>
      <c r="F779" s="53"/>
      <c r="G779" s="1"/>
      <c r="H779" s="1"/>
      <c r="I779" s="1"/>
      <c r="J779" s="1"/>
      <c r="K779" s="1"/>
      <c r="L779" s="1"/>
      <c r="M779" s="1"/>
      <c r="N779" s="1"/>
      <c r="O779" s="1"/>
      <c r="P779" s="1"/>
      <c r="Q779" s="1"/>
      <c r="R779" s="1"/>
      <c r="S779" s="1"/>
      <c r="T779" s="1"/>
    </row>
    <row r="780" ht="14.25" customHeight="1">
      <c r="A780" s="52"/>
      <c r="B780" s="53"/>
      <c r="C780" s="53"/>
      <c r="D780" s="53"/>
      <c r="E780" s="53"/>
      <c r="F780" s="53"/>
      <c r="G780" s="1"/>
      <c r="H780" s="1"/>
      <c r="I780" s="1"/>
      <c r="J780" s="1"/>
      <c r="K780" s="1"/>
      <c r="L780" s="1"/>
      <c r="M780" s="1"/>
      <c r="N780" s="1"/>
      <c r="O780" s="1"/>
      <c r="P780" s="1"/>
      <c r="Q780" s="1"/>
      <c r="R780" s="1"/>
      <c r="S780" s="1"/>
      <c r="T780" s="1"/>
    </row>
    <row r="781" ht="14.25" customHeight="1">
      <c r="A781" s="52"/>
      <c r="B781" s="53"/>
      <c r="C781" s="53"/>
      <c r="D781" s="53"/>
      <c r="E781" s="53"/>
      <c r="F781" s="53"/>
      <c r="G781" s="1"/>
      <c r="H781" s="1"/>
      <c r="I781" s="1"/>
      <c r="J781" s="1"/>
      <c r="K781" s="1"/>
      <c r="L781" s="1"/>
      <c r="M781" s="1"/>
      <c r="N781" s="1"/>
      <c r="O781" s="1"/>
      <c r="P781" s="1"/>
      <c r="Q781" s="1"/>
      <c r="R781" s="1"/>
      <c r="S781" s="1"/>
      <c r="T781" s="1"/>
    </row>
    <row r="782" ht="14.25" customHeight="1">
      <c r="A782" s="52"/>
      <c r="B782" s="53"/>
      <c r="C782" s="53"/>
      <c r="D782" s="53"/>
      <c r="E782" s="53"/>
      <c r="F782" s="53"/>
      <c r="G782" s="1"/>
      <c r="H782" s="1"/>
      <c r="I782" s="1"/>
      <c r="J782" s="1"/>
      <c r="K782" s="1"/>
      <c r="L782" s="1"/>
      <c r="M782" s="1"/>
      <c r="N782" s="1"/>
      <c r="O782" s="1"/>
      <c r="P782" s="1"/>
      <c r="Q782" s="1"/>
      <c r="R782" s="1"/>
      <c r="S782" s="1"/>
      <c r="T782" s="1"/>
    </row>
    <row r="783" ht="14.25" customHeight="1">
      <c r="A783" s="52"/>
      <c r="B783" s="53"/>
      <c r="C783" s="53"/>
      <c r="D783" s="53"/>
      <c r="E783" s="53"/>
      <c r="F783" s="53"/>
      <c r="G783" s="1"/>
      <c r="H783" s="1"/>
      <c r="I783" s="1"/>
      <c r="J783" s="1"/>
      <c r="K783" s="1"/>
      <c r="L783" s="1"/>
      <c r="M783" s="1"/>
      <c r="N783" s="1"/>
      <c r="O783" s="1"/>
      <c r="P783" s="1"/>
      <c r="Q783" s="1"/>
      <c r="R783" s="1"/>
      <c r="S783" s="1"/>
      <c r="T783" s="1"/>
    </row>
    <row r="784" ht="14.25" customHeight="1">
      <c r="A784" s="52"/>
      <c r="B784" s="53"/>
      <c r="C784" s="53"/>
      <c r="D784" s="53"/>
      <c r="E784" s="53"/>
      <c r="F784" s="53"/>
      <c r="G784" s="1"/>
      <c r="H784" s="1"/>
      <c r="I784" s="1"/>
      <c r="J784" s="1"/>
      <c r="K784" s="1"/>
      <c r="L784" s="1"/>
      <c r="M784" s="1"/>
      <c r="N784" s="1"/>
      <c r="O784" s="1"/>
      <c r="P784" s="1"/>
      <c r="Q784" s="1"/>
      <c r="R784" s="1"/>
      <c r="S784" s="1"/>
      <c r="T784" s="1"/>
    </row>
    <row r="785" ht="14.25" customHeight="1">
      <c r="A785" s="52"/>
      <c r="B785" s="53"/>
      <c r="C785" s="53"/>
      <c r="D785" s="53"/>
      <c r="E785" s="53"/>
      <c r="F785" s="53"/>
      <c r="G785" s="1"/>
      <c r="H785" s="1"/>
      <c r="I785" s="1"/>
      <c r="J785" s="1"/>
      <c r="K785" s="1"/>
      <c r="L785" s="1"/>
      <c r="M785" s="1"/>
      <c r="N785" s="1"/>
      <c r="O785" s="1"/>
      <c r="P785" s="1"/>
      <c r="Q785" s="1"/>
      <c r="R785" s="1"/>
      <c r="S785" s="1"/>
      <c r="T785" s="1"/>
    </row>
    <row r="786" ht="14.25" customHeight="1">
      <c r="A786" s="52"/>
      <c r="B786" s="53"/>
      <c r="C786" s="53"/>
      <c r="D786" s="53"/>
      <c r="E786" s="53"/>
      <c r="F786" s="53"/>
      <c r="G786" s="1"/>
      <c r="H786" s="1"/>
      <c r="I786" s="1"/>
      <c r="J786" s="1"/>
      <c r="K786" s="1"/>
      <c r="L786" s="1"/>
      <c r="M786" s="1"/>
      <c r="N786" s="1"/>
      <c r="O786" s="1"/>
      <c r="P786" s="1"/>
      <c r="Q786" s="1"/>
      <c r="R786" s="1"/>
      <c r="S786" s="1"/>
      <c r="T786" s="1"/>
    </row>
    <row r="787" ht="14.25" customHeight="1">
      <c r="A787" s="52"/>
      <c r="B787" s="53"/>
      <c r="C787" s="53"/>
      <c r="D787" s="53"/>
      <c r="E787" s="53"/>
      <c r="F787" s="53"/>
      <c r="G787" s="1"/>
      <c r="H787" s="1"/>
      <c r="I787" s="1"/>
      <c r="J787" s="1"/>
      <c r="K787" s="1"/>
      <c r="L787" s="1"/>
      <c r="M787" s="1"/>
      <c r="N787" s="1"/>
      <c r="O787" s="1"/>
      <c r="P787" s="1"/>
      <c r="Q787" s="1"/>
      <c r="R787" s="1"/>
      <c r="S787" s="1"/>
      <c r="T787" s="1"/>
    </row>
    <row r="788" ht="14.25" customHeight="1">
      <c r="A788" s="52"/>
      <c r="B788" s="53"/>
      <c r="C788" s="53"/>
      <c r="D788" s="53"/>
      <c r="E788" s="53"/>
      <c r="F788" s="53"/>
      <c r="G788" s="1"/>
      <c r="H788" s="1"/>
      <c r="I788" s="1"/>
      <c r="J788" s="1"/>
      <c r="K788" s="1"/>
      <c r="L788" s="1"/>
      <c r="M788" s="1"/>
      <c r="N788" s="1"/>
      <c r="O788" s="1"/>
      <c r="P788" s="1"/>
      <c r="Q788" s="1"/>
      <c r="R788" s="1"/>
      <c r="S788" s="1"/>
      <c r="T788" s="1"/>
    </row>
    <row r="789" ht="14.25" customHeight="1">
      <c r="A789" s="52"/>
      <c r="B789" s="53"/>
      <c r="C789" s="53"/>
      <c r="D789" s="53"/>
      <c r="E789" s="53"/>
      <c r="F789" s="53"/>
      <c r="G789" s="1"/>
      <c r="H789" s="1"/>
      <c r="I789" s="1"/>
      <c r="J789" s="1"/>
      <c r="K789" s="1"/>
      <c r="L789" s="1"/>
      <c r="M789" s="1"/>
      <c r="N789" s="1"/>
      <c r="O789" s="1"/>
      <c r="P789" s="1"/>
      <c r="Q789" s="1"/>
      <c r="R789" s="1"/>
      <c r="S789" s="1"/>
      <c r="T789" s="1"/>
    </row>
    <row r="790" ht="14.25" customHeight="1">
      <c r="A790" s="52"/>
      <c r="B790" s="53"/>
      <c r="C790" s="53"/>
      <c r="D790" s="53"/>
      <c r="E790" s="53"/>
      <c r="F790" s="53"/>
      <c r="G790" s="1"/>
      <c r="H790" s="1"/>
      <c r="I790" s="1"/>
      <c r="J790" s="1"/>
      <c r="K790" s="1"/>
      <c r="L790" s="1"/>
      <c r="M790" s="1"/>
      <c r="N790" s="1"/>
      <c r="O790" s="1"/>
      <c r="P790" s="1"/>
      <c r="Q790" s="1"/>
      <c r="R790" s="1"/>
      <c r="S790" s="1"/>
      <c r="T790" s="1"/>
    </row>
    <row r="791" ht="14.25" customHeight="1">
      <c r="A791" s="52"/>
      <c r="B791" s="53"/>
      <c r="C791" s="53"/>
      <c r="D791" s="53"/>
      <c r="E791" s="53"/>
      <c r="F791" s="53"/>
      <c r="G791" s="1"/>
      <c r="H791" s="1"/>
      <c r="I791" s="1"/>
      <c r="J791" s="1"/>
      <c r="K791" s="1"/>
      <c r="L791" s="1"/>
      <c r="M791" s="1"/>
      <c r="N791" s="1"/>
      <c r="O791" s="1"/>
      <c r="P791" s="1"/>
      <c r="Q791" s="1"/>
      <c r="R791" s="1"/>
      <c r="S791" s="1"/>
      <c r="T791" s="1"/>
    </row>
    <row r="792" ht="14.25" customHeight="1">
      <c r="A792" s="52"/>
      <c r="B792" s="53"/>
      <c r="C792" s="53"/>
      <c r="D792" s="53"/>
      <c r="E792" s="53"/>
      <c r="F792" s="53"/>
      <c r="G792" s="1"/>
      <c r="H792" s="1"/>
      <c r="I792" s="1"/>
      <c r="J792" s="1"/>
      <c r="K792" s="1"/>
      <c r="L792" s="1"/>
      <c r="M792" s="1"/>
      <c r="N792" s="1"/>
      <c r="O792" s="1"/>
      <c r="P792" s="1"/>
      <c r="Q792" s="1"/>
      <c r="R792" s="1"/>
      <c r="S792" s="1"/>
      <c r="T792" s="1"/>
    </row>
    <row r="793" ht="14.25" customHeight="1">
      <c r="A793" s="52"/>
      <c r="B793" s="53"/>
      <c r="C793" s="53"/>
      <c r="D793" s="53"/>
      <c r="E793" s="53"/>
      <c r="F793" s="53"/>
      <c r="G793" s="1"/>
      <c r="H793" s="1"/>
      <c r="I793" s="1"/>
      <c r="J793" s="1"/>
      <c r="K793" s="1"/>
      <c r="L793" s="1"/>
      <c r="M793" s="1"/>
      <c r="N793" s="1"/>
      <c r="O793" s="1"/>
      <c r="P793" s="1"/>
      <c r="Q793" s="1"/>
      <c r="R793" s="1"/>
      <c r="S793" s="1"/>
      <c r="T793" s="1"/>
    </row>
    <row r="794" ht="14.25" customHeight="1">
      <c r="A794" s="52"/>
      <c r="B794" s="53"/>
      <c r="C794" s="53"/>
      <c r="D794" s="53"/>
      <c r="E794" s="53"/>
      <c r="F794" s="53"/>
      <c r="G794" s="1"/>
      <c r="H794" s="1"/>
      <c r="I794" s="1"/>
      <c r="J794" s="1"/>
      <c r="K794" s="1"/>
      <c r="L794" s="1"/>
      <c r="M794" s="1"/>
      <c r="N794" s="1"/>
      <c r="O794" s="1"/>
      <c r="P794" s="1"/>
      <c r="Q794" s="1"/>
      <c r="R794" s="1"/>
      <c r="S794" s="1"/>
      <c r="T794" s="1"/>
    </row>
    <row r="795" ht="14.25" customHeight="1">
      <c r="A795" s="52"/>
      <c r="B795" s="53"/>
      <c r="C795" s="53"/>
      <c r="D795" s="53"/>
      <c r="E795" s="53"/>
      <c r="F795" s="53"/>
      <c r="G795" s="1"/>
      <c r="H795" s="1"/>
      <c r="I795" s="1"/>
      <c r="J795" s="1"/>
      <c r="K795" s="1"/>
      <c r="L795" s="1"/>
      <c r="M795" s="1"/>
      <c r="N795" s="1"/>
      <c r="O795" s="1"/>
      <c r="P795" s="1"/>
      <c r="Q795" s="1"/>
      <c r="R795" s="1"/>
      <c r="S795" s="1"/>
      <c r="T795" s="1"/>
    </row>
    <row r="796" ht="14.25" customHeight="1">
      <c r="A796" s="52"/>
      <c r="B796" s="53"/>
      <c r="C796" s="53"/>
      <c r="D796" s="53"/>
      <c r="E796" s="53"/>
      <c r="F796" s="53"/>
      <c r="G796" s="1"/>
      <c r="H796" s="1"/>
      <c r="I796" s="1"/>
      <c r="J796" s="1"/>
      <c r="K796" s="1"/>
      <c r="L796" s="1"/>
      <c r="M796" s="1"/>
      <c r="N796" s="1"/>
      <c r="O796" s="1"/>
      <c r="P796" s="1"/>
      <c r="Q796" s="1"/>
      <c r="R796" s="1"/>
      <c r="S796" s="1"/>
      <c r="T796" s="1"/>
    </row>
    <row r="797" ht="14.25" customHeight="1">
      <c r="A797" s="52"/>
      <c r="B797" s="53"/>
      <c r="C797" s="53"/>
      <c r="D797" s="53"/>
      <c r="E797" s="53"/>
      <c r="F797" s="53"/>
      <c r="G797" s="1"/>
      <c r="H797" s="1"/>
      <c r="I797" s="1"/>
      <c r="J797" s="1"/>
      <c r="K797" s="1"/>
      <c r="L797" s="1"/>
      <c r="M797" s="1"/>
      <c r="N797" s="1"/>
      <c r="O797" s="1"/>
      <c r="P797" s="1"/>
      <c r="Q797" s="1"/>
      <c r="R797" s="1"/>
      <c r="S797" s="1"/>
      <c r="T797" s="1"/>
    </row>
    <row r="798" ht="14.25" customHeight="1">
      <c r="A798" s="52"/>
      <c r="B798" s="53"/>
      <c r="C798" s="53"/>
      <c r="D798" s="53"/>
      <c r="E798" s="53"/>
      <c r="F798" s="53"/>
      <c r="G798" s="1"/>
      <c r="H798" s="1"/>
      <c r="I798" s="1"/>
      <c r="J798" s="1"/>
      <c r="K798" s="1"/>
      <c r="L798" s="1"/>
      <c r="M798" s="1"/>
      <c r="N798" s="1"/>
      <c r="O798" s="1"/>
      <c r="P798" s="1"/>
      <c r="Q798" s="1"/>
      <c r="R798" s="1"/>
      <c r="S798" s="1"/>
      <c r="T798" s="1"/>
    </row>
    <row r="799" ht="14.25" customHeight="1">
      <c r="A799" s="52"/>
      <c r="B799" s="53"/>
      <c r="C799" s="53"/>
      <c r="D799" s="53"/>
      <c r="E799" s="53"/>
      <c r="F799" s="53"/>
      <c r="G799" s="1"/>
      <c r="H799" s="1"/>
      <c r="I799" s="1"/>
      <c r="J799" s="1"/>
      <c r="K799" s="1"/>
      <c r="L799" s="1"/>
      <c r="M799" s="1"/>
      <c r="N799" s="1"/>
      <c r="O799" s="1"/>
      <c r="P799" s="1"/>
      <c r="Q799" s="1"/>
      <c r="R799" s="1"/>
      <c r="S799" s="1"/>
      <c r="T799" s="1"/>
    </row>
    <row r="800" ht="14.25" customHeight="1">
      <c r="A800" s="52"/>
      <c r="B800" s="53"/>
      <c r="C800" s="53"/>
      <c r="D800" s="53"/>
      <c r="E800" s="53"/>
      <c r="F800" s="53"/>
      <c r="G800" s="1"/>
      <c r="H800" s="1"/>
      <c r="I800" s="1"/>
      <c r="J800" s="1"/>
      <c r="K800" s="1"/>
      <c r="L800" s="1"/>
      <c r="M800" s="1"/>
      <c r="N800" s="1"/>
      <c r="O800" s="1"/>
      <c r="P800" s="1"/>
      <c r="Q800" s="1"/>
      <c r="R800" s="1"/>
      <c r="S800" s="1"/>
      <c r="T800" s="1"/>
    </row>
    <row r="801" ht="14.25" customHeight="1">
      <c r="A801" s="52"/>
      <c r="B801" s="53"/>
      <c r="C801" s="53"/>
      <c r="D801" s="53"/>
      <c r="E801" s="53"/>
      <c r="F801" s="53"/>
      <c r="G801" s="1"/>
      <c r="H801" s="1"/>
      <c r="I801" s="1"/>
      <c r="J801" s="1"/>
      <c r="K801" s="1"/>
      <c r="L801" s="1"/>
      <c r="M801" s="1"/>
      <c r="N801" s="1"/>
      <c r="O801" s="1"/>
      <c r="P801" s="1"/>
      <c r="Q801" s="1"/>
      <c r="R801" s="1"/>
      <c r="S801" s="1"/>
      <c r="T801" s="1"/>
    </row>
    <row r="802" ht="14.25" customHeight="1">
      <c r="A802" s="52"/>
      <c r="B802" s="53"/>
      <c r="C802" s="53"/>
      <c r="D802" s="53"/>
      <c r="E802" s="53"/>
      <c r="F802" s="53"/>
      <c r="G802" s="1"/>
      <c r="H802" s="1"/>
      <c r="I802" s="1"/>
      <c r="J802" s="1"/>
      <c r="K802" s="1"/>
      <c r="L802" s="1"/>
      <c r="M802" s="1"/>
      <c r="N802" s="1"/>
      <c r="O802" s="1"/>
      <c r="P802" s="1"/>
      <c r="Q802" s="1"/>
      <c r="R802" s="1"/>
      <c r="S802" s="1"/>
      <c r="T802" s="1"/>
    </row>
    <row r="803" ht="14.25" customHeight="1">
      <c r="A803" s="52"/>
      <c r="B803" s="53"/>
      <c r="C803" s="53"/>
      <c r="D803" s="53"/>
      <c r="E803" s="53"/>
      <c r="F803" s="53"/>
      <c r="G803" s="1"/>
      <c r="H803" s="1"/>
      <c r="I803" s="1"/>
      <c r="J803" s="1"/>
      <c r="K803" s="1"/>
      <c r="L803" s="1"/>
      <c r="M803" s="1"/>
      <c r="N803" s="1"/>
      <c r="O803" s="1"/>
      <c r="P803" s="1"/>
      <c r="Q803" s="1"/>
      <c r="R803" s="1"/>
      <c r="S803" s="1"/>
      <c r="T803" s="1"/>
    </row>
    <row r="804" ht="14.25" customHeight="1">
      <c r="A804" s="52"/>
      <c r="B804" s="53"/>
      <c r="C804" s="53"/>
      <c r="D804" s="53"/>
      <c r="E804" s="53"/>
      <c r="F804" s="53"/>
      <c r="G804" s="1"/>
      <c r="H804" s="1"/>
      <c r="I804" s="1"/>
      <c r="J804" s="1"/>
      <c r="K804" s="1"/>
      <c r="L804" s="1"/>
      <c r="M804" s="1"/>
      <c r="N804" s="1"/>
      <c r="O804" s="1"/>
      <c r="P804" s="1"/>
      <c r="Q804" s="1"/>
      <c r="R804" s="1"/>
      <c r="S804" s="1"/>
      <c r="T804" s="1"/>
    </row>
    <row r="805" ht="14.25" customHeight="1">
      <c r="A805" s="52"/>
      <c r="B805" s="53"/>
      <c r="C805" s="53"/>
      <c r="D805" s="53"/>
      <c r="E805" s="53"/>
      <c r="F805" s="53"/>
      <c r="G805" s="1"/>
      <c r="H805" s="1"/>
      <c r="I805" s="1"/>
      <c r="J805" s="1"/>
      <c r="K805" s="1"/>
      <c r="L805" s="1"/>
      <c r="M805" s="1"/>
      <c r="N805" s="1"/>
      <c r="O805" s="1"/>
      <c r="P805" s="1"/>
      <c r="Q805" s="1"/>
      <c r="R805" s="1"/>
      <c r="S805" s="1"/>
      <c r="T805" s="1"/>
    </row>
    <row r="806" ht="14.25" customHeight="1">
      <c r="A806" s="52"/>
      <c r="B806" s="53"/>
      <c r="C806" s="53"/>
      <c r="D806" s="53"/>
      <c r="E806" s="53"/>
      <c r="F806" s="53"/>
      <c r="G806" s="1"/>
      <c r="H806" s="1"/>
      <c r="I806" s="1"/>
      <c r="J806" s="1"/>
      <c r="K806" s="1"/>
      <c r="L806" s="1"/>
      <c r="M806" s="1"/>
      <c r="N806" s="1"/>
      <c r="O806" s="1"/>
      <c r="P806" s="1"/>
      <c r="Q806" s="1"/>
      <c r="R806" s="1"/>
      <c r="S806" s="1"/>
      <c r="T806" s="1"/>
    </row>
    <row r="807" ht="14.25" customHeight="1">
      <c r="A807" s="52"/>
      <c r="B807" s="53"/>
      <c r="C807" s="53"/>
      <c r="D807" s="53"/>
      <c r="E807" s="53"/>
      <c r="F807" s="53"/>
      <c r="G807" s="1"/>
      <c r="H807" s="1"/>
      <c r="I807" s="1"/>
      <c r="J807" s="1"/>
      <c r="K807" s="1"/>
      <c r="L807" s="1"/>
      <c r="M807" s="1"/>
      <c r="N807" s="1"/>
      <c r="O807" s="1"/>
      <c r="P807" s="1"/>
      <c r="Q807" s="1"/>
      <c r="R807" s="1"/>
      <c r="S807" s="1"/>
      <c r="T807" s="1"/>
    </row>
    <row r="808" ht="14.25" customHeight="1">
      <c r="A808" s="52"/>
      <c r="B808" s="53"/>
      <c r="C808" s="53"/>
      <c r="D808" s="53"/>
      <c r="E808" s="53"/>
      <c r="F808" s="53"/>
      <c r="G808" s="1"/>
      <c r="H808" s="1"/>
      <c r="I808" s="1"/>
      <c r="J808" s="1"/>
      <c r="K808" s="1"/>
      <c r="L808" s="1"/>
      <c r="M808" s="1"/>
      <c r="N808" s="1"/>
      <c r="O808" s="1"/>
      <c r="P808" s="1"/>
      <c r="Q808" s="1"/>
      <c r="R808" s="1"/>
      <c r="S808" s="1"/>
      <c r="T808" s="1"/>
    </row>
    <row r="809" ht="14.25" customHeight="1">
      <c r="A809" s="52"/>
      <c r="B809" s="53"/>
      <c r="C809" s="53"/>
      <c r="D809" s="53"/>
      <c r="E809" s="53"/>
      <c r="F809" s="53"/>
      <c r="G809" s="1"/>
      <c r="H809" s="1"/>
      <c r="I809" s="1"/>
      <c r="J809" s="1"/>
      <c r="K809" s="1"/>
      <c r="L809" s="1"/>
      <c r="M809" s="1"/>
      <c r="N809" s="1"/>
      <c r="O809" s="1"/>
      <c r="P809" s="1"/>
      <c r="Q809" s="1"/>
      <c r="R809" s="1"/>
      <c r="S809" s="1"/>
      <c r="T809" s="1"/>
    </row>
    <row r="810" ht="14.25" customHeight="1">
      <c r="A810" s="52"/>
      <c r="B810" s="53"/>
      <c r="C810" s="53"/>
      <c r="D810" s="53"/>
      <c r="E810" s="53"/>
      <c r="F810" s="53"/>
      <c r="G810" s="1"/>
      <c r="H810" s="1"/>
      <c r="I810" s="1"/>
      <c r="J810" s="1"/>
      <c r="K810" s="1"/>
      <c r="L810" s="1"/>
      <c r="M810" s="1"/>
      <c r="N810" s="1"/>
      <c r="O810" s="1"/>
      <c r="P810" s="1"/>
      <c r="Q810" s="1"/>
      <c r="R810" s="1"/>
      <c r="S810" s="1"/>
      <c r="T810" s="1"/>
    </row>
    <row r="811" ht="14.25" customHeight="1">
      <c r="A811" s="52"/>
      <c r="B811" s="53"/>
      <c r="C811" s="53"/>
      <c r="D811" s="53"/>
      <c r="E811" s="53"/>
      <c r="F811" s="53"/>
      <c r="G811" s="1"/>
      <c r="H811" s="1"/>
      <c r="I811" s="1"/>
      <c r="J811" s="1"/>
      <c r="K811" s="1"/>
      <c r="L811" s="1"/>
      <c r="M811" s="1"/>
      <c r="N811" s="1"/>
      <c r="O811" s="1"/>
      <c r="P811" s="1"/>
      <c r="Q811" s="1"/>
      <c r="R811" s="1"/>
      <c r="S811" s="1"/>
      <c r="T811" s="1"/>
    </row>
    <row r="812" ht="14.25" customHeight="1">
      <c r="A812" s="52"/>
      <c r="B812" s="53"/>
      <c r="C812" s="53"/>
      <c r="D812" s="53"/>
      <c r="E812" s="53"/>
      <c r="F812" s="53"/>
      <c r="G812" s="1"/>
      <c r="H812" s="1"/>
      <c r="I812" s="1"/>
      <c r="J812" s="1"/>
      <c r="K812" s="1"/>
      <c r="L812" s="1"/>
      <c r="M812" s="1"/>
      <c r="N812" s="1"/>
      <c r="O812" s="1"/>
      <c r="P812" s="1"/>
      <c r="Q812" s="1"/>
      <c r="R812" s="1"/>
      <c r="S812" s="1"/>
      <c r="T812" s="1"/>
    </row>
    <row r="813" ht="14.25" customHeight="1">
      <c r="A813" s="52"/>
      <c r="B813" s="53"/>
      <c r="C813" s="53"/>
      <c r="D813" s="53"/>
      <c r="E813" s="53"/>
      <c r="F813" s="53"/>
      <c r="G813" s="1"/>
      <c r="H813" s="1"/>
      <c r="I813" s="1"/>
      <c r="J813" s="1"/>
      <c r="K813" s="1"/>
      <c r="L813" s="1"/>
      <c r="M813" s="1"/>
      <c r="N813" s="1"/>
      <c r="O813" s="1"/>
      <c r="P813" s="1"/>
      <c r="Q813" s="1"/>
      <c r="R813" s="1"/>
      <c r="S813" s="1"/>
      <c r="T813" s="1"/>
    </row>
    <row r="814" ht="14.25" customHeight="1">
      <c r="A814" s="52"/>
      <c r="B814" s="53"/>
      <c r="C814" s="53"/>
      <c r="D814" s="53"/>
      <c r="E814" s="53"/>
      <c r="F814" s="53"/>
      <c r="G814" s="1"/>
      <c r="H814" s="1"/>
      <c r="I814" s="1"/>
      <c r="J814" s="1"/>
      <c r="K814" s="1"/>
      <c r="L814" s="1"/>
      <c r="M814" s="1"/>
      <c r="N814" s="1"/>
      <c r="O814" s="1"/>
      <c r="P814" s="1"/>
      <c r="Q814" s="1"/>
      <c r="R814" s="1"/>
      <c r="S814" s="1"/>
      <c r="T814" s="1"/>
    </row>
    <row r="815" ht="14.25" customHeight="1">
      <c r="A815" s="52"/>
      <c r="B815" s="53"/>
      <c r="C815" s="53"/>
      <c r="D815" s="53"/>
      <c r="E815" s="53"/>
      <c r="F815" s="53"/>
      <c r="G815" s="1"/>
      <c r="H815" s="1"/>
      <c r="I815" s="1"/>
      <c r="J815" s="1"/>
      <c r="K815" s="1"/>
      <c r="L815" s="1"/>
      <c r="M815" s="1"/>
      <c r="N815" s="1"/>
      <c r="O815" s="1"/>
      <c r="P815" s="1"/>
      <c r="Q815" s="1"/>
      <c r="R815" s="1"/>
      <c r="S815" s="1"/>
      <c r="T815" s="1"/>
    </row>
    <row r="816" ht="14.25" customHeight="1">
      <c r="A816" s="52"/>
      <c r="B816" s="53"/>
      <c r="C816" s="53"/>
      <c r="D816" s="53"/>
      <c r="E816" s="53"/>
      <c r="F816" s="53"/>
      <c r="G816" s="1"/>
      <c r="H816" s="1"/>
      <c r="I816" s="1"/>
      <c r="J816" s="1"/>
      <c r="K816" s="1"/>
      <c r="L816" s="1"/>
      <c r="M816" s="1"/>
      <c r="N816" s="1"/>
      <c r="O816" s="1"/>
      <c r="P816" s="1"/>
      <c r="Q816" s="1"/>
      <c r="R816" s="1"/>
      <c r="S816" s="1"/>
      <c r="T816" s="1"/>
    </row>
    <row r="817" ht="14.25" customHeight="1">
      <c r="A817" s="52"/>
      <c r="B817" s="53"/>
      <c r="C817" s="53"/>
      <c r="D817" s="53"/>
      <c r="E817" s="53"/>
      <c r="F817" s="53"/>
      <c r="G817" s="1"/>
      <c r="H817" s="1"/>
      <c r="I817" s="1"/>
      <c r="J817" s="1"/>
      <c r="K817" s="1"/>
      <c r="L817" s="1"/>
      <c r="M817" s="1"/>
      <c r="N817" s="1"/>
      <c r="O817" s="1"/>
      <c r="P817" s="1"/>
      <c r="Q817" s="1"/>
      <c r="R817" s="1"/>
      <c r="S817" s="1"/>
      <c r="T817" s="1"/>
    </row>
    <row r="818" ht="14.25" customHeight="1">
      <c r="A818" s="52"/>
      <c r="B818" s="53"/>
      <c r="C818" s="53"/>
      <c r="D818" s="53"/>
      <c r="E818" s="53"/>
      <c r="F818" s="53"/>
      <c r="G818" s="1"/>
      <c r="H818" s="1"/>
      <c r="I818" s="1"/>
      <c r="J818" s="1"/>
      <c r="K818" s="1"/>
      <c r="L818" s="1"/>
      <c r="M818" s="1"/>
      <c r="N818" s="1"/>
      <c r="O818" s="1"/>
      <c r="P818" s="1"/>
      <c r="Q818" s="1"/>
      <c r="R818" s="1"/>
      <c r="S818" s="1"/>
      <c r="T818" s="1"/>
    </row>
    <row r="819" ht="14.25" customHeight="1">
      <c r="A819" s="52"/>
      <c r="B819" s="53"/>
      <c r="C819" s="53"/>
      <c r="D819" s="53"/>
      <c r="E819" s="53"/>
      <c r="F819" s="53"/>
      <c r="G819" s="1"/>
      <c r="H819" s="1"/>
      <c r="I819" s="1"/>
      <c r="J819" s="1"/>
      <c r="K819" s="1"/>
      <c r="L819" s="1"/>
      <c r="M819" s="1"/>
      <c r="N819" s="1"/>
      <c r="O819" s="1"/>
      <c r="P819" s="1"/>
      <c r="Q819" s="1"/>
      <c r="R819" s="1"/>
      <c r="S819" s="1"/>
      <c r="T819" s="1"/>
    </row>
    <row r="820" ht="14.25" customHeight="1">
      <c r="A820" s="52"/>
      <c r="B820" s="53"/>
      <c r="C820" s="53"/>
      <c r="D820" s="53"/>
      <c r="E820" s="53"/>
      <c r="F820" s="53"/>
      <c r="G820" s="1"/>
      <c r="H820" s="1"/>
      <c r="I820" s="1"/>
      <c r="J820" s="1"/>
      <c r="K820" s="1"/>
      <c r="L820" s="1"/>
      <c r="M820" s="1"/>
      <c r="N820" s="1"/>
      <c r="O820" s="1"/>
      <c r="P820" s="1"/>
      <c r="Q820" s="1"/>
      <c r="R820" s="1"/>
      <c r="S820" s="1"/>
      <c r="T820" s="1"/>
    </row>
    <row r="821" ht="14.25" customHeight="1">
      <c r="A821" s="52"/>
      <c r="B821" s="53"/>
      <c r="C821" s="53"/>
      <c r="D821" s="53"/>
      <c r="E821" s="53"/>
      <c r="F821" s="53"/>
      <c r="G821" s="1"/>
      <c r="H821" s="1"/>
      <c r="I821" s="1"/>
      <c r="J821" s="1"/>
      <c r="K821" s="1"/>
      <c r="L821" s="1"/>
      <c r="M821" s="1"/>
      <c r="N821" s="1"/>
      <c r="O821" s="1"/>
      <c r="P821" s="1"/>
      <c r="Q821" s="1"/>
      <c r="R821" s="1"/>
      <c r="S821" s="1"/>
      <c r="T821" s="1"/>
    </row>
    <row r="822" ht="14.25" customHeight="1">
      <c r="A822" s="52"/>
      <c r="B822" s="53"/>
      <c r="C822" s="53"/>
      <c r="D822" s="53"/>
      <c r="E822" s="53"/>
      <c r="F822" s="53"/>
      <c r="G822" s="1"/>
      <c r="H822" s="1"/>
      <c r="I822" s="1"/>
      <c r="J822" s="1"/>
      <c r="K822" s="1"/>
      <c r="L822" s="1"/>
      <c r="M822" s="1"/>
      <c r="N822" s="1"/>
      <c r="O822" s="1"/>
      <c r="P822" s="1"/>
      <c r="Q822" s="1"/>
      <c r="R822" s="1"/>
      <c r="S822" s="1"/>
      <c r="T822" s="1"/>
    </row>
    <row r="823" ht="14.25" customHeight="1">
      <c r="A823" s="52"/>
      <c r="B823" s="53"/>
      <c r="C823" s="53"/>
      <c r="D823" s="53"/>
      <c r="E823" s="53"/>
      <c r="F823" s="53"/>
      <c r="G823" s="1"/>
      <c r="H823" s="1"/>
      <c r="I823" s="1"/>
      <c r="J823" s="1"/>
      <c r="K823" s="1"/>
      <c r="L823" s="1"/>
      <c r="M823" s="1"/>
      <c r="N823" s="1"/>
      <c r="O823" s="1"/>
      <c r="P823" s="1"/>
      <c r="Q823" s="1"/>
      <c r="R823" s="1"/>
      <c r="S823" s="1"/>
      <c r="T823" s="1"/>
    </row>
    <row r="824" ht="14.25" customHeight="1">
      <c r="A824" s="52"/>
      <c r="B824" s="53"/>
      <c r="C824" s="53"/>
      <c r="D824" s="53"/>
      <c r="E824" s="53"/>
      <c r="F824" s="53"/>
      <c r="G824" s="1"/>
      <c r="H824" s="1"/>
      <c r="I824" s="1"/>
      <c r="J824" s="1"/>
      <c r="K824" s="1"/>
      <c r="L824" s="1"/>
      <c r="M824" s="1"/>
      <c r="N824" s="1"/>
      <c r="O824" s="1"/>
      <c r="P824" s="1"/>
      <c r="Q824" s="1"/>
      <c r="R824" s="1"/>
      <c r="S824" s="1"/>
      <c r="T824" s="1"/>
    </row>
    <row r="825" ht="14.25" customHeight="1">
      <c r="A825" s="52"/>
      <c r="B825" s="53"/>
      <c r="C825" s="53"/>
      <c r="D825" s="53"/>
      <c r="E825" s="53"/>
      <c r="F825" s="53"/>
      <c r="G825" s="1"/>
      <c r="H825" s="1"/>
      <c r="I825" s="1"/>
      <c r="J825" s="1"/>
      <c r="K825" s="1"/>
      <c r="L825" s="1"/>
      <c r="M825" s="1"/>
      <c r="N825" s="1"/>
      <c r="O825" s="1"/>
      <c r="P825" s="1"/>
      <c r="Q825" s="1"/>
      <c r="R825" s="1"/>
      <c r="S825" s="1"/>
      <c r="T825" s="1"/>
    </row>
    <row r="826" ht="14.25" customHeight="1">
      <c r="A826" s="52"/>
      <c r="B826" s="53"/>
      <c r="C826" s="53"/>
      <c r="D826" s="53"/>
      <c r="E826" s="53"/>
      <c r="F826" s="53"/>
      <c r="G826" s="1"/>
      <c r="H826" s="1"/>
      <c r="I826" s="1"/>
      <c r="J826" s="1"/>
      <c r="K826" s="1"/>
      <c r="L826" s="1"/>
      <c r="M826" s="1"/>
      <c r="N826" s="1"/>
      <c r="O826" s="1"/>
      <c r="P826" s="1"/>
      <c r="Q826" s="1"/>
      <c r="R826" s="1"/>
      <c r="S826" s="1"/>
      <c r="T826" s="1"/>
    </row>
    <row r="827" ht="14.25" customHeight="1">
      <c r="A827" s="52"/>
      <c r="B827" s="53"/>
      <c r="C827" s="53"/>
      <c r="D827" s="53"/>
      <c r="E827" s="53"/>
      <c r="F827" s="53"/>
      <c r="G827" s="1"/>
      <c r="H827" s="1"/>
      <c r="I827" s="1"/>
      <c r="J827" s="1"/>
      <c r="K827" s="1"/>
      <c r="L827" s="1"/>
      <c r="M827" s="1"/>
      <c r="N827" s="1"/>
      <c r="O827" s="1"/>
      <c r="P827" s="1"/>
      <c r="Q827" s="1"/>
      <c r="R827" s="1"/>
      <c r="S827" s="1"/>
      <c r="T827" s="1"/>
    </row>
    <row r="828" ht="14.25" customHeight="1">
      <c r="A828" s="52"/>
      <c r="B828" s="53"/>
      <c r="C828" s="53"/>
      <c r="D828" s="53"/>
      <c r="E828" s="53"/>
      <c r="F828" s="53"/>
      <c r="G828" s="1"/>
      <c r="H828" s="1"/>
      <c r="I828" s="1"/>
      <c r="J828" s="1"/>
      <c r="K828" s="1"/>
      <c r="L828" s="1"/>
      <c r="M828" s="1"/>
      <c r="N828" s="1"/>
      <c r="O828" s="1"/>
      <c r="P828" s="1"/>
      <c r="Q828" s="1"/>
      <c r="R828" s="1"/>
      <c r="S828" s="1"/>
      <c r="T828" s="1"/>
    </row>
    <row r="829" ht="14.25" customHeight="1">
      <c r="A829" s="52"/>
      <c r="B829" s="53"/>
      <c r="C829" s="53"/>
      <c r="D829" s="53"/>
      <c r="E829" s="53"/>
      <c r="F829" s="53"/>
      <c r="G829" s="1"/>
      <c r="H829" s="1"/>
      <c r="I829" s="1"/>
      <c r="J829" s="1"/>
      <c r="K829" s="1"/>
      <c r="L829" s="1"/>
      <c r="M829" s="1"/>
      <c r="N829" s="1"/>
      <c r="O829" s="1"/>
      <c r="P829" s="1"/>
      <c r="Q829" s="1"/>
      <c r="R829" s="1"/>
      <c r="S829" s="1"/>
      <c r="T829" s="1"/>
    </row>
    <row r="830" ht="14.25" customHeight="1">
      <c r="A830" s="52"/>
      <c r="B830" s="53"/>
      <c r="C830" s="53"/>
      <c r="D830" s="53"/>
      <c r="E830" s="53"/>
      <c r="F830" s="53"/>
      <c r="G830" s="1"/>
      <c r="H830" s="1"/>
      <c r="I830" s="1"/>
      <c r="J830" s="1"/>
      <c r="K830" s="1"/>
      <c r="L830" s="1"/>
      <c r="M830" s="1"/>
      <c r="N830" s="1"/>
      <c r="O830" s="1"/>
      <c r="P830" s="1"/>
      <c r="Q830" s="1"/>
      <c r="R830" s="1"/>
      <c r="S830" s="1"/>
      <c r="T830" s="1"/>
    </row>
    <row r="831" ht="14.25" customHeight="1">
      <c r="A831" s="52"/>
      <c r="B831" s="53"/>
      <c r="C831" s="53"/>
      <c r="D831" s="53"/>
      <c r="E831" s="53"/>
      <c r="F831" s="53"/>
      <c r="G831" s="1"/>
      <c r="H831" s="1"/>
      <c r="I831" s="1"/>
      <c r="J831" s="1"/>
      <c r="K831" s="1"/>
      <c r="L831" s="1"/>
      <c r="M831" s="1"/>
      <c r="N831" s="1"/>
      <c r="O831" s="1"/>
      <c r="P831" s="1"/>
      <c r="Q831" s="1"/>
      <c r="R831" s="1"/>
      <c r="S831" s="1"/>
      <c r="T831" s="1"/>
    </row>
    <row r="832" ht="14.25" customHeight="1">
      <c r="A832" s="52"/>
      <c r="B832" s="53"/>
      <c r="C832" s="53"/>
      <c r="D832" s="53"/>
      <c r="E832" s="53"/>
      <c r="F832" s="53"/>
      <c r="G832" s="1"/>
      <c r="H832" s="1"/>
      <c r="I832" s="1"/>
      <c r="J832" s="1"/>
      <c r="K832" s="1"/>
      <c r="L832" s="1"/>
      <c r="M832" s="1"/>
      <c r="N832" s="1"/>
      <c r="O832" s="1"/>
      <c r="P832" s="1"/>
      <c r="Q832" s="1"/>
      <c r="R832" s="1"/>
      <c r="S832" s="1"/>
      <c r="T832" s="1"/>
    </row>
    <row r="833" ht="14.25" customHeight="1">
      <c r="A833" s="52"/>
      <c r="B833" s="53"/>
      <c r="C833" s="53"/>
      <c r="D833" s="53"/>
      <c r="E833" s="53"/>
      <c r="F833" s="53"/>
      <c r="G833" s="1"/>
      <c r="H833" s="1"/>
      <c r="I833" s="1"/>
      <c r="J833" s="1"/>
      <c r="K833" s="1"/>
      <c r="L833" s="1"/>
      <c r="M833" s="1"/>
      <c r="N833" s="1"/>
      <c r="O833" s="1"/>
      <c r="P833" s="1"/>
      <c r="Q833" s="1"/>
      <c r="R833" s="1"/>
      <c r="S833" s="1"/>
      <c r="T833" s="1"/>
    </row>
    <row r="834" ht="14.25" customHeight="1">
      <c r="A834" s="52"/>
      <c r="B834" s="53"/>
      <c r="C834" s="53"/>
      <c r="D834" s="53"/>
      <c r="E834" s="53"/>
      <c r="F834" s="53"/>
      <c r="G834" s="1"/>
      <c r="H834" s="1"/>
      <c r="I834" s="1"/>
      <c r="J834" s="1"/>
      <c r="K834" s="1"/>
      <c r="L834" s="1"/>
      <c r="M834" s="1"/>
      <c r="N834" s="1"/>
      <c r="O834" s="1"/>
      <c r="P834" s="1"/>
      <c r="Q834" s="1"/>
      <c r="R834" s="1"/>
      <c r="S834" s="1"/>
      <c r="T834" s="1"/>
    </row>
    <row r="835" ht="14.25" customHeight="1">
      <c r="A835" s="52"/>
      <c r="B835" s="53"/>
      <c r="C835" s="53"/>
      <c r="D835" s="53"/>
      <c r="E835" s="53"/>
      <c r="F835" s="53"/>
      <c r="G835" s="1"/>
      <c r="H835" s="1"/>
      <c r="I835" s="1"/>
      <c r="J835" s="1"/>
      <c r="K835" s="1"/>
      <c r="L835" s="1"/>
      <c r="M835" s="1"/>
      <c r="N835" s="1"/>
      <c r="O835" s="1"/>
      <c r="P835" s="1"/>
      <c r="Q835" s="1"/>
      <c r="R835" s="1"/>
      <c r="S835" s="1"/>
      <c r="T835" s="1"/>
    </row>
    <row r="836" ht="14.25" customHeight="1">
      <c r="A836" s="52"/>
      <c r="B836" s="53"/>
      <c r="C836" s="53"/>
      <c r="D836" s="53"/>
      <c r="E836" s="53"/>
      <c r="F836" s="53"/>
      <c r="G836" s="1"/>
      <c r="H836" s="1"/>
      <c r="I836" s="1"/>
      <c r="J836" s="1"/>
      <c r="K836" s="1"/>
      <c r="L836" s="1"/>
      <c r="M836" s="1"/>
      <c r="N836" s="1"/>
      <c r="O836" s="1"/>
      <c r="P836" s="1"/>
      <c r="Q836" s="1"/>
      <c r="R836" s="1"/>
      <c r="S836" s="1"/>
      <c r="T836" s="1"/>
    </row>
    <row r="837" ht="14.25" customHeight="1">
      <c r="A837" s="52"/>
      <c r="B837" s="53"/>
      <c r="C837" s="53"/>
      <c r="D837" s="53"/>
      <c r="E837" s="53"/>
      <c r="F837" s="53"/>
      <c r="G837" s="1"/>
      <c r="H837" s="1"/>
      <c r="I837" s="1"/>
      <c r="J837" s="1"/>
      <c r="K837" s="1"/>
      <c r="L837" s="1"/>
      <c r="M837" s="1"/>
      <c r="N837" s="1"/>
      <c r="O837" s="1"/>
      <c r="P837" s="1"/>
      <c r="Q837" s="1"/>
      <c r="R837" s="1"/>
      <c r="S837" s="1"/>
      <c r="T837" s="1"/>
    </row>
    <row r="838" ht="14.25" customHeight="1">
      <c r="A838" s="52"/>
      <c r="B838" s="53"/>
      <c r="C838" s="53"/>
      <c r="D838" s="53"/>
      <c r="E838" s="53"/>
      <c r="F838" s="53"/>
      <c r="G838" s="1"/>
      <c r="H838" s="1"/>
      <c r="I838" s="1"/>
      <c r="J838" s="1"/>
      <c r="K838" s="1"/>
      <c r="L838" s="1"/>
      <c r="M838" s="1"/>
      <c r="N838" s="1"/>
      <c r="O838" s="1"/>
      <c r="P838" s="1"/>
      <c r="Q838" s="1"/>
      <c r="R838" s="1"/>
      <c r="S838" s="1"/>
      <c r="T838" s="1"/>
    </row>
    <row r="839" ht="14.25" customHeight="1">
      <c r="A839" s="52"/>
      <c r="B839" s="53"/>
      <c r="C839" s="53"/>
      <c r="D839" s="53"/>
      <c r="E839" s="53"/>
      <c r="F839" s="53"/>
      <c r="G839" s="1"/>
      <c r="H839" s="1"/>
      <c r="I839" s="1"/>
      <c r="J839" s="1"/>
      <c r="K839" s="1"/>
      <c r="L839" s="1"/>
      <c r="M839" s="1"/>
      <c r="N839" s="1"/>
      <c r="O839" s="1"/>
      <c r="P839" s="1"/>
      <c r="Q839" s="1"/>
      <c r="R839" s="1"/>
      <c r="S839" s="1"/>
      <c r="T839" s="1"/>
    </row>
    <row r="840" ht="14.25" customHeight="1">
      <c r="A840" s="52"/>
      <c r="B840" s="53"/>
      <c r="C840" s="53"/>
      <c r="D840" s="53"/>
      <c r="E840" s="53"/>
      <c r="F840" s="53"/>
      <c r="G840" s="1"/>
      <c r="H840" s="1"/>
      <c r="I840" s="1"/>
      <c r="J840" s="1"/>
      <c r="K840" s="1"/>
      <c r="L840" s="1"/>
      <c r="M840" s="1"/>
      <c r="N840" s="1"/>
      <c r="O840" s="1"/>
      <c r="P840" s="1"/>
      <c r="Q840" s="1"/>
      <c r="R840" s="1"/>
      <c r="S840" s="1"/>
      <c r="T840" s="1"/>
    </row>
    <row r="841" ht="14.25" customHeight="1">
      <c r="A841" s="52"/>
      <c r="B841" s="53"/>
      <c r="C841" s="53"/>
      <c r="D841" s="53"/>
      <c r="E841" s="53"/>
      <c r="F841" s="53"/>
      <c r="G841" s="1"/>
      <c r="H841" s="1"/>
      <c r="I841" s="1"/>
      <c r="J841" s="1"/>
      <c r="K841" s="1"/>
      <c r="L841" s="1"/>
      <c r="M841" s="1"/>
      <c r="N841" s="1"/>
      <c r="O841" s="1"/>
      <c r="P841" s="1"/>
      <c r="Q841" s="1"/>
      <c r="R841" s="1"/>
      <c r="S841" s="1"/>
      <c r="T841" s="1"/>
    </row>
    <row r="842" ht="14.25" customHeight="1">
      <c r="A842" s="52"/>
      <c r="B842" s="53"/>
      <c r="C842" s="53"/>
      <c r="D842" s="53"/>
      <c r="E842" s="53"/>
      <c r="F842" s="53"/>
      <c r="G842" s="1"/>
      <c r="H842" s="1"/>
      <c r="I842" s="1"/>
      <c r="J842" s="1"/>
      <c r="K842" s="1"/>
      <c r="L842" s="1"/>
      <c r="M842" s="1"/>
      <c r="N842" s="1"/>
      <c r="O842" s="1"/>
      <c r="P842" s="1"/>
      <c r="Q842" s="1"/>
      <c r="R842" s="1"/>
      <c r="S842" s="1"/>
      <c r="T842" s="1"/>
    </row>
    <row r="843" ht="14.25" customHeight="1">
      <c r="A843" s="52"/>
      <c r="B843" s="53"/>
      <c r="C843" s="53"/>
      <c r="D843" s="53"/>
      <c r="E843" s="53"/>
      <c r="F843" s="53"/>
      <c r="G843" s="1"/>
      <c r="H843" s="1"/>
      <c r="I843" s="1"/>
      <c r="J843" s="1"/>
      <c r="K843" s="1"/>
      <c r="L843" s="1"/>
      <c r="M843" s="1"/>
      <c r="N843" s="1"/>
      <c r="O843" s="1"/>
      <c r="P843" s="1"/>
      <c r="Q843" s="1"/>
      <c r="R843" s="1"/>
      <c r="S843" s="1"/>
      <c r="T843" s="1"/>
    </row>
    <row r="844" ht="14.25" customHeight="1">
      <c r="A844" s="52"/>
      <c r="B844" s="53"/>
      <c r="C844" s="53"/>
      <c r="D844" s="53"/>
      <c r="E844" s="53"/>
      <c r="F844" s="53"/>
      <c r="G844" s="1"/>
      <c r="H844" s="1"/>
      <c r="I844" s="1"/>
      <c r="J844" s="1"/>
      <c r="K844" s="1"/>
      <c r="L844" s="1"/>
      <c r="M844" s="1"/>
      <c r="N844" s="1"/>
      <c r="O844" s="1"/>
      <c r="P844" s="1"/>
      <c r="Q844" s="1"/>
      <c r="R844" s="1"/>
      <c r="S844" s="1"/>
      <c r="T844" s="1"/>
    </row>
    <row r="845" ht="14.25" customHeight="1">
      <c r="A845" s="52"/>
      <c r="B845" s="53"/>
      <c r="C845" s="53"/>
      <c r="D845" s="53"/>
      <c r="E845" s="53"/>
      <c r="F845" s="53"/>
      <c r="G845" s="1"/>
      <c r="H845" s="1"/>
      <c r="I845" s="1"/>
      <c r="J845" s="1"/>
      <c r="K845" s="1"/>
      <c r="L845" s="1"/>
      <c r="M845" s="1"/>
      <c r="N845" s="1"/>
      <c r="O845" s="1"/>
      <c r="P845" s="1"/>
      <c r="Q845" s="1"/>
      <c r="R845" s="1"/>
      <c r="S845" s="1"/>
      <c r="T845" s="1"/>
    </row>
    <row r="846" ht="14.25" customHeight="1">
      <c r="A846" s="52"/>
      <c r="B846" s="53"/>
      <c r="C846" s="53"/>
      <c r="D846" s="53"/>
      <c r="E846" s="53"/>
      <c r="F846" s="53"/>
      <c r="G846" s="1"/>
      <c r="H846" s="1"/>
      <c r="I846" s="1"/>
      <c r="J846" s="1"/>
      <c r="K846" s="1"/>
      <c r="L846" s="1"/>
      <c r="M846" s="1"/>
      <c r="N846" s="1"/>
      <c r="O846" s="1"/>
      <c r="P846" s="1"/>
      <c r="Q846" s="1"/>
      <c r="R846" s="1"/>
      <c r="S846" s="1"/>
      <c r="T846" s="1"/>
    </row>
    <row r="847" ht="14.25" customHeight="1">
      <c r="A847" s="52"/>
      <c r="B847" s="53"/>
      <c r="C847" s="53"/>
      <c r="D847" s="53"/>
      <c r="E847" s="53"/>
      <c r="F847" s="53"/>
      <c r="G847" s="1"/>
      <c r="H847" s="1"/>
      <c r="I847" s="1"/>
      <c r="J847" s="1"/>
      <c r="K847" s="1"/>
      <c r="L847" s="1"/>
      <c r="M847" s="1"/>
      <c r="N847" s="1"/>
      <c r="O847" s="1"/>
      <c r="P847" s="1"/>
      <c r="Q847" s="1"/>
      <c r="R847" s="1"/>
      <c r="S847" s="1"/>
      <c r="T847" s="1"/>
    </row>
    <row r="848" ht="14.25" customHeight="1">
      <c r="A848" s="52"/>
      <c r="B848" s="53"/>
      <c r="C848" s="53"/>
      <c r="D848" s="53"/>
      <c r="E848" s="53"/>
      <c r="F848" s="53"/>
      <c r="G848" s="1"/>
      <c r="H848" s="1"/>
      <c r="I848" s="1"/>
      <c r="J848" s="1"/>
      <c r="K848" s="1"/>
      <c r="L848" s="1"/>
      <c r="M848" s="1"/>
      <c r="N848" s="1"/>
      <c r="O848" s="1"/>
      <c r="P848" s="1"/>
      <c r="Q848" s="1"/>
      <c r="R848" s="1"/>
      <c r="S848" s="1"/>
      <c r="T848" s="1"/>
    </row>
    <row r="849" ht="14.25" customHeight="1">
      <c r="A849" s="52"/>
      <c r="B849" s="53"/>
      <c r="C849" s="53"/>
      <c r="D849" s="53"/>
      <c r="E849" s="53"/>
      <c r="F849" s="53"/>
      <c r="G849" s="1"/>
      <c r="H849" s="1"/>
      <c r="I849" s="1"/>
      <c r="J849" s="1"/>
      <c r="K849" s="1"/>
      <c r="L849" s="1"/>
      <c r="M849" s="1"/>
      <c r="N849" s="1"/>
      <c r="O849" s="1"/>
      <c r="P849" s="1"/>
      <c r="Q849" s="1"/>
      <c r="R849" s="1"/>
      <c r="S849" s="1"/>
      <c r="T849" s="1"/>
    </row>
    <row r="850" ht="14.25" customHeight="1">
      <c r="A850" s="52"/>
      <c r="B850" s="53"/>
      <c r="C850" s="53"/>
      <c r="D850" s="53"/>
      <c r="E850" s="53"/>
      <c r="F850" s="53"/>
      <c r="G850" s="1"/>
      <c r="H850" s="1"/>
      <c r="I850" s="1"/>
      <c r="J850" s="1"/>
      <c r="K850" s="1"/>
      <c r="L850" s="1"/>
      <c r="M850" s="1"/>
      <c r="N850" s="1"/>
      <c r="O850" s="1"/>
      <c r="P850" s="1"/>
      <c r="Q850" s="1"/>
      <c r="R850" s="1"/>
      <c r="S850" s="1"/>
      <c r="T850" s="1"/>
    </row>
    <row r="851" ht="14.25" customHeight="1">
      <c r="A851" s="52"/>
      <c r="B851" s="53"/>
      <c r="C851" s="53"/>
      <c r="D851" s="53"/>
      <c r="E851" s="53"/>
      <c r="F851" s="53"/>
      <c r="G851" s="1"/>
      <c r="H851" s="1"/>
      <c r="I851" s="1"/>
      <c r="J851" s="1"/>
      <c r="K851" s="1"/>
      <c r="L851" s="1"/>
      <c r="M851" s="1"/>
      <c r="N851" s="1"/>
      <c r="O851" s="1"/>
      <c r="P851" s="1"/>
      <c r="Q851" s="1"/>
      <c r="R851" s="1"/>
      <c r="S851" s="1"/>
      <c r="T851" s="1"/>
    </row>
    <row r="852" ht="14.25" customHeight="1">
      <c r="A852" s="52"/>
      <c r="B852" s="53"/>
      <c r="C852" s="53"/>
      <c r="D852" s="53"/>
      <c r="E852" s="53"/>
      <c r="F852" s="53"/>
      <c r="G852" s="1"/>
      <c r="H852" s="1"/>
      <c r="I852" s="1"/>
      <c r="J852" s="1"/>
      <c r="K852" s="1"/>
      <c r="L852" s="1"/>
      <c r="M852" s="1"/>
      <c r="N852" s="1"/>
      <c r="O852" s="1"/>
      <c r="P852" s="1"/>
      <c r="Q852" s="1"/>
      <c r="R852" s="1"/>
      <c r="S852" s="1"/>
      <c r="T852" s="1"/>
    </row>
    <row r="853" ht="14.25" customHeight="1">
      <c r="A853" s="52"/>
      <c r="B853" s="53"/>
      <c r="C853" s="53"/>
      <c r="D853" s="53"/>
      <c r="E853" s="53"/>
      <c r="F853" s="53"/>
      <c r="G853" s="1"/>
      <c r="H853" s="1"/>
      <c r="I853" s="1"/>
      <c r="J853" s="1"/>
      <c r="K853" s="1"/>
      <c r="L853" s="1"/>
      <c r="M853" s="1"/>
      <c r="N853" s="1"/>
      <c r="O853" s="1"/>
      <c r="P853" s="1"/>
      <c r="Q853" s="1"/>
      <c r="R853" s="1"/>
      <c r="S853" s="1"/>
      <c r="T853" s="1"/>
    </row>
    <row r="854" ht="14.25" customHeight="1">
      <c r="A854" s="52"/>
      <c r="B854" s="53"/>
      <c r="C854" s="53"/>
      <c r="D854" s="53"/>
      <c r="E854" s="53"/>
      <c r="F854" s="53"/>
      <c r="G854" s="1"/>
      <c r="H854" s="1"/>
      <c r="I854" s="1"/>
      <c r="J854" s="1"/>
      <c r="K854" s="1"/>
      <c r="L854" s="1"/>
      <c r="M854" s="1"/>
      <c r="N854" s="1"/>
      <c r="O854" s="1"/>
      <c r="P854" s="1"/>
      <c r="Q854" s="1"/>
      <c r="R854" s="1"/>
      <c r="S854" s="1"/>
      <c r="T854" s="1"/>
    </row>
    <row r="855" ht="14.25" customHeight="1">
      <c r="A855" s="52"/>
      <c r="B855" s="53"/>
      <c r="C855" s="53"/>
      <c r="D855" s="53"/>
      <c r="E855" s="53"/>
      <c r="F855" s="53"/>
      <c r="G855" s="1"/>
      <c r="H855" s="1"/>
      <c r="I855" s="1"/>
      <c r="J855" s="1"/>
      <c r="K855" s="1"/>
      <c r="L855" s="1"/>
      <c r="M855" s="1"/>
      <c r="N855" s="1"/>
      <c r="O855" s="1"/>
      <c r="P855" s="1"/>
      <c r="Q855" s="1"/>
      <c r="R855" s="1"/>
      <c r="S855" s="1"/>
      <c r="T855" s="1"/>
    </row>
    <row r="856" ht="14.25" customHeight="1">
      <c r="A856" s="52"/>
      <c r="B856" s="53"/>
      <c r="C856" s="53"/>
      <c r="D856" s="53"/>
      <c r="E856" s="53"/>
      <c r="F856" s="53"/>
      <c r="G856" s="1"/>
      <c r="H856" s="1"/>
      <c r="I856" s="1"/>
      <c r="J856" s="1"/>
      <c r="K856" s="1"/>
      <c r="L856" s="1"/>
      <c r="M856" s="1"/>
      <c r="N856" s="1"/>
      <c r="O856" s="1"/>
      <c r="P856" s="1"/>
      <c r="Q856" s="1"/>
      <c r="R856" s="1"/>
      <c r="S856" s="1"/>
      <c r="T856" s="1"/>
    </row>
    <row r="857" ht="14.25" customHeight="1">
      <c r="A857" s="52"/>
      <c r="B857" s="53"/>
      <c r="C857" s="53"/>
      <c r="D857" s="53"/>
      <c r="E857" s="53"/>
      <c r="F857" s="53"/>
      <c r="G857" s="1"/>
      <c r="H857" s="1"/>
      <c r="I857" s="1"/>
      <c r="J857" s="1"/>
      <c r="K857" s="1"/>
      <c r="L857" s="1"/>
      <c r="M857" s="1"/>
      <c r="N857" s="1"/>
      <c r="O857" s="1"/>
      <c r="P857" s="1"/>
      <c r="Q857" s="1"/>
      <c r="R857" s="1"/>
      <c r="S857" s="1"/>
      <c r="T857" s="1"/>
    </row>
    <row r="858" ht="14.25" customHeight="1">
      <c r="A858" s="52"/>
      <c r="B858" s="53"/>
      <c r="C858" s="53"/>
      <c r="D858" s="53"/>
      <c r="E858" s="53"/>
      <c r="F858" s="53"/>
      <c r="G858" s="1"/>
      <c r="H858" s="1"/>
      <c r="I858" s="1"/>
      <c r="J858" s="1"/>
      <c r="K858" s="1"/>
      <c r="L858" s="1"/>
      <c r="M858" s="1"/>
      <c r="N858" s="1"/>
      <c r="O858" s="1"/>
      <c r="P858" s="1"/>
      <c r="Q858" s="1"/>
      <c r="R858" s="1"/>
      <c r="S858" s="1"/>
      <c r="T858" s="1"/>
    </row>
    <row r="859" ht="14.25" customHeight="1">
      <c r="A859" s="52"/>
      <c r="B859" s="53"/>
      <c r="C859" s="53"/>
      <c r="D859" s="53"/>
      <c r="E859" s="53"/>
      <c r="F859" s="53"/>
      <c r="G859" s="1"/>
      <c r="H859" s="1"/>
      <c r="I859" s="1"/>
      <c r="J859" s="1"/>
      <c r="K859" s="1"/>
      <c r="L859" s="1"/>
      <c r="M859" s="1"/>
      <c r="N859" s="1"/>
      <c r="O859" s="1"/>
      <c r="P859" s="1"/>
      <c r="Q859" s="1"/>
      <c r="R859" s="1"/>
      <c r="S859" s="1"/>
      <c r="T859" s="1"/>
    </row>
    <row r="860" ht="14.25" customHeight="1">
      <c r="A860" s="52"/>
      <c r="B860" s="53"/>
      <c r="C860" s="53"/>
      <c r="D860" s="53"/>
      <c r="E860" s="53"/>
      <c r="F860" s="53"/>
      <c r="G860" s="1"/>
      <c r="H860" s="1"/>
      <c r="I860" s="1"/>
      <c r="J860" s="1"/>
      <c r="K860" s="1"/>
      <c r="L860" s="1"/>
      <c r="M860" s="1"/>
      <c r="N860" s="1"/>
      <c r="O860" s="1"/>
      <c r="P860" s="1"/>
      <c r="Q860" s="1"/>
      <c r="R860" s="1"/>
      <c r="S860" s="1"/>
      <c r="T860" s="1"/>
    </row>
    <row r="861" ht="14.25" customHeight="1">
      <c r="A861" s="52"/>
      <c r="B861" s="53"/>
      <c r="C861" s="53"/>
      <c r="D861" s="53"/>
      <c r="E861" s="53"/>
      <c r="F861" s="53"/>
      <c r="G861" s="1"/>
      <c r="H861" s="1"/>
      <c r="I861" s="1"/>
      <c r="J861" s="1"/>
      <c r="K861" s="1"/>
      <c r="L861" s="1"/>
      <c r="M861" s="1"/>
      <c r="N861" s="1"/>
      <c r="O861" s="1"/>
      <c r="P861" s="1"/>
      <c r="Q861" s="1"/>
      <c r="R861" s="1"/>
      <c r="S861" s="1"/>
      <c r="T861" s="1"/>
    </row>
    <row r="862" ht="14.25" customHeight="1">
      <c r="A862" s="52"/>
      <c r="B862" s="53"/>
      <c r="C862" s="53"/>
      <c r="D862" s="53"/>
      <c r="E862" s="53"/>
      <c r="F862" s="53"/>
      <c r="G862" s="1"/>
      <c r="H862" s="1"/>
      <c r="I862" s="1"/>
      <c r="J862" s="1"/>
      <c r="K862" s="1"/>
      <c r="L862" s="1"/>
      <c r="M862" s="1"/>
      <c r="N862" s="1"/>
      <c r="O862" s="1"/>
      <c r="P862" s="1"/>
      <c r="Q862" s="1"/>
      <c r="R862" s="1"/>
      <c r="S862" s="1"/>
      <c r="T862" s="1"/>
    </row>
    <row r="863" ht="14.25" customHeight="1">
      <c r="A863" s="52"/>
      <c r="B863" s="53"/>
      <c r="C863" s="53"/>
      <c r="D863" s="53"/>
      <c r="E863" s="53"/>
      <c r="F863" s="53"/>
      <c r="G863" s="1"/>
      <c r="H863" s="1"/>
      <c r="I863" s="1"/>
      <c r="J863" s="1"/>
      <c r="K863" s="1"/>
      <c r="L863" s="1"/>
      <c r="M863" s="1"/>
      <c r="N863" s="1"/>
      <c r="O863" s="1"/>
      <c r="P863" s="1"/>
      <c r="Q863" s="1"/>
      <c r="R863" s="1"/>
      <c r="S863" s="1"/>
      <c r="T863" s="1"/>
    </row>
    <row r="864" ht="14.25" customHeight="1">
      <c r="A864" s="52"/>
      <c r="B864" s="53"/>
      <c r="C864" s="53"/>
      <c r="D864" s="53"/>
      <c r="E864" s="53"/>
      <c r="F864" s="53"/>
      <c r="G864" s="1"/>
      <c r="H864" s="1"/>
      <c r="I864" s="1"/>
      <c r="J864" s="1"/>
      <c r="K864" s="1"/>
      <c r="L864" s="1"/>
      <c r="M864" s="1"/>
      <c r="N864" s="1"/>
      <c r="O864" s="1"/>
      <c r="P864" s="1"/>
      <c r="Q864" s="1"/>
      <c r="R864" s="1"/>
      <c r="S864" s="1"/>
      <c r="T864" s="1"/>
    </row>
    <row r="865" ht="14.25" customHeight="1">
      <c r="A865" s="52"/>
      <c r="B865" s="53"/>
      <c r="C865" s="53"/>
      <c r="D865" s="53"/>
      <c r="E865" s="53"/>
      <c r="F865" s="53"/>
      <c r="G865" s="1"/>
      <c r="H865" s="1"/>
      <c r="I865" s="1"/>
      <c r="J865" s="1"/>
      <c r="K865" s="1"/>
      <c r="L865" s="1"/>
      <c r="M865" s="1"/>
      <c r="N865" s="1"/>
      <c r="O865" s="1"/>
      <c r="P865" s="1"/>
      <c r="Q865" s="1"/>
      <c r="R865" s="1"/>
      <c r="S865" s="1"/>
      <c r="T865" s="1"/>
    </row>
    <row r="866" ht="14.25" customHeight="1">
      <c r="A866" s="52"/>
      <c r="B866" s="53"/>
      <c r="C866" s="53"/>
      <c r="D866" s="53"/>
      <c r="E866" s="53"/>
      <c r="F866" s="53"/>
      <c r="G866" s="1"/>
      <c r="H866" s="1"/>
      <c r="I866" s="1"/>
      <c r="J866" s="1"/>
      <c r="K866" s="1"/>
      <c r="L866" s="1"/>
      <c r="M866" s="1"/>
      <c r="N866" s="1"/>
      <c r="O866" s="1"/>
      <c r="P866" s="1"/>
      <c r="Q866" s="1"/>
      <c r="R866" s="1"/>
      <c r="S866" s="1"/>
      <c r="T866" s="1"/>
    </row>
    <row r="867" ht="14.25" customHeight="1">
      <c r="A867" s="52"/>
      <c r="B867" s="53"/>
      <c r="C867" s="53"/>
      <c r="D867" s="53"/>
      <c r="E867" s="53"/>
      <c r="F867" s="53"/>
      <c r="G867" s="1"/>
      <c r="H867" s="1"/>
      <c r="I867" s="1"/>
      <c r="J867" s="1"/>
      <c r="K867" s="1"/>
      <c r="L867" s="1"/>
      <c r="M867" s="1"/>
      <c r="N867" s="1"/>
      <c r="O867" s="1"/>
      <c r="P867" s="1"/>
      <c r="Q867" s="1"/>
      <c r="R867" s="1"/>
      <c r="S867" s="1"/>
      <c r="T867" s="1"/>
    </row>
    <row r="868" ht="14.25" customHeight="1">
      <c r="A868" s="52"/>
      <c r="B868" s="53"/>
      <c r="C868" s="53"/>
      <c r="D868" s="53"/>
      <c r="E868" s="53"/>
      <c r="F868" s="53"/>
      <c r="G868" s="1"/>
      <c r="H868" s="1"/>
      <c r="I868" s="1"/>
      <c r="J868" s="1"/>
      <c r="K868" s="1"/>
      <c r="L868" s="1"/>
      <c r="M868" s="1"/>
      <c r="N868" s="1"/>
      <c r="O868" s="1"/>
      <c r="P868" s="1"/>
      <c r="Q868" s="1"/>
      <c r="R868" s="1"/>
      <c r="S868" s="1"/>
      <c r="T868" s="1"/>
    </row>
    <row r="869" ht="14.25" customHeight="1">
      <c r="A869" s="52"/>
      <c r="B869" s="53"/>
      <c r="C869" s="53"/>
      <c r="D869" s="53"/>
      <c r="E869" s="53"/>
      <c r="F869" s="53"/>
      <c r="G869" s="1"/>
      <c r="H869" s="1"/>
      <c r="I869" s="1"/>
      <c r="J869" s="1"/>
      <c r="K869" s="1"/>
      <c r="L869" s="1"/>
      <c r="M869" s="1"/>
      <c r="N869" s="1"/>
      <c r="O869" s="1"/>
      <c r="P869" s="1"/>
      <c r="Q869" s="1"/>
      <c r="R869" s="1"/>
      <c r="S869" s="1"/>
      <c r="T869" s="1"/>
    </row>
    <row r="870" ht="14.25" customHeight="1">
      <c r="A870" s="52"/>
      <c r="B870" s="53"/>
      <c r="C870" s="53"/>
      <c r="D870" s="53"/>
      <c r="E870" s="53"/>
      <c r="F870" s="53"/>
      <c r="G870" s="1"/>
      <c r="H870" s="1"/>
      <c r="I870" s="1"/>
      <c r="J870" s="1"/>
      <c r="K870" s="1"/>
      <c r="L870" s="1"/>
      <c r="M870" s="1"/>
      <c r="N870" s="1"/>
      <c r="O870" s="1"/>
      <c r="P870" s="1"/>
      <c r="Q870" s="1"/>
      <c r="R870" s="1"/>
      <c r="S870" s="1"/>
      <c r="T870" s="1"/>
    </row>
    <row r="871" ht="14.25" customHeight="1">
      <c r="A871" s="52"/>
      <c r="B871" s="53"/>
      <c r="C871" s="53"/>
      <c r="D871" s="53"/>
      <c r="E871" s="53"/>
      <c r="F871" s="53"/>
      <c r="G871" s="1"/>
      <c r="H871" s="1"/>
      <c r="I871" s="1"/>
      <c r="J871" s="1"/>
      <c r="K871" s="1"/>
      <c r="L871" s="1"/>
      <c r="M871" s="1"/>
      <c r="N871" s="1"/>
      <c r="O871" s="1"/>
      <c r="P871" s="1"/>
      <c r="Q871" s="1"/>
      <c r="R871" s="1"/>
      <c r="S871" s="1"/>
      <c r="T871" s="1"/>
    </row>
    <row r="872" ht="14.25" customHeight="1">
      <c r="A872" s="52"/>
      <c r="B872" s="53"/>
      <c r="C872" s="53"/>
      <c r="D872" s="53"/>
      <c r="E872" s="53"/>
      <c r="F872" s="53"/>
      <c r="G872" s="1"/>
      <c r="H872" s="1"/>
      <c r="I872" s="1"/>
      <c r="J872" s="1"/>
      <c r="K872" s="1"/>
      <c r="L872" s="1"/>
      <c r="M872" s="1"/>
      <c r="N872" s="1"/>
      <c r="O872" s="1"/>
      <c r="P872" s="1"/>
      <c r="Q872" s="1"/>
      <c r="R872" s="1"/>
      <c r="S872" s="1"/>
      <c r="T872" s="1"/>
    </row>
    <row r="873" ht="14.25" customHeight="1">
      <c r="A873" s="52"/>
      <c r="B873" s="53"/>
      <c r="C873" s="53"/>
      <c r="D873" s="53"/>
      <c r="E873" s="53"/>
      <c r="F873" s="53"/>
      <c r="G873" s="1"/>
      <c r="H873" s="1"/>
      <c r="I873" s="1"/>
      <c r="J873" s="1"/>
      <c r="K873" s="1"/>
      <c r="L873" s="1"/>
      <c r="M873" s="1"/>
      <c r="N873" s="1"/>
      <c r="O873" s="1"/>
      <c r="P873" s="1"/>
      <c r="Q873" s="1"/>
      <c r="R873" s="1"/>
      <c r="S873" s="1"/>
      <c r="T873" s="1"/>
    </row>
    <row r="874" ht="14.25" customHeight="1">
      <c r="A874" s="52"/>
      <c r="B874" s="53"/>
      <c r="C874" s="53"/>
      <c r="D874" s="53"/>
      <c r="E874" s="53"/>
      <c r="F874" s="53"/>
      <c r="G874" s="1"/>
      <c r="H874" s="1"/>
      <c r="I874" s="1"/>
      <c r="J874" s="1"/>
      <c r="K874" s="1"/>
      <c r="L874" s="1"/>
      <c r="M874" s="1"/>
      <c r="N874" s="1"/>
      <c r="O874" s="1"/>
      <c r="P874" s="1"/>
      <c r="Q874" s="1"/>
      <c r="R874" s="1"/>
      <c r="S874" s="1"/>
      <c r="T874" s="1"/>
    </row>
    <row r="875" ht="14.25" customHeight="1">
      <c r="A875" s="52"/>
      <c r="B875" s="53"/>
      <c r="C875" s="53"/>
      <c r="D875" s="53"/>
      <c r="E875" s="53"/>
      <c r="F875" s="53"/>
      <c r="G875" s="1"/>
      <c r="H875" s="1"/>
      <c r="I875" s="1"/>
      <c r="J875" s="1"/>
      <c r="K875" s="1"/>
      <c r="L875" s="1"/>
      <c r="M875" s="1"/>
      <c r="N875" s="1"/>
      <c r="O875" s="1"/>
      <c r="P875" s="1"/>
      <c r="Q875" s="1"/>
      <c r="R875" s="1"/>
      <c r="S875" s="1"/>
      <c r="T875" s="1"/>
    </row>
    <row r="876" ht="14.25" customHeight="1">
      <c r="A876" s="52"/>
      <c r="B876" s="53"/>
      <c r="C876" s="53"/>
      <c r="D876" s="53"/>
      <c r="E876" s="53"/>
      <c r="F876" s="53"/>
      <c r="G876" s="1"/>
      <c r="H876" s="1"/>
      <c r="I876" s="1"/>
      <c r="J876" s="1"/>
      <c r="K876" s="1"/>
      <c r="L876" s="1"/>
      <c r="M876" s="1"/>
      <c r="N876" s="1"/>
      <c r="O876" s="1"/>
      <c r="P876" s="1"/>
      <c r="Q876" s="1"/>
      <c r="R876" s="1"/>
      <c r="S876" s="1"/>
      <c r="T876" s="1"/>
    </row>
    <row r="877" ht="14.25" customHeight="1">
      <c r="A877" s="52"/>
      <c r="B877" s="53"/>
      <c r="C877" s="53"/>
      <c r="D877" s="53"/>
      <c r="E877" s="53"/>
      <c r="F877" s="53"/>
      <c r="G877" s="1"/>
      <c r="H877" s="1"/>
      <c r="I877" s="1"/>
      <c r="J877" s="1"/>
      <c r="K877" s="1"/>
      <c r="L877" s="1"/>
      <c r="M877" s="1"/>
      <c r="N877" s="1"/>
      <c r="O877" s="1"/>
      <c r="P877" s="1"/>
      <c r="Q877" s="1"/>
      <c r="R877" s="1"/>
      <c r="S877" s="1"/>
      <c r="T877" s="1"/>
    </row>
    <row r="878" ht="14.25" customHeight="1">
      <c r="A878" s="52"/>
      <c r="B878" s="53"/>
      <c r="C878" s="53"/>
      <c r="D878" s="53"/>
      <c r="E878" s="53"/>
      <c r="F878" s="53"/>
      <c r="G878" s="1"/>
      <c r="H878" s="1"/>
      <c r="I878" s="1"/>
      <c r="J878" s="1"/>
      <c r="K878" s="1"/>
      <c r="L878" s="1"/>
      <c r="M878" s="1"/>
      <c r="N878" s="1"/>
      <c r="O878" s="1"/>
      <c r="P878" s="1"/>
      <c r="Q878" s="1"/>
      <c r="R878" s="1"/>
      <c r="S878" s="1"/>
      <c r="T878" s="1"/>
    </row>
    <row r="879" ht="14.25" customHeight="1">
      <c r="A879" s="52"/>
      <c r="B879" s="53"/>
      <c r="C879" s="53"/>
      <c r="D879" s="53"/>
      <c r="E879" s="53"/>
      <c r="F879" s="53"/>
      <c r="G879" s="1"/>
      <c r="H879" s="1"/>
      <c r="I879" s="1"/>
      <c r="J879" s="1"/>
      <c r="K879" s="1"/>
      <c r="L879" s="1"/>
      <c r="M879" s="1"/>
      <c r="N879" s="1"/>
      <c r="O879" s="1"/>
      <c r="P879" s="1"/>
      <c r="Q879" s="1"/>
      <c r="R879" s="1"/>
      <c r="S879" s="1"/>
      <c r="T879" s="1"/>
    </row>
    <row r="880" ht="14.25" customHeight="1">
      <c r="A880" s="52"/>
      <c r="B880" s="53"/>
      <c r="C880" s="53"/>
      <c r="D880" s="53"/>
      <c r="E880" s="53"/>
      <c r="F880" s="53"/>
      <c r="G880" s="1"/>
      <c r="H880" s="1"/>
      <c r="I880" s="1"/>
      <c r="J880" s="1"/>
      <c r="K880" s="1"/>
      <c r="L880" s="1"/>
      <c r="M880" s="1"/>
      <c r="N880" s="1"/>
      <c r="O880" s="1"/>
      <c r="P880" s="1"/>
      <c r="Q880" s="1"/>
      <c r="R880" s="1"/>
      <c r="S880" s="1"/>
      <c r="T880" s="1"/>
    </row>
    <row r="881" ht="14.25" customHeight="1">
      <c r="A881" s="52"/>
      <c r="B881" s="53"/>
      <c r="C881" s="53"/>
      <c r="D881" s="53"/>
      <c r="E881" s="53"/>
      <c r="F881" s="53"/>
      <c r="G881" s="1"/>
      <c r="H881" s="1"/>
      <c r="I881" s="1"/>
      <c r="J881" s="1"/>
      <c r="K881" s="1"/>
      <c r="L881" s="1"/>
      <c r="M881" s="1"/>
      <c r="N881" s="1"/>
      <c r="O881" s="1"/>
      <c r="P881" s="1"/>
      <c r="Q881" s="1"/>
      <c r="R881" s="1"/>
      <c r="S881" s="1"/>
      <c r="T881" s="1"/>
    </row>
    <row r="882" ht="14.25" customHeight="1">
      <c r="A882" s="52"/>
      <c r="B882" s="53"/>
      <c r="C882" s="53"/>
      <c r="D882" s="53"/>
      <c r="E882" s="53"/>
      <c r="F882" s="53"/>
      <c r="G882" s="1"/>
      <c r="H882" s="1"/>
      <c r="I882" s="1"/>
      <c r="J882" s="1"/>
      <c r="K882" s="1"/>
      <c r="L882" s="1"/>
      <c r="M882" s="1"/>
      <c r="N882" s="1"/>
      <c r="O882" s="1"/>
      <c r="P882" s="1"/>
      <c r="Q882" s="1"/>
      <c r="R882" s="1"/>
      <c r="S882" s="1"/>
      <c r="T882" s="1"/>
    </row>
    <row r="883" ht="14.25" customHeight="1">
      <c r="A883" s="52"/>
      <c r="B883" s="53"/>
      <c r="C883" s="53"/>
      <c r="D883" s="53"/>
      <c r="E883" s="53"/>
      <c r="F883" s="53"/>
      <c r="G883" s="1"/>
      <c r="H883" s="1"/>
      <c r="I883" s="1"/>
      <c r="J883" s="1"/>
      <c r="K883" s="1"/>
      <c r="L883" s="1"/>
      <c r="M883" s="1"/>
      <c r="N883" s="1"/>
      <c r="O883" s="1"/>
      <c r="P883" s="1"/>
      <c r="Q883" s="1"/>
      <c r="R883" s="1"/>
      <c r="S883" s="1"/>
      <c r="T883" s="1"/>
    </row>
    <row r="884" ht="14.25" customHeight="1">
      <c r="A884" s="52"/>
      <c r="B884" s="53"/>
      <c r="C884" s="53"/>
      <c r="D884" s="53"/>
      <c r="E884" s="53"/>
      <c r="F884" s="53"/>
      <c r="G884" s="1"/>
      <c r="H884" s="1"/>
      <c r="I884" s="1"/>
      <c r="J884" s="1"/>
      <c r="K884" s="1"/>
      <c r="L884" s="1"/>
      <c r="M884" s="1"/>
      <c r="N884" s="1"/>
      <c r="O884" s="1"/>
      <c r="P884" s="1"/>
      <c r="Q884" s="1"/>
      <c r="R884" s="1"/>
      <c r="S884" s="1"/>
      <c r="T884" s="1"/>
    </row>
    <row r="885" ht="14.25" customHeight="1">
      <c r="A885" s="52"/>
      <c r="B885" s="53"/>
      <c r="C885" s="53"/>
      <c r="D885" s="53"/>
      <c r="E885" s="53"/>
      <c r="F885" s="53"/>
      <c r="G885" s="1"/>
      <c r="H885" s="1"/>
      <c r="I885" s="1"/>
      <c r="J885" s="1"/>
      <c r="K885" s="1"/>
      <c r="L885" s="1"/>
      <c r="M885" s="1"/>
      <c r="N885" s="1"/>
      <c r="O885" s="1"/>
      <c r="P885" s="1"/>
      <c r="Q885" s="1"/>
      <c r="R885" s="1"/>
      <c r="S885" s="1"/>
      <c r="T885" s="1"/>
    </row>
    <row r="886" ht="14.25" customHeight="1">
      <c r="A886" s="52"/>
      <c r="B886" s="53"/>
      <c r="C886" s="53"/>
      <c r="D886" s="53"/>
      <c r="E886" s="53"/>
      <c r="F886" s="53"/>
      <c r="G886" s="1"/>
      <c r="H886" s="1"/>
      <c r="I886" s="1"/>
      <c r="J886" s="1"/>
      <c r="K886" s="1"/>
      <c r="L886" s="1"/>
      <c r="M886" s="1"/>
      <c r="N886" s="1"/>
      <c r="O886" s="1"/>
      <c r="P886" s="1"/>
      <c r="Q886" s="1"/>
      <c r="R886" s="1"/>
      <c r="S886" s="1"/>
      <c r="T886" s="1"/>
    </row>
    <row r="887" ht="14.25" customHeight="1">
      <c r="A887" s="52"/>
      <c r="B887" s="53"/>
      <c r="C887" s="53"/>
      <c r="D887" s="53"/>
      <c r="E887" s="53"/>
      <c r="F887" s="53"/>
      <c r="G887" s="1"/>
      <c r="H887" s="1"/>
      <c r="I887" s="1"/>
      <c r="J887" s="1"/>
      <c r="K887" s="1"/>
      <c r="L887" s="1"/>
      <c r="M887" s="1"/>
      <c r="N887" s="1"/>
      <c r="O887" s="1"/>
      <c r="P887" s="1"/>
      <c r="Q887" s="1"/>
      <c r="R887" s="1"/>
      <c r="S887" s="1"/>
      <c r="T887" s="1"/>
    </row>
    <row r="888" ht="14.25" customHeight="1">
      <c r="A888" s="52"/>
      <c r="B888" s="53"/>
      <c r="C888" s="53"/>
      <c r="D888" s="53"/>
      <c r="E888" s="53"/>
      <c r="F888" s="53"/>
      <c r="G888" s="1"/>
      <c r="H888" s="1"/>
      <c r="I888" s="1"/>
      <c r="J888" s="1"/>
      <c r="K888" s="1"/>
      <c r="L888" s="1"/>
      <c r="M888" s="1"/>
      <c r="N888" s="1"/>
      <c r="O888" s="1"/>
      <c r="P888" s="1"/>
      <c r="Q888" s="1"/>
      <c r="R888" s="1"/>
      <c r="S888" s="1"/>
      <c r="T888" s="1"/>
    </row>
    <row r="889" ht="14.25" customHeight="1">
      <c r="A889" s="52"/>
      <c r="B889" s="53"/>
      <c r="C889" s="53"/>
      <c r="D889" s="53"/>
      <c r="E889" s="53"/>
      <c r="F889" s="53"/>
      <c r="G889" s="1"/>
      <c r="H889" s="1"/>
      <c r="I889" s="1"/>
      <c r="J889" s="1"/>
      <c r="K889" s="1"/>
      <c r="L889" s="1"/>
      <c r="M889" s="1"/>
      <c r="N889" s="1"/>
      <c r="O889" s="1"/>
      <c r="P889" s="1"/>
      <c r="Q889" s="1"/>
      <c r="R889" s="1"/>
      <c r="S889" s="1"/>
      <c r="T889" s="1"/>
    </row>
    <row r="890" ht="14.25" customHeight="1">
      <c r="A890" s="52"/>
      <c r="B890" s="53"/>
      <c r="C890" s="53"/>
      <c r="D890" s="53"/>
      <c r="E890" s="53"/>
      <c r="F890" s="53"/>
      <c r="G890" s="1"/>
      <c r="H890" s="1"/>
      <c r="I890" s="1"/>
      <c r="J890" s="1"/>
      <c r="K890" s="1"/>
      <c r="L890" s="1"/>
      <c r="M890" s="1"/>
      <c r="N890" s="1"/>
      <c r="O890" s="1"/>
      <c r="P890" s="1"/>
      <c r="Q890" s="1"/>
      <c r="R890" s="1"/>
      <c r="S890" s="1"/>
      <c r="T890" s="1"/>
    </row>
    <row r="891" ht="14.25" customHeight="1">
      <c r="A891" s="52"/>
      <c r="B891" s="53"/>
      <c r="C891" s="53"/>
      <c r="D891" s="53"/>
      <c r="E891" s="53"/>
      <c r="F891" s="53"/>
      <c r="G891" s="1"/>
      <c r="H891" s="1"/>
      <c r="I891" s="1"/>
      <c r="J891" s="1"/>
      <c r="K891" s="1"/>
      <c r="L891" s="1"/>
      <c r="M891" s="1"/>
      <c r="N891" s="1"/>
      <c r="O891" s="1"/>
      <c r="P891" s="1"/>
      <c r="Q891" s="1"/>
      <c r="R891" s="1"/>
      <c r="S891" s="1"/>
      <c r="T891" s="1"/>
    </row>
    <row r="892" ht="14.25" customHeight="1">
      <c r="A892" s="52"/>
      <c r="B892" s="53"/>
      <c r="C892" s="53"/>
      <c r="D892" s="53"/>
      <c r="E892" s="53"/>
      <c r="F892" s="53"/>
      <c r="G892" s="1"/>
      <c r="H892" s="1"/>
      <c r="I892" s="1"/>
      <c r="J892" s="1"/>
      <c r="K892" s="1"/>
      <c r="L892" s="1"/>
      <c r="M892" s="1"/>
      <c r="N892" s="1"/>
      <c r="O892" s="1"/>
      <c r="P892" s="1"/>
      <c r="Q892" s="1"/>
      <c r="R892" s="1"/>
      <c r="S892" s="1"/>
      <c r="T892" s="1"/>
    </row>
    <row r="893" ht="14.25" customHeight="1">
      <c r="A893" s="52"/>
      <c r="B893" s="53"/>
      <c r="C893" s="53"/>
      <c r="D893" s="53"/>
      <c r="E893" s="53"/>
      <c r="F893" s="53"/>
      <c r="G893" s="1"/>
      <c r="H893" s="1"/>
      <c r="I893" s="1"/>
      <c r="J893" s="1"/>
      <c r="K893" s="1"/>
      <c r="L893" s="1"/>
      <c r="M893" s="1"/>
      <c r="N893" s="1"/>
      <c r="O893" s="1"/>
      <c r="P893" s="1"/>
      <c r="Q893" s="1"/>
      <c r="R893" s="1"/>
      <c r="S893" s="1"/>
      <c r="T893" s="1"/>
    </row>
    <row r="894" ht="14.25" customHeight="1">
      <c r="A894" s="52"/>
      <c r="B894" s="53"/>
      <c r="C894" s="53"/>
      <c r="D894" s="53"/>
      <c r="E894" s="53"/>
      <c r="F894" s="53"/>
      <c r="G894" s="1"/>
      <c r="H894" s="1"/>
      <c r="I894" s="1"/>
      <c r="J894" s="1"/>
      <c r="K894" s="1"/>
      <c r="L894" s="1"/>
      <c r="M894" s="1"/>
      <c r="N894" s="1"/>
      <c r="O894" s="1"/>
      <c r="P894" s="1"/>
      <c r="Q894" s="1"/>
      <c r="R894" s="1"/>
      <c r="S894" s="1"/>
      <c r="T894" s="1"/>
    </row>
    <row r="895" ht="14.25" customHeight="1">
      <c r="A895" s="52"/>
      <c r="B895" s="53"/>
      <c r="C895" s="53"/>
      <c r="D895" s="53"/>
      <c r="E895" s="53"/>
      <c r="F895" s="53"/>
      <c r="G895" s="1"/>
      <c r="H895" s="1"/>
      <c r="I895" s="1"/>
      <c r="J895" s="1"/>
      <c r="K895" s="1"/>
      <c r="L895" s="1"/>
      <c r="M895" s="1"/>
      <c r="N895" s="1"/>
      <c r="O895" s="1"/>
      <c r="P895" s="1"/>
      <c r="Q895" s="1"/>
      <c r="R895" s="1"/>
      <c r="S895" s="1"/>
      <c r="T895" s="1"/>
    </row>
    <row r="896" ht="14.25" customHeight="1">
      <c r="A896" s="52"/>
      <c r="B896" s="53"/>
      <c r="C896" s="53"/>
      <c r="D896" s="53"/>
      <c r="E896" s="53"/>
      <c r="F896" s="53"/>
      <c r="G896" s="1"/>
      <c r="H896" s="1"/>
      <c r="I896" s="1"/>
      <c r="J896" s="1"/>
      <c r="K896" s="1"/>
      <c r="L896" s="1"/>
      <c r="M896" s="1"/>
      <c r="N896" s="1"/>
      <c r="O896" s="1"/>
      <c r="P896" s="1"/>
      <c r="Q896" s="1"/>
      <c r="R896" s="1"/>
      <c r="S896" s="1"/>
      <c r="T896" s="1"/>
    </row>
    <row r="897" ht="14.25" customHeight="1">
      <c r="A897" s="52"/>
      <c r="B897" s="53"/>
      <c r="C897" s="53"/>
      <c r="D897" s="53"/>
      <c r="E897" s="53"/>
      <c r="F897" s="53"/>
      <c r="G897" s="1"/>
      <c r="H897" s="1"/>
      <c r="I897" s="1"/>
      <c r="J897" s="1"/>
      <c r="K897" s="1"/>
      <c r="L897" s="1"/>
      <c r="M897" s="1"/>
      <c r="N897" s="1"/>
      <c r="O897" s="1"/>
      <c r="P897" s="1"/>
      <c r="Q897" s="1"/>
      <c r="R897" s="1"/>
      <c r="S897" s="1"/>
      <c r="T897" s="1"/>
    </row>
    <row r="898" ht="14.25" customHeight="1">
      <c r="A898" s="52"/>
      <c r="B898" s="53"/>
      <c r="C898" s="53"/>
      <c r="D898" s="53"/>
      <c r="E898" s="53"/>
      <c r="F898" s="53"/>
      <c r="G898" s="1"/>
      <c r="H898" s="1"/>
      <c r="I898" s="1"/>
      <c r="J898" s="1"/>
      <c r="K898" s="1"/>
      <c r="L898" s="1"/>
      <c r="M898" s="1"/>
      <c r="N898" s="1"/>
      <c r="O898" s="1"/>
      <c r="P898" s="1"/>
      <c r="Q898" s="1"/>
      <c r="R898" s="1"/>
      <c r="S898" s="1"/>
      <c r="T898" s="1"/>
    </row>
    <row r="899" ht="14.25" customHeight="1">
      <c r="A899" s="52"/>
      <c r="B899" s="53"/>
      <c r="C899" s="53"/>
      <c r="D899" s="53"/>
      <c r="E899" s="53"/>
      <c r="F899" s="53"/>
      <c r="G899" s="1"/>
      <c r="H899" s="1"/>
      <c r="I899" s="1"/>
      <c r="J899" s="1"/>
      <c r="K899" s="1"/>
      <c r="L899" s="1"/>
      <c r="M899" s="1"/>
      <c r="N899" s="1"/>
      <c r="O899" s="1"/>
      <c r="P899" s="1"/>
      <c r="Q899" s="1"/>
      <c r="R899" s="1"/>
      <c r="S899" s="1"/>
      <c r="T899" s="1"/>
    </row>
    <row r="900" ht="14.25" customHeight="1">
      <c r="A900" s="52"/>
      <c r="B900" s="53"/>
      <c r="C900" s="53"/>
      <c r="D900" s="53"/>
      <c r="E900" s="53"/>
      <c r="F900" s="53"/>
      <c r="G900" s="1"/>
      <c r="H900" s="1"/>
      <c r="I900" s="1"/>
      <c r="J900" s="1"/>
      <c r="K900" s="1"/>
      <c r="L900" s="1"/>
      <c r="M900" s="1"/>
      <c r="N900" s="1"/>
      <c r="O900" s="1"/>
      <c r="P900" s="1"/>
      <c r="Q900" s="1"/>
      <c r="R900" s="1"/>
      <c r="S900" s="1"/>
      <c r="T900" s="1"/>
    </row>
    <row r="901" ht="14.25" customHeight="1">
      <c r="A901" s="52"/>
      <c r="B901" s="53"/>
      <c r="C901" s="53"/>
      <c r="D901" s="53"/>
      <c r="E901" s="53"/>
      <c r="F901" s="53"/>
      <c r="G901" s="1"/>
      <c r="H901" s="1"/>
      <c r="I901" s="1"/>
      <c r="J901" s="1"/>
      <c r="K901" s="1"/>
      <c r="L901" s="1"/>
      <c r="M901" s="1"/>
      <c r="N901" s="1"/>
      <c r="O901" s="1"/>
      <c r="P901" s="1"/>
      <c r="Q901" s="1"/>
      <c r="R901" s="1"/>
      <c r="S901" s="1"/>
      <c r="T901" s="1"/>
    </row>
    <row r="902" ht="14.25" customHeight="1">
      <c r="A902" s="52"/>
      <c r="B902" s="53"/>
      <c r="C902" s="53"/>
      <c r="D902" s="53"/>
      <c r="E902" s="53"/>
      <c r="F902" s="53"/>
      <c r="G902" s="1"/>
      <c r="H902" s="1"/>
      <c r="I902" s="1"/>
      <c r="J902" s="1"/>
      <c r="K902" s="1"/>
      <c r="L902" s="1"/>
      <c r="M902" s="1"/>
      <c r="N902" s="1"/>
      <c r="O902" s="1"/>
      <c r="P902" s="1"/>
      <c r="Q902" s="1"/>
      <c r="R902" s="1"/>
      <c r="S902" s="1"/>
      <c r="T902" s="1"/>
    </row>
    <row r="903" ht="14.25" customHeight="1">
      <c r="A903" s="52"/>
      <c r="B903" s="53"/>
      <c r="C903" s="53"/>
      <c r="D903" s="53"/>
      <c r="E903" s="53"/>
      <c r="F903" s="53"/>
      <c r="G903" s="1"/>
      <c r="H903" s="1"/>
      <c r="I903" s="1"/>
      <c r="J903" s="1"/>
      <c r="K903" s="1"/>
      <c r="L903" s="1"/>
      <c r="M903" s="1"/>
      <c r="N903" s="1"/>
      <c r="O903" s="1"/>
      <c r="P903" s="1"/>
      <c r="Q903" s="1"/>
      <c r="R903" s="1"/>
      <c r="S903" s="1"/>
      <c r="T903" s="1"/>
    </row>
    <row r="904" ht="14.25" customHeight="1">
      <c r="A904" s="52"/>
      <c r="B904" s="53"/>
      <c r="C904" s="53"/>
      <c r="D904" s="53"/>
      <c r="E904" s="53"/>
      <c r="F904" s="53"/>
      <c r="G904" s="1"/>
      <c r="H904" s="1"/>
      <c r="I904" s="1"/>
      <c r="J904" s="1"/>
      <c r="K904" s="1"/>
      <c r="L904" s="1"/>
      <c r="M904" s="1"/>
      <c r="N904" s="1"/>
      <c r="O904" s="1"/>
      <c r="P904" s="1"/>
      <c r="Q904" s="1"/>
      <c r="R904" s="1"/>
      <c r="S904" s="1"/>
      <c r="T904" s="1"/>
    </row>
    <row r="905" ht="14.25" customHeight="1">
      <c r="A905" s="52"/>
      <c r="B905" s="53"/>
      <c r="C905" s="53"/>
      <c r="D905" s="53"/>
      <c r="E905" s="53"/>
      <c r="F905" s="53"/>
      <c r="G905" s="1"/>
      <c r="H905" s="1"/>
      <c r="I905" s="1"/>
      <c r="J905" s="1"/>
      <c r="K905" s="1"/>
      <c r="L905" s="1"/>
      <c r="M905" s="1"/>
      <c r="N905" s="1"/>
      <c r="O905" s="1"/>
      <c r="P905" s="1"/>
      <c r="Q905" s="1"/>
      <c r="R905" s="1"/>
      <c r="S905" s="1"/>
      <c r="T905" s="1"/>
    </row>
    <row r="906" ht="14.25" customHeight="1">
      <c r="A906" s="52"/>
      <c r="B906" s="53"/>
      <c r="C906" s="53"/>
      <c r="D906" s="53"/>
      <c r="E906" s="53"/>
      <c r="F906" s="53"/>
      <c r="G906" s="1"/>
      <c r="H906" s="1"/>
      <c r="I906" s="1"/>
      <c r="J906" s="1"/>
      <c r="K906" s="1"/>
      <c r="L906" s="1"/>
      <c r="M906" s="1"/>
      <c r="N906" s="1"/>
      <c r="O906" s="1"/>
      <c r="P906" s="1"/>
      <c r="Q906" s="1"/>
      <c r="R906" s="1"/>
      <c r="S906" s="1"/>
      <c r="T906" s="1"/>
    </row>
    <row r="907" ht="14.25" customHeight="1">
      <c r="A907" s="52"/>
      <c r="B907" s="53"/>
      <c r="C907" s="53"/>
      <c r="D907" s="53"/>
      <c r="E907" s="53"/>
      <c r="F907" s="53"/>
      <c r="G907" s="1"/>
      <c r="H907" s="1"/>
      <c r="I907" s="1"/>
      <c r="J907" s="1"/>
      <c r="K907" s="1"/>
      <c r="L907" s="1"/>
      <c r="M907" s="1"/>
      <c r="N907" s="1"/>
      <c r="O907" s="1"/>
      <c r="P907" s="1"/>
      <c r="Q907" s="1"/>
      <c r="R907" s="1"/>
      <c r="S907" s="1"/>
      <c r="T907" s="1"/>
    </row>
    <row r="908" ht="14.25" customHeight="1">
      <c r="A908" s="52"/>
      <c r="B908" s="53"/>
      <c r="C908" s="53"/>
      <c r="D908" s="53"/>
      <c r="E908" s="53"/>
      <c r="F908" s="53"/>
      <c r="G908" s="1"/>
      <c r="H908" s="1"/>
      <c r="I908" s="1"/>
      <c r="J908" s="1"/>
      <c r="K908" s="1"/>
      <c r="L908" s="1"/>
      <c r="M908" s="1"/>
      <c r="N908" s="1"/>
      <c r="O908" s="1"/>
      <c r="P908" s="1"/>
      <c r="Q908" s="1"/>
      <c r="R908" s="1"/>
      <c r="S908" s="1"/>
      <c r="T908" s="1"/>
    </row>
    <row r="909" ht="14.25" customHeight="1">
      <c r="A909" s="52"/>
      <c r="B909" s="53"/>
      <c r="C909" s="53"/>
      <c r="D909" s="53"/>
      <c r="E909" s="53"/>
      <c r="F909" s="53"/>
      <c r="G909" s="1"/>
      <c r="H909" s="1"/>
      <c r="I909" s="1"/>
      <c r="J909" s="1"/>
      <c r="K909" s="1"/>
      <c r="L909" s="1"/>
      <c r="M909" s="1"/>
      <c r="N909" s="1"/>
      <c r="O909" s="1"/>
      <c r="P909" s="1"/>
      <c r="Q909" s="1"/>
      <c r="R909" s="1"/>
      <c r="S909" s="1"/>
      <c r="T909" s="1"/>
    </row>
    <row r="910" ht="14.25" customHeight="1">
      <c r="A910" s="52"/>
      <c r="B910" s="53"/>
      <c r="C910" s="53"/>
      <c r="D910" s="53"/>
      <c r="E910" s="53"/>
      <c r="F910" s="53"/>
      <c r="G910" s="1"/>
      <c r="H910" s="1"/>
      <c r="I910" s="1"/>
      <c r="J910" s="1"/>
      <c r="K910" s="1"/>
      <c r="L910" s="1"/>
      <c r="M910" s="1"/>
      <c r="N910" s="1"/>
      <c r="O910" s="1"/>
      <c r="P910" s="1"/>
      <c r="Q910" s="1"/>
      <c r="R910" s="1"/>
      <c r="S910" s="1"/>
      <c r="T910" s="1"/>
    </row>
    <row r="911" ht="14.25" customHeight="1">
      <c r="A911" s="52"/>
      <c r="B911" s="53"/>
      <c r="C911" s="53"/>
      <c r="D911" s="53"/>
      <c r="E911" s="53"/>
      <c r="F911" s="53"/>
      <c r="G911" s="1"/>
      <c r="H911" s="1"/>
      <c r="I911" s="1"/>
      <c r="J911" s="1"/>
      <c r="K911" s="1"/>
      <c r="L911" s="1"/>
      <c r="M911" s="1"/>
      <c r="N911" s="1"/>
      <c r="O911" s="1"/>
      <c r="P911" s="1"/>
      <c r="Q911" s="1"/>
      <c r="R911" s="1"/>
      <c r="S911" s="1"/>
      <c r="T911" s="1"/>
    </row>
    <row r="912" ht="14.25" customHeight="1">
      <c r="A912" s="52"/>
      <c r="B912" s="53"/>
      <c r="C912" s="53"/>
      <c r="D912" s="53"/>
      <c r="E912" s="53"/>
      <c r="F912" s="53"/>
      <c r="G912" s="1"/>
      <c r="H912" s="1"/>
      <c r="I912" s="1"/>
      <c r="J912" s="1"/>
      <c r="K912" s="1"/>
      <c r="L912" s="1"/>
      <c r="M912" s="1"/>
      <c r="N912" s="1"/>
      <c r="O912" s="1"/>
      <c r="P912" s="1"/>
      <c r="Q912" s="1"/>
      <c r="R912" s="1"/>
      <c r="S912" s="1"/>
      <c r="T912" s="1"/>
    </row>
    <row r="913" ht="14.25" customHeight="1">
      <c r="A913" s="52"/>
      <c r="B913" s="53"/>
      <c r="C913" s="53"/>
      <c r="D913" s="53"/>
      <c r="E913" s="53"/>
      <c r="F913" s="53"/>
      <c r="G913" s="1"/>
      <c r="H913" s="1"/>
      <c r="I913" s="1"/>
      <c r="J913" s="1"/>
      <c r="K913" s="1"/>
      <c r="L913" s="1"/>
      <c r="M913" s="1"/>
      <c r="N913" s="1"/>
      <c r="O913" s="1"/>
      <c r="P913" s="1"/>
      <c r="Q913" s="1"/>
      <c r="R913" s="1"/>
      <c r="S913" s="1"/>
      <c r="T913" s="1"/>
    </row>
    <row r="914" ht="14.25" customHeight="1">
      <c r="A914" s="52"/>
      <c r="B914" s="53"/>
      <c r="C914" s="53"/>
      <c r="D914" s="53"/>
      <c r="E914" s="53"/>
      <c r="F914" s="53"/>
      <c r="G914" s="1"/>
      <c r="H914" s="1"/>
      <c r="I914" s="1"/>
      <c r="J914" s="1"/>
      <c r="K914" s="1"/>
      <c r="L914" s="1"/>
      <c r="M914" s="1"/>
      <c r="N914" s="1"/>
      <c r="O914" s="1"/>
      <c r="P914" s="1"/>
      <c r="Q914" s="1"/>
      <c r="R914" s="1"/>
      <c r="S914" s="1"/>
      <c r="T914" s="1"/>
    </row>
    <row r="915" ht="14.25" customHeight="1">
      <c r="A915" s="52"/>
      <c r="B915" s="53"/>
      <c r="C915" s="53"/>
      <c r="D915" s="53"/>
      <c r="E915" s="53"/>
      <c r="F915" s="53"/>
      <c r="G915" s="1"/>
      <c r="H915" s="1"/>
      <c r="I915" s="1"/>
      <c r="J915" s="1"/>
      <c r="K915" s="1"/>
      <c r="L915" s="1"/>
      <c r="M915" s="1"/>
      <c r="N915" s="1"/>
      <c r="O915" s="1"/>
      <c r="P915" s="1"/>
      <c r="Q915" s="1"/>
      <c r="R915" s="1"/>
      <c r="S915" s="1"/>
      <c r="T915" s="1"/>
    </row>
    <row r="916" ht="14.25" customHeight="1">
      <c r="A916" s="52"/>
      <c r="B916" s="53"/>
      <c r="C916" s="53"/>
      <c r="D916" s="53"/>
      <c r="E916" s="53"/>
      <c r="F916" s="53"/>
      <c r="G916" s="1"/>
      <c r="H916" s="1"/>
      <c r="I916" s="1"/>
      <c r="J916" s="1"/>
      <c r="K916" s="1"/>
      <c r="L916" s="1"/>
      <c r="M916" s="1"/>
      <c r="N916" s="1"/>
      <c r="O916" s="1"/>
      <c r="P916" s="1"/>
      <c r="Q916" s="1"/>
      <c r="R916" s="1"/>
      <c r="S916" s="1"/>
      <c r="T916" s="1"/>
    </row>
    <row r="917" ht="14.25" customHeight="1">
      <c r="A917" s="52"/>
      <c r="B917" s="53"/>
      <c r="C917" s="53"/>
      <c r="D917" s="53"/>
      <c r="E917" s="53"/>
      <c r="F917" s="53"/>
      <c r="G917" s="1"/>
      <c r="H917" s="1"/>
      <c r="I917" s="1"/>
      <c r="J917" s="1"/>
      <c r="K917" s="1"/>
      <c r="L917" s="1"/>
      <c r="M917" s="1"/>
      <c r="N917" s="1"/>
      <c r="O917" s="1"/>
      <c r="P917" s="1"/>
      <c r="Q917" s="1"/>
      <c r="R917" s="1"/>
      <c r="S917" s="1"/>
      <c r="T917" s="1"/>
    </row>
    <row r="918" ht="14.25" customHeight="1">
      <c r="A918" s="52"/>
      <c r="B918" s="53"/>
      <c r="C918" s="53"/>
      <c r="D918" s="53"/>
      <c r="E918" s="53"/>
      <c r="F918" s="53"/>
      <c r="G918" s="1"/>
      <c r="H918" s="1"/>
      <c r="I918" s="1"/>
      <c r="J918" s="1"/>
      <c r="K918" s="1"/>
      <c r="L918" s="1"/>
      <c r="M918" s="1"/>
      <c r="N918" s="1"/>
      <c r="O918" s="1"/>
      <c r="P918" s="1"/>
      <c r="Q918" s="1"/>
      <c r="R918" s="1"/>
      <c r="S918" s="1"/>
      <c r="T918" s="1"/>
    </row>
    <row r="919" ht="14.25" customHeight="1">
      <c r="A919" s="52"/>
      <c r="B919" s="53"/>
      <c r="C919" s="53"/>
      <c r="D919" s="53"/>
      <c r="E919" s="53"/>
      <c r="F919" s="53"/>
      <c r="G919" s="1"/>
      <c r="H919" s="1"/>
      <c r="I919" s="1"/>
      <c r="J919" s="1"/>
      <c r="K919" s="1"/>
      <c r="L919" s="1"/>
      <c r="M919" s="1"/>
      <c r="N919" s="1"/>
      <c r="O919" s="1"/>
      <c r="P919" s="1"/>
      <c r="Q919" s="1"/>
      <c r="R919" s="1"/>
      <c r="S919" s="1"/>
      <c r="T919" s="1"/>
    </row>
    <row r="920" ht="14.25" customHeight="1">
      <c r="A920" s="52"/>
      <c r="B920" s="53"/>
      <c r="C920" s="53"/>
      <c r="D920" s="53"/>
      <c r="E920" s="53"/>
      <c r="F920" s="53"/>
      <c r="G920" s="1"/>
      <c r="H920" s="1"/>
      <c r="I920" s="1"/>
      <c r="J920" s="1"/>
      <c r="K920" s="1"/>
      <c r="L920" s="1"/>
      <c r="M920" s="1"/>
      <c r="N920" s="1"/>
      <c r="O920" s="1"/>
      <c r="P920" s="1"/>
      <c r="Q920" s="1"/>
      <c r="R920" s="1"/>
      <c r="S920" s="1"/>
      <c r="T920" s="1"/>
    </row>
    <row r="921" ht="14.25" customHeight="1">
      <c r="A921" s="52"/>
      <c r="B921" s="53"/>
      <c r="C921" s="53"/>
      <c r="D921" s="53"/>
      <c r="E921" s="53"/>
      <c r="F921" s="53"/>
      <c r="G921" s="1"/>
      <c r="H921" s="1"/>
      <c r="I921" s="1"/>
      <c r="J921" s="1"/>
      <c r="K921" s="1"/>
      <c r="L921" s="1"/>
      <c r="M921" s="1"/>
      <c r="N921" s="1"/>
      <c r="O921" s="1"/>
      <c r="P921" s="1"/>
      <c r="Q921" s="1"/>
      <c r="R921" s="1"/>
      <c r="S921" s="1"/>
      <c r="T921" s="1"/>
    </row>
    <row r="922" ht="14.25" customHeight="1">
      <c r="A922" s="52"/>
      <c r="B922" s="53"/>
      <c r="C922" s="53"/>
      <c r="D922" s="53"/>
      <c r="E922" s="53"/>
      <c r="F922" s="53"/>
      <c r="G922" s="1"/>
      <c r="H922" s="1"/>
      <c r="I922" s="1"/>
      <c r="J922" s="1"/>
      <c r="K922" s="1"/>
      <c r="L922" s="1"/>
      <c r="M922" s="1"/>
      <c r="N922" s="1"/>
      <c r="O922" s="1"/>
      <c r="P922" s="1"/>
      <c r="Q922" s="1"/>
      <c r="R922" s="1"/>
      <c r="S922" s="1"/>
      <c r="T922" s="1"/>
    </row>
    <row r="923" ht="14.25" customHeight="1">
      <c r="A923" s="52"/>
      <c r="B923" s="53"/>
      <c r="C923" s="53"/>
      <c r="D923" s="53"/>
      <c r="E923" s="53"/>
      <c r="F923" s="53"/>
      <c r="G923" s="1"/>
      <c r="H923" s="1"/>
      <c r="I923" s="1"/>
      <c r="J923" s="1"/>
      <c r="K923" s="1"/>
      <c r="L923" s="1"/>
      <c r="M923" s="1"/>
      <c r="N923" s="1"/>
      <c r="O923" s="1"/>
      <c r="P923" s="1"/>
      <c r="Q923" s="1"/>
      <c r="R923" s="1"/>
      <c r="S923" s="1"/>
      <c r="T923" s="1"/>
    </row>
    <row r="924" ht="14.25" customHeight="1">
      <c r="A924" s="52"/>
      <c r="B924" s="53"/>
      <c r="C924" s="53"/>
      <c r="D924" s="53"/>
      <c r="E924" s="53"/>
      <c r="F924" s="53"/>
      <c r="G924" s="1"/>
      <c r="H924" s="1"/>
      <c r="I924" s="1"/>
      <c r="J924" s="1"/>
      <c r="K924" s="1"/>
      <c r="L924" s="1"/>
      <c r="M924" s="1"/>
      <c r="N924" s="1"/>
      <c r="O924" s="1"/>
      <c r="P924" s="1"/>
      <c r="Q924" s="1"/>
      <c r="R924" s="1"/>
      <c r="S924" s="1"/>
      <c r="T924" s="1"/>
    </row>
    <row r="925" ht="14.25" customHeight="1">
      <c r="A925" s="52"/>
      <c r="B925" s="53"/>
      <c r="C925" s="53"/>
      <c r="D925" s="53"/>
      <c r="E925" s="53"/>
      <c r="F925" s="53"/>
      <c r="G925" s="1"/>
      <c r="H925" s="1"/>
      <c r="I925" s="1"/>
      <c r="J925" s="1"/>
      <c r="K925" s="1"/>
      <c r="L925" s="1"/>
      <c r="M925" s="1"/>
      <c r="N925" s="1"/>
      <c r="O925" s="1"/>
      <c r="P925" s="1"/>
      <c r="Q925" s="1"/>
      <c r="R925" s="1"/>
      <c r="S925" s="1"/>
      <c r="T925" s="1"/>
    </row>
    <row r="926" ht="14.25" customHeight="1">
      <c r="A926" s="52"/>
      <c r="B926" s="53"/>
      <c r="C926" s="53"/>
      <c r="D926" s="53"/>
      <c r="E926" s="53"/>
      <c r="F926" s="53"/>
      <c r="G926" s="1"/>
      <c r="H926" s="1"/>
      <c r="I926" s="1"/>
      <c r="J926" s="1"/>
      <c r="K926" s="1"/>
      <c r="L926" s="1"/>
      <c r="M926" s="1"/>
      <c r="N926" s="1"/>
      <c r="O926" s="1"/>
      <c r="P926" s="1"/>
      <c r="Q926" s="1"/>
      <c r="R926" s="1"/>
      <c r="S926" s="1"/>
      <c r="T926" s="1"/>
    </row>
    <row r="927" ht="14.25" customHeight="1">
      <c r="A927" s="52"/>
      <c r="B927" s="53"/>
      <c r="C927" s="53"/>
      <c r="D927" s="53"/>
      <c r="E927" s="53"/>
      <c r="F927" s="53"/>
      <c r="G927" s="1"/>
      <c r="H927" s="1"/>
      <c r="I927" s="1"/>
      <c r="J927" s="1"/>
      <c r="K927" s="1"/>
      <c r="L927" s="1"/>
      <c r="M927" s="1"/>
      <c r="N927" s="1"/>
      <c r="O927" s="1"/>
      <c r="P927" s="1"/>
      <c r="Q927" s="1"/>
      <c r="R927" s="1"/>
      <c r="S927" s="1"/>
      <c r="T927" s="1"/>
    </row>
    <row r="928" ht="14.25" customHeight="1">
      <c r="A928" s="52"/>
      <c r="B928" s="53"/>
      <c r="C928" s="53"/>
      <c r="D928" s="53"/>
      <c r="E928" s="53"/>
      <c r="F928" s="53"/>
      <c r="G928" s="1"/>
      <c r="H928" s="1"/>
      <c r="I928" s="1"/>
      <c r="J928" s="1"/>
      <c r="K928" s="1"/>
      <c r="L928" s="1"/>
      <c r="M928" s="1"/>
      <c r="N928" s="1"/>
      <c r="O928" s="1"/>
      <c r="P928" s="1"/>
      <c r="Q928" s="1"/>
      <c r="R928" s="1"/>
      <c r="S928" s="1"/>
      <c r="T928" s="1"/>
    </row>
    <row r="929" ht="14.25" customHeight="1">
      <c r="A929" s="52"/>
      <c r="B929" s="53"/>
      <c r="C929" s="53"/>
      <c r="D929" s="53"/>
      <c r="E929" s="53"/>
      <c r="F929" s="53"/>
      <c r="G929" s="1"/>
      <c r="H929" s="1"/>
      <c r="I929" s="1"/>
      <c r="J929" s="1"/>
      <c r="K929" s="1"/>
      <c r="L929" s="1"/>
      <c r="M929" s="1"/>
      <c r="N929" s="1"/>
      <c r="O929" s="1"/>
      <c r="P929" s="1"/>
      <c r="Q929" s="1"/>
      <c r="R929" s="1"/>
      <c r="S929" s="1"/>
      <c r="T929" s="1"/>
    </row>
    <row r="930" ht="14.25" customHeight="1">
      <c r="A930" s="52"/>
      <c r="B930" s="53"/>
      <c r="C930" s="53"/>
      <c r="D930" s="53"/>
      <c r="E930" s="53"/>
      <c r="F930" s="53"/>
      <c r="G930" s="1"/>
      <c r="H930" s="1"/>
      <c r="I930" s="1"/>
      <c r="J930" s="1"/>
      <c r="K930" s="1"/>
      <c r="L930" s="1"/>
      <c r="M930" s="1"/>
      <c r="N930" s="1"/>
      <c r="O930" s="1"/>
      <c r="P930" s="1"/>
      <c r="Q930" s="1"/>
      <c r="R930" s="1"/>
      <c r="S930" s="1"/>
      <c r="T930" s="1"/>
    </row>
    <row r="931" ht="14.25" customHeight="1">
      <c r="A931" s="52"/>
      <c r="B931" s="53"/>
      <c r="C931" s="53"/>
      <c r="D931" s="53"/>
      <c r="E931" s="53"/>
      <c r="F931" s="53"/>
      <c r="G931" s="1"/>
      <c r="H931" s="1"/>
      <c r="I931" s="1"/>
      <c r="J931" s="1"/>
      <c r="K931" s="1"/>
      <c r="L931" s="1"/>
      <c r="M931" s="1"/>
      <c r="N931" s="1"/>
      <c r="O931" s="1"/>
      <c r="P931" s="1"/>
      <c r="Q931" s="1"/>
      <c r="R931" s="1"/>
      <c r="S931" s="1"/>
      <c r="T931" s="1"/>
    </row>
    <row r="932" ht="14.25" customHeight="1">
      <c r="A932" s="52"/>
      <c r="B932" s="53"/>
      <c r="C932" s="53"/>
      <c r="D932" s="53"/>
      <c r="E932" s="53"/>
      <c r="F932" s="53"/>
      <c r="G932" s="1"/>
      <c r="H932" s="1"/>
      <c r="I932" s="1"/>
      <c r="J932" s="1"/>
      <c r="K932" s="1"/>
      <c r="L932" s="1"/>
      <c r="M932" s="1"/>
      <c r="N932" s="1"/>
      <c r="O932" s="1"/>
      <c r="P932" s="1"/>
      <c r="Q932" s="1"/>
      <c r="R932" s="1"/>
      <c r="S932" s="1"/>
      <c r="T932" s="1"/>
    </row>
    <row r="933" ht="14.25" customHeight="1">
      <c r="A933" s="52"/>
      <c r="B933" s="53"/>
      <c r="C933" s="53"/>
      <c r="D933" s="53"/>
      <c r="E933" s="53"/>
      <c r="F933" s="53"/>
      <c r="G933" s="1"/>
      <c r="H933" s="1"/>
      <c r="I933" s="1"/>
      <c r="J933" s="1"/>
      <c r="K933" s="1"/>
      <c r="L933" s="1"/>
      <c r="M933" s="1"/>
      <c r="N933" s="1"/>
      <c r="O933" s="1"/>
      <c r="P933" s="1"/>
      <c r="Q933" s="1"/>
      <c r="R933" s="1"/>
      <c r="S933" s="1"/>
      <c r="T933" s="1"/>
    </row>
    <row r="934" ht="14.25" customHeight="1">
      <c r="A934" s="52"/>
      <c r="B934" s="53"/>
      <c r="C934" s="53"/>
      <c r="D934" s="53"/>
      <c r="E934" s="53"/>
      <c r="F934" s="53"/>
      <c r="G934" s="1"/>
      <c r="H934" s="1"/>
      <c r="I934" s="1"/>
      <c r="J934" s="1"/>
      <c r="K934" s="1"/>
      <c r="L934" s="1"/>
      <c r="M934" s="1"/>
      <c r="N934" s="1"/>
      <c r="O934" s="1"/>
      <c r="P934" s="1"/>
      <c r="Q934" s="1"/>
      <c r="R934" s="1"/>
      <c r="S934" s="1"/>
      <c r="T934" s="1"/>
    </row>
    <row r="935" ht="14.25" customHeight="1">
      <c r="A935" s="52"/>
      <c r="B935" s="53"/>
      <c r="C935" s="53"/>
      <c r="D935" s="53"/>
      <c r="E935" s="53"/>
      <c r="F935" s="53"/>
      <c r="G935" s="1"/>
      <c r="H935" s="1"/>
      <c r="I935" s="1"/>
      <c r="J935" s="1"/>
      <c r="K935" s="1"/>
      <c r="L935" s="1"/>
      <c r="M935" s="1"/>
      <c r="N935" s="1"/>
      <c r="O935" s="1"/>
      <c r="P935" s="1"/>
      <c r="Q935" s="1"/>
      <c r="R935" s="1"/>
      <c r="S935" s="1"/>
      <c r="T935" s="1"/>
    </row>
    <row r="936" ht="14.25" customHeight="1">
      <c r="A936" s="52"/>
      <c r="B936" s="53"/>
      <c r="C936" s="53"/>
      <c r="D936" s="53"/>
      <c r="E936" s="53"/>
      <c r="F936" s="53"/>
      <c r="G936" s="1"/>
      <c r="H936" s="1"/>
      <c r="I936" s="1"/>
      <c r="J936" s="1"/>
      <c r="K936" s="1"/>
      <c r="L936" s="1"/>
      <c r="M936" s="1"/>
      <c r="N936" s="1"/>
      <c r="O936" s="1"/>
      <c r="P936" s="1"/>
      <c r="Q936" s="1"/>
      <c r="R936" s="1"/>
      <c r="S936" s="1"/>
      <c r="T936" s="1"/>
    </row>
    <row r="937" ht="14.25" customHeight="1">
      <c r="A937" s="52"/>
      <c r="B937" s="53"/>
      <c r="C937" s="53"/>
      <c r="D937" s="53"/>
      <c r="E937" s="53"/>
      <c r="F937" s="53"/>
      <c r="G937" s="1"/>
      <c r="H937" s="1"/>
      <c r="I937" s="1"/>
      <c r="J937" s="1"/>
      <c r="K937" s="1"/>
      <c r="L937" s="1"/>
      <c r="M937" s="1"/>
      <c r="N937" s="1"/>
      <c r="O937" s="1"/>
      <c r="P937" s="1"/>
      <c r="Q937" s="1"/>
      <c r="R937" s="1"/>
      <c r="S937" s="1"/>
      <c r="T937" s="1"/>
    </row>
    <row r="938" ht="14.25" customHeight="1">
      <c r="A938" s="52"/>
      <c r="B938" s="53"/>
      <c r="C938" s="53"/>
      <c r="D938" s="53"/>
      <c r="E938" s="53"/>
      <c r="F938" s="53"/>
      <c r="G938" s="1"/>
      <c r="H938" s="1"/>
      <c r="I938" s="1"/>
      <c r="J938" s="1"/>
      <c r="K938" s="1"/>
      <c r="L938" s="1"/>
      <c r="M938" s="1"/>
      <c r="N938" s="1"/>
      <c r="O938" s="1"/>
      <c r="P938" s="1"/>
      <c r="Q938" s="1"/>
      <c r="R938" s="1"/>
      <c r="S938" s="1"/>
      <c r="T938" s="1"/>
    </row>
    <row r="939" ht="14.25" customHeight="1">
      <c r="A939" s="52"/>
      <c r="B939" s="53"/>
      <c r="C939" s="53"/>
      <c r="D939" s="53"/>
      <c r="E939" s="53"/>
      <c r="F939" s="53"/>
      <c r="G939" s="1"/>
      <c r="H939" s="1"/>
      <c r="I939" s="1"/>
      <c r="J939" s="1"/>
      <c r="K939" s="1"/>
      <c r="L939" s="1"/>
      <c r="M939" s="1"/>
      <c r="N939" s="1"/>
      <c r="O939" s="1"/>
      <c r="P939" s="1"/>
      <c r="Q939" s="1"/>
      <c r="R939" s="1"/>
      <c r="S939" s="1"/>
      <c r="T939" s="1"/>
    </row>
    <row r="940" ht="14.25" customHeight="1">
      <c r="A940" s="52"/>
      <c r="B940" s="53"/>
      <c r="C940" s="53"/>
      <c r="D940" s="53"/>
      <c r="E940" s="53"/>
      <c r="F940" s="53"/>
      <c r="G940" s="1"/>
      <c r="H940" s="1"/>
      <c r="I940" s="1"/>
      <c r="J940" s="1"/>
      <c r="K940" s="1"/>
      <c r="L940" s="1"/>
      <c r="M940" s="1"/>
      <c r="N940" s="1"/>
      <c r="O940" s="1"/>
      <c r="P940" s="1"/>
      <c r="Q940" s="1"/>
      <c r="R940" s="1"/>
      <c r="S940" s="1"/>
      <c r="T940" s="1"/>
    </row>
    <row r="941" ht="14.25" customHeight="1">
      <c r="A941" s="52"/>
      <c r="B941" s="53"/>
      <c r="C941" s="53"/>
      <c r="D941" s="53"/>
      <c r="E941" s="53"/>
      <c r="F941" s="53"/>
      <c r="G941" s="1"/>
      <c r="H941" s="1"/>
      <c r="I941" s="1"/>
      <c r="J941" s="1"/>
      <c r="K941" s="1"/>
      <c r="L941" s="1"/>
      <c r="M941" s="1"/>
      <c r="N941" s="1"/>
      <c r="O941" s="1"/>
      <c r="P941" s="1"/>
      <c r="Q941" s="1"/>
      <c r="R941" s="1"/>
      <c r="S941" s="1"/>
      <c r="T941" s="1"/>
    </row>
    <row r="942" ht="14.25" customHeight="1">
      <c r="A942" s="52"/>
      <c r="B942" s="53"/>
      <c r="C942" s="53"/>
      <c r="D942" s="53"/>
      <c r="E942" s="53"/>
      <c r="F942" s="53"/>
      <c r="G942" s="1"/>
      <c r="H942" s="1"/>
      <c r="I942" s="1"/>
      <c r="J942" s="1"/>
      <c r="K942" s="1"/>
      <c r="L942" s="1"/>
      <c r="M942" s="1"/>
      <c r="N942" s="1"/>
      <c r="O942" s="1"/>
      <c r="P942" s="1"/>
      <c r="Q942" s="1"/>
      <c r="R942" s="1"/>
      <c r="S942" s="1"/>
      <c r="T942" s="1"/>
    </row>
    <row r="943" ht="14.25" customHeight="1">
      <c r="A943" s="52"/>
      <c r="B943" s="53"/>
      <c r="C943" s="53"/>
      <c r="D943" s="53"/>
      <c r="E943" s="53"/>
      <c r="F943" s="53"/>
      <c r="G943" s="1"/>
      <c r="H943" s="1"/>
      <c r="I943" s="1"/>
      <c r="J943" s="1"/>
      <c r="K943" s="1"/>
      <c r="L943" s="1"/>
      <c r="M943" s="1"/>
      <c r="N943" s="1"/>
      <c r="O943" s="1"/>
      <c r="P943" s="1"/>
      <c r="Q943" s="1"/>
      <c r="R943" s="1"/>
      <c r="S943" s="1"/>
      <c r="T943" s="1"/>
    </row>
    <row r="944" ht="14.25" customHeight="1">
      <c r="A944" s="52"/>
      <c r="B944" s="53"/>
      <c r="C944" s="53"/>
      <c r="D944" s="53"/>
      <c r="E944" s="53"/>
      <c r="F944" s="53"/>
      <c r="G944" s="1"/>
      <c r="H944" s="1"/>
      <c r="I944" s="1"/>
      <c r="J944" s="1"/>
      <c r="K944" s="1"/>
      <c r="L944" s="1"/>
      <c r="M944" s="1"/>
      <c r="N944" s="1"/>
      <c r="O944" s="1"/>
      <c r="P944" s="1"/>
      <c r="Q944" s="1"/>
      <c r="R944" s="1"/>
      <c r="S944" s="1"/>
      <c r="T944" s="1"/>
    </row>
    <row r="945" ht="14.25" customHeight="1">
      <c r="A945" s="52"/>
      <c r="B945" s="53"/>
      <c r="C945" s="53"/>
      <c r="D945" s="53"/>
      <c r="E945" s="53"/>
      <c r="F945" s="53"/>
      <c r="G945" s="1"/>
      <c r="H945" s="1"/>
      <c r="I945" s="1"/>
      <c r="J945" s="1"/>
      <c r="K945" s="1"/>
      <c r="L945" s="1"/>
      <c r="M945" s="1"/>
      <c r="N945" s="1"/>
      <c r="O945" s="1"/>
      <c r="P945" s="1"/>
      <c r="Q945" s="1"/>
      <c r="R945" s="1"/>
      <c r="S945" s="1"/>
      <c r="T945" s="1"/>
    </row>
    <row r="946" ht="14.25" customHeight="1">
      <c r="A946" s="52"/>
      <c r="B946" s="53"/>
      <c r="C946" s="53"/>
      <c r="D946" s="53"/>
      <c r="E946" s="53"/>
      <c r="F946" s="53"/>
      <c r="G946" s="1"/>
      <c r="H946" s="1"/>
      <c r="I946" s="1"/>
      <c r="J946" s="1"/>
      <c r="K946" s="1"/>
      <c r="L946" s="1"/>
      <c r="M946" s="1"/>
      <c r="N946" s="1"/>
      <c r="O946" s="1"/>
      <c r="P946" s="1"/>
      <c r="Q946" s="1"/>
      <c r="R946" s="1"/>
      <c r="S946" s="1"/>
      <c r="T946" s="1"/>
    </row>
    <row r="947" ht="14.25" customHeight="1">
      <c r="A947" s="52"/>
      <c r="B947" s="53"/>
      <c r="C947" s="53"/>
      <c r="D947" s="53"/>
      <c r="E947" s="53"/>
      <c r="F947" s="53"/>
      <c r="G947" s="1"/>
      <c r="H947" s="1"/>
      <c r="I947" s="1"/>
      <c r="J947" s="1"/>
      <c r="K947" s="1"/>
      <c r="L947" s="1"/>
      <c r="M947" s="1"/>
      <c r="N947" s="1"/>
      <c r="O947" s="1"/>
      <c r="P947" s="1"/>
      <c r="Q947" s="1"/>
      <c r="R947" s="1"/>
      <c r="S947" s="1"/>
      <c r="T947" s="1"/>
    </row>
    <row r="948" ht="14.25" customHeight="1">
      <c r="A948" s="52"/>
      <c r="B948" s="53"/>
      <c r="C948" s="53"/>
      <c r="D948" s="53"/>
      <c r="E948" s="53"/>
      <c r="F948" s="53"/>
      <c r="G948" s="1"/>
      <c r="H948" s="1"/>
      <c r="I948" s="1"/>
      <c r="J948" s="1"/>
      <c r="K948" s="1"/>
      <c r="L948" s="1"/>
      <c r="M948" s="1"/>
      <c r="N948" s="1"/>
      <c r="O948" s="1"/>
      <c r="P948" s="1"/>
      <c r="Q948" s="1"/>
      <c r="R948" s="1"/>
      <c r="S948" s="1"/>
      <c r="T948" s="1"/>
    </row>
    <row r="949" ht="14.25" customHeight="1">
      <c r="A949" s="52"/>
      <c r="B949" s="53"/>
      <c r="C949" s="53"/>
      <c r="D949" s="53"/>
      <c r="E949" s="53"/>
      <c r="F949" s="53"/>
      <c r="G949" s="1"/>
      <c r="H949" s="1"/>
      <c r="I949" s="1"/>
      <c r="J949" s="1"/>
      <c r="K949" s="1"/>
      <c r="L949" s="1"/>
      <c r="M949" s="1"/>
      <c r="N949" s="1"/>
      <c r="O949" s="1"/>
      <c r="P949" s="1"/>
      <c r="Q949" s="1"/>
      <c r="R949" s="1"/>
      <c r="S949" s="1"/>
      <c r="T949" s="1"/>
    </row>
    <row r="950" ht="14.25" customHeight="1">
      <c r="A950" s="52"/>
      <c r="B950" s="53"/>
      <c r="C950" s="53"/>
      <c r="D950" s="53"/>
      <c r="E950" s="53"/>
      <c r="F950" s="53"/>
      <c r="G950" s="1"/>
      <c r="H950" s="1"/>
      <c r="I950" s="1"/>
      <c r="J950" s="1"/>
      <c r="K950" s="1"/>
      <c r="L950" s="1"/>
      <c r="M950" s="1"/>
      <c r="N950" s="1"/>
      <c r="O950" s="1"/>
      <c r="P950" s="1"/>
      <c r="Q950" s="1"/>
      <c r="R950" s="1"/>
      <c r="S950" s="1"/>
      <c r="T950" s="1"/>
    </row>
    <row r="951" ht="14.25" customHeight="1">
      <c r="A951" s="52"/>
      <c r="B951" s="53"/>
      <c r="C951" s="53"/>
      <c r="D951" s="53"/>
      <c r="E951" s="53"/>
      <c r="F951" s="53"/>
      <c r="G951" s="1"/>
      <c r="H951" s="1"/>
      <c r="I951" s="1"/>
      <c r="J951" s="1"/>
      <c r="K951" s="1"/>
      <c r="L951" s="1"/>
      <c r="M951" s="1"/>
      <c r="N951" s="1"/>
      <c r="O951" s="1"/>
      <c r="P951" s="1"/>
      <c r="Q951" s="1"/>
      <c r="R951" s="1"/>
      <c r="S951" s="1"/>
      <c r="T951" s="1"/>
    </row>
    <row r="952" ht="14.25" customHeight="1">
      <c r="A952" s="52"/>
      <c r="B952" s="53"/>
      <c r="C952" s="53"/>
      <c r="D952" s="53"/>
      <c r="E952" s="53"/>
      <c r="F952" s="53"/>
      <c r="G952" s="1"/>
      <c r="H952" s="1"/>
      <c r="I952" s="1"/>
      <c r="J952" s="1"/>
      <c r="K952" s="1"/>
      <c r="L952" s="1"/>
      <c r="M952" s="1"/>
      <c r="N952" s="1"/>
      <c r="O952" s="1"/>
      <c r="P952" s="1"/>
      <c r="Q952" s="1"/>
      <c r="R952" s="1"/>
      <c r="S952" s="1"/>
      <c r="T952" s="1"/>
    </row>
    <row r="953" ht="14.25" customHeight="1">
      <c r="A953" s="52"/>
      <c r="B953" s="53"/>
      <c r="C953" s="53"/>
      <c r="D953" s="53"/>
      <c r="E953" s="53"/>
      <c r="F953" s="53"/>
      <c r="G953" s="1"/>
      <c r="H953" s="1"/>
      <c r="I953" s="1"/>
      <c r="J953" s="1"/>
      <c r="K953" s="1"/>
      <c r="L953" s="1"/>
      <c r="M953" s="1"/>
      <c r="N953" s="1"/>
      <c r="O953" s="1"/>
      <c r="P953" s="1"/>
      <c r="Q953" s="1"/>
      <c r="R953" s="1"/>
      <c r="S953" s="1"/>
      <c r="T953" s="1"/>
    </row>
    <row r="954" ht="14.25" customHeight="1">
      <c r="A954" s="52"/>
      <c r="B954" s="53"/>
      <c r="C954" s="53"/>
      <c r="D954" s="53"/>
      <c r="E954" s="53"/>
      <c r="F954" s="53"/>
      <c r="G954" s="1"/>
      <c r="H954" s="1"/>
      <c r="I954" s="1"/>
      <c r="J954" s="1"/>
      <c r="K954" s="1"/>
      <c r="L954" s="1"/>
      <c r="M954" s="1"/>
      <c r="N954" s="1"/>
      <c r="O954" s="1"/>
      <c r="P954" s="1"/>
      <c r="Q954" s="1"/>
      <c r="R954" s="1"/>
      <c r="S954" s="1"/>
      <c r="T954" s="1"/>
    </row>
    <row r="955" ht="14.25" customHeight="1">
      <c r="A955" s="52"/>
      <c r="B955" s="53"/>
      <c r="C955" s="53"/>
      <c r="D955" s="53"/>
      <c r="E955" s="53"/>
      <c r="F955" s="53"/>
      <c r="G955" s="1"/>
      <c r="H955" s="1"/>
      <c r="I955" s="1"/>
      <c r="J955" s="1"/>
      <c r="K955" s="1"/>
      <c r="L955" s="1"/>
      <c r="M955" s="1"/>
      <c r="N955" s="1"/>
      <c r="O955" s="1"/>
      <c r="P955" s="1"/>
      <c r="Q955" s="1"/>
      <c r="R955" s="1"/>
      <c r="S955" s="1"/>
      <c r="T955" s="1"/>
    </row>
    <row r="956" ht="14.25" customHeight="1">
      <c r="A956" s="52"/>
      <c r="B956" s="53"/>
      <c r="C956" s="53"/>
      <c r="D956" s="53"/>
      <c r="E956" s="53"/>
      <c r="F956" s="53"/>
      <c r="G956" s="1"/>
      <c r="H956" s="1"/>
      <c r="I956" s="1"/>
      <c r="J956" s="1"/>
      <c r="K956" s="1"/>
      <c r="L956" s="1"/>
      <c r="M956" s="1"/>
      <c r="N956" s="1"/>
      <c r="O956" s="1"/>
      <c r="P956" s="1"/>
      <c r="Q956" s="1"/>
      <c r="R956" s="1"/>
      <c r="S956" s="1"/>
      <c r="T956" s="1"/>
    </row>
    <row r="957" ht="14.25" customHeight="1">
      <c r="A957" s="52"/>
      <c r="B957" s="53"/>
      <c r="C957" s="53"/>
      <c r="D957" s="53"/>
      <c r="E957" s="53"/>
      <c r="F957" s="53"/>
      <c r="G957" s="1"/>
      <c r="H957" s="1"/>
      <c r="I957" s="1"/>
      <c r="J957" s="1"/>
      <c r="K957" s="1"/>
      <c r="L957" s="1"/>
      <c r="M957" s="1"/>
      <c r="N957" s="1"/>
      <c r="O957" s="1"/>
      <c r="P957" s="1"/>
      <c r="Q957" s="1"/>
      <c r="R957" s="1"/>
      <c r="S957" s="1"/>
      <c r="T957" s="1"/>
    </row>
    <row r="958" ht="14.25" customHeight="1">
      <c r="A958" s="52"/>
      <c r="B958" s="53"/>
      <c r="C958" s="53"/>
      <c r="D958" s="53"/>
      <c r="E958" s="53"/>
      <c r="F958" s="53"/>
      <c r="G958" s="1"/>
      <c r="H958" s="1"/>
      <c r="I958" s="1"/>
      <c r="J958" s="1"/>
      <c r="K958" s="1"/>
      <c r="L958" s="1"/>
      <c r="M958" s="1"/>
      <c r="N958" s="1"/>
      <c r="O958" s="1"/>
      <c r="P958" s="1"/>
      <c r="Q958" s="1"/>
      <c r="R958" s="1"/>
      <c r="S958" s="1"/>
      <c r="T958" s="1"/>
    </row>
    <row r="959" ht="14.25" customHeight="1">
      <c r="A959" s="52"/>
      <c r="B959" s="53"/>
      <c r="C959" s="53"/>
      <c r="D959" s="53"/>
      <c r="E959" s="53"/>
      <c r="F959" s="53"/>
      <c r="G959" s="1"/>
      <c r="H959" s="1"/>
      <c r="I959" s="1"/>
      <c r="J959" s="1"/>
      <c r="K959" s="1"/>
      <c r="L959" s="1"/>
      <c r="M959" s="1"/>
      <c r="N959" s="1"/>
      <c r="O959" s="1"/>
      <c r="P959" s="1"/>
      <c r="Q959" s="1"/>
      <c r="R959" s="1"/>
      <c r="S959" s="1"/>
      <c r="T959" s="1"/>
    </row>
    <row r="960" ht="14.25" customHeight="1">
      <c r="A960" s="52"/>
      <c r="B960" s="53"/>
      <c r="C960" s="53"/>
      <c r="D960" s="53"/>
      <c r="E960" s="53"/>
      <c r="F960" s="53"/>
      <c r="G960" s="1"/>
      <c r="H960" s="1"/>
      <c r="I960" s="1"/>
      <c r="J960" s="1"/>
      <c r="K960" s="1"/>
      <c r="L960" s="1"/>
      <c r="M960" s="1"/>
      <c r="N960" s="1"/>
      <c r="O960" s="1"/>
      <c r="P960" s="1"/>
      <c r="Q960" s="1"/>
      <c r="R960" s="1"/>
      <c r="S960" s="1"/>
      <c r="T960" s="1"/>
    </row>
    <row r="961" ht="14.25" customHeight="1">
      <c r="A961" s="52"/>
      <c r="B961" s="53"/>
      <c r="C961" s="53"/>
      <c r="D961" s="53"/>
      <c r="E961" s="53"/>
      <c r="F961" s="53"/>
      <c r="G961" s="1"/>
      <c r="H961" s="1"/>
      <c r="I961" s="1"/>
      <c r="J961" s="1"/>
      <c r="K961" s="1"/>
      <c r="L961" s="1"/>
      <c r="M961" s="1"/>
      <c r="N961" s="1"/>
      <c r="O961" s="1"/>
      <c r="P961" s="1"/>
      <c r="Q961" s="1"/>
      <c r="R961" s="1"/>
      <c r="S961" s="1"/>
      <c r="T961" s="1"/>
    </row>
    <row r="962" ht="14.25" customHeight="1">
      <c r="A962" s="52"/>
      <c r="B962" s="53"/>
      <c r="C962" s="53"/>
      <c r="D962" s="53"/>
      <c r="E962" s="53"/>
      <c r="F962" s="53"/>
      <c r="G962" s="1"/>
      <c r="H962" s="1"/>
      <c r="I962" s="1"/>
      <c r="J962" s="1"/>
      <c r="K962" s="1"/>
      <c r="L962" s="1"/>
      <c r="M962" s="1"/>
      <c r="N962" s="1"/>
      <c r="O962" s="1"/>
      <c r="P962" s="1"/>
      <c r="Q962" s="1"/>
      <c r="R962" s="1"/>
      <c r="S962" s="1"/>
      <c r="T962" s="1"/>
    </row>
    <row r="963" ht="14.25" customHeight="1">
      <c r="A963" s="52"/>
      <c r="B963" s="53"/>
      <c r="C963" s="53"/>
      <c r="D963" s="53"/>
      <c r="E963" s="53"/>
      <c r="F963" s="53"/>
      <c r="G963" s="1"/>
      <c r="H963" s="1"/>
      <c r="I963" s="1"/>
      <c r="J963" s="1"/>
      <c r="K963" s="1"/>
      <c r="L963" s="1"/>
      <c r="M963" s="1"/>
      <c r="N963" s="1"/>
      <c r="O963" s="1"/>
      <c r="P963" s="1"/>
      <c r="Q963" s="1"/>
      <c r="R963" s="1"/>
      <c r="S963" s="1"/>
      <c r="T963" s="1"/>
    </row>
    <row r="964" ht="14.25" customHeight="1">
      <c r="A964" s="52"/>
      <c r="B964" s="53"/>
      <c r="C964" s="53"/>
      <c r="D964" s="53"/>
      <c r="E964" s="53"/>
      <c r="F964" s="53"/>
      <c r="G964" s="1"/>
      <c r="H964" s="1"/>
      <c r="I964" s="1"/>
      <c r="J964" s="1"/>
      <c r="K964" s="1"/>
      <c r="L964" s="1"/>
      <c r="M964" s="1"/>
      <c r="N964" s="1"/>
      <c r="O964" s="1"/>
      <c r="P964" s="1"/>
      <c r="Q964" s="1"/>
      <c r="R964" s="1"/>
      <c r="S964" s="1"/>
      <c r="T964" s="1"/>
    </row>
    <row r="965" ht="14.25" customHeight="1">
      <c r="A965" s="52"/>
      <c r="B965" s="53"/>
      <c r="C965" s="53"/>
      <c r="D965" s="53"/>
      <c r="E965" s="53"/>
      <c r="F965" s="53"/>
      <c r="G965" s="1"/>
      <c r="H965" s="1"/>
      <c r="I965" s="1"/>
      <c r="J965" s="1"/>
      <c r="K965" s="1"/>
      <c r="L965" s="1"/>
      <c r="M965" s="1"/>
      <c r="N965" s="1"/>
      <c r="O965" s="1"/>
      <c r="P965" s="1"/>
      <c r="Q965" s="1"/>
      <c r="R965" s="1"/>
      <c r="S965" s="1"/>
      <c r="T965" s="1"/>
    </row>
    <row r="966" ht="14.25" customHeight="1">
      <c r="A966" s="52"/>
      <c r="B966" s="53"/>
      <c r="C966" s="53"/>
      <c r="D966" s="53"/>
      <c r="E966" s="53"/>
      <c r="F966" s="53"/>
      <c r="G966" s="1"/>
      <c r="H966" s="1"/>
      <c r="I966" s="1"/>
      <c r="J966" s="1"/>
      <c r="K966" s="1"/>
      <c r="L966" s="1"/>
      <c r="M966" s="1"/>
      <c r="N966" s="1"/>
      <c r="O966" s="1"/>
      <c r="P966" s="1"/>
      <c r="Q966" s="1"/>
      <c r="R966" s="1"/>
      <c r="S966" s="1"/>
      <c r="T966" s="1"/>
    </row>
    <row r="967" ht="14.25" customHeight="1">
      <c r="A967" s="52"/>
      <c r="B967" s="53"/>
      <c r="C967" s="53"/>
      <c r="D967" s="53"/>
      <c r="E967" s="53"/>
      <c r="F967" s="53"/>
      <c r="G967" s="1"/>
      <c r="H967" s="1"/>
      <c r="I967" s="1"/>
      <c r="J967" s="1"/>
      <c r="K967" s="1"/>
      <c r="L967" s="1"/>
      <c r="M967" s="1"/>
      <c r="N967" s="1"/>
      <c r="O967" s="1"/>
      <c r="P967" s="1"/>
      <c r="Q967" s="1"/>
      <c r="R967" s="1"/>
      <c r="S967" s="1"/>
      <c r="T967" s="1"/>
    </row>
    <row r="968" ht="14.25" customHeight="1">
      <c r="A968" s="52"/>
      <c r="B968" s="53"/>
      <c r="C968" s="53"/>
      <c r="D968" s="53"/>
      <c r="E968" s="53"/>
      <c r="F968" s="53"/>
      <c r="G968" s="1"/>
      <c r="H968" s="1"/>
      <c r="I968" s="1"/>
      <c r="J968" s="1"/>
      <c r="K968" s="1"/>
      <c r="L968" s="1"/>
      <c r="M968" s="1"/>
      <c r="N968" s="1"/>
      <c r="O968" s="1"/>
      <c r="P968" s="1"/>
      <c r="Q968" s="1"/>
      <c r="R968" s="1"/>
      <c r="S968" s="1"/>
      <c r="T968" s="1"/>
    </row>
    <row r="969" ht="14.25" customHeight="1">
      <c r="A969" s="52"/>
      <c r="B969" s="53"/>
      <c r="C969" s="53"/>
      <c r="D969" s="53"/>
      <c r="E969" s="53"/>
      <c r="F969" s="53"/>
      <c r="G969" s="1"/>
      <c r="H969" s="1"/>
      <c r="I969" s="1"/>
      <c r="J969" s="1"/>
      <c r="K969" s="1"/>
      <c r="L969" s="1"/>
      <c r="M969" s="1"/>
      <c r="N969" s="1"/>
      <c r="O969" s="1"/>
      <c r="P969" s="1"/>
      <c r="Q969" s="1"/>
      <c r="R969" s="1"/>
      <c r="S969" s="1"/>
      <c r="T969" s="1"/>
    </row>
    <row r="970" ht="14.25" customHeight="1">
      <c r="A970" s="52"/>
      <c r="B970" s="53"/>
      <c r="C970" s="53"/>
      <c r="D970" s="53"/>
      <c r="E970" s="53"/>
      <c r="F970" s="53"/>
      <c r="G970" s="1"/>
      <c r="H970" s="1"/>
      <c r="I970" s="1"/>
      <c r="J970" s="1"/>
      <c r="K970" s="1"/>
      <c r="L970" s="1"/>
      <c r="M970" s="1"/>
      <c r="N970" s="1"/>
      <c r="O970" s="1"/>
      <c r="P970" s="1"/>
      <c r="Q970" s="1"/>
      <c r="R970" s="1"/>
      <c r="S970" s="1"/>
      <c r="T970" s="1"/>
    </row>
    <row r="971" ht="14.25" customHeight="1">
      <c r="A971" s="52"/>
      <c r="B971" s="53"/>
      <c r="C971" s="53"/>
      <c r="D971" s="53"/>
      <c r="E971" s="53"/>
      <c r="F971" s="53"/>
      <c r="G971" s="1"/>
      <c r="H971" s="1"/>
      <c r="I971" s="1"/>
      <c r="J971" s="1"/>
      <c r="K971" s="1"/>
      <c r="L971" s="1"/>
      <c r="M971" s="1"/>
      <c r="N971" s="1"/>
      <c r="O971" s="1"/>
      <c r="P971" s="1"/>
      <c r="Q971" s="1"/>
      <c r="R971" s="1"/>
      <c r="S971" s="1"/>
      <c r="T971" s="1"/>
    </row>
    <row r="972" ht="14.25" customHeight="1">
      <c r="A972" s="52"/>
      <c r="B972" s="53"/>
      <c r="C972" s="53"/>
      <c r="D972" s="53"/>
      <c r="E972" s="53"/>
      <c r="F972" s="53"/>
      <c r="G972" s="1"/>
      <c r="H972" s="1"/>
      <c r="I972" s="1"/>
      <c r="J972" s="1"/>
      <c r="K972" s="1"/>
      <c r="L972" s="1"/>
      <c r="M972" s="1"/>
      <c r="N972" s="1"/>
      <c r="O972" s="1"/>
      <c r="P972" s="1"/>
      <c r="Q972" s="1"/>
      <c r="R972" s="1"/>
      <c r="S972" s="1"/>
      <c r="T972" s="1"/>
    </row>
    <row r="973" ht="14.25" customHeight="1">
      <c r="A973" s="52"/>
      <c r="B973" s="53"/>
      <c r="C973" s="53"/>
      <c r="D973" s="53"/>
      <c r="E973" s="53"/>
      <c r="F973" s="53"/>
      <c r="G973" s="1"/>
      <c r="H973" s="1"/>
      <c r="I973" s="1"/>
      <c r="J973" s="1"/>
      <c r="K973" s="1"/>
      <c r="L973" s="1"/>
      <c r="M973" s="1"/>
      <c r="N973" s="1"/>
      <c r="O973" s="1"/>
      <c r="P973" s="1"/>
      <c r="Q973" s="1"/>
      <c r="R973" s="1"/>
      <c r="S973" s="1"/>
      <c r="T973" s="1"/>
    </row>
    <row r="974" ht="14.25" customHeight="1">
      <c r="A974" s="52"/>
      <c r="B974" s="53"/>
      <c r="C974" s="53"/>
      <c r="D974" s="53"/>
      <c r="E974" s="53"/>
      <c r="F974" s="53"/>
      <c r="G974" s="1"/>
      <c r="H974" s="1"/>
      <c r="I974" s="1"/>
      <c r="J974" s="1"/>
      <c r="K974" s="1"/>
      <c r="L974" s="1"/>
      <c r="M974" s="1"/>
      <c r="N974" s="1"/>
      <c r="O974" s="1"/>
      <c r="P974" s="1"/>
      <c r="Q974" s="1"/>
      <c r="R974" s="1"/>
      <c r="S974" s="1"/>
      <c r="T974" s="1"/>
    </row>
    <row r="975" ht="14.25" customHeight="1">
      <c r="A975" s="52"/>
      <c r="B975" s="53"/>
      <c r="C975" s="53"/>
      <c r="D975" s="53"/>
      <c r="E975" s="53"/>
      <c r="F975" s="53"/>
      <c r="G975" s="1"/>
      <c r="H975" s="1"/>
      <c r="I975" s="1"/>
      <c r="J975" s="1"/>
      <c r="K975" s="1"/>
      <c r="L975" s="1"/>
      <c r="M975" s="1"/>
      <c r="N975" s="1"/>
      <c r="O975" s="1"/>
      <c r="P975" s="1"/>
      <c r="Q975" s="1"/>
      <c r="R975" s="1"/>
      <c r="S975" s="1"/>
      <c r="T975" s="1"/>
    </row>
    <row r="976" ht="14.25" customHeight="1">
      <c r="A976" s="52"/>
      <c r="B976" s="53"/>
      <c r="C976" s="53"/>
      <c r="D976" s="53"/>
      <c r="E976" s="53"/>
      <c r="F976" s="53"/>
      <c r="G976" s="1"/>
      <c r="H976" s="1"/>
      <c r="I976" s="1"/>
      <c r="J976" s="1"/>
      <c r="K976" s="1"/>
      <c r="L976" s="1"/>
      <c r="M976" s="1"/>
      <c r="N976" s="1"/>
      <c r="O976" s="1"/>
      <c r="P976" s="1"/>
      <c r="Q976" s="1"/>
      <c r="R976" s="1"/>
      <c r="S976" s="1"/>
      <c r="T976" s="1"/>
    </row>
    <row r="977" ht="14.25" customHeight="1">
      <c r="A977" s="52"/>
      <c r="B977" s="53"/>
      <c r="C977" s="53"/>
      <c r="D977" s="53"/>
      <c r="E977" s="53"/>
      <c r="F977" s="53"/>
      <c r="G977" s="1"/>
      <c r="H977" s="1"/>
      <c r="I977" s="1"/>
      <c r="J977" s="1"/>
      <c r="K977" s="1"/>
      <c r="L977" s="1"/>
      <c r="M977" s="1"/>
      <c r="N977" s="1"/>
      <c r="O977" s="1"/>
      <c r="P977" s="1"/>
      <c r="Q977" s="1"/>
      <c r="R977" s="1"/>
      <c r="S977" s="1"/>
      <c r="T977" s="1"/>
    </row>
    <row r="978" ht="14.25" customHeight="1">
      <c r="A978" s="52"/>
      <c r="B978" s="53"/>
      <c r="C978" s="53"/>
      <c r="D978" s="53"/>
      <c r="E978" s="53"/>
      <c r="F978" s="53"/>
      <c r="G978" s="1"/>
      <c r="H978" s="1"/>
      <c r="I978" s="1"/>
      <c r="J978" s="1"/>
      <c r="K978" s="1"/>
      <c r="L978" s="1"/>
      <c r="M978" s="1"/>
      <c r="N978" s="1"/>
      <c r="O978" s="1"/>
      <c r="P978" s="1"/>
      <c r="Q978" s="1"/>
      <c r="R978" s="1"/>
      <c r="S978" s="1"/>
      <c r="T978" s="1"/>
    </row>
    <row r="979" ht="14.25" customHeight="1">
      <c r="A979" s="52"/>
      <c r="B979" s="53"/>
      <c r="C979" s="53"/>
      <c r="D979" s="53"/>
      <c r="E979" s="53"/>
      <c r="F979" s="53"/>
      <c r="G979" s="1"/>
      <c r="H979" s="1"/>
      <c r="I979" s="1"/>
      <c r="J979" s="1"/>
      <c r="K979" s="1"/>
      <c r="L979" s="1"/>
      <c r="M979" s="1"/>
      <c r="N979" s="1"/>
      <c r="O979" s="1"/>
      <c r="P979" s="1"/>
      <c r="Q979" s="1"/>
      <c r="R979" s="1"/>
      <c r="S979" s="1"/>
      <c r="T979" s="1"/>
    </row>
    <row r="980" ht="14.25" customHeight="1">
      <c r="A980" s="52"/>
      <c r="B980" s="53"/>
      <c r="C980" s="53"/>
      <c r="D980" s="53"/>
      <c r="E980" s="53"/>
      <c r="F980" s="53"/>
      <c r="G980" s="1"/>
      <c r="H980" s="1"/>
      <c r="I980" s="1"/>
      <c r="J980" s="1"/>
      <c r="K980" s="1"/>
      <c r="L980" s="1"/>
      <c r="M980" s="1"/>
      <c r="N980" s="1"/>
      <c r="O980" s="1"/>
      <c r="P980" s="1"/>
      <c r="Q980" s="1"/>
      <c r="R980" s="1"/>
      <c r="S980" s="1"/>
      <c r="T980" s="1"/>
    </row>
    <row r="981" ht="14.25" customHeight="1">
      <c r="A981" s="52"/>
      <c r="B981" s="53"/>
      <c r="C981" s="53"/>
      <c r="D981" s="53"/>
      <c r="E981" s="53"/>
      <c r="F981" s="53"/>
      <c r="G981" s="1"/>
      <c r="H981" s="1"/>
      <c r="I981" s="1"/>
      <c r="J981" s="1"/>
      <c r="K981" s="1"/>
      <c r="L981" s="1"/>
      <c r="M981" s="1"/>
      <c r="N981" s="1"/>
      <c r="O981" s="1"/>
      <c r="P981" s="1"/>
      <c r="Q981" s="1"/>
      <c r="R981" s="1"/>
      <c r="S981" s="1"/>
      <c r="T981" s="1"/>
    </row>
    <row r="982" ht="14.25" customHeight="1">
      <c r="A982" s="52"/>
      <c r="B982" s="53"/>
      <c r="C982" s="53"/>
      <c r="D982" s="53"/>
      <c r="E982" s="53"/>
      <c r="F982" s="53"/>
      <c r="G982" s="1"/>
      <c r="H982" s="1"/>
      <c r="I982" s="1"/>
      <c r="J982" s="1"/>
      <c r="K982" s="1"/>
      <c r="L982" s="1"/>
      <c r="M982" s="1"/>
      <c r="N982" s="1"/>
      <c r="O982" s="1"/>
      <c r="P982" s="1"/>
      <c r="Q982" s="1"/>
      <c r="R982" s="1"/>
      <c r="S982" s="1"/>
      <c r="T982" s="1"/>
    </row>
    <row r="983" ht="14.25" customHeight="1">
      <c r="A983" s="52"/>
      <c r="B983" s="53"/>
      <c r="C983" s="53"/>
      <c r="D983" s="53"/>
      <c r="E983" s="53"/>
      <c r="F983" s="53"/>
      <c r="G983" s="1"/>
      <c r="H983" s="1"/>
      <c r="I983" s="1"/>
      <c r="J983" s="1"/>
      <c r="K983" s="1"/>
      <c r="L983" s="1"/>
      <c r="M983" s="1"/>
      <c r="N983" s="1"/>
      <c r="O983" s="1"/>
      <c r="P983" s="1"/>
      <c r="Q983" s="1"/>
      <c r="R983" s="1"/>
      <c r="S983" s="1"/>
      <c r="T983" s="1"/>
    </row>
    <row r="984" ht="14.25" customHeight="1">
      <c r="A984" s="52"/>
      <c r="B984" s="53"/>
      <c r="C984" s="53"/>
      <c r="D984" s="53"/>
      <c r="E984" s="53"/>
      <c r="F984" s="53"/>
      <c r="G984" s="1"/>
      <c r="H984" s="1"/>
      <c r="I984" s="1"/>
      <c r="J984" s="1"/>
      <c r="K984" s="1"/>
      <c r="L984" s="1"/>
      <c r="M984" s="1"/>
      <c r="N984" s="1"/>
      <c r="O984" s="1"/>
      <c r="P984" s="1"/>
      <c r="Q984" s="1"/>
      <c r="R984" s="1"/>
      <c r="S984" s="1"/>
      <c r="T984" s="1"/>
    </row>
    <row r="985" ht="14.25" customHeight="1">
      <c r="A985" s="52"/>
      <c r="B985" s="53"/>
      <c r="C985" s="53"/>
      <c r="D985" s="53"/>
      <c r="E985" s="53"/>
      <c r="F985" s="53"/>
      <c r="G985" s="1"/>
      <c r="H985" s="1"/>
      <c r="I985" s="1"/>
      <c r="J985" s="1"/>
      <c r="K985" s="1"/>
      <c r="L985" s="1"/>
      <c r="M985" s="1"/>
      <c r="N985" s="1"/>
      <c r="O985" s="1"/>
      <c r="P985" s="1"/>
      <c r="Q985" s="1"/>
      <c r="R985" s="1"/>
      <c r="S985" s="1"/>
      <c r="T985" s="1"/>
    </row>
    <row r="986" ht="14.25" customHeight="1">
      <c r="A986" s="52"/>
      <c r="B986" s="53"/>
      <c r="C986" s="53"/>
      <c r="D986" s="53"/>
      <c r="E986" s="53"/>
      <c r="F986" s="53"/>
      <c r="G986" s="1"/>
      <c r="H986" s="1"/>
      <c r="I986" s="1"/>
      <c r="J986" s="1"/>
      <c r="K986" s="1"/>
      <c r="L986" s="1"/>
      <c r="M986" s="1"/>
      <c r="N986" s="1"/>
      <c r="O986" s="1"/>
      <c r="P986" s="1"/>
      <c r="Q986" s="1"/>
      <c r="R986" s="1"/>
      <c r="S986" s="1"/>
      <c r="T986" s="1"/>
    </row>
    <row r="987" ht="14.25" customHeight="1">
      <c r="A987" s="52"/>
      <c r="B987" s="53"/>
      <c r="C987" s="53"/>
      <c r="D987" s="53"/>
      <c r="E987" s="53"/>
      <c r="F987" s="53"/>
      <c r="G987" s="1"/>
      <c r="H987" s="1"/>
      <c r="I987" s="1"/>
      <c r="J987" s="1"/>
      <c r="K987" s="1"/>
      <c r="L987" s="1"/>
      <c r="M987" s="1"/>
      <c r="N987" s="1"/>
      <c r="O987" s="1"/>
      <c r="P987" s="1"/>
      <c r="Q987" s="1"/>
      <c r="R987" s="1"/>
      <c r="S987" s="1"/>
      <c r="T987" s="1"/>
    </row>
    <row r="988" ht="14.25" customHeight="1">
      <c r="A988" s="52"/>
      <c r="B988" s="53"/>
      <c r="C988" s="53"/>
      <c r="D988" s="53"/>
      <c r="E988" s="53"/>
      <c r="F988" s="53"/>
      <c r="G988" s="1"/>
      <c r="H988" s="1"/>
      <c r="I988" s="1"/>
      <c r="J988" s="1"/>
      <c r="K988" s="1"/>
      <c r="L988" s="1"/>
      <c r="M988" s="1"/>
      <c r="N988" s="1"/>
      <c r="O988" s="1"/>
      <c r="P988" s="1"/>
      <c r="Q988" s="1"/>
      <c r="R988" s="1"/>
      <c r="S988" s="1"/>
      <c r="T988" s="1"/>
    </row>
    <row r="989" ht="14.25" customHeight="1">
      <c r="A989" s="52"/>
      <c r="B989" s="53"/>
      <c r="C989" s="53"/>
      <c r="D989" s="53"/>
      <c r="E989" s="53"/>
      <c r="F989" s="53"/>
      <c r="G989" s="1"/>
      <c r="H989" s="1"/>
      <c r="I989" s="1"/>
      <c r="J989" s="1"/>
      <c r="K989" s="1"/>
      <c r="L989" s="1"/>
      <c r="M989" s="1"/>
      <c r="N989" s="1"/>
      <c r="O989" s="1"/>
      <c r="P989" s="1"/>
      <c r="Q989" s="1"/>
      <c r="R989" s="1"/>
      <c r="S989" s="1"/>
      <c r="T989" s="1"/>
    </row>
    <row r="990" ht="14.25" customHeight="1">
      <c r="A990" s="52"/>
      <c r="B990" s="53"/>
      <c r="C990" s="53"/>
      <c r="D990" s="53"/>
      <c r="E990" s="53"/>
      <c r="F990" s="53"/>
      <c r="G990" s="1"/>
      <c r="H990" s="1"/>
      <c r="I990" s="1"/>
      <c r="J990" s="1"/>
      <c r="K990" s="1"/>
      <c r="L990" s="1"/>
      <c r="M990" s="1"/>
      <c r="N990" s="1"/>
      <c r="O990" s="1"/>
      <c r="P990" s="1"/>
      <c r="Q990" s="1"/>
      <c r="R990" s="1"/>
      <c r="S990" s="1"/>
      <c r="T990" s="1"/>
    </row>
    <row r="991" ht="14.25" customHeight="1">
      <c r="A991" s="52"/>
      <c r="B991" s="53"/>
      <c r="C991" s="53"/>
      <c r="D991" s="53"/>
      <c r="E991" s="53"/>
      <c r="F991" s="53"/>
      <c r="G991" s="1"/>
      <c r="H991" s="1"/>
      <c r="I991" s="1"/>
      <c r="J991" s="1"/>
      <c r="K991" s="1"/>
      <c r="L991" s="1"/>
      <c r="M991" s="1"/>
      <c r="N991" s="1"/>
      <c r="O991" s="1"/>
      <c r="P991" s="1"/>
      <c r="Q991" s="1"/>
      <c r="R991" s="1"/>
      <c r="S991" s="1"/>
      <c r="T991" s="1"/>
    </row>
    <row r="992" ht="14.25" customHeight="1">
      <c r="A992" s="52"/>
      <c r="B992" s="53"/>
      <c r="C992" s="53"/>
      <c r="D992" s="53"/>
      <c r="E992" s="53"/>
      <c r="F992" s="53"/>
      <c r="G992" s="1"/>
      <c r="H992" s="1"/>
      <c r="I992" s="1"/>
      <c r="J992" s="1"/>
      <c r="K992" s="1"/>
      <c r="L992" s="1"/>
      <c r="M992" s="1"/>
      <c r="N992" s="1"/>
      <c r="O992" s="1"/>
      <c r="P992" s="1"/>
      <c r="Q992" s="1"/>
      <c r="R992" s="1"/>
      <c r="S992" s="1"/>
      <c r="T992" s="1"/>
    </row>
    <row r="993" ht="14.25" customHeight="1">
      <c r="A993" s="52"/>
      <c r="B993" s="53"/>
      <c r="C993" s="53"/>
      <c r="D993" s="53"/>
      <c r="E993" s="53"/>
      <c r="F993" s="53"/>
      <c r="G993" s="1"/>
      <c r="H993" s="1"/>
      <c r="I993" s="1"/>
      <c r="J993" s="1"/>
      <c r="K993" s="1"/>
      <c r="L993" s="1"/>
      <c r="M993" s="1"/>
      <c r="N993" s="1"/>
      <c r="O993" s="1"/>
      <c r="P993" s="1"/>
      <c r="Q993" s="1"/>
      <c r="R993" s="1"/>
      <c r="S993" s="1"/>
      <c r="T993" s="1"/>
    </row>
    <row r="994" ht="14.25" customHeight="1">
      <c r="A994" s="52"/>
      <c r="B994" s="53"/>
      <c r="C994" s="53"/>
      <c r="D994" s="53"/>
      <c r="E994" s="53"/>
      <c r="F994" s="53"/>
      <c r="G994" s="1"/>
      <c r="H994" s="1"/>
      <c r="I994" s="1"/>
      <c r="J994" s="1"/>
      <c r="K994" s="1"/>
      <c r="L994" s="1"/>
      <c r="M994" s="1"/>
      <c r="N994" s="1"/>
      <c r="O994" s="1"/>
      <c r="P994" s="1"/>
      <c r="Q994" s="1"/>
      <c r="R994" s="1"/>
      <c r="S994" s="1"/>
      <c r="T994" s="1"/>
    </row>
    <row r="995" ht="14.25" customHeight="1">
      <c r="A995" s="52"/>
      <c r="B995" s="53"/>
      <c r="C995" s="53"/>
      <c r="D995" s="53"/>
      <c r="E995" s="53"/>
      <c r="F995" s="53"/>
      <c r="G995" s="1"/>
      <c r="H995" s="1"/>
      <c r="I995" s="1"/>
      <c r="J995" s="1"/>
      <c r="K995" s="1"/>
      <c r="L995" s="1"/>
      <c r="M995" s="1"/>
      <c r="N995" s="1"/>
      <c r="O995" s="1"/>
      <c r="P995" s="1"/>
      <c r="Q995" s="1"/>
      <c r="R995" s="1"/>
      <c r="S995" s="1"/>
      <c r="T995" s="1"/>
    </row>
    <row r="996" ht="14.25" customHeight="1">
      <c r="A996" s="52"/>
      <c r="B996" s="53"/>
      <c r="C996" s="53"/>
      <c r="D996" s="53"/>
      <c r="E996" s="53"/>
      <c r="F996" s="53"/>
      <c r="G996" s="1"/>
      <c r="H996" s="1"/>
      <c r="I996" s="1"/>
      <c r="J996" s="1"/>
      <c r="K996" s="1"/>
      <c r="L996" s="1"/>
      <c r="M996" s="1"/>
      <c r="N996" s="1"/>
      <c r="O996" s="1"/>
      <c r="P996" s="1"/>
      <c r="Q996" s="1"/>
      <c r="R996" s="1"/>
      <c r="S996" s="1"/>
      <c r="T996" s="1"/>
    </row>
    <row r="997" ht="14.25" customHeight="1">
      <c r="A997" s="52"/>
      <c r="B997" s="53"/>
      <c r="C997" s="53"/>
      <c r="D997" s="53"/>
      <c r="E997" s="53"/>
      <c r="F997" s="53"/>
      <c r="G997" s="1"/>
      <c r="H997" s="1"/>
      <c r="I997" s="1"/>
      <c r="J997" s="1"/>
      <c r="K997" s="1"/>
      <c r="L997" s="1"/>
      <c r="M997" s="1"/>
      <c r="N997" s="1"/>
      <c r="O997" s="1"/>
      <c r="P997" s="1"/>
      <c r="Q997" s="1"/>
      <c r="R997" s="1"/>
      <c r="S997" s="1"/>
      <c r="T997" s="1"/>
    </row>
    <row r="998" ht="14.25" customHeight="1">
      <c r="A998" s="52"/>
      <c r="B998" s="53"/>
      <c r="C998" s="53"/>
      <c r="D998" s="53"/>
      <c r="E998" s="53"/>
      <c r="F998" s="53"/>
      <c r="G998" s="1"/>
      <c r="H998" s="1"/>
      <c r="I998" s="1"/>
      <c r="J998" s="1"/>
      <c r="K998" s="1"/>
      <c r="L998" s="1"/>
      <c r="M998" s="1"/>
      <c r="N998" s="1"/>
      <c r="O998" s="1"/>
      <c r="P998" s="1"/>
      <c r="Q998" s="1"/>
      <c r="R998" s="1"/>
      <c r="S998" s="1"/>
      <c r="T998" s="1"/>
    </row>
    <row r="999" ht="14.25" customHeight="1">
      <c r="A999" s="52"/>
      <c r="B999" s="53"/>
      <c r="C999" s="53"/>
      <c r="D999" s="53"/>
      <c r="E999" s="53"/>
      <c r="F999" s="53"/>
      <c r="G999" s="1"/>
      <c r="H999" s="1"/>
      <c r="I999" s="1"/>
      <c r="J999" s="1"/>
      <c r="K999" s="1"/>
      <c r="L999" s="1"/>
      <c r="M999" s="1"/>
      <c r="N999" s="1"/>
      <c r="O999" s="1"/>
      <c r="P999" s="1"/>
      <c r="Q999" s="1"/>
      <c r="R999" s="1"/>
      <c r="S999" s="1"/>
      <c r="T999" s="1"/>
    </row>
    <row r="1000" ht="14.25" customHeight="1">
      <c r="A1000" s="52"/>
      <c r="B1000" s="53"/>
      <c r="C1000" s="53"/>
      <c r="D1000" s="53"/>
      <c r="E1000" s="53"/>
      <c r="F1000" s="53"/>
      <c r="G1000" s="1"/>
      <c r="H1000" s="1"/>
      <c r="I1000" s="1"/>
      <c r="J1000" s="1"/>
      <c r="K1000" s="1"/>
      <c r="L1000" s="1"/>
      <c r="M1000" s="1"/>
      <c r="N1000" s="1"/>
      <c r="O1000" s="1"/>
      <c r="P1000" s="1"/>
      <c r="Q1000" s="1"/>
      <c r="R1000" s="1"/>
      <c r="S1000" s="1"/>
      <c r="T1000" s="1"/>
    </row>
  </sheetData>
  <mergeCells count="7">
    <mergeCell ref="A2:P2"/>
    <mergeCell ref="A4:P4"/>
    <mergeCell ref="A5:P5"/>
    <mergeCell ref="A6:P6"/>
    <mergeCell ref="A7:P7"/>
    <mergeCell ref="A8:P8"/>
    <mergeCell ref="A34:P34"/>
  </mergeCells>
  <hyperlinks>
    <hyperlink r:id="rId1" ref="H12"/>
    <hyperlink r:id="rId2" ref="I12"/>
    <hyperlink r:id="rId3" ref="H13"/>
    <hyperlink r:id="rId4" ref="H14"/>
    <hyperlink r:id="rId5" ref="I14"/>
    <hyperlink r:id="rId6" ref="H15"/>
    <hyperlink r:id="rId7" ref="I15"/>
  </hyperlinks>
  <printOptions/>
  <pageMargins bottom="0.75" footer="0.0" header="0.0" left="0.7" right="0.7" top="0.75"/>
  <pageSetup orientation="landscape"/>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16.0"/>
    <col customWidth="1" min="3" max="3" width="10.43"/>
    <col customWidth="1" min="4" max="4" width="12.71"/>
    <col customWidth="1" min="5" max="5" width="5.71"/>
    <col customWidth="1" min="6" max="6" width="5.86"/>
    <col customWidth="1" min="7" max="7" width="7.14"/>
    <col customWidth="1" min="8" max="8" width="9.14"/>
    <col customWidth="1" min="9" max="11" width="10.14"/>
    <col customWidth="1" min="12" max="13" width="8.0"/>
    <col customWidth="1" min="14" max="14" width="10.43"/>
    <col customWidth="1" min="15" max="15" width="8.71"/>
    <col customWidth="1" min="16" max="16" width="9.14"/>
    <col customWidth="1" min="17" max="17" width="21.0"/>
    <col customWidth="1" min="18" max="20" width="9.14"/>
    <col customWidth="1" min="21" max="26" width="10.0"/>
  </cols>
  <sheetData>
    <row r="1" ht="14.25" customHeight="1">
      <c r="A1" s="52"/>
      <c r="B1" s="53"/>
      <c r="C1" s="53"/>
      <c r="D1" s="53"/>
      <c r="E1" s="53"/>
      <c r="F1" s="53"/>
      <c r="G1" s="1"/>
      <c r="H1" s="1"/>
      <c r="I1" s="1"/>
      <c r="J1" s="1"/>
      <c r="K1" s="1"/>
      <c r="L1" s="1"/>
      <c r="M1" s="1"/>
      <c r="N1" s="1"/>
      <c r="O1" s="1"/>
      <c r="P1" s="1"/>
      <c r="Q1" s="1"/>
      <c r="R1" s="1"/>
      <c r="S1" s="1"/>
      <c r="T1" s="1"/>
    </row>
    <row r="2" ht="15.0" customHeight="1">
      <c r="A2" s="54" t="s">
        <v>331</v>
      </c>
      <c r="B2" s="55"/>
      <c r="C2" s="55"/>
      <c r="D2" s="55"/>
      <c r="E2" s="55"/>
      <c r="F2" s="55"/>
      <c r="G2" s="55"/>
      <c r="H2" s="55"/>
      <c r="I2" s="55"/>
      <c r="J2" s="55"/>
      <c r="K2" s="55"/>
      <c r="L2" s="55"/>
      <c r="M2" s="55"/>
      <c r="N2" s="55"/>
      <c r="O2" s="55"/>
      <c r="P2" s="56"/>
      <c r="Q2" s="57"/>
      <c r="R2" s="57"/>
      <c r="S2" s="57"/>
      <c r="T2" s="57"/>
      <c r="U2" s="58"/>
      <c r="V2" s="58"/>
      <c r="W2" s="58"/>
      <c r="X2" s="58"/>
      <c r="Y2" s="58"/>
      <c r="Z2" s="58"/>
    </row>
    <row r="3" ht="14.25" customHeight="1">
      <c r="A3" s="58"/>
      <c r="B3" s="58"/>
      <c r="C3" s="58"/>
      <c r="D3" s="58"/>
      <c r="E3" s="58"/>
      <c r="F3" s="58"/>
      <c r="G3" s="58"/>
      <c r="H3" s="57"/>
      <c r="I3" s="58"/>
      <c r="J3" s="58"/>
      <c r="K3" s="58"/>
      <c r="L3" s="58"/>
      <c r="M3" s="58"/>
      <c r="N3" s="58"/>
      <c r="O3" s="58"/>
      <c r="P3" s="58"/>
      <c r="Q3" s="57"/>
      <c r="R3" s="57"/>
      <c r="S3" s="57"/>
      <c r="T3" s="57"/>
      <c r="U3" s="58"/>
      <c r="V3" s="58"/>
      <c r="W3" s="58"/>
      <c r="X3" s="58"/>
      <c r="Y3" s="58"/>
      <c r="Z3" s="58"/>
    </row>
    <row r="4" ht="44.25" customHeight="1">
      <c r="A4" s="59" t="s">
        <v>332</v>
      </c>
      <c r="B4" s="55"/>
      <c r="C4" s="55"/>
      <c r="D4" s="55"/>
      <c r="E4" s="55"/>
      <c r="F4" s="55"/>
      <c r="G4" s="55"/>
      <c r="H4" s="55"/>
      <c r="I4" s="55"/>
      <c r="J4" s="55"/>
      <c r="K4" s="55"/>
      <c r="L4" s="55"/>
      <c r="M4" s="55"/>
      <c r="N4" s="55"/>
      <c r="O4" s="55"/>
      <c r="P4" s="56"/>
      <c r="Q4" s="57"/>
      <c r="R4" s="57"/>
      <c r="S4" s="57"/>
      <c r="T4" s="57"/>
      <c r="U4" s="58"/>
      <c r="V4" s="58"/>
      <c r="W4" s="58"/>
      <c r="X4" s="58"/>
      <c r="Y4" s="58"/>
      <c r="Z4" s="58"/>
    </row>
    <row r="5" ht="15.0" customHeight="1">
      <c r="A5" s="59" t="s">
        <v>333</v>
      </c>
      <c r="B5" s="55"/>
      <c r="C5" s="55"/>
      <c r="D5" s="55"/>
      <c r="E5" s="55"/>
      <c r="F5" s="55"/>
      <c r="G5" s="55"/>
      <c r="H5" s="55"/>
      <c r="I5" s="55"/>
      <c r="J5" s="55"/>
      <c r="K5" s="55"/>
      <c r="L5" s="55"/>
      <c r="M5" s="55"/>
      <c r="N5" s="55"/>
      <c r="O5" s="55"/>
      <c r="P5" s="56"/>
      <c r="Q5" s="57"/>
      <c r="R5" s="57"/>
      <c r="S5" s="57"/>
      <c r="T5" s="57"/>
      <c r="U5" s="58"/>
      <c r="V5" s="58"/>
      <c r="W5" s="58"/>
      <c r="X5" s="58"/>
      <c r="Y5" s="58"/>
      <c r="Z5" s="58"/>
    </row>
    <row r="6" ht="27.75" customHeight="1">
      <c r="A6" s="59" t="s">
        <v>191</v>
      </c>
      <c r="B6" s="55"/>
      <c r="C6" s="55"/>
      <c r="D6" s="55"/>
      <c r="E6" s="55"/>
      <c r="F6" s="55"/>
      <c r="G6" s="55"/>
      <c r="H6" s="55"/>
      <c r="I6" s="55"/>
      <c r="J6" s="55"/>
      <c r="K6" s="55"/>
      <c r="L6" s="55"/>
      <c r="M6" s="55"/>
      <c r="N6" s="55"/>
      <c r="O6" s="55"/>
      <c r="P6" s="56"/>
      <c r="Q6" s="57"/>
      <c r="R6" s="57"/>
      <c r="S6" s="57"/>
      <c r="T6" s="57"/>
      <c r="U6" s="58"/>
      <c r="V6" s="58"/>
      <c r="W6" s="58"/>
      <c r="X6" s="58"/>
      <c r="Y6" s="58"/>
      <c r="Z6" s="58"/>
    </row>
    <row r="7" ht="15.0" customHeight="1">
      <c r="A7" s="59" t="s">
        <v>192</v>
      </c>
      <c r="B7" s="55"/>
      <c r="C7" s="55"/>
      <c r="D7" s="55"/>
      <c r="E7" s="55"/>
      <c r="F7" s="55"/>
      <c r="G7" s="55"/>
      <c r="H7" s="55"/>
      <c r="I7" s="55"/>
      <c r="J7" s="55"/>
      <c r="K7" s="55"/>
      <c r="L7" s="55"/>
      <c r="M7" s="55"/>
      <c r="N7" s="55"/>
      <c r="O7" s="55"/>
      <c r="P7" s="56"/>
      <c r="Q7" s="57"/>
      <c r="R7" s="57"/>
      <c r="S7" s="57"/>
      <c r="T7" s="57"/>
      <c r="U7" s="58"/>
      <c r="V7" s="58"/>
      <c r="W7" s="58"/>
      <c r="X7" s="58"/>
      <c r="Y7" s="58"/>
      <c r="Z7" s="58"/>
    </row>
    <row r="8" ht="57.75" customHeight="1">
      <c r="A8" s="60" t="s">
        <v>334</v>
      </c>
      <c r="B8" s="55"/>
      <c r="C8" s="55"/>
      <c r="D8" s="55"/>
      <c r="E8" s="55"/>
      <c r="F8" s="55"/>
      <c r="G8" s="55"/>
      <c r="H8" s="55"/>
      <c r="I8" s="55"/>
      <c r="J8" s="55"/>
      <c r="K8" s="55"/>
      <c r="L8" s="55"/>
      <c r="M8" s="55"/>
      <c r="N8" s="55"/>
      <c r="O8" s="55"/>
      <c r="P8" s="56"/>
      <c r="Q8" s="57"/>
      <c r="R8" s="57"/>
      <c r="S8" s="57"/>
      <c r="T8" s="57"/>
      <c r="U8" s="58"/>
      <c r="V8" s="58"/>
      <c r="W8" s="58"/>
      <c r="X8" s="58"/>
      <c r="Y8" s="58"/>
      <c r="Z8" s="58"/>
    </row>
    <row r="9" ht="14.25" customHeight="1">
      <c r="A9" s="61"/>
      <c r="B9" s="62"/>
      <c r="C9" s="62"/>
      <c r="D9" s="62"/>
      <c r="E9" s="62"/>
      <c r="F9" s="62"/>
      <c r="G9" s="61"/>
      <c r="H9" s="58"/>
      <c r="I9" s="61"/>
      <c r="J9" s="61"/>
      <c r="K9" s="61"/>
      <c r="L9" s="61"/>
      <c r="M9" s="61"/>
      <c r="N9" s="61"/>
      <c r="O9" s="61"/>
      <c r="P9" s="61"/>
      <c r="Q9" s="57"/>
      <c r="R9" s="57"/>
      <c r="S9" s="57"/>
      <c r="T9" s="57"/>
      <c r="U9" s="58"/>
      <c r="V9" s="58"/>
      <c r="W9" s="58"/>
      <c r="X9" s="58"/>
      <c r="Y9" s="58"/>
      <c r="Z9" s="58"/>
    </row>
    <row r="10" ht="82.5" customHeight="1">
      <c r="A10" s="63" t="s">
        <v>194</v>
      </c>
      <c r="B10" s="63" t="s">
        <v>195</v>
      </c>
      <c r="C10" s="63" t="s">
        <v>196</v>
      </c>
      <c r="D10" s="64" t="s">
        <v>197</v>
      </c>
      <c r="E10" s="64" t="s">
        <v>198</v>
      </c>
      <c r="F10" s="64" t="s">
        <v>199</v>
      </c>
      <c r="G10" s="63" t="s">
        <v>200</v>
      </c>
      <c r="H10" s="64" t="s">
        <v>201</v>
      </c>
      <c r="I10" s="64" t="s">
        <v>202</v>
      </c>
      <c r="J10" s="64" t="s">
        <v>203</v>
      </c>
      <c r="K10" s="64" t="s">
        <v>204</v>
      </c>
      <c r="L10" s="64" t="s">
        <v>205</v>
      </c>
      <c r="M10" s="64" t="s">
        <v>335</v>
      </c>
      <c r="N10" s="64" t="s">
        <v>336</v>
      </c>
      <c r="O10" s="63" t="s">
        <v>208</v>
      </c>
      <c r="P10" s="63" t="s">
        <v>209</v>
      </c>
      <c r="Q10" s="65" t="s">
        <v>210</v>
      </c>
      <c r="R10" s="66"/>
      <c r="S10" s="66"/>
      <c r="T10" s="66"/>
      <c r="U10" s="67"/>
      <c r="V10" s="67"/>
      <c r="W10" s="67"/>
      <c r="X10" s="67"/>
      <c r="Y10" s="67"/>
      <c r="Z10" s="67"/>
    </row>
    <row r="11" ht="192.75" customHeight="1">
      <c r="A11" s="68" t="str">
        <f t="shared" ref="A11:P11" si="1">'[1]I.2'!A11</f>
        <v>#REF!</v>
      </c>
      <c r="B11" s="68" t="str">
        <f t="shared" si="1"/>
        <v>#REF!</v>
      </c>
      <c r="C11" s="69" t="str">
        <f t="shared" si="1"/>
        <v>#REF!</v>
      </c>
      <c r="D11" s="68" t="str">
        <f t="shared" si="1"/>
        <v>#REF!</v>
      </c>
      <c r="E11" s="70" t="str">
        <f t="shared" si="1"/>
        <v>#REF!</v>
      </c>
      <c r="F11" s="71" t="str">
        <f t="shared" si="1"/>
        <v>#REF!</v>
      </c>
      <c r="G11" s="69" t="str">
        <f t="shared" si="1"/>
        <v>#REF!</v>
      </c>
      <c r="H11" s="72" t="str">
        <f t="shared" si="1"/>
        <v>#REF!</v>
      </c>
      <c r="I11" s="73" t="str">
        <f t="shared" si="1"/>
        <v>#REF!</v>
      </c>
      <c r="J11" s="73" t="str">
        <f t="shared" si="1"/>
        <v>#REF!</v>
      </c>
      <c r="K11" s="74" t="str">
        <f t="shared" si="1"/>
        <v>#REF!</v>
      </c>
      <c r="L11" s="75" t="str">
        <f t="shared" si="1"/>
        <v>#REF!</v>
      </c>
      <c r="M11" s="75" t="str">
        <f t="shared" si="1"/>
        <v>#REF!</v>
      </c>
      <c r="N11" s="75" t="str">
        <f t="shared" si="1"/>
        <v>#REF!</v>
      </c>
      <c r="O11" s="76" t="str">
        <f t="shared" si="1"/>
        <v>#REF!</v>
      </c>
      <c r="P11" s="77" t="str">
        <f t="shared" si="1"/>
        <v>#REF!</v>
      </c>
      <c r="Q11" s="77" t="s">
        <v>125</v>
      </c>
      <c r="R11" s="1"/>
      <c r="S11" s="1"/>
      <c r="T11" s="1"/>
    </row>
    <row r="12" ht="192.75" customHeight="1">
      <c r="A12" s="68" t="str">
        <f t="shared" ref="A12:P12" si="2">'[2]I.2'!A11</f>
        <v>#REF!</v>
      </c>
      <c r="B12" s="68" t="str">
        <f t="shared" si="2"/>
        <v>#REF!</v>
      </c>
      <c r="C12" s="69" t="str">
        <f t="shared" si="2"/>
        <v>#REF!</v>
      </c>
      <c r="D12" s="68" t="str">
        <f t="shared" si="2"/>
        <v>#REF!</v>
      </c>
      <c r="E12" s="70" t="str">
        <f t="shared" si="2"/>
        <v>#REF!</v>
      </c>
      <c r="F12" s="71" t="str">
        <f t="shared" si="2"/>
        <v>#REF!</v>
      </c>
      <c r="G12" s="69" t="str">
        <f t="shared" si="2"/>
        <v>#REF!</v>
      </c>
      <c r="H12" s="72" t="str">
        <f t="shared" si="2"/>
        <v>#REF!</v>
      </c>
      <c r="I12" s="73" t="str">
        <f t="shared" si="2"/>
        <v>#REF!</v>
      </c>
      <c r="J12" s="73" t="str">
        <f t="shared" si="2"/>
        <v>#REF!</v>
      </c>
      <c r="K12" s="74" t="str">
        <f t="shared" si="2"/>
        <v>#REF!</v>
      </c>
      <c r="L12" s="75" t="str">
        <f t="shared" si="2"/>
        <v>#REF!</v>
      </c>
      <c r="M12" s="75" t="str">
        <f t="shared" si="2"/>
        <v>#REF!</v>
      </c>
      <c r="N12" s="75" t="str">
        <f t="shared" si="2"/>
        <v>#REF!</v>
      </c>
      <c r="O12" s="76" t="str">
        <f t="shared" si="2"/>
        <v>#REF!</v>
      </c>
      <c r="P12" s="77" t="str">
        <f t="shared" si="2"/>
        <v>#REF!</v>
      </c>
      <c r="Q12" s="77" t="s">
        <v>133</v>
      </c>
      <c r="R12" s="1"/>
      <c r="S12" s="1"/>
      <c r="T12" s="1"/>
    </row>
    <row r="13" ht="96.0" customHeight="1">
      <c r="A13" s="68" t="s">
        <v>337</v>
      </c>
      <c r="B13" s="68" t="s">
        <v>338</v>
      </c>
      <c r="C13" s="69" t="s">
        <v>142</v>
      </c>
      <c r="D13" s="68" t="s">
        <v>339</v>
      </c>
      <c r="E13" s="70">
        <v>10.0</v>
      </c>
      <c r="F13" s="71">
        <v>2.0</v>
      </c>
      <c r="G13" s="69" t="s">
        <v>340</v>
      </c>
      <c r="H13" s="72" t="s">
        <v>341</v>
      </c>
      <c r="I13" s="73" t="s">
        <v>342</v>
      </c>
      <c r="J13" s="73" t="s">
        <v>343</v>
      </c>
      <c r="K13" s="74" t="s">
        <v>344</v>
      </c>
      <c r="L13" s="75">
        <v>2020.0</v>
      </c>
      <c r="M13" s="75" t="s">
        <v>345</v>
      </c>
      <c r="N13" s="75">
        <v>0.715</v>
      </c>
      <c r="O13" s="76">
        <v>500.0</v>
      </c>
      <c r="P13" s="77">
        <v>500.0</v>
      </c>
      <c r="Q13" s="77" t="s">
        <v>153</v>
      </c>
      <c r="R13" s="1"/>
      <c r="S13" s="1"/>
      <c r="T13" s="1"/>
    </row>
    <row r="14" ht="220.5" customHeight="1">
      <c r="A14" s="68" t="s">
        <v>346</v>
      </c>
      <c r="B14" s="68" t="s">
        <v>347</v>
      </c>
      <c r="C14" s="69" t="s">
        <v>142</v>
      </c>
      <c r="D14" s="68" t="s">
        <v>348</v>
      </c>
      <c r="E14" s="70"/>
      <c r="F14" s="71"/>
      <c r="G14" s="69" t="s">
        <v>349</v>
      </c>
      <c r="H14" s="72" t="s">
        <v>350</v>
      </c>
      <c r="I14" s="73" t="s">
        <v>351</v>
      </c>
      <c r="J14" s="73" t="s">
        <v>352</v>
      </c>
      <c r="K14" s="74" t="s">
        <v>344</v>
      </c>
      <c r="L14" s="75">
        <v>2020.0</v>
      </c>
      <c r="M14" s="75" t="s">
        <v>353</v>
      </c>
      <c r="N14" s="75">
        <v>1.05</v>
      </c>
      <c r="O14" s="76">
        <v>500.0</v>
      </c>
      <c r="P14" s="77">
        <v>100.0</v>
      </c>
      <c r="Q14" s="77" t="s">
        <v>172</v>
      </c>
      <c r="R14" s="1"/>
      <c r="S14" s="1"/>
      <c r="T14" s="1"/>
    </row>
    <row r="15" ht="96.0" customHeight="1">
      <c r="A15" s="68" t="s">
        <v>354</v>
      </c>
      <c r="B15" s="68" t="s">
        <v>311</v>
      </c>
      <c r="C15" s="69" t="s">
        <v>142</v>
      </c>
      <c r="D15" s="68" t="s">
        <v>348</v>
      </c>
      <c r="E15" s="70">
        <v>22.0</v>
      </c>
      <c r="F15" s="71">
        <v>1.0</v>
      </c>
      <c r="G15" s="69" t="s">
        <v>355</v>
      </c>
      <c r="H15" s="72" t="s">
        <v>356</v>
      </c>
      <c r="I15" s="73" t="s">
        <v>357</v>
      </c>
      <c r="J15" s="73" t="s">
        <v>358</v>
      </c>
      <c r="K15" s="74" t="s">
        <v>359</v>
      </c>
      <c r="L15" s="75">
        <v>2020.0</v>
      </c>
      <c r="M15" s="75" t="s">
        <v>360</v>
      </c>
      <c r="N15" s="75">
        <v>1.051</v>
      </c>
      <c r="O15" s="76">
        <v>500.0</v>
      </c>
      <c r="P15" s="77">
        <v>500.0</v>
      </c>
      <c r="Q15" s="77" t="s">
        <v>173</v>
      </c>
      <c r="R15" s="1"/>
      <c r="S15" s="1"/>
      <c r="T15" s="1"/>
    </row>
    <row r="16" ht="96.0" customHeight="1">
      <c r="A16" s="68" t="s">
        <v>361</v>
      </c>
      <c r="B16" s="68" t="s">
        <v>311</v>
      </c>
      <c r="C16" s="69" t="s">
        <v>142</v>
      </c>
      <c r="D16" s="68" t="s">
        <v>362</v>
      </c>
      <c r="E16" s="70">
        <v>44.0</v>
      </c>
      <c r="F16" s="71">
        <v>2.0</v>
      </c>
      <c r="G16" s="69" t="s">
        <v>363</v>
      </c>
      <c r="H16" s="72" t="s">
        <v>364</v>
      </c>
      <c r="I16" s="73" t="s">
        <v>365</v>
      </c>
      <c r="J16" s="73" t="s">
        <v>366</v>
      </c>
      <c r="K16" s="74" t="s">
        <v>367</v>
      </c>
      <c r="L16" s="75">
        <v>2020.0</v>
      </c>
      <c r="M16" s="75" t="s">
        <v>360</v>
      </c>
      <c r="N16" s="75">
        <v>1.361</v>
      </c>
      <c r="O16" s="76">
        <v>500.0</v>
      </c>
      <c r="P16" s="77">
        <v>500.0</v>
      </c>
      <c r="Q16" s="77" t="s">
        <v>173</v>
      </c>
      <c r="R16" s="1"/>
      <c r="S16" s="1"/>
      <c r="T16" s="1"/>
    </row>
    <row r="17" ht="123.75" customHeight="1">
      <c r="A17" s="68" t="s">
        <v>368</v>
      </c>
      <c r="B17" s="68" t="s">
        <v>311</v>
      </c>
      <c r="C17" s="69" t="s">
        <v>142</v>
      </c>
      <c r="D17" s="68" t="s">
        <v>369</v>
      </c>
      <c r="E17" s="70">
        <v>80.0</v>
      </c>
      <c r="F17" s="71">
        <v>4.0</v>
      </c>
      <c r="G17" s="69" t="s">
        <v>370</v>
      </c>
      <c r="H17" s="72" t="s">
        <v>371</v>
      </c>
      <c r="I17" s="73" t="s">
        <v>372</v>
      </c>
      <c r="J17" s="73" t="s">
        <v>373</v>
      </c>
      <c r="K17" s="74" t="s">
        <v>374</v>
      </c>
      <c r="L17" s="75">
        <v>2020.0</v>
      </c>
      <c r="M17" s="75" t="s">
        <v>360</v>
      </c>
      <c r="N17" s="75">
        <v>1.347</v>
      </c>
      <c r="O17" s="76">
        <v>500.0</v>
      </c>
      <c r="P17" s="77">
        <v>500.0</v>
      </c>
      <c r="Q17" s="77" t="s">
        <v>173</v>
      </c>
      <c r="R17" s="1"/>
      <c r="S17" s="1"/>
      <c r="T17" s="1"/>
    </row>
    <row r="18" ht="165.0" customHeight="1">
      <c r="A18" s="68" t="s">
        <v>375</v>
      </c>
      <c r="B18" s="68" t="s">
        <v>376</v>
      </c>
      <c r="C18" s="69" t="s">
        <v>142</v>
      </c>
      <c r="D18" s="68" t="s">
        <v>377</v>
      </c>
      <c r="E18" s="70">
        <v>28.0</v>
      </c>
      <c r="F18" s="71">
        <v>1.0</v>
      </c>
      <c r="G18" s="69" t="s">
        <v>378</v>
      </c>
      <c r="H18" s="72" t="s">
        <v>379</v>
      </c>
      <c r="I18" s="73" t="s">
        <v>380</v>
      </c>
      <c r="J18" s="73"/>
      <c r="K18" s="74" t="s">
        <v>381</v>
      </c>
      <c r="L18" s="75">
        <v>2020.0</v>
      </c>
      <c r="M18" s="75" t="s">
        <v>382</v>
      </c>
      <c r="N18" s="75"/>
      <c r="O18" s="76">
        <v>500.0</v>
      </c>
      <c r="P18" s="77">
        <v>71.42</v>
      </c>
      <c r="Q18" s="77" t="s">
        <v>175</v>
      </c>
      <c r="R18" s="1"/>
      <c r="S18" s="1"/>
      <c r="T18" s="1"/>
    </row>
    <row r="19" ht="14.25" customHeight="1">
      <c r="A19" s="68"/>
      <c r="B19" s="68"/>
      <c r="C19" s="69"/>
      <c r="D19" s="68"/>
      <c r="E19" s="70"/>
      <c r="F19" s="71"/>
      <c r="G19" s="69"/>
      <c r="H19" s="72"/>
      <c r="I19" s="73"/>
      <c r="J19" s="73"/>
      <c r="K19" s="74"/>
      <c r="L19" s="75"/>
      <c r="M19" s="75"/>
      <c r="N19" s="75"/>
      <c r="O19" s="76"/>
      <c r="P19" s="77"/>
      <c r="Q19" s="77"/>
      <c r="R19" s="1"/>
      <c r="S19" s="1"/>
      <c r="T19" s="1"/>
    </row>
    <row r="20" ht="14.25" customHeight="1">
      <c r="A20" s="68"/>
      <c r="B20" s="68"/>
      <c r="C20" s="69"/>
      <c r="D20" s="68"/>
      <c r="E20" s="70"/>
      <c r="F20" s="71"/>
      <c r="G20" s="69"/>
      <c r="H20" s="72"/>
      <c r="I20" s="73"/>
      <c r="J20" s="73"/>
      <c r="K20" s="74"/>
      <c r="L20" s="75"/>
      <c r="M20" s="75"/>
      <c r="N20" s="75"/>
      <c r="O20" s="76"/>
      <c r="P20" s="77"/>
      <c r="Q20" s="77"/>
      <c r="R20" s="1"/>
      <c r="S20" s="1"/>
      <c r="T20" s="1"/>
    </row>
    <row r="21" ht="14.25" customHeight="1">
      <c r="A21" s="68"/>
      <c r="B21" s="68"/>
      <c r="C21" s="69"/>
      <c r="D21" s="68"/>
      <c r="E21" s="70"/>
      <c r="F21" s="71"/>
      <c r="G21" s="69"/>
      <c r="H21" s="72"/>
      <c r="I21" s="73"/>
      <c r="J21" s="73"/>
      <c r="K21" s="74"/>
      <c r="L21" s="75"/>
      <c r="M21" s="75"/>
      <c r="N21" s="75"/>
      <c r="O21" s="76"/>
      <c r="P21" s="77"/>
      <c r="Q21" s="77"/>
      <c r="R21" s="1"/>
      <c r="S21" s="1"/>
      <c r="T21" s="1"/>
    </row>
    <row r="22" ht="14.25" customHeight="1">
      <c r="A22" s="68"/>
      <c r="B22" s="68"/>
      <c r="C22" s="69"/>
      <c r="D22" s="68"/>
      <c r="E22" s="70"/>
      <c r="F22" s="71"/>
      <c r="G22" s="69"/>
      <c r="H22" s="72"/>
      <c r="I22" s="73"/>
      <c r="J22" s="73"/>
      <c r="K22" s="74"/>
      <c r="L22" s="75"/>
      <c r="M22" s="75"/>
      <c r="N22" s="75"/>
      <c r="O22" s="76"/>
      <c r="P22" s="77"/>
      <c r="Q22" s="77"/>
      <c r="R22" s="1"/>
      <c r="S22" s="1"/>
      <c r="T22" s="1"/>
    </row>
    <row r="23" ht="14.25" customHeight="1">
      <c r="A23" s="68"/>
      <c r="B23" s="68"/>
      <c r="C23" s="69"/>
      <c r="D23" s="68"/>
      <c r="E23" s="109"/>
      <c r="F23" s="110"/>
      <c r="G23" s="69"/>
      <c r="H23" s="111"/>
      <c r="I23" s="112"/>
      <c r="J23" s="112"/>
      <c r="K23" s="113"/>
      <c r="L23" s="75"/>
      <c r="M23" s="75"/>
      <c r="N23" s="75"/>
      <c r="O23" s="76"/>
      <c r="P23" s="77"/>
      <c r="Q23" s="77"/>
      <c r="R23" s="1"/>
      <c r="S23" s="1"/>
      <c r="T23" s="1"/>
    </row>
    <row r="24" ht="14.25" customHeight="1">
      <c r="A24" s="104" t="s">
        <v>180</v>
      </c>
      <c r="B24" s="53"/>
      <c r="C24" s="53"/>
      <c r="D24" s="53"/>
      <c r="E24" s="53"/>
      <c r="F24" s="53"/>
      <c r="G24" s="1"/>
      <c r="H24" s="1"/>
      <c r="I24" s="1"/>
      <c r="J24" s="1"/>
      <c r="K24" s="1"/>
      <c r="L24" s="1"/>
      <c r="M24" s="1"/>
      <c r="N24" s="1"/>
      <c r="O24" s="57"/>
      <c r="P24" s="105" t="str">
        <f>SUM(P11:P23)</f>
        <v>#REF!</v>
      </c>
      <c r="Q24" s="1"/>
      <c r="R24" s="1"/>
      <c r="S24" s="1"/>
      <c r="T24" s="1"/>
    </row>
    <row r="25" ht="14.25" customHeight="1">
      <c r="A25" s="52"/>
      <c r="B25" s="53"/>
      <c r="C25" s="53"/>
      <c r="D25" s="53"/>
      <c r="E25" s="53"/>
      <c r="F25" s="53"/>
      <c r="G25" s="1"/>
      <c r="H25" s="1"/>
      <c r="I25" s="1"/>
      <c r="J25" s="1"/>
      <c r="K25" s="1"/>
      <c r="L25" s="1"/>
      <c r="M25" s="1"/>
      <c r="N25" s="1"/>
      <c r="O25" s="1"/>
      <c r="P25" s="1"/>
      <c r="Q25" s="1"/>
      <c r="R25" s="1"/>
      <c r="S25" s="1"/>
      <c r="T25" s="1"/>
    </row>
    <row r="26" ht="14.25" customHeight="1">
      <c r="A26" s="106" t="s">
        <v>330</v>
      </c>
      <c r="B26" s="107"/>
      <c r="C26" s="107"/>
      <c r="D26" s="107"/>
      <c r="E26" s="107"/>
      <c r="F26" s="107"/>
      <c r="G26" s="107"/>
      <c r="H26" s="107"/>
      <c r="I26" s="107"/>
      <c r="J26" s="107"/>
      <c r="K26" s="107"/>
      <c r="L26" s="107"/>
      <c r="M26" s="107"/>
      <c r="N26" s="107"/>
      <c r="O26" s="107"/>
      <c r="P26" s="108"/>
      <c r="Q26" s="1"/>
      <c r="R26" s="1"/>
      <c r="S26" s="1"/>
      <c r="T26" s="1"/>
    </row>
    <row r="27" ht="14.25" customHeight="1">
      <c r="A27" s="52"/>
      <c r="B27" s="53"/>
      <c r="C27" s="53"/>
      <c r="D27" s="53"/>
      <c r="E27" s="53"/>
      <c r="F27" s="53"/>
      <c r="G27" s="1"/>
      <c r="H27" s="1"/>
      <c r="I27" s="1"/>
      <c r="J27" s="1"/>
      <c r="K27" s="1"/>
      <c r="L27" s="1"/>
      <c r="M27" s="1"/>
      <c r="N27" s="1"/>
      <c r="O27" s="1"/>
      <c r="P27" s="1"/>
      <c r="Q27" s="1"/>
      <c r="R27" s="1"/>
      <c r="S27" s="1"/>
      <c r="T27" s="1"/>
    </row>
    <row r="28" ht="14.25" customHeight="1">
      <c r="A28" s="52"/>
      <c r="B28" s="53"/>
      <c r="C28" s="53"/>
      <c r="D28" s="53"/>
      <c r="E28" s="53"/>
      <c r="F28" s="53"/>
      <c r="G28" s="1"/>
      <c r="H28" s="1"/>
      <c r="I28" s="1"/>
      <c r="J28" s="1"/>
      <c r="K28" s="1"/>
      <c r="L28" s="1"/>
      <c r="M28" s="1"/>
      <c r="N28" s="1"/>
      <c r="O28" s="1"/>
      <c r="P28" s="1"/>
      <c r="Q28" s="1"/>
      <c r="R28" s="1"/>
      <c r="S28" s="1"/>
      <c r="T28" s="1"/>
    </row>
    <row r="29" ht="14.25" customHeight="1">
      <c r="A29" s="52"/>
      <c r="B29" s="53"/>
      <c r="C29" s="53"/>
      <c r="D29" s="53"/>
      <c r="E29" s="53"/>
      <c r="F29" s="53"/>
      <c r="G29" s="1"/>
      <c r="H29" s="1"/>
      <c r="I29" s="1"/>
      <c r="J29" s="1"/>
      <c r="K29" s="1"/>
      <c r="L29" s="1"/>
      <c r="M29" s="1"/>
      <c r="N29" s="1"/>
      <c r="O29" s="1"/>
      <c r="P29" s="1"/>
      <c r="Q29" s="1"/>
      <c r="R29" s="1"/>
      <c r="S29" s="1"/>
      <c r="T29" s="1"/>
    </row>
    <row r="30" ht="14.25" customHeight="1">
      <c r="A30" s="52"/>
      <c r="B30" s="53"/>
      <c r="C30" s="53"/>
      <c r="D30" s="53"/>
      <c r="E30" s="53"/>
      <c r="F30" s="53"/>
      <c r="G30" s="1"/>
      <c r="H30" s="1"/>
      <c r="I30" s="1"/>
      <c r="J30" s="1"/>
      <c r="K30" s="1"/>
      <c r="L30" s="1"/>
      <c r="M30" s="1"/>
      <c r="N30" s="1"/>
      <c r="O30" s="1"/>
      <c r="P30" s="1"/>
      <c r="Q30" s="1"/>
      <c r="R30" s="1"/>
      <c r="S30" s="1"/>
      <c r="T30" s="1"/>
    </row>
    <row r="31" ht="14.25" customHeight="1">
      <c r="A31" s="52"/>
      <c r="B31" s="53"/>
      <c r="C31" s="53"/>
      <c r="D31" s="53"/>
      <c r="E31" s="53"/>
      <c r="F31" s="53"/>
      <c r="G31" s="1"/>
      <c r="H31" s="1"/>
      <c r="I31" s="1"/>
      <c r="J31" s="1"/>
      <c r="K31" s="1"/>
      <c r="L31" s="1"/>
      <c r="M31" s="1"/>
      <c r="N31" s="1"/>
      <c r="O31" s="1"/>
      <c r="P31" s="1"/>
      <c r="Q31" s="1"/>
      <c r="R31" s="1"/>
      <c r="S31" s="1"/>
      <c r="T31" s="1"/>
    </row>
    <row r="32" ht="14.25" customHeight="1">
      <c r="A32" s="52"/>
      <c r="B32" s="53"/>
      <c r="C32" s="53"/>
      <c r="D32" s="53"/>
      <c r="E32" s="53"/>
      <c r="F32" s="53"/>
      <c r="G32" s="1"/>
      <c r="H32" s="1"/>
      <c r="I32" s="1"/>
      <c r="J32" s="1"/>
      <c r="K32" s="1"/>
      <c r="L32" s="1"/>
      <c r="M32" s="1"/>
      <c r="N32" s="1"/>
      <c r="O32" s="1"/>
      <c r="P32" s="1"/>
      <c r="Q32" s="1"/>
      <c r="R32" s="1"/>
      <c r="S32" s="1"/>
      <c r="T32" s="1"/>
    </row>
    <row r="33" ht="14.25" customHeight="1">
      <c r="A33" s="52"/>
      <c r="B33" s="53"/>
      <c r="C33" s="53"/>
      <c r="D33" s="53"/>
      <c r="E33" s="53"/>
      <c r="F33" s="53"/>
      <c r="G33" s="1"/>
      <c r="H33" s="1"/>
      <c r="I33" s="1"/>
      <c r="J33" s="1"/>
      <c r="K33" s="1"/>
      <c r="L33" s="1"/>
      <c r="M33" s="1"/>
      <c r="N33" s="1"/>
      <c r="O33" s="1"/>
      <c r="P33" s="1"/>
      <c r="Q33" s="1"/>
      <c r="R33" s="1"/>
      <c r="S33" s="1"/>
      <c r="T33" s="1"/>
    </row>
    <row r="34" ht="14.25" customHeight="1">
      <c r="A34" s="52"/>
      <c r="B34" s="53"/>
      <c r="C34" s="53"/>
      <c r="D34" s="53"/>
      <c r="E34" s="53"/>
      <c r="F34" s="53"/>
      <c r="G34" s="1"/>
      <c r="H34" s="1"/>
      <c r="I34" s="1"/>
      <c r="J34" s="1"/>
      <c r="K34" s="1"/>
      <c r="L34" s="1"/>
      <c r="M34" s="1"/>
      <c r="N34" s="1"/>
      <c r="O34" s="1"/>
      <c r="P34" s="1"/>
      <c r="Q34" s="1"/>
      <c r="R34" s="1"/>
      <c r="S34" s="1"/>
      <c r="T34" s="1"/>
    </row>
    <row r="35" ht="14.25" customHeight="1">
      <c r="A35" s="52"/>
      <c r="B35" s="53"/>
      <c r="C35" s="53"/>
      <c r="D35" s="53"/>
      <c r="E35" s="53"/>
      <c r="F35" s="53"/>
      <c r="G35" s="1"/>
      <c r="H35" s="1"/>
      <c r="I35" s="1"/>
      <c r="J35" s="1"/>
      <c r="K35" s="1"/>
      <c r="L35" s="1"/>
      <c r="M35" s="1"/>
      <c r="N35" s="1"/>
      <c r="O35" s="1"/>
      <c r="P35" s="1"/>
      <c r="Q35" s="1"/>
      <c r="R35" s="1"/>
      <c r="S35" s="1"/>
      <c r="T35" s="1"/>
    </row>
    <row r="36" ht="14.25" customHeight="1">
      <c r="A36" s="52"/>
      <c r="B36" s="53"/>
      <c r="C36" s="53"/>
      <c r="D36" s="53"/>
      <c r="E36" s="53"/>
      <c r="F36" s="53"/>
      <c r="G36" s="1"/>
      <c r="H36" s="1"/>
      <c r="I36" s="1"/>
      <c r="J36" s="1"/>
      <c r="K36" s="1"/>
      <c r="L36" s="1"/>
      <c r="M36" s="1"/>
      <c r="N36" s="1"/>
      <c r="O36" s="1"/>
      <c r="P36" s="1"/>
      <c r="Q36" s="1"/>
      <c r="R36" s="1"/>
      <c r="S36" s="1"/>
      <c r="T36" s="1"/>
    </row>
    <row r="37" ht="14.25" customHeight="1">
      <c r="A37" s="52"/>
      <c r="B37" s="53"/>
      <c r="C37" s="53"/>
      <c r="D37" s="53"/>
      <c r="E37" s="53"/>
      <c r="F37" s="53"/>
      <c r="G37" s="1"/>
      <c r="H37" s="1"/>
      <c r="I37" s="1"/>
      <c r="J37" s="1"/>
      <c r="K37" s="1"/>
      <c r="L37" s="1"/>
      <c r="M37" s="1"/>
      <c r="N37" s="1"/>
      <c r="O37" s="1"/>
      <c r="P37" s="1"/>
      <c r="Q37" s="1"/>
      <c r="R37" s="1"/>
      <c r="S37" s="1"/>
      <c r="T37" s="1"/>
    </row>
    <row r="38" ht="14.25" customHeight="1">
      <c r="A38" s="52"/>
      <c r="B38" s="53"/>
      <c r="C38" s="53"/>
      <c r="D38" s="53"/>
      <c r="E38" s="53"/>
      <c r="F38" s="53"/>
      <c r="G38" s="1"/>
      <c r="H38" s="1"/>
      <c r="I38" s="1"/>
      <c r="J38" s="1"/>
      <c r="K38" s="1"/>
      <c r="L38" s="1"/>
      <c r="M38" s="1"/>
      <c r="N38" s="1"/>
      <c r="O38" s="1"/>
      <c r="P38" s="1"/>
      <c r="Q38" s="1"/>
      <c r="R38" s="1"/>
      <c r="S38" s="1"/>
      <c r="T38" s="1"/>
    </row>
    <row r="39" ht="14.25" customHeight="1">
      <c r="A39" s="52"/>
      <c r="B39" s="53"/>
      <c r="C39" s="53"/>
      <c r="D39" s="53"/>
      <c r="E39" s="53"/>
      <c r="F39" s="53"/>
      <c r="G39" s="1"/>
      <c r="H39" s="1"/>
      <c r="I39" s="1"/>
      <c r="J39" s="1"/>
      <c r="K39" s="1"/>
      <c r="L39" s="1"/>
      <c r="M39" s="1"/>
      <c r="N39" s="1"/>
      <c r="O39" s="1"/>
      <c r="P39" s="1"/>
      <c r="Q39" s="1"/>
      <c r="R39" s="1"/>
      <c r="S39" s="1"/>
      <c r="T39" s="1"/>
    </row>
    <row r="40" ht="14.25" customHeight="1">
      <c r="A40" s="52"/>
      <c r="B40" s="53"/>
      <c r="C40" s="53"/>
      <c r="D40" s="53"/>
      <c r="E40" s="53"/>
      <c r="F40" s="53"/>
      <c r="G40" s="1"/>
      <c r="H40" s="1"/>
      <c r="I40" s="1"/>
      <c r="J40" s="1"/>
      <c r="K40" s="1"/>
      <c r="L40" s="1"/>
      <c r="M40" s="1"/>
      <c r="N40" s="1"/>
      <c r="O40" s="1"/>
      <c r="P40" s="1"/>
      <c r="Q40" s="1"/>
      <c r="R40" s="1"/>
      <c r="S40" s="1"/>
      <c r="T40" s="1"/>
    </row>
    <row r="41" ht="14.25" customHeight="1">
      <c r="A41" s="52"/>
      <c r="B41" s="53"/>
      <c r="C41" s="53"/>
      <c r="D41" s="53"/>
      <c r="E41" s="53"/>
      <c r="F41" s="53"/>
      <c r="G41" s="1"/>
      <c r="H41" s="1"/>
      <c r="I41" s="1"/>
      <c r="J41" s="1"/>
      <c r="K41" s="1"/>
      <c r="L41" s="1"/>
      <c r="M41" s="1"/>
      <c r="N41" s="1"/>
      <c r="O41" s="1"/>
      <c r="P41" s="1"/>
      <c r="Q41" s="1"/>
      <c r="R41" s="1"/>
      <c r="S41" s="1"/>
      <c r="T41" s="1"/>
    </row>
    <row r="42" ht="14.25" customHeight="1">
      <c r="A42" s="52"/>
      <c r="B42" s="53"/>
      <c r="C42" s="53"/>
      <c r="D42" s="53"/>
      <c r="E42" s="53"/>
      <c r="F42" s="53"/>
      <c r="G42" s="1"/>
      <c r="H42" s="1"/>
      <c r="I42" s="1"/>
      <c r="J42" s="1"/>
      <c r="K42" s="1"/>
      <c r="L42" s="1"/>
      <c r="M42" s="1"/>
      <c r="N42" s="1"/>
      <c r="O42" s="1"/>
      <c r="P42" s="1"/>
      <c r="Q42" s="1"/>
      <c r="R42" s="1"/>
      <c r="S42" s="1"/>
      <c r="T42" s="1"/>
    </row>
    <row r="43" ht="14.25" customHeight="1">
      <c r="A43" s="52"/>
      <c r="B43" s="53"/>
      <c r="C43" s="53"/>
      <c r="D43" s="53"/>
      <c r="E43" s="53"/>
      <c r="F43" s="53"/>
      <c r="G43" s="1"/>
      <c r="H43" s="1"/>
      <c r="I43" s="1"/>
      <c r="J43" s="1"/>
      <c r="K43" s="1"/>
      <c r="L43" s="1"/>
      <c r="M43" s="1"/>
      <c r="N43" s="1"/>
      <c r="O43" s="1"/>
      <c r="P43" s="1"/>
      <c r="Q43" s="1"/>
      <c r="R43" s="1"/>
      <c r="S43" s="1"/>
      <c r="T43" s="1"/>
    </row>
    <row r="44" ht="14.25" customHeight="1">
      <c r="A44" s="52"/>
      <c r="B44" s="53"/>
      <c r="C44" s="53"/>
      <c r="D44" s="53"/>
      <c r="E44" s="53"/>
      <c r="F44" s="53"/>
      <c r="G44" s="1"/>
      <c r="H44" s="1"/>
      <c r="I44" s="1"/>
      <c r="J44" s="1"/>
      <c r="K44" s="1"/>
      <c r="L44" s="1"/>
      <c r="M44" s="1"/>
      <c r="N44" s="1"/>
      <c r="O44" s="1"/>
      <c r="P44" s="1"/>
      <c r="Q44" s="1"/>
      <c r="R44" s="1"/>
      <c r="S44" s="1"/>
      <c r="T44" s="1"/>
    </row>
    <row r="45" ht="14.25" customHeight="1">
      <c r="A45" s="52"/>
      <c r="B45" s="53"/>
      <c r="C45" s="53"/>
      <c r="D45" s="53"/>
      <c r="E45" s="53"/>
      <c r="F45" s="53"/>
      <c r="G45" s="1"/>
      <c r="H45" s="1"/>
      <c r="I45" s="1"/>
      <c r="J45" s="1"/>
      <c r="K45" s="1"/>
      <c r="L45" s="1"/>
      <c r="M45" s="1"/>
      <c r="N45" s="1"/>
      <c r="O45" s="1"/>
      <c r="P45" s="1"/>
      <c r="Q45" s="1"/>
      <c r="R45" s="1"/>
      <c r="S45" s="1"/>
      <c r="T45" s="1"/>
    </row>
    <row r="46" ht="14.25" customHeight="1">
      <c r="A46" s="52"/>
      <c r="B46" s="53"/>
      <c r="C46" s="53"/>
      <c r="D46" s="53"/>
      <c r="E46" s="53"/>
      <c r="F46" s="53"/>
      <c r="G46" s="1"/>
      <c r="H46" s="1"/>
      <c r="I46" s="1"/>
      <c r="J46" s="1"/>
      <c r="K46" s="1"/>
      <c r="L46" s="1"/>
      <c r="M46" s="1"/>
      <c r="N46" s="1"/>
      <c r="O46" s="1"/>
      <c r="P46" s="1"/>
      <c r="Q46" s="1"/>
      <c r="R46" s="1"/>
      <c r="S46" s="1"/>
      <c r="T46" s="1"/>
    </row>
    <row r="47" ht="14.25" customHeight="1">
      <c r="A47" s="52"/>
      <c r="B47" s="53"/>
      <c r="C47" s="53"/>
      <c r="D47" s="53"/>
      <c r="E47" s="53"/>
      <c r="F47" s="53"/>
      <c r="G47" s="1"/>
      <c r="H47" s="1"/>
      <c r="I47" s="1"/>
      <c r="J47" s="1"/>
      <c r="K47" s="1"/>
      <c r="L47" s="1"/>
      <c r="M47" s="1"/>
      <c r="N47" s="1"/>
      <c r="O47" s="1"/>
      <c r="P47" s="1"/>
      <c r="Q47" s="1"/>
      <c r="R47" s="1"/>
      <c r="S47" s="1"/>
      <c r="T47" s="1"/>
    </row>
    <row r="48" ht="14.25" customHeight="1">
      <c r="A48" s="52"/>
      <c r="B48" s="53"/>
      <c r="C48" s="53"/>
      <c r="D48" s="53"/>
      <c r="E48" s="53"/>
      <c r="F48" s="53"/>
      <c r="G48" s="1"/>
      <c r="H48" s="1"/>
      <c r="I48" s="1"/>
      <c r="J48" s="1"/>
      <c r="K48" s="1"/>
      <c r="L48" s="1"/>
      <c r="M48" s="1"/>
      <c r="N48" s="1"/>
      <c r="O48" s="1"/>
      <c r="P48" s="1"/>
      <c r="Q48" s="1"/>
      <c r="R48" s="1"/>
      <c r="S48" s="1"/>
      <c r="T48" s="1"/>
    </row>
    <row r="49" ht="14.25" customHeight="1">
      <c r="A49" s="52"/>
      <c r="B49" s="53"/>
      <c r="C49" s="53"/>
      <c r="D49" s="53"/>
      <c r="E49" s="53"/>
      <c r="F49" s="53"/>
      <c r="G49" s="1"/>
      <c r="H49" s="1"/>
      <c r="I49" s="1"/>
      <c r="J49" s="1"/>
      <c r="K49" s="1"/>
      <c r="L49" s="1"/>
      <c r="M49" s="1"/>
      <c r="N49" s="1"/>
      <c r="O49" s="1"/>
      <c r="P49" s="1"/>
      <c r="Q49" s="1"/>
      <c r="R49" s="1"/>
      <c r="S49" s="1"/>
      <c r="T49" s="1"/>
    </row>
    <row r="50" ht="14.25" customHeight="1">
      <c r="A50" s="52"/>
      <c r="B50" s="53"/>
      <c r="C50" s="53"/>
      <c r="D50" s="53"/>
      <c r="E50" s="53"/>
      <c r="F50" s="53"/>
      <c r="G50" s="1"/>
      <c r="H50" s="1"/>
      <c r="I50" s="1"/>
      <c r="J50" s="1"/>
      <c r="K50" s="1"/>
      <c r="L50" s="1"/>
      <c r="M50" s="1"/>
      <c r="N50" s="1"/>
      <c r="O50" s="1"/>
      <c r="P50" s="1"/>
      <c r="Q50" s="1"/>
      <c r="R50" s="1"/>
      <c r="S50" s="1"/>
      <c r="T50" s="1"/>
    </row>
    <row r="51" ht="14.25" customHeight="1">
      <c r="A51" s="52"/>
      <c r="B51" s="53"/>
      <c r="C51" s="53"/>
      <c r="D51" s="53"/>
      <c r="E51" s="53"/>
      <c r="F51" s="53"/>
      <c r="G51" s="1"/>
      <c r="H51" s="1"/>
      <c r="I51" s="1"/>
      <c r="J51" s="1"/>
      <c r="K51" s="1"/>
      <c r="L51" s="1"/>
      <c r="M51" s="1"/>
      <c r="N51" s="1"/>
      <c r="O51" s="1"/>
      <c r="P51" s="1"/>
      <c r="Q51" s="1"/>
      <c r="R51" s="1"/>
      <c r="S51" s="1"/>
      <c r="T51" s="1"/>
    </row>
    <row r="52" ht="14.25" customHeight="1">
      <c r="A52" s="52"/>
      <c r="B52" s="53"/>
      <c r="C52" s="53"/>
      <c r="D52" s="53"/>
      <c r="E52" s="53"/>
      <c r="F52" s="53"/>
      <c r="G52" s="1"/>
      <c r="H52" s="1"/>
      <c r="I52" s="1"/>
      <c r="J52" s="1"/>
      <c r="K52" s="1"/>
      <c r="L52" s="1"/>
      <c r="M52" s="1"/>
      <c r="N52" s="1"/>
      <c r="O52" s="1"/>
      <c r="P52" s="1"/>
      <c r="Q52" s="1"/>
      <c r="R52" s="1"/>
      <c r="S52" s="1"/>
      <c r="T52" s="1"/>
    </row>
    <row r="53" ht="14.25" customHeight="1">
      <c r="A53" s="52"/>
      <c r="B53" s="53"/>
      <c r="C53" s="53"/>
      <c r="D53" s="53"/>
      <c r="E53" s="53"/>
      <c r="F53" s="53"/>
      <c r="G53" s="1"/>
      <c r="H53" s="1"/>
      <c r="I53" s="1"/>
      <c r="J53" s="1"/>
      <c r="K53" s="1"/>
      <c r="L53" s="1"/>
      <c r="M53" s="1"/>
      <c r="N53" s="1"/>
      <c r="O53" s="1"/>
      <c r="P53" s="1"/>
      <c r="Q53" s="1"/>
      <c r="R53" s="1"/>
      <c r="S53" s="1"/>
      <c r="T53" s="1"/>
    </row>
    <row r="54" ht="14.25" customHeight="1">
      <c r="A54" s="52"/>
      <c r="B54" s="53"/>
      <c r="C54" s="53"/>
      <c r="D54" s="53"/>
      <c r="E54" s="53"/>
      <c r="F54" s="53"/>
      <c r="G54" s="1"/>
      <c r="H54" s="1"/>
      <c r="I54" s="1"/>
      <c r="J54" s="1"/>
      <c r="K54" s="1"/>
      <c r="L54" s="1"/>
      <c r="M54" s="1"/>
      <c r="N54" s="1"/>
      <c r="O54" s="1"/>
      <c r="P54" s="1"/>
      <c r="Q54" s="1"/>
      <c r="R54" s="1"/>
      <c r="S54" s="1"/>
      <c r="T54" s="1"/>
    </row>
    <row r="55" ht="14.25" customHeight="1">
      <c r="A55" s="52"/>
      <c r="B55" s="53"/>
      <c r="C55" s="53"/>
      <c r="D55" s="53"/>
      <c r="E55" s="53"/>
      <c r="F55" s="53"/>
      <c r="G55" s="1"/>
      <c r="H55" s="1"/>
      <c r="I55" s="1"/>
      <c r="J55" s="1"/>
      <c r="K55" s="1"/>
      <c r="L55" s="1"/>
      <c r="M55" s="1"/>
      <c r="N55" s="1"/>
      <c r="O55" s="1"/>
      <c r="P55" s="1"/>
      <c r="Q55" s="1"/>
      <c r="R55" s="1"/>
      <c r="S55" s="1"/>
      <c r="T55" s="1"/>
    </row>
    <row r="56" ht="14.25" customHeight="1">
      <c r="A56" s="52"/>
      <c r="B56" s="53"/>
      <c r="C56" s="53"/>
      <c r="D56" s="53"/>
      <c r="E56" s="53"/>
      <c r="F56" s="53"/>
      <c r="G56" s="1"/>
      <c r="H56" s="1"/>
      <c r="I56" s="1"/>
      <c r="J56" s="1"/>
      <c r="K56" s="1"/>
      <c r="L56" s="1"/>
      <c r="M56" s="1"/>
      <c r="N56" s="1"/>
      <c r="O56" s="1"/>
      <c r="P56" s="1"/>
      <c r="Q56" s="1"/>
      <c r="R56" s="1"/>
      <c r="S56" s="1"/>
      <c r="T56" s="1"/>
    </row>
    <row r="57" ht="14.25" customHeight="1">
      <c r="A57" s="52"/>
      <c r="B57" s="53"/>
      <c r="C57" s="53"/>
      <c r="D57" s="53"/>
      <c r="E57" s="53"/>
      <c r="F57" s="53"/>
      <c r="G57" s="1"/>
      <c r="H57" s="1"/>
      <c r="I57" s="1"/>
      <c r="J57" s="1"/>
      <c r="K57" s="1"/>
      <c r="L57" s="1"/>
      <c r="M57" s="1"/>
      <c r="N57" s="1"/>
      <c r="O57" s="1"/>
      <c r="P57" s="1"/>
      <c r="Q57" s="1"/>
      <c r="R57" s="1"/>
      <c r="S57" s="1"/>
      <c r="T57" s="1"/>
    </row>
    <row r="58" ht="14.25" customHeight="1">
      <c r="A58" s="52"/>
      <c r="B58" s="53"/>
      <c r="C58" s="53"/>
      <c r="D58" s="53"/>
      <c r="E58" s="53"/>
      <c r="F58" s="53"/>
      <c r="G58" s="1"/>
      <c r="H58" s="1"/>
      <c r="I58" s="1"/>
      <c r="J58" s="1"/>
      <c r="K58" s="1"/>
      <c r="L58" s="1"/>
      <c r="M58" s="1"/>
      <c r="N58" s="1"/>
      <c r="O58" s="1"/>
      <c r="P58" s="1"/>
      <c r="Q58" s="1"/>
      <c r="R58" s="1"/>
      <c r="S58" s="1"/>
      <c r="T58" s="1"/>
    </row>
    <row r="59" ht="14.25" customHeight="1">
      <c r="A59" s="52"/>
      <c r="B59" s="53"/>
      <c r="C59" s="53"/>
      <c r="D59" s="53"/>
      <c r="E59" s="53"/>
      <c r="F59" s="53"/>
      <c r="G59" s="1"/>
      <c r="H59" s="1"/>
      <c r="I59" s="1"/>
      <c r="J59" s="1"/>
      <c r="K59" s="1"/>
      <c r="L59" s="1"/>
      <c r="M59" s="1"/>
      <c r="N59" s="1"/>
      <c r="O59" s="1"/>
      <c r="P59" s="1"/>
      <c r="Q59" s="1"/>
      <c r="R59" s="1"/>
      <c r="S59" s="1"/>
      <c r="T59" s="1"/>
    </row>
    <row r="60" ht="14.25" customHeight="1">
      <c r="A60" s="52"/>
      <c r="B60" s="53"/>
      <c r="C60" s="53"/>
      <c r="D60" s="53"/>
      <c r="E60" s="53"/>
      <c r="F60" s="53"/>
      <c r="G60" s="1"/>
      <c r="H60" s="1"/>
      <c r="I60" s="1"/>
      <c r="J60" s="1"/>
      <c r="K60" s="1"/>
      <c r="L60" s="1"/>
      <c r="M60" s="1"/>
      <c r="N60" s="1"/>
      <c r="O60" s="1"/>
      <c r="P60" s="1"/>
      <c r="Q60" s="1"/>
      <c r="R60" s="1"/>
      <c r="S60" s="1"/>
      <c r="T60" s="1"/>
    </row>
    <row r="61" ht="14.25" customHeight="1">
      <c r="A61" s="52"/>
      <c r="B61" s="53"/>
      <c r="C61" s="53"/>
      <c r="D61" s="53"/>
      <c r="E61" s="53"/>
      <c r="F61" s="53"/>
      <c r="G61" s="1"/>
      <c r="H61" s="1"/>
      <c r="I61" s="1"/>
      <c r="J61" s="1"/>
      <c r="K61" s="1"/>
      <c r="L61" s="1"/>
      <c r="M61" s="1"/>
      <c r="N61" s="1"/>
      <c r="O61" s="1"/>
      <c r="P61" s="1"/>
      <c r="Q61" s="1"/>
      <c r="R61" s="1"/>
      <c r="S61" s="1"/>
      <c r="T61" s="1"/>
    </row>
    <row r="62" ht="14.25" customHeight="1">
      <c r="A62" s="52"/>
      <c r="B62" s="53"/>
      <c r="C62" s="53"/>
      <c r="D62" s="53"/>
      <c r="E62" s="53"/>
      <c r="F62" s="53"/>
      <c r="G62" s="1"/>
      <c r="H62" s="1"/>
      <c r="I62" s="1"/>
      <c r="J62" s="1"/>
      <c r="K62" s="1"/>
      <c r="L62" s="1"/>
      <c r="M62" s="1"/>
      <c r="N62" s="1"/>
      <c r="O62" s="1"/>
      <c r="P62" s="1"/>
      <c r="Q62" s="1"/>
      <c r="R62" s="1"/>
      <c r="S62" s="1"/>
      <c r="T62" s="1"/>
    </row>
    <row r="63" ht="14.25" customHeight="1">
      <c r="A63" s="52"/>
      <c r="B63" s="53"/>
      <c r="C63" s="53"/>
      <c r="D63" s="53"/>
      <c r="E63" s="53"/>
      <c r="F63" s="53"/>
      <c r="G63" s="1"/>
      <c r="H63" s="1"/>
      <c r="I63" s="1"/>
      <c r="J63" s="1"/>
      <c r="K63" s="1"/>
      <c r="L63" s="1"/>
      <c r="M63" s="1"/>
      <c r="N63" s="1"/>
      <c r="O63" s="1"/>
      <c r="P63" s="1"/>
      <c r="Q63" s="1"/>
      <c r="R63" s="1"/>
      <c r="S63" s="1"/>
      <c r="T63" s="1"/>
    </row>
    <row r="64" ht="14.25" customHeight="1">
      <c r="A64" s="52"/>
      <c r="B64" s="53"/>
      <c r="C64" s="53"/>
      <c r="D64" s="53"/>
      <c r="E64" s="53"/>
      <c r="F64" s="53"/>
      <c r="G64" s="1"/>
      <c r="H64" s="1"/>
      <c r="I64" s="1"/>
      <c r="J64" s="1"/>
      <c r="K64" s="1"/>
      <c r="L64" s="1"/>
      <c r="M64" s="1"/>
      <c r="N64" s="1"/>
      <c r="O64" s="1"/>
      <c r="P64" s="1"/>
      <c r="Q64" s="1"/>
      <c r="R64" s="1"/>
      <c r="S64" s="1"/>
      <c r="T64" s="1"/>
    </row>
    <row r="65" ht="14.25" customHeight="1">
      <c r="A65" s="52"/>
      <c r="B65" s="53"/>
      <c r="C65" s="53"/>
      <c r="D65" s="53"/>
      <c r="E65" s="53"/>
      <c r="F65" s="53"/>
      <c r="G65" s="1"/>
      <c r="H65" s="1"/>
      <c r="I65" s="1"/>
      <c r="J65" s="1"/>
      <c r="K65" s="1"/>
      <c r="L65" s="1"/>
      <c r="M65" s="1"/>
      <c r="N65" s="1"/>
      <c r="O65" s="1"/>
      <c r="P65" s="1"/>
      <c r="Q65" s="1"/>
      <c r="R65" s="1"/>
      <c r="S65" s="1"/>
      <c r="T65" s="1"/>
    </row>
    <row r="66" ht="14.25" customHeight="1">
      <c r="A66" s="52"/>
      <c r="B66" s="53"/>
      <c r="C66" s="53"/>
      <c r="D66" s="53"/>
      <c r="E66" s="53"/>
      <c r="F66" s="53"/>
      <c r="G66" s="1"/>
      <c r="H66" s="1"/>
      <c r="I66" s="1"/>
      <c r="J66" s="1"/>
      <c r="K66" s="1"/>
      <c r="L66" s="1"/>
      <c r="M66" s="1"/>
      <c r="N66" s="1"/>
      <c r="O66" s="1"/>
      <c r="P66" s="1"/>
      <c r="Q66" s="1"/>
      <c r="R66" s="1"/>
      <c r="S66" s="1"/>
      <c r="T66" s="1"/>
    </row>
    <row r="67" ht="14.25" customHeight="1">
      <c r="A67" s="52"/>
      <c r="B67" s="53"/>
      <c r="C67" s="53"/>
      <c r="D67" s="53"/>
      <c r="E67" s="53"/>
      <c r="F67" s="53"/>
      <c r="G67" s="1"/>
      <c r="H67" s="1"/>
      <c r="I67" s="1"/>
      <c r="J67" s="1"/>
      <c r="K67" s="1"/>
      <c r="L67" s="1"/>
      <c r="M67" s="1"/>
      <c r="N67" s="1"/>
      <c r="O67" s="1"/>
      <c r="P67" s="1"/>
      <c r="Q67" s="1"/>
      <c r="R67" s="1"/>
      <c r="S67" s="1"/>
      <c r="T67" s="1"/>
    </row>
    <row r="68" ht="14.25" customHeight="1">
      <c r="A68" s="52"/>
      <c r="B68" s="53"/>
      <c r="C68" s="53"/>
      <c r="D68" s="53"/>
      <c r="E68" s="53"/>
      <c r="F68" s="53"/>
      <c r="G68" s="1"/>
      <c r="H68" s="1"/>
      <c r="I68" s="1"/>
      <c r="J68" s="1"/>
      <c r="K68" s="1"/>
      <c r="L68" s="1"/>
      <c r="M68" s="1"/>
      <c r="N68" s="1"/>
      <c r="O68" s="1"/>
      <c r="P68" s="1"/>
      <c r="Q68" s="1"/>
      <c r="R68" s="1"/>
      <c r="S68" s="1"/>
      <c r="T68" s="1"/>
    </row>
    <row r="69" ht="14.25" customHeight="1">
      <c r="A69" s="52"/>
      <c r="B69" s="53"/>
      <c r="C69" s="53"/>
      <c r="D69" s="53"/>
      <c r="E69" s="53"/>
      <c r="F69" s="53"/>
      <c r="G69" s="1"/>
      <c r="H69" s="1"/>
      <c r="I69" s="1"/>
      <c r="J69" s="1"/>
      <c r="K69" s="1"/>
      <c r="L69" s="1"/>
      <c r="M69" s="1"/>
      <c r="N69" s="1"/>
      <c r="O69" s="1"/>
      <c r="P69" s="1"/>
      <c r="Q69" s="1"/>
      <c r="R69" s="1"/>
      <c r="S69" s="1"/>
      <c r="T69" s="1"/>
    </row>
    <row r="70" ht="14.25" customHeight="1">
      <c r="A70" s="52"/>
      <c r="B70" s="53"/>
      <c r="C70" s="53"/>
      <c r="D70" s="53"/>
      <c r="E70" s="53"/>
      <c r="F70" s="53"/>
      <c r="G70" s="1"/>
      <c r="H70" s="1"/>
      <c r="I70" s="1"/>
      <c r="J70" s="1"/>
      <c r="K70" s="1"/>
      <c r="L70" s="1"/>
      <c r="M70" s="1"/>
      <c r="N70" s="1"/>
      <c r="O70" s="1"/>
      <c r="P70" s="1"/>
      <c r="Q70" s="1"/>
      <c r="R70" s="1"/>
      <c r="S70" s="1"/>
      <c r="T70" s="1"/>
    </row>
    <row r="71" ht="14.25" customHeight="1">
      <c r="A71" s="52"/>
      <c r="B71" s="53"/>
      <c r="C71" s="53"/>
      <c r="D71" s="53"/>
      <c r="E71" s="53"/>
      <c r="F71" s="53"/>
      <c r="G71" s="1"/>
      <c r="H71" s="1"/>
      <c r="I71" s="1"/>
      <c r="J71" s="1"/>
      <c r="K71" s="1"/>
      <c r="L71" s="1"/>
      <c r="M71" s="1"/>
      <c r="N71" s="1"/>
      <c r="O71" s="1"/>
      <c r="P71" s="1"/>
      <c r="Q71" s="1"/>
      <c r="R71" s="1"/>
      <c r="S71" s="1"/>
      <c r="T71" s="1"/>
    </row>
    <row r="72" ht="14.25" customHeight="1">
      <c r="A72" s="52"/>
      <c r="B72" s="53"/>
      <c r="C72" s="53"/>
      <c r="D72" s="53"/>
      <c r="E72" s="53"/>
      <c r="F72" s="53"/>
      <c r="G72" s="1"/>
      <c r="H72" s="1"/>
      <c r="I72" s="1"/>
      <c r="J72" s="1"/>
      <c r="K72" s="1"/>
      <c r="L72" s="1"/>
      <c r="M72" s="1"/>
      <c r="N72" s="1"/>
      <c r="O72" s="1"/>
      <c r="P72" s="1"/>
      <c r="Q72" s="1"/>
      <c r="R72" s="1"/>
      <c r="S72" s="1"/>
      <c r="T72" s="1"/>
    </row>
    <row r="73" ht="14.25" customHeight="1">
      <c r="A73" s="52"/>
      <c r="B73" s="53"/>
      <c r="C73" s="53"/>
      <c r="D73" s="53"/>
      <c r="E73" s="53"/>
      <c r="F73" s="53"/>
      <c r="G73" s="1"/>
      <c r="H73" s="1"/>
      <c r="I73" s="1"/>
      <c r="J73" s="1"/>
      <c r="K73" s="1"/>
      <c r="L73" s="1"/>
      <c r="M73" s="1"/>
      <c r="N73" s="1"/>
      <c r="O73" s="1"/>
      <c r="P73" s="1"/>
      <c r="Q73" s="1"/>
      <c r="R73" s="1"/>
      <c r="S73" s="1"/>
      <c r="T73" s="1"/>
    </row>
    <row r="74" ht="14.25" customHeight="1">
      <c r="A74" s="52"/>
      <c r="B74" s="53"/>
      <c r="C74" s="53"/>
      <c r="D74" s="53"/>
      <c r="E74" s="53"/>
      <c r="F74" s="53"/>
      <c r="G74" s="1"/>
      <c r="H74" s="1"/>
      <c r="I74" s="1"/>
      <c r="J74" s="1"/>
      <c r="K74" s="1"/>
      <c r="L74" s="1"/>
      <c r="M74" s="1"/>
      <c r="N74" s="1"/>
      <c r="O74" s="1"/>
      <c r="P74" s="1"/>
      <c r="Q74" s="1"/>
      <c r="R74" s="1"/>
      <c r="S74" s="1"/>
      <c r="T74" s="1"/>
    </row>
    <row r="75" ht="14.25" customHeight="1">
      <c r="A75" s="52"/>
      <c r="B75" s="53"/>
      <c r="C75" s="53"/>
      <c r="D75" s="53"/>
      <c r="E75" s="53"/>
      <c r="F75" s="53"/>
      <c r="G75" s="1"/>
      <c r="H75" s="1"/>
      <c r="I75" s="1"/>
      <c r="J75" s="1"/>
      <c r="K75" s="1"/>
      <c r="L75" s="1"/>
      <c r="M75" s="1"/>
      <c r="N75" s="1"/>
      <c r="O75" s="1"/>
      <c r="P75" s="1"/>
      <c r="Q75" s="1"/>
      <c r="R75" s="1"/>
      <c r="S75" s="1"/>
      <c r="T75" s="1"/>
    </row>
    <row r="76" ht="14.25" customHeight="1">
      <c r="A76" s="52"/>
      <c r="B76" s="53"/>
      <c r="C76" s="53"/>
      <c r="D76" s="53"/>
      <c r="E76" s="53"/>
      <c r="F76" s="53"/>
      <c r="G76" s="1"/>
      <c r="H76" s="1"/>
      <c r="I76" s="1"/>
      <c r="J76" s="1"/>
      <c r="K76" s="1"/>
      <c r="L76" s="1"/>
      <c r="M76" s="1"/>
      <c r="N76" s="1"/>
      <c r="O76" s="1"/>
      <c r="P76" s="1"/>
      <c r="Q76" s="1"/>
      <c r="R76" s="1"/>
      <c r="S76" s="1"/>
      <c r="T76" s="1"/>
    </row>
    <row r="77" ht="14.25" customHeight="1">
      <c r="A77" s="52"/>
      <c r="B77" s="53"/>
      <c r="C77" s="53"/>
      <c r="D77" s="53"/>
      <c r="E77" s="53"/>
      <c r="F77" s="53"/>
      <c r="G77" s="1"/>
      <c r="H77" s="1"/>
      <c r="I77" s="1"/>
      <c r="J77" s="1"/>
      <c r="K77" s="1"/>
      <c r="L77" s="1"/>
      <c r="M77" s="1"/>
      <c r="N77" s="1"/>
      <c r="O77" s="1"/>
      <c r="P77" s="1"/>
      <c r="Q77" s="1"/>
      <c r="R77" s="1"/>
      <c r="S77" s="1"/>
      <c r="T77" s="1"/>
    </row>
    <row r="78" ht="14.25" customHeight="1">
      <c r="A78" s="52"/>
      <c r="B78" s="53"/>
      <c r="C78" s="53"/>
      <c r="D78" s="53"/>
      <c r="E78" s="53"/>
      <c r="F78" s="53"/>
      <c r="G78" s="1"/>
      <c r="H78" s="1"/>
      <c r="I78" s="1"/>
      <c r="J78" s="1"/>
      <c r="K78" s="1"/>
      <c r="L78" s="1"/>
      <c r="M78" s="1"/>
      <c r="N78" s="1"/>
      <c r="O78" s="1"/>
      <c r="P78" s="1"/>
      <c r="Q78" s="1"/>
      <c r="R78" s="1"/>
      <c r="S78" s="1"/>
      <c r="T78" s="1"/>
    </row>
    <row r="79" ht="14.25" customHeight="1">
      <c r="A79" s="52"/>
      <c r="B79" s="53"/>
      <c r="C79" s="53"/>
      <c r="D79" s="53"/>
      <c r="E79" s="53"/>
      <c r="F79" s="53"/>
      <c r="G79" s="1"/>
      <c r="H79" s="1"/>
      <c r="I79" s="1"/>
      <c r="J79" s="1"/>
      <c r="K79" s="1"/>
      <c r="L79" s="1"/>
      <c r="M79" s="1"/>
      <c r="N79" s="1"/>
      <c r="O79" s="1"/>
      <c r="P79" s="1"/>
      <c r="Q79" s="1"/>
      <c r="R79" s="1"/>
      <c r="S79" s="1"/>
      <c r="T79" s="1"/>
    </row>
    <row r="80" ht="14.25" customHeight="1">
      <c r="A80" s="52"/>
      <c r="B80" s="53"/>
      <c r="C80" s="53"/>
      <c r="D80" s="53"/>
      <c r="E80" s="53"/>
      <c r="F80" s="53"/>
      <c r="G80" s="1"/>
      <c r="H80" s="1"/>
      <c r="I80" s="1"/>
      <c r="J80" s="1"/>
      <c r="K80" s="1"/>
      <c r="L80" s="1"/>
      <c r="M80" s="1"/>
      <c r="N80" s="1"/>
      <c r="O80" s="1"/>
      <c r="P80" s="1"/>
      <c r="Q80" s="1"/>
      <c r="R80" s="1"/>
      <c r="S80" s="1"/>
      <c r="T80" s="1"/>
    </row>
    <row r="81" ht="14.25" customHeight="1">
      <c r="A81" s="52"/>
      <c r="B81" s="53"/>
      <c r="C81" s="53"/>
      <c r="D81" s="53"/>
      <c r="E81" s="53"/>
      <c r="F81" s="53"/>
      <c r="G81" s="1"/>
      <c r="H81" s="1"/>
      <c r="I81" s="1"/>
      <c r="J81" s="1"/>
      <c r="K81" s="1"/>
      <c r="L81" s="1"/>
      <c r="M81" s="1"/>
      <c r="N81" s="1"/>
      <c r="O81" s="1"/>
      <c r="P81" s="1"/>
      <c r="Q81" s="1"/>
      <c r="R81" s="1"/>
      <c r="S81" s="1"/>
      <c r="T81" s="1"/>
    </row>
    <row r="82" ht="14.25" customHeight="1">
      <c r="A82" s="52"/>
      <c r="B82" s="53"/>
      <c r="C82" s="53"/>
      <c r="D82" s="53"/>
      <c r="E82" s="53"/>
      <c r="F82" s="53"/>
      <c r="G82" s="1"/>
      <c r="H82" s="1"/>
      <c r="I82" s="1"/>
      <c r="J82" s="1"/>
      <c r="K82" s="1"/>
      <c r="L82" s="1"/>
      <c r="M82" s="1"/>
      <c r="N82" s="1"/>
      <c r="O82" s="1"/>
      <c r="P82" s="1"/>
      <c r="Q82" s="1"/>
      <c r="R82" s="1"/>
      <c r="S82" s="1"/>
      <c r="T82" s="1"/>
    </row>
    <row r="83" ht="14.25" customHeight="1">
      <c r="A83" s="52"/>
      <c r="B83" s="53"/>
      <c r="C83" s="53"/>
      <c r="D83" s="53"/>
      <c r="E83" s="53"/>
      <c r="F83" s="53"/>
      <c r="G83" s="1"/>
      <c r="H83" s="1"/>
      <c r="I83" s="1"/>
      <c r="J83" s="1"/>
      <c r="K83" s="1"/>
      <c r="L83" s="1"/>
      <c r="M83" s="1"/>
      <c r="N83" s="1"/>
      <c r="O83" s="1"/>
      <c r="P83" s="1"/>
      <c r="Q83" s="1"/>
      <c r="R83" s="1"/>
      <c r="S83" s="1"/>
      <c r="T83" s="1"/>
    </row>
    <row r="84" ht="14.25" customHeight="1">
      <c r="A84" s="52"/>
      <c r="B84" s="53"/>
      <c r="C84" s="53"/>
      <c r="D84" s="53"/>
      <c r="E84" s="53"/>
      <c r="F84" s="53"/>
      <c r="G84" s="1"/>
      <c r="H84" s="1"/>
      <c r="I84" s="1"/>
      <c r="J84" s="1"/>
      <c r="K84" s="1"/>
      <c r="L84" s="1"/>
      <c r="M84" s="1"/>
      <c r="N84" s="1"/>
      <c r="O84" s="1"/>
      <c r="P84" s="1"/>
      <c r="Q84" s="1"/>
      <c r="R84" s="1"/>
      <c r="S84" s="1"/>
      <c r="T84" s="1"/>
    </row>
    <row r="85" ht="14.25" customHeight="1">
      <c r="A85" s="52"/>
      <c r="B85" s="53"/>
      <c r="C85" s="53"/>
      <c r="D85" s="53"/>
      <c r="E85" s="53"/>
      <c r="F85" s="53"/>
      <c r="G85" s="1"/>
      <c r="H85" s="1"/>
      <c r="I85" s="1"/>
      <c r="J85" s="1"/>
      <c r="K85" s="1"/>
      <c r="L85" s="1"/>
      <c r="M85" s="1"/>
      <c r="N85" s="1"/>
      <c r="O85" s="1"/>
      <c r="P85" s="1"/>
      <c r="Q85" s="1"/>
      <c r="R85" s="1"/>
      <c r="S85" s="1"/>
      <c r="T85" s="1"/>
    </row>
    <row r="86" ht="14.25" customHeight="1">
      <c r="A86" s="52"/>
      <c r="B86" s="53"/>
      <c r="C86" s="53"/>
      <c r="D86" s="53"/>
      <c r="E86" s="53"/>
      <c r="F86" s="53"/>
      <c r="G86" s="1"/>
      <c r="H86" s="1"/>
      <c r="I86" s="1"/>
      <c r="J86" s="1"/>
      <c r="K86" s="1"/>
      <c r="L86" s="1"/>
      <c r="M86" s="1"/>
      <c r="N86" s="1"/>
      <c r="O86" s="1"/>
      <c r="P86" s="1"/>
      <c r="Q86" s="1"/>
      <c r="R86" s="1"/>
      <c r="S86" s="1"/>
      <c r="T86" s="1"/>
    </row>
    <row r="87" ht="14.25" customHeight="1">
      <c r="A87" s="52"/>
      <c r="B87" s="53"/>
      <c r="C87" s="53"/>
      <c r="D87" s="53"/>
      <c r="E87" s="53"/>
      <c r="F87" s="53"/>
      <c r="G87" s="1"/>
      <c r="H87" s="1"/>
      <c r="I87" s="1"/>
      <c r="J87" s="1"/>
      <c r="K87" s="1"/>
      <c r="L87" s="1"/>
      <c r="M87" s="1"/>
      <c r="N87" s="1"/>
      <c r="O87" s="1"/>
      <c r="P87" s="1"/>
      <c r="Q87" s="1"/>
      <c r="R87" s="1"/>
      <c r="S87" s="1"/>
      <c r="T87" s="1"/>
    </row>
    <row r="88" ht="14.25" customHeight="1">
      <c r="A88" s="52"/>
      <c r="B88" s="53"/>
      <c r="C88" s="53"/>
      <c r="D88" s="53"/>
      <c r="E88" s="53"/>
      <c r="F88" s="53"/>
      <c r="G88" s="1"/>
      <c r="H88" s="1"/>
      <c r="I88" s="1"/>
      <c r="J88" s="1"/>
      <c r="K88" s="1"/>
      <c r="L88" s="1"/>
      <c r="M88" s="1"/>
      <c r="N88" s="1"/>
      <c r="O88" s="1"/>
      <c r="P88" s="1"/>
      <c r="Q88" s="1"/>
      <c r="R88" s="1"/>
      <c r="S88" s="1"/>
      <c r="T88" s="1"/>
    </row>
    <row r="89" ht="14.25" customHeight="1">
      <c r="A89" s="52"/>
      <c r="B89" s="53"/>
      <c r="C89" s="53"/>
      <c r="D89" s="53"/>
      <c r="E89" s="53"/>
      <c r="F89" s="53"/>
      <c r="G89" s="1"/>
      <c r="H89" s="1"/>
      <c r="I89" s="1"/>
      <c r="J89" s="1"/>
      <c r="K89" s="1"/>
      <c r="L89" s="1"/>
      <c r="M89" s="1"/>
      <c r="N89" s="1"/>
      <c r="O89" s="1"/>
      <c r="P89" s="1"/>
      <c r="Q89" s="1"/>
      <c r="R89" s="1"/>
      <c r="S89" s="1"/>
      <c r="T89" s="1"/>
    </row>
    <row r="90" ht="14.25" customHeight="1">
      <c r="A90" s="52"/>
      <c r="B90" s="53"/>
      <c r="C90" s="53"/>
      <c r="D90" s="53"/>
      <c r="E90" s="53"/>
      <c r="F90" s="53"/>
      <c r="G90" s="1"/>
      <c r="H90" s="1"/>
      <c r="I90" s="1"/>
      <c r="J90" s="1"/>
      <c r="K90" s="1"/>
      <c r="L90" s="1"/>
      <c r="M90" s="1"/>
      <c r="N90" s="1"/>
      <c r="O90" s="1"/>
      <c r="P90" s="1"/>
      <c r="Q90" s="1"/>
      <c r="R90" s="1"/>
      <c r="S90" s="1"/>
      <c r="T90" s="1"/>
    </row>
    <row r="91" ht="14.25" customHeight="1">
      <c r="A91" s="52"/>
      <c r="B91" s="53"/>
      <c r="C91" s="53"/>
      <c r="D91" s="53"/>
      <c r="E91" s="53"/>
      <c r="F91" s="53"/>
      <c r="G91" s="1"/>
      <c r="H91" s="1"/>
      <c r="I91" s="1"/>
      <c r="J91" s="1"/>
      <c r="K91" s="1"/>
      <c r="L91" s="1"/>
      <c r="M91" s="1"/>
      <c r="N91" s="1"/>
      <c r="O91" s="1"/>
      <c r="P91" s="1"/>
      <c r="Q91" s="1"/>
      <c r="R91" s="1"/>
      <c r="S91" s="1"/>
      <c r="T91" s="1"/>
    </row>
    <row r="92" ht="14.25" customHeight="1">
      <c r="A92" s="52"/>
      <c r="B92" s="53"/>
      <c r="C92" s="53"/>
      <c r="D92" s="53"/>
      <c r="E92" s="53"/>
      <c r="F92" s="53"/>
      <c r="G92" s="1"/>
      <c r="H92" s="1"/>
      <c r="I92" s="1"/>
      <c r="J92" s="1"/>
      <c r="K92" s="1"/>
      <c r="L92" s="1"/>
      <c r="M92" s="1"/>
      <c r="N92" s="1"/>
      <c r="O92" s="1"/>
      <c r="P92" s="1"/>
      <c r="Q92" s="1"/>
      <c r="R92" s="1"/>
      <c r="S92" s="1"/>
      <c r="T92" s="1"/>
    </row>
    <row r="93" ht="14.25" customHeight="1">
      <c r="A93" s="52"/>
      <c r="B93" s="53"/>
      <c r="C93" s="53"/>
      <c r="D93" s="53"/>
      <c r="E93" s="53"/>
      <c r="F93" s="53"/>
      <c r="G93" s="1"/>
      <c r="H93" s="1"/>
      <c r="I93" s="1"/>
      <c r="J93" s="1"/>
      <c r="K93" s="1"/>
      <c r="L93" s="1"/>
      <c r="M93" s="1"/>
      <c r="N93" s="1"/>
      <c r="O93" s="1"/>
      <c r="P93" s="1"/>
      <c r="Q93" s="1"/>
      <c r="R93" s="1"/>
      <c r="S93" s="1"/>
      <c r="T93" s="1"/>
    </row>
    <row r="94" ht="14.25" customHeight="1">
      <c r="A94" s="52"/>
      <c r="B94" s="53"/>
      <c r="C94" s="53"/>
      <c r="D94" s="53"/>
      <c r="E94" s="53"/>
      <c r="F94" s="53"/>
      <c r="G94" s="1"/>
      <c r="H94" s="1"/>
      <c r="I94" s="1"/>
      <c r="J94" s="1"/>
      <c r="K94" s="1"/>
      <c r="L94" s="1"/>
      <c r="M94" s="1"/>
      <c r="N94" s="1"/>
      <c r="O94" s="1"/>
      <c r="P94" s="1"/>
      <c r="Q94" s="1"/>
      <c r="R94" s="1"/>
      <c r="S94" s="1"/>
      <c r="T94" s="1"/>
    </row>
    <row r="95" ht="14.25" customHeight="1">
      <c r="A95" s="52"/>
      <c r="B95" s="53"/>
      <c r="C95" s="53"/>
      <c r="D95" s="53"/>
      <c r="E95" s="53"/>
      <c r="F95" s="53"/>
      <c r="G95" s="1"/>
      <c r="H95" s="1"/>
      <c r="I95" s="1"/>
      <c r="J95" s="1"/>
      <c r="K95" s="1"/>
      <c r="L95" s="1"/>
      <c r="M95" s="1"/>
      <c r="N95" s="1"/>
      <c r="O95" s="1"/>
      <c r="P95" s="1"/>
      <c r="Q95" s="1"/>
      <c r="R95" s="1"/>
      <c r="S95" s="1"/>
      <c r="T95" s="1"/>
    </row>
    <row r="96" ht="14.25" customHeight="1">
      <c r="A96" s="52"/>
      <c r="B96" s="53"/>
      <c r="C96" s="53"/>
      <c r="D96" s="53"/>
      <c r="E96" s="53"/>
      <c r="F96" s="53"/>
      <c r="G96" s="1"/>
      <c r="H96" s="1"/>
      <c r="I96" s="1"/>
      <c r="J96" s="1"/>
      <c r="K96" s="1"/>
      <c r="L96" s="1"/>
      <c r="M96" s="1"/>
      <c r="N96" s="1"/>
      <c r="O96" s="1"/>
      <c r="P96" s="1"/>
      <c r="Q96" s="1"/>
      <c r="R96" s="1"/>
      <c r="S96" s="1"/>
      <c r="T96" s="1"/>
    </row>
    <row r="97" ht="14.25" customHeight="1">
      <c r="A97" s="52"/>
      <c r="B97" s="53"/>
      <c r="C97" s="53"/>
      <c r="D97" s="53"/>
      <c r="E97" s="53"/>
      <c r="F97" s="53"/>
      <c r="G97" s="1"/>
      <c r="H97" s="1"/>
      <c r="I97" s="1"/>
      <c r="J97" s="1"/>
      <c r="K97" s="1"/>
      <c r="L97" s="1"/>
      <c r="M97" s="1"/>
      <c r="N97" s="1"/>
      <c r="O97" s="1"/>
      <c r="P97" s="1"/>
      <c r="Q97" s="1"/>
      <c r="R97" s="1"/>
      <c r="S97" s="1"/>
      <c r="T97" s="1"/>
    </row>
    <row r="98" ht="14.25" customHeight="1">
      <c r="A98" s="52"/>
      <c r="B98" s="53"/>
      <c r="C98" s="53"/>
      <c r="D98" s="53"/>
      <c r="E98" s="53"/>
      <c r="F98" s="53"/>
      <c r="G98" s="1"/>
      <c r="H98" s="1"/>
      <c r="I98" s="1"/>
      <c r="J98" s="1"/>
      <c r="K98" s="1"/>
      <c r="L98" s="1"/>
      <c r="M98" s="1"/>
      <c r="N98" s="1"/>
      <c r="O98" s="1"/>
      <c r="P98" s="1"/>
      <c r="Q98" s="1"/>
      <c r="R98" s="1"/>
      <c r="S98" s="1"/>
      <c r="T98" s="1"/>
    </row>
    <row r="99" ht="14.25" customHeight="1">
      <c r="A99" s="52"/>
      <c r="B99" s="53"/>
      <c r="C99" s="53"/>
      <c r="D99" s="53"/>
      <c r="E99" s="53"/>
      <c r="F99" s="53"/>
      <c r="G99" s="1"/>
      <c r="H99" s="1"/>
      <c r="I99" s="1"/>
      <c r="J99" s="1"/>
      <c r="K99" s="1"/>
      <c r="L99" s="1"/>
      <c r="M99" s="1"/>
      <c r="N99" s="1"/>
      <c r="O99" s="1"/>
      <c r="P99" s="1"/>
      <c r="Q99" s="1"/>
      <c r="R99" s="1"/>
      <c r="S99" s="1"/>
      <c r="T99" s="1"/>
    </row>
    <row r="100" ht="14.25" customHeight="1">
      <c r="A100" s="52"/>
      <c r="B100" s="53"/>
      <c r="C100" s="53"/>
      <c r="D100" s="53"/>
      <c r="E100" s="53"/>
      <c r="F100" s="53"/>
      <c r="G100" s="1"/>
      <c r="H100" s="1"/>
      <c r="I100" s="1"/>
      <c r="J100" s="1"/>
      <c r="K100" s="1"/>
      <c r="L100" s="1"/>
      <c r="M100" s="1"/>
      <c r="N100" s="1"/>
      <c r="O100" s="1"/>
      <c r="P100" s="1"/>
      <c r="Q100" s="1"/>
      <c r="R100" s="1"/>
      <c r="S100" s="1"/>
      <c r="T100" s="1"/>
    </row>
    <row r="101" ht="14.25" customHeight="1">
      <c r="A101" s="52"/>
      <c r="B101" s="53"/>
      <c r="C101" s="53"/>
      <c r="D101" s="53"/>
      <c r="E101" s="53"/>
      <c r="F101" s="53"/>
      <c r="G101" s="1"/>
      <c r="H101" s="1"/>
      <c r="I101" s="1"/>
      <c r="J101" s="1"/>
      <c r="K101" s="1"/>
      <c r="L101" s="1"/>
      <c r="M101" s="1"/>
      <c r="N101" s="1"/>
      <c r="O101" s="1"/>
      <c r="P101" s="1"/>
      <c r="Q101" s="1"/>
      <c r="R101" s="1"/>
      <c r="S101" s="1"/>
      <c r="T101" s="1"/>
    </row>
    <row r="102" ht="14.25" customHeight="1">
      <c r="A102" s="52"/>
      <c r="B102" s="53"/>
      <c r="C102" s="53"/>
      <c r="D102" s="53"/>
      <c r="E102" s="53"/>
      <c r="F102" s="53"/>
      <c r="G102" s="1"/>
      <c r="H102" s="1"/>
      <c r="I102" s="1"/>
      <c r="J102" s="1"/>
      <c r="K102" s="1"/>
      <c r="L102" s="1"/>
      <c r="M102" s="1"/>
      <c r="N102" s="1"/>
      <c r="O102" s="1"/>
      <c r="P102" s="1"/>
      <c r="Q102" s="1"/>
      <c r="R102" s="1"/>
      <c r="S102" s="1"/>
      <c r="T102" s="1"/>
    </row>
    <row r="103" ht="14.25" customHeight="1">
      <c r="A103" s="52"/>
      <c r="B103" s="53"/>
      <c r="C103" s="53"/>
      <c r="D103" s="53"/>
      <c r="E103" s="53"/>
      <c r="F103" s="53"/>
      <c r="G103" s="1"/>
      <c r="H103" s="1"/>
      <c r="I103" s="1"/>
      <c r="J103" s="1"/>
      <c r="K103" s="1"/>
      <c r="L103" s="1"/>
      <c r="M103" s="1"/>
      <c r="N103" s="1"/>
      <c r="O103" s="1"/>
      <c r="P103" s="1"/>
      <c r="Q103" s="1"/>
      <c r="R103" s="1"/>
      <c r="S103" s="1"/>
      <c r="T103" s="1"/>
    </row>
    <row r="104" ht="14.25" customHeight="1">
      <c r="A104" s="52"/>
      <c r="B104" s="53"/>
      <c r="C104" s="53"/>
      <c r="D104" s="53"/>
      <c r="E104" s="53"/>
      <c r="F104" s="53"/>
      <c r="G104" s="1"/>
      <c r="H104" s="1"/>
      <c r="I104" s="1"/>
      <c r="J104" s="1"/>
      <c r="K104" s="1"/>
      <c r="L104" s="1"/>
      <c r="M104" s="1"/>
      <c r="N104" s="1"/>
      <c r="O104" s="1"/>
      <c r="P104" s="1"/>
      <c r="Q104" s="1"/>
      <c r="R104" s="1"/>
      <c r="S104" s="1"/>
      <c r="T104" s="1"/>
    </row>
    <row r="105" ht="14.25" customHeight="1">
      <c r="A105" s="52"/>
      <c r="B105" s="53"/>
      <c r="C105" s="53"/>
      <c r="D105" s="53"/>
      <c r="E105" s="53"/>
      <c r="F105" s="53"/>
      <c r="G105" s="1"/>
      <c r="H105" s="1"/>
      <c r="I105" s="1"/>
      <c r="J105" s="1"/>
      <c r="K105" s="1"/>
      <c r="L105" s="1"/>
      <c r="M105" s="1"/>
      <c r="N105" s="1"/>
      <c r="O105" s="1"/>
      <c r="P105" s="1"/>
      <c r="Q105" s="1"/>
      <c r="R105" s="1"/>
      <c r="S105" s="1"/>
      <c r="T105" s="1"/>
    </row>
    <row r="106" ht="14.25" customHeight="1">
      <c r="A106" s="52"/>
      <c r="B106" s="53"/>
      <c r="C106" s="53"/>
      <c r="D106" s="53"/>
      <c r="E106" s="53"/>
      <c r="F106" s="53"/>
      <c r="G106" s="1"/>
      <c r="H106" s="1"/>
      <c r="I106" s="1"/>
      <c r="J106" s="1"/>
      <c r="K106" s="1"/>
      <c r="L106" s="1"/>
      <c r="M106" s="1"/>
      <c r="N106" s="1"/>
      <c r="O106" s="1"/>
      <c r="P106" s="1"/>
      <c r="Q106" s="1"/>
      <c r="R106" s="1"/>
      <c r="S106" s="1"/>
      <c r="T106" s="1"/>
    </row>
    <row r="107" ht="14.25" customHeight="1">
      <c r="A107" s="52"/>
      <c r="B107" s="53"/>
      <c r="C107" s="53"/>
      <c r="D107" s="53"/>
      <c r="E107" s="53"/>
      <c r="F107" s="53"/>
      <c r="G107" s="1"/>
      <c r="H107" s="1"/>
      <c r="I107" s="1"/>
      <c r="J107" s="1"/>
      <c r="K107" s="1"/>
      <c r="L107" s="1"/>
      <c r="M107" s="1"/>
      <c r="N107" s="1"/>
      <c r="O107" s="1"/>
      <c r="P107" s="1"/>
      <c r="Q107" s="1"/>
      <c r="R107" s="1"/>
      <c r="S107" s="1"/>
      <c r="T107" s="1"/>
    </row>
    <row r="108" ht="14.25" customHeight="1">
      <c r="A108" s="52"/>
      <c r="B108" s="53"/>
      <c r="C108" s="53"/>
      <c r="D108" s="53"/>
      <c r="E108" s="53"/>
      <c r="F108" s="53"/>
      <c r="G108" s="1"/>
      <c r="H108" s="1"/>
      <c r="I108" s="1"/>
      <c r="J108" s="1"/>
      <c r="K108" s="1"/>
      <c r="L108" s="1"/>
      <c r="M108" s="1"/>
      <c r="N108" s="1"/>
      <c r="O108" s="1"/>
      <c r="P108" s="1"/>
      <c r="Q108" s="1"/>
      <c r="R108" s="1"/>
      <c r="S108" s="1"/>
      <c r="T108" s="1"/>
    </row>
    <row r="109" ht="14.25" customHeight="1">
      <c r="A109" s="52"/>
      <c r="B109" s="53"/>
      <c r="C109" s="53"/>
      <c r="D109" s="53"/>
      <c r="E109" s="53"/>
      <c r="F109" s="53"/>
      <c r="G109" s="1"/>
      <c r="H109" s="1"/>
      <c r="I109" s="1"/>
      <c r="J109" s="1"/>
      <c r="K109" s="1"/>
      <c r="L109" s="1"/>
      <c r="M109" s="1"/>
      <c r="N109" s="1"/>
      <c r="O109" s="1"/>
      <c r="P109" s="1"/>
      <c r="Q109" s="1"/>
      <c r="R109" s="1"/>
      <c r="S109" s="1"/>
      <c r="T109" s="1"/>
    </row>
    <row r="110" ht="14.25" customHeight="1">
      <c r="A110" s="52"/>
      <c r="B110" s="53"/>
      <c r="C110" s="53"/>
      <c r="D110" s="53"/>
      <c r="E110" s="53"/>
      <c r="F110" s="53"/>
      <c r="G110" s="1"/>
      <c r="H110" s="1"/>
      <c r="I110" s="1"/>
      <c r="J110" s="1"/>
      <c r="K110" s="1"/>
      <c r="L110" s="1"/>
      <c r="M110" s="1"/>
      <c r="N110" s="1"/>
      <c r="O110" s="1"/>
      <c r="P110" s="1"/>
      <c r="Q110" s="1"/>
      <c r="R110" s="1"/>
      <c r="S110" s="1"/>
      <c r="T110" s="1"/>
    </row>
    <row r="111" ht="14.25" customHeight="1">
      <c r="A111" s="52"/>
      <c r="B111" s="53"/>
      <c r="C111" s="53"/>
      <c r="D111" s="53"/>
      <c r="E111" s="53"/>
      <c r="F111" s="53"/>
      <c r="G111" s="1"/>
      <c r="H111" s="1"/>
      <c r="I111" s="1"/>
      <c r="J111" s="1"/>
      <c r="K111" s="1"/>
      <c r="L111" s="1"/>
      <c r="M111" s="1"/>
      <c r="N111" s="1"/>
      <c r="O111" s="1"/>
      <c r="P111" s="1"/>
      <c r="Q111" s="1"/>
      <c r="R111" s="1"/>
      <c r="S111" s="1"/>
      <c r="T111" s="1"/>
    </row>
    <row r="112" ht="14.25" customHeight="1">
      <c r="A112" s="52"/>
      <c r="B112" s="53"/>
      <c r="C112" s="53"/>
      <c r="D112" s="53"/>
      <c r="E112" s="53"/>
      <c r="F112" s="53"/>
      <c r="G112" s="1"/>
      <c r="H112" s="1"/>
      <c r="I112" s="1"/>
      <c r="J112" s="1"/>
      <c r="K112" s="1"/>
      <c r="L112" s="1"/>
      <c r="M112" s="1"/>
      <c r="N112" s="1"/>
      <c r="O112" s="1"/>
      <c r="P112" s="1"/>
      <c r="Q112" s="1"/>
      <c r="R112" s="1"/>
      <c r="S112" s="1"/>
      <c r="T112" s="1"/>
    </row>
    <row r="113" ht="14.25" customHeight="1">
      <c r="A113" s="52"/>
      <c r="B113" s="53"/>
      <c r="C113" s="53"/>
      <c r="D113" s="53"/>
      <c r="E113" s="53"/>
      <c r="F113" s="53"/>
      <c r="G113" s="1"/>
      <c r="H113" s="1"/>
      <c r="I113" s="1"/>
      <c r="J113" s="1"/>
      <c r="K113" s="1"/>
      <c r="L113" s="1"/>
      <c r="M113" s="1"/>
      <c r="N113" s="1"/>
      <c r="O113" s="1"/>
      <c r="P113" s="1"/>
      <c r="Q113" s="1"/>
      <c r="R113" s="1"/>
      <c r="S113" s="1"/>
      <c r="T113" s="1"/>
    </row>
    <row r="114" ht="14.25" customHeight="1">
      <c r="A114" s="52"/>
      <c r="B114" s="53"/>
      <c r="C114" s="53"/>
      <c r="D114" s="53"/>
      <c r="E114" s="53"/>
      <c r="F114" s="53"/>
      <c r="G114" s="1"/>
      <c r="H114" s="1"/>
      <c r="I114" s="1"/>
      <c r="J114" s="1"/>
      <c r="K114" s="1"/>
      <c r="L114" s="1"/>
      <c r="M114" s="1"/>
      <c r="N114" s="1"/>
      <c r="O114" s="1"/>
      <c r="P114" s="1"/>
      <c r="Q114" s="1"/>
      <c r="R114" s="1"/>
      <c r="S114" s="1"/>
      <c r="T114" s="1"/>
    </row>
    <row r="115" ht="14.25" customHeight="1">
      <c r="A115" s="52"/>
      <c r="B115" s="53"/>
      <c r="C115" s="53"/>
      <c r="D115" s="53"/>
      <c r="E115" s="53"/>
      <c r="F115" s="53"/>
      <c r="G115" s="1"/>
      <c r="H115" s="1"/>
      <c r="I115" s="1"/>
      <c r="J115" s="1"/>
      <c r="K115" s="1"/>
      <c r="L115" s="1"/>
      <c r="M115" s="1"/>
      <c r="N115" s="1"/>
      <c r="O115" s="1"/>
      <c r="P115" s="1"/>
      <c r="Q115" s="1"/>
      <c r="R115" s="1"/>
      <c r="S115" s="1"/>
      <c r="T115" s="1"/>
    </row>
    <row r="116" ht="14.25" customHeight="1">
      <c r="A116" s="52"/>
      <c r="B116" s="53"/>
      <c r="C116" s="53"/>
      <c r="D116" s="53"/>
      <c r="E116" s="53"/>
      <c r="F116" s="53"/>
      <c r="G116" s="1"/>
      <c r="H116" s="1"/>
      <c r="I116" s="1"/>
      <c r="J116" s="1"/>
      <c r="K116" s="1"/>
      <c r="L116" s="1"/>
      <c r="M116" s="1"/>
      <c r="N116" s="1"/>
      <c r="O116" s="1"/>
      <c r="P116" s="1"/>
      <c r="Q116" s="1"/>
      <c r="R116" s="1"/>
      <c r="S116" s="1"/>
      <c r="T116" s="1"/>
    </row>
    <row r="117" ht="14.25" customHeight="1">
      <c r="A117" s="52"/>
      <c r="B117" s="53"/>
      <c r="C117" s="53"/>
      <c r="D117" s="53"/>
      <c r="E117" s="53"/>
      <c r="F117" s="53"/>
      <c r="G117" s="1"/>
      <c r="H117" s="1"/>
      <c r="I117" s="1"/>
      <c r="J117" s="1"/>
      <c r="K117" s="1"/>
      <c r="L117" s="1"/>
      <c r="M117" s="1"/>
      <c r="N117" s="1"/>
      <c r="O117" s="1"/>
      <c r="P117" s="1"/>
      <c r="Q117" s="1"/>
      <c r="R117" s="1"/>
      <c r="S117" s="1"/>
      <c r="T117" s="1"/>
    </row>
    <row r="118" ht="14.25" customHeight="1">
      <c r="A118" s="52"/>
      <c r="B118" s="53"/>
      <c r="C118" s="53"/>
      <c r="D118" s="53"/>
      <c r="E118" s="53"/>
      <c r="F118" s="53"/>
      <c r="G118" s="1"/>
      <c r="H118" s="1"/>
      <c r="I118" s="1"/>
      <c r="J118" s="1"/>
      <c r="K118" s="1"/>
      <c r="L118" s="1"/>
      <c r="M118" s="1"/>
      <c r="N118" s="1"/>
      <c r="O118" s="1"/>
      <c r="P118" s="1"/>
      <c r="Q118" s="1"/>
      <c r="R118" s="1"/>
      <c r="S118" s="1"/>
      <c r="T118" s="1"/>
    </row>
    <row r="119" ht="14.25" customHeight="1">
      <c r="A119" s="52"/>
      <c r="B119" s="53"/>
      <c r="C119" s="53"/>
      <c r="D119" s="53"/>
      <c r="E119" s="53"/>
      <c r="F119" s="53"/>
      <c r="G119" s="1"/>
      <c r="H119" s="1"/>
      <c r="I119" s="1"/>
      <c r="J119" s="1"/>
      <c r="K119" s="1"/>
      <c r="L119" s="1"/>
      <c r="M119" s="1"/>
      <c r="N119" s="1"/>
      <c r="O119" s="1"/>
      <c r="P119" s="1"/>
      <c r="Q119" s="1"/>
      <c r="R119" s="1"/>
      <c r="S119" s="1"/>
      <c r="T119" s="1"/>
    </row>
    <row r="120" ht="14.25" customHeight="1">
      <c r="A120" s="52"/>
      <c r="B120" s="53"/>
      <c r="C120" s="53"/>
      <c r="D120" s="53"/>
      <c r="E120" s="53"/>
      <c r="F120" s="53"/>
      <c r="G120" s="1"/>
      <c r="H120" s="1"/>
      <c r="I120" s="1"/>
      <c r="J120" s="1"/>
      <c r="K120" s="1"/>
      <c r="L120" s="1"/>
      <c r="M120" s="1"/>
      <c r="N120" s="1"/>
      <c r="O120" s="1"/>
      <c r="P120" s="1"/>
      <c r="Q120" s="1"/>
      <c r="R120" s="1"/>
      <c r="S120" s="1"/>
      <c r="T120" s="1"/>
    </row>
    <row r="121" ht="14.25" customHeight="1">
      <c r="A121" s="52"/>
      <c r="B121" s="53"/>
      <c r="C121" s="53"/>
      <c r="D121" s="53"/>
      <c r="E121" s="53"/>
      <c r="F121" s="53"/>
      <c r="G121" s="1"/>
      <c r="H121" s="1"/>
      <c r="I121" s="1"/>
      <c r="J121" s="1"/>
      <c r="K121" s="1"/>
      <c r="L121" s="1"/>
      <c r="M121" s="1"/>
      <c r="N121" s="1"/>
      <c r="O121" s="1"/>
      <c r="P121" s="1"/>
      <c r="Q121" s="1"/>
      <c r="R121" s="1"/>
      <c r="S121" s="1"/>
      <c r="T121" s="1"/>
    </row>
    <row r="122" ht="14.25" customHeight="1">
      <c r="A122" s="52"/>
      <c r="B122" s="53"/>
      <c r="C122" s="53"/>
      <c r="D122" s="53"/>
      <c r="E122" s="53"/>
      <c r="F122" s="53"/>
      <c r="G122" s="1"/>
      <c r="H122" s="1"/>
      <c r="I122" s="1"/>
      <c r="J122" s="1"/>
      <c r="K122" s="1"/>
      <c r="L122" s="1"/>
      <c r="M122" s="1"/>
      <c r="N122" s="1"/>
      <c r="O122" s="1"/>
      <c r="P122" s="1"/>
      <c r="Q122" s="1"/>
      <c r="R122" s="1"/>
      <c r="S122" s="1"/>
      <c r="T122" s="1"/>
    </row>
    <row r="123" ht="14.25" customHeight="1">
      <c r="A123" s="52"/>
      <c r="B123" s="53"/>
      <c r="C123" s="53"/>
      <c r="D123" s="53"/>
      <c r="E123" s="53"/>
      <c r="F123" s="53"/>
      <c r="G123" s="1"/>
      <c r="H123" s="1"/>
      <c r="I123" s="1"/>
      <c r="J123" s="1"/>
      <c r="K123" s="1"/>
      <c r="L123" s="1"/>
      <c r="M123" s="1"/>
      <c r="N123" s="1"/>
      <c r="O123" s="1"/>
      <c r="P123" s="1"/>
      <c r="Q123" s="1"/>
      <c r="R123" s="1"/>
      <c r="S123" s="1"/>
      <c r="T123" s="1"/>
    </row>
    <row r="124" ht="14.25" customHeight="1">
      <c r="A124" s="52"/>
      <c r="B124" s="53"/>
      <c r="C124" s="53"/>
      <c r="D124" s="53"/>
      <c r="E124" s="53"/>
      <c r="F124" s="53"/>
      <c r="G124" s="1"/>
      <c r="H124" s="1"/>
      <c r="I124" s="1"/>
      <c r="J124" s="1"/>
      <c r="K124" s="1"/>
      <c r="L124" s="1"/>
      <c r="M124" s="1"/>
      <c r="N124" s="1"/>
      <c r="O124" s="1"/>
      <c r="P124" s="1"/>
      <c r="Q124" s="1"/>
      <c r="R124" s="1"/>
      <c r="S124" s="1"/>
      <c r="T124" s="1"/>
    </row>
    <row r="125" ht="14.25" customHeight="1">
      <c r="A125" s="52"/>
      <c r="B125" s="53"/>
      <c r="C125" s="53"/>
      <c r="D125" s="53"/>
      <c r="E125" s="53"/>
      <c r="F125" s="53"/>
      <c r="G125" s="1"/>
      <c r="H125" s="1"/>
      <c r="I125" s="1"/>
      <c r="J125" s="1"/>
      <c r="K125" s="1"/>
      <c r="L125" s="1"/>
      <c r="M125" s="1"/>
      <c r="N125" s="1"/>
      <c r="O125" s="1"/>
      <c r="P125" s="1"/>
      <c r="Q125" s="1"/>
      <c r="R125" s="1"/>
      <c r="S125" s="1"/>
      <c r="T125" s="1"/>
    </row>
    <row r="126" ht="14.25" customHeight="1">
      <c r="A126" s="52"/>
      <c r="B126" s="53"/>
      <c r="C126" s="53"/>
      <c r="D126" s="53"/>
      <c r="E126" s="53"/>
      <c r="F126" s="53"/>
      <c r="G126" s="1"/>
      <c r="H126" s="1"/>
      <c r="I126" s="1"/>
      <c r="J126" s="1"/>
      <c r="K126" s="1"/>
      <c r="L126" s="1"/>
      <c r="M126" s="1"/>
      <c r="N126" s="1"/>
      <c r="O126" s="1"/>
      <c r="P126" s="1"/>
      <c r="Q126" s="1"/>
      <c r="R126" s="1"/>
      <c r="S126" s="1"/>
      <c r="T126" s="1"/>
    </row>
    <row r="127" ht="14.25" customHeight="1">
      <c r="A127" s="52"/>
      <c r="B127" s="53"/>
      <c r="C127" s="53"/>
      <c r="D127" s="53"/>
      <c r="E127" s="53"/>
      <c r="F127" s="53"/>
      <c r="G127" s="1"/>
      <c r="H127" s="1"/>
      <c r="I127" s="1"/>
      <c r="J127" s="1"/>
      <c r="K127" s="1"/>
      <c r="L127" s="1"/>
      <c r="M127" s="1"/>
      <c r="N127" s="1"/>
      <c r="O127" s="1"/>
      <c r="P127" s="1"/>
      <c r="Q127" s="1"/>
      <c r="R127" s="1"/>
      <c r="S127" s="1"/>
      <c r="T127" s="1"/>
    </row>
    <row r="128" ht="14.25" customHeight="1">
      <c r="A128" s="52"/>
      <c r="B128" s="53"/>
      <c r="C128" s="53"/>
      <c r="D128" s="53"/>
      <c r="E128" s="53"/>
      <c r="F128" s="53"/>
      <c r="G128" s="1"/>
      <c r="H128" s="1"/>
      <c r="I128" s="1"/>
      <c r="J128" s="1"/>
      <c r="K128" s="1"/>
      <c r="L128" s="1"/>
      <c r="M128" s="1"/>
      <c r="N128" s="1"/>
      <c r="O128" s="1"/>
      <c r="P128" s="1"/>
      <c r="Q128" s="1"/>
      <c r="R128" s="1"/>
      <c r="S128" s="1"/>
      <c r="T128" s="1"/>
    </row>
    <row r="129" ht="14.25" customHeight="1">
      <c r="A129" s="52"/>
      <c r="B129" s="53"/>
      <c r="C129" s="53"/>
      <c r="D129" s="53"/>
      <c r="E129" s="53"/>
      <c r="F129" s="53"/>
      <c r="G129" s="1"/>
      <c r="H129" s="1"/>
      <c r="I129" s="1"/>
      <c r="J129" s="1"/>
      <c r="K129" s="1"/>
      <c r="L129" s="1"/>
      <c r="M129" s="1"/>
      <c r="N129" s="1"/>
      <c r="O129" s="1"/>
      <c r="P129" s="1"/>
      <c r="Q129" s="1"/>
      <c r="R129" s="1"/>
      <c r="S129" s="1"/>
      <c r="T129" s="1"/>
    </row>
    <row r="130" ht="14.25" customHeight="1">
      <c r="A130" s="52"/>
      <c r="B130" s="53"/>
      <c r="C130" s="53"/>
      <c r="D130" s="53"/>
      <c r="E130" s="53"/>
      <c r="F130" s="53"/>
      <c r="G130" s="1"/>
      <c r="H130" s="1"/>
      <c r="I130" s="1"/>
      <c r="J130" s="1"/>
      <c r="K130" s="1"/>
      <c r="L130" s="1"/>
      <c r="M130" s="1"/>
      <c r="N130" s="1"/>
      <c r="O130" s="1"/>
      <c r="P130" s="1"/>
      <c r="Q130" s="1"/>
      <c r="R130" s="1"/>
      <c r="S130" s="1"/>
      <c r="T130" s="1"/>
    </row>
    <row r="131" ht="14.25" customHeight="1">
      <c r="A131" s="52"/>
      <c r="B131" s="53"/>
      <c r="C131" s="53"/>
      <c r="D131" s="53"/>
      <c r="E131" s="53"/>
      <c r="F131" s="53"/>
      <c r="G131" s="1"/>
      <c r="H131" s="1"/>
      <c r="I131" s="1"/>
      <c r="J131" s="1"/>
      <c r="K131" s="1"/>
      <c r="L131" s="1"/>
      <c r="M131" s="1"/>
      <c r="N131" s="1"/>
      <c r="O131" s="1"/>
      <c r="P131" s="1"/>
      <c r="Q131" s="1"/>
      <c r="R131" s="1"/>
      <c r="S131" s="1"/>
      <c r="T131" s="1"/>
    </row>
    <row r="132" ht="14.25" customHeight="1">
      <c r="A132" s="52"/>
      <c r="B132" s="53"/>
      <c r="C132" s="53"/>
      <c r="D132" s="53"/>
      <c r="E132" s="53"/>
      <c r="F132" s="53"/>
      <c r="G132" s="1"/>
      <c r="H132" s="1"/>
      <c r="I132" s="1"/>
      <c r="J132" s="1"/>
      <c r="K132" s="1"/>
      <c r="L132" s="1"/>
      <c r="M132" s="1"/>
      <c r="N132" s="1"/>
      <c r="O132" s="1"/>
      <c r="P132" s="1"/>
      <c r="Q132" s="1"/>
      <c r="R132" s="1"/>
      <c r="S132" s="1"/>
      <c r="T132" s="1"/>
    </row>
    <row r="133" ht="14.25" customHeight="1">
      <c r="A133" s="52"/>
      <c r="B133" s="53"/>
      <c r="C133" s="53"/>
      <c r="D133" s="53"/>
      <c r="E133" s="53"/>
      <c r="F133" s="53"/>
      <c r="G133" s="1"/>
      <c r="H133" s="1"/>
      <c r="I133" s="1"/>
      <c r="J133" s="1"/>
      <c r="K133" s="1"/>
      <c r="L133" s="1"/>
      <c r="M133" s="1"/>
      <c r="N133" s="1"/>
      <c r="O133" s="1"/>
      <c r="P133" s="1"/>
      <c r="Q133" s="1"/>
      <c r="R133" s="1"/>
      <c r="S133" s="1"/>
      <c r="T133" s="1"/>
    </row>
    <row r="134" ht="14.25" customHeight="1">
      <c r="A134" s="52"/>
      <c r="B134" s="53"/>
      <c r="C134" s="53"/>
      <c r="D134" s="53"/>
      <c r="E134" s="53"/>
      <c r="F134" s="53"/>
      <c r="G134" s="1"/>
      <c r="H134" s="1"/>
      <c r="I134" s="1"/>
      <c r="J134" s="1"/>
      <c r="K134" s="1"/>
      <c r="L134" s="1"/>
      <c r="M134" s="1"/>
      <c r="N134" s="1"/>
      <c r="O134" s="1"/>
      <c r="P134" s="1"/>
      <c r="Q134" s="1"/>
      <c r="R134" s="1"/>
      <c r="S134" s="1"/>
      <c r="T134" s="1"/>
    </row>
    <row r="135" ht="14.25" customHeight="1">
      <c r="A135" s="52"/>
      <c r="B135" s="53"/>
      <c r="C135" s="53"/>
      <c r="D135" s="53"/>
      <c r="E135" s="53"/>
      <c r="F135" s="53"/>
      <c r="G135" s="1"/>
      <c r="H135" s="1"/>
      <c r="I135" s="1"/>
      <c r="J135" s="1"/>
      <c r="K135" s="1"/>
      <c r="L135" s="1"/>
      <c r="M135" s="1"/>
      <c r="N135" s="1"/>
      <c r="O135" s="1"/>
      <c r="P135" s="1"/>
      <c r="Q135" s="1"/>
      <c r="R135" s="1"/>
      <c r="S135" s="1"/>
      <c r="T135" s="1"/>
    </row>
    <row r="136" ht="14.25" customHeight="1">
      <c r="A136" s="52"/>
      <c r="B136" s="53"/>
      <c r="C136" s="53"/>
      <c r="D136" s="53"/>
      <c r="E136" s="53"/>
      <c r="F136" s="53"/>
      <c r="G136" s="1"/>
      <c r="H136" s="1"/>
      <c r="I136" s="1"/>
      <c r="J136" s="1"/>
      <c r="K136" s="1"/>
      <c r="L136" s="1"/>
      <c r="M136" s="1"/>
      <c r="N136" s="1"/>
      <c r="O136" s="1"/>
      <c r="P136" s="1"/>
      <c r="Q136" s="1"/>
      <c r="R136" s="1"/>
      <c r="S136" s="1"/>
      <c r="T136" s="1"/>
    </row>
    <row r="137" ht="14.25" customHeight="1">
      <c r="A137" s="52"/>
      <c r="B137" s="53"/>
      <c r="C137" s="53"/>
      <c r="D137" s="53"/>
      <c r="E137" s="53"/>
      <c r="F137" s="53"/>
      <c r="G137" s="1"/>
      <c r="H137" s="1"/>
      <c r="I137" s="1"/>
      <c r="J137" s="1"/>
      <c r="K137" s="1"/>
      <c r="L137" s="1"/>
      <c r="M137" s="1"/>
      <c r="N137" s="1"/>
      <c r="O137" s="1"/>
      <c r="P137" s="1"/>
      <c r="Q137" s="1"/>
      <c r="R137" s="1"/>
      <c r="S137" s="1"/>
      <c r="T137" s="1"/>
    </row>
    <row r="138" ht="14.25" customHeight="1">
      <c r="A138" s="52"/>
      <c r="B138" s="53"/>
      <c r="C138" s="53"/>
      <c r="D138" s="53"/>
      <c r="E138" s="53"/>
      <c r="F138" s="53"/>
      <c r="G138" s="1"/>
      <c r="H138" s="1"/>
      <c r="I138" s="1"/>
      <c r="J138" s="1"/>
      <c r="K138" s="1"/>
      <c r="L138" s="1"/>
      <c r="M138" s="1"/>
      <c r="N138" s="1"/>
      <c r="O138" s="1"/>
      <c r="P138" s="1"/>
      <c r="Q138" s="1"/>
      <c r="R138" s="1"/>
      <c r="S138" s="1"/>
      <c r="T138" s="1"/>
    </row>
    <row r="139" ht="14.25" customHeight="1">
      <c r="A139" s="52"/>
      <c r="B139" s="53"/>
      <c r="C139" s="53"/>
      <c r="D139" s="53"/>
      <c r="E139" s="53"/>
      <c r="F139" s="53"/>
      <c r="G139" s="1"/>
      <c r="H139" s="1"/>
      <c r="I139" s="1"/>
      <c r="J139" s="1"/>
      <c r="K139" s="1"/>
      <c r="L139" s="1"/>
      <c r="M139" s="1"/>
      <c r="N139" s="1"/>
      <c r="O139" s="1"/>
      <c r="P139" s="1"/>
      <c r="Q139" s="1"/>
      <c r="R139" s="1"/>
      <c r="S139" s="1"/>
      <c r="T139" s="1"/>
    </row>
    <row r="140" ht="14.25" customHeight="1">
      <c r="A140" s="52"/>
      <c r="B140" s="53"/>
      <c r="C140" s="53"/>
      <c r="D140" s="53"/>
      <c r="E140" s="53"/>
      <c r="F140" s="53"/>
      <c r="G140" s="1"/>
      <c r="H140" s="1"/>
      <c r="I140" s="1"/>
      <c r="J140" s="1"/>
      <c r="K140" s="1"/>
      <c r="L140" s="1"/>
      <c r="M140" s="1"/>
      <c r="N140" s="1"/>
      <c r="O140" s="1"/>
      <c r="P140" s="1"/>
      <c r="Q140" s="1"/>
      <c r="R140" s="1"/>
      <c r="S140" s="1"/>
      <c r="T140" s="1"/>
    </row>
    <row r="141" ht="14.25" customHeight="1">
      <c r="A141" s="52"/>
      <c r="B141" s="53"/>
      <c r="C141" s="53"/>
      <c r="D141" s="53"/>
      <c r="E141" s="53"/>
      <c r="F141" s="53"/>
      <c r="G141" s="1"/>
      <c r="H141" s="1"/>
      <c r="I141" s="1"/>
      <c r="J141" s="1"/>
      <c r="K141" s="1"/>
      <c r="L141" s="1"/>
      <c r="M141" s="1"/>
      <c r="N141" s="1"/>
      <c r="O141" s="1"/>
      <c r="P141" s="1"/>
      <c r="Q141" s="1"/>
      <c r="R141" s="1"/>
      <c r="S141" s="1"/>
      <c r="T141" s="1"/>
    </row>
    <row r="142" ht="14.25" customHeight="1">
      <c r="A142" s="52"/>
      <c r="B142" s="53"/>
      <c r="C142" s="53"/>
      <c r="D142" s="53"/>
      <c r="E142" s="53"/>
      <c r="F142" s="53"/>
      <c r="G142" s="1"/>
      <c r="H142" s="1"/>
      <c r="I142" s="1"/>
      <c r="J142" s="1"/>
      <c r="K142" s="1"/>
      <c r="L142" s="1"/>
      <c r="M142" s="1"/>
      <c r="N142" s="1"/>
      <c r="O142" s="1"/>
      <c r="P142" s="1"/>
      <c r="Q142" s="1"/>
      <c r="R142" s="1"/>
      <c r="S142" s="1"/>
      <c r="T142" s="1"/>
    </row>
    <row r="143" ht="14.25" customHeight="1">
      <c r="A143" s="52"/>
      <c r="B143" s="53"/>
      <c r="C143" s="53"/>
      <c r="D143" s="53"/>
      <c r="E143" s="53"/>
      <c r="F143" s="53"/>
      <c r="G143" s="1"/>
      <c r="H143" s="1"/>
      <c r="I143" s="1"/>
      <c r="J143" s="1"/>
      <c r="K143" s="1"/>
      <c r="L143" s="1"/>
      <c r="M143" s="1"/>
      <c r="N143" s="1"/>
      <c r="O143" s="1"/>
      <c r="P143" s="1"/>
      <c r="Q143" s="1"/>
      <c r="R143" s="1"/>
      <c r="S143" s="1"/>
      <c r="T143" s="1"/>
    </row>
    <row r="144" ht="14.25" customHeight="1">
      <c r="A144" s="52"/>
      <c r="B144" s="53"/>
      <c r="C144" s="53"/>
      <c r="D144" s="53"/>
      <c r="E144" s="53"/>
      <c r="F144" s="53"/>
      <c r="G144" s="1"/>
      <c r="H144" s="1"/>
      <c r="I144" s="1"/>
      <c r="J144" s="1"/>
      <c r="K144" s="1"/>
      <c r="L144" s="1"/>
      <c r="M144" s="1"/>
      <c r="N144" s="1"/>
      <c r="O144" s="1"/>
      <c r="P144" s="1"/>
      <c r="Q144" s="1"/>
      <c r="R144" s="1"/>
      <c r="S144" s="1"/>
      <c r="T144" s="1"/>
    </row>
    <row r="145" ht="14.25" customHeight="1">
      <c r="A145" s="52"/>
      <c r="B145" s="53"/>
      <c r="C145" s="53"/>
      <c r="D145" s="53"/>
      <c r="E145" s="53"/>
      <c r="F145" s="53"/>
      <c r="G145" s="1"/>
      <c r="H145" s="1"/>
      <c r="I145" s="1"/>
      <c r="J145" s="1"/>
      <c r="K145" s="1"/>
      <c r="L145" s="1"/>
      <c r="M145" s="1"/>
      <c r="N145" s="1"/>
      <c r="O145" s="1"/>
      <c r="P145" s="1"/>
      <c r="Q145" s="1"/>
      <c r="R145" s="1"/>
      <c r="S145" s="1"/>
      <c r="T145" s="1"/>
    </row>
    <row r="146" ht="14.25" customHeight="1">
      <c r="A146" s="52"/>
      <c r="B146" s="53"/>
      <c r="C146" s="53"/>
      <c r="D146" s="53"/>
      <c r="E146" s="53"/>
      <c r="F146" s="53"/>
      <c r="G146" s="1"/>
      <c r="H146" s="1"/>
      <c r="I146" s="1"/>
      <c r="J146" s="1"/>
      <c r="K146" s="1"/>
      <c r="L146" s="1"/>
      <c r="M146" s="1"/>
      <c r="N146" s="1"/>
      <c r="O146" s="1"/>
      <c r="P146" s="1"/>
      <c r="Q146" s="1"/>
      <c r="R146" s="1"/>
      <c r="S146" s="1"/>
      <c r="T146" s="1"/>
    </row>
    <row r="147" ht="14.25" customHeight="1">
      <c r="A147" s="52"/>
      <c r="B147" s="53"/>
      <c r="C147" s="53"/>
      <c r="D147" s="53"/>
      <c r="E147" s="53"/>
      <c r="F147" s="53"/>
      <c r="G147" s="1"/>
      <c r="H147" s="1"/>
      <c r="I147" s="1"/>
      <c r="J147" s="1"/>
      <c r="K147" s="1"/>
      <c r="L147" s="1"/>
      <c r="M147" s="1"/>
      <c r="N147" s="1"/>
      <c r="O147" s="1"/>
      <c r="P147" s="1"/>
      <c r="Q147" s="1"/>
      <c r="R147" s="1"/>
      <c r="S147" s="1"/>
      <c r="T147" s="1"/>
    </row>
    <row r="148" ht="14.25" customHeight="1">
      <c r="A148" s="52"/>
      <c r="B148" s="53"/>
      <c r="C148" s="53"/>
      <c r="D148" s="53"/>
      <c r="E148" s="53"/>
      <c r="F148" s="53"/>
      <c r="G148" s="1"/>
      <c r="H148" s="1"/>
      <c r="I148" s="1"/>
      <c r="J148" s="1"/>
      <c r="K148" s="1"/>
      <c r="L148" s="1"/>
      <c r="M148" s="1"/>
      <c r="N148" s="1"/>
      <c r="O148" s="1"/>
      <c r="P148" s="1"/>
      <c r="Q148" s="1"/>
      <c r="R148" s="1"/>
      <c r="S148" s="1"/>
      <c r="T148" s="1"/>
    </row>
    <row r="149" ht="14.25" customHeight="1">
      <c r="A149" s="52"/>
      <c r="B149" s="53"/>
      <c r="C149" s="53"/>
      <c r="D149" s="53"/>
      <c r="E149" s="53"/>
      <c r="F149" s="53"/>
      <c r="G149" s="1"/>
      <c r="H149" s="1"/>
      <c r="I149" s="1"/>
      <c r="J149" s="1"/>
      <c r="K149" s="1"/>
      <c r="L149" s="1"/>
      <c r="M149" s="1"/>
      <c r="N149" s="1"/>
      <c r="O149" s="1"/>
      <c r="P149" s="1"/>
      <c r="Q149" s="1"/>
      <c r="R149" s="1"/>
      <c r="S149" s="1"/>
      <c r="T149" s="1"/>
    </row>
    <row r="150" ht="14.25" customHeight="1">
      <c r="A150" s="52"/>
      <c r="B150" s="53"/>
      <c r="C150" s="53"/>
      <c r="D150" s="53"/>
      <c r="E150" s="53"/>
      <c r="F150" s="53"/>
      <c r="G150" s="1"/>
      <c r="H150" s="1"/>
      <c r="I150" s="1"/>
      <c r="J150" s="1"/>
      <c r="K150" s="1"/>
      <c r="L150" s="1"/>
      <c r="M150" s="1"/>
      <c r="N150" s="1"/>
      <c r="O150" s="1"/>
      <c r="P150" s="1"/>
      <c r="Q150" s="1"/>
      <c r="R150" s="1"/>
      <c r="S150" s="1"/>
      <c r="T150" s="1"/>
    </row>
    <row r="151" ht="14.25" customHeight="1">
      <c r="A151" s="52"/>
      <c r="B151" s="53"/>
      <c r="C151" s="53"/>
      <c r="D151" s="53"/>
      <c r="E151" s="53"/>
      <c r="F151" s="53"/>
      <c r="G151" s="1"/>
      <c r="H151" s="1"/>
      <c r="I151" s="1"/>
      <c r="J151" s="1"/>
      <c r="K151" s="1"/>
      <c r="L151" s="1"/>
      <c r="M151" s="1"/>
      <c r="N151" s="1"/>
      <c r="O151" s="1"/>
      <c r="P151" s="1"/>
      <c r="Q151" s="1"/>
      <c r="R151" s="1"/>
      <c r="S151" s="1"/>
      <c r="T151" s="1"/>
    </row>
    <row r="152" ht="14.25" customHeight="1">
      <c r="A152" s="52"/>
      <c r="B152" s="53"/>
      <c r="C152" s="53"/>
      <c r="D152" s="53"/>
      <c r="E152" s="53"/>
      <c r="F152" s="53"/>
      <c r="G152" s="1"/>
      <c r="H152" s="1"/>
      <c r="I152" s="1"/>
      <c r="J152" s="1"/>
      <c r="K152" s="1"/>
      <c r="L152" s="1"/>
      <c r="M152" s="1"/>
      <c r="N152" s="1"/>
      <c r="O152" s="1"/>
      <c r="P152" s="1"/>
      <c r="Q152" s="1"/>
      <c r="R152" s="1"/>
      <c r="S152" s="1"/>
      <c r="T152" s="1"/>
    </row>
    <row r="153" ht="14.25" customHeight="1">
      <c r="A153" s="52"/>
      <c r="B153" s="53"/>
      <c r="C153" s="53"/>
      <c r="D153" s="53"/>
      <c r="E153" s="53"/>
      <c r="F153" s="53"/>
      <c r="G153" s="1"/>
      <c r="H153" s="1"/>
      <c r="I153" s="1"/>
      <c r="J153" s="1"/>
      <c r="K153" s="1"/>
      <c r="L153" s="1"/>
      <c r="M153" s="1"/>
      <c r="N153" s="1"/>
      <c r="O153" s="1"/>
      <c r="P153" s="1"/>
      <c r="Q153" s="1"/>
      <c r="R153" s="1"/>
      <c r="S153" s="1"/>
      <c r="T153" s="1"/>
    </row>
    <row r="154" ht="14.25" customHeight="1">
      <c r="A154" s="52"/>
      <c r="B154" s="53"/>
      <c r="C154" s="53"/>
      <c r="D154" s="53"/>
      <c r="E154" s="53"/>
      <c r="F154" s="53"/>
      <c r="G154" s="1"/>
      <c r="H154" s="1"/>
      <c r="I154" s="1"/>
      <c r="J154" s="1"/>
      <c r="K154" s="1"/>
      <c r="L154" s="1"/>
      <c r="M154" s="1"/>
      <c r="N154" s="1"/>
      <c r="O154" s="1"/>
      <c r="P154" s="1"/>
      <c r="Q154" s="1"/>
      <c r="R154" s="1"/>
      <c r="S154" s="1"/>
      <c r="T154" s="1"/>
    </row>
    <row r="155" ht="14.25" customHeight="1">
      <c r="A155" s="52"/>
      <c r="B155" s="53"/>
      <c r="C155" s="53"/>
      <c r="D155" s="53"/>
      <c r="E155" s="53"/>
      <c r="F155" s="53"/>
      <c r="G155" s="1"/>
      <c r="H155" s="1"/>
      <c r="I155" s="1"/>
      <c r="J155" s="1"/>
      <c r="K155" s="1"/>
      <c r="L155" s="1"/>
      <c r="M155" s="1"/>
      <c r="N155" s="1"/>
      <c r="O155" s="1"/>
      <c r="P155" s="1"/>
      <c r="Q155" s="1"/>
      <c r="R155" s="1"/>
      <c r="S155" s="1"/>
      <c r="T155" s="1"/>
    </row>
    <row r="156" ht="14.25" customHeight="1">
      <c r="A156" s="52"/>
      <c r="B156" s="53"/>
      <c r="C156" s="53"/>
      <c r="D156" s="53"/>
      <c r="E156" s="53"/>
      <c r="F156" s="53"/>
      <c r="G156" s="1"/>
      <c r="H156" s="1"/>
      <c r="I156" s="1"/>
      <c r="J156" s="1"/>
      <c r="K156" s="1"/>
      <c r="L156" s="1"/>
      <c r="M156" s="1"/>
      <c r="N156" s="1"/>
      <c r="O156" s="1"/>
      <c r="P156" s="1"/>
      <c r="Q156" s="1"/>
      <c r="R156" s="1"/>
      <c r="S156" s="1"/>
      <c r="T156" s="1"/>
    </row>
    <row r="157" ht="14.25" customHeight="1">
      <c r="A157" s="52"/>
      <c r="B157" s="53"/>
      <c r="C157" s="53"/>
      <c r="D157" s="53"/>
      <c r="E157" s="53"/>
      <c r="F157" s="53"/>
      <c r="G157" s="1"/>
      <c r="H157" s="1"/>
      <c r="I157" s="1"/>
      <c r="J157" s="1"/>
      <c r="K157" s="1"/>
      <c r="L157" s="1"/>
      <c r="M157" s="1"/>
      <c r="N157" s="1"/>
      <c r="O157" s="1"/>
      <c r="P157" s="1"/>
      <c r="Q157" s="1"/>
      <c r="R157" s="1"/>
      <c r="S157" s="1"/>
      <c r="T157" s="1"/>
    </row>
    <row r="158" ht="14.25" customHeight="1">
      <c r="A158" s="52"/>
      <c r="B158" s="53"/>
      <c r="C158" s="53"/>
      <c r="D158" s="53"/>
      <c r="E158" s="53"/>
      <c r="F158" s="53"/>
      <c r="G158" s="1"/>
      <c r="H158" s="1"/>
      <c r="I158" s="1"/>
      <c r="J158" s="1"/>
      <c r="K158" s="1"/>
      <c r="L158" s="1"/>
      <c r="M158" s="1"/>
      <c r="N158" s="1"/>
      <c r="O158" s="1"/>
      <c r="P158" s="1"/>
      <c r="Q158" s="1"/>
      <c r="R158" s="1"/>
      <c r="S158" s="1"/>
      <c r="T158" s="1"/>
    </row>
    <row r="159" ht="14.25" customHeight="1">
      <c r="A159" s="52"/>
      <c r="B159" s="53"/>
      <c r="C159" s="53"/>
      <c r="D159" s="53"/>
      <c r="E159" s="53"/>
      <c r="F159" s="53"/>
      <c r="G159" s="1"/>
      <c r="H159" s="1"/>
      <c r="I159" s="1"/>
      <c r="J159" s="1"/>
      <c r="K159" s="1"/>
      <c r="L159" s="1"/>
      <c r="M159" s="1"/>
      <c r="N159" s="1"/>
      <c r="O159" s="1"/>
      <c r="P159" s="1"/>
      <c r="Q159" s="1"/>
      <c r="R159" s="1"/>
      <c r="S159" s="1"/>
      <c r="T159" s="1"/>
    </row>
    <row r="160" ht="14.25" customHeight="1">
      <c r="A160" s="52"/>
      <c r="B160" s="53"/>
      <c r="C160" s="53"/>
      <c r="D160" s="53"/>
      <c r="E160" s="53"/>
      <c r="F160" s="53"/>
      <c r="G160" s="1"/>
      <c r="H160" s="1"/>
      <c r="I160" s="1"/>
      <c r="J160" s="1"/>
      <c r="K160" s="1"/>
      <c r="L160" s="1"/>
      <c r="M160" s="1"/>
      <c r="N160" s="1"/>
      <c r="O160" s="1"/>
      <c r="P160" s="1"/>
      <c r="Q160" s="1"/>
      <c r="R160" s="1"/>
      <c r="S160" s="1"/>
      <c r="T160" s="1"/>
    </row>
    <row r="161" ht="14.25" customHeight="1">
      <c r="A161" s="52"/>
      <c r="B161" s="53"/>
      <c r="C161" s="53"/>
      <c r="D161" s="53"/>
      <c r="E161" s="53"/>
      <c r="F161" s="53"/>
      <c r="G161" s="1"/>
      <c r="H161" s="1"/>
      <c r="I161" s="1"/>
      <c r="J161" s="1"/>
      <c r="K161" s="1"/>
      <c r="L161" s="1"/>
      <c r="M161" s="1"/>
      <c r="N161" s="1"/>
      <c r="O161" s="1"/>
      <c r="P161" s="1"/>
      <c r="Q161" s="1"/>
      <c r="R161" s="1"/>
      <c r="S161" s="1"/>
      <c r="T161" s="1"/>
    </row>
    <row r="162" ht="14.25" customHeight="1">
      <c r="A162" s="52"/>
      <c r="B162" s="53"/>
      <c r="C162" s="53"/>
      <c r="D162" s="53"/>
      <c r="E162" s="53"/>
      <c r="F162" s="53"/>
      <c r="G162" s="1"/>
      <c r="H162" s="1"/>
      <c r="I162" s="1"/>
      <c r="J162" s="1"/>
      <c r="K162" s="1"/>
      <c r="L162" s="1"/>
      <c r="M162" s="1"/>
      <c r="N162" s="1"/>
      <c r="O162" s="1"/>
      <c r="P162" s="1"/>
      <c r="Q162" s="1"/>
      <c r="R162" s="1"/>
      <c r="S162" s="1"/>
      <c r="T162" s="1"/>
    </row>
    <row r="163" ht="14.25" customHeight="1">
      <c r="A163" s="52"/>
      <c r="B163" s="53"/>
      <c r="C163" s="53"/>
      <c r="D163" s="53"/>
      <c r="E163" s="53"/>
      <c r="F163" s="53"/>
      <c r="G163" s="1"/>
      <c r="H163" s="1"/>
      <c r="I163" s="1"/>
      <c r="J163" s="1"/>
      <c r="K163" s="1"/>
      <c r="L163" s="1"/>
      <c r="M163" s="1"/>
      <c r="N163" s="1"/>
      <c r="O163" s="1"/>
      <c r="P163" s="1"/>
      <c r="Q163" s="1"/>
      <c r="R163" s="1"/>
      <c r="S163" s="1"/>
      <c r="T163" s="1"/>
    </row>
    <row r="164" ht="14.25" customHeight="1">
      <c r="A164" s="52"/>
      <c r="B164" s="53"/>
      <c r="C164" s="53"/>
      <c r="D164" s="53"/>
      <c r="E164" s="53"/>
      <c r="F164" s="53"/>
      <c r="G164" s="1"/>
      <c r="H164" s="1"/>
      <c r="I164" s="1"/>
      <c r="J164" s="1"/>
      <c r="K164" s="1"/>
      <c r="L164" s="1"/>
      <c r="M164" s="1"/>
      <c r="N164" s="1"/>
      <c r="O164" s="1"/>
      <c r="P164" s="1"/>
      <c r="Q164" s="1"/>
      <c r="R164" s="1"/>
      <c r="S164" s="1"/>
      <c r="T164" s="1"/>
    </row>
    <row r="165" ht="14.25" customHeight="1">
      <c r="A165" s="52"/>
      <c r="B165" s="53"/>
      <c r="C165" s="53"/>
      <c r="D165" s="53"/>
      <c r="E165" s="53"/>
      <c r="F165" s="53"/>
      <c r="G165" s="1"/>
      <c r="H165" s="1"/>
      <c r="I165" s="1"/>
      <c r="J165" s="1"/>
      <c r="K165" s="1"/>
      <c r="L165" s="1"/>
      <c r="M165" s="1"/>
      <c r="N165" s="1"/>
      <c r="O165" s="1"/>
      <c r="P165" s="1"/>
      <c r="Q165" s="1"/>
      <c r="R165" s="1"/>
      <c r="S165" s="1"/>
      <c r="T165" s="1"/>
    </row>
    <row r="166" ht="14.25" customHeight="1">
      <c r="A166" s="52"/>
      <c r="B166" s="53"/>
      <c r="C166" s="53"/>
      <c r="D166" s="53"/>
      <c r="E166" s="53"/>
      <c r="F166" s="53"/>
      <c r="G166" s="1"/>
      <c r="H166" s="1"/>
      <c r="I166" s="1"/>
      <c r="J166" s="1"/>
      <c r="K166" s="1"/>
      <c r="L166" s="1"/>
      <c r="M166" s="1"/>
      <c r="N166" s="1"/>
      <c r="O166" s="1"/>
      <c r="P166" s="1"/>
      <c r="Q166" s="1"/>
      <c r="R166" s="1"/>
      <c r="S166" s="1"/>
      <c r="T166" s="1"/>
    </row>
    <row r="167" ht="14.25" customHeight="1">
      <c r="A167" s="52"/>
      <c r="B167" s="53"/>
      <c r="C167" s="53"/>
      <c r="D167" s="53"/>
      <c r="E167" s="53"/>
      <c r="F167" s="53"/>
      <c r="G167" s="1"/>
      <c r="H167" s="1"/>
      <c r="I167" s="1"/>
      <c r="J167" s="1"/>
      <c r="K167" s="1"/>
      <c r="L167" s="1"/>
      <c r="M167" s="1"/>
      <c r="N167" s="1"/>
      <c r="O167" s="1"/>
      <c r="P167" s="1"/>
      <c r="Q167" s="1"/>
      <c r="R167" s="1"/>
      <c r="S167" s="1"/>
      <c r="T167" s="1"/>
    </row>
    <row r="168" ht="14.25" customHeight="1">
      <c r="A168" s="52"/>
      <c r="B168" s="53"/>
      <c r="C168" s="53"/>
      <c r="D168" s="53"/>
      <c r="E168" s="53"/>
      <c r="F168" s="53"/>
      <c r="G168" s="1"/>
      <c r="H168" s="1"/>
      <c r="I168" s="1"/>
      <c r="J168" s="1"/>
      <c r="K168" s="1"/>
      <c r="L168" s="1"/>
      <c r="M168" s="1"/>
      <c r="N168" s="1"/>
      <c r="O168" s="1"/>
      <c r="P168" s="1"/>
      <c r="Q168" s="1"/>
      <c r="R168" s="1"/>
      <c r="S168" s="1"/>
      <c r="T168" s="1"/>
    </row>
    <row r="169" ht="14.25" customHeight="1">
      <c r="A169" s="52"/>
      <c r="B169" s="53"/>
      <c r="C169" s="53"/>
      <c r="D169" s="53"/>
      <c r="E169" s="53"/>
      <c r="F169" s="53"/>
      <c r="G169" s="1"/>
      <c r="H169" s="1"/>
      <c r="I169" s="1"/>
      <c r="J169" s="1"/>
      <c r="K169" s="1"/>
      <c r="L169" s="1"/>
      <c r="M169" s="1"/>
      <c r="N169" s="1"/>
      <c r="O169" s="1"/>
      <c r="P169" s="1"/>
      <c r="Q169" s="1"/>
      <c r="R169" s="1"/>
      <c r="S169" s="1"/>
      <c r="T169" s="1"/>
    </row>
    <row r="170" ht="14.25" customHeight="1">
      <c r="A170" s="52"/>
      <c r="B170" s="53"/>
      <c r="C170" s="53"/>
      <c r="D170" s="53"/>
      <c r="E170" s="53"/>
      <c r="F170" s="53"/>
      <c r="G170" s="1"/>
      <c r="H170" s="1"/>
      <c r="I170" s="1"/>
      <c r="J170" s="1"/>
      <c r="K170" s="1"/>
      <c r="L170" s="1"/>
      <c r="M170" s="1"/>
      <c r="N170" s="1"/>
      <c r="O170" s="1"/>
      <c r="P170" s="1"/>
      <c r="Q170" s="1"/>
      <c r="R170" s="1"/>
      <c r="S170" s="1"/>
      <c r="T170" s="1"/>
    </row>
    <row r="171" ht="14.25" customHeight="1">
      <c r="A171" s="52"/>
      <c r="B171" s="53"/>
      <c r="C171" s="53"/>
      <c r="D171" s="53"/>
      <c r="E171" s="53"/>
      <c r="F171" s="53"/>
      <c r="G171" s="1"/>
      <c r="H171" s="1"/>
      <c r="I171" s="1"/>
      <c r="J171" s="1"/>
      <c r="K171" s="1"/>
      <c r="L171" s="1"/>
      <c r="M171" s="1"/>
      <c r="N171" s="1"/>
      <c r="O171" s="1"/>
      <c r="P171" s="1"/>
      <c r="Q171" s="1"/>
      <c r="R171" s="1"/>
      <c r="S171" s="1"/>
      <c r="T171" s="1"/>
    </row>
    <row r="172" ht="14.25" customHeight="1">
      <c r="A172" s="52"/>
      <c r="B172" s="53"/>
      <c r="C172" s="53"/>
      <c r="D172" s="53"/>
      <c r="E172" s="53"/>
      <c r="F172" s="53"/>
      <c r="G172" s="1"/>
      <c r="H172" s="1"/>
      <c r="I172" s="1"/>
      <c r="J172" s="1"/>
      <c r="K172" s="1"/>
      <c r="L172" s="1"/>
      <c r="M172" s="1"/>
      <c r="N172" s="1"/>
      <c r="O172" s="1"/>
      <c r="P172" s="1"/>
      <c r="Q172" s="1"/>
      <c r="R172" s="1"/>
      <c r="S172" s="1"/>
      <c r="T172" s="1"/>
    </row>
    <row r="173" ht="14.25" customHeight="1">
      <c r="A173" s="52"/>
      <c r="B173" s="53"/>
      <c r="C173" s="53"/>
      <c r="D173" s="53"/>
      <c r="E173" s="53"/>
      <c r="F173" s="53"/>
      <c r="G173" s="1"/>
      <c r="H173" s="1"/>
      <c r="I173" s="1"/>
      <c r="J173" s="1"/>
      <c r="K173" s="1"/>
      <c r="L173" s="1"/>
      <c r="M173" s="1"/>
      <c r="N173" s="1"/>
      <c r="O173" s="1"/>
      <c r="P173" s="1"/>
      <c r="Q173" s="1"/>
      <c r="R173" s="1"/>
      <c r="S173" s="1"/>
      <c r="T173" s="1"/>
    </row>
    <row r="174" ht="14.25" customHeight="1">
      <c r="A174" s="52"/>
      <c r="B174" s="53"/>
      <c r="C174" s="53"/>
      <c r="D174" s="53"/>
      <c r="E174" s="53"/>
      <c r="F174" s="53"/>
      <c r="G174" s="1"/>
      <c r="H174" s="1"/>
      <c r="I174" s="1"/>
      <c r="J174" s="1"/>
      <c r="K174" s="1"/>
      <c r="L174" s="1"/>
      <c r="M174" s="1"/>
      <c r="N174" s="1"/>
      <c r="O174" s="1"/>
      <c r="P174" s="1"/>
      <c r="Q174" s="1"/>
      <c r="R174" s="1"/>
      <c r="S174" s="1"/>
      <c r="T174" s="1"/>
    </row>
    <row r="175" ht="14.25" customHeight="1">
      <c r="A175" s="52"/>
      <c r="B175" s="53"/>
      <c r="C175" s="53"/>
      <c r="D175" s="53"/>
      <c r="E175" s="53"/>
      <c r="F175" s="53"/>
      <c r="G175" s="1"/>
      <c r="H175" s="1"/>
      <c r="I175" s="1"/>
      <c r="J175" s="1"/>
      <c r="K175" s="1"/>
      <c r="L175" s="1"/>
      <c r="M175" s="1"/>
      <c r="N175" s="1"/>
      <c r="O175" s="1"/>
      <c r="P175" s="1"/>
      <c r="Q175" s="1"/>
      <c r="R175" s="1"/>
      <c r="S175" s="1"/>
      <c r="T175" s="1"/>
    </row>
    <row r="176" ht="14.25" customHeight="1">
      <c r="A176" s="52"/>
      <c r="B176" s="53"/>
      <c r="C176" s="53"/>
      <c r="D176" s="53"/>
      <c r="E176" s="53"/>
      <c r="F176" s="53"/>
      <c r="G176" s="1"/>
      <c r="H176" s="1"/>
      <c r="I176" s="1"/>
      <c r="J176" s="1"/>
      <c r="K176" s="1"/>
      <c r="L176" s="1"/>
      <c r="M176" s="1"/>
      <c r="N176" s="1"/>
      <c r="O176" s="1"/>
      <c r="P176" s="1"/>
      <c r="Q176" s="1"/>
      <c r="R176" s="1"/>
      <c r="S176" s="1"/>
      <c r="T176" s="1"/>
    </row>
    <row r="177" ht="14.25" customHeight="1">
      <c r="A177" s="52"/>
      <c r="B177" s="53"/>
      <c r="C177" s="53"/>
      <c r="D177" s="53"/>
      <c r="E177" s="53"/>
      <c r="F177" s="53"/>
      <c r="G177" s="1"/>
      <c r="H177" s="1"/>
      <c r="I177" s="1"/>
      <c r="J177" s="1"/>
      <c r="K177" s="1"/>
      <c r="L177" s="1"/>
      <c r="M177" s="1"/>
      <c r="N177" s="1"/>
      <c r="O177" s="1"/>
      <c r="P177" s="1"/>
      <c r="Q177" s="1"/>
      <c r="R177" s="1"/>
      <c r="S177" s="1"/>
      <c r="T177" s="1"/>
    </row>
    <row r="178" ht="14.25" customHeight="1">
      <c r="A178" s="52"/>
      <c r="B178" s="53"/>
      <c r="C178" s="53"/>
      <c r="D178" s="53"/>
      <c r="E178" s="53"/>
      <c r="F178" s="53"/>
      <c r="G178" s="1"/>
      <c r="H178" s="1"/>
      <c r="I178" s="1"/>
      <c r="J178" s="1"/>
      <c r="K178" s="1"/>
      <c r="L178" s="1"/>
      <c r="M178" s="1"/>
      <c r="N178" s="1"/>
      <c r="O178" s="1"/>
      <c r="P178" s="1"/>
      <c r="Q178" s="1"/>
      <c r="R178" s="1"/>
      <c r="S178" s="1"/>
      <c r="T178" s="1"/>
    </row>
    <row r="179" ht="14.25" customHeight="1">
      <c r="A179" s="52"/>
      <c r="B179" s="53"/>
      <c r="C179" s="53"/>
      <c r="D179" s="53"/>
      <c r="E179" s="53"/>
      <c r="F179" s="53"/>
      <c r="G179" s="1"/>
      <c r="H179" s="1"/>
      <c r="I179" s="1"/>
      <c r="J179" s="1"/>
      <c r="K179" s="1"/>
      <c r="L179" s="1"/>
      <c r="M179" s="1"/>
      <c r="N179" s="1"/>
      <c r="O179" s="1"/>
      <c r="P179" s="1"/>
      <c r="Q179" s="1"/>
      <c r="R179" s="1"/>
      <c r="S179" s="1"/>
      <c r="T179" s="1"/>
    </row>
    <row r="180" ht="14.25" customHeight="1">
      <c r="A180" s="52"/>
      <c r="B180" s="53"/>
      <c r="C180" s="53"/>
      <c r="D180" s="53"/>
      <c r="E180" s="53"/>
      <c r="F180" s="53"/>
      <c r="G180" s="1"/>
      <c r="H180" s="1"/>
      <c r="I180" s="1"/>
      <c r="J180" s="1"/>
      <c r="K180" s="1"/>
      <c r="L180" s="1"/>
      <c r="M180" s="1"/>
      <c r="N180" s="1"/>
      <c r="O180" s="1"/>
      <c r="P180" s="1"/>
      <c r="Q180" s="1"/>
      <c r="R180" s="1"/>
      <c r="S180" s="1"/>
      <c r="T180" s="1"/>
    </row>
    <row r="181" ht="14.25" customHeight="1">
      <c r="A181" s="52"/>
      <c r="B181" s="53"/>
      <c r="C181" s="53"/>
      <c r="D181" s="53"/>
      <c r="E181" s="53"/>
      <c r="F181" s="53"/>
      <c r="G181" s="1"/>
      <c r="H181" s="1"/>
      <c r="I181" s="1"/>
      <c r="J181" s="1"/>
      <c r="K181" s="1"/>
      <c r="L181" s="1"/>
      <c r="M181" s="1"/>
      <c r="N181" s="1"/>
      <c r="O181" s="1"/>
      <c r="P181" s="1"/>
      <c r="Q181" s="1"/>
      <c r="R181" s="1"/>
      <c r="S181" s="1"/>
      <c r="T181" s="1"/>
    </row>
    <row r="182" ht="14.25" customHeight="1">
      <c r="A182" s="52"/>
      <c r="B182" s="53"/>
      <c r="C182" s="53"/>
      <c r="D182" s="53"/>
      <c r="E182" s="53"/>
      <c r="F182" s="53"/>
      <c r="G182" s="1"/>
      <c r="H182" s="1"/>
      <c r="I182" s="1"/>
      <c r="J182" s="1"/>
      <c r="K182" s="1"/>
      <c r="L182" s="1"/>
      <c r="M182" s="1"/>
      <c r="N182" s="1"/>
      <c r="O182" s="1"/>
      <c r="P182" s="1"/>
      <c r="Q182" s="1"/>
      <c r="R182" s="1"/>
      <c r="S182" s="1"/>
      <c r="T182" s="1"/>
    </row>
    <row r="183" ht="14.25" customHeight="1">
      <c r="A183" s="52"/>
      <c r="B183" s="53"/>
      <c r="C183" s="53"/>
      <c r="D183" s="53"/>
      <c r="E183" s="53"/>
      <c r="F183" s="53"/>
      <c r="G183" s="1"/>
      <c r="H183" s="1"/>
      <c r="I183" s="1"/>
      <c r="J183" s="1"/>
      <c r="K183" s="1"/>
      <c r="L183" s="1"/>
      <c r="M183" s="1"/>
      <c r="N183" s="1"/>
      <c r="O183" s="1"/>
      <c r="P183" s="1"/>
      <c r="Q183" s="1"/>
      <c r="R183" s="1"/>
      <c r="S183" s="1"/>
      <c r="T183" s="1"/>
    </row>
    <row r="184" ht="14.25" customHeight="1">
      <c r="A184" s="52"/>
      <c r="B184" s="53"/>
      <c r="C184" s="53"/>
      <c r="D184" s="53"/>
      <c r="E184" s="53"/>
      <c r="F184" s="53"/>
      <c r="G184" s="1"/>
      <c r="H184" s="1"/>
      <c r="I184" s="1"/>
      <c r="J184" s="1"/>
      <c r="K184" s="1"/>
      <c r="L184" s="1"/>
      <c r="M184" s="1"/>
      <c r="N184" s="1"/>
      <c r="O184" s="1"/>
      <c r="P184" s="1"/>
      <c r="Q184" s="1"/>
      <c r="R184" s="1"/>
      <c r="S184" s="1"/>
      <c r="T184" s="1"/>
    </row>
    <row r="185" ht="14.25" customHeight="1">
      <c r="A185" s="52"/>
      <c r="B185" s="53"/>
      <c r="C185" s="53"/>
      <c r="D185" s="53"/>
      <c r="E185" s="53"/>
      <c r="F185" s="53"/>
      <c r="G185" s="1"/>
      <c r="H185" s="1"/>
      <c r="I185" s="1"/>
      <c r="J185" s="1"/>
      <c r="K185" s="1"/>
      <c r="L185" s="1"/>
      <c r="M185" s="1"/>
      <c r="N185" s="1"/>
      <c r="O185" s="1"/>
      <c r="P185" s="1"/>
      <c r="Q185" s="1"/>
      <c r="R185" s="1"/>
      <c r="S185" s="1"/>
      <c r="T185" s="1"/>
    </row>
    <row r="186" ht="14.25" customHeight="1">
      <c r="A186" s="52"/>
      <c r="B186" s="53"/>
      <c r="C186" s="53"/>
      <c r="D186" s="53"/>
      <c r="E186" s="53"/>
      <c r="F186" s="53"/>
      <c r="G186" s="1"/>
      <c r="H186" s="1"/>
      <c r="I186" s="1"/>
      <c r="J186" s="1"/>
      <c r="K186" s="1"/>
      <c r="L186" s="1"/>
      <c r="M186" s="1"/>
      <c r="N186" s="1"/>
      <c r="O186" s="1"/>
      <c r="P186" s="1"/>
      <c r="Q186" s="1"/>
      <c r="R186" s="1"/>
      <c r="S186" s="1"/>
      <c r="T186" s="1"/>
    </row>
    <row r="187" ht="14.25" customHeight="1">
      <c r="A187" s="52"/>
      <c r="B187" s="53"/>
      <c r="C187" s="53"/>
      <c r="D187" s="53"/>
      <c r="E187" s="53"/>
      <c r="F187" s="53"/>
      <c r="G187" s="1"/>
      <c r="H187" s="1"/>
      <c r="I187" s="1"/>
      <c r="J187" s="1"/>
      <c r="K187" s="1"/>
      <c r="L187" s="1"/>
      <c r="M187" s="1"/>
      <c r="N187" s="1"/>
      <c r="O187" s="1"/>
      <c r="P187" s="1"/>
      <c r="Q187" s="1"/>
      <c r="R187" s="1"/>
      <c r="S187" s="1"/>
      <c r="T187" s="1"/>
    </row>
    <row r="188" ht="14.25" customHeight="1">
      <c r="A188" s="52"/>
      <c r="B188" s="53"/>
      <c r="C188" s="53"/>
      <c r="D188" s="53"/>
      <c r="E188" s="53"/>
      <c r="F188" s="53"/>
      <c r="G188" s="1"/>
      <c r="H188" s="1"/>
      <c r="I188" s="1"/>
      <c r="J188" s="1"/>
      <c r="K188" s="1"/>
      <c r="L188" s="1"/>
      <c r="M188" s="1"/>
      <c r="N188" s="1"/>
      <c r="O188" s="1"/>
      <c r="P188" s="1"/>
      <c r="Q188" s="1"/>
      <c r="R188" s="1"/>
      <c r="S188" s="1"/>
      <c r="T188" s="1"/>
    </row>
    <row r="189" ht="14.25" customHeight="1">
      <c r="A189" s="52"/>
      <c r="B189" s="53"/>
      <c r="C189" s="53"/>
      <c r="D189" s="53"/>
      <c r="E189" s="53"/>
      <c r="F189" s="53"/>
      <c r="G189" s="1"/>
      <c r="H189" s="1"/>
      <c r="I189" s="1"/>
      <c r="J189" s="1"/>
      <c r="K189" s="1"/>
      <c r="L189" s="1"/>
      <c r="M189" s="1"/>
      <c r="N189" s="1"/>
      <c r="O189" s="1"/>
      <c r="P189" s="1"/>
      <c r="Q189" s="1"/>
      <c r="R189" s="1"/>
      <c r="S189" s="1"/>
      <c r="T189" s="1"/>
    </row>
    <row r="190" ht="14.25" customHeight="1">
      <c r="A190" s="52"/>
      <c r="B190" s="53"/>
      <c r="C190" s="53"/>
      <c r="D190" s="53"/>
      <c r="E190" s="53"/>
      <c r="F190" s="53"/>
      <c r="G190" s="1"/>
      <c r="H190" s="1"/>
      <c r="I190" s="1"/>
      <c r="J190" s="1"/>
      <c r="K190" s="1"/>
      <c r="L190" s="1"/>
      <c r="M190" s="1"/>
      <c r="N190" s="1"/>
      <c r="O190" s="1"/>
      <c r="P190" s="1"/>
      <c r="Q190" s="1"/>
      <c r="R190" s="1"/>
      <c r="S190" s="1"/>
      <c r="T190" s="1"/>
    </row>
    <row r="191" ht="14.25" customHeight="1">
      <c r="A191" s="52"/>
      <c r="B191" s="53"/>
      <c r="C191" s="53"/>
      <c r="D191" s="53"/>
      <c r="E191" s="53"/>
      <c r="F191" s="53"/>
      <c r="G191" s="1"/>
      <c r="H191" s="1"/>
      <c r="I191" s="1"/>
      <c r="J191" s="1"/>
      <c r="K191" s="1"/>
      <c r="L191" s="1"/>
      <c r="M191" s="1"/>
      <c r="N191" s="1"/>
      <c r="O191" s="1"/>
      <c r="P191" s="1"/>
      <c r="Q191" s="1"/>
      <c r="R191" s="1"/>
      <c r="S191" s="1"/>
      <c r="T191" s="1"/>
    </row>
    <row r="192" ht="14.25" customHeight="1">
      <c r="A192" s="52"/>
      <c r="B192" s="53"/>
      <c r="C192" s="53"/>
      <c r="D192" s="53"/>
      <c r="E192" s="53"/>
      <c r="F192" s="53"/>
      <c r="G192" s="1"/>
      <c r="H192" s="1"/>
      <c r="I192" s="1"/>
      <c r="J192" s="1"/>
      <c r="K192" s="1"/>
      <c r="L192" s="1"/>
      <c r="M192" s="1"/>
      <c r="N192" s="1"/>
      <c r="O192" s="1"/>
      <c r="P192" s="1"/>
      <c r="Q192" s="1"/>
      <c r="R192" s="1"/>
      <c r="S192" s="1"/>
      <c r="T192" s="1"/>
    </row>
    <row r="193" ht="14.25" customHeight="1">
      <c r="A193" s="52"/>
      <c r="B193" s="53"/>
      <c r="C193" s="53"/>
      <c r="D193" s="53"/>
      <c r="E193" s="53"/>
      <c r="F193" s="53"/>
      <c r="G193" s="1"/>
      <c r="H193" s="1"/>
      <c r="I193" s="1"/>
      <c r="J193" s="1"/>
      <c r="K193" s="1"/>
      <c r="L193" s="1"/>
      <c r="M193" s="1"/>
      <c r="N193" s="1"/>
      <c r="O193" s="1"/>
      <c r="P193" s="1"/>
      <c r="Q193" s="1"/>
      <c r="R193" s="1"/>
      <c r="S193" s="1"/>
      <c r="T193" s="1"/>
    </row>
    <row r="194" ht="14.25" customHeight="1">
      <c r="A194" s="52"/>
      <c r="B194" s="53"/>
      <c r="C194" s="53"/>
      <c r="D194" s="53"/>
      <c r="E194" s="53"/>
      <c r="F194" s="53"/>
      <c r="G194" s="1"/>
      <c r="H194" s="1"/>
      <c r="I194" s="1"/>
      <c r="J194" s="1"/>
      <c r="K194" s="1"/>
      <c r="L194" s="1"/>
      <c r="M194" s="1"/>
      <c r="N194" s="1"/>
      <c r="O194" s="1"/>
      <c r="P194" s="1"/>
      <c r="Q194" s="1"/>
      <c r="R194" s="1"/>
      <c r="S194" s="1"/>
      <c r="T194" s="1"/>
    </row>
    <row r="195" ht="14.25" customHeight="1">
      <c r="A195" s="52"/>
      <c r="B195" s="53"/>
      <c r="C195" s="53"/>
      <c r="D195" s="53"/>
      <c r="E195" s="53"/>
      <c r="F195" s="53"/>
      <c r="G195" s="1"/>
      <c r="H195" s="1"/>
      <c r="I195" s="1"/>
      <c r="J195" s="1"/>
      <c r="K195" s="1"/>
      <c r="L195" s="1"/>
      <c r="M195" s="1"/>
      <c r="N195" s="1"/>
      <c r="O195" s="1"/>
      <c r="P195" s="1"/>
      <c r="Q195" s="1"/>
      <c r="R195" s="1"/>
      <c r="S195" s="1"/>
      <c r="T195" s="1"/>
    </row>
    <row r="196" ht="14.25" customHeight="1">
      <c r="A196" s="52"/>
      <c r="B196" s="53"/>
      <c r="C196" s="53"/>
      <c r="D196" s="53"/>
      <c r="E196" s="53"/>
      <c r="F196" s="53"/>
      <c r="G196" s="1"/>
      <c r="H196" s="1"/>
      <c r="I196" s="1"/>
      <c r="J196" s="1"/>
      <c r="K196" s="1"/>
      <c r="L196" s="1"/>
      <c r="M196" s="1"/>
      <c r="N196" s="1"/>
      <c r="O196" s="1"/>
      <c r="P196" s="1"/>
      <c r="Q196" s="1"/>
      <c r="R196" s="1"/>
      <c r="S196" s="1"/>
      <c r="T196" s="1"/>
    </row>
    <row r="197" ht="14.25" customHeight="1">
      <c r="A197" s="52"/>
      <c r="B197" s="53"/>
      <c r="C197" s="53"/>
      <c r="D197" s="53"/>
      <c r="E197" s="53"/>
      <c r="F197" s="53"/>
      <c r="G197" s="1"/>
      <c r="H197" s="1"/>
      <c r="I197" s="1"/>
      <c r="J197" s="1"/>
      <c r="K197" s="1"/>
      <c r="L197" s="1"/>
      <c r="M197" s="1"/>
      <c r="N197" s="1"/>
      <c r="O197" s="1"/>
      <c r="P197" s="1"/>
      <c r="Q197" s="1"/>
      <c r="R197" s="1"/>
      <c r="S197" s="1"/>
      <c r="T197" s="1"/>
    </row>
    <row r="198" ht="14.25" customHeight="1">
      <c r="A198" s="52"/>
      <c r="B198" s="53"/>
      <c r="C198" s="53"/>
      <c r="D198" s="53"/>
      <c r="E198" s="53"/>
      <c r="F198" s="53"/>
      <c r="G198" s="1"/>
      <c r="H198" s="1"/>
      <c r="I198" s="1"/>
      <c r="J198" s="1"/>
      <c r="K198" s="1"/>
      <c r="L198" s="1"/>
      <c r="M198" s="1"/>
      <c r="N198" s="1"/>
      <c r="O198" s="1"/>
      <c r="P198" s="1"/>
      <c r="Q198" s="1"/>
      <c r="R198" s="1"/>
      <c r="S198" s="1"/>
      <c r="T198" s="1"/>
    </row>
    <row r="199" ht="14.25" customHeight="1">
      <c r="A199" s="52"/>
      <c r="B199" s="53"/>
      <c r="C199" s="53"/>
      <c r="D199" s="53"/>
      <c r="E199" s="53"/>
      <c r="F199" s="53"/>
      <c r="G199" s="1"/>
      <c r="H199" s="1"/>
      <c r="I199" s="1"/>
      <c r="J199" s="1"/>
      <c r="K199" s="1"/>
      <c r="L199" s="1"/>
      <c r="M199" s="1"/>
      <c r="N199" s="1"/>
      <c r="O199" s="1"/>
      <c r="P199" s="1"/>
      <c r="Q199" s="1"/>
      <c r="R199" s="1"/>
      <c r="S199" s="1"/>
      <c r="T199" s="1"/>
    </row>
    <row r="200" ht="14.25" customHeight="1">
      <c r="A200" s="52"/>
      <c r="B200" s="53"/>
      <c r="C200" s="53"/>
      <c r="D200" s="53"/>
      <c r="E200" s="53"/>
      <c r="F200" s="53"/>
      <c r="G200" s="1"/>
      <c r="H200" s="1"/>
      <c r="I200" s="1"/>
      <c r="J200" s="1"/>
      <c r="K200" s="1"/>
      <c r="L200" s="1"/>
      <c r="M200" s="1"/>
      <c r="N200" s="1"/>
      <c r="O200" s="1"/>
      <c r="P200" s="1"/>
      <c r="Q200" s="1"/>
      <c r="R200" s="1"/>
      <c r="S200" s="1"/>
      <c r="T200" s="1"/>
    </row>
    <row r="201" ht="14.25" customHeight="1">
      <c r="A201" s="52"/>
      <c r="B201" s="53"/>
      <c r="C201" s="53"/>
      <c r="D201" s="53"/>
      <c r="E201" s="53"/>
      <c r="F201" s="53"/>
      <c r="G201" s="1"/>
      <c r="H201" s="1"/>
      <c r="I201" s="1"/>
      <c r="J201" s="1"/>
      <c r="K201" s="1"/>
      <c r="L201" s="1"/>
      <c r="M201" s="1"/>
      <c r="N201" s="1"/>
      <c r="O201" s="1"/>
      <c r="P201" s="1"/>
      <c r="Q201" s="1"/>
      <c r="R201" s="1"/>
      <c r="S201" s="1"/>
      <c r="T201" s="1"/>
    </row>
    <row r="202" ht="14.25" customHeight="1">
      <c r="A202" s="52"/>
      <c r="B202" s="53"/>
      <c r="C202" s="53"/>
      <c r="D202" s="53"/>
      <c r="E202" s="53"/>
      <c r="F202" s="53"/>
      <c r="G202" s="1"/>
      <c r="H202" s="1"/>
      <c r="I202" s="1"/>
      <c r="J202" s="1"/>
      <c r="K202" s="1"/>
      <c r="L202" s="1"/>
      <c r="M202" s="1"/>
      <c r="N202" s="1"/>
      <c r="O202" s="1"/>
      <c r="P202" s="1"/>
      <c r="Q202" s="1"/>
      <c r="R202" s="1"/>
      <c r="S202" s="1"/>
      <c r="T202" s="1"/>
    </row>
    <row r="203" ht="14.25" customHeight="1">
      <c r="A203" s="52"/>
      <c r="B203" s="53"/>
      <c r="C203" s="53"/>
      <c r="D203" s="53"/>
      <c r="E203" s="53"/>
      <c r="F203" s="53"/>
      <c r="G203" s="1"/>
      <c r="H203" s="1"/>
      <c r="I203" s="1"/>
      <c r="J203" s="1"/>
      <c r="K203" s="1"/>
      <c r="L203" s="1"/>
      <c r="M203" s="1"/>
      <c r="N203" s="1"/>
      <c r="O203" s="1"/>
      <c r="P203" s="1"/>
      <c r="Q203" s="1"/>
      <c r="R203" s="1"/>
      <c r="S203" s="1"/>
      <c r="T203" s="1"/>
    </row>
    <row r="204" ht="14.25" customHeight="1">
      <c r="A204" s="52"/>
      <c r="B204" s="53"/>
      <c r="C204" s="53"/>
      <c r="D204" s="53"/>
      <c r="E204" s="53"/>
      <c r="F204" s="53"/>
      <c r="G204" s="1"/>
      <c r="H204" s="1"/>
      <c r="I204" s="1"/>
      <c r="J204" s="1"/>
      <c r="K204" s="1"/>
      <c r="L204" s="1"/>
      <c r="M204" s="1"/>
      <c r="N204" s="1"/>
      <c r="O204" s="1"/>
      <c r="P204" s="1"/>
      <c r="Q204" s="1"/>
      <c r="R204" s="1"/>
      <c r="S204" s="1"/>
      <c r="T204" s="1"/>
    </row>
    <row r="205" ht="14.25" customHeight="1">
      <c r="A205" s="52"/>
      <c r="B205" s="53"/>
      <c r="C205" s="53"/>
      <c r="D205" s="53"/>
      <c r="E205" s="53"/>
      <c r="F205" s="53"/>
      <c r="G205" s="1"/>
      <c r="H205" s="1"/>
      <c r="I205" s="1"/>
      <c r="J205" s="1"/>
      <c r="K205" s="1"/>
      <c r="L205" s="1"/>
      <c r="M205" s="1"/>
      <c r="N205" s="1"/>
      <c r="O205" s="1"/>
      <c r="P205" s="1"/>
      <c r="Q205" s="1"/>
      <c r="R205" s="1"/>
      <c r="S205" s="1"/>
      <c r="T205" s="1"/>
    </row>
    <row r="206" ht="14.25" customHeight="1">
      <c r="A206" s="52"/>
      <c r="B206" s="53"/>
      <c r="C206" s="53"/>
      <c r="D206" s="53"/>
      <c r="E206" s="53"/>
      <c r="F206" s="53"/>
      <c r="G206" s="1"/>
      <c r="H206" s="1"/>
      <c r="I206" s="1"/>
      <c r="J206" s="1"/>
      <c r="K206" s="1"/>
      <c r="L206" s="1"/>
      <c r="M206" s="1"/>
      <c r="N206" s="1"/>
      <c r="O206" s="1"/>
      <c r="P206" s="1"/>
      <c r="Q206" s="1"/>
      <c r="R206" s="1"/>
      <c r="S206" s="1"/>
      <c r="T206" s="1"/>
    </row>
    <row r="207" ht="14.25" customHeight="1">
      <c r="A207" s="52"/>
      <c r="B207" s="53"/>
      <c r="C207" s="53"/>
      <c r="D207" s="53"/>
      <c r="E207" s="53"/>
      <c r="F207" s="53"/>
      <c r="G207" s="1"/>
      <c r="H207" s="1"/>
      <c r="I207" s="1"/>
      <c r="J207" s="1"/>
      <c r="K207" s="1"/>
      <c r="L207" s="1"/>
      <c r="M207" s="1"/>
      <c r="N207" s="1"/>
      <c r="O207" s="1"/>
      <c r="P207" s="1"/>
      <c r="Q207" s="1"/>
      <c r="R207" s="1"/>
      <c r="S207" s="1"/>
      <c r="T207" s="1"/>
    </row>
    <row r="208" ht="14.25" customHeight="1">
      <c r="A208" s="52"/>
      <c r="B208" s="53"/>
      <c r="C208" s="53"/>
      <c r="D208" s="53"/>
      <c r="E208" s="53"/>
      <c r="F208" s="53"/>
      <c r="G208" s="1"/>
      <c r="H208" s="1"/>
      <c r="I208" s="1"/>
      <c r="J208" s="1"/>
      <c r="K208" s="1"/>
      <c r="L208" s="1"/>
      <c r="M208" s="1"/>
      <c r="N208" s="1"/>
      <c r="O208" s="1"/>
      <c r="P208" s="1"/>
      <c r="Q208" s="1"/>
      <c r="R208" s="1"/>
      <c r="S208" s="1"/>
      <c r="T208" s="1"/>
    </row>
    <row r="209" ht="14.25" customHeight="1">
      <c r="A209" s="52"/>
      <c r="B209" s="53"/>
      <c r="C209" s="53"/>
      <c r="D209" s="53"/>
      <c r="E209" s="53"/>
      <c r="F209" s="53"/>
      <c r="G209" s="1"/>
      <c r="H209" s="1"/>
      <c r="I209" s="1"/>
      <c r="J209" s="1"/>
      <c r="K209" s="1"/>
      <c r="L209" s="1"/>
      <c r="M209" s="1"/>
      <c r="N209" s="1"/>
      <c r="O209" s="1"/>
      <c r="P209" s="1"/>
      <c r="Q209" s="1"/>
      <c r="R209" s="1"/>
      <c r="S209" s="1"/>
      <c r="T209" s="1"/>
    </row>
    <row r="210" ht="14.25" customHeight="1">
      <c r="A210" s="52"/>
      <c r="B210" s="53"/>
      <c r="C210" s="53"/>
      <c r="D210" s="53"/>
      <c r="E210" s="53"/>
      <c r="F210" s="53"/>
      <c r="G210" s="1"/>
      <c r="H210" s="1"/>
      <c r="I210" s="1"/>
      <c r="J210" s="1"/>
      <c r="K210" s="1"/>
      <c r="L210" s="1"/>
      <c r="M210" s="1"/>
      <c r="N210" s="1"/>
      <c r="O210" s="1"/>
      <c r="P210" s="1"/>
      <c r="Q210" s="1"/>
      <c r="R210" s="1"/>
      <c r="S210" s="1"/>
      <c r="T210" s="1"/>
    </row>
    <row r="211" ht="14.25" customHeight="1">
      <c r="A211" s="52"/>
      <c r="B211" s="53"/>
      <c r="C211" s="53"/>
      <c r="D211" s="53"/>
      <c r="E211" s="53"/>
      <c r="F211" s="53"/>
      <c r="G211" s="1"/>
      <c r="H211" s="1"/>
      <c r="I211" s="1"/>
      <c r="J211" s="1"/>
      <c r="K211" s="1"/>
      <c r="L211" s="1"/>
      <c r="M211" s="1"/>
      <c r="N211" s="1"/>
      <c r="O211" s="1"/>
      <c r="P211" s="1"/>
      <c r="Q211" s="1"/>
      <c r="R211" s="1"/>
      <c r="S211" s="1"/>
      <c r="T211" s="1"/>
    </row>
    <row r="212" ht="14.25" customHeight="1">
      <c r="A212" s="52"/>
      <c r="B212" s="53"/>
      <c r="C212" s="53"/>
      <c r="D212" s="53"/>
      <c r="E212" s="53"/>
      <c r="F212" s="53"/>
      <c r="G212" s="1"/>
      <c r="H212" s="1"/>
      <c r="I212" s="1"/>
      <c r="J212" s="1"/>
      <c r="K212" s="1"/>
      <c r="L212" s="1"/>
      <c r="M212" s="1"/>
      <c r="N212" s="1"/>
      <c r="O212" s="1"/>
      <c r="P212" s="1"/>
      <c r="Q212" s="1"/>
      <c r="R212" s="1"/>
      <c r="S212" s="1"/>
      <c r="T212" s="1"/>
    </row>
    <row r="213" ht="14.25" customHeight="1">
      <c r="A213" s="52"/>
      <c r="B213" s="53"/>
      <c r="C213" s="53"/>
      <c r="D213" s="53"/>
      <c r="E213" s="53"/>
      <c r="F213" s="53"/>
      <c r="G213" s="1"/>
      <c r="H213" s="1"/>
      <c r="I213" s="1"/>
      <c r="J213" s="1"/>
      <c r="K213" s="1"/>
      <c r="L213" s="1"/>
      <c r="M213" s="1"/>
      <c r="N213" s="1"/>
      <c r="O213" s="1"/>
      <c r="P213" s="1"/>
      <c r="Q213" s="1"/>
      <c r="R213" s="1"/>
      <c r="S213" s="1"/>
      <c r="T213" s="1"/>
    </row>
    <row r="214" ht="14.25" customHeight="1">
      <c r="A214" s="52"/>
      <c r="B214" s="53"/>
      <c r="C214" s="53"/>
      <c r="D214" s="53"/>
      <c r="E214" s="53"/>
      <c r="F214" s="53"/>
      <c r="G214" s="1"/>
      <c r="H214" s="1"/>
      <c r="I214" s="1"/>
      <c r="J214" s="1"/>
      <c r="K214" s="1"/>
      <c r="L214" s="1"/>
      <c r="M214" s="1"/>
      <c r="N214" s="1"/>
      <c r="O214" s="1"/>
      <c r="P214" s="1"/>
      <c r="Q214" s="1"/>
      <c r="R214" s="1"/>
      <c r="S214" s="1"/>
      <c r="T214" s="1"/>
    </row>
    <row r="215" ht="14.25" customHeight="1">
      <c r="A215" s="52"/>
      <c r="B215" s="53"/>
      <c r="C215" s="53"/>
      <c r="D215" s="53"/>
      <c r="E215" s="53"/>
      <c r="F215" s="53"/>
      <c r="G215" s="1"/>
      <c r="H215" s="1"/>
      <c r="I215" s="1"/>
      <c r="J215" s="1"/>
      <c r="K215" s="1"/>
      <c r="L215" s="1"/>
      <c r="M215" s="1"/>
      <c r="N215" s="1"/>
      <c r="O215" s="1"/>
      <c r="P215" s="1"/>
      <c r="Q215" s="1"/>
      <c r="R215" s="1"/>
      <c r="S215" s="1"/>
      <c r="T215" s="1"/>
    </row>
    <row r="216" ht="14.25" customHeight="1">
      <c r="A216" s="52"/>
      <c r="B216" s="53"/>
      <c r="C216" s="53"/>
      <c r="D216" s="53"/>
      <c r="E216" s="53"/>
      <c r="F216" s="53"/>
      <c r="G216" s="1"/>
      <c r="H216" s="1"/>
      <c r="I216" s="1"/>
      <c r="J216" s="1"/>
      <c r="K216" s="1"/>
      <c r="L216" s="1"/>
      <c r="M216" s="1"/>
      <c r="N216" s="1"/>
      <c r="O216" s="1"/>
      <c r="P216" s="1"/>
      <c r="Q216" s="1"/>
      <c r="R216" s="1"/>
      <c r="S216" s="1"/>
      <c r="T216" s="1"/>
    </row>
    <row r="217" ht="14.25" customHeight="1">
      <c r="A217" s="52"/>
      <c r="B217" s="53"/>
      <c r="C217" s="53"/>
      <c r="D217" s="53"/>
      <c r="E217" s="53"/>
      <c r="F217" s="53"/>
      <c r="G217" s="1"/>
      <c r="H217" s="1"/>
      <c r="I217" s="1"/>
      <c r="J217" s="1"/>
      <c r="K217" s="1"/>
      <c r="L217" s="1"/>
      <c r="M217" s="1"/>
      <c r="N217" s="1"/>
      <c r="O217" s="1"/>
      <c r="P217" s="1"/>
      <c r="Q217" s="1"/>
      <c r="R217" s="1"/>
      <c r="S217" s="1"/>
      <c r="T217" s="1"/>
    </row>
    <row r="218" ht="14.25" customHeight="1">
      <c r="A218" s="52"/>
      <c r="B218" s="53"/>
      <c r="C218" s="53"/>
      <c r="D218" s="53"/>
      <c r="E218" s="53"/>
      <c r="F218" s="53"/>
      <c r="G218" s="1"/>
      <c r="H218" s="1"/>
      <c r="I218" s="1"/>
      <c r="J218" s="1"/>
      <c r="K218" s="1"/>
      <c r="L218" s="1"/>
      <c r="M218" s="1"/>
      <c r="N218" s="1"/>
      <c r="O218" s="1"/>
      <c r="P218" s="1"/>
      <c r="Q218" s="1"/>
      <c r="R218" s="1"/>
      <c r="S218" s="1"/>
      <c r="T218" s="1"/>
    </row>
    <row r="219" ht="14.25" customHeight="1">
      <c r="A219" s="52"/>
      <c r="B219" s="53"/>
      <c r="C219" s="53"/>
      <c r="D219" s="53"/>
      <c r="E219" s="53"/>
      <c r="F219" s="53"/>
      <c r="G219" s="1"/>
      <c r="H219" s="1"/>
      <c r="I219" s="1"/>
      <c r="J219" s="1"/>
      <c r="K219" s="1"/>
      <c r="L219" s="1"/>
      <c r="M219" s="1"/>
      <c r="N219" s="1"/>
      <c r="O219" s="1"/>
      <c r="P219" s="1"/>
      <c r="Q219" s="1"/>
      <c r="R219" s="1"/>
      <c r="S219" s="1"/>
      <c r="T219" s="1"/>
    </row>
    <row r="220" ht="14.25" customHeight="1">
      <c r="A220" s="52"/>
      <c r="B220" s="53"/>
      <c r="C220" s="53"/>
      <c r="D220" s="53"/>
      <c r="E220" s="53"/>
      <c r="F220" s="53"/>
      <c r="G220" s="1"/>
      <c r="H220" s="1"/>
      <c r="I220" s="1"/>
      <c r="J220" s="1"/>
      <c r="K220" s="1"/>
      <c r="L220" s="1"/>
      <c r="M220" s="1"/>
      <c r="N220" s="1"/>
      <c r="O220" s="1"/>
      <c r="P220" s="1"/>
      <c r="Q220" s="1"/>
      <c r="R220" s="1"/>
      <c r="S220" s="1"/>
      <c r="T220" s="1"/>
    </row>
    <row r="221" ht="14.25" customHeight="1">
      <c r="A221" s="52"/>
      <c r="B221" s="53"/>
      <c r="C221" s="53"/>
      <c r="D221" s="53"/>
      <c r="E221" s="53"/>
      <c r="F221" s="53"/>
      <c r="G221" s="1"/>
      <c r="H221" s="1"/>
      <c r="I221" s="1"/>
      <c r="J221" s="1"/>
      <c r="K221" s="1"/>
      <c r="L221" s="1"/>
      <c r="M221" s="1"/>
      <c r="N221" s="1"/>
      <c r="O221" s="1"/>
      <c r="P221" s="1"/>
      <c r="Q221" s="1"/>
      <c r="R221" s="1"/>
      <c r="S221" s="1"/>
      <c r="T221" s="1"/>
    </row>
    <row r="222" ht="14.25" customHeight="1">
      <c r="A222" s="52"/>
      <c r="B222" s="53"/>
      <c r="C222" s="53"/>
      <c r="D222" s="53"/>
      <c r="E222" s="53"/>
      <c r="F222" s="53"/>
      <c r="G222" s="1"/>
      <c r="H222" s="1"/>
      <c r="I222" s="1"/>
      <c r="J222" s="1"/>
      <c r="K222" s="1"/>
      <c r="L222" s="1"/>
      <c r="M222" s="1"/>
      <c r="N222" s="1"/>
      <c r="O222" s="1"/>
      <c r="P222" s="1"/>
      <c r="Q222" s="1"/>
      <c r="R222" s="1"/>
      <c r="S222" s="1"/>
      <c r="T222" s="1"/>
    </row>
    <row r="223" ht="14.25" customHeight="1">
      <c r="A223" s="52"/>
      <c r="B223" s="53"/>
      <c r="C223" s="53"/>
      <c r="D223" s="53"/>
      <c r="E223" s="53"/>
      <c r="F223" s="53"/>
      <c r="G223" s="1"/>
      <c r="H223" s="1"/>
      <c r="I223" s="1"/>
      <c r="J223" s="1"/>
      <c r="K223" s="1"/>
      <c r="L223" s="1"/>
      <c r="M223" s="1"/>
      <c r="N223" s="1"/>
      <c r="O223" s="1"/>
      <c r="P223" s="1"/>
      <c r="Q223" s="1"/>
      <c r="R223" s="1"/>
      <c r="S223" s="1"/>
      <c r="T223" s="1"/>
    </row>
    <row r="224" ht="14.25" customHeight="1">
      <c r="A224" s="52"/>
      <c r="B224" s="53"/>
      <c r="C224" s="53"/>
      <c r="D224" s="53"/>
      <c r="E224" s="53"/>
      <c r="F224" s="53"/>
      <c r="G224" s="1"/>
      <c r="H224" s="1"/>
      <c r="I224" s="1"/>
      <c r="J224" s="1"/>
      <c r="K224" s="1"/>
      <c r="L224" s="1"/>
      <c r="M224" s="1"/>
      <c r="N224" s="1"/>
      <c r="O224" s="1"/>
      <c r="P224" s="1"/>
      <c r="Q224" s="1"/>
      <c r="R224" s="1"/>
      <c r="S224" s="1"/>
      <c r="T224" s="1"/>
    </row>
    <row r="225" ht="14.25" customHeight="1">
      <c r="A225" s="52"/>
      <c r="B225" s="53"/>
      <c r="C225" s="53"/>
      <c r="D225" s="53"/>
      <c r="E225" s="53"/>
      <c r="F225" s="53"/>
      <c r="G225" s="1"/>
      <c r="H225" s="1"/>
      <c r="I225" s="1"/>
      <c r="J225" s="1"/>
      <c r="K225" s="1"/>
      <c r="L225" s="1"/>
      <c r="M225" s="1"/>
      <c r="N225" s="1"/>
      <c r="O225" s="1"/>
      <c r="P225" s="1"/>
      <c r="Q225" s="1"/>
      <c r="R225" s="1"/>
      <c r="S225" s="1"/>
      <c r="T225" s="1"/>
    </row>
    <row r="226" ht="14.25" customHeight="1">
      <c r="A226" s="52"/>
      <c r="B226" s="53"/>
      <c r="C226" s="53"/>
      <c r="D226" s="53"/>
      <c r="E226" s="53"/>
      <c r="F226" s="53"/>
      <c r="G226" s="1"/>
      <c r="H226" s="1"/>
      <c r="I226" s="1"/>
      <c r="J226" s="1"/>
      <c r="K226" s="1"/>
      <c r="L226" s="1"/>
      <c r="M226" s="1"/>
      <c r="N226" s="1"/>
      <c r="O226" s="1"/>
      <c r="P226" s="1"/>
      <c r="Q226" s="1"/>
      <c r="R226" s="1"/>
      <c r="S226" s="1"/>
      <c r="T226" s="1"/>
    </row>
    <row r="227" ht="14.25" customHeight="1">
      <c r="A227" s="52"/>
      <c r="B227" s="53"/>
      <c r="C227" s="53"/>
      <c r="D227" s="53"/>
      <c r="E227" s="53"/>
      <c r="F227" s="53"/>
      <c r="G227" s="1"/>
      <c r="H227" s="1"/>
      <c r="I227" s="1"/>
      <c r="J227" s="1"/>
      <c r="K227" s="1"/>
      <c r="L227" s="1"/>
      <c r="M227" s="1"/>
      <c r="N227" s="1"/>
      <c r="O227" s="1"/>
      <c r="P227" s="1"/>
      <c r="Q227" s="1"/>
      <c r="R227" s="1"/>
      <c r="S227" s="1"/>
      <c r="T227" s="1"/>
    </row>
    <row r="228" ht="14.25" customHeight="1">
      <c r="A228" s="52"/>
      <c r="B228" s="53"/>
      <c r="C228" s="53"/>
      <c r="D228" s="53"/>
      <c r="E228" s="53"/>
      <c r="F228" s="53"/>
      <c r="G228" s="1"/>
      <c r="H228" s="1"/>
      <c r="I228" s="1"/>
      <c r="J228" s="1"/>
      <c r="K228" s="1"/>
      <c r="L228" s="1"/>
      <c r="M228" s="1"/>
      <c r="N228" s="1"/>
      <c r="O228" s="1"/>
      <c r="P228" s="1"/>
      <c r="Q228" s="1"/>
      <c r="R228" s="1"/>
      <c r="S228" s="1"/>
      <c r="T228" s="1"/>
    </row>
    <row r="229" ht="14.25" customHeight="1">
      <c r="A229" s="52"/>
      <c r="B229" s="53"/>
      <c r="C229" s="53"/>
      <c r="D229" s="53"/>
      <c r="E229" s="53"/>
      <c r="F229" s="53"/>
      <c r="G229" s="1"/>
      <c r="H229" s="1"/>
      <c r="I229" s="1"/>
      <c r="J229" s="1"/>
      <c r="K229" s="1"/>
      <c r="L229" s="1"/>
      <c r="M229" s="1"/>
      <c r="N229" s="1"/>
      <c r="O229" s="1"/>
      <c r="P229" s="1"/>
      <c r="Q229" s="1"/>
      <c r="R229" s="1"/>
      <c r="S229" s="1"/>
      <c r="T229" s="1"/>
    </row>
    <row r="230" ht="14.25" customHeight="1">
      <c r="A230" s="52"/>
      <c r="B230" s="53"/>
      <c r="C230" s="53"/>
      <c r="D230" s="53"/>
      <c r="E230" s="53"/>
      <c r="F230" s="53"/>
      <c r="G230" s="1"/>
      <c r="H230" s="1"/>
      <c r="I230" s="1"/>
      <c r="J230" s="1"/>
      <c r="K230" s="1"/>
      <c r="L230" s="1"/>
      <c r="M230" s="1"/>
      <c r="N230" s="1"/>
      <c r="O230" s="1"/>
      <c r="P230" s="1"/>
      <c r="Q230" s="1"/>
      <c r="R230" s="1"/>
      <c r="S230" s="1"/>
      <c r="T230" s="1"/>
    </row>
    <row r="231" ht="14.25" customHeight="1">
      <c r="A231" s="52"/>
      <c r="B231" s="53"/>
      <c r="C231" s="53"/>
      <c r="D231" s="53"/>
      <c r="E231" s="53"/>
      <c r="F231" s="53"/>
      <c r="G231" s="1"/>
      <c r="H231" s="1"/>
      <c r="I231" s="1"/>
      <c r="J231" s="1"/>
      <c r="K231" s="1"/>
      <c r="L231" s="1"/>
      <c r="M231" s="1"/>
      <c r="N231" s="1"/>
      <c r="O231" s="1"/>
      <c r="P231" s="1"/>
      <c r="Q231" s="1"/>
      <c r="R231" s="1"/>
      <c r="S231" s="1"/>
      <c r="T231" s="1"/>
    </row>
    <row r="232" ht="14.25" customHeight="1">
      <c r="A232" s="52"/>
      <c r="B232" s="53"/>
      <c r="C232" s="53"/>
      <c r="D232" s="53"/>
      <c r="E232" s="53"/>
      <c r="F232" s="53"/>
      <c r="G232" s="1"/>
      <c r="H232" s="1"/>
      <c r="I232" s="1"/>
      <c r="J232" s="1"/>
      <c r="K232" s="1"/>
      <c r="L232" s="1"/>
      <c r="M232" s="1"/>
      <c r="N232" s="1"/>
      <c r="O232" s="1"/>
      <c r="P232" s="1"/>
      <c r="Q232" s="1"/>
      <c r="R232" s="1"/>
      <c r="S232" s="1"/>
      <c r="T232" s="1"/>
    </row>
    <row r="233" ht="14.25" customHeight="1">
      <c r="A233" s="52"/>
      <c r="B233" s="53"/>
      <c r="C233" s="53"/>
      <c r="D233" s="53"/>
      <c r="E233" s="53"/>
      <c r="F233" s="53"/>
      <c r="G233" s="1"/>
      <c r="H233" s="1"/>
      <c r="I233" s="1"/>
      <c r="J233" s="1"/>
      <c r="K233" s="1"/>
      <c r="L233" s="1"/>
      <c r="M233" s="1"/>
      <c r="N233" s="1"/>
      <c r="O233" s="1"/>
      <c r="P233" s="1"/>
      <c r="Q233" s="1"/>
      <c r="R233" s="1"/>
      <c r="S233" s="1"/>
      <c r="T233" s="1"/>
    </row>
    <row r="234" ht="14.25" customHeight="1">
      <c r="A234" s="52"/>
      <c r="B234" s="53"/>
      <c r="C234" s="53"/>
      <c r="D234" s="53"/>
      <c r="E234" s="53"/>
      <c r="F234" s="53"/>
      <c r="G234" s="1"/>
      <c r="H234" s="1"/>
      <c r="I234" s="1"/>
      <c r="J234" s="1"/>
      <c r="K234" s="1"/>
      <c r="L234" s="1"/>
      <c r="M234" s="1"/>
      <c r="N234" s="1"/>
      <c r="O234" s="1"/>
      <c r="P234" s="1"/>
      <c r="Q234" s="1"/>
      <c r="R234" s="1"/>
      <c r="S234" s="1"/>
      <c r="T234" s="1"/>
    </row>
    <row r="235" ht="14.25" customHeight="1">
      <c r="A235" s="52"/>
      <c r="B235" s="53"/>
      <c r="C235" s="53"/>
      <c r="D235" s="53"/>
      <c r="E235" s="53"/>
      <c r="F235" s="53"/>
      <c r="G235" s="1"/>
      <c r="H235" s="1"/>
      <c r="I235" s="1"/>
      <c r="J235" s="1"/>
      <c r="K235" s="1"/>
      <c r="L235" s="1"/>
      <c r="M235" s="1"/>
      <c r="N235" s="1"/>
      <c r="O235" s="1"/>
      <c r="P235" s="1"/>
      <c r="Q235" s="1"/>
      <c r="R235" s="1"/>
      <c r="S235" s="1"/>
      <c r="T235" s="1"/>
    </row>
    <row r="236" ht="14.25" customHeight="1">
      <c r="A236" s="52"/>
      <c r="B236" s="53"/>
      <c r="C236" s="53"/>
      <c r="D236" s="53"/>
      <c r="E236" s="53"/>
      <c r="F236" s="53"/>
      <c r="G236" s="1"/>
      <c r="H236" s="1"/>
      <c r="I236" s="1"/>
      <c r="J236" s="1"/>
      <c r="K236" s="1"/>
      <c r="L236" s="1"/>
      <c r="M236" s="1"/>
      <c r="N236" s="1"/>
      <c r="O236" s="1"/>
      <c r="P236" s="1"/>
      <c r="Q236" s="1"/>
      <c r="R236" s="1"/>
      <c r="S236" s="1"/>
      <c r="T236" s="1"/>
    </row>
    <row r="237" ht="14.25" customHeight="1">
      <c r="A237" s="52"/>
      <c r="B237" s="53"/>
      <c r="C237" s="53"/>
      <c r="D237" s="53"/>
      <c r="E237" s="53"/>
      <c r="F237" s="53"/>
      <c r="G237" s="1"/>
      <c r="H237" s="1"/>
      <c r="I237" s="1"/>
      <c r="J237" s="1"/>
      <c r="K237" s="1"/>
      <c r="L237" s="1"/>
      <c r="M237" s="1"/>
      <c r="N237" s="1"/>
      <c r="O237" s="1"/>
      <c r="P237" s="1"/>
      <c r="Q237" s="1"/>
      <c r="R237" s="1"/>
      <c r="S237" s="1"/>
      <c r="T237" s="1"/>
    </row>
    <row r="238" ht="14.25" customHeight="1">
      <c r="A238" s="52"/>
      <c r="B238" s="53"/>
      <c r="C238" s="53"/>
      <c r="D238" s="53"/>
      <c r="E238" s="53"/>
      <c r="F238" s="53"/>
      <c r="G238" s="1"/>
      <c r="H238" s="1"/>
      <c r="I238" s="1"/>
      <c r="J238" s="1"/>
      <c r="K238" s="1"/>
      <c r="L238" s="1"/>
      <c r="M238" s="1"/>
      <c r="N238" s="1"/>
      <c r="O238" s="1"/>
      <c r="P238" s="1"/>
      <c r="Q238" s="1"/>
      <c r="R238" s="1"/>
      <c r="S238" s="1"/>
      <c r="T238" s="1"/>
    </row>
    <row r="239" ht="14.25" customHeight="1">
      <c r="A239" s="52"/>
      <c r="B239" s="53"/>
      <c r="C239" s="53"/>
      <c r="D239" s="53"/>
      <c r="E239" s="53"/>
      <c r="F239" s="53"/>
      <c r="G239" s="1"/>
      <c r="H239" s="1"/>
      <c r="I239" s="1"/>
      <c r="J239" s="1"/>
      <c r="K239" s="1"/>
      <c r="L239" s="1"/>
      <c r="M239" s="1"/>
      <c r="N239" s="1"/>
      <c r="O239" s="1"/>
      <c r="P239" s="1"/>
      <c r="Q239" s="1"/>
      <c r="R239" s="1"/>
      <c r="S239" s="1"/>
      <c r="T239" s="1"/>
    </row>
    <row r="240" ht="14.25" customHeight="1">
      <c r="A240" s="52"/>
      <c r="B240" s="53"/>
      <c r="C240" s="53"/>
      <c r="D240" s="53"/>
      <c r="E240" s="53"/>
      <c r="F240" s="53"/>
      <c r="G240" s="1"/>
      <c r="H240" s="1"/>
      <c r="I240" s="1"/>
      <c r="J240" s="1"/>
      <c r="K240" s="1"/>
      <c r="L240" s="1"/>
      <c r="M240" s="1"/>
      <c r="N240" s="1"/>
      <c r="O240" s="1"/>
      <c r="P240" s="1"/>
      <c r="Q240" s="1"/>
      <c r="R240" s="1"/>
      <c r="S240" s="1"/>
      <c r="T240" s="1"/>
    </row>
    <row r="241" ht="14.25" customHeight="1">
      <c r="A241" s="52"/>
      <c r="B241" s="53"/>
      <c r="C241" s="53"/>
      <c r="D241" s="53"/>
      <c r="E241" s="53"/>
      <c r="F241" s="53"/>
      <c r="G241" s="1"/>
      <c r="H241" s="1"/>
      <c r="I241" s="1"/>
      <c r="J241" s="1"/>
      <c r="K241" s="1"/>
      <c r="L241" s="1"/>
      <c r="M241" s="1"/>
      <c r="N241" s="1"/>
      <c r="O241" s="1"/>
      <c r="P241" s="1"/>
      <c r="Q241" s="1"/>
      <c r="R241" s="1"/>
      <c r="S241" s="1"/>
      <c r="T241" s="1"/>
    </row>
    <row r="242" ht="14.25" customHeight="1">
      <c r="A242" s="52"/>
      <c r="B242" s="53"/>
      <c r="C242" s="53"/>
      <c r="D242" s="53"/>
      <c r="E242" s="53"/>
      <c r="F242" s="53"/>
      <c r="G242" s="1"/>
      <c r="H242" s="1"/>
      <c r="I242" s="1"/>
      <c r="J242" s="1"/>
      <c r="K242" s="1"/>
      <c r="L242" s="1"/>
      <c r="M242" s="1"/>
      <c r="N242" s="1"/>
      <c r="O242" s="1"/>
      <c r="P242" s="1"/>
      <c r="Q242" s="1"/>
      <c r="R242" s="1"/>
      <c r="S242" s="1"/>
      <c r="T242" s="1"/>
    </row>
    <row r="243" ht="14.25" customHeight="1">
      <c r="A243" s="52"/>
      <c r="B243" s="53"/>
      <c r="C243" s="53"/>
      <c r="D243" s="53"/>
      <c r="E243" s="53"/>
      <c r="F243" s="53"/>
      <c r="G243" s="1"/>
      <c r="H243" s="1"/>
      <c r="I243" s="1"/>
      <c r="J243" s="1"/>
      <c r="K243" s="1"/>
      <c r="L243" s="1"/>
      <c r="M243" s="1"/>
      <c r="N243" s="1"/>
      <c r="O243" s="1"/>
      <c r="P243" s="1"/>
      <c r="Q243" s="1"/>
      <c r="R243" s="1"/>
      <c r="S243" s="1"/>
      <c r="T243" s="1"/>
    </row>
    <row r="244" ht="14.25" customHeight="1">
      <c r="A244" s="52"/>
      <c r="B244" s="53"/>
      <c r="C244" s="53"/>
      <c r="D244" s="53"/>
      <c r="E244" s="53"/>
      <c r="F244" s="53"/>
      <c r="G244" s="1"/>
      <c r="H244" s="1"/>
      <c r="I244" s="1"/>
      <c r="J244" s="1"/>
      <c r="K244" s="1"/>
      <c r="L244" s="1"/>
      <c r="M244" s="1"/>
      <c r="N244" s="1"/>
      <c r="O244" s="1"/>
      <c r="P244" s="1"/>
      <c r="Q244" s="1"/>
      <c r="R244" s="1"/>
      <c r="S244" s="1"/>
      <c r="T244" s="1"/>
    </row>
    <row r="245" ht="14.25" customHeight="1">
      <c r="A245" s="52"/>
      <c r="B245" s="53"/>
      <c r="C245" s="53"/>
      <c r="D245" s="53"/>
      <c r="E245" s="53"/>
      <c r="F245" s="53"/>
      <c r="G245" s="1"/>
      <c r="H245" s="1"/>
      <c r="I245" s="1"/>
      <c r="J245" s="1"/>
      <c r="K245" s="1"/>
      <c r="L245" s="1"/>
      <c r="M245" s="1"/>
      <c r="N245" s="1"/>
      <c r="O245" s="1"/>
      <c r="P245" s="1"/>
      <c r="Q245" s="1"/>
      <c r="R245" s="1"/>
      <c r="S245" s="1"/>
      <c r="T245" s="1"/>
    </row>
    <row r="246" ht="14.25" customHeight="1">
      <c r="A246" s="52"/>
      <c r="B246" s="53"/>
      <c r="C246" s="53"/>
      <c r="D246" s="53"/>
      <c r="E246" s="53"/>
      <c r="F246" s="53"/>
      <c r="G246" s="1"/>
      <c r="H246" s="1"/>
      <c r="I246" s="1"/>
      <c r="J246" s="1"/>
      <c r="K246" s="1"/>
      <c r="L246" s="1"/>
      <c r="M246" s="1"/>
      <c r="N246" s="1"/>
      <c r="O246" s="1"/>
      <c r="P246" s="1"/>
      <c r="Q246" s="1"/>
      <c r="R246" s="1"/>
      <c r="S246" s="1"/>
      <c r="T246" s="1"/>
    </row>
    <row r="247" ht="14.25" customHeight="1">
      <c r="A247" s="52"/>
      <c r="B247" s="53"/>
      <c r="C247" s="53"/>
      <c r="D247" s="53"/>
      <c r="E247" s="53"/>
      <c r="F247" s="53"/>
      <c r="G247" s="1"/>
      <c r="H247" s="1"/>
      <c r="I247" s="1"/>
      <c r="J247" s="1"/>
      <c r="K247" s="1"/>
      <c r="L247" s="1"/>
      <c r="M247" s="1"/>
      <c r="N247" s="1"/>
      <c r="O247" s="1"/>
      <c r="P247" s="1"/>
      <c r="Q247" s="1"/>
      <c r="R247" s="1"/>
      <c r="S247" s="1"/>
      <c r="T247" s="1"/>
    </row>
    <row r="248" ht="14.25" customHeight="1">
      <c r="A248" s="52"/>
      <c r="B248" s="53"/>
      <c r="C248" s="53"/>
      <c r="D248" s="53"/>
      <c r="E248" s="53"/>
      <c r="F248" s="53"/>
      <c r="G248" s="1"/>
      <c r="H248" s="1"/>
      <c r="I248" s="1"/>
      <c r="J248" s="1"/>
      <c r="K248" s="1"/>
      <c r="L248" s="1"/>
      <c r="M248" s="1"/>
      <c r="N248" s="1"/>
      <c r="O248" s="1"/>
      <c r="P248" s="1"/>
      <c r="Q248" s="1"/>
      <c r="R248" s="1"/>
      <c r="S248" s="1"/>
      <c r="T248" s="1"/>
    </row>
    <row r="249" ht="14.25" customHeight="1">
      <c r="A249" s="52"/>
      <c r="B249" s="53"/>
      <c r="C249" s="53"/>
      <c r="D249" s="53"/>
      <c r="E249" s="53"/>
      <c r="F249" s="53"/>
      <c r="G249" s="1"/>
      <c r="H249" s="1"/>
      <c r="I249" s="1"/>
      <c r="J249" s="1"/>
      <c r="K249" s="1"/>
      <c r="L249" s="1"/>
      <c r="M249" s="1"/>
      <c r="N249" s="1"/>
      <c r="O249" s="1"/>
      <c r="P249" s="1"/>
      <c r="Q249" s="1"/>
      <c r="R249" s="1"/>
      <c r="S249" s="1"/>
      <c r="T249" s="1"/>
    </row>
    <row r="250" ht="14.25" customHeight="1">
      <c r="A250" s="52"/>
      <c r="B250" s="53"/>
      <c r="C250" s="53"/>
      <c r="D250" s="53"/>
      <c r="E250" s="53"/>
      <c r="F250" s="53"/>
      <c r="G250" s="1"/>
      <c r="H250" s="1"/>
      <c r="I250" s="1"/>
      <c r="J250" s="1"/>
      <c r="K250" s="1"/>
      <c r="L250" s="1"/>
      <c r="M250" s="1"/>
      <c r="N250" s="1"/>
      <c r="O250" s="1"/>
      <c r="P250" s="1"/>
      <c r="Q250" s="1"/>
      <c r="R250" s="1"/>
      <c r="S250" s="1"/>
      <c r="T250" s="1"/>
    </row>
    <row r="251" ht="14.25" customHeight="1">
      <c r="A251" s="52"/>
      <c r="B251" s="53"/>
      <c r="C251" s="53"/>
      <c r="D251" s="53"/>
      <c r="E251" s="53"/>
      <c r="F251" s="53"/>
      <c r="G251" s="1"/>
      <c r="H251" s="1"/>
      <c r="I251" s="1"/>
      <c r="J251" s="1"/>
      <c r="K251" s="1"/>
      <c r="L251" s="1"/>
      <c r="M251" s="1"/>
      <c r="N251" s="1"/>
      <c r="O251" s="1"/>
      <c r="P251" s="1"/>
      <c r="Q251" s="1"/>
      <c r="R251" s="1"/>
      <c r="S251" s="1"/>
      <c r="T251" s="1"/>
    </row>
    <row r="252" ht="14.25" customHeight="1">
      <c r="A252" s="52"/>
      <c r="B252" s="53"/>
      <c r="C252" s="53"/>
      <c r="D252" s="53"/>
      <c r="E252" s="53"/>
      <c r="F252" s="53"/>
      <c r="G252" s="1"/>
      <c r="H252" s="1"/>
      <c r="I252" s="1"/>
      <c r="J252" s="1"/>
      <c r="K252" s="1"/>
      <c r="L252" s="1"/>
      <c r="M252" s="1"/>
      <c r="N252" s="1"/>
      <c r="O252" s="1"/>
      <c r="P252" s="1"/>
      <c r="Q252" s="1"/>
      <c r="R252" s="1"/>
      <c r="S252" s="1"/>
      <c r="T252" s="1"/>
    </row>
    <row r="253" ht="14.25" customHeight="1">
      <c r="A253" s="52"/>
      <c r="B253" s="53"/>
      <c r="C253" s="53"/>
      <c r="D253" s="53"/>
      <c r="E253" s="53"/>
      <c r="F253" s="53"/>
      <c r="G253" s="1"/>
      <c r="H253" s="1"/>
      <c r="I253" s="1"/>
      <c r="J253" s="1"/>
      <c r="K253" s="1"/>
      <c r="L253" s="1"/>
      <c r="M253" s="1"/>
      <c r="N253" s="1"/>
      <c r="O253" s="1"/>
      <c r="P253" s="1"/>
      <c r="Q253" s="1"/>
      <c r="R253" s="1"/>
      <c r="S253" s="1"/>
      <c r="T253" s="1"/>
    </row>
    <row r="254" ht="14.25" customHeight="1">
      <c r="A254" s="52"/>
      <c r="B254" s="53"/>
      <c r="C254" s="53"/>
      <c r="D254" s="53"/>
      <c r="E254" s="53"/>
      <c r="F254" s="53"/>
      <c r="G254" s="1"/>
      <c r="H254" s="1"/>
      <c r="I254" s="1"/>
      <c r="J254" s="1"/>
      <c r="K254" s="1"/>
      <c r="L254" s="1"/>
      <c r="M254" s="1"/>
      <c r="N254" s="1"/>
      <c r="O254" s="1"/>
      <c r="P254" s="1"/>
      <c r="Q254" s="1"/>
      <c r="R254" s="1"/>
      <c r="S254" s="1"/>
      <c r="T254" s="1"/>
    </row>
    <row r="255" ht="14.25" customHeight="1">
      <c r="A255" s="52"/>
      <c r="B255" s="53"/>
      <c r="C255" s="53"/>
      <c r="D255" s="53"/>
      <c r="E255" s="53"/>
      <c r="F255" s="53"/>
      <c r="G255" s="1"/>
      <c r="H255" s="1"/>
      <c r="I255" s="1"/>
      <c r="J255" s="1"/>
      <c r="K255" s="1"/>
      <c r="L255" s="1"/>
      <c r="M255" s="1"/>
      <c r="N255" s="1"/>
      <c r="O255" s="1"/>
      <c r="P255" s="1"/>
      <c r="Q255" s="1"/>
      <c r="R255" s="1"/>
      <c r="S255" s="1"/>
      <c r="T255" s="1"/>
    </row>
    <row r="256" ht="14.25" customHeight="1">
      <c r="A256" s="52"/>
      <c r="B256" s="53"/>
      <c r="C256" s="53"/>
      <c r="D256" s="53"/>
      <c r="E256" s="53"/>
      <c r="F256" s="53"/>
      <c r="G256" s="1"/>
      <c r="H256" s="1"/>
      <c r="I256" s="1"/>
      <c r="J256" s="1"/>
      <c r="K256" s="1"/>
      <c r="L256" s="1"/>
      <c r="M256" s="1"/>
      <c r="N256" s="1"/>
      <c r="O256" s="1"/>
      <c r="P256" s="1"/>
      <c r="Q256" s="1"/>
      <c r="R256" s="1"/>
      <c r="S256" s="1"/>
      <c r="T256" s="1"/>
    </row>
    <row r="257" ht="14.25" customHeight="1">
      <c r="A257" s="52"/>
      <c r="B257" s="53"/>
      <c r="C257" s="53"/>
      <c r="D257" s="53"/>
      <c r="E257" s="53"/>
      <c r="F257" s="53"/>
      <c r="G257" s="1"/>
      <c r="H257" s="1"/>
      <c r="I257" s="1"/>
      <c r="J257" s="1"/>
      <c r="K257" s="1"/>
      <c r="L257" s="1"/>
      <c r="M257" s="1"/>
      <c r="N257" s="1"/>
      <c r="O257" s="1"/>
      <c r="P257" s="1"/>
      <c r="Q257" s="1"/>
      <c r="R257" s="1"/>
      <c r="S257" s="1"/>
      <c r="T257" s="1"/>
    </row>
    <row r="258" ht="14.25" customHeight="1">
      <c r="A258" s="52"/>
      <c r="B258" s="53"/>
      <c r="C258" s="53"/>
      <c r="D258" s="53"/>
      <c r="E258" s="53"/>
      <c r="F258" s="53"/>
      <c r="G258" s="1"/>
      <c r="H258" s="1"/>
      <c r="I258" s="1"/>
      <c r="J258" s="1"/>
      <c r="K258" s="1"/>
      <c r="L258" s="1"/>
      <c r="M258" s="1"/>
      <c r="N258" s="1"/>
      <c r="O258" s="1"/>
      <c r="P258" s="1"/>
      <c r="Q258" s="1"/>
      <c r="R258" s="1"/>
      <c r="S258" s="1"/>
      <c r="T258" s="1"/>
    </row>
    <row r="259" ht="14.25" customHeight="1">
      <c r="A259" s="52"/>
      <c r="B259" s="53"/>
      <c r="C259" s="53"/>
      <c r="D259" s="53"/>
      <c r="E259" s="53"/>
      <c r="F259" s="53"/>
      <c r="G259" s="1"/>
      <c r="H259" s="1"/>
      <c r="I259" s="1"/>
      <c r="J259" s="1"/>
      <c r="K259" s="1"/>
      <c r="L259" s="1"/>
      <c r="M259" s="1"/>
      <c r="N259" s="1"/>
      <c r="O259" s="1"/>
      <c r="P259" s="1"/>
      <c r="Q259" s="1"/>
      <c r="R259" s="1"/>
      <c r="S259" s="1"/>
      <c r="T259" s="1"/>
    </row>
    <row r="260" ht="14.25" customHeight="1">
      <c r="A260" s="52"/>
      <c r="B260" s="53"/>
      <c r="C260" s="53"/>
      <c r="D260" s="53"/>
      <c r="E260" s="53"/>
      <c r="F260" s="53"/>
      <c r="G260" s="1"/>
      <c r="H260" s="1"/>
      <c r="I260" s="1"/>
      <c r="J260" s="1"/>
      <c r="K260" s="1"/>
      <c r="L260" s="1"/>
      <c r="M260" s="1"/>
      <c r="N260" s="1"/>
      <c r="O260" s="1"/>
      <c r="P260" s="1"/>
      <c r="Q260" s="1"/>
      <c r="R260" s="1"/>
      <c r="S260" s="1"/>
      <c r="T260" s="1"/>
    </row>
    <row r="261" ht="14.25" customHeight="1">
      <c r="A261" s="52"/>
      <c r="B261" s="53"/>
      <c r="C261" s="53"/>
      <c r="D261" s="53"/>
      <c r="E261" s="53"/>
      <c r="F261" s="53"/>
      <c r="G261" s="1"/>
      <c r="H261" s="1"/>
      <c r="I261" s="1"/>
      <c r="J261" s="1"/>
      <c r="K261" s="1"/>
      <c r="L261" s="1"/>
      <c r="M261" s="1"/>
      <c r="N261" s="1"/>
      <c r="O261" s="1"/>
      <c r="P261" s="1"/>
      <c r="Q261" s="1"/>
      <c r="R261" s="1"/>
      <c r="S261" s="1"/>
      <c r="T261" s="1"/>
    </row>
    <row r="262" ht="14.25" customHeight="1">
      <c r="A262" s="52"/>
      <c r="B262" s="53"/>
      <c r="C262" s="53"/>
      <c r="D262" s="53"/>
      <c r="E262" s="53"/>
      <c r="F262" s="53"/>
      <c r="G262" s="1"/>
      <c r="H262" s="1"/>
      <c r="I262" s="1"/>
      <c r="J262" s="1"/>
      <c r="K262" s="1"/>
      <c r="L262" s="1"/>
      <c r="M262" s="1"/>
      <c r="N262" s="1"/>
      <c r="O262" s="1"/>
      <c r="P262" s="1"/>
      <c r="Q262" s="1"/>
      <c r="R262" s="1"/>
      <c r="S262" s="1"/>
      <c r="T262" s="1"/>
    </row>
    <row r="263" ht="14.25" customHeight="1">
      <c r="A263" s="52"/>
      <c r="B263" s="53"/>
      <c r="C263" s="53"/>
      <c r="D263" s="53"/>
      <c r="E263" s="53"/>
      <c r="F263" s="53"/>
      <c r="G263" s="1"/>
      <c r="H263" s="1"/>
      <c r="I263" s="1"/>
      <c r="J263" s="1"/>
      <c r="K263" s="1"/>
      <c r="L263" s="1"/>
      <c r="M263" s="1"/>
      <c r="N263" s="1"/>
      <c r="O263" s="1"/>
      <c r="P263" s="1"/>
      <c r="Q263" s="1"/>
      <c r="R263" s="1"/>
      <c r="S263" s="1"/>
      <c r="T263" s="1"/>
    </row>
    <row r="264" ht="14.25" customHeight="1">
      <c r="A264" s="52"/>
      <c r="B264" s="53"/>
      <c r="C264" s="53"/>
      <c r="D264" s="53"/>
      <c r="E264" s="53"/>
      <c r="F264" s="53"/>
      <c r="G264" s="1"/>
      <c r="H264" s="1"/>
      <c r="I264" s="1"/>
      <c r="J264" s="1"/>
      <c r="K264" s="1"/>
      <c r="L264" s="1"/>
      <c r="M264" s="1"/>
      <c r="N264" s="1"/>
      <c r="O264" s="1"/>
      <c r="P264" s="1"/>
      <c r="Q264" s="1"/>
      <c r="R264" s="1"/>
      <c r="S264" s="1"/>
      <c r="T264" s="1"/>
    </row>
    <row r="265" ht="14.25" customHeight="1">
      <c r="A265" s="52"/>
      <c r="B265" s="53"/>
      <c r="C265" s="53"/>
      <c r="D265" s="53"/>
      <c r="E265" s="53"/>
      <c r="F265" s="53"/>
      <c r="G265" s="1"/>
      <c r="H265" s="1"/>
      <c r="I265" s="1"/>
      <c r="J265" s="1"/>
      <c r="K265" s="1"/>
      <c r="L265" s="1"/>
      <c r="M265" s="1"/>
      <c r="N265" s="1"/>
      <c r="O265" s="1"/>
      <c r="P265" s="1"/>
      <c r="Q265" s="1"/>
      <c r="R265" s="1"/>
      <c r="S265" s="1"/>
      <c r="T265" s="1"/>
    </row>
    <row r="266" ht="14.25" customHeight="1">
      <c r="A266" s="52"/>
      <c r="B266" s="53"/>
      <c r="C266" s="53"/>
      <c r="D266" s="53"/>
      <c r="E266" s="53"/>
      <c r="F266" s="53"/>
      <c r="G266" s="1"/>
      <c r="H266" s="1"/>
      <c r="I266" s="1"/>
      <c r="J266" s="1"/>
      <c r="K266" s="1"/>
      <c r="L266" s="1"/>
      <c r="M266" s="1"/>
      <c r="N266" s="1"/>
      <c r="O266" s="1"/>
      <c r="P266" s="1"/>
      <c r="Q266" s="1"/>
      <c r="R266" s="1"/>
      <c r="S266" s="1"/>
      <c r="T266" s="1"/>
    </row>
    <row r="267" ht="14.25" customHeight="1">
      <c r="A267" s="52"/>
      <c r="B267" s="53"/>
      <c r="C267" s="53"/>
      <c r="D267" s="53"/>
      <c r="E267" s="53"/>
      <c r="F267" s="53"/>
      <c r="G267" s="1"/>
      <c r="H267" s="1"/>
      <c r="I267" s="1"/>
      <c r="J267" s="1"/>
      <c r="K267" s="1"/>
      <c r="L267" s="1"/>
      <c r="M267" s="1"/>
      <c r="N267" s="1"/>
      <c r="O267" s="1"/>
      <c r="P267" s="1"/>
      <c r="Q267" s="1"/>
      <c r="R267" s="1"/>
      <c r="S267" s="1"/>
      <c r="T267" s="1"/>
    </row>
    <row r="268" ht="14.25" customHeight="1">
      <c r="A268" s="52"/>
      <c r="B268" s="53"/>
      <c r="C268" s="53"/>
      <c r="D268" s="53"/>
      <c r="E268" s="53"/>
      <c r="F268" s="53"/>
      <c r="G268" s="1"/>
      <c r="H268" s="1"/>
      <c r="I268" s="1"/>
      <c r="J268" s="1"/>
      <c r="K268" s="1"/>
      <c r="L268" s="1"/>
      <c r="M268" s="1"/>
      <c r="N268" s="1"/>
      <c r="O268" s="1"/>
      <c r="P268" s="1"/>
      <c r="Q268" s="1"/>
      <c r="R268" s="1"/>
      <c r="S268" s="1"/>
      <c r="T268" s="1"/>
    </row>
    <row r="269" ht="14.25" customHeight="1">
      <c r="A269" s="52"/>
      <c r="B269" s="53"/>
      <c r="C269" s="53"/>
      <c r="D269" s="53"/>
      <c r="E269" s="53"/>
      <c r="F269" s="53"/>
      <c r="G269" s="1"/>
      <c r="H269" s="1"/>
      <c r="I269" s="1"/>
      <c r="J269" s="1"/>
      <c r="K269" s="1"/>
      <c r="L269" s="1"/>
      <c r="M269" s="1"/>
      <c r="N269" s="1"/>
      <c r="O269" s="1"/>
      <c r="P269" s="1"/>
      <c r="Q269" s="1"/>
      <c r="R269" s="1"/>
      <c r="S269" s="1"/>
      <c r="T269" s="1"/>
    </row>
    <row r="270" ht="14.25" customHeight="1">
      <c r="A270" s="52"/>
      <c r="B270" s="53"/>
      <c r="C270" s="53"/>
      <c r="D270" s="53"/>
      <c r="E270" s="53"/>
      <c r="F270" s="53"/>
      <c r="G270" s="1"/>
      <c r="H270" s="1"/>
      <c r="I270" s="1"/>
      <c r="J270" s="1"/>
      <c r="K270" s="1"/>
      <c r="L270" s="1"/>
      <c r="M270" s="1"/>
      <c r="N270" s="1"/>
      <c r="O270" s="1"/>
      <c r="P270" s="1"/>
      <c r="Q270" s="1"/>
      <c r="R270" s="1"/>
      <c r="S270" s="1"/>
      <c r="T270" s="1"/>
    </row>
    <row r="271" ht="14.25" customHeight="1">
      <c r="A271" s="52"/>
      <c r="B271" s="53"/>
      <c r="C271" s="53"/>
      <c r="D271" s="53"/>
      <c r="E271" s="53"/>
      <c r="F271" s="53"/>
      <c r="G271" s="1"/>
      <c r="H271" s="1"/>
      <c r="I271" s="1"/>
      <c r="J271" s="1"/>
      <c r="K271" s="1"/>
      <c r="L271" s="1"/>
      <c r="M271" s="1"/>
      <c r="N271" s="1"/>
      <c r="O271" s="1"/>
      <c r="P271" s="1"/>
      <c r="Q271" s="1"/>
      <c r="R271" s="1"/>
      <c r="S271" s="1"/>
      <c r="T271" s="1"/>
    </row>
    <row r="272" ht="14.25" customHeight="1">
      <c r="A272" s="52"/>
      <c r="B272" s="53"/>
      <c r="C272" s="53"/>
      <c r="D272" s="53"/>
      <c r="E272" s="53"/>
      <c r="F272" s="53"/>
      <c r="G272" s="1"/>
      <c r="H272" s="1"/>
      <c r="I272" s="1"/>
      <c r="J272" s="1"/>
      <c r="K272" s="1"/>
      <c r="L272" s="1"/>
      <c r="M272" s="1"/>
      <c r="N272" s="1"/>
      <c r="O272" s="1"/>
      <c r="P272" s="1"/>
      <c r="Q272" s="1"/>
      <c r="R272" s="1"/>
      <c r="S272" s="1"/>
      <c r="T272" s="1"/>
    </row>
    <row r="273" ht="14.25" customHeight="1">
      <c r="A273" s="52"/>
      <c r="B273" s="53"/>
      <c r="C273" s="53"/>
      <c r="D273" s="53"/>
      <c r="E273" s="53"/>
      <c r="F273" s="53"/>
      <c r="G273" s="1"/>
      <c r="H273" s="1"/>
      <c r="I273" s="1"/>
      <c r="J273" s="1"/>
      <c r="K273" s="1"/>
      <c r="L273" s="1"/>
      <c r="M273" s="1"/>
      <c r="N273" s="1"/>
      <c r="O273" s="1"/>
      <c r="P273" s="1"/>
      <c r="Q273" s="1"/>
      <c r="R273" s="1"/>
      <c r="S273" s="1"/>
      <c r="T273" s="1"/>
    </row>
    <row r="274" ht="14.25" customHeight="1">
      <c r="A274" s="52"/>
      <c r="B274" s="53"/>
      <c r="C274" s="53"/>
      <c r="D274" s="53"/>
      <c r="E274" s="53"/>
      <c r="F274" s="53"/>
      <c r="G274" s="1"/>
      <c r="H274" s="1"/>
      <c r="I274" s="1"/>
      <c r="J274" s="1"/>
      <c r="K274" s="1"/>
      <c r="L274" s="1"/>
      <c r="M274" s="1"/>
      <c r="N274" s="1"/>
      <c r="O274" s="1"/>
      <c r="P274" s="1"/>
      <c r="Q274" s="1"/>
      <c r="R274" s="1"/>
      <c r="S274" s="1"/>
      <c r="T274" s="1"/>
    </row>
    <row r="275" ht="14.25" customHeight="1">
      <c r="A275" s="52"/>
      <c r="B275" s="53"/>
      <c r="C275" s="53"/>
      <c r="D275" s="53"/>
      <c r="E275" s="53"/>
      <c r="F275" s="53"/>
      <c r="G275" s="1"/>
      <c r="H275" s="1"/>
      <c r="I275" s="1"/>
      <c r="J275" s="1"/>
      <c r="K275" s="1"/>
      <c r="L275" s="1"/>
      <c r="M275" s="1"/>
      <c r="N275" s="1"/>
      <c r="O275" s="1"/>
      <c r="P275" s="1"/>
      <c r="Q275" s="1"/>
      <c r="R275" s="1"/>
      <c r="S275" s="1"/>
      <c r="T275" s="1"/>
    </row>
    <row r="276" ht="14.25" customHeight="1">
      <c r="A276" s="52"/>
      <c r="B276" s="53"/>
      <c r="C276" s="53"/>
      <c r="D276" s="53"/>
      <c r="E276" s="53"/>
      <c r="F276" s="53"/>
      <c r="G276" s="1"/>
      <c r="H276" s="1"/>
      <c r="I276" s="1"/>
      <c r="J276" s="1"/>
      <c r="K276" s="1"/>
      <c r="L276" s="1"/>
      <c r="M276" s="1"/>
      <c r="N276" s="1"/>
      <c r="O276" s="1"/>
      <c r="P276" s="1"/>
      <c r="Q276" s="1"/>
      <c r="R276" s="1"/>
      <c r="S276" s="1"/>
      <c r="T276" s="1"/>
    </row>
    <row r="277" ht="14.25" customHeight="1">
      <c r="A277" s="52"/>
      <c r="B277" s="53"/>
      <c r="C277" s="53"/>
      <c r="D277" s="53"/>
      <c r="E277" s="53"/>
      <c r="F277" s="53"/>
      <c r="G277" s="1"/>
      <c r="H277" s="1"/>
      <c r="I277" s="1"/>
      <c r="J277" s="1"/>
      <c r="K277" s="1"/>
      <c r="L277" s="1"/>
      <c r="M277" s="1"/>
      <c r="N277" s="1"/>
      <c r="O277" s="1"/>
      <c r="P277" s="1"/>
      <c r="Q277" s="1"/>
      <c r="R277" s="1"/>
      <c r="S277" s="1"/>
      <c r="T277" s="1"/>
    </row>
    <row r="278" ht="14.25" customHeight="1">
      <c r="A278" s="52"/>
      <c r="B278" s="53"/>
      <c r="C278" s="53"/>
      <c r="D278" s="53"/>
      <c r="E278" s="53"/>
      <c r="F278" s="53"/>
      <c r="G278" s="1"/>
      <c r="H278" s="1"/>
      <c r="I278" s="1"/>
      <c r="J278" s="1"/>
      <c r="K278" s="1"/>
      <c r="L278" s="1"/>
      <c r="M278" s="1"/>
      <c r="N278" s="1"/>
      <c r="O278" s="1"/>
      <c r="P278" s="1"/>
      <c r="Q278" s="1"/>
      <c r="R278" s="1"/>
      <c r="S278" s="1"/>
      <c r="T278" s="1"/>
    </row>
    <row r="279" ht="14.25" customHeight="1">
      <c r="A279" s="52"/>
      <c r="B279" s="53"/>
      <c r="C279" s="53"/>
      <c r="D279" s="53"/>
      <c r="E279" s="53"/>
      <c r="F279" s="53"/>
      <c r="G279" s="1"/>
      <c r="H279" s="1"/>
      <c r="I279" s="1"/>
      <c r="J279" s="1"/>
      <c r="K279" s="1"/>
      <c r="L279" s="1"/>
      <c r="M279" s="1"/>
      <c r="N279" s="1"/>
      <c r="O279" s="1"/>
      <c r="P279" s="1"/>
      <c r="Q279" s="1"/>
      <c r="R279" s="1"/>
      <c r="S279" s="1"/>
      <c r="T279" s="1"/>
    </row>
    <row r="280" ht="14.25" customHeight="1">
      <c r="A280" s="52"/>
      <c r="B280" s="53"/>
      <c r="C280" s="53"/>
      <c r="D280" s="53"/>
      <c r="E280" s="53"/>
      <c r="F280" s="53"/>
      <c r="G280" s="1"/>
      <c r="H280" s="1"/>
      <c r="I280" s="1"/>
      <c r="J280" s="1"/>
      <c r="K280" s="1"/>
      <c r="L280" s="1"/>
      <c r="M280" s="1"/>
      <c r="N280" s="1"/>
      <c r="O280" s="1"/>
      <c r="P280" s="1"/>
      <c r="Q280" s="1"/>
      <c r="R280" s="1"/>
      <c r="S280" s="1"/>
      <c r="T280" s="1"/>
    </row>
    <row r="281" ht="14.25" customHeight="1">
      <c r="A281" s="52"/>
      <c r="B281" s="53"/>
      <c r="C281" s="53"/>
      <c r="D281" s="53"/>
      <c r="E281" s="53"/>
      <c r="F281" s="53"/>
      <c r="G281" s="1"/>
      <c r="H281" s="1"/>
      <c r="I281" s="1"/>
      <c r="J281" s="1"/>
      <c r="K281" s="1"/>
      <c r="L281" s="1"/>
      <c r="M281" s="1"/>
      <c r="N281" s="1"/>
      <c r="O281" s="1"/>
      <c r="P281" s="1"/>
      <c r="Q281" s="1"/>
      <c r="R281" s="1"/>
      <c r="S281" s="1"/>
      <c r="T281" s="1"/>
    </row>
    <row r="282" ht="14.25" customHeight="1">
      <c r="A282" s="52"/>
      <c r="B282" s="53"/>
      <c r="C282" s="53"/>
      <c r="D282" s="53"/>
      <c r="E282" s="53"/>
      <c r="F282" s="53"/>
      <c r="G282" s="1"/>
      <c r="H282" s="1"/>
      <c r="I282" s="1"/>
      <c r="J282" s="1"/>
      <c r="K282" s="1"/>
      <c r="L282" s="1"/>
      <c r="M282" s="1"/>
      <c r="N282" s="1"/>
      <c r="O282" s="1"/>
      <c r="P282" s="1"/>
      <c r="Q282" s="1"/>
      <c r="R282" s="1"/>
      <c r="S282" s="1"/>
      <c r="T282" s="1"/>
    </row>
    <row r="283" ht="14.25" customHeight="1">
      <c r="A283" s="52"/>
      <c r="B283" s="53"/>
      <c r="C283" s="53"/>
      <c r="D283" s="53"/>
      <c r="E283" s="53"/>
      <c r="F283" s="53"/>
      <c r="G283" s="1"/>
      <c r="H283" s="1"/>
      <c r="I283" s="1"/>
      <c r="J283" s="1"/>
      <c r="K283" s="1"/>
      <c r="L283" s="1"/>
      <c r="M283" s="1"/>
      <c r="N283" s="1"/>
      <c r="O283" s="1"/>
      <c r="P283" s="1"/>
      <c r="Q283" s="1"/>
      <c r="R283" s="1"/>
      <c r="S283" s="1"/>
      <c r="T283" s="1"/>
    </row>
    <row r="284" ht="14.25" customHeight="1">
      <c r="A284" s="52"/>
      <c r="B284" s="53"/>
      <c r="C284" s="53"/>
      <c r="D284" s="53"/>
      <c r="E284" s="53"/>
      <c r="F284" s="53"/>
      <c r="G284" s="1"/>
      <c r="H284" s="1"/>
      <c r="I284" s="1"/>
      <c r="J284" s="1"/>
      <c r="K284" s="1"/>
      <c r="L284" s="1"/>
      <c r="M284" s="1"/>
      <c r="N284" s="1"/>
      <c r="O284" s="1"/>
      <c r="P284" s="1"/>
      <c r="Q284" s="1"/>
      <c r="R284" s="1"/>
      <c r="S284" s="1"/>
      <c r="T284" s="1"/>
    </row>
    <row r="285" ht="14.25" customHeight="1">
      <c r="A285" s="52"/>
      <c r="B285" s="53"/>
      <c r="C285" s="53"/>
      <c r="D285" s="53"/>
      <c r="E285" s="53"/>
      <c r="F285" s="53"/>
      <c r="G285" s="1"/>
      <c r="H285" s="1"/>
      <c r="I285" s="1"/>
      <c r="J285" s="1"/>
      <c r="K285" s="1"/>
      <c r="L285" s="1"/>
      <c r="M285" s="1"/>
      <c r="N285" s="1"/>
      <c r="O285" s="1"/>
      <c r="P285" s="1"/>
      <c r="Q285" s="1"/>
      <c r="R285" s="1"/>
      <c r="S285" s="1"/>
      <c r="T285" s="1"/>
    </row>
    <row r="286" ht="14.25" customHeight="1">
      <c r="A286" s="52"/>
      <c r="B286" s="53"/>
      <c r="C286" s="53"/>
      <c r="D286" s="53"/>
      <c r="E286" s="53"/>
      <c r="F286" s="53"/>
      <c r="G286" s="1"/>
      <c r="H286" s="1"/>
      <c r="I286" s="1"/>
      <c r="J286" s="1"/>
      <c r="K286" s="1"/>
      <c r="L286" s="1"/>
      <c r="M286" s="1"/>
      <c r="N286" s="1"/>
      <c r="O286" s="1"/>
      <c r="P286" s="1"/>
      <c r="Q286" s="1"/>
      <c r="R286" s="1"/>
      <c r="S286" s="1"/>
      <c r="T286" s="1"/>
    </row>
    <row r="287" ht="14.25" customHeight="1">
      <c r="A287" s="52"/>
      <c r="B287" s="53"/>
      <c r="C287" s="53"/>
      <c r="D287" s="53"/>
      <c r="E287" s="53"/>
      <c r="F287" s="53"/>
      <c r="G287" s="1"/>
      <c r="H287" s="1"/>
      <c r="I287" s="1"/>
      <c r="J287" s="1"/>
      <c r="K287" s="1"/>
      <c r="L287" s="1"/>
      <c r="M287" s="1"/>
      <c r="N287" s="1"/>
      <c r="O287" s="1"/>
      <c r="P287" s="1"/>
      <c r="Q287" s="1"/>
      <c r="R287" s="1"/>
      <c r="S287" s="1"/>
      <c r="T287" s="1"/>
    </row>
    <row r="288" ht="14.25" customHeight="1">
      <c r="A288" s="52"/>
      <c r="B288" s="53"/>
      <c r="C288" s="53"/>
      <c r="D288" s="53"/>
      <c r="E288" s="53"/>
      <c r="F288" s="53"/>
      <c r="G288" s="1"/>
      <c r="H288" s="1"/>
      <c r="I288" s="1"/>
      <c r="J288" s="1"/>
      <c r="K288" s="1"/>
      <c r="L288" s="1"/>
      <c r="M288" s="1"/>
      <c r="N288" s="1"/>
      <c r="O288" s="1"/>
      <c r="P288" s="1"/>
      <c r="Q288" s="1"/>
      <c r="R288" s="1"/>
      <c r="S288" s="1"/>
      <c r="T288" s="1"/>
    </row>
    <row r="289" ht="14.25" customHeight="1">
      <c r="A289" s="52"/>
      <c r="B289" s="53"/>
      <c r="C289" s="53"/>
      <c r="D289" s="53"/>
      <c r="E289" s="53"/>
      <c r="F289" s="53"/>
      <c r="G289" s="1"/>
      <c r="H289" s="1"/>
      <c r="I289" s="1"/>
      <c r="J289" s="1"/>
      <c r="K289" s="1"/>
      <c r="L289" s="1"/>
      <c r="M289" s="1"/>
      <c r="N289" s="1"/>
      <c r="O289" s="1"/>
      <c r="P289" s="1"/>
      <c r="Q289" s="1"/>
      <c r="R289" s="1"/>
      <c r="S289" s="1"/>
      <c r="T289" s="1"/>
    </row>
    <row r="290" ht="14.25" customHeight="1">
      <c r="A290" s="52"/>
      <c r="B290" s="53"/>
      <c r="C290" s="53"/>
      <c r="D290" s="53"/>
      <c r="E290" s="53"/>
      <c r="F290" s="53"/>
      <c r="G290" s="1"/>
      <c r="H290" s="1"/>
      <c r="I290" s="1"/>
      <c r="J290" s="1"/>
      <c r="K290" s="1"/>
      <c r="L290" s="1"/>
      <c r="M290" s="1"/>
      <c r="N290" s="1"/>
      <c r="O290" s="1"/>
      <c r="P290" s="1"/>
      <c r="Q290" s="1"/>
      <c r="R290" s="1"/>
      <c r="S290" s="1"/>
      <c r="T290" s="1"/>
    </row>
    <row r="291" ht="14.25" customHeight="1">
      <c r="A291" s="52"/>
      <c r="B291" s="53"/>
      <c r="C291" s="53"/>
      <c r="D291" s="53"/>
      <c r="E291" s="53"/>
      <c r="F291" s="53"/>
      <c r="G291" s="1"/>
      <c r="H291" s="1"/>
      <c r="I291" s="1"/>
      <c r="J291" s="1"/>
      <c r="K291" s="1"/>
      <c r="L291" s="1"/>
      <c r="M291" s="1"/>
      <c r="N291" s="1"/>
      <c r="O291" s="1"/>
      <c r="P291" s="1"/>
      <c r="Q291" s="1"/>
      <c r="R291" s="1"/>
      <c r="S291" s="1"/>
      <c r="T291" s="1"/>
    </row>
    <row r="292" ht="14.25" customHeight="1">
      <c r="A292" s="52"/>
      <c r="B292" s="53"/>
      <c r="C292" s="53"/>
      <c r="D292" s="53"/>
      <c r="E292" s="53"/>
      <c r="F292" s="53"/>
      <c r="G292" s="1"/>
      <c r="H292" s="1"/>
      <c r="I292" s="1"/>
      <c r="J292" s="1"/>
      <c r="K292" s="1"/>
      <c r="L292" s="1"/>
      <c r="M292" s="1"/>
      <c r="N292" s="1"/>
      <c r="O292" s="1"/>
      <c r="P292" s="1"/>
      <c r="Q292" s="1"/>
      <c r="R292" s="1"/>
      <c r="S292" s="1"/>
      <c r="T292" s="1"/>
    </row>
    <row r="293" ht="14.25" customHeight="1">
      <c r="A293" s="52"/>
      <c r="B293" s="53"/>
      <c r="C293" s="53"/>
      <c r="D293" s="53"/>
      <c r="E293" s="53"/>
      <c r="F293" s="53"/>
      <c r="G293" s="1"/>
      <c r="H293" s="1"/>
      <c r="I293" s="1"/>
      <c r="J293" s="1"/>
      <c r="K293" s="1"/>
      <c r="L293" s="1"/>
      <c r="M293" s="1"/>
      <c r="N293" s="1"/>
      <c r="O293" s="1"/>
      <c r="P293" s="1"/>
      <c r="Q293" s="1"/>
      <c r="R293" s="1"/>
      <c r="S293" s="1"/>
      <c r="T293" s="1"/>
    </row>
    <row r="294" ht="14.25" customHeight="1">
      <c r="A294" s="52"/>
      <c r="B294" s="53"/>
      <c r="C294" s="53"/>
      <c r="D294" s="53"/>
      <c r="E294" s="53"/>
      <c r="F294" s="53"/>
      <c r="G294" s="1"/>
      <c r="H294" s="1"/>
      <c r="I294" s="1"/>
      <c r="J294" s="1"/>
      <c r="K294" s="1"/>
      <c r="L294" s="1"/>
      <c r="M294" s="1"/>
      <c r="N294" s="1"/>
      <c r="O294" s="1"/>
      <c r="P294" s="1"/>
      <c r="Q294" s="1"/>
      <c r="R294" s="1"/>
      <c r="S294" s="1"/>
      <c r="T294" s="1"/>
    </row>
    <row r="295" ht="14.25" customHeight="1">
      <c r="A295" s="52"/>
      <c r="B295" s="53"/>
      <c r="C295" s="53"/>
      <c r="D295" s="53"/>
      <c r="E295" s="53"/>
      <c r="F295" s="53"/>
      <c r="G295" s="1"/>
      <c r="H295" s="1"/>
      <c r="I295" s="1"/>
      <c r="J295" s="1"/>
      <c r="K295" s="1"/>
      <c r="L295" s="1"/>
      <c r="M295" s="1"/>
      <c r="N295" s="1"/>
      <c r="O295" s="1"/>
      <c r="P295" s="1"/>
      <c r="Q295" s="1"/>
      <c r="R295" s="1"/>
      <c r="S295" s="1"/>
      <c r="T295" s="1"/>
    </row>
    <row r="296" ht="14.25" customHeight="1">
      <c r="A296" s="52"/>
      <c r="B296" s="53"/>
      <c r="C296" s="53"/>
      <c r="D296" s="53"/>
      <c r="E296" s="53"/>
      <c r="F296" s="53"/>
      <c r="G296" s="1"/>
      <c r="H296" s="1"/>
      <c r="I296" s="1"/>
      <c r="J296" s="1"/>
      <c r="K296" s="1"/>
      <c r="L296" s="1"/>
      <c r="M296" s="1"/>
      <c r="N296" s="1"/>
      <c r="O296" s="1"/>
      <c r="P296" s="1"/>
      <c r="Q296" s="1"/>
      <c r="R296" s="1"/>
      <c r="S296" s="1"/>
      <c r="T296" s="1"/>
    </row>
    <row r="297" ht="14.25" customHeight="1">
      <c r="A297" s="52"/>
      <c r="B297" s="53"/>
      <c r="C297" s="53"/>
      <c r="D297" s="53"/>
      <c r="E297" s="53"/>
      <c r="F297" s="53"/>
      <c r="G297" s="1"/>
      <c r="H297" s="1"/>
      <c r="I297" s="1"/>
      <c r="J297" s="1"/>
      <c r="K297" s="1"/>
      <c r="L297" s="1"/>
      <c r="M297" s="1"/>
      <c r="N297" s="1"/>
      <c r="O297" s="1"/>
      <c r="P297" s="1"/>
      <c r="Q297" s="1"/>
      <c r="R297" s="1"/>
      <c r="S297" s="1"/>
      <c r="T297" s="1"/>
    </row>
    <row r="298" ht="14.25" customHeight="1">
      <c r="A298" s="52"/>
      <c r="B298" s="53"/>
      <c r="C298" s="53"/>
      <c r="D298" s="53"/>
      <c r="E298" s="53"/>
      <c r="F298" s="53"/>
      <c r="G298" s="1"/>
      <c r="H298" s="1"/>
      <c r="I298" s="1"/>
      <c r="J298" s="1"/>
      <c r="K298" s="1"/>
      <c r="L298" s="1"/>
      <c r="M298" s="1"/>
      <c r="N298" s="1"/>
      <c r="O298" s="1"/>
      <c r="P298" s="1"/>
      <c r="Q298" s="1"/>
      <c r="R298" s="1"/>
      <c r="S298" s="1"/>
      <c r="T298" s="1"/>
    </row>
    <row r="299" ht="14.25" customHeight="1">
      <c r="A299" s="52"/>
      <c r="B299" s="53"/>
      <c r="C299" s="53"/>
      <c r="D299" s="53"/>
      <c r="E299" s="53"/>
      <c r="F299" s="53"/>
      <c r="G299" s="1"/>
      <c r="H299" s="1"/>
      <c r="I299" s="1"/>
      <c r="J299" s="1"/>
      <c r="K299" s="1"/>
      <c r="L299" s="1"/>
      <c r="M299" s="1"/>
      <c r="N299" s="1"/>
      <c r="O299" s="1"/>
      <c r="P299" s="1"/>
      <c r="Q299" s="1"/>
      <c r="R299" s="1"/>
      <c r="S299" s="1"/>
      <c r="T299" s="1"/>
    </row>
    <row r="300" ht="14.25" customHeight="1">
      <c r="A300" s="52"/>
      <c r="B300" s="53"/>
      <c r="C300" s="53"/>
      <c r="D300" s="53"/>
      <c r="E300" s="53"/>
      <c r="F300" s="53"/>
      <c r="G300" s="1"/>
      <c r="H300" s="1"/>
      <c r="I300" s="1"/>
      <c r="J300" s="1"/>
      <c r="K300" s="1"/>
      <c r="L300" s="1"/>
      <c r="M300" s="1"/>
      <c r="N300" s="1"/>
      <c r="O300" s="1"/>
      <c r="P300" s="1"/>
      <c r="Q300" s="1"/>
      <c r="R300" s="1"/>
      <c r="S300" s="1"/>
      <c r="T300" s="1"/>
    </row>
    <row r="301" ht="14.25" customHeight="1">
      <c r="A301" s="52"/>
      <c r="B301" s="53"/>
      <c r="C301" s="53"/>
      <c r="D301" s="53"/>
      <c r="E301" s="53"/>
      <c r="F301" s="53"/>
      <c r="G301" s="1"/>
      <c r="H301" s="1"/>
      <c r="I301" s="1"/>
      <c r="J301" s="1"/>
      <c r="K301" s="1"/>
      <c r="L301" s="1"/>
      <c r="M301" s="1"/>
      <c r="N301" s="1"/>
      <c r="O301" s="1"/>
      <c r="P301" s="1"/>
      <c r="Q301" s="1"/>
      <c r="R301" s="1"/>
      <c r="S301" s="1"/>
      <c r="T301" s="1"/>
    </row>
    <row r="302" ht="14.25" customHeight="1">
      <c r="A302" s="52"/>
      <c r="B302" s="53"/>
      <c r="C302" s="53"/>
      <c r="D302" s="53"/>
      <c r="E302" s="53"/>
      <c r="F302" s="53"/>
      <c r="G302" s="1"/>
      <c r="H302" s="1"/>
      <c r="I302" s="1"/>
      <c r="J302" s="1"/>
      <c r="K302" s="1"/>
      <c r="L302" s="1"/>
      <c r="M302" s="1"/>
      <c r="N302" s="1"/>
      <c r="O302" s="1"/>
      <c r="P302" s="1"/>
      <c r="Q302" s="1"/>
      <c r="R302" s="1"/>
      <c r="S302" s="1"/>
      <c r="T302" s="1"/>
    </row>
    <row r="303" ht="14.25" customHeight="1">
      <c r="A303" s="52"/>
      <c r="B303" s="53"/>
      <c r="C303" s="53"/>
      <c r="D303" s="53"/>
      <c r="E303" s="53"/>
      <c r="F303" s="53"/>
      <c r="G303" s="1"/>
      <c r="H303" s="1"/>
      <c r="I303" s="1"/>
      <c r="J303" s="1"/>
      <c r="K303" s="1"/>
      <c r="L303" s="1"/>
      <c r="M303" s="1"/>
      <c r="N303" s="1"/>
      <c r="O303" s="1"/>
      <c r="P303" s="1"/>
      <c r="Q303" s="1"/>
      <c r="R303" s="1"/>
      <c r="S303" s="1"/>
      <c r="T303" s="1"/>
    </row>
    <row r="304" ht="14.25" customHeight="1">
      <c r="A304" s="52"/>
      <c r="B304" s="53"/>
      <c r="C304" s="53"/>
      <c r="D304" s="53"/>
      <c r="E304" s="53"/>
      <c r="F304" s="53"/>
      <c r="G304" s="1"/>
      <c r="H304" s="1"/>
      <c r="I304" s="1"/>
      <c r="J304" s="1"/>
      <c r="K304" s="1"/>
      <c r="L304" s="1"/>
      <c r="M304" s="1"/>
      <c r="N304" s="1"/>
      <c r="O304" s="1"/>
      <c r="P304" s="1"/>
      <c r="Q304" s="1"/>
      <c r="R304" s="1"/>
      <c r="S304" s="1"/>
      <c r="T304" s="1"/>
    </row>
    <row r="305" ht="14.25" customHeight="1">
      <c r="A305" s="52"/>
      <c r="B305" s="53"/>
      <c r="C305" s="53"/>
      <c r="D305" s="53"/>
      <c r="E305" s="53"/>
      <c r="F305" s="53"/>
      <c r="G305" s="1"/>
      <c r="H305" s="1"/>
      <c r="I305" s="1"/>
      <c r="J305" s="1"/>
      <c r="K305" s="1"/>
      <c r="L305" s="1"/>
      <c r="M305" s="1"/>
      <c r="N305" s="1"/>
      <c r="O305" s="1"/>
      <c r="P305" s="1"/>
      <c r="Q305" s="1"/>
      <c r="R305" s="1"/>
      <c r="S305" s="1"/>
      <c r="T305" s="1"/>
    </row>
    <row r="306" ht="14.25" customHeight="1">
      <c r="A306" s="52"/>
      <c r="B306" s="53"/>
      <c r="C306" s="53"/>
      <c r="D306" s="53"/>
      <c r="E306" s="53"/>
      <c r="F306" s="53"/>
      <c r="G306" s="1"/>
      <c r="H306" s="1"/>
      <c r="I306" s="1"/>
      <c r="J306" s="1"/>
      <c r="K306" s="1"/>
      <c r="L306" s="1"/>
      <c r="M306" s="1"/>
      <c r="N306" s="1"/>
      <c r="O306" s="1"/>
      <c r="P306" s="1"/>
      <c r="Q306" s="1"/>
      <c r="R306" s="1"/>
      <c r="S306" s="1"/>
      <c r="T306" s="1"/>
    </row>
    <row r="307" ht="14.25" customHeight="1">
      <c r="A307" s="52"/>
      <c r="B307" s="53"/>
      <c r="C307" s="53"/>
      <c r="D307" s="53"/>
      <c r="E307" s="53"/>
      <c r="F307" s="53"/>
      <c r="G307" s="1"/>
      <c r="H307" s="1"/>
      <c r="I307" s="1"/>
      <c r="J307" s="1"/>
      <c r="K307" s="1"/>
      <c r="L307" s="1"/>
      <c r="M307" s="1"/>
      <c r="N307" s="1"/>
      <c r="O307" s="1"/>
      <c r="P307" s="1"/>
      <c r="Q307" s="1"/>
      <c r="R307" s="1"/>
      <c r="S307" s="1"/>
      <c r="T307" s="1"/>
    </row>
    <row r="308" ht="14.25" customHeight="1">
      <c r="A308" s="52"/>
      <c r="B308" s="53"/>
      <c r="C308" s="53"/>
      <c r="D308" s="53"/>
      <c r="E308" s="53"/>
      <c r="F308" s="53"/>
      <c r="G308" s="1"/>
      <c r="H308" s="1"/>
      <c r="I308" s="1"/>
      <c r="J308" s="1"/>
      <c r="K308" s="1"/>
      <c r="L308" s="1"/>
      <c r="M308" s="1"/>
      <c r="N308" s="1"/>
      <c r="O308" s="1"/>
      <c r="P308" s="1"/>
      <c r="Q308" s="1"/>
      <c r="R308" s="1"/>
      <c r="S308" s="1"/>
      <c r="T308" s="1"/>
    </row>
    <row r="309" ht="14.25" customHeight="1">
      <c r="A309" s="52"/>
      <c r="B309" s="53"/>
      <c r="C309" s="53"/>
      <c r="D309" s="53"/>
      <c r="E309" s="53"/>
      <c r="F309" s="53"/>
      <c r="G309" s="1"/>
      <c r="H309" s="1"/>
      <c r="I309" s="1"/>
      <c r="J309" s="1"/>
      <c r="K309" s="1"/>
      <c r="L309" s="1"/>
      <c r="M309" s="1"/>
      <c r="N309" s="1"/>
      <c r="O309" s="1"/>
      <c r="P309" s="1"/>
      <c r="Q309" s="1"/>
      <c r="R309" s="1"/>
      <c r="S309" s="1"/>
      <c r="T309" s="1"/>
    </row>
    <row r="310" ht="14.25" customHeight="1">
      <c r="A310" s="52"/>
      <c r="B310" s="53"/>
      <c r="C310" s="53"/>
      <c r="D310" s="53"/>
      <c r="E310" s="53"/>
      <c r="F310" s="53"/>
      <c r="G310" s="1"/>
      <c r="H310" s="1"/>
      <c r="I310" s="1"/>
      <c r="J310" s="1"/>
      <c r="K310" s="1"/>
      <c r="L310" s="1"/>
      <c r="M310" s="1"/>
      <c r="N310" s="1"/>
      <c r="O310" s="1"/>
      <c r="P310" s="1"/>
      <c r="Q310" s="1"/>
      <c r="R310" s="1"/>
      <c r="S310" s="1"/>
      <c r="T310" s="1"/>
    </row>
    <row r="311" ht="14.25" customHeight="1">
      <c r="A311" s="52"/>
      <c r="B311" s="53"/>
      <c r="C311" s="53"/>
      <c r="D311" s="53"/>
      <c r="E311" s="53"/>
      <c r="F311" s="53"/>
      <c r="G311" s="1"/>
      <c r="H311" s="1"/>
      <c r="I311" s="1"/>
      <c r="J311" s="1"/>
      <c r="K311" s="1"/>
      <c r="L311" s="1"/>
      <c r="M311" s="1"/>
      <c r="N311" s="1"/>
      <c r="O311" s="1"/>
      <c r="P311" s="1"/>
      <c r="Q311" s="1"/>
      <c r="R311" s="1"/>
      <c r="S311" s="1"/>
      <c r="T311" s="1"/>
    </row>
    <row r="312" ht="14.25" customHeight="1">
      <c r="A312" s="52"/>
      <c r="B312" s="53"/>
      <c r="C312" s="53"/>
      <c r="D312" s="53"/>
      <c r="E312" s="53"/>
      <c r="F312" s="53"/>
      <c r="G312" s="1"/>
      <c r="H312" s="1"/>
      <c r="I312" s="1"/>
      <c r="J312" s="1"/>
      <c r="K312" s="1"/>
      <c r="L312" s="1"/>
      <c r="M312" s="1"/>
      <c r="N312" s="1"/>
      <c r="O312" s="1"/>
      <c r="P312" s="1"/>
      <c r="Q312" s="1"/>
      <c r="R312" s="1"/>
      <c r="S312" s="1"/>
      <c r="T312" s="1"/>
    </row>
    <row r="313" ht="14.25" customHeight="1">
      <c r="A313" s="52"/>
      <c r="B313" s="53"/>
      <c r="C313" s="53"/>
      <c r="D313" s="53"/>
      <c r="E313" s="53"/>
      <c r="F313" s="53"/>
      <c r="G313" s="1"/>
      <c r="H313" s="1"/>
      <c r="I313" s="1"/>
      <c r="J313" s="1"/>
      <c r="K313" s="1"/>
      <c r="L313" s="1"/>
      <c r="M313" s="1"/>
      <c r="N313" s="1"/>
      <c r="O313" s="1"/>
      <c r="P313" s="1"/>
      <c r="Q313" s="1"/>
      <c r="R313" s="1"/>
      <c r="S313" s="1"/>
      <c r="T313" s="1"/>
    </row>
    <row r="314" ht="14.25" customHeight="1">
      <c r="A314" s="52"/>
      <c r="B314" s="53"/>
      <c r="C314" s="53"/>
      <c r="D314" s="53"/>
      <c r="E314" s="53"/>
      <c r="F314" s="53"/>
      <c r="G314" s="1"/>
      <c r="H314" s="1"/>
      <c r="I314" s="1"/>
      <c r="J314" s="1"/>
      <c r="K314" s="1"/>
      <c r="L314" s="1"/>
      <c r="M314" s="1"/>
      <c r="N314" s="1"/>
      <c r="O314" s="1"/>
      <c r="P314" s="1"/>
      <c r="Q314" s="1"/>
      <c r="R314" s="1"/>
      <c r="S314" s="1"/>
      <c r="T314" s="1"/>
    </row>
    <row r="315" ht="14.25" customHeight="1">
      <c r="A315" s="52"/>
      <c r="B315" s="53"/>
      <c r="C315" s="53"/>
      <c r="D315" s="53"/>
      <c r="E315" s="53"/>
      <c r="F315" s="53"/>
      <c r="G315" s="1"/>
      <c r="H315" s="1"/>
      <c r="I315" s="1"/>
      <c r="J315" s="1"/>
      <c r="K315" s="1"/>
      <c r="L315" s="1"/>
      <c r="M315" s="1"/>
      <c r="N315" s="1"/>
      <c r="O315" s="1"/>
      <c r="P315" s="1"/>
      <c r="Q315" s="1"/>
      <c r="R315" s="1"/>
      <c r="S315" s="1"/>
      <c r="T315" s="1"/>
    </row>
    <row r="316" ht="14.25" customHeight="1">
      <c r="A316" s="52"/>
      <c r="B316" s="53"/>
      <c r="C316" s="53"/>
      <c r="D316" s="53"/>
      <c r="E316" s="53"/>
      <c r="F316" s="53"/>
      <c r="G316" s="1"/>
      <c r="H316" s="1"/>
      <c r="I316" s="1"/>
      <c r="J316" s="1"/>
      <c r="K316" s="1"/>
      <c r="L316" s="1"/>
      <c r="M316" s="1"/>
      <c r="N316" s="1"/>
      <c r="O316" s="1"/>
      <c r="P316" s="1"/>
      <c r="Q316" s="1"/>
      <c r="R316" s="1"/>
      <c r="S316" s="1"/>
      <c r="T316" s="1"/>
    </row>
    <row r="317" ht="14.25" customHeight="1">
      <c r="A317" s="52"/>
      <c r="B317" s="53"/>
      <c r="C317" s="53"/>
      <c r="D317" s="53"/>
      <c r="E317" s="53"/>
      <c r="F317" s="53"/>
      <c r="G317" s="1"/>
      <c r="H317" s="1"/>
      <c r="I317" s="1"/>
      <c r="J317" s="1"/>
      <c r="K317" s="1"/>
      <c r="L317" s="1"/>
      <c r="M317" s="1"/>
      <c r="N317" s="1"/>
      <c r="O317" s="1"/>
      <c r="P317" s="1"/>
      <c r="Q317" s="1"/>
      <c r="R317" s="1"/>
      <c r="S317" s="1"/>
      <c r="T317" s="1"/>
    </row>
    <row r="318" ht="14.25" customHeight="1">
      <c r="A318" s="52"/>
      <c r="B318" s="53"/>
      <c r="C318" s="53"/>
      <c r="D318" s="53"/>
      <c r="E318" s="53"/>
      <c r="F318" s="53"/>
      <c r="G318" s="1"/>
      <c r="H318" s="1"/>
      <c r="I318" s="1"/>
      <c r="J318" s="1"/>
      <c r="K318" s="1"/>
      <c r="L318" s="1"/>
      <c r="M318" s="1"/>
      <c r="N318" s="1"/>
      <c r="O318" s="1"/>
      <c r="P318" s="1"/>
      <c r="Q318" s="1"/>
      <c r="R318" s="1"/>
      <c r="S318" s="1"/>
      <c r="T318" s="1"/>
    </row>
    <row r="319" ht="14.25" customHeight="1">
      <c r="A319" s="52"/>
      <c r="B319" s="53"/>
      <c r="C319" s="53"/>
      <c r="D319" s="53"/>
      <c r="E319" s="53"/>
      <c r="F319" s="53"/>
      <c r="G319" s="1"/>
      <c r="H319" s="1"/>
      <c r="I319" s="1"/>
      <c r="J319" s="1"/>
      <c r="K319" s="1"/>
      <c r="L319" s="1"/>
      <c r="M319" s="1"/>
      <c r="N319" s="1"/>
      <c r="O319" s="1"/>
      <c r="P319" s="1"/>
      <c r="Q319" s="1"/>
      <c r="R319" s="1"/>
      <c r="S319" s="1"/>
      <c r="T319" s="1"/>
    </row>
    <row r="320" ht="14.25" customHeight="1">
      <c r="A320" s="52"/>
      <c r="B320" s="53"/>
      <c r="C320" s="53"/>
      <c r="D320" s="53"/>
      <c r="E320" s="53"/>
      <c r="F320" s="53"/>
      <c r="G320" s="1"/>
      <c r="H320" s="1"/>
      <c r="I320" s="1"/>
      <c r="J320" s="1"/>
      <c r="K320" s="1"/>
      <c r="L320" s="1"/>
      <c r="M320" s="1"/>
      <c r="N320" s="1"/>
      <c r="O320" s="1"/>
      <c r="P320" s="1"/>
      <c r="Q320" s="1"/>
      <c r="R320" s="1"/>
      <c r="S320" s="1"/>
      <c r="T320" s="1"/>
    </row>
    <row r="321" ht="14.25" customHeight="1">
      <c r="A321" s="52"/>
      <c r="B321" s="53"/>
      <c r="C321" s="53"/>
      <c r="D321" s="53"/>
      <c r="E321" s="53"/>
      <c r="F321" s="53"/>
      <c r="G321" s="1"/>
      <c r="H321" s="1"/>
      <c r="I321" s="1"/>
      <c r="J321" s="1"/>
      <c r="K321" s="1"/>
      <c r="L321" s="1"/>
      <c r="M321" s="1"/>
      <c r="N321" s="1"/>
      <c r="O321" s="1"/>
      <c r="P321" s="1"/>
      <c r="Q321" s="1"/>
      <c r="R321" s="1"/>
      <c r="S321" s="1"/>
      <c r="T321" s="1"/>
    </row>
    <row r="322" ht="14.25" customHeight="1">
      <c r="A322" s="52"/>
      <c r="B322" s="53"/>
      <c r="C322" s="53"/>
      <c r="D322" s="53"/>
      <c r="E322" s="53"/>
      <c r="F322" s="53"/>
      <c r="G322" s="1"/>
      <c r="H322" s="1"/>
      <c r="I322" s="1"/>
      <c r="J322" s="1"/>
      <c r="K322" s="1"/>
      <c r="L322" s="1"/>
      <c r="M322" s="1"/>
      <c r="N322" s="1"/>
      <c r="O322" s="1"/>
      <c r="P322" s="1"/>
      <c r="Q322" s="1"/>
      <c r="R322" s="1"/>
      <c r="S322" s="1"/>
      <c r="T322" s="1"/>
    </row>
    <row r="323" ht="14.25" customHeight="1">
      <c r="A323" s="52"/>
      <c r="B323" s="53"/>
      <c r="C323" s="53"/>
      <c r="D323" s="53"/>
      <c r="E323" s="53"/>
      <c r="F323" s="53"/>
      <c r="G323" s="1"/>
      <c r="H323" s="1"/>
      <c r="I323" s="1"/>
      <c r="J323" s="1"/>
      <c r="K323" s="1"/>
      <c r="L323" s="1"/>
      <c r="M323" s="1"/>
      <c r="N323" s="1"/>
      <c r="O323" s="1"/>
      <c r="P323" s="1"/>
      <c r="Q323" s="1"/>
      <c r="R323" s="1"/>
      <c r="S323" s="1"/>
      <c r="T323" s="1"/>
    </row>
    <row r="324" ht="14.25" customHeight="1">
      <c r="A324" s="52"/>
      <c r="B324" s="53"/>
      <c r="C324" s="53"/>
      <c r="D324" s="53"/>
      <c r="E324" s="53"/>
      <c r="F324" s="53"/>
      <c r="G324" s="1"/>
      <c r="H324" s="1"/>
      <c r="I324" s="1"/>
      <c r="J324" s="1"/>
      <c r="K324" s="1"/>
      <c r="L324" s="1"/>
      <c r="M324" s="1"/>
      <c r="N324" s="1"/>
      <c r="O324" s="1"/>
      <c r="P324" s="1"/>
      <c r="Q324" s="1"/>
      <c r="R324" s="1"/>
      <c r="S324" s="1"/>
      <c r="T324" s="1"/>
    </row>
    <row r="325" ht="14.25" customHeight="1">
      <c r="A325" s="52"/>
      <c r="B325" s="53"/>
      <c r="C325" s="53"/>
      <c r="D325" s="53"/>
      <c r="E325" s="53"/>
      <c r="F325" s="53"/>
      <c r="G325" s="1"/>
      <c r="H325" s="1"/>
      <c r="I325" s="1"/>
      <c r="J325" s="1"/>
      <c r="K325" s="1"/>
      <c r="L325" s="1"/>
      <c r="M325" s="1"/>
      <c r="N325" s="1"/>
      <c r="O325" s="1"/>
      <c r="P325" s="1"/>
      <c r="Q325" s="1"/>
      <c r="R325" s="1"/>
      <c r="S325" s="1"/>
      <c r="T325" s="1"/>
    </row>
    <row r="326" ht="14.25" customHeight="1">
      <c r="A326" s="52"/>
      <c r="B326" s="53"/>
      <c r="C326" s="53"/>
      <c r="D326" s="53"/>
      <c r="E326" s="53"/>
      <c r="F326" s="53"/>
      <c r="G326" s="1"/>
      <c r="H326" s="1"/>
      <c r="I326" s="1"/>
      <c r="J326" s="1"/>
      <c r="K326" s="1"/>
      <c r="L326" s="1"/>
      <c r="M326" s="1"/>
      <c r="N326" s="1"/>
      <c r="O326" s="1"/>
      <c r="P326" s="1"/>
      <c r="Q326" s="1"/>
      <c r="R326" s="1"/>
      <c r="S326" s="1"/>
      <c r="T326" s="1"/>
    </row>
    <row r="327" ht="14.25" customHeight="1">
      <c r="A327" s="52"/>
      <c r="B327" s="53"/>
      <c r="C327" s="53"/>
      <c r="D327" s="53"/>
      <c r="E327" s="53"/>
      <c r="F327" s="53"/>
      <c r="G327" s="1"/>
      <c r="H327" s="1"/>
      <c r="I327" s="1"/>
      <c r="J327" s="1"/>
      <c r="K327" s="1"/>
      <c r="L327" s="1"/>
      <c r="M327" s="1"/>
      <c r="N327" s="1"/>
      <c r="O327" s="1"/>
      <c r="P327" s="1"/>
      <c r="Q327" s="1"/>
      <c r="R327" s="1"/>
      <c r="S327" s="1"/>
      <c r="T327" s="1"/>
    </row>
    <row r="328" ht="14.25" customHeight="1">
      <c r="A328" s="52"/>
      <c r="B328" s="53"/>
      <c r="C328" s="53"/>
      <c r="D328" s="53"/>
      <c r="E328" s="53"/>
      <c r="F328" s="53"/>
      <c r="G328" s="1"/>
      <c r="H328" s="1"/>
      <c r="I328" s="1"/>
      <c r="J328" s="1"/>
      <c r="K328" s="1"/>
      <c r="L328" s="1"/>
      <c r="M328" s="1"/>
      <c r="N328" s="1"/>
      <c r="O328" s="1"/>
      <c r="P328" s="1"/>
      <c r="Q328" s="1"/>
      <c r="R328" s="1"/>
      <c r="S328" s="1"/>
      <c r="T328" s="1"/>
    </row>
    <row r="329" ht="14.25" customHeight="1">
      <c r="A329" s="52"/>
      <c r="B329" s="53"/>
      <c r="C329" s="53"/>
      <c r="D329" s="53"/>
      <c r="E329" s="53"/>
      <c r="F329" s="53"/>
      <c r="G329" s="1"/>
      <c r="H329" s="1"/>
      <c r="I329" s="1"/>
      <c r="J329" s="1"/>
      <c r="K329" s="1"/>
      <c r="L329" s="1"/>
      <c r="M329" s="1"/>
      <c r="N329" s="1"/>
      <c r="O329" s="1"/>
      <c r="P329" s="1"/>
      <c r="Q329" s="1"/>
      <c r="R329" s="1"/>
      <c r="S329" s="1"/>
      <c r="T329" s="1"/>
    </row>
    <row r="330" ht="14.25" customHeight="1">
      <c r="A330" s="52"/>
      <c r="B330" s="53"/>
      <c r="C330" s="53"/>
      <c r="D330" s="53"/>
      <c r="E330" s="53"/>
      <c r="F330" s="53"/>
      <c r="G330" s="1"/>
      <c r="H330" s="1"/>
      <c r="I330" s="1"/>
      <c r="J330" s="1"/>
      <c r="K330" s="1"/>
      <c r="L330" s="1"/>
      <c r="M330" s="1"/>
      <c r="N330" s="1"/>
      <c r="O330" s="1"/>
      <c r="P330" s="1"/>
      <c r="Q330" s="1"/>
      <c r="R330" s="1"/>
      <c r="S330" s="1"/>
      <c r="T330" s="1"/>
    </row>
    <row r="331" ht="14.25" customHeight="1">
      <c r="A331" s="52"/>
      <c r="B331" s="53"/>
      <c r="C331" s="53"/>
      <c r="D331" s="53"/>
      <c r="E331" s="53"/>
      <c r="F331" s="53"/>
      <c r="G331" s="1"/>
      <c r="H331" s="1"/>
      <c r="I331" s="1"/>
      <c r="J331" s="1"/>
      <c r="K331" s="1"/>
      <c r="L331" s="1"/>
      <c r="M331" s="1"/>
      <c r="N331" s="1"/>
      <c r="O331" s="1"/>
      <c r="P331" s="1"/>
      <c r="Q331" s="1"/>
      <c r="R331" s="1"/>
      <c r="S331" s="1"/>
      <c r="T331" s="1"/>
    </row>
    <row r="332" ht="14.25" customHeight="1">
      <c r="A332" s="52"/>
      <c r="B332" s="53"/>
      <c r="C332" s="53"/>
      <c r="D332" s="53"/>
      <c r="E332" s="53"/>
      <c r="F332" s="53"/>
      <c r="G332" s="1"/>
      <c r="H332" s="1"/>
      <c r="I332" s="1"/>
      <c r="J332" s="1"/>
      <c r="K332" s="1"/>
      <c r="L332" s="1"/>
      <c r="M332" s="1"/>
      <c r="N332" s="1"/>
      <c r="O332" s="1"/>
      <c r="P332" s="1"/>
      <c r="Q332" s="1"/>
      <c r="R332" s="1"/>
      <c r="S332" s="1"/>
      <c r="T332" s="1"/>
    </row>
    <row r="333" ht="14.25" customHeight="1">
      <c r="A333" s="52"/>
      <c r="B333" s="53"/>
      <c r="C333" s="53"/>
      <c r="D333" s="53"/>
      <c r="E333" s="53"/>
      <c r="F333" s="53"/>
      <c r="G333" s="1"/>
      <c r="H333" s="1"/>
      <c r="I333" s="1"/>
      <c r="J333" s="1"/>
      <c r="K333" s="1"/>
      <c r="L333" s="1"/>
      <c r="M333" s="1"/>
      <c r="N333" s="1"/>
      <c r="O333" s="1"/>
      <c r="P333" s="1"/>
      <c r="Q333" s="1"/>
      <c r="R333" s="1"/>
      <c r="S333" s="1"/>
      <c r="T333" s="1"/>
    </row>
    <row r="334" ht="14.25" customHeight="1">
      <c r="A334" s="52"/>
      <c r="B334" s="53"/>
      <c r="C334" s="53"/>
      <c r="D334" s="53"/>
      <c r="E334" s="53"/>
      <c r="F334" s="53"/>
      <c r="G334" s="1"/>
      <c r="H334" s="1"/>
      <c r="I334" s="1"/>
      <c r="J334" s="1"/>
      <c r="K334" s="1"/>
      <c r="L334" s="1"/>
      <c r="M334" s="1"/>
      <c r="N334" s="1"/>
      <c r="O334" s="1"/>
      <c r="P334" s="1"/>
      <c r="Q334" s="1"/>
      <c r="R334" s="1"/>
      <c r="S334" s="1"/>
      <c r="T334" s="1"/>
    </row>
    <row r="335" ht="14.25" customHeight="1">
      <c r="A335" s="52"/>
      <c r="B335" s="53"/>
      <c r="C335" s="53"/>
      <c r="D335" s="53"/>
      <c r="E335" s="53"/>
      <c r="F335" s="53"/>
      <c r="G335" s="1"/>
      <c r="H335" s="1"/>
      <c r="I335" s="1"/>
      <c r="J335" s="1"/>
      <c r="K335" s="1"/>
      <c r="L335" s="1"/>
      <c r="M335" s="1"/>
      <c r="N335" s="1"/>
      <c r="O335" s="1"/>
      <c r="P335" s="1"/>
      <c r="Q335" s="1"/>
      <c r="R335" s="1"/>
      <c r="S335" s="1"/>
      <c r="T335" s="1"/>
    </row>
    <row r="336" ht="14.25" customHeight="1">
      <c r="A336" s="52"/>
      <c r="B336" s="53"/>
      <c r="C336" s="53"/>
      <c r="D336" s="53"/>
      <c r="E336" s="53"/>
      <c r="F336" s="53"/>
      <c r="G336" s="1"/>
      <c r="H336" s="1"/>
      <c r="I336" s="1"/>
      <c r="J336" s="1"/>
      <c r="K336" s="1"/>
      <c r="L336" s="1"/>
      <c r="M336" s="1"/>
      <c r="N336" s="1"/>
      <c r="O336" s="1"/>
      <c r="P336" s="1"/>
      <c r="Q336" s="1"/>
      <c r="R336" s="1"/>
      <c r="S336" s="1"/>
      <c r="T336" s="1"/>
    </row>
    <row r="337" ht="14.25" customHeight="1">
      <c r="A337" s="52"/>
      <c r="B337" s="53"/>
      <c r="C337" s="53"/>
      <c r="D337" s="53"/>
      <c r="E337" s="53"/>
      <c r="F337" s="53"/>
      <c r="G337" s="1"/>
      <c r="H337" s="1"/>
      <c r="I337" s="1"/>
      <c r="J337" s="1"/>
      <c r="K337" s="1"/>
      <c r="L337" s="1"/>
      <c r="M337" s="1"/>
      <c r="N337" s="1"/>
      <c r="O337" s="1"/>
      <c r="P337" s="1"/>
      <c r="Q337" s="1"/>
      <c r="R337" s="1"/>
      <c r="S337" s="1"/>
      <c r="T337" s="1"/>
    </row>
    <row r="338" ht="14.25" customHeight="1">
      <c r="A338" s="52"/>
      <c r="B338" s="53"/>
      <c r="C338" s="53"/>
      <c r="D338" s="53"/>
      <c r="E338" s="53"/>
      <c r="F338" s="53"/>
      <c r="G338" s="1"/>
      <c r="H338" s="1"/>
      <c r="I338" s="1"/>
      <c r="J338" s="1"/>
      <c r="K338" s="1"/>
      <c r="L338" s="1"/>
      <c r="M338" s="1"/>
      <c r="N338" s="1"/>
      <c r="O338" s="1"/>
      <c r="P338" s="1"/>
      <c r="Q338" s="1"/>
      <c r="R338" s="1"/>
      <c r="S338" s="1"/>
      <c r="T338" s="1"/>
    </row>
    <row r="339" ht="14.25" customHeight="1">
      <c r="A339" s="52"/>
      <c r="B339" s="53"/>
      <c r="C339" s="53"/>
      <c r="D339" s="53"/>
      <c r="E339" s="53"/>
      <c r="F339" s="53"/>
      <c r="G339" s="1"/>
      <c r="H339" s="1"/>
      <c r="I339" s="1"/>
      <c r="J339" s="1"/>
      <c r="K339" s="1"/>
      <c r="L339" s="1"/>
      <c r="M339" s="1"/>
      <c r="N339" s="1"/>
      <c r="O339" s="1"/>
      <c r="P339" s="1"/>
      <c r="Q339" s="1"/>
      <c r="R339" s="1"/>
      <c r="S339" s="1"/>
      <c r="T339" s="1"/>
    </row>
    <row r="340" ht="14.25" customHeight="1">
      <c r="A340" s="52"/>
      <c r="B340" s="53"/>
      <c r="C340" s="53"/>
      <c r="D340" s="53"/>
      <c r="E340" s="53"/>
      <c r="F340" s="53"/>
      <c r="G340" s="1"/>
      <c r="H340" s="1"/>
      <c r="I340" s="1"/>
      <c r="J340" s="1"/>
      <c r="K340" s="1"/>
      <c r="L340" s="1"/>
      <c r="M340" s="1"/>
      <c r="N340" s="1"/>
      <c r="O340" s="1"/>
      <c r="P340" s="1"/>
      <c r="Q340" s="1"/>
      <c r="R340" s="1"/>
      <c r="S340" s="1"/>
      <c r="T340" s="1"/>
    </row>
    <row r="341" ht="14.25" customHeight="1">
      <c r="A341" s="52"/>
      <c r="B341" s="53"/>
      <c r="C341" s="53"/>
      <c r="D341" s="53"/>
      <c r="E341" s="53"/>
      <c r="F341" s="53"/>
      <c r="G341" s="1"/>
      <c r="H341" s="1"/>
      <c r="I341" s="1"/>
      <c r="J341" s="1"/>
      <c r="K341" s="1"/>
      <c r="L341" s="1"/>
      <c r="M341" s="1"/>
      <c r="N341" s="1"/>
      <c r="O341" s="1"/>
      <c r="P341" s="1"/>
      <c r="Q341" s="1"/>
      <c r="R341" s="1"/>
      <c r="S341" s="1"/>
      <c r="T341" s="1"/>
    </row>
    <row r="342" ht="14.25" customHeight="1">
      <c r="A342" s="52"/>
      <c r="B342" s="53"/>
      <c r="C342" s="53"/>
      <c r="D342" s="53"/>
      <c r="E342" s="53"/>
      <c r="F342" s="53"/>
      <c r="G342" s="1"/>
      <c r="H342" s="1"/>
      <c r="I342" s="1"/>
      <c r="J342" s="1"/>
      <c r="K342" s="1"/>
      <c r="L342" s="1"/>
      <c r="M342" s="1"/>
      <c r="N342" s="1"/>
      <c r="O342" s="1"/>
      <c r="P342" s="1"/>
      <c r="Q342" s="1"/>
      <c r="R342" s="1"/>
      <c r="S342" s="1"/>
      <c r="T342" s="1"/>
    </row>
    <row r="343" ht="14.25" customHeight="1">
      <c r="A343" s="52"/>
      <c r="B343" s="53"/>
      <c r="C343" s="53"/>
      <c r="D343" s="53"/>
      <c r="E343" s="53"/>
      <c r="F343" s="53"/>
      <c r="G343" s="1"/>
      <c r="H343" s="1"/>
      <c r="I343" s="1"/>
      <c r="J343" s="1"/>
      <c r="K343" s="1"/>
      <c r="L343" s="1"/>
      <c r="M343" s="1"/>
      <c r="N343" s="1"/>
      <c r="O343" s="1"/>
      <c r="P343" s="1"/>
      <c r="Q343" s="1"/>
      <c r="R343" s="1"/>
      <c r="S343" s="1"/>
      <c r="T343" s="1"/>
    </row>
    <row r="344" ht="14.25" customHeight="1">
      <c r="A344" s="52"/>
      <c r="B344" s="53"/>
      <c r="C344" s="53"/>
      <c r="D344" s="53"/>
      <c r="E344" s="53"/>
      <c r="F344" s="53"/>
      <c r="G344" s="1"/>
      <c r="H344" s="1"/>
      <c r="I344" s="1"/>
      <c r="J344" s="1"/>
      <c r="K344" s="1"/>
      <c r="L344" s="1"/>
      <c r="M344" s="1"/>
      <c r="N344" s="1"/>
      <c r="O344" s="1"/>
      <c r="P344" s="1"/>
      <c r="Q344" s="1"/>
      <c r="R344" s="1"/>
      <c r="S344" s="1"/>
      <c r="T344" s="1"/>
    </row>
    <row r="345" ht="14.25" customHeight="1">
      <c r="A345" s="52"/>
      <c r="B345" s="53"/>
      <c r="C345" s="53"/>
      <c r="D345" s="53"/>
      <c r="E345" s="53"/>
      <c r="F345" s="53"/>
      <c r="G345" s="1"/>
      <c r="H345" s="1"/>
      <c r="I345" s="1"/>
      <c r="J345" s="1"/>
      <c r="K345" s="1"/>
      <c r="L345" s="1"/>
      <c r="M345" s="1"/>
      <c r="N345" s="1"/>
      <c r="O345" s="1"/>
      <c r="P345" s="1"/>
      <c r="Q345" s="1"/>
      <c r="R345" s="1"/>
      <c r="S345" s="1"/>
      <c r="T345" s="1"/>
    </row>
    <row r="346" ht="14.25" customHeight="1">
      <c r="A346" s="52"/>
      <c r="B346" s="53"/>
      <c r="C346" s="53"/>
      <c r="D346" s="53"/>
      <c r="E346" s="53"/>
      <c r="F346" s="53"/>
      <c r="G346" s="1"/>
      <c r="H346" s="1"/>
      <c r="I346" s="1"/>
      <c r="J346" s="1"/>
      <c r="K346" s="1"/>
      <c r="L346" s="1"/>
      <c r="M346" s="1"/>
      <c r="N346" s="1"/>
      <c r="O346" s="1"/>
      <c r="P346" s="1"/>
      <c r="Q346" s="1"/>
      <c r="R346" s="1"/>
      <c r="S346" s="1"/>
      <c r="T346" s="1"/>
    </row>
    <row r="347" ht="14.25" customHeight="1">
      <c r="A347" s="52"/>
      <c r="B347" s="53"/>
      <c r="C347" s="53"/>
      <c r="D347" s="53"/>
      <c r="E347" s="53"/>
      <c r="F347" s="53"/>
      <c r="G347" s="1"/>
      <c r="H347" s="1"/>
      <c r="I347" s="1"/>
      <c r="J347" s="1"/>
      <c r="K347" s="1"/>
      <c r="L347" s="1"/>
      <c r="M347" s="1"/>
      <c r="N347" s="1"/>
      <c r="O347" s="1"/>
      <c r="P347" s="1"/>
      <c r="Q347" s="1"/>
      <c r="R347" s="1"/>
      <c r="S347" s="1"/>
      <c r="T347" s="1"/>
    </row>
    <row r="348" ht="14.25" customHeight="1">
      <c r="A348" s="52"/>
      <c r="B348" s="53"/>
      <c r="C348" s="53"/>
      <c r="D348" s="53"/>
      <c r="E348" s="53"/>
      <c r="F348" s="53"/>
      <c r="G348" s="1"/>
      <c r="H348" s="1"/>
      <c r="I348" s="1"/>
      <c r="J348" s="1"/>
      <c r="K348" s="1"/>
      <c r="L348" s="1"/>
      <c r="M348" s="1"/>
      <c r="N348" s="1"/>
      <c r="O348" s="1"/>
      <c r="P348" s="1"/>
      <c r="Q348" s="1"/>
      <c r="R348" s="1"/>
      <c r="S348" s="1"/>
      <c r="T348" s="1"/>
    </row>
    <row r="349" ht="14.25" customHeight="1">
      <c r="A349" s="52"/>
      <c r="B349" s="53"/>
      <c r="C349" s="53"/>
      <c r="D349" s="53"/>
      <c r="E349" s="53"/>
      <c r="F349" s="53"/>
      <c r="G349" s="1"/>
      <c r="H349" s="1"/>
      <c r="I349" s="1"/>
      <c r="J349" s="1"/>
      <c r="K349" s="1"/>
      <c r="L349" s="1"/>
      <c r="M349" s="1"/>
      <c r="N349" s="1"/>
      <c r="O349" s="1"/>
      <c r="P349" s="1"/>
      <c r="Q349" s="1"/>
      <c r="R349" s="1"/>
      <c r="S349" s="1"/>
      <c r="T349" s="1"/>
    </row>
    <row r="350" ht="14.25" customHeight="1">
      <c r="A350" s="52"/>
      <c r="B350" s="53"/>
      <c r="C350" s="53"/>
      <c r="D350" s="53"/>
      <c r="E350" s="53"/>
      <c r="F350" s="53"/>
      <c r="G350" s="1"/>
      <c r="H350" s="1"/>
      <c r="I350" s="1"/>
      <c r="J350" s="1"/>
      <c r="K350" s="1"/>
      <c r="L350" s="1"/>
      <c r="M350" s="1"/>
      <c r="N350" s="1"/>
      <c r="O350" s="1"/>
      <c r="P350" s="1"/>
      <c r="Q350" s="1"/>
      <c r="R350" s="1"/>
      <c r="S350" s="1"/>
      <c r="T350" s="1"/>
    </row>
    <row r="351" ht="14.25" customHeight="1">
      <c r="A351" s="52"/>
      <c r="B351" s="53"/>
      <c r="C351" s="53"/>
      <c r="D351" s="53"/>
      <c r="E351" s="53"/>
      <c r="F351" s="53"/>
      <c r="G351" s="1"/>
      <c r="H351" s="1"/>
      <c r="I351" s="1"/>
      <c r="J351" s="1"/>
      <c r="K351" s="1"/>
      <c r="L351" s="1"/>
      <c r="M351" s="1"/>
      <c r="N351" s="1"/>
      <c r="O351" s="1"/>
      <c r="P351" s="1"/>
      <c r="Q351" s="1"/>
      <c r="R351" s="1"/>
      <c r="S351" s="1"/>
      <c r="T351" s="1"/>
    </row>
    <row r="352" ht="14.25" customHeight="1">
      <c r="A352" s="52"/>
      <c r="B352" s="53"/>
      <c r="C352" s="53"/>
      <c r="D352" s="53"/>
      <c r="E352" s="53"/>
      <c r="F352" s="53"/>
      <c r="G352" s="1"/>
      <c r="H352" s="1"/>
      <c r="I352" s="1"/>
      <c r="J352" s="1"/>
      <c r="K352" s="1"/>
      <c r="L352" s="1"/>
      <c r="M352" s="1"/>
      <c r="N352" s="1"/>
      <c r="O352" s="1"/>
      <c r="P352" s="1"/>
      <c r="Q352" s="1"/>
      <c r="R352" s="1"/>
      <c r="S352" s="1"/>
      <c r="T352" s="1"/>
    </row>
    <row r="353" ht="14.25" customHeight="1">
      <c r="A353" s="52"/>
      <c r="B353" s="53"/>
      <c r="C353" s="53"/>
      <c r="D353" s="53"/>
      <c r="E353" s="53"/>
      <c r="F353" s="53"/>
      <c r="G353" s="1"/>
      <c r="H353" s="1"/>
      <c r="I353" s="1"/>
      <c r="J353" s="1"/>
      <c r="K353" s="1"/>
      <c r="L353" s="1"/>
      <c r="M353" s="1"/>
      <c r="N353" s="1"/>
      <c r="O353" s="1"/>
      <c r="P353" s="1"/>
      <c r="Q353" s="1"/>
      <c r="R353" s="1"/>
      <c r="S353" s="1"/>
      <c r="T353" s="1"/>
    </row>
    <row r="354" ht="14.25" customHeight="1">
      <c r="A354" s="52"/>
      <c r="B354" s="53"/>
      <c r="C354" s="53"/>
      <c r="D354" s="53"/>
      <c r="E354" s="53"/>
      <c r="F354" s="53"/>
      <c r="G354" s="1"/>
      <c r="H354" s="1"/>
      <c r="I354" s="1"/>
      <c r="J354" s="1"/>
      <c r="K354" s="1"/>
      <c r="L354" s="1"/>
      <c r="M354" s="1"/>
      <c r="N354" s="1"/>
      <c r="O354" s="1"/>
      <c r="P354" s="1"/>
      <c r="Q354" s="1"/>
      <c r="R354" s="1"/>
      <c r="S354" s="1"/>
      <c r="T354" s="1"/>
    </row>
    <row r="355" ht="14.25" customHeight="1">
      <c r="A355" s="52"/>
      <c r="B355" s="53"/>
      <c r="C355" s="53"/>
      <c r="D355" s="53"/>
      <c r="E355" s="53"/>
      <c r="F355" s="53"/>
      <c r="G355" s="1"/>
      <c r="H355" s="1"/>
      <c r="I355" s="1"/>
      <c r="J355" s="1"/>
      <c r="K355" s="1"/>
      <c r="L355" s="1"/>
      <c r="M355" s="1"/>
      <c r="N355" s="1"/>
      <c r="O355" s="1"/>
      <c r="P355" s="1"/>
      <c r="Q355" s="1"/>
      <c r="R355" s="1"/>
      <c r="S355" s="1"/>
      <c r="T355" s="1"/>
    </row>
    <row r="356" ht="14.25" customHeight="1">
      <c r="A356" s="52"/>
      <c r="B356" s="53"/>
      <c r="C356" s="53"/>
      <c r="D356" s="53"/>
      <c r="E356" s="53"/>
      <c r="F356" s="53"/>
      <c r="G356" s="1"/>
      <c r="H356" s="1"/>
      <c r="I356" s="1"/>
      <c r="J356" s="1"/>
      <c r="K356" s="1"/>
      <c r="L356" s="1"/>
      <c r="M356" s="1"/>
      <c r="N356" s="1"/>
      <c r="O356" s="1"/>
      <c r="P356" s="1"/>
      <c r="Q356" s="1"/>
      <c r="R356" s="1"/>
      <c r="S356" s="1"/>
      <c r="T356" s="1"/>
    </row>
    <row r="357" ht="14.25" customHeight="1">
      <c r="A357" s="52"/>
      <c r="B357" s="53"/>
      <c r="C357" s="53"/>
      <c r="D357" s="53"/>
      <c r="E357" s="53"/>
      <c r="F357" s="53"/>
      <c r="G357" s="1"/>
      <c r="H357" s="1"/>
      <c r="I357" s="1"/>
      <c r="J357" s="1"/>
      <c r="K357" s="1"/>
      <c r="L357" s="1"/>
      <c r="M357" s="1"/>
      <c r="N357" s="1"/>
      <c r="O357" s="1"/>
      <c r="P357" s="1"/>
      <c r="Q357" s="1"/>
      <c r="R357" s="1"/>
      <c r="S357" s="1"/>
      <c r="T357" s="1"/>
    </row>
    <row r="358" ht="14.25" customHeight="1">
      <c r="A358" s="52"/>
      <c r="B358" s="53"/>
      <c r="C358" s="53"/>
      <c r="D358" s="53"/>
      <c r="E358" s="53"/>
      <c r="F358" s="53"/>
      <c r="G358" s="1"/>
      <c r="H358" s="1"/>
      <c r="I358" s="1"/>
      <c r="J358" s="1"/>
      <c r="K358" s="1"/>
      <c r="L358" s="1"/>
      <c r="M358" s="1"/>
      <c r="N358" s="1"/>
      <c r="O358" s="1"/>
      <c r="P358" s="1"/>
      <c r="Q358" s="1"/>
      <c r="R358" s="1"/>
      <c r="S358" s="1"/>
      <c r="T358" s="1"/>
    </row>
    <row r="359" ht="14.25" customHeight="1">
      <c r="A359" s="52"/>
      <c r="B359" s="53"/>
      <c r="C359" s="53"/>
      <c r="D359" s="53"/>
      <c r="E359" s="53"/>
      <c r="F359" s="53"/>
      <c r="G359" s="1"/>
      <c r="H359" s="1"/>
      <c r="I359" s="1"/>
      <c r="J359" s="1"/>
      <c r="K359" s="1"/>
      <c r="L359" s="1"/>
      <c r="M359" s="1"/>
      <c r="N359" s="1"/>
      <c r="O359" s="1"/>
      <c r="P359" s="1"/>
      <c r="Q359" s="1"/>
      <c r="R359" s="1"/>
      <c r="S359" s="1"/>
      <c r="T359" s="1"/>
    </row>
    <row r="360" ht="14.25" customHeight="1">
      <c r="A360" s="52"/>
      <c r="B360" s="53"/>
      <c r="C360" s="53"/>
      <c r="D360" s="53"/>
      <c r="E360" s="53"/>
      <c r="F360" s="53"/>
      <c r="G360" s="1"/>
      <c r="H360" s="1"/>
      <c r="I360" s="1"/>
      <c r="J360" s="1"/>
      <c r="K360" s="1"/>
      <c r="L360" s="1"/>
      <c r="M360" s="1"/>
      <c r="N360" s="1"/>
      <c r="O360" s="1"/>
      <c r="P360" s="1"/>
      <c r="Q360" s="1"/>
      <c r="R360" s="1"/>
      <c r="S360" s="1"/>
      <c r="T360" s="1"/>
    </row>
    <row r="361" ht="14.25" customHeight="1">
      <c r="A361" s="52"/>
      <c r="B361" s="53"/>
      <c r="C361" s="53"/>
      <c r="D361" s="53"/>
      <c r="E361" s="53"/>
      <c r="F361" s="53"/>
      <c r="G361" s="1"/>
      <c r="H361" s="1"/>
      <c r="I361" s="1"/>
      <c r="J361" s="1"/>
      <c r="K361" s="1"/>
      <c r="L361" s="1"/>
      <c r="M361" s="1"/>
      <c r="N361" s="1"/>
      <c r="O361" s="1"/>
      <c r="P361" s="1"/>
      <c r="Q361" s="1"/>
      <c r="R361" s="1"/>
      <c r="S361" s="1"/>
      <c r="T361" s="1"/>
    </row>
    <row r="362" ht="14.25" customHeight="1">
      <c r="A362" s="52"/>
      <c r="B362" s="53"/>
      <c r="C362" s="53"/>
      <c r="D362" s="53"/>
      <c r="E362" s="53"/>
      <c r="F362" s="53"/>
      <c r="G362" s="1"/>
      <c r="H362" s="1"/>
      <c r="I362" s="1"/>
      <c r="J362" s="1"/>
      <c r="K362" s="1"/>
      <c r="L362" s="1"/>
      <c r="M362" s="1"/>
      <c r="N362" s="1"/>
      <c r="O362" s="1"/>
      <c r="P362" s="1"/>
      <c r="Q362" s="1"/>
      <c r="R362" s="1"/>
      <c r="S362" s="1"/>
      <c r="T362" s="1"/>
    </row>
    <row r="363" ht="14.25" customHeight="1">
      <c r="A363" s="52"/>
      <c r="B363" s="53"/>
      <c r="C363" s="53"/>
      <c r="D363" s="53"/>
      <c r="E363" s="53"/>
      <c r="F363" s="53"/>
      <c r="G363" s="1"/>
      <c r="H363" s="1"/>
      <c r="I363" s="1"/>
      <c r="J363" s="1"/>
      <c r="K363" s="1"/>
      <c r="L363" s="1"/>
      <c r="M363" s="1"/>
      <c r="N363" s="1"/>
      <c r="O363" s="1"/>
      <c r="P363" s="1"/>
      <c r="Q363" s="1"/>
      <c r="R363" s="1"/>
      <c r="S363" s="1"/>
      <c r="T363" s="1"/>
    </row>
    <row r="364" ht="14.25" customHeight="1">
      <c r="A364" s="52"/>
      <c r="B364" s="53"/>
      <c r="C364" s="53"/>
      <c r="D364" s="53"/>
      <c r="E364" s="53"/>
      <c r="F364" s="53"/>
      <c r="G364" s="1"/>
      <c r="H364" s="1"/>
      <c r="I364" s="1"/>
      <c r="J364" s="1"/>
      <c r="K364" s="1"/>
      <c r="L364" s="1"/>
      <c r="M364" s="1"/>
      <c r="N364" s="1"/>
      <c r="O364" s="1"/>
      <c r="P364" s="1"/>
      <c r="Q364" s="1"/>
      <c r="R364" s="1"/>
      <c r="S364" s="1"/>
      <c r="T364" s="1"/>
    </row>
    <row r="365" ht="14.25" customHeight="1">
      <c r="A365" s="52"/>
      <c r="B365" s="53"/>
      <c r="C365" s="53"/>
      <c r="D365" s="53"/>
      <c r="E365" s="53"/>
      <c r="F365" s="53"/>
      <c r="G365" s="1"/>
      <c r="H365" s="1"/>
      <c r="I365" s="1"/>
      <c r="J365" s="1"/>
      <c r="K365" s="1"/>
      <c r="L365" s="1"/>
      <c r="M365" s="1"/>
      <c r="N365" s="1"/>
      <c r="O365" s="1"/>
      <c r="P365" s="1"/>
      <c r="Q365" s="1"/>
      <c r="R365" s="1"/>
      <c r="S365" s="1"/>
      <c r="T365" s="1"/>
    </row>
    <row r="366" ht="14.25" customHeight="1">
      <c r="A366" s="52"/>
      <c r="B366" s="53"/>
      <c r="C366" s="53"/>
      <c r="D366" s="53"/>
      <c r="E366" s="53"/>
      <c r="F366" s="53"/>
      <c r="G366" s="1"/>
      <c r="H366" s="1"/>
      <c r="I366" s="1"/>
      <c r="J366" s="1"/>
      <c r="K366" s="1"/>
      <c r="L366" s="1"/>
      <c r="M366" s="1"/>
      <c r="N366" s="1"/>
      <c r="O366" s="1"/>
      <c r="P366" s="1"/>
      <c r="Q366" s="1"/>
      <c r="R366" s="1"/>
      <c r="S366" s="1"/>
      <c r="T366" s="1"/>
    </row>
    <row r="367" ht="14.25" customHeight="1">
      <c r="A367" s="52"/>
      <c r="B367" s="53"/>
      <c r="C367" s="53"/>
      <c r="D367" s="53"/>
      <c r="E367" s="53"/>
      <c r="F367" s="53"/>
      <c r="G367" s="1"/>
      <c r="H367" s="1"/>
      <c r="I367" s="1"/>
      <c r="J367" s="1"/>
      <c r="K367" s="1"/>
      <c r="L367" s="1"/>
      <c r="M367" s="1"/>
      <c r="N367" s="1"/>
      <c r="O367" s="1"/>
      <c r="P367" s="1"/>
      <c r="Q367" s="1"/>
      <c r="R367" s="1"/>
      <c r="S367" s="1"/>
      <c r="T367" s="1"/>
    </row>
    <row r="368" ht="14.25" customHeight="1">
      <c r="A368" s="52"/>
      <c r="B368" s="53"/>
      <c r="C368" s="53"/>
      <c r="D368" s="53"/>
      <c r="E368" s="53"/>
      <c r="F368" s="53"/>
      <c r="G368" s="1"/>
      <c r="H368" s="1"/>
      <c r="I368" s="1"/>
      <c r="J368" s="1"/>
      <c r="K368" s="1"/>
      <c r="L368" s="1"/>
      <c r="M368" s="1"/>
      <c r="N368" s="1"/>
      <c r="O368" s="1"/>
      <c r="P368" s="1"/>
      <c r="Q368" s="1"/>
      <c r="R368" s="1"/>
      <c r="S368" s="1"/>
      <c r="T368" s="1"/>
    </row>
    <row r="369" ht="14.25" customHeight="1">
      <c r="A369" s="52"/>
      <c r="B369" s="53"/>
      <c r="C369" s="53"/>
      <c r="D369" s="53"/>
      <c r="E369" s="53"/>
      <c r="F369" s="53"/>
      <c r="G369" s="1"/>
      <c r="H369" s="1"/>
      <c r="I369" s="1"/>
      <c r="J369" s="1"/>
      <c r="K369" s="1"/>
      <c r="L369" s="1"/>
      <c r="M369" s="1"/>
      <c r="N369" s="1"/>
      <c r="O369" s="1"/>
      <c r="P369" s="1"/>
      <c r="Q369" s="1"/>
      <c r="R369" s="1"/>
      <c r="S369" s="1"/>
      <c r="T369" s="1"/>
    </row>
    <row r="370" ht="14.25" customHeight="1">
      <c r="A370" s="52"/>
      <c r="B370" s="53"/>
      <c r="C370" s="53"/>
      <c r="D370" s="53"/>
      <c r="E370" s="53"/>
      <c r="F370" s="53"/>
      <c r="G370" s="1"/>
      <c r="H370" s="1"/>
      <c r="I370" s="1"/>
      <c r="J370" s="1"/>
      <c r="K370" s="1"/>
      <c r="L370" s="1"/>
      <c r="M370" s="1"/>
      <c r="N370" s="1"/>
      <c r="O370" s="1"/>
      <c r="P370" s="1"/>
      <c r="Q370" s="1"/>
      <c r="R370" s="1"/>
      <c r="S370" s="1"/>
      <c r="T370" s="1"/>
    </row>
    <row r="371" ht="14.25" customHeight="1">
      <c r="A371" s="52"/>
      <c r="B371" s="53"/>
      <c r="C371" s="53"/>
      <c r="D371" s="53"/>
      <c r="E371" s="53"/>
      <c r="F371" s="53"/>
      <c r="G371" s="1"/>
      <c r="H371" s="1"/>
      <c r="I371" s="1"/>
      <c r="J371" s="1"/>
      <c r="K371" s="1"/>
      <c r="L371" s="1"/>
      <c r="M371" s="1"/>
      <c r="N371" s="1"/>
      <c r="O371" s="1"/>
      <c r="P371" s="1"/>
      <c r="Q371" s="1"/>
      <c r="R371" s="1"/>
      <c r="S371" s="1"/>
      <c r="T371" s="1"/>
    </row>
    <row r="372" ht="14.25" customHeight="1">
      <c r="A372" s="52"/>
      <c r="B372" s="53"/>
      <c r="C372" s="53"/>
      <c r="D372" s="53"/>
      <c r="E372" s="53"/>
      <c r="F372" s="53"/>
      <c r="G372" s="1"/>
      <c r="H372" s="1"/>
      <c r="I372" s="1"/>
      <c r="J372" s="1"/>
      <c r="K372" s="1"/>
      <c r="L372" s="1"/>
      <c r="M372" s="1"/>
      <c r="N372" s="1"/>
      <c r="O372" s="1"/>
      <c r="P372" s="1"/>
      <c r="Q372" s="1"/>
      <c r="R372" s="1"/>
      <c r="S372" s="1"/>
      <c r="T372" s="1"/>
    </row>
    <row r="373" ht="14.25" customHeight="1">
      <c r="A373" s="52"/>
      <c r="B373" s="53"/>
      <c r="C373" s="53"/>
      <c r="D373" s="53"/>
      <c r="E373" s="53"/>
      <c r="F373" s="53"/>
      <c r="G373" s="1"/>
      <c r="H373" s="1"/>
      <c r="I373" s="1"/>
      <c r="J373" s="1"/>
      <c r="K373" s="1"/>
      <c r="L373" s="1"/>
      <c r="M373" s="1"/>
      <c r="N373" s="1"/>
      <c r="O373" s="1"/>
      <c r="P373" s="1"/>
      <c r="Q373" s="1"/>
      <c r="R373" s="1"/>
      <c r="S373" s="1"/>
      <c r="T373" s="1"/>
    </row>
    <row r="374" ht="14.25" customHeight="1">
      <c r="A374" s="52"/>
      <c r="B374" s="53"/>
      <c r="C374" s="53"/>
      <c r="D374" s="53"/>
      <c r="E374" s="53"/>
      <c r="F374" s="53"/>
      <c r="G374" s="1"/>
      <c r="H374" s="1"/>
      <c r="I374" s="1"/>
      <c r="J374" s="1"/>
      <c r="K374" s="1"/>
      <c r="L374" s="1"/>
      <c r="M374" s="1"/>
      <c r="N374" s="1"/>
      <c r="O374" s="1"/>
      <c r="P374" s="1"/>
      <c r="Q374" s="1"/>
      <c r="R374" s="1"/>
      <c r="S374" s="1"/>
      <c r="T374" s="1"/>
    </row>
    <row r="375" ht="14.25" customHeight="1">
      <c r="A375" s="52"/>
      <c r="B375" s="53"/>
      <c r="C375" s="53"/>
      <c r="D375" s="53"/>
      <c r="E375" s="53"/>
      <c r="F375" s="53"/>
      <c r="G375" s="1"/>
      <c r="H375" s="1"/>
      <c r="I375" s="1"/>
      <c r="J375" s="1"/>
      <c r="K375" s="1"/>
      <c r="L375" s="1"/>
      <c r="M375" s="1"/>
      <c r="N375" s="1"/>
      <c r="O375" s="1"/>
      <c r="P375" s="1"/>
      <c r="Q375" s="1"/>
      <c r="R375" s="1"/>
      <c r="S375" s="1"/>
      <c r="T375" s="1"/>
    </row>
    <row r="376" ht="14.25" customHeight="1">
      <c r="A376" s="52"/>
      <c r="B376" s="53"/>
      <c r="C376" s="53"/>
      <c r="D376" s="53"/>
      <c r="E376" s="53"/>
      <c r="F376" s="53"/>
      <c r="G376" s="1"/>
      <c r="H376" s="1"/>
      <c r="I376" s="1"/>
      <c r="J376" s="1"/>
      <c r="K376" s="1"/>
      <c r="L376" s="1"/>
      <c r="M376" s="1"/>
      <c r="N376" s="1"/>
      <c r="O376" s="1"/>
      <c r="P376" s="1"/>
      <c r="Q376" s="1"/>
      <c r="R376" s="1"/>
      <c r="S376" s="1"/>
      <c r="T376" s="1"/>
    </row>
    <row r="377" ht="14.25" customHeight="1">
      <c r="A377" s="52"/>
      <c r="B377" s="53"/>
      <c r="C377" s="53"/>
      <c r="D377" s="53"/>
      <c r="E377" s="53"/>
      <c r="F377" s="53"/>
      <c r="G377" s="1"/>
      <c r="H377" s="1"/>
      <c r="I377" s="1"/>
      <c r="J377" s="1"/>
      <c r="K377" s="1"/>
      <c r="L377" s="1"/>
      <c r="M377" s="1"/>
      <c r="N377" s="1"/>
      <c r="O377" s="1"/>
      <c r="P377" s="1"/>
      <c r="Q377" s="1"/>
      <c r="R377" s="1"/>
      <c r="S377" s="1"/>
      <c r="T377" s="1"/>
    </row>
    <row r="378" ht="14.25" customHeight="1">
      <c r="A378" s="52"/>
      <c r="B378" s="53"/>
      <c r="C378" s="53"/>
      <c r="D378" s="53"/>
      <c r="E378" s="53"/>
      <c r="F378" s="53"/>
      <c r="G378" s="1"/>
      <c r="H378" s="1"/>
      <c r="I378" s="1"/>
      <c r="J378" s="1"/>
      <c r="K378" s="1"/>
      <c r="L378" s="1"/>
      <c r="M378" s="1"/>
      <c r="N378" s="1"/>
      <c r="O378" s="1"/>
      <c r="P378" s="1"/>
      <c r="Q378" s="1"/>
      <c r="R378" s="1"/>
      <c r="S378" s="1"/>
      <c r="T378" s="1"/>
    </row>
    <row r="379" ht="14.25" customHeight="1">
      <c r="A379" s="52"/>
      <c r="B379" s="53"/>
      <c r="C379" s="53"/>
      <c r="D379" s="53"/>
      <c r="E379" s="53"/>
      <c r="F379" s="53"/>
      <c r="G379" s="1"/>
      <c r="H379" s="1"/>
      <c r="I379" s="1"/>
      <c r="J379" s="1"/>
      <c r="K379" s="1"/>
      <c r="L379" s="1"/>
      <c r="M379" s="1"/>
      <c r="N379" s="1"/>
      <c r="O379" s="1"/>
      <c r="P379" s="1"/>
      <c r="Q379" s="1"/>
      <c r="R379" s="1"/>
      <c r="S379" s="1"/>
      <c r="T379" s="1"/>
    </row>
    <row r="380" ht="14.25" customHeight="1">
      <c r="A380" s="52"/>
      <c r="B380" s="53"/>
      <c r="C380" s="53"/>
      <c r="D380" s="53"/>
      <c r="E380" s="53"/>
      <c r="F380" s="53"/>
      <c r="G380" s="1"/>
      <c r="H380" s="1"/>
      <c r="I380" s="1"/>
      <c r="J380" s="1"/>
      <c r="K380" s="1"/>
      <c r="L380" s="1"/>
      <c r="M380" s="1"/>
      <c r="N380" s="1"/>
      <c r="O380" s="1"/>
      <c r="P380" s="1"/>
      <c r="Q380" s="1"/>
      <c r="R380" s="1"/>
      <c r="S380" s="1"/>
      <c r="T380" s="1"/>
    </row>
    <row r="381" ht="14.25" customHeight="1">
      <c r="A381" s="52"/>
      <c r="B381" s="53"/>
      <c r="C381" s="53"/>
      <c r="D381" s="53"/>
      <c r="E381" s="53"/>
      <c r="F381" s="53"/>
      <c r="G381" s="1"/>
      <c r="H381" s="1"/>
      <c r="I381" s="1"/>
      <c r="J381" s="1"/>
      <c r="K381" s="1"/>
      <c r="L381" s="1"/>
      <c r="M381" s="1"/>
      <c r="N381" s="1"/>
      <c r="O381" s="1"/>
      <c r="P381" s="1"/>
      <c r="Q381" s="1"/>
      <c r="R381" s="1"/>
      <c r="S381" s="1"/>
      <c r="T381" s="1"/>
    </row>
    <row r="382" ht="14.25" customHeight="1">
      <c r="A382" s="52"/>
      <c r="B382" s="53"/>
      <c r="C382" s="53"/>
      <c r="D382" s="53"/>
      <c r="E382" s="53"/>
      <c r="F382" s="53"/>
      <c r="G382" s="1"/>
      <c r="H382" s="1"/>
      <c r="I382" s="1"/>
      <c r="J382" s="1"/>
      <c r="K382" s="1"/>
      <c r="L382" s="1"/>
      <c r="M382" s="1"/>
      <c r="N382" s="1"/>
      <c r="O382" s="1"/>
      <c r="P382" s="1"/>
      <c r="Q382" s="1"/>
      <c r="R382" s="1"/>
      <c r="S382" s="1"/>
      <c r="T382" s="1"/>
    </row>
    <row r="383" ht="14.25" customHeight="1">
      <c r="A383" s="52"/>
      <c r="B383" s="53"/>
      <c r="C383" s="53"/>
      <c r="D383" s="53"/>
      <c r="E383" s="53"/>
      <c r="F383" s="53"/>
      <c r="G383" s="1"/>
      <c r="H383" s="1"/>
      <c r="I383" s="1"/>
      <c r="J383" s="1"/>
      <c r="K383" s="1"/>
      <c r="L383" s="1"/>
      <c r="M383" s="1"/>
      <c r="N383" s="1"/>
      <c r="O383" s="1"/>
      <c r="P383" s="1"/>
      <c r="Q383" s="1"/>
      <c r="R383" s="1"/>
      <c r="S383" s="1"/>
      <c r="T383" s="1"/>
    </row>
    <row r="384" ht="14.25" customHeight="1">
      <c r="A384" s="52"/>
      <c r="B384" s="53"/>
      <c r="C384" s="53"/>
      <c r="D384" s="53"/>
      <c r="E384" s="53"/>
      <c r="F384" s="53"/>
      <c r="G384" s="1"/>
      <c r="H384" s="1"/>
      <c r="I384" s="1"/>
      <c r="J384" s="1"/>
      <c r="K384" s="1"/>
      <c r="L384" s="1"/>
      <c r="M384" s="1"/>
      <c r="N384" s="1"/>
      <c r="O384" s="1"/>
      <c r="P384" s="1"/>
      <c r="Q384" s="1"/>
      <c r="R384" s="1"/>
      <c r="S384" s="1"/>
      <c r="T384" s="1"/>
    </row>
    <row r="385" ht="14.25" customHeight="1">
      <c r="A385" s="52"/>
      <c r="B385" s="53"/>
      <c r="C385" s="53"/>
      <c r="D385" s="53"/>
      <c r="E385" s="53"/>
      <c r="F385" s="53"/>
      <c r="G385" s="1"/>
      <c r="H385" s="1"/>
      <c r="I385" s="1"/>
      <c r="J385" s="1"/>
      <c r="K385" s="1"/>
      <c r="L385" s="1"/>
      <c r="M385" s="1"/>
      <c r="N385" s="1"/>
      <c r="O385" s="1"/>
      <c r="P385" s="1"/>
      <c r="Q385" s="1"/>
      <c r="R385" s="1"/>
      <c r="S385" s="1"/>
      <c r="T385" s="1"/>
    </row>
    <row r="386" ht="14.25" customHeight="1">
      <c r="A386" s="52"/>
      <c r="B386" s="53"/>
      <c r="C386" s="53"/>
      <c r="D386" s="53"/>
      <c r="E386" s="53"/>
      <c r="F386" s="53"/>
      <c r="G386" s="1"/>
      <c r="H386" s="1"/>
      <c r="I386" s="1"/>
      <c r="J386" s="1"/>
      <c r="K386" s="1"/>
      <c r="L386" s="1"/>
      <c r="M386" s="1"/>
      <c r="N386" s="1"/>
      <c r="O386" s="1"/>
      <c r="P386" s="1"/>
      <c r="Q386" s="1"/>
      <c r="R386" s="1"/>
      <c r="S386" s="1"/>
      <c r="T386" s="1"/>
    </row>
    <row r="387" ht="14.25" customHeight="1">
      <c r="A387" s="52"/>
      <c r="B387" s="53"/>
      <c r="C387" s="53"/>
      <c r="D387" s="53"/>
      <c r="E387" s="53"/>
      <c r="F387" s="53"/>
      <c r="G387" s="1"/>
      <c r="H387" s="1"/>
      <c r="I387" s="1"/>
      <c r="J387" s="1"/>
      <c r="K387" s="1"/>
      <c r="L387" s="1"/>
      <c r="M387" s="1"/>
      <c r="N387" s="1"/>
      <c r="O387" s="1"/>
      <c r="P387" s="1"/>
      <c r="Q387" s="1"/>
      <c r="R387" s="1"/>
      <c r="S387" s="1"/>
      <c r="T387" s="1"/>
    </row>
    <row r="388" ht="14.25" customHeight="1">
      <c r="A388" s="52"/>
      <c r="B388" s="53"/>
      <c r="C388" s="53"/>
      <c r="D388" s="53"/>
      <c r="E388" s="53"/>
      <c r="F388" s="53"/>
      <c r="G388" s="1"/>
      <c r="H388" s="1"/>
      <c r="I388" s="1"/>
      <c r="J388" s="1"/>
      <c r="K388" s="1"/>
      <c r="L388" s="1"/>
      <c r="M388" s="1"/>
      <c r="N388" s="1"/>
      <c r="O388" s="1"/>
      <c r="P388" s="1"/>
      <c r="Q388" s="1"/>
      <c r="R388" s="1"/>
      <c r="S388" s="1"/>
      <c r="T388" s="1"/>
    </row>
    <row r="389" ht="14.25" customHeight="1">
      <c r="A389" s="52"/>
      <c r="B389" s="53"/>
      <c r="C389" s="53"/>
      <c r="D389" s="53"/>
      <c r="E389" s="53"/>
      <c r="F389" s="53"/>
      <c r="G389" s="1"/>
      <c r="H389" s="1"/>
      <c r="I389" s="1"/>
      <c r="J389" s="1"/>
      <c r="K389" s="1"/>
      <c r="L389" s="1"/>
      <c r="M389" s="1"/>
      <c r="N389" s="1"/>
      <c r="O389" s="1"/>
      <c r="P389" s="1"/>
      <c r="Q389" s="1"/>
      <c r="R389" s="1"/>
      <c r="S389" s="1"/>
      <c r="T389" s="1"/>
    </row>
    <row r="390" ht="14.25" customHeight="1">
      <c r="A390" s="52"/>
      <c r="B390" s="53"/>
      <c r="C390" s="53"/>
      <c r="D390" s="53"/>
      <c r="E390" s="53"/>
      <c r="F390" s="53"/>
      <c r="G390" s="1"/>
      <c r="H390" s="1"/>
      <c r="I390" s="1"/>
      <c r="J390" s="1"/>
      <c r="K390" s="1"/>
      <c r="L390" s="1"/>
      <c r="M390" s="1"/>
      <c r="N390" s="1"/>
      <c r="O390" s="1"/>
      <c r="P390" s="1"/>
      <c r="Q390" s="1"/>
      <c r="R390" s="1"/>
      <c r="S390" s="1"/>
      <c r="T390" s="1"/>
    </row>
    <row r="391" ht="14.25" customHeight="1">
      <c r="A391" s="52"/>
      <c r="B391" s="53"/>
      <c r="C391" s="53"/>
      <c r="D391" s="53"/>
      <c r="E391" s="53"/>
      <c r="F391" s="53"/>
      <c r="G391" s="1"/>
      <c r="H391" s="1"/>
      <c r="I391" s="1"/>
      <c r="J391" s="1"/>
      <c r="K391" s="1"/>
      <c r="L391" s="1"/>
      <c r="M391" s="1"/>
      <c r="N391" s="1"/>
      <c r="O391" s="1"/>
      <c r="P391" s="1"/>
      <c r="Q391" s="1"/>
      <c r="R391" s="1"/>
      <c r="S391" s="1"/>
      <c r="T391" s="1"/>
    </row>
    <row r="392" ht="14.25" customHeight="1">
      <c r="A392" s="52"/>
      <c r="B392" s="53"/>
      <c r="C392" s="53"/>
      <c r="D392" s="53"/>
      <c r="E392" s="53"/>
      <c r="F392" s="53"/>
      <c r="G392" s="1"/>
      <c r="H392" s="1"/>
      <c r="I392" s="1"/>
      <c r="J392" s="1"/>
      <c r="K392" s="1"/>
      <c r="L392" s="1"/>
      <c r="M392" s="1"/>
      <c r="N392" s="1"/>
      <c r="O392" s="1"/>
      <c r="P392" s="1"/>
      <c r="Q392" s="1"/>
      <c r="R392" s="1"/>
      <c r="S392" s="1"/>
      <c r="T392" s="1"/>
    </row>
    <row r="393" ht="14.25" customHeight="1">
      <c r="A393" s="52"/>
      <c r="B393" s="53"/>
      <c r="C393" s="53"/>
      <c r="D393" s="53"/>
      <c r="E393" s="53"/>
      <c r="F393" s="53"/>
      <c r="G393" s="1"/>
      <c r="H393" s="1"/>
      <c r="I393" s="1"/>
      <c r="J393" s="1"/>
      <c r="K393" s="1"/>
      <c r="L393" s="1"/>
      <c r="M393" s="1"/>
      <c r="N393" s="1"/>
      <c r="O393" s="1"/>
      <c r="P393" s="1"/>
      <c r="Q393" s="1"/>
      <c r="R393" s="1"/>
      <c r="S393" s="1"/>
      <c r="T393" s="1"/>
    </row>
    <row r="394" ht="14.25" customHeight="1">
      <c r="A394" s="52"/>
      <c r="B394" s="53"/>
      <c r="C394" s="53"/>
      <c r="D394" s="53"/>
      <c r="E394" s="53"/>
      <c r="F394" s="53"/>
      <c r="G394" s="1"/>
      <c r="H394" s="1"/>
      <c r="I394" s="1"/>
      <c r="J394" s="1"/>
      <c r="K394" s="1"/>
      <c r="L394" s="1"/>
      <c r="M394" s="1"/>
      <c r="N394" s="1"/>
      <c r="O394" s="1"/>
      <c r="P394" s="1"/>
      <c r="Q394" s="1"/>
      <c r="R394" s="1"/>
      <c r="S394" s="1"/>
      <c r="T394" s="1"/>
    </row>
    <row r="395" ht="14.25" customHeight="1">
      <c r="A395" s="52"/>
      <c r="B395" s="53"/>
      <c r="C395" s="53"/>
      <c r="D395" s="53"/>
      <c r="E395" s="53"/>
      <c r="F395" s="53"/>
      <c r="G395" s="1"/>
      <c r="H395" s="1"/>
      <c r="I395" s="1"/>
      <c r="J395" s="1"/>
      <c r="K395" s="1"/>
      <c r="L395" s="1"/>
      <c r="M395" s="1"/>
      <c r="N395" s="1"/>
      <c r="O395" s="1"/>
      <c r="P395" s="1"/>
      <c r="Q395" s="1"/>
      <c r="R395" s="1"/>
      <c r="S395" s="1"/>
      <c r="T395" s="1"/>
    </row>
    <row r="396" ht="14.25" customHeight="1">
      <c r="A396" s="52"/>
      <c r="B396" s="53"/>
      <c r="C396" s="53"/>
      <c r="D396" s="53"/>
      <c r="E396" s="53"/>
      <c r="F396" s="53"/>
      <c r="G396" s="1"/>
      <c r="H396" s="1"/>
      <c r="I396" s="1"/>
      <c r="J396" s="1"/>
      <c r="K396" s="1"/>
      <c r="L396" s="1"/>
      <c r="M396" s="1"/>
      <c r="N396" s="1"/>
      <c r="O396" s="1"/>
      <c r="P396" s="1"/>
      <c r="Q396" s="1"/>
      <c r="R396" s="1"/>
      <c r="S396" s="1"/>
      <c r="T396" s="1"/>
    </row>
    <row r="397" ht="14.25" customHeight="1">
      <c r="A397" s="52"/>
      <c r="B397" s="53"/>
      <c r="C397" s="53"/>
      <c r="D397" s="53"/>
      <c r="E397" s="53"/>
      <c r="F397" s="53"/>
      <c r="G397" s="1"/>
      <c r="H397" s="1"/>
      <c r="I397" s="1"/>
      <c r="J397" s="1"/>
      <c r="K397" s="1"/>
      <c r="L397" s="1"/>
      <c r="M397" s="1"/>
      <c r="N397" s="1"/>
      <c r="O397" s="1"/>
      <c r="P397" s="1"/>
      <c r="Q397" s="1"/>
      <c r="R397" s="1"/>
      <c r="S397" s="1"/>
      <c r="T397" s="1"/>
    </row>
    <row r="398" ht="14.25" customHeight="1">
      <c r="A398" s="52"/>
      <c r="B398" s="53"/>
      <c r="C398" s="53"/>
      <c r="D398" s="53"/>
      <c r="E398" s="53"/>
      <c r="F398" s="53"/>
      <c r="G398" s="1"/>
      <c r="H398" s="1"/>
      <c r="I398" s="1"/>
      <c r="J398" s="1"/>
      <c r="K398" s="1"/>
      <c r="L398" s="1"/>
      <c r="M398" s="1"/>
      <c r="N398" s="1"/>
      <c r="O398" s="1"/>
      <c r="P398" s="1"/>
      <c r="Q398" s="1"/>
      <c r="R398" s="1"/>
      <c r="S398" s="1"/>
      <c r="T398" s="1"/>
    </row>
    <row r="399" ht="14.25" customHeight="1">
      <c r="A399" s="52"/>
      <c r="B399" s="53"/>
      <c r="C399" s="53"/>
      <c r="D399" s="53"/>
      <c r="E399" s="53"/>
      <c r="F399" s="53"/>
      <c r="G399" s="1"/>
      <c r="H399" s="1"/>
      <c r="I399" s="1"/>
      <c r="J399" s="1"/>
      <c r="K399" s="1"/>
      <c r="L399" s="1"/>
      <c r="M399" s="1"/>
      <c r="N399" s="1"/>
      <c r="O399" s="1"/>
      <c r="P399" s="1"/>
      <c r="Q399" s="1"/>
      <c r="R399" s="1"/>
      <c r="S399" s="1"/>
      <c r="T399" s="1"/>
    </row>
    <row r="400" ht="14.25" customHeight="1">
      <c r="A400" s="52"/>
      <c r="B400" s="53"/>
      <c r="C400" s="53"/>
      <c r="D400" s="53"/>
      <c r="E400" s="53"/>
      <c r="F400" s="53"/>
      <c r="G400" s="1"/>
      <c r="H400" s="1"/>
      <c r="I400" s="1"/>
      <c r="J400" s="1"/>
      <c r="K400" s="1"/>
      <c r="L400" s="1"/>
      <c r="M400" s="1"/>
      <c r="N400" s="1"/>
      <c r="O400" s="1"/>
      <c r="P400" s="1"/>
      <c r="Q400" s="1"/>
      <c r="R400" s="1"/>
      <c r="S400" s="1"/>
      <c r="T400" s="1"/>
    </row>
    <row r="401" ht="14.25" customHeight="1">
      <c r="A401" s="52"/>
      <c r="B401" s="53"/>
      <c r="C401" s="53"/>
      <c r="D401" s="53"/>
      <c r="E401" s="53"/>
      <c r="F401" s="53"/>
      <c r="G401" s="1"/>
      <c r="H401" s="1"/>
      <c r="I401" s="1"/>
      <c r="J401" s="1"/>
      <c r="K401" s="1"/>
      <c r="L401" s="1"/>
      <c r="M401" s="1"/>
      <c r="N401" s="1"/>
      <c r="O401" s="1"/>
      <c r="P401" s="1"/>
      <c r="Q401" s="1"/>
      <c r="R401" s="1"/>
      <c r="S401" s="1"/>
      <c r="T401" s="1"/>
    </row>
    <row r="402" ht="14.25" customHeight="1">
      <c r="A402" s="52"/>
      <c r="B402" s="53"/>
      <c r="C402" s="53"/>
      <c r="D402" s="53"/>
      <c r="E402" s="53"/>
      <c r="F402" s="53"/>
      <c r="G402" s="1"/>
      <c r="H402" s="1"/>
      <c r="I402" s="1"/>
      <c r="J402" s="1"/>
      <c r="K402" s="1"/>
      <c r="L402" s="1"/>
      <c r="M402" s="1"/>
      <c r="N402" s="1"/>
      <c r="O402" s="1"/>
      <c r="P402" s="1"/>
      <c r="Q402" s="1"/>
      <c r="R402" s="1"/>
      <c r="S402" s="1"/>
      <c r="T402" s="1"/>
    </row>
    <row r="403" ht="14.25" customHeight="1">
      <c r="A403" s="52"/>
      <c r="B403" s="53"/>
      <c r="C403" s="53"/>
      <c r="D403" s="53"/>
      <c r="E403" s="53"/>
      <c r="F403" s="53"/>
      <c r="G403" s="1"/>
      <c r="H403" s="1"/>
      <c r="I403" s="1"/>
      <c r="J403" s="1"/>
      <c r="K403" s="1"/>
      <c r="L403" s="1"/>
      <c r="M403" s="1"/>
      <c r="N403" s="1"/>
      <c r="O403" s="1"/>
      <c r="P403" s="1"/>
      <c r="Q403" s="1"/>
      <c r="R403" s="1"/>
      <c r="S403" s="1"/>
      <c r="T403" s="1"/>
    </row>
    <row r="404" ht="14.25" customHeight="1">
      <c r="A404" s="52"/>
      <c r="B404" s="53"/>
      <c r="C404" s="53"/>
      <c r="D404" s="53"/>
      <c r="E404" s="53"/>
      <c r="F404" s="53"/>
      <c r="G404" s="1"/>
      <c r="H404" s="1"/>
      <c r="I404" s="1"/>
      <c r="J404" s="1"/>
      <c r="K404" s="1"/>
      <c r="L404" s="1"/>
      <c r="M404" s="1"/>
      <c r="N404" s="1"/>
      <c r="O404" s="1"/>
      <c r="P404" s="1"/>
      <c r="Q404" s="1"/>
      <c r="R404" s="1"/>
      <c r="S404" s="1"/>
      <c r="T404" s="1"/>
    </row>
    <row r="405" ht="14.25" customHeight="1">
      <c r="A405" s="52"/>
      <c r="B405" s="53"/>
      <c r="C405" s="53"/>
      <c r="D405" s="53"/>
      <c r="E405" s="53"/>
      <c r="F405" s="53"/>
      <c r="G405" s="1"/>
      <c r="H405" s="1"/>
      <c r="I405" s="1"/>
      <c r="J405" s="1"/>
      <c r="K405" s="1"/>
      <c r="L405" s="1"/>
      <c r="M405" s="1"/>
      <c r="N405" s="1"/>
      <c r="O405" s="1"/>
      <c r="P405" s="1"/>
      <c r="Q405" s="1"/>
      <c r="R405" s="1"/>
      <c r="S405" s="1"/>
      <c r="T405" s="1"/>
    </row>
    <row r="406" ht="14.25" customHeight="1">
      <c r="A406" s="52"/>
      <c r="B406" s="53"/>
      <c r="C406" s="53"/>
      <c r="D406" s="53"/>
      <c r="E406" s="53"/>
      <c r="F406" s="53"/>
      <c r="G406" s="1"/>
      <c r="H406" s="1"/>
      <c r="I406" s="1"/>
      <c r="J406" s="1"/>
      <c r="K406" s="1"/>
      <c r="L406" s="1"/>
      <c r="M406" s="1"/>
      <c r="N406" s="1"/>
      <c r="O406" s="1"/>
      <c r="P406" s="1"/>
      <c r="Q406" s="1"/>
      <c r="R406" s="1"/>
      <c r="S406" s="1"/>
      <c r="T406" s="1"/>
    </row>
    <row r="407" ht="14.25" customHeight="1">
      <c r="A407" s="52"/>
      <c r="B407" s="53"/>
      <c r="C407" s="53"/>
      <c r="D407" s="53"/>
      <c r="E407" s="53"/>
      <c r="F407" s="53"/>
      <c r="G407" s="1"/>
      <c r="H407" s="1"/>
      <c r="I407" s="1"/>
      <c r="J407" s="1"/>
      <c r="K407" s="1"/>
      <c r="L407" s="1"/>
      <c r="M407" s="1"/>
      <c r="N407" s="1"/>
      <c r="O407" s="1"/>
      <c r="P407" s="1"/>
      <c r="Q407" s="1"/>
      <c r="R407" s="1"/>
      <c r="S407" s="1"/>
      <c r="T407" s="1"/>
    </row>
    <row r="408" ht="14.25" customHeight="1">
      <c r="A408" s="52"/>
      <c r="B408" s="53"/>
      <c r="C408" s="53"/>
      <c r="D408" s="53"/>
      <c r="E408" s="53"/>
      <c r="F408" s="53"/>
      <c r="G408" s="1"/>
      <c r="H408" s="1"/>
      <c r="I408" s="1"/>
      <c r="J408" s="1"/>
      <c r="K408" s="1"/>
      <c r="L408" s="1"/>
      <c r="M408" s="1"/>
      <c r="N408" s="1"/>
      <c r="O408" s="1"/>
      <c r="P408" s="1"/>
      <c r="Q408" s="1"/>
      <c r="R408" s="1"/>
      <c r="S408" s="1"/>
      <c r="T408" s="1"/>
    </row>
    <row r="409" ht="14.25" customHeight="1">
      <c r="A409" s="52"/>
      <c r="B409" s="53"/>
      <c r="C409" s="53"/>
      <c r="D409" s="53"/>
      <c r="E409" s="53"/>
      <c r="F409" s="53"/>
      <c r="G409" s="1"/>
      <c r="H409" s="1"/>
      <c r="I409" s="1"/>
      <c r="J409" s="1"/>
      <c r="K409" s="1"/>
      <c r="L409" s="1"/>
      <c r="M409" s="1"/>
      <c r="N409" s="1"/>
      <c r="O409" s="1"/>
      <c r="P409" s="1"/>
      <c r="Q409" s="1"/>
      <c r="R409" s="1"/>
      <c r="S409" s="1"/>
      <c r="T409" s="1"/>
    </row>
    <row r="410" ht="14.25" customHeight="1">
      <c r="A410" s="52"/>
      <c r="B410" s="53"/>
      <c r="C410" s="53"/>
      <c r="D410" s="53"/>
      <c r="E410" s="53"/>
      <c r="F410" s="53"/>
      <c r="G410" s="1"/>
      <c r="H410" s="1"/>
      <c r="I410" s="1"/>
      <c r="J410" s="1"/>
      <c r="K410" s="1"/>
      <c r="L410" s="1"/>
      <c r="M410" s="1"/>
      <c r="N410" s="1"/>
      <c r="O410" s="1"/>
      <c r="P410" s="1"/>
      <c r="Q410" s="1"/>
      <c r="R410" s="1"/>
      <c r="S410" s="1"/>
      <c r="T410" s="1"/>
    </row>
    <row r="411" ht="14.25" customHeight="1">
      <c r="A411" s="52"/>
      <c r="B411" s="53"/>
      <c r="C411" s="53"/>
      <c r="D411" s="53"/>
      <c r="E411" s="53"/>
      <c r="F411" s="53"/>
      <c r="G411" s="1"/>
      <c r="H411" s="1"/>
      <c r="I411" s="1"/>
      <c r="J411" s="1"/>
      <c r="K411" s="1"/>
      <c r="L411" s="1"/>
      <c r="M411" s="1"/>
      <c r="N411" s="1"/>
      <c r="O411" s="1"/>
      <c r="P411" s="1"/>
      <c r="Q411" s="1"/>
      <c r="R411" s="1"/>
      <c r="S411" s="1"/>
      <c r="T411" s="1"/>
    </row>
    <row r="412" ht="14.25" customHeight="1">
      <c r="A412" s="52"/>
      <c r="B412" s="53"/>
      <c r="C412" s="53"/>
      <c r="D412" s="53"/>
      <c r="E412" s="53"/>
      <c r="F412" s="53"/>
      <c r="G412" s="1"/>
      <c r="H412" s="1"/>
      <c r="I412" s="1"/>
      <c r="J412" s="1"/>
      <c r="K412" s="1"/>
      <c r="L412" s="1"/>
      <c r="M412" s="1"/>
      <c r="N412" s="1"/>
      <c r="O412" s="1"/>
      <c r="P412" s="1"/>
      <c r="Q412" s="1"/>
      <c r="R412" s="1"/>
      <c r="S412" s="1"/>
      <c r="T412" s="1"/>
    </row>
    <row r="413" ht="14.25" customHeight="1">
      <c r="A413" s="52"/>
      <c r="B413" s="53"/>
      <c r="C413" s="53"/>
      <c r="D413" s="53"/>
      <c r="E413" s="53"/>
      <c r="F413" s="53"/>
      <c r="G413" s="1"/>
      <c r="H413" s="1"/>
      <c r="I413" s="1"/>
      <c r="J413" s="1"/>
      <c r="K413" s="1"/>
      <c r="L413" s="1"/>
      <c r="M413" s="1"/>
      <c r="N413" s="1"/>
      <c r="O413" s="1"/>
      <c r="P413" s="1"/>
      <c r="Q413" s="1"/>
      <c r="R413" s="1"/>
      <c r="S413" s="1"/>
      <c r="T413" s="1"/>
    </row>
    <row r="414" ht="14.25" customHeight="1">
      <c r="A414" s="52"/>
      <c r="B414" s="53"/>
      <c r="C414" s="53"/>
      <c r="D414" s="53"/>
      <c r="E414" s="53"/>
      <c r="F414" s="53"/>
      <c r="G414" s="1"/>
      <c r="H414" s="1"/>
      <c r="I414" s="1"/>
      <c r="J414" s="1"/>
      <c r="K414" s="1"/>
      <c r="L414" s="1"/>
      <c r="M414" s="1"/>
      <c r="N414" s="1"/>
      <c r="O414" s="1"/>
      <c r="P414" s="1"/>
      <c r="Q414" s="1"/>
      <c r="R414" s="1"/>
      <c r="S414" s="1"/>
      <c r="T414" s="1"/>
    </row>
    <row r="415" ht="14.25" customHeight="1">
      <c r="A415" s="52"/>
      <c r="B415" s="53"/>
      <c r="C415" s="53"/>
      <c r="D415" s="53"/>
      <c r="E415" s="53"/>
      <c r="F415" s="53"/>
      <c r="G415" s="1"/>
      <c r="H415" s="1"/>
      <c r="I415" s="1"/>
      <c r="J415" s="1"/>
      <c r="K415" s="1"/>
      <c r="L415" s="1"/>
      <c r="M415" s="1"/>
      <c r="N415" s="1"/>
      <c r="O415" s="1"/>
      <c r="P415" s="1"/>
      <c r="Q415" s="1"/>
      <c r="R415" s="1"/>
      <c r="S415" s="1"/>
      <c r="T415" s="1"/>
    </row>
    <row r="416" ht="14.25" customHeight="1">
      <c r="A416" s="52"/>
      <c r="B416" s="53"/>
      <c r="C416" s="53"/>
      <c r="D416" s="53"/>
      <c r="E416" s="53"/>
      <c r="F416" s="53"/>
      <c r="G416" s="1"/>
      <c r="H416" s="1"/>
      <c r="I416" s="1"/>
      <c r="J416" s="1"/>
      <c r="K416" s="1"/>
      <c r="L416" s="1"/>
      <c r="M416" s="1"/>
      <c r="N416" s="1"/>
      <c r="O416" s="1"/>
      <c r="P416" s="1"/>
      <c r="Q416" s="1"/>
      <c r="R416" s="1"/>
      <c r="S416" s="1"/>
      <c r="T416" s="1"/>
    </row>
    <row r="417" ht="14.25" customHeight="1">
      <c r="A417" s="52"/>
      <c r="B417" s="53"/>
      <c r="C417" s="53"/>
      <c r="D417" s="53"/>
      <c r="E417" s="53"/>
      <c r="F417" s="53"/>
      <c r="G417" s="1"/>
      <c r="H417" s="1"/>
      <c r="I417" s="1"/>
      <c r="J417" s="1"/>
      <c r="K417" s="1"/>
      <c r="L417" s="1"/>
      <c r="M417" s="1"/>
      <c r="N417" s="1"/>
      <c r="O417" s="1"/>
      <c r="P417" s="1"/>
      <c r="Q417" s="1"/>
      <c r="R417" s="1"/>
      <c r="S417" s="1"/>
      <c r="T417" s="1"/>
    </row>
    <row r="418" ht="14.25" customHeight="1">
      <c r="A418" s="52"/>
      <c r="B418" s="53"/>
      <c r="C418" s="53"/>
      <c r="D418" s="53"/>
      <c r="E418" s="53"/>
      <c r="F418" s="53"/>
      <c r="G418" s="1"/>
      <c r="H418" s="1"/>
      <c r="I418" s="1"/>
      <c r="J418" s="1"/>
      <c r="K418" s="1"/>
      <c r="L418" s="1"/>
      <c r="M418" s="1"/>
      <c r="N418" s="1"/>
      <c r="O418" s="1"/>
      <c r="P418" s="1"/>
      <c r="Q418" s="1"/>
      <c r="R418" s="1"/>
      <c r="S418" s="1"/>
      <c r="T418" s="1"/>
    </row>
    <row r="419" ht="14.25" customHeight="1">
      <c r="A419" s="52"/>
      <c r="B419" s="53"/>
      <c r="C419" s="53"/>
      <c r="D419" s="53"/>
      <c r="E419" s="53"/>
      <c r="F419" s="53"/>
      <c r="G419" s="1"/>
      <c r="H419" s="1"/>
      <c r="I419" s="1"/>
      <c r="J419" s="1"/>
      <c r="K419" s="1"/>
      <c r="L419" s="1"/>
      <c r="M419" s="1"/>
      <c r="N419" s="1"/>
      <c r="O419" s="1"/>
      <c r="P419" s="1"/>
      <c r="Q419" s="1"/>
      <c r="R419" s="1"/>
      <c r="S419" s="1"/>
      <c r="T419" s="1"/>
    </row>
    <row r="420" ht="14.25" customHeight="1">
      <c r="A420" s="52"/>
      <c r="B420" s="53"/>
      <c r="C420" s="53"/>
      <c r="D420" s="53"/>
      <c r="E420" s="53"/>
      <c r="F420" s="53"/>
      <c r="G420" s="1"/>
      <c r="H420" s="1"/>
      <c r="I420" s="1"/>
      <c r="J420" s="1"/>
      <c r="K420" s="1"/>
      <c r="L420" s="1"/>
      <c r="M420" s="1"/>
      <c r="N420" s="1"/>
      <c r="O420" s="1"/>
      <c r="P420" s="1"/>
      <c r="Q420" s="1"/>
      <c r="R420" s="1"/>
      <c r="S420" s="1"/>
      <c r="T420" s="1"/>
    </row>
    <row r="421" ht="14.25" customHeight="1">
      <c r="A421" s="52"/>
      <c r="B421" s="53"/>
      <c r="C421" s="53"/>
      <c r="D421" s="53"/>
      <c r="E421" s="53"/>
      <c r="F421" s="53"/>
      <c r="G421" s="1"/>
      <c r="H421" s="1"/>
      <c r="I421" s="1"/>
      <c r="J421" s="1"/>
      <c r="K421" s="1"/>
      <c r="L421" s="1"/>
      <c r="M421" s="1"/>
      <c r="N421" s="1"/>
      <c r="O421" s="1"/>
      <c r="P421" s="1"/>
      <c r="Q421" s="1"/>
      <c r="R421" s="1"/>
      <c r="S421" s="1"/>
      <c r="T421" s="1"/>
    </row>
    <row r="422" ht="14.25" customHeight="1">
      <c r="A422" s="52"/>
      <c r="B422" s="53"/>
      <c r="C422" s="53"/>
      <c r="D422" s="53"/>
      <c r="E422" s="53"/>
      <c r="F422" s="53"/>
      <c r="G422" s="1"/>
      <c r="H422" s="1"/>
      <c r="I422" s="1"/>
      <c r="J422" s="1"/>
      <c r="K422" s="1"/>
      <c r="L422" s="1"/>
      <c r="M422" s="1"/>
      <c r="N422" s="1"/>
      <c r="O422" s="1"/>
      <c r="P422" s="1"/>
      <c r="Q422" s="1"/>
      <c r="R422" s="1"/>
      <c r="S422" s="1"/>
      <c r="T422" s="1"/>
    </row>
    <row r="423" ht="14.25" customHeight="1">
      <c r="A423" s="52"/>
      <c r="B423" s="53"/>
      <c r="C423" s="53"/>
      <c r="D423" s="53"/>
      <c r="E423" s="53"/>
      <c r="F423" s="53"/>
      <c r="G423" s="1"/>
      <c r="H423" s="1"/>
      <c r="I423" s="1"/>
      <c r="J423" s="1"/>
      <c r="K423" s="1"/>
      <c r="L423" s="1"/>
      <c r="M423" s="1"/>
      <c r="N423" s="1"/>
      <c r="O423" s="1"/>
      <c r="P423" s="1"/>
      <c r="Q423" s="1"/>
      <c r="R423" s="1"/>
      <c r="S423" s="1"/>
      <c r="T423" s="1"/>
    </row>
    <row r="424" ht="14.25" customHeight="1">
      <c r="A424" s="52"/>
      <c r="B424" s="53"/>
      <c r="C424" s="53"/>
      <c r="D424" s="53"/>
      <c r="E424" s="53"/>
      <c r="F424" s="53"/>
      <c r="G424" s="1"/>
      <c r="H424" s="1"/>
      <c r="I424" s="1"/>
      <c r="J424" s="1"/>
      <c r="K424" s="1"/>
      <c r="L424" s="1"/>
      <c r="M424" s="1"/>
      <c r="N424" s="1"/>
      <c r="O424" s="1"/>
      <c r="P424" s="1"/>
      <c r="Q424" s="1"/>
      <c r="R424" s="1"/>
      <c r="S424" s="1"/>
      <c r="T424" s="1"/>
    </row>
    <row r="425" ht="14.25" customHeight="1">
      <c r="A425" s="52"/>
      <c r="B425" s="53"/>
      <c r="C425" s="53"/>
      <c r="D425" s="53"/>
      <c r="E425" s="53"/>
      <c r="F425" s="53"/>
      <c r="G425" s="1"/>
      <c r="H425" s="1"/>
      <c r="I425" s="1"/>
      <c r="J425" s="1"/>
      <c r="K425" s="1"/>
      <c r="L425" s="1"/>
      <c r="M425" s="1"/>
      <c r="N425" s="1"/>
      <c r="O425" s="1"/>
      <c r="P425" s="1"/>
      <c r="Q425" s="1"/>
      <c r="R425" s="1"/>
      <c r="S425" s="1"/>
      <c r="T425" s="1"/>
    </row>
    <row r="426" ht="14.25" customHeight="1">
      <c r="A426" s="52"/>
      <c r="B426" s="53"/>
      <c r="C426" s="53"/>
      <c r="D426" s="53"/>
      <c r="E426" s="53"/>
      <c r="F426" s="53"/>
      <c r="G426" s="1"/>
      <c r="H426" s="1"/>
      <c r="I426" s="1"/>
      <c r="J426" s="1"/>
      <c r="K426" s="1"/>
      <c r="L426" s="1"/>
      <c r="M426" s="1"/>
      <c r="N426" s="1"/>
      <c r="O426" s="1"/>
      <c r="P426" s="1"/>
      <c r="Q426" s="1"/>
      <c r="R426" s="1"/>
      <c r="S426" s="1"/>
      <c r="T426" s="1"/>
    </row>
    <row r="427" ht="14.25" customHeight="1">
      <c r="A427" s="52"/>
      <c r="B427" s="53"/>
      <c r="C427" s="53"/>
      <c r="D427" s="53"/>
      <c r="E427" s="53"/>
      <c r="F427" s="53"/>
      <c r="G427" s="1"/>
      <c r="H427" s="1"/>
      <c r="I427" s="1"/>
      <c r="J427" s="1"/>
      <c r="K427" s="1"/>
      <c r="L427" s="1"/>
      <c r="M427" s="1"/>
      <c r="N427" s="1"/>
      <c r="O427" s="1"/>
      <c r="P427" s="1"/>
      <c r="Q427" s="1"/>
      <c r="R427" s="1"/>
      <c r="S427" s="1"/>
      <c r="T427" s="1"/>
    </row>
    <row r="428" ht="14.25" customHeight="1">
      <c r="A428" s="52"/>
      <c r="B428" s="53"/>
      <c r="C428" s="53"/>
      <c r="D428" s="53"/>
      <c r="E428" s="53"/>
      <c r="F428" s="53"/>
      <c r="G428" s="1"/>
      <c r="H428" s="1"/>
      <c r="I428" s="1"/>
      <c r="J428" s="1"/>
      <c r="K428" s="1"/>
      <c r="L428" s="1"/>
      <c r="M428" s="1"/>
      <c r="N428" s="1"/>
      <c r="O428" s="1"/>
      <c r="P428" s="1"/>
      <c r="Q428" s="1"/>
      <c r="R428" s="1"/>
      <c r="S428" s="1"/>
      <c r="T428" s="1"/>
    </row>
    <row r="429" ht="14.25" customHeight="1">
      <c r="A429" s="52"/>
      <c r="B429" s="53"/>
      <c r="C429" s="53"/>
      <c r="D429" s="53"/>
      <c r="E429" s="53"/>
      <c r="F429" s="53"/>
      <c r="G429" s="1"/>
      <c r="H429" s="1"/>
      <c r="I429" s="1"/>
      <c r="J429" s="1"/>
      <c r="K429" s="1"/>
      <c r="L429" s="1"/>
      <c r="M429" s="1"/>
      <c r="N429" s="1"/>
      <c r="O429" s="1"/>
      <c r="P429" s="1"/>
      <c r="Q429" s="1"/>
      <c r="R429" s="1"/>
      <c r="S429" s="1"/>
      <c r="T429" s="1"/>
    </row>
    <row r="430" ht="14.25" customHeight="1">
      <c r="A430" s="52"/>
      <c r="B430" s="53"/>
      <c r="C430" s="53"/>
      <c r="D430" s="53"/>
      <c r="E430" s="53"/>
      <c r="F430" s="53"/>
      <c r="G430" s="1"/>
      <c r="H430" s="1"/>
      <c r="I430" s="1"/>
      <c r="J430" s="1"/>
      <c r="K430" s="1"/>
      <c r="L430" s="1"/>
      <c r="M430" s="1"/>
      <c r="N430" s="1"/>
      <c r="O430" s="1"/>
      <c r="P430" s="1"/>
      <c r="Q430" s="1"/>
      <c r="R430" s="1"/>
      <c r="S430" s="1"/>
      <c r="T430" s="1"/>
    </row>
    <row r="431" ht="14.25" customHeight="1">
      <c r="A431" s="52"/>
      <c r="B431" s="53"/>
      <c r="C431" s="53"/>
      <c r="D431" s="53"/>
      <c r="E431" s="53"/>
      <c r="F431" s="53"/>
      <c r="G431" s="1"/>
      <c r="H431" s="1"/>
      <c r="I431" s="1"/>
      <c r="J431" s="1"/>
      <c r="K431" s="1"/>
      <c r="L431" s="1"/>
      <c r="M431" s="1"/>
      <c r="N431" s="1"/>
      <c r="O431" s="1"/>
      <c r="P431" s="1"/>
      <c r="Q431" s="1"/>
      <c r="R431" s="1"/>
      <c r="S431" s="1"/>
      <c r="T431" s="1"/>
    </row>
    <row r="432" ht="14.25" customHeight="1">
      <c r="A432" s="52"/>
      <c r="B432" s="53"/>
      <c r="C432" s="53"/>
      <c r="D432" s="53"/>
      <c r="E432" s="53"/>
      <c r="F432" s="53"/>
      <c r="G432" s="1"/>
      <c r="H432" s="1"/>
      <c r="I432" s="1"/>
      <c r="J432" s="1"/>
      <c r="K432" s="1"/>
      <c r="L432" s="1"/>
      <c r="M432" s="1"/>
      <c r="N432" s="1"/>
      <c r="O432" s="1"/>
      <c r="P432" s="1"/>
      <c r="Q432" s="1"/>
      <c r="R432" s="1"/>
      <c r="S432" s="1"/>
      <c r="T432" s="1"/>
    </row>
    <row r="433" ht="14.25" customHeight="1">
      <c r="A433" s="52"/>
      <c r="B433" s="53"/>
      <c r="C433" s="53"/>
      <c r="D433" s="53"/>
      <c r="E433" s="53"/>
      <c r="F433" s="53"/>
      <c r="G433" s="1"/>
      <c r="H433" s="1"/>
      <c r="I433" s="1"/>
      <c r="J433" s="1"/>
      <c r="K433" s="1"/>
      <c r="L433" s="1"/>
      <c r="M433" s="1"/>
      <c r="N433" s="1"/>
      <c r="O433" s="1"/>
      <c r="P433" s="1"/>
      <c r="Q433" s="1"/>
      <c r="R433" s="1"/>
      <c r="S433" s="1"/>
      <c r="T433" s="1"/>
    </row>
    <row r="434" ht="14.25" customHeight="1">
      <c r="A434" s="52"/>
      <c r="B434" s="53"/>
      <c r="C434" s="53"/>
      <c r="D434" s="53"/>
      <c r="E434" s="53"/>
      <c r="F434" s="53"/>
      <c r="G434" s="1"/>
      <c r="H434" s="1"/>
      <c r="I434" s="1"/>
      <c r="J434" s="1"/>
      <c r="K434" s="1"/>
      <c r="L434" s="1"/>
      <c r="M434" s="1"/>
      <c r="N434" s="1"/>
      <c r="O434" s="1"/>
      <c r="P434" s="1"/>
      <c r="Q434" s="1"/>
      <c r="R434" s="1"/>
      <c r="S434" s="1"/>
      <c r="T434" s="1"/>
    </row>
    <row r="435" ht="14.25" customHeight="1">
      <c r="A435" s="52"/>
      <c r="B435" s="53"/>
      <c r="C435" s="53"/>
      <c r="D435" s="53"/>
      <c r="E435" s="53"/>
      <c r="F435" s="53"/>
      <c r="G435" s="1"/>
      <c r="H435" s="1"/>
      <c r="I435" s="1"/>
      <c r="J435" s="1"/>
      <c r="K435" s="1"/>
      <c r="L435" s="1"/>
      <c r="M435" s="1"/>
      <c r="N435" s="1"/>
      <c r="O435" s="1"/>
      <c r="P435" s="1"/>
      <c r="Q435" s="1"/>
      <c r="R435" s="1"/>
      <c r="S435" s="1"/>
      <c r="T435" s="1"/>
    </row>
    <row r="436" ht="14.25" customHeight="1">
      <c r="A436" s="52"/>
      <c r="B436" s="53"/>
      <c r="C436" s="53"/>
      <c r="D436" s="53"/>
      <c r="E436" s="53"/>
      <c r="F436" s="53"/>
      <c r="G436" s="1"/>
      <c r="H436" s="1"/>
      <c r="I436" s="1"/>
      <c r="J436" s="1"/>
      <c r="K436" s="1"/>
      <c r="L436" s="1"/>
      <c r="M436" s="1"/>
      <c r="N436" s="1"/>
      <c r="O436" s="1"/>
      <c r="P436" s="1"/>
      <c r="Q436" s="1"/>
      <c r="R436" s="1"/>
      <c r="S436" s="1"/>
      <c r="T436" s="1"/>
    </row>
    <row r="437" ht="14.25" customHeight="1">
      <c r="A437" s="52"/>
      <c r="B437" s="53"/>
      <c r="C437" s="53"/>
      <c r="D437" s="53"/>
      <c r="E437" s="53"/>
      <c r="F437" s="53"/>
      <c r="G437" s="1"/>
      <c r="H437" s="1"/>
      <c r="I437" s="1"/>
      <c r="J437" s="1"/>
      <c r="K437" s="1"/>
      <c r="L437" s="1"/>
      <c r="M437" s="1"/>
      <c r="N437" s="1"/>
      <c r="O437" s="1"/>
      <c r="P437" s="1"/>
      <c r="Q437" s="1"/>
      <c r="R437" s="1"/>
      <c r="S437" s="1"/>
      <c r="T437" s="1"/>
    </row>
    <row r="438" ht="14.25" customHeight="1">
      <c r="A438" s="52"/>
      <c r="B438" s="53"/>
      <c r="C438" s="53"/>
      <c r="D438" s="53"/>
      <c r="E438" s="53"/>
      <c r="F438" s="53"/>
      <c r="G438" s="1"/>
      <c r="H438" s="1"/>
      <c r="I438" s="1"/>
      <c r="J438" s="1"/>
      <c r="K438" s="1"/>
      <c r="L438" s="1"/>
      <c r="M438" s="1"/>
      <c r="N438" s="1"/>
      <c r="O438" s="1"/>
      <c r="P438" s="1"/>
      <c r="Q438" s="1"/>
      <c r="R438" s="1"/>
      <c r="S438" s="1"/>
      <c r="T438" s="1"/>
    </row>
    <row r="439" ht="14.25" customHeight="1">
      <c r="A439" s="52"/>
      <c r="B439" s="53"/>
      <c r="C439" s="53"/>
      <c r="D439" s="53"/>
      <c r="E439" s="53"/>
      <c r="F439" s="53"/>
      <c r="G439" s="1"/>
      <c r="H439" s="1"/>
      <c r="I439" s="1"/>
      <c r="J439" s="1"/>
      <c r="K439" s="1"/>
      <c r="L439" s="1"/>
      <c r="M439" s="1"/>
      <c r="N439" s="1"/>
      <c r="O439" s="1"/>
      <c r="P439" s="1"/>
      <c r="Q439" s="1"/>
      <c r="R439" s="1"/>
      <c r="S439" s="1"/>
      <c r="T439" s="1"/>
    </row>
    <row r="440" ht="14.25" customHeight="1">
      <c r="A440" s="52"/>
      <c r="B440" s="53"/>
      <c r="C440" s="53"/>
      <c r="D440" s="53"/>
      <c r="E440" s="53"/>
      <c r="F440" s="53"/>
      <c r="G440" s="1"/>
      <c r="H440" s="1"/>
      <c r="I440" s="1"/>
      <c r="J440" s="1"/>
      <c r="K440" s="1"/>
      <c r="L440" s="1"/>
      <c r="M440" s="1"/>
      <c r="N440" s="1"/>
      <c r="O440" s="1"/>
      <c r="P440" s="1"/>
      <c r="Q440" s="1"/>
      <c r="R440" s="1"/>
      <c r="S440" s="1"/>
      <c r="T440" s="1"/>
    </row>
    <row r="441" ht="14.25" customHeight="1">
      <c r="A441" s="52"/>
      <c r="B441" s="53"/>
      <c r="C441" s="53"/>
      <c r="D441" s="53"/>
      <c r="E441" s="53"/>
      <c r="F441" s="53"/>
      <c r="G441" s="1"/>
      <c r="H441" s="1"/>
      <c r="I441" s="1"/>
      <c r="J441" s="1"/>
      <c r="K441" s="1"/>
      <c r="L441" s="1"/>
      <c r="M441" s="1"/>
      <c r="N441" s="1"/>
      <c r="O441" s="1"/>
      <c r="P441" s="1"/>
      <c r="Q441" s="1"/>
      <c r="R441" s="1"/>
      <c r="S441" s="1"/>
      <c r="T441" s="1"/>
    </row>
    <row r="442" ht="14.25" customHeight="1">
      <c r="A442" s="52"/>
      <c r="B442" s="53"/>
      <c r="C442" s="53"/>
      <c r="D442" s="53"/>
      <c r="E442" s="53"/>
      <c r="F442" s="53"/>
      <c r="G442" s="1"/>
      <c r="H442" s="1"/>
      <c r="I442" s="1"/>
      <c r="J442" s="1"/>
      <c r="K442" s="1"/>
      <c r="L442" s="1"/>
      <c r="M442" s="1"/>
      <c r="N442" s="1"/>
      <c r="O442" s="1"/>
      <c r="P442" s="1"/>
      <c r="Q442" s="1"/>
      <c r="R442" s="1"/>
      <c r="S442" s="1"/>
      <c r="T442" s="1"/>
    </row>
    <row r="443" ht="14.25" customHeight="1">
      <c r="A443" s="52"/>
      <c r="B443" s="53"/>
      <c r="C443" s="53"/>
      <c r="D443" s="53"/>
      <c r="E443" s="53"/>
      <c r="F443" s="53"/>
      <c r="G443" s="1"/>
      <c r="H443" s="1"/>
      <c r="I443" s="1"/>
      <c r="J443" s="1"/>
      <c r="K443" s="1"/>
      <c r="L443" s="1"/>
      <c r="M443" s="1"/>
      <c r="N443" s="1"/>
      <c r="O443" s="1"/>
      <c r="P443" s="1"/>
      <c r="Q443" s="1"/>
      <c r="R443" s="1"/>
      <c r="S443" s="1"/>
      <c r="T443" s="1"/>
    </row>
    <row r="444" ht="14.25" customHeight="1">
      <c r="A444" s="52"/>
      <c r="B444" s="53"/>
      <c r="C444" s="53"/>
      <c r="D444" s="53"/>
      <c r="E444" s="53"/>
      <c r="F444" s="53"/>
      <c r="G444" s="1"/>
      <c r="H444" s="1"/>
      <c r="I444" s="1"/>
      <c r="J444" s="1"/>
      <c r="K444" s="1"/>
      <c r="L444" s="1"/>
      <c r="M444" s="1"/>
      <c r="N444" s="1"/>
      <c r="O444" s="1"/>
      <c r="P444" s="1"/>
      <c r="Q444" s="1"/>
      <c r="R444" s="1"/>
      <c r="S444" s="1"/>
      <c r="T444" s="1"/>
    </row>
    <row r="445" ht="14.25" customHeight="1">
      <c r="A445" s="52"/>
      <c r="B445" s="53"/>
      <c r="C445" s="53"/>
      <c r="D445" s="53"/>
      <c r="E445" s="53"/>
      <c r="F445" s="53"/>
      <c r="G445" s="1"/>
      <c r="H445" s="1"/>
      <c r="I445" s="1"/>
      <c r="J445" s="1"/>
      <c r="K445" s="1"/>
      <c r="L445" s="1"/>
      <c r="M445" s="1"/>
      <c r="N445" s="1"/>
      <c r="O445" s="1"/>
      <c r="P445" s="1"/>
      <c r="Q445" s="1"/>
      <c r="R445" s="1"/>
      <c r="S445" s="1"/>
      <c r="T445" s="1"/>
    </row>
    <row r="446" ht="14.25" customHeight="1">
      <c r="A446" s="52"/>
      <c r="B446" s="53"/>
      <c r="C446" s="53"/>
      <c r="D446" s="53"/>
      <c r="E446" s="53"/>
      <c r="F446" s="53"/>
      <c r="G446" s="1"/>
      <c r="H446" s="1"/>
      <c r="I446" s="1"/>
      <c r="J446" s="1"/>
      <c r="K446" s="1"/>
      <c r="L446" s="1"/>
      <c r="M446" s="1"/>
      <c r="N446" s="1"/>
      <c r="O446" s="1"/>
      <c r="P446" s="1"/>
      <c r="Q446" s="1"/>
      <c r="R446" s="1"/>
      <c r="S446" s="1"/>
      <c r="T446" s="1"/>
    </row>
    <row r="447" ht="14.25" customHeight="1">
      <c r="A447" s="52"/>
      <c r="B447" s="53"/>
      <c r="C447" s="53"/>
      <c r="D447" s="53"/>
      <c r="E447" s="53"/>
      <c r="F447" s="53"/>
      <c r="G447" s="1"/>
      <c r="H447" s="1"/>
      <c r="I447" s="1"/>
      <c r="J447" s="1"/>
      <c r="K447" s="1"/>
      <c r="L447" s="1"/>
      <c r="M447" s="1"/>
      <c r="N447" s="1"/>
      <c r="O447" s="1"/>
      <c r="P447" s="1"/>
      <c r="Q447" s="1"/>
      <c r="R447" s="1"/>
      <c r="S447" s="1"/>
      <c r="T447" s="1"/>
    </row>
    <row r="448" ht="14.25" customHeight="1">
      <c r="A448" s="52"/>
      <c r="B448" s="53"/>
      <c r="C448" s="53"/>
      <c r="D448" s="53"/>
      <c r="E448" s="53"/>
      <c r="F448" s="53"/>
      <c r="G448" s="1"/>
      <c r="H448" s="1"/>
      <c r="I448" s="1"/>
      <c r="J448" s="1"/>
      <c r="K448" s="1"/>
      <c r="L448" s="1"/>
      <c r="M448" s="1"/>
      <c r="N448" s="1"/>
      <c r="O448" s="1"/>
      <c r="P448" s="1"/>
      <c r="Q448" s="1"/>
      <c r="R448" s="1"/>
      <c r="S448" s="1"/>
      <c r="T448" s="1"/>
    </row>
    <row r="449" ht="14.25" customHeight="1">
      <c r="A449" s="52"/>
      <c r="B449" s="53"/>
      <c r="C449" s="53"/>
      <c r="D449" s="53"/>
      <c r="E449" s="53"/>
      <c r="F449" s="53"/>
      <c r="G449" s="1"/>
      <c r="H449" s="1"/>
      <c r="I449" s="1"/>
      <c r="J449" s="1"/>
      <c r="K449" s="1"/>
      <c r="L449" s="1"/>
      <c r="M449" s="1"/>
      <c r="N449" s="1"/>
      <c r="O449" s="1"/>
      <c r="P449" s="1"/>
      <c r="Q449" s="1"/>
      <c r="R449" s="1"/>
      <c r="S449" s="1"/>
      <c r="T449" s="1"/>
    </row>
    <row r="450" ht="14.25" customHeight="1">
      <c r="A450" s="52"/>
      <c r="B450" s="53"/>
      <c r="C450" s="53"/>
      <c r="D450" s="53"/>
      <c r="E450" s="53"/>
      <c r="F450" s="53"/>
      <c r="G450" s="1"/>
      <c r="H450" s="1"/>
      <c r="I450" s="1"/>
      <c r="J450" s="1"/>
      <c r="K450" s="1"/>
      <c r="L450" s="1"/>
      <c r="M450" s="1"/>
      <c r="N450" s="1"/>
      <c r="O450" s="1"/>
      <c r="P450" s="1"/>
      <c r="Q450" s="1"/>
      <c r="R450" s="1"/>
      <c r="S450" s="1"/>
      <c r="T450" s="1"/>
    </row>
    <row r="451" ht="14.25" customHeight="1">
      <c r="A451" s="52"/>
      <c r="B451" s="53"/>
      <c r="C451" s="53"/>
      <c r="D451" s="53"/>
      <c r="E451" s="53"/>
      <c r="F451" s="53"/>
      <c r="G451" s="1"/>
      <c r="H451" s="1"/>
      <c r="I451" s="1"/>
      <c r="J451" s="1"/>
      <c r="K451" s="1"/>
      <c r="L451" s="1"/>
      <c r="M451" s="1"/>
      <c r="N451" s="1"/>
      <c r="O451" s="1"/>
      <c r="P451" s="1"/>
      <c r="Q451" s="1"/>
      <c r="R451" s="1"/>
      <c r="S451" s="1"/>
      <c r="T451" s="1"/>
    </row>
    <row r="452" ht="14.25" customHeight="1">
      <c r="A452" s="52"/>
      <c r="B452" s="53"/>
      <c r="C452" s="53"/>
      <c r="D452" s="53"/>
      <c r="E452" s="53"/>
      <c r="F452" s="53"/>
      <c r="G452" s="1"/>
      <c r="H452" s="1"/>
      <c r="I452" s="1"/>
      <c r="J452" s="1"/>
      <c r="K452" s="1"/>
      <c r="L452" s="1"/>
      <c r="M452" s="1"/>
      <c r="N452" s="1"/>
      <c r="O452" s="1"/>
      <c r="P452" s="1"/>
      <c r="Q452" s="1"/>
      <c r="R452" s="1"/>
      <c r="S452" s="1"/>
      <c r="T452" s="1"/>
    </row>
    <row r="453" ht="14.25" customHeight="1">
      <c r="A453" s="52"/>
      <c r="B453" s="53"/>
      <c r="C453" s="53"/>
      <c r="D453" s="53"/>
      <c r="E453" s="53"/>
      <c r="F453" s="53"/>
      <c r="G453" s="1"/>
      <c r="H453" s="1"/>
      <c r="I453" s="1"/>
      <c r="J453" s="1"/>
      <c r="K453" s="1"/>
      <c r="L453" s="1"/>
      <c r="M453" s="1"/>
      <c r="N453" s="1"/>
      <c r="O453" s="1"/>
      <c r="P453" s="1"/>
      <c r="Q453" s="1"/>
      <c r="R453" s="1"/>
      <c r="S453" s="1"/>
      <c r="T453" s="1"/>
    </row>
    <row r="454" ht="14.25" customHeight="1">
      <c r="A454" s="52"/>
      <c r="B454" s="53"/>
      <c r="C454" s="53"/>
      <c r="D454" s="53"/>
      <c r="E454" s="53"/>
      <c r="F454" s="53"/>
      <c r="G454" s="1"/>
      <c r="H454" s="1"/>
      <c r="I454" s="1"/>
      <c r="J454" s="1"/>
      <c r="K454" s="1"/>
      <c r="L454" s="1"/>
      <c r="M454" s="1"/>
      <c r="N454" s="1"/>
      <c r="O454" s="1"/>
      <c r="P454" s="1"/>
      <c r="Q454" s="1"/>
      <c r="R454" s="1"/>
      <c r="S454" s="1"/>
      <c r="T454" s="1"/>
    </row>
    <row r="455" ht="14.25" customHeight="1">
      <c r="A455" s="52"/>
      <c r="B455" s="53"/>
      <c r="C455" s="53"/>
      <c r="D455" s="53"/>
      <c r="E455" s="53"/>
      <c r="F455" s="53"/>
      <c r="G455" s="1"/>
      <c r="H455" s="1"/>
      <c r="I455" s="1"/>
      <c r="J455" s="1"/>
      <c r="K455" s="1"/>
      <c r="L455" s="1"/>
      <c r="M455" s="1"/>
      <c r="N455" s="1"/>
      <c r="O455" s="1"/>
      <c r="P455" s="1"/>
      <c r="Q455" s="1"/>
      <c r="R455" s="1"/>
      <c r="S455" s="1"/>
      <c r="T455" s="1"/>
    </row>
    <row r="456" ht="14.25" customHeight="1">
      <c r="A456" s="52"/>
      <c r="B456" s="53"/>
      <c r="C456" s="53"/>
      <c r="D456" s="53"/>
      <c r="E456" s="53"/>
      <c r="F456" s="53"/>
      <c r="G456" s="1"/>
      <c r="H456" s="1"/>
      <c r="I456" s="1"/>
      <c r="J456" s="1"/>
      <c r="K456" s="1"/>
      <c r="L456" s="1"/>
      <c r="M456" s="1"/>
      <c r="N456" s="1"/>
      <c r="O456" s="1"/>
      <c r="P456" s="1"/>
      <c r="Q456" s="1"/>
      <c r="R456" s="1"/>
      <c r="S456" s="1"/>
      <c r="T456" s="1"/>
    </row>
    <row r="457" ht="14.25" customHeight="1">
      <c r="A457" s="52"/>
      <c r="B457" s="53"/>
      <c r="C457" s="53"/>
      <c r="D457" s="53"/>
      <c r="E457" s="53"/>
      <c r="F457" s="53"/>
      <c r="G457" s="1"/>
      <c r="H457" s="1"/>
      <c r="I457" s="1"/>
      <c r="J457" s="1"/>
      <c r="K457" s="1"/>
      <c r="L457" s="1"/>
      <c r="M457" s="1"/>
      <c r="N457" s="1"/>
      <c r="O457" s="1"/>
      <c r="P457" s="1"/>
      <c r="Q457" s="1"/>
      <c r="R457" s="1"/>
      <c r="S457" s="1"/>
      <c r="T457" s="1"/>
    </row>
    <row r="458" ht="14.25" customHeight="1">
      <c r="A458" s="52"/>
      <c r="B458" s="53"/>
      <c r="C458" s="53"/>
      <c r="D458" s="53"/>
      <c r="E458" s="53"/>
      <c r="F458" s="53"/>
      <c r="G458" s="1"/>
      <c r="H458" s="1"/>
      <c r="I458" s="1"/>
      <c r="J458" s="1"/>
      <c r="K458" s="1"/>
      <c r="L458" s="1"/>
      <c r="M458" s="1"/>
      <c r="N458" s="1"/>
      <c r="O458" s="1"/>
      <c r="P458" s="1"/>
      <c r="Q458" s="1"/>
      <c r="R458" s="1"/>
      <c r="S458" s="1"/>
      <c r="T458" s="1"/>
    </row>
    <row r="459" ht="14.25" customHeight="1">
      <c r="A459" s="52"/>
      <c r="B459" s="53"/>
      <c r="C459" s="53"/>
      <c r="D459" s="53"/>
      <c r="E459" s="53"/>
      <c r="F459" s="53"/>
      <c r="G459" s="1"/>
      <c r="H459" s="1"/>
      <c r="I459" s="1"/>
      <c r="J459" s="1"/>
      <c r="K459" s="1"/>
      <c r="L459" s="1"/>
      <c r="M459" s="1"/>
      <c r="N459" s="1"/>
      <c r="O459" s="1"/>
      <c r="P459" s="1"/>
      <c r="Q459" s="1"/>
      <c r="R459" s="1"/>
      <c r="S459" s="1"/>
      <c r="T459" s="1"/>
    </row>
    <row r="460" ht="14.25" customHeight="1">
      <c r="A460" s="52"/>
      <c r="B460" s="53"/>
      <c r="C460" s="53"/>
      <c r="D460" s="53"/>
      <c r="E460" s="53"/>
      <c r="F460" s="53"/>
      <c r="G460" s="1"/>
      <c r="H460" s="1"/>
      <c r="I460" s="1"/>
      <c r="J460" s="1"/>
      <c r="K460" s="1"/>
      <c r="L460" s="1"/>
      <c r="M460" s="1"/>
      <c r="N460" s="1"/>
      <c r="O460" s="1"/>
      <c r="P460" s="1"/>
      <c r="Q460" s="1"/>
      <c r="R460" s="1"/>
      <c r="S460" s="1"/>
      <c r="T460" s="1"/>
    </row>
    <row r="461" ht="14.25" customHeight="1">
      <c r="A461" s="52"/>
      <c r="B461" s="53"/>
      <c r="C461" s="53"/>
      <c r="D461" s="53"/>
      <c r="E461" s="53"/>
      <c r="F461" s="53"/>
      <c r="G461" s="1"/>
      <c r="H461" s="1"/>
      <c r="I461" s="1"/>
      <c r="J461" s="1"/>
      <c r="K461" s="1"/>
      <c r="L461" s="1"/>
      <c r="M461" s="1"/>
      <c r="N461" s="1"/>
      <c r="O461" s="1"/>
      <c r="P461" s="1"/>
      <c r="Q461" s="1"/>
      <c r="R461" s="1"/>
      <c r="S461" s="1"/>
      <c r="T461" s="1"/>
    </row>
    <row r="462" ht="14.25" customHeight="1">
      <c r="A462" s="52"/>
      <c r="B462" s="53"/>
      <c r="C462" s="53"/>
      <c r="D462" s="53"/>
      <c r="E462" s="53"/>
      <c r="F462" s="53"/>
      <c r="G462" s="1"/>
      <c r="H462" s="1"/>
      <c r="I462" s="1"/>
      <c r="J462" s="1"/>
      <c r="K462" s="1"/>
      <c r="L462" s="1"/>
      <c r="M462" s="1"/>
      <c r="N462" s="1"/>
      <c r="O462" s="1"/>
      <c r="P462" s="1"/>
      <c r="Q462" s="1"/>
      <c r="R462" s="1"/>
      <c r="S462" s="1"/>
      <c r="T462" s="1"/>
    </row>
    <row r="463" ht="14.25" customHeight="1">
      <c r="A463" s="52"/>
      <c r="B463" s="53"/>
      <c r="C463" s="53"/>
      <c r="D463" s="53"/>
      <c r="E463" s="53"/>
      <c r="F463" s="53"/>
      <c r="G463" s="1"/>
      <c r="H463" s="1"/>
      <c r="I463" s="1"/>
      <c r="J463" s="1"/>
      <c r="K463" s="1"/>
      <c r="L463" s="1"/>
      <c r="M463" s="1"/>
      <c r="N463" s="1"/>
      <c r="O463" s="1"/>
      <c r="P463" s="1"/>
      <c r="Q463" s="1"/>
      <c r="R463" s="1"/>
      <c r="S463" s="1"/>
      <c r="T463" s="1"/>
    </row>
    <row r="464" ht="14.25" customHeight="1">
      <c r="A464" s="52"/>
      <c r="B464" s="53"/>
      <c r="C464" s="53"/>
      <c r="D464" s="53"/>
      <c r="E464" s="53"/>
      <c r="F464" s="53"/>
      <c r="G464" s="1"/>
      <c r="H464" s="1"/>
      <c r="I464" s="1"/>
      <c r="J464" s="1"/>
      <c r="K464" s="1"/>
      <c r="L464" s="1"/>
      <c r="M464" s="1"/>
      <c r="N464" s="1"/>
      <c r="O464" s="1"/>
      <c r="P464" s="1"/>
      <c r="Q464" s="1"/>
      <c r="R464" s="1"/>
      <c r="S464" s="1"/>
      <c r="T464" s="1"/>
    </row>
    <row r="465" ht="14.25" customHeight="1">
      <c r="A465" s="52"/>
      <c r="B465" s="53"/>
      <c r="C465" s="53"/>
      <c r="D465" s="53"/>
      <c r="E465" s="53"/>
      <c r="F465" s="53"/>
      <c r="G465" s="1"/>
      <c r="H465" s="1"/>
      <c r="I465" s="1"/>
      <c r="J465" s="1"/>
      <c r="K465" s="1"/>
      <c r="L465" s="1"/>
      <c r="M465" s="1"/>
      <c r="N465" s="1"/>
      <c r="O465" s="1"/>
      <c r="P465" s="1"/>
      <c r="Q465" s="1"/>
      <c r="R465" s="1"/>
      <c r="S465" s="1"/>
      <c r="T465" s="1"/>
    </row>
    <row r="466" ht="14.25" customHeight="1">
      <c r="A466" s="52"/>
      <c r="B466" s="53"/>
      <c r="C466" s="53"/>
      <c r="D466" s="53"/>
      <c r="E466" s="53"/>
      <c r="F466" s="53"/>
      <c r="G466" s="1"/>
      <c r="H466" s="1"/>
      <c r="I466" s="1"/>
      <c r="J466" s="1"/>
      <c r="K466" s="1"/>
      <c r="L466" s="1"/>
      <c r="M466" s="1"/>
      <c r="N466" s="1"/>
      <c r="O466" s="1"/>
      <c r="P466" s="1"/>
      <c r="Q466" s="1"/>
      <c r="R466" s="1"/>
      <c r="S466" s="1"/>
      <c r="T466" s="1"/>
    </row>
    <row r="467" ht="14.25" customHeight="1">
      <c r="A467" s="52"/>
      <c r="B467" s="53"/>
      <c r="C467" s="53"/>
      <c r="D467" s="53"/>
      <c r="E467" s="53"/>
      <c r="F467" s="53"/>
      <c r="G467" s="1"/>
      <c r="H467" s="1"/>
      <c r="I467" s="1"/>
      <c r="J467" s="1"/>
      <c r="K467" s="1"/>
      <c r="L467" s="1"/>
      <c r="M467" s="1"/>
      <c r="N467" s="1"/>
      <c r="O467" s="1"/>
      <c r="P467" s="1"/>
      <c r="Q467" s="1"/>
      <c r="R467" s="1"/>
      <c r="S467" s="1"/>
      <c r="T467" s="1"/>
    </row>
    <row r="468" ht="14.25" customHeight="1">
      <c r="A468" s="52"/>
      <c r="B468" s="53"/>
      <c r="C468" s="53"/>
      <c r="D468" s="53"/>
      <c r="E468" s="53"/>
      <c r="F468" s="53"/>
      <c r="G468" s="1"/>
      <c r="H468" s="1"/>
      <c r="I468" s="1"/>
      <c r="J468" s="1"/>
      <c r="K468" s="1"/>
      <c r="L468" s="1"/>
      <c r="M468" s="1"/>
      <c r="N468" s="1"/>
      <c r="O468" s="1"/>
      <c r="P468" s="1"/>
      <c r="Q468" s="1"/>
      <c r="R468" s="1"/>
      <c r="S468" s="1"/>
      <c r="T468" s="1"/>
    </row>
    <row r="469" ht="14.25" customHeight="1">
      <c r="A469" s="52"/>
      <c r="B469" s="53"/>
      <c r="C469" s="53"/>
      <c r="D469" s="53"/>
      <c r="E469" s="53"/>
      <c r="F469" s="53"/>
      <c r="G469" s="1"/>
      <c r="H469" s="1"/>
      <c r="I469" s="1"/>
      <c r="J469" s="1"/>
      <c r="K469" s="1"/>
      <c r="L469" s="1"/>
      <c r="M469" s="1"/>
      <c r="N469" s="1"/>
      <c r="O469" s="1"/>
      <c r="P469" s="1"/>
      <c r="Q469" s="1"/>
      <c r="R469" s="1"/>
      <c r="S469" s="1"/>
      <c r="T469" s="1"/>
    </row>
    <row r="470" ht="14.25" customHeight="1">
      <c r="A470" s="52"/>
      <c r="B470" s="53"/>
      <c r="C470" s="53"/>
      <c r="D470" s="53"/>
      <c r="E470" s="53"/>
      <c r="F470" s="53"/>
      <c r="G470" s="1"/>
      <c r="H470" s="1"/>
      <c r="I470" s="1"/>
      <c r="J470" s="1"/>
      <c r="K470" s="1"/>
      <c r="L470" s="1"/>
      <c r="M470" s="1"/>
      <c r="N470" s="1"/>
      <c r="O470" s="1"/>
      <c r="P470" s="1"/>
      <c r="Q470" s="1"/>
      <c r="R470" s="1"/>
      <c r="S470" s="1"/>
      <c r="T470" s="1"/>
    </row>
    <row r="471" ht="14.25" customHeight="1">
      <c r="A471" s="52"/>
      <c r="B471" s="53"/>
      <c r="C471" s="53"/>
      <c r="D471" s="53"/>
      <c r="E471" s="53"/>
      <c r="F471" s="53"/>
      <c r="G471" s="1"/>
      <c r="H471" s="1"/>
      <c r="I471" s="1"/>
      <c r="J471" s="1"/>
      <c r="K471" s="1"/>
      <c r="L471" s="1"/>
      <c r="M471" s="1"/>
      <c r="N471" s="1"/>
      <c r="O471" s="1"/>
      <c r="P471" s="1"/>
      <c r="Q471" s="1"/>
      <c r="R471" s="1"/>
      <c r="S471" s="1"/>
      <c r="T471" s="1"/>
    </row>
    <row r="472" ht="14.25" customHeight="1">
      <c r="A472" s="52"/>
      <c r="B472" s="53"/>
      <c r="C472" s="53"/>
      <c r="D472" s="53"/>
      <c r="E472" s="53"/>
      <c r="F472" s="53"/>
      <c r="G472" s="1"/>
      <c r="H472" s="1"/>
      <c r="I472" s="1"/>
      <c r="J472" s="1"/>
      <c r="K472" s="1"/>
      <c r="L472" s="1"/>
      <c r="M472" s="1"/>
      <c r="N472" s="1"/>
      <c r="O472" s="1"/>
      <c r="P472" s="1"/>
      <c r="Q472" s="1"/>
      <c r="R472" s="1"/>
      <c r="S472" s="1"/>
      <c r="T472" s="1"/>
    </row>
    <row r="473" ht="14.25" customHeight="1">
      <c r="A473" s="52"/>
      <c r="B473" s="53"/>
      <c r="C473" s="53"/>
      <c r="D473" s="53"/>
      <c r="E473" s="53"/>
      <c r="F473" s="53"/>
      <c r="G473" s="1"/>
      <c r="H473" s="1"/>
      <c r="I473" s="1"/>
      <c r="J473" s="1"/>
      <c r="K473" s="1"/>
      <c r="L473" s="1"/>
      <c r="M473" s="1"/>
      <c r="N473" s="1"/>
      <c r="O473" s="1"/>
      <c r="P473" s="1"/>
      <c r="Q473" s="1"/>
      <c r="R473" s="1"/>
      <c r="S473" s="1"/>
      <c r="T473" s="1"/>
    </row>
    <row r="474" ht="14.25" customHeight="1">
      <c r="A474" s="52"/>
      <c r="B474" s="53"/>
      <c r="C474" s="53"/>
      <c r="D474" s="53"/>
      <c r="E474" s="53"/>
      <c r="F474" s="53"/>
      <c r="G474" s="1"/>
      <c r="H474" s="1"/>
      <c r="I474" s="1"/>
      <c r="J474" s="1"/>
      <c r="K474" s="1"/>
      <c r="L474" s="1"/>
      <c r="M474" s="1"/>
      <c r="N474" s="1"/>
      <c r="O474" s="1"/>
      <c r="P474" s="1"/>
      <c r="Q474" s="1"/>
      <c r="R474" s="1"/>
      <c r="S474" s="1"/>
      <c r="T474" s="1"/>
    </row>
    <row r="475" ht="14.25" customHeight="1">
      <c r="A475" s="52"/>
      <c r="B475" s="53"/>
      <c r="C475" s="53"/>
      <c r="D475" s="53"/>
      <c r="E475" s="53"/>
      <c r="F475" s="53"/>
      <c r="G475" s="1"/>
      <c r="H475" s="1"/>
      <c r="I475" s="1"/>
      <c r="J475" s="1"/>
      <c r="K475" s="1"/>
      <c r="L475" s="1"/>
      <c r="M475" s="1"/>
      <c r="N475" s="1"/>
      <c r="O475" s="1"/>
      <c r="P475" s="1"/>
      <c r="Q475" s="1"/>
      <c r="R475" s="1"/>
      <c r="S475" s="1"/>
      <c r="T475" s="1"/>
    </row>
    <row r="476" ht="14.25" customHeight="1">
      <c r="A476" s="52"/>
      <c r="B476" s="53"/>
      <c r="C476" s="53"/>
      <c r="D476" s="53"/>
      <c r="E476" s="53"/>
      <c r="F476" s="53"/>
      <c r="G476" s="1"/>
      <c r="H476" s="1"/>
      <c r="I476" s="1"/>
      <c r="J476" s="1"/>
      <c r="K476" s="1"/>
      <c r="L476" s="1"/>
      <c r="M476" s="1"/>
      <c r="N476" s="1"/>
      <c r="O476" s="1"/>
      <c r="P476" s="1"/>
      <c r="Q476" s="1"/>
      <c r="R476" s="1"/>
      <c r="S476" s="1"/>
      <c r="T476" s="1"/>
    </row>
    <row r="477" ht="14.25" customHeight="1">
      <c r="A477" s="52"/>
      <c r="B477" s="53"/>
      <c r="C477" s="53"/>
      <c r="D477" s="53"/>
      <c r="E477" s="53"/>
      <c r="F477" s="53"/>
      <c r="G477" s="1"/>
      <c r="H477" s="1"/>
      <c r="I477" s="1"/>
      <c r="J477" s="1"/>
      <c r="K477" s="1"/>
      <c r="L477" s="1"/>
      <c r="M477" s="1"/>
      <c r="N477" s="1"/>
      <c r="O477" s="1"/>
      <c r="P477" s="1"/>
      <c r="Q477" s="1"/>
      <c r="R477" s="1"/>
      <c r="S477" s="1"/>
      <c r="T477" s="1"/>
    </row>
    <row r="478" ht="14.25" customHeight="1">
      <c r="A478" s="52"/>
      <c r="B478" s="53"/>
      <c r="C478" s="53"/>
      <c r="D478" s="53"/>
      <c r="E478" s="53"/>
      <c r="F478" s="53"/>
      <c r="G478" s="1"/>
      <c r="H478" s="1"/>
      <c r="I478" s="1"/>
      <c r="J478" s="1"/>
      <c r="K478" s="1"/>
      <c r="L478" s="1"/>
      <c r="M478" s="1"/>
      <c r="N478" s="1"/>
      <c r="O478" s="1"/>
      <c r="P478" s="1"/>
      <c r="Q478" s="1"/>
      <c r="R478" s="1"/>
      <c r="S478" s="1"/>
      <c r="T478" s="1"/>
    </row>
    <row r="479" ht="14.25" customHeight="1">
      <c r="A479" s="52"/>
      <c r="B479" s="53"/>
      <c r="C479" s="53"/>
      <c r="D479" s="53"/>
      <c r="E479" s="53"/>
      <c r="F479" s="53"/>
      <c r="G479" s="1"/>
      <c r="H479" s="1"/>
      <c r="I479" s="1"/>
      <c r="J479" s="1"/>
      <c r="K479" s="1"/>
      <c r="L479" s="1"/>
      <c r="M479" s="1"/>
      <c r="N479" s="1"/>
      <c r="O479" s="1"/>
      <c r="P479" s="1"/>
      <c r="Q479" s="1"/>
      <c r="R479" s="1"/>
      <c r="S479" s="1"/>
      <c r="T479" s="1"/>
    </row>
    <row r="480" ht="14.25" customHeight="1">
      <c r="A480" s="52"/>
      <c r="B480" s="53"/>
      <c r="C480" s="53"/>
      <c r="D480" s="53"/>
      <c r="E480" s="53"/>
      <c r="F480" s="53"/>
      <c r="G480" s="1"/>
      <c r="H480" s="1"/>
      <c r="I480" s="1"/>
      <c r="J480" s="1"/>
      <c r="K480" s="1"/>
      <c r="L480" s="1"/>
      <c r="M480" s="1"/>
      <c r="N480" s="1"/>
      <c r="O480" s="1"/>
      <c r="P480" s="1"/>
      <c r="Q480" s="1"/>
      <c r="R480" s="1"/>
      <c r="S480" s="1"/>
      <c r="T480" s="1"/>
    </row>
    <row r="481" ht="14.25" customHeight="1">
      <c r="A481" s="52"/>
      <c r="B481" s="53"/>
      <c r="C481" s="53"/>
      <c r="D481" s="53"/>
      <c r="E481" s="53"/>
      <c r="F481" s="53"/>
      <c r="G481" s="1"/>
      <c r="H481" s="1"/>
      <c r="I481" s="1"/>
      <c r="J481" s="1"/>
      <c r="K481" s="1"/>
      <c r="L481" s="1"/>
      <c r="M481" s="1"/>
      <c r="N481" s="1"/>
      <c r="O481" s="1"/>
      <c r="P481" s="1"/>
      <c r="Q481" s="1"/>
      <c r="R481" s="1"/>
      <c r="S481" s="1"/>
      <c r="T481" s="1"/>
    </row>
    <row r="482" ht="14.25" customHeight="1">
      <c r="A482" s="52"/>
      <c r="B482" s="53"/>
      <c r="C482" s="53"/>
      <c r="D482" s="53"/>
      <c r="E482" s="53"/>
      <c r="F482" s="53"/>
      <c r="G482" s="1"/>
      <c r="H482" s="1"/>
      <c r="I482" s="1"/>
      <c r="J482" s="1"/>
      <c r="K482" s="1"/>
      <c r="L482" s="1"/>
      <c r="M482" s="1"/>
      <c r="N482" s="1"/>
      <c r="O482" s="1"/>
      <c r="P482" s="1"/>
      <c r="Q482" s="1"/>
      <c r="R482" s="1"/>
      <c r="S482" s="1"/>
      <c r="T482" s="1"/>
    </row>
    <row r="483" ht="14.25" customHeight="1">
      <c r="A483" s="52"/>
      <c r="B483" s="53"/>
      <c r="C483" s="53"/>
      <c r="D483" s="53"/>
      <c r="E483" s="53"/>
      <c r="F483" s="53"/>
      <c r="G483" s="1"/>
      <c r="H483" s="1"/>
      <c r="I483" s="1"/>
      <c r="J483" s="1"/>
      <c r="K483" s="1"/>
      <c r="L483" s="1"/>
      <c r="M483" s="1"/>
      <c r="N483" s="1"/>
      <c r="O483" s="1"/>
      <c r="P483" s="1"/>
      <c r="Q483" s="1"/>
      <c r="R483" s="1"/>
      <c r="S483" s="1"/>
      <c r="T483" s="1"/>
    </row>
    <row r="484" ht="14.25" customHeight="1">
      <c r="A484" s="52"/>
      <c r="B484" s="53"/>
      <c r="C484" s="53"/>
      <c r="D484" s="53"/>
      <c r="E484" s="53"/>
      <c r="F484" s="53"/>
      <c r="G484" s="1"/>
      <c r="H484" s="1"/>
      <c r="I484" s="1"/>
      <c r="J484" s="1"/>
      <c r="K484" s="1"/>
      <c r="L484" s="1"/>
      <c r="M484" s="1"/>
      <c r="N484" s="1"/>
      <c r="O484" s="1"/>
      <c r="P484" s="1"/>
      <c r="Q484" s="1"/>
      <c r="R484" s="1"/>
      <c r="S484" s="1"/>
      <c r="T484" s="1"/>
    </row>
    <row r="485" ht="14.25" customHeight="1">
      <c r="A485" s="52"/>
      <c r="B485" s="53"/>
      <c r="C485" s="53"/>
      <c r="D485" s="53"/>
      <c r="E485" s="53"/>
      <c r="F485" s="53"/>
      <c r="G485" s="1"/>
      <c r="H485" s="1"/>
      <c r="I485" s="1"/>
      <c r="J485" s="1"/>
      <c r="K485" s="1"/>
      <c r="L485" s="1"/>
      <c r="M485" s="1"/>
      <c r="N485" s="1"/>
      <c r="O485" s="1"/>
      <c r="P485" s="1"/>
      <c r="Q485" s="1"/>
      <c r="R485" s="1"/>
      <c r="S485" s="1"/>
      <c r="T485" s="1"/>
    </row>
    <row r="486" ht="14.25" customHeight="1">
      <c r="A486" s="52"/>
      <c r="B486" s="53"/>
      <c r="C486" s="53"/>
      <c r="D486" s="53"/>
      <c r="E486" s="53"/>
      <c r="F486" s="53"/>
      <c r="G486" s="1"/>
      <c r="H486" s="1"/>
      <c r="I486" s="1"/>
      <c r="J486" s="1"/>
      <c r="K486" s="1"/>
      <c r="L486" s="1"/>
      <c r="M486" s="1"/>
      <c r="N486" s="1"/>
      <c r="O486" s="1"/>
      <c r="P486" s="1"/>
      <c r="Q486" s="1"/>
      <c r="R486" s="1"/>
      <c r="S486" s="1"/>
      <c r="T486" s="1"/>
    </row>
    <row r="487" ht="14.25" customHeight="1">
      <c r="A487" s="52"/>
      <c r="B487" s="53"/>
      <c r="C487" s="53"/>
      <c r="D487" s="53"/>
      <c r="E487" s="53"/>
      <c r="F487" s="53"/>
      <c r="G487" s="1"/>
      <c r="H487" s="1"/>
      <c r="I487" s="1"/>
      <c r="J487" s="1"/>
      <c r="K487" s="1"/>
      <c r="L487" s="1"/>
      <c r="M487" s="1"/>
      <c r="N487" s="1"/>
      <c r="O487" s="1"/>
      <c r="P487" s="1"/>
      <c r="Q487" s="1"/>
      <c r="R487" s="1"/>
      <c r="S487" s="1"/>
      <c r="T487" s="1"/>
    </row>
    <row r="488" ht="14.25" customHeight="1">
      <c r="A488" s="52"/>
      <c r="B488" s="53"/>
      <c r="C488" s="53"/>
      <c r="D488" s="53"/>
      <c r="E488" s="53"/>
      <c r="F488" s="53"/>
      <c r="G488" s="1"/>
      <c r="H488" s="1"/>
      <c r="I488" s="1"/>
      <c r="J488" s="1"/>
      <c r="K488" s="1"/>
      <c r="L488" s="1"/>
      <c r="M488" s="1"/>
      <c r="N488" s="1"/>
      <c r="O488" s="1"/>
      <c r="P488" s="1"/>
      <c r="Q488" s="1"/>
      <c r="R488" s="1"/>
      <c r="S488" s="1"/>
      <c r="T488" s="1"/>
    </row>
    <row r="489" ht="14.25" customHeight="1">
      <c r="A489" s="52"/>
      <c r="B489" s="53"/>
      <c r="C489" s="53"/>
      <c r="D489" s="53"/>
      <c r="E489" s="53"/>
      <c r="F489" s="53"/>
      <c r="G489" s="1"/>
      <c r="H489" s="1"/>
      <c r="I489" s="1"/>
      <c r="J489" s="1"/>
      <c r="K489" s="1"/>
      <c r="L489" s="1"/>
      <c r="M489" s="1"/>
      <c r="N489" s="1"/>
      <c r="O489" s="1"/>
      <c r="P489" s="1"/>
      <c r="Q489" s="1"/>
      <c r="R489" s="1"/>
      <c r="S489" s="1"/>
      <c r="T489" s="1"/>
    </row>
    <row r="490" ht="14.25" customHeight="1">
      <c r="A490" s="52"/>
      <c r="B490" s="53"/>
      <c r="C490" s="53"/>
      <c r="D490" s="53"/>
      <c r="E490" s="53"/>
      <c r="F490" s="53"/>
      <c r="G490" s="1"/>
      <c r="H490" s="1"/>
      <c r="I490" s="1"/>
      <c r="J490" s="1"/>
      <c r="K490" s="1"/>
      <c r="L490" s="1"/>
      <c r="M490" s="1"/>
      <c r="N490" s="1"/>
      <c r="O490" s="1"/>
      <c r="P490" s="1"/>
      <c r="Q490" s="1"/>
      <c r="R490" s="1"/>
      <c r="S490" s="1"/>
      <c r="T490" s="1"/>
    </row>
    <row r="491" ht="14.25" customHeight="1">
      <c r="A491" s="52"/>
      <c r="B491" s="53"/>
      <c r="C491" s="53"/>
      <c r="D491" s="53"/>
      <c r="E491" s="53"/>
      <c r="F491" s="53"/>
      <c r="G491" s="1"/>
      <c r="H491" s="1"/>
      <c r="I491" s="1"/>
      <c r="J491" s="1"/>
      <c r="K491" s="1"/>
      <c r="L491" s="1"/>
      <c r="M491" s="1"/>
      <c r="N491" s="1"/>
      <c r="O491" s="1"/>
      <c r="P491" s="1"/>
      <c r="Q491" s="1"/>
      <c r="R491" s="1"/>
      <c r="S491" s="1"/>
      <c r="T491" s="1"/>
    </row>
    <row r="492" ht="14.25" customHeight="1">
      <c r="A492" s="52"/>
      <c r="B492" s="53"/>
      <c r="C492" s="53"/>
      <c r="D492" s="53"/>
      <c r="E492" s="53"/>
      <c r="F492" s="53"/>
      <c r="G492" s="1"/>
      <c r="H492" s="1"/>
      <c r="I492" s="1"/>
      <c r="J492" s="1"/>
      <c r="K492" s="1"/>
      <c r="L492" s="1"/>
      <c r="M492" s="1"/>
      <c r="N492" s="1"/>
      <c r="O492" s="1"/>
      <c r="P492" s="1"/>
      <c r="Q492" s="1"/>
      <c r="R492" s="1"/>
      <c r="S492" s="1"/>
      <c r="T492" s="1"/>
    </row>
    <row r="493" ht="14.25" customHeight="1">
      <c r="A493" s="52"/>
      <c r="B493" s="53"/>
      <c r="C493" s="53"/>
      <c r="D493" s="53"/>
      <c r="E493" s="53"/>
      <c r="F493" s="53"/>
      <c r="G493" s="1"/>
      <c r="H493" s="1"/>
      <c r="I493" s="1"/>
      <c r="J493" s="1"/>
      <c r="K493" s="1"/>
      <c r="L493" s="1"/>
      <c r="M493" s="1"/>
      <c r="N493" s="1"/>
      <c r="O493" s="1"/>
      <c r="P493" s="1"/>
      <c r="Q493" s="1"/>
      <c r="R493" s="1"/>
      <c r="S493" s="1"/>
      <c r="T493" s="1"/>
    </row>
    <row r="494" ht="14.25" customHeight="1">
      <c r="A494" s="52"/>
      <c r="B494" s="53"/>
      <c r="C494" s="53"/>
      <c r="D494" s="53"/>
      <c r="E494" s="53"/>
      <c r="F494" s="53"/>
      <c r="G494" s="1"/>
      <c r="H494" s="1"/>
      <c r="I494" s="1"/>
      <c r="J494" s="1"/>
      <c r="K494" s="1"/>
      <c r="L494" s="1"/>
      <c r="M494" s="1"/>
      <c r="N494" s="1"/>
      <c r="O494" s="1"/>
      <c r="P494" s="1"/>
      <c r="Q494" s="1"/>
      <c r="R494" s="1"/>
      <c r="S494" s="1"/>
      <c r="T494" s="1"/>
    </row>
    <row r="495" ht="14.25" customHeight="1">
      <c r="A495" s="52"/>
      <c r="B495" s="53"/>
      <c r="C495" s="53"/>
      <c r="D495" s="53"/>
      <c r="E495" s="53"/>
      <c r="F495" s="53"/>
      <c r="G495" s="1"/>
      <c r="H495" s="1"/>
      <c r="I495" s="1"/>
      <c r="J495" s="1"/>
      <c r="K495" s="1"/>
      <c r="L495" s="1"/>
      <c r="M495" s="1"/>
      <c r="N495" s="1"/>
      <c r="O495" s="1"/>
      <c r="P495" s="1"/>
      <c r="Q495" s="1"/>
      <c r="R495" s="1"/>
      <c r="S495" s="1"/>
      <c r="T495" s="1"/>
    </row>
    <row r="496" ht="14.25" customHeight="1">
      <c r="A496" s="52"/>
      <c r="B496" s="53"/>
      <c r="C496" s="53"/>
      <c r="D496" s="53"/>
      <c r="E496" s="53"/>
      <c r="F496" s="53"/>
      <c r="G496" s="1"/>
      <c r="H496" s="1"/>
      <c r="I496" s="1"/>
      <c r="J496" s="1"/>
      <c r="K496" s="1"/>
      <c r="L496" s="1"/>
      <c r="M496" s="1"/>
      <c r="N496" s="1"/>
      <c r="O496" s="1"/>
      <c r="P496" s="1"/>
      <c r="Q496" s="1"/>
      <c r="R496" s="1"/>
      <c r="S496" s="1"/>
      <c r="T496" s="1"/>
    </row>
    <row r="497" ht="14.25" customHeight="1">
      <c r="A497" s="52"/>
      <c r="B497" s="53"/>
      <c r="C497" s="53"/>
      <c r="D497" s="53"/>
      <c r="E497" s="53"/>
      <c r="F497" s="53"/>
      <c r="G497" s="1"/>
      <c r="H497" s="1"/>
      <c r="I497" s="1"/>
      <c r="J497" s="1"/>
      <c r="K497" s="1"/>
      <c r="L497" s="1"/>
      <c r="M497" s="1"/>
      <c r="N497" s="1"/>
      <c r="O497" s="1"/>
      <c r="P497" s="1"/>
      <c r="Q497" s="1"/>
      <c r="R497" s="1"/>
      <c r="S497" s="1"/>
      <c r="T497" s="1"/>
    </row>
    <row r="498" ht="14.25" customHeight="1">
      <c r="A498" s="52"/>
      <c r="B498" s="53"/>
      <c r="C498" s="53"/>
      <c r="D498" s="53"/>
      <c r="E498" s="53"/>
      <c r="F498" s="53"/>
      <c r="G498" s="1"/>
      <c r="H498" s="1"/>
      <c r="I498" s="1"/>
      <c r="J498" s="1"/>
      <c r="K498" s="1"/>
      <c r="L498" s="1"/>
      <c r="M498" s="1"/>
      <c r="N498" s="1"/>
      <c r="O498" s="1"/>
      <c r="P498" s="1"/>
      <c r="Q498" s="1"/>
      <c r="R498" s="1"/>
      <c r="S498" s="1"/>
      <c r="T498" s="1"/>
    </row>
    <row r="499" ht="14.25" customHeight="1">
      <c r="A499" s="52"/>
      <c r="B499" s="53"/>
      <c r="C499" s="53"/>
      <c r="D499" s="53"/>
      <c r="E499" s="53"/>
      <c r="F499" s="53"/>
      <c r="G499" s="1"/>
      <c r="H499" s="1"/>
      <c r="I499" s="1"/>
      <c r="J499" s="1"/>
      <c r="K499" s="1"/>
      <c r="L499" s="1"/>
      <c r="M499" s="1"/>
      <c r="N499" s="1"/>
      <c r="O499" s="1"/>
      <c r="P499" s="1"/>
      <c r="Q499" s="1"/>
      <c r="R499" s="1"/>
      <c r="S499" s="1"/>
      <c r="T499" s="1"/>
    </row>
    <row r="500" ht="14.25" customHeight="1">
      <c r="A500" s="52"/>
      <c r="B500" s="53"/>
      <c r="C500" s="53"/>
      <c r="D500" s="53"/>
      <c r="E500" s="53"/>
      <c r="F500" s="53"/>
      <c r="G500" s="1"/>
      <c r="H500" s="1"/>
      <c r="I500" s="1"/>
      <c r="J500" s="1"/>
      <c r="K500" s="1"/>
      <c r="L500" s="1"/>
      <c r="M500" s="1"/>
      <c r="N500" s="1"/>
      <c r="O500" s="1"/>
      <c r="P500" s="1"/>
      <c r="Q500" s="1"/>
      <c r="R500" s="1"/>
      <c r="S500" s="1"/>
      <c r="T500" s="1"/>
    </row>
    <row r="501" ht="14.25" customHeight="1">
      <c r="A501" s="52"/>
      <c r="B501" s="53"/>
      <c r="C501" s="53"/>
      <c r="D501" s="53"/>
      <c r="E501" s="53"/>
      <c r="F501" s="53"/>
      <c r="G501" s="1"/>
      <c r="H501" s="1"/>
      <c r="I501" s="1"/>
      <c r="J501" s="1"/>
      <c r="K501" s="1"/>
      <c r="L501" s="1"/>
      <c r="M501" s="1"/>
      <c r="N501" s="1"/>
      <c r="O501" s="1"/>
      <c r="P501" s="1"/>
      <c r="Q501" s="1"/>
      <c r="R501" s="1"/>
      <c r="S501" s="1"/>
      <c r="T501" s="1"/>
    </row>
    <row r="502" ht="14.25" customHeight="1">
      <c r="A502" s="52"/>
      <c r="B502" s="53"/>
      <c r="C502" s="53"/>
      <c r="D502" s="53"/>
      <c r="E502" s="53"/>
      <c r="F502" s="53"/>
      <c r="G502" s="1"/>
      <c r="H502" s="1"/>
      <c r="I502" s="1"/>
      <c r="J502" s="1"/>
      <c r="K502" s="1"/>
      <c r="L502" s="1"/>
      <c r="M502" s="1"/>
      <c r="N502" s="1"/>
      <c r="O502" s="1"/>
      <c r="P502" s="1"/>
      <c r="Q502" s="1"/>
      <c r="R502" s="1"/>
      <c r="S502" s="1"/>
      <c r="T502" s="1"/>
    </row>
    <row r="503" ht="14.25" customHeight="1">
      <c r="A503" s="52"/>
      <c r="B503" s="53"/>
      <c r="C503" s="53"/>
      <c r="D503" s="53"/>
      <c r="E503" s="53"/>
      <c r="F503" s="53"/>
      <c r="G503" s="1"/>
      <c r="H503" s="1"/>
      <c r="I503" s="1"/>
      <c r="J503" s="1"/>
      <c r="K503" s="1"/>
      <c r="L503" s="1"/>
      <c r="M503" s="1"/>
      <c r="N503" s="1"/>
      <c r="O503" s="1"/>
      <c r="P503" s="1"/>
      <c r="Q503" s="1"/>
      <c r="R503" s="1"/>
      <c r="S503" s="1"/>
      <c r="T503" s="1"/>
    </row>
    <row r="504" ht="14.25" customHeight="1">
      <c r="A504" s="52"/>
      <c r="B504" s="53"/>
      <c r="C504" s="53"/>
      <c r="D504" s="53"/>
      <c r="E504" s="53"/>
      <c r="F504" s="53"/>
      <c r="G504" s="1"/>
      <c r="H504" s="1"/>
      <c r="I504" s="1"/>
      <c r="J504" s="1"/>
      <c r="K504" s="1"/>
      <c r="L504" s="1"/>
      <c r="M504" s="1"/>
      <c r="N504" s="1"/>
      <c r="O504" s="1"/>
      <c r="P504" s="1"/>
      <c r="Q504" s="1"/>
      <c r="R504" s="1"/>
      <c r="S504" s="1"/>
      <c r="T504" s="1"/>
    </row>
    <row r="505" ht="14.25" customHeight="1">
      <c r="A505" s="52"/>
      <c r="B505" s="53"/>
      <c r="C505" s="53"/>
      <c r="D505" s="53"/>
      <c r="E505" s="53"/>
      <c r="F505" s="53"/>
      <c r="G505" s="1"/>
      <c r="H505" s="1"/>
      <c r="I505" s="1"/>
      <c r="J505" s="1"/>
      <c r="K505" s="1"/>
      <c r="L505" s="1"/>
      <c r="M505" s="1"/>
      <c r="N505" s="1"/>
      <c r="O505" s="1"/>
      <c r="P505" s="1"/>
      <c r="Q505" s="1"/>
      <c r="R505" s="1"/>
      <c r="S505" s="1"/>
      <c r="T505" s="1"/>
    </row>
    <row r="506" ht="14.25" customHeight="1">
      <c r="A506" s="52"/>
      <c r="B506" s="53"/>
      <c r="C506" s="53"/>
      <c r="D506" s="53"/>
      <c r="E506" s="53"/>
      <c r="F506" s="53"/>
      <c r="G506" s="1"/>
      <c r="H506" s="1"/>
      <c r="I506" s="1"/>
      <c r="J506" s="1"/>
      <c r="K506" s="1"/>
      <c r="L506" s="1"/>
      <c r="M506" s="1"/>
      <c r="N506" s="1"/>
      <c r="O506" s="1"/>
      <c r="P506" s="1"/>
      <c r="Q506" s="1"/>
      <c r="R506" s="1"/>
      <c r="S506" s="1"/>
      <c r="T506" s="1"/>
    </row>
    <row r="507" ht="14.25" customHeight="1">
      <c r="A507" s="52"/>
      <c r="B507" s="53"/>
      <c r="C507" s="53"/>
      <c r="D507" s="53"/>
      <c r="E507" s="53"/>
      <c r="F507" s="53"/>
      <c r="G507" s="1"/>
      <c r="H507" s="1"/>
      <c r="I507" s="1"/>
      <c r="J507" s="1"/>
      <c r="K507" s="1"/>
      <c r="L507" s="1"/>
      <c r="M507" s="1"/>
      <c r="N507" s="1"/>
      <c r="O507" s="1"/>
      <c r="P507" s="1"/>
      <c r="Q507" s="1"/>
      <c r="R507" s="1"/>
      <c r="S507" s="1"/>
      <c r="T507" s="1"/>
    </row>
    <row r="508" ht="14.25" customHeight="1">
      <c r="A508" s="52"/>
      <c r="B508" s="53"/>
      <c r="C508" s="53"/>
      <c r="D508" s="53"/>
      <c r="E508" s="53"/>
      <c r="F508" s="53"/>
      <c r="G508" s="1"/>
      <c r="H508" s="1"/>
      <c r="I508" s="1"/>
      <c r="J508" s="1"/>
      <c r="K508" s="1"/>
      <c r="L508" s="1"/>
      <c r="M508" s="1"/>
      <c r="N508" s="1"/>
      <c r="O508" s="1"/>
      <c r="P508" s="1"/>
      <c r="Q508" s="1"/>
      <c r="R508" s="1"/>
      <c r="S508" s="1"/>
      <c r="T508" s="1"/>
    </row>
    <row r="509" ht="14.25" customHeight="1">
      <c r="A509" s="52"/>
      <c r="B509" s="53"/>
      <c r="C509" s="53"/>
      <c r="D509" s="53"/>
      <c r="E509" s="53"/>
      <c r="F509" s="53"/>
      <c r="G509" s="1"/>
      <c r="H509" s="1"/>
      <c r="I509" s="1"/>
      <c r="J509" s="1"/>
      <c r="K509" s="1"/>
      <c r="L509" s="1"/>
      <c r="M509" s="1"/>
      <c r="N509" s="1"/>
      <c r="O509" s="1"/>
      <c r="P509" s="1"/>
      <c r="Q509" s="1"/>
      <c r="R509" s="1"/>
      <c r="S509" s="1"/>
      <c r="T509" s="1"/>
    </row>
    <row r="510" ht="14.25" customHeight="1">
      <c r="A510" s="52"/>
      <c r="B510" s="53"/>
      <c r="C510" s="53"/>
      <c r="D510" s="53"/>
      <c r="E510" s="53"/>
      <c r="F510" s="53"/>
      <c r="G510" s="1"/>
      <c r="H510" s="1"/>
      <c r="I510" s="1"/>
      <c r="J510" s="1"/>
      <c r="K510" s="1"/>
      <c r="L510" s="1"/>
      <c r="M510" s="1"/>
      <c r="N510" s="1"/>
      <c r="O510" s="1"/>
      <c r="P510" s="1"/>
      <c r="Q510" s="1"/>
      <c r="R510" s="1"/>
      <c r="S510" s="1"/>
      <c r="T510" s="1"/>
    </row>
    <row r="511" ht="14.25" customHeight="1">
      <c r="A511" s="52"/>
      <c r="B511" s="53"/>
      <c r="C511" s="53"/>
      <c r="D511" s="53"/>
      <c r="E511" s="53"/>
      <c r="F511" s="53"/>
      <c r="G511" s="1"/>
      <c r="H511" s="1"/>
      <c r="I511" s="1"/>
      <c r="J511" s="1"/>
      <c r="K511" s="1"/>
      <c r="L511" s="1"/>
      <c r="M511" s="1"/>
      <c r="N511" s="1"/>
      <c r="O511" s="1"/>
      <c r="P511" s="1"/>
      <c r="Q511" s="1"/>
      <c r="R511" s="1"/>
      <c r="S511" s="1"/>
      <c r="T511" s="1"/>
    </row>
    <row r="512" ht="14.25" customHeight="1">
      <c r="A512" s="52"/>
      <c r="B512" s="53"/>
      <c r="C512" s="53"/>
      <c r="D512" s="53"/>
      <c r="E512" s="53"/>
      <c r="F512" s="53"/>
      <c r="G512" s="1"/>
      <c r="H512" s="1"/>
      <c r="I512" s="1"/>
      <c r="J512" s="1"/>
      <c r="K512" s="1"/>
      <c r="L512" s="1"/>
      <c r="M512" s="1"/>
      <c r="N512" s="1"/>
      <c r="O512" s="1"/>
      <c r="P512" s="1"/>
      <c r="Q512" s="1"/>
      <c r="R512" s="1"/>
      <c r="S512" s="1"/>
      <c r="T512" s="1"/>
    </row>
    <row r="513" ht="14.25" customHeight="1">
      <c r="A513" s="52"/>
      <c r="B513" s="53"/>
      <c r="C513" s="53"/>
      <c r="D513" s="53"/>
      <c r="E513" s="53"/>
      <c r="F513" s="53"/>
      <c r="G513" s="1"/>
      <c r="H513" s="1"/>
      <c r="I513" s="1"/>
      <c r="J513" s="1"/>
      <c r="K513" s="1"/>
      <c r="L513" s="1"/>
      <c r="M513" s="1"/>
      <c r="N513" s="1"/>
      <c r="O513" s="1"/>
      <c r="P513" s="1"/>
      <c r="Q513" s="1"/>
      <c r="R513" s="1"/>
      <c r="S513" s="1"/>
      <c r="T513" s="1"/>
    </row>
    <row r="514" ht="14.25" customHeight="1">
      <c r="A514" s="52"/>
      <c r="B514" s="53"/>
      <c r="C514" s="53"/>
      <c r="D514" s="53"/>
      <c r="E514" s="53"/>
      <c r="F514" s="53"/>
      <c r="G514" s="1"/>
      <c r="H514" s="1"/>
      <c r="I514" s="1"/>
      <c r="J514" s="1"/>
      <c r="K514" s="1"/>
      <c r="L514" s="1"/>
      <c r="M514" s="1"/>
      <c r="N514" s="1"/>
      <c r="O514" s="1"/>
      <c r="P514" s="1"/>
      <c r="Q514" s="1"/>
      <c r="R514" s="1"/>
      <c r="S514" s="1"/>
      <c r="T514" s="1"/>
    </row>
    <row r="515" ht="14.25" customHeight="1">
      <c r="A515" s="52"/>
      <c r="B515" s="53"/>
      <c r="C515" s="53"/>
      <c r="D515" s="53"/>
      <c r="E515" s="53"/>
      <c r="F515" s="53"/>
      <c r="G515" s="1"/>
      <c r="H515" s="1"/>
      <c r="I515" s="1"/>
      <c r="J515" s="1"/>
      <c r="K515" s="1"/>
      <c r="L515" s="1"/>
      <c r="M515" s="1"/>
      <c r="N515" s="1"/>
      <c r="O515" s="1"/>
      <c r="P515" s="1"/>
      <c r="Q515" s="1"/>
      <c r="R515" s="1"/>
      <c r="S515" s="1"/>
      <c r="T515" s="1"/>
    </row>
    <row r="516" ht="14.25" customHeight="1">
      <c r="A516" s="52"/>
      <c r="B516" s="53"/>
      <c r="C516" s="53"/>
      <c r="D516" s="53"/>
      <c r="E516" s="53"/>
      <c r="F516" s="53"/>
      <c r="G516" s="1"/>
      <c r="H516" s="1"/>
      <c r="I516" s="1"/>
      <c r="J516" s="1"/>
      <c r="K516" s="1"/>
      <c r="L516" s="1"/>
      <c r="M516" s="1"/>
      <c r="N516" s="1"/>
      <c r="O516" s="1"/>
      <c r="P516" s="1"/>
      <c r="Q516" s="1"/>
      <c r="R516" s="1"/>
      <c r="S516" s="1"/>
      <c r="T516" s="1"/>
    </row>
    <row r="517" ht="14.25" customHeight="1">
      <c r="A517" s="52"/>
      <c r="B517" s="53"/>
      <c r="C517" s="53"/>
      <c r="D517" s="53"/>
      <c r="E517" s="53"/>
      <c r="F517" s="53"/>
      <c r="G517" s="1"/>
      <c r="H517" s="1"/>
      <c r="I517" s="1"/>
      <c r="J517" s="1"/>
      <c r="K517" s="1"/>
      <c r="L517" s="1"/>
      <c r="M517" s="1"/>
      <c r="N517" s="1"/>
      <c r="O517" s="1"/>
      <c r="P517" s="1"/>
      <c r="Q517" s="1"/>
      <c r="R517" s="1"/>
      <c r="S517" s="1"/>
      <c r="T517" s="1"/>
    </row>
    <row r="518" ht="14.25" customHeight="1">
      <c r="A518" s="52"/>
      <c r="B518" s="53"/>
      <c r="C518" s="53"/>
      <c r="D518" s="53"/>
      <c r="E518" s="53"/>
      <c r="F518" s="53"/>
      <c r="G518" s="1"/>
      <c r="H518" s="1"/>
      <c r="I518" s="1"/>
      <c r="J518" s="1"/>
      <c r="K518" s="1"/>
      <c r="L518" s="1"/>
      <c r="M518" s="1"/>
      <c r="N518" s="1"/>
      <c r="O518" s="1"/>
      <c r="P518" s="1"/>
      <c r="Q518" s="1"/>
      <c r="R518" s="1"/>
      <c r="S518" s="1"/>
      <c r="T518" s="1"/>
    </row>
    <row r="519" ht="14.25" customHeight="1">
      <c r="A519" s="52"/>
      <c r="B519" s="53"/>
      <c r="C519" s="53"/>
      <c r="D519" s="53"/>
      <c r="E519" s="53"/>
      <c r="F519" s="53"/>
      <c r="G519" s="1"/>
      <c r="H519" s="1"/>
      <c r="I519" s="1"/>
      <c r="J519" s="1"/>
      <c r="K519" s="1"/>
      <c r="L519" s="1"/>
      <c r="M519" s="1"/>
      <c r="N519" s="1"/>
      <c r="O519" s="1"/>
      <c r="P519" s="1"/>
      <c r="Q519" s="1"/>
      <c r="R519" s="1"/>
      <c r="S519" s="1"/>
      <c r="T519" s="1"/>
    </row>
    <row r="520" ht="14.25" customHeight="1">
      <c r="A520" s="52"/>
      <c r="B520" s="53"/>
      <c r="C520" s="53"/>
      <c r="D520" s="53"/>
      <c r="E520" s="53"/>
      <c r="F520" s="53"/>
      <c r="G520" s="1"/>
      <c r="H520" s="1"/>
      <c r="I520" s="1"/>
      <c r="J520" s="1"/>
      <c r="K520" s="1"/>
      <c r="L520" s="1"/>
      <c r="M520" s="1"/>
      <c r="N520" s="1"/>
      <c r="O520" s="1"/>
      <c r="P520" s="1"/>
      <c r="Q520" s="1"/>
      <c r="R520" s="1"/>
      <c r="S520" s="1"/>
      <c r="T520" s="1"/>
    </row>
    <row r="521" ht="14.25" customHeight="1">
      <c r="A521" s="52"/>
      <c r="B521" s="53"/>
      <c r="C521" s="53"/>
      <c r="D521" s="53"/>
      <c r="E521" s="53"/>
      <c r="F521" s="53"/>
      <c r="G521" s="1"/>
      <c r="H521" s="1"/>
      <c r="I521" s="1"/>
      <c r="J521" s="1"/>
      <c r="K521" s="1"/>
      <c r="L521" s="1"/>
      <c r="M521" s="1"/>
      <c r="N521" s="1"/>
      <c r="O521" s="1"/>
      <c r="P521" s="1"/>
      <c r="Q521" s="1"/>
      <c r="R521" s="1"/>
      <c r="S521" s="1"/>
      <c r="T521" s="1"/>
    </row>
    <row r="522" ht="14.25" customHeight="1">
      <c r="A522" s="52"/>
      <c r="B522" s="53"/>
      <c r="C522" s="53"/>
      <c r="D522" s="53"/>
      <c r="E522" s="53"/>
      <c r="F522" s="53"/>
      <c r="G522" s="1"/>
      <c r="H522" s="1"/>
      <c r="I522" s="1"/>
      <c r="J522" s="1"/>
      <c r="K522" s="1"/>
      <c r="L522" s="1"/>
      <c r="M522" s="1"/>
      <c r="N522" s="1"/>
      <c r="O522" s="1"/>
      <c r="P522" s="1"/>
      <c r="Q522" s="1"/>
      <c r="R522" s="1"/>
      <c r="S522" s="1"/>
      <c r="T522" s="1"/>
    </row>
    <row r="523" ht="14.25" customHeight="1">
      <c r="A523" s="52"/>
      <c r="B523" s="53"/>
      <c r="C523" s="53"/>
      <c r="D523" s="53"/>
      <c r="E523" s="53"/>
      <c r="F523" s="53"/>
      <c r="G523" s="1"/>
      <c r="H523" s="1"/>
      <c r="I523" s="1"/>
      <c r="J523" s="1"/>
      <c r="K523" s="1"/>
      <c r="L523" s="1"/>
      <c r="M523" s="1"/>
      <c r="N523" s="1"/>
      <c r="O523" s="1"/>
      <c r="P523" s="1"/>
      <c r="Q523" s="1"/>
      <c r="R523" s="1"/>
      <c r="S523" s="1"/>
      <c r="T523" s="1"/>
    </row>
    <row r="524" ht="14.25" customHeight="1">
      <c r="A524" s="52"/>
      <c r="B524" s="53"/>
      <c r="C524" s="53"/>
      <c r="D524" s="53"/>
      <c r="E524" s="53"/>
      <c r="F524" s="53"/>
      <c r="G524" s="1"/>
      <c r="H524" s="1"/>
      <c r="I524" s="1"/>
      <c r="J524" s="1"/>
      <c r="K524" s="1"/>
      <c r="L524" s="1"/>
      <c r="M524" s="1"/>
      <c r="N524" s="1"/>
      <c r="O524" s="1"/>
      <c r="P524" s="1"/>
      <c r="Q524" s="1"/>
      <c r="R524" s="1"/>
      <c r="S524" s="1"/>
      <c r="T524" s="1"/>
    </row>
    <row r="525" ht="14.25" customHeight="1">
      <c r="A525" s="52"/>
      <c r="B525" s="53"/>
      <c r="C525" s="53"/>
      <c r="D525" s="53"/>
      <c r="E525" s="53"/>
      <c r="F525" s="53"/>
      <c r="G525" s="1"/>
      <c r="H525" s="1"/>
      <c r="I525" s="1"/>
      <c r="J525" s="1"/>
      <c r="K525" s="1"/>
      <c r="L525" s="1"/>
      <c r="M525" s="1"/>
      <c r="N525" s="1"/>
      <c r="O525" s="1"/>
      <c r="P525" s="1"/>
      <c r="Q525" s="1"/>
      <c r="R525" s="1"/>
      <c r="S525" s="1"/>
      <c r="T525" s="1"/>
    </row>
    <row r="526" ht="14.25" customHeight="1">
      <c r="A526" s="52"/>
      <c r="B526" s="53"/>
      <c r="C526" s="53"/>
      <c r="D526" s="53"/>
      <c r="E526" s="53"/>
      <c r="F526" s="53"/>
      <c r="G526" s="1"/>
      <c r="H526" s="1"/>
      <c r="I526" s="1"/>
      <c r="J526" s="1"/>
      <c r="K526" s="1"/>
      <c r="L526" s="1"/>
      <c r="M526" s="1"/>
      <c r="N526" s="1"/>
      <c r="O526" s="1"/>
      <c r="P526" s="1"/>
      <c r="Q526" s="1"/>
      <c r="R526" s="1"/>
      <c r="S526" s="1"/>
      <c r="T526" s="1"/>
    </row>
    <row r="527" ht="14.25" customHeight="1">
      <c r="A527" s="52"/>
      <c r="B527" s="53"/>
      <c r="C527" s="53"/>
      <c r="D527" s="53"/>
      <c r="E527" s="53"/>
      <c r="F527" s="53"/>
      <c r="G527" s="1"/>
      <c r="H527" s="1"/>
      <c r="I527" s="1"/>
      <c r="J527" s="1"/>
      <c r="K527" s="1"/>
      <c r="L527" s="1"/>
      <c r="M527" s="1"/>
      <c r="N527" s="1"/>
      <c r="O527" s="1"/>
      <c r="P527" s="1"/>
      <c r="Q527" s="1"/>
      <c r="R527" s="1"/>
      <c r="S527" s="1"/>
      <c r="T527" s="1"/>
    </row>
    <row r="528" ht="14.25" customHeight="1">
      <c r="A528" s="52"/>
      <c r="B528" s="53"/>
      <c r="C528" s="53"/>
      <c r="D528" s="53"/>
      <c r="E528" s="53"/>
      <c r="F528" s="53"/>
      <c r="G528" s="1"/>
      <c r="H528" s="1"/>
      <c r="I528" s="1"/>
      <c r="J528" s="1"/>
      <c r="K528" s="1"/>
      <c r="L528" s="1"/>
      <c r="M528" s="1"/>
      <c r="N528" s="1"/>
      <c r="O528" s="1"/>
      <c r="P528" s="1"/>
      <c r="Q528" s="1"/>
      <c r="R528" s="1"/>
      <c r="S528" s="1"/>
      <c r="T528" s="1"/>
    </row>
    <row r="529" ht="14.25" customHeight="1">
      <c r="A529" s="52"/>
      <c r="B529" s="53"/>
      <c r="C529" s="53"/>
      <c r="D529" s="53"/>
      <c r="E529" s="53"/>
      <c r="F529" s="53"/>
      <c r="G529" s="1"/>
      <c r="H529" s="1"/>
      <c r="I529" s="1"/>
      <c r="J529" s="1"/>
      <c r="K529" s="1"/>
      <c r="L529" s="1"/>
      <c r="M529" s="1"/>
      <c r="N529" s="1"/>
      <c r="O529" s="1"/>
      <c r="P529" s="1"/>
      <c r="Q529" s="1"/>
      <c r="R529" s="1"/>
      <c r="S529" s="1"/>
      <c r="T529" s="1"/>
    </row>
    <row r="530" ht="14.25" customHeight="1">
      <c r="A530" s="52"/>
      <c r="B530" s="53"/>
      <c r="C530" s="53"/>
      <c r="D530" s="53"/>
      <c r="E530" s="53"/>
      <c r="F530" s="53"/>
      <c r="G530" s="1"/>
      <c r="H530" s="1"/>
      <c r="I530" s="1"/>
      <c r="J530" s="1"/>
      <c r="K530" s="1"/>
      <c r="L530" s="1"/>
      <c r="M530" s="1"/>
      <c r="N530" s="1"/>
      <c r="O530" s="1"/>
      <c r="P530" s="1"/>
      <c r="Q530" s="1"/>
      <c r="R530" s="1"/>
      <c r="S530" s="1"/>
      <c r="T530" s="1"/>
    </row>
    <row r="531" ht="14.25" customHeight="1">
      <c r="A531" s="52"/>
      <c r="B531" s="53"/>
      <c r="C531" s="53"/>
      <c r="D531" s="53"/>
      <c r="E531" s="53"/>
      <c r="F531" s="53"/>
      <c r="G531" s="1"/>
      <c r="H531" s="1"/>
      <c r="I531" s="1"/>
      <c r="J531" s="1"/>
      <c r="K531" s="1"/>
      <c r="L531" s="1"/>
      <c r="M531" s="1"/>
      <c r="N531" s="1"/>
      <c r="O531" s="1"/>
      <c r="P531" s="1"/>
      <c r="Q531" s="1"/>
      <c r="R531" s="1"/>
      <c r="S531" s="1"/>
      <c r="T531" s="1"/>
    </row>
    <row r="532" ht="14.25" customHeight="1">
      <c r="A532" s="52"/>
      <c r="B532" s="53"/>
      <c r="C532" s="53"/>
      <c r="D532" s="53"/>
      <c r="E532" s="53"/>
      <c r="F532" s="53"/>
      <c r="G532" s="1"/>
      <c r="H532" s="1"/>
      <c r="I532" s="1"/>
      <c r="J532" s="1"/>
      <c r="K532" s="1"/>
      <c r="L532" s="1"/>
      <c r="M532" s="1"/>
      <c r="N532" s="1"/>
      <c r="O532" s="1"/>
      <c r="P532" s="1"/>
      <c r="Q532" s="1"/>
      <c r="R532" s="1"/>
      <c r="S532" s="1"/>
      <c r="T532" s="1"/>
    </row>
    <row r="533" ht="14.25" customHeight="1">
      <c r="A533" s="52"/>
      <c r="B533" s="53"/>
      <c r="C533" s="53"/>
      <c r="D533" s="53"/>
      <c r="E533" s="53"/>
      <c r="F533" s="53"/>
      <c r="G533" s="1"/>
      <c r="H533" s="1"/>
      <c r="I533" s="1"/>
      <c r="J533" s="1"/>
      <c r="K533" s="1"/>
      <c r="L533" s="1"/>
      <c r="M533" s="1"/>
      <c r="N533" s="1"/>
      <c r="O533" s="1"/>
      <c r="P533" s="1"/>
      <c r="Q533" s="1"/>
      <c r="R533" s="1"/>
      <c r="S533" s="1"/>
      <c r="T533" s="1"/>
    </row>
    <row r="534" ht="14.25" customHeight="1">
      <c r="A534" s="52"/>
      <c r="B534" s="53"/>
      <c r="C534" s="53"/>
      <c r="D534" s="53"/>
      <c r="E534" s="53"/>
      <c r="F534" s="53"/>
      <c r="G534" s="1"/>
      <c r="H534" s="1"/>
      <c r="I534" s="1"/>
      <c r="J534" s="1"/>
      <c r="K534" s="1"/>
      <c r="L534" s="1"/>
      <c r="M534" s="1"/>
      <c r="N534" s="1"/>
      <c r="O534" s="1"/>
      <c r="P534" s="1"/>
      <c r="Q534" s="1"/>
      <c r="R534" s="1"/>
      <c r="S534" s="1"/>
      <c r="T534" s="1"/>
    </row>
    <row r="535" ht="14.25" customHeight="1">
      <c r="A535" s="52"/>
      <c r="B535" s="53"/>
      <c r="C535" s="53"/>
      <c r="D535" s="53"/>
      <c r="E535" s="53"/>
      <c r="F535" s="53"/>
      <c r="G535" s="1"/>
      <c r="H535" s="1"/>
      <c r="I535" s="1"/>
      <c r="J535" s="1"/>
      <c r="K535" s="1"/>
      <c r="L535" s="1"/>
      <c r="M535" s="1"/>
      <c r="N535" s="1"/>
      <c r="O535" s="1"/>
      <c r="P535" s="1"/>
      <c r="Q535" s="1"/>
      <c r="R535" s="1"/>
      <c r="S535" s="1"/>
      <c r="T535" s="1"/>
    </row>
    <row r="536" ht="14.25" customHeight="1">
      <c r="A536" s="52"/>
      <c r="B536" s="53"/>
      <c r="C536" s="53"/>
      <c r="D536" s="53"/>
      <c r="E536" s="53"/>
      <c r="F536" s="53"/>
      <c r="G536" s="1"/>
      <c r="H536" s="1"/>
      <c r="I536" s="1"/>
      <c r="J536" s="1"/>
      <c r="K536" s="1"/>
      <c r="L536" s="1"/>
      <c r="M536" s="1"/>
      <c r="N536" s="1"/>
      <c r="O536" s="1"/>
      <c r="P536" s="1"/>
      <c r="Q536" s="1"/>
      <c r="R536" s="1"/>
      <c r="S536" s="1"/>
      <c r="T536" s="1"/>
    </row>
    <row r="537" ht="14.25" customHeight="1">
      <c r="A537" s="52"/>
      <c r="B537" s="53"/>
      <c r="C537" s="53"/>
      <c r="D537" s="53"/>
      <c r="E537" s="53"/>
      <c r="F537" s="53"/>
      <c r="G537" s="1"/>
      <c r="H537" s="1"/>
      <c r="I537" s="1"/>
      <c r="J537" s="1"/>
      <c r="K537" s="1"/>
      <c r="L537" s="1"/>
      <c r="M537" s="1"/>
      <c r="N537" s="1"/>
      <c r="O537" s="1"/>
      <c r="P537" s="1"/>
      <c r="Q537" s="1"/>
      <c r="R537" s="1"/>
      <c r="S537" s="1"/>
      <c r="T537" s="1"/>
    </row>
    <row r="538" ht="14.25" customHeight="1">
      <c r="A538" s="52"/>
      <c r="B538" s="53"/>
      <c r="C538" s="53"/>
      <c r="D538" s="53"/>
      <c r="E538" s="53"/>
      <c r="F538" s="53"/>
      <c r="G538" s="1"/>
      <c r="H538" s="1"/>
      <c r="I538" s="1"/>
      <c r="J538" s="1"/>
      <c r="K538" s="1"/>
      <c r="L538" s="1"/>
      <c r="M538" s="1"/>
      <c r="N538" s="1"/>
      <c r="O538" s="1"/>
      <c r="P538" s="1"/>
      <c r="Q538" s="1"/>
      <c r="R538" s="1"/>
      <c r="S538" s="1"/>
      <c r="T538" s="1"/>
    </row>
    <row r="539" ht="14.25" customHeight="1">
      <c r="A539" s="52"/>
      <c r="B539" s="53"/>
      <c r="C539" s="53"/>
      <c r="D539" s="53"/>
      <c r="E539" s="53"/>
      <c r="F539" s="53"/>
      <c r="G539" s="1"/>
      <c r="H539" s="1"/>
      <c r="I539" s="1"/>
      <c r="J539" s="1"/>
      <c r="K539" s="1"/>
      <c r="L539" s="1"/>
      <c r="M539" s="1"/>
      <c r="N539" s="1"/>
      <c r="O539" s="1"/>
      <c r="P539" s="1"/>
      <c r="Q539" s="1"/>
      <c r="R539" s="1"/>
      <c r="S539" s="1"/>
      <c r="T539" s="1"/>
    </row>
    <row r="540" ht="14.25" customHeight="1">
      <c r="A540" s="52"/>
      <c r="B540" s="53"/>
      <c r="C540" s="53"/>
      <c r="D540" s="53"/>
      <c r="E540" s="53"/>
      <c r="F540" s="53"/>
      <c r="G540" s="1"/>
      <c r="H540" s="1"/>
      <c r="I540" s="1"/>
      <c r="J540" s="1"/>
      <c r="K540" s="1"/>
      <c r="L540" s="1"/>
      <c r="M540" s="1"/>
      <c r="N540" s="1"/>
      <c r="O540" s="1"/>
      <c r="P540" s="1"/>
      <c r="Q540" s="1"/>
      <c r="R540" s="1"/>
      <c r="S540" s="1"/>
      <c r="T540" s="1"/>
    </row>
    <row r="541" ht="14.25" customHeight="1">
      <c r="A541" s="52"/>
      <c r="B541" s="53"/>
      <c r="C541" s="53"/>
      <c r="D541" s="53"/>
      <c r="E541" s="53"/>
      <c r="F541" s="53"/>
      <c r="G541" s="1"/>
      <c r="H541" s="1"/>
      <c r="I541" s="1"/>
      <c r="J541" s="1"/>
      <c r="K541" s="1"/>
      <c r="L541" s="1"/>
      <c r="M541" s="1"/>
      <c r="N541" s="1"/>
      <c r="O541" s="1"/>
      <c r="P541" s="1"/>
      <c r="Q541" s="1"/>
      <c r="R541" s="1"/>
      <c r="S541" s="1"/>
      <c r="T541" s="1"/>
    </row>
    <row r="542" ht="14.25" customHeight="1">
      <c r="A542" s="52"/>
      <c r="B542" s="53"/>
      <c r="C542" s="53"/>
      <c r="D542" s="53"/>
      <c r="E542" s="53"/>
      <c r="F542" s="53"/>
      <c r="G542" s="1"/>
      <c r="H542" s="1"/>
      <c r="I542" s="1"/>
      <c r="J542" s="1"/>
      <c r="K542" s="1"/>
      <c r="L542" s="1"/>
      <c r="M542" s="1"/>
      <c r="N542" s="1"/>
      <c r="O542" s="1"/>
      <c r="P542" s="1"/>
      <c r="Q542" s="1"/>
      <c r="R542" s="1"/>
      <c r="S542" s="1"/>
      <c r="T542" s="1"/>
    </row>
    <row r="543" ht="14.25" customHeight="1">
      <c r="A543" s="52"/>
      <c r="B543" s="53"/>
      <c r="C543" s="53"/>
      <c r="D543" s="53"/>
      <c r="E543" s="53"/>
      <c r="F543" s="53"/>
      <c r="G543" s="1"/>
      <c r="H543" s="1"/>
      <c r="I543" s="1"/>
      <c r="J543" s="1"/>
      <c r="K543" s="1"/>
      <c r="L543" s="1"/>
      <c r="M543" s="1"/>
      <c r="N543" s="1"/>
      <c r="O543" s="1"/>
      <c r="P543" s="1"/>
      <c r="Q543" s="1"/>
      <c r="R543" s="1"/>
      <c r="S543" s="1"/>
      <c r="T543" s="1"/>
    </row>
    <row r="544" ht="14.25" customHeight="1">
      <c r="A544" s="52"/>
      <c r="B544" s="53"/>
      <c r="C544" s="53"/>
      <c r="D544" s="53"/>
      <c r="E544" s="53"/>
      <c r="F544" s="53"/>
      <c r="G544" s="1"/>
      <c r="H544" s="1"/>
      <c r="I544" s="1"/>
      <c r="J544" s="1"/>
      <c r="K544" s="1"/>
      <c r="L544" s="1"/>
      <c r="M544" s="1"/>
      <c r="N544" s="1"/>
      <c r="O544" s="1"/>
      <c r="P544" s="1"/>
      <c r="Q544" s="1"/>
      <c r="R544" s="1"/>
      <c r="S544" s="1"/>
      <c r="T544" s="1"/>
    </row>
    <row r="545" ht="14.25" customHeight="1">
      <c r="A545" s="52"/>
      <c r="B545" s="53"/>
      <c r="C545" s="53"/>
      <c r="D545" s="53"/>
      <c r="E545" s="53"/>
      <c r="F545" s="53"/>
      <c r="G545" s="1"/>
      <c r="H545" s="1"/>
      <c r="I545" s="1"/>
      <c r="J545" s="1"/>
      <c r="K545" s="1"/>
      <c r="L545" s="1"/>
      <c r="M545" s="1"/>
      <c r="N545" s="1"/>
      <c r="O545" s="1"/>
      <c r="P545" s="1"/>
      <c r="Q545" s="1"/>
      <c r="R545" s="1"/>
      <c r="S545" s="1"/>
      <c r="T545" s="1"/>
    </row>
    <row r="546" ht="14.25" customHeight="1">
      <c r="A546" s="52"/>
      <c r="B546" s="53"/>
      <c r="C546" s="53"/>
      <c r="D546" s="53"/>
      <c r="E546" s="53"/>
      <c r="F546" s="53"/>
      <c r="G546" s="1"/>
      <c r="H546" s="1"/>
      <c r="I546" s="1"/>
      <c r="J546" s="1"/>
      <c r="K546" s="1"/>
      <c r="L546" s="1"/>
      <c r="M546" s="1"/>
      <c r="N546" s="1"/>
      <c r="O546" s="1"/>
      <c r="P546" s="1"/>
      <c r="Q546" s="1"/>
      <c r="R546" s="1"/>
      <c r="S546" s="1"/>
      <c r="T546" s="1"/>
    </row>
    <row r="547" ht="14.25" customHeight="1">
      <c r="A547" s="52"/>
      <c r="B547" s="53"/>
      <c r="C547" s="53"/>
      <c r="D547" s="53"/>
      <c r="E547" s="53"/>
      <c r="F547" s="53"/>
      <c r="G547" s="1"/>
      <c r="H547" s="1"/>
      <c r="I547" s="1"/>
      <c r="J547" s="1"/>
      <c r="K547" s="1"/>
      <c r="L547" s="1"/>
      <c r="M547" s="1"/>
      <c r="N547" s="1"/>
      <c r="O547" s="1"/>
      <c r="P547" s="1"/>
      <c r="Q547" s="1"/>
      <c r="R547" s="1"/>
      <c r="S547" s="1"/>
      <c r="T547" s="1"/>
    </row>
    <row r="548" ht="14.25" customHeight="1">
      <c r="A548" s="52"/>
      <c r="B548" s="53"/>
      <c r="C548" s="53"/>
      <c r="D548" s="53"/>
      <c r="E548" s="53"/>
      <c r="F548" s="53"/>
      <c r="G548" s="1"/>
      <c r="H548" s="1"/>
      <c r="I548" s="1"/>
      <c r="J548" s="1"/>
      <c r="K548" s="1"/>
      <c r="L548" s="1"/>
      <c r="M548" s="1"/>
      <c r="N548" s="1"/>
      <c r="O548" s="1"/>
      <c r="P548" s="1"/>
      <c r="Q548" s="1"/>
      <c r="R548" s="1"/>
      <c r="S548" s="1"/>
      <c r="T548" s="1"/>
    </row>
    <row r="549" ht="14.25" customHeight="1">
      <c r="A549" s="52"/>
      <c r="B549" s="53"/>
      <c r="C549" s="53"/>
      <c r="D549" s="53"/>
      <c r="E549" s="53"/>
      <c r="F549" s="53"/>
      <c r="G549" s="1"/>
      <c r="H549" s="1"/>
      <c r="I549" s="1"/>
      <c r="J549" s="1"/>
      <c r="K549" s="1"/>
      <c r="L549" s="1"/>
      <c r="M549" s="1"/>
      <c r="N549" s="1"/>
      <c r="O549" s="1"/>
      <c r="P549" s="1"/>
      <c r="Q549" s="1"/>
      <c r="R549" s="1"/>
      <c r="S549" s="1"/>
      <c r="T549" s="1"/>
    </row>
    <row r="550" ht="14.25" customHeight="1">
      <c r="A550" s="52"/>
      <c r="B550" s="53"/>
      <c r="C550" s="53"/>
      <c r="D550" s="53"/>
      <c r="E550" s="53"/>
      <c r="F550" s="53"/>
      <c r="G550" s="1"/>
      <c r="H550" s="1"/>
      <c r="I550" s="1"/>
      <c r="J550" s="1"/>
      <c r="K550" s="1"/>
      <c r="L550" s="1"/>
      <c r="M550" s="1"/>
      <c r="N550" s="1"/>
      <c r="O550" s="1"/>
      <c r="P550" s="1"/>
      <c r="Q550" s="1"/>
      <c r="R550" s="1"/>
      <c r="S550" s="1"/>
      <c r="T550" s="1"/>
    </row>
    <row r="551" ht="14.25" customHeight="1">
      <c r="A551" s="52"/>
      <c r="B551" s="53"/>
      <c r="C551" s="53"/>
      <c r="D551" s="53"/>
      <c r="E551" s="53"/>
      <c r="F551" s="53"/>
      <c r="G551" s="1"/>
      <c r="H551" s="1"/>
      <c r="I551" s="1"/>
      <c r="J551" s="1"/>
      <c r="K551" s="1"/>
      <c r="L551" s="1"/>
      <c r="M551" s="1"/>
      <c r="N551" s="1"/>
      <c r="O551" s="1"/>
      <c r="P551" s="1"/>
      <c r="Q551" s="1"/>
      <c r="R551" s="1"/>
      <c r="S551" s="1"/>
      <c r="T551" s="1"/>
    </row>
    <row r="552" ht="14.25" customHeight="1">
      <c r="A552" s="52"/>
      <c r="B552" s="53"/>
      <c r="C552" s="53"/>
      <c r="D552" s="53"/>
      <c r="E552" s="53"/>
      <c r="F552" s="53"/>
      <c r="G552" s="1"/>
      <c r="H552" s="1"/>
      <c r="I552" s="1"/>
      <c r="J552" s="1"/>
      <c r="K552" s="1"/>
      <c r="L552" s="1"/>
      <c r="M552" s="1"/>
      <c r="N552" s="1"/>
      <c r="O552" s="1"/>
      <c r="P552" s="1"/>
      <c r="Q552" s="1"/>
      <c r="R552" s="1"/>
      <c r="S552" s="1"/>
      <c r="T552" s="1"/>
    </row>
    <row r="553" ht="14.25" customHeight="1">
      <c r="A553" s="52"/>
      <c r="B553" s="53"/>
      <c r="C553" s="53"/>
      <c r="D553" s="53"/>
      <c r="E553" s="53"/>
      <c r="F553" s="53"/>
      <c r="G553" s="1"/>
      <c r="H553" s="1"/>
      <c r="I553" s="1"/>
      <c r="J553" s="1"/>
      <c r="K553" s="1"/>
      <c r="L553" s="1"/>
      <c r="M553" s="1"/>
      <c r="N553" s="1"/>
      <c r="O553" s="1"/>
      <c r="P553" s="1"/>
      <c r="Q553" s="1"/>
      <c r="R553" s="1"/>
      <c r="S553" s="1"/>
      <c r="T553" s="1"/>
    </row>
    <row r="554" ht="14.25" customHeight="1">
      <c r="A554" s="52"/>
      <c r="B554" s="53"/>
      <c r="C554" s="53"/>
      <c r="D554" s="53"/>
      <c r="E554" s="53"/>
      <c r="F554" s="53"/>
      <c r="G554" s="1"/>
      <c r="H554" s="1"/>
      <c r="I554" s="1"/>
      <c r="J554" s="1"/>
      <c r="K554" s="1"/>
      <c r="L554" s="1"/>
      <c r="M554" s="1"/>
      <c r="N554" s="1"/>
      <c r="O554" s="1"/>
      <c r="P554" s="1"/>
      <c r="Q554" s="1"/>
      <c r="R554" s="1"/>
      <c r="S554" s="1"/>
      <c r="T554" s="1"/>
    </row>
    <row r="555" ht="14.25" customHeight="1">
      <c r="A555" s="52"/>
      <c r="B555" s="53"/>
      <c r="C555" s="53"/>
      <c r="D555" s="53"/>
      <c r="E555" s="53"/>
      <c r="F555" s="53"/>
      <c r="G555" s="1"/>
      <c r="H555" s="1"/>
      <c r="I555" s="1"/>
      <c r="J555" s="1"/>
      <c r="K555" s="1"/>
      <c r="L555" s="1"/>
      <c r="M555" s="1"/>
      <c r="N555" s="1"/>
      <c r="O555" s="1"/>
      <c r="P555" s="1"/>
      <c r="Q555" s="1"/>
      <c r="R555" s="1"/>
      <c r="S555" s="1"/>
      <c r="T555" s="1"/>
    </row>
    <row r="556" ht="14.25" customHeight="1">
      <c r="A556" s="52"/>
      <c r="B556" s="53"/>
      <c r="C556" s="53"/>
      <c r="D556" s="53"/>
      <c r="E556" s="53"/>
      <c r="F556" s="53"/>
      <c r="G556" s="1"/>
      <c r="H556" s="1"/>
      <c r="I556" s="1"/>
      <c r="J556" s="1"/>
      <c r="K556" s="1"/>
      <c r="L556" s="1"/>
      <c r="M556" s="1"/>
      <c r="N556" s="1"/>
      <c r="O556" s="1"/>
      <c r="P556" s="1"/>
      <c r="Q556" s="1"/>
      <c r="R556" s="1"/>
      <c r="S556" s="1"/>
      <c r="T556" s="1"/>
    </row>
    <row r="557" ht="14.25" customHeight="1">
      <c r="A557" s="52"/>
      <c r="B557" s="53"/>
      <c r="C557" s="53"/>
      <c r="D557" s="53"/>
      <c r="E557" s="53"/>
      <c r="F557" s="53"/>
      <c r="G557" s="1"/>
      <c r="H557" s="1"/>
      <c r="I557" s="1"/>
      <c r="J557" s="1"/>
      <c r="K557" s="1"/>
      <c r="L557" s="1"/>
      <c r="M557" s="1"/>
      <c r="N557" s="1"/>
      <c r="O557" s="1"/>
      <c r="P557" s="1"/>
      <c r="Q557" s="1"/>
      <c r="R557" s="1"/>
      <c r="S557" s="1"/>
      <c r="T557" s="1"/>
    </row>
    <row r="558" ht="14.25" customHeight="1">
      <c r="A558" s="52"/>
      <c r="B558" s="53"/>
      <c r="C558" s="53"/>
      <c r="D558" s="53"/>
      <c r="E558" s="53"/>
      <c r="F558" s="53"/>
      <c r="G558" s="1"/>
      <c r="H558" s="1"/>
      <c r="I558" s="1"/>
      <c r="J558" s="1"/>
      <c r="K558" s="1"/>
      <c r="L558" s="1"/>
      <c r="M558" s="1"/>
      <c r="N558" s="1"/>
      <c r="O558" s="1"/>
      <c r="P558" s="1"/>
      <c r="Q558" s="1"/>
      <c r="R558" s="1"/>
      <c r="S558" s="1"/>
      <c r="T558" s="1"/>
    </row>
    <row r="559" ht="14.25" customHeight="1">
      <c r="A559" s="52"/>
      <c r="B559" s="53"/>
      <c r="C559" s="53"/>
      <c r="D559" s="53"/>
      <c r="E559" s="53"/>
      <c r="F559" s="53"/>
      <c r="G559" s="1"/>
      <c r="H559" s="1"/>
      <c r="I559" s="1"/>
      <c r="J559" s="1"/>
      <c r="K559" s="1"/>
      <c r="L559" s="1"/>
      <c r="M559" s="1"/>
      <c r="N559" s="1"/>
      <c r="O559" s="1"/>
      <c r="P559" s="1"/>
      <c r="Q559" s="1"/>
      <c r="R559" s="1"/>
      <c r="S559" s="1"/>
      <c r="T559" s="1"/>
    </row>
    <row r="560" ht="14.25" customHeight="1">
      <c r="A560" s="52"/>
      <c r="B560" s="53"/>
      <c r="C560" s="53"/>
      <c r="D560" s="53"/>
      <c r="E560" s="53"/>
      <c r="F560" s="53"/>
      <c r="G560" s="1"/>
      <c r="H560" s="1"/>
      <c r="I560" s="1"/>
      <c r="J560" s="1"/>
      <c r="K560" s="1"/>
      <c r="L560" s="1"/>
      <c r="M560" s="1"/>
      <c r="N560" s="1"/>
      <c r="O560" s="1"/>
      <c r="P560" s="1"/>
      <c r="Q560" s="1"/>
      <c r="R560" s="1"/>
      <c r="S560" s="1"/>
      <c r="T560" s="1"/>
    </row>
    <row r="561" ht="14.25" customHeight="1">
      <c r="A561" s="52"/>
      <c r="B561" s="53"/>
      <c r="C561" s="53"/>
      <c r="D561" s="53"/>
      <c r="E561" s="53"/>
      <c r="F561" s="53"/>
      <c r="G561" s="1"/>
      <c r="H561" s="1"/>
      <c r="I561" s="1"/>
      <c r="J561" s="1"/>
      <c r="K561" s="1"/>
      <c r="L561" s="1"/>
      <c r="M561" s="1"/>
      <c r="N561" s="1"/>
      <c r="O561" s="1"/>
      <c r="P561" s="1"/>
      <c r="Q561" s="1"/>
      <c r="R561" s="1"/>
      <c r="S561" s="1"/>
      <c r="T561" s="1"/>
    </row>
    <row r="562" ht="14.25" customHeight="1">
      <c r="A562" s="52"/>
      <c r="B562" s="53"/>
      <c r="C562" s="53"/>
      <c r="D562" s="53"/>
      <c r="E562" s="53"/>
      <c r="F562" s="53"/>
      <c r="G562" s="1"/>
      <c r="H562" s="1"/>
      <c r="I562" s="1"/>
      <c r="J562" s="1"/>
      <c r="K562" s="1"/>
      <c r="L562" s="1"/>
      <c r="M562" s="1"/>
      <c r="N562" s="1"/>
      <c r="O562" s="1"/>
      <c r="P562" s="1"/>
      <c r="Q562" s="1"/>
      <c r="R562" s="1"/>
      <c r="S562" s="1"/>
      <c r="T562" s="1"/>
    </row>
    <row r="563" ht="14.25" customHeight="1">
      <c r="A563" s="52"/>
      <c r="B563" s="53"/>
      <c r="C563" s="53"/>
      <c r="D563" s="53"/>
      <c r="E563" s="53"/>
      <c r="F563" s="53"/>
      <c r="G563" s="1"/>
      <c r="H563" s="1"/>
      <c r="I563" s="1"/>
      <c r="J563" s="1"/>
      <c r="K563" s="1"/>
      <c r="L563" s="1"/>
      <c r="M563" s="1"/>
      <c r="N563" s="1"/>
      <c r="O563" s="1"/>
      <c r="P563" s="1"/>
      <c r="Q563" s="1"/>
      <c r="R563" s="1"/>
      <c r="S563" s="1"/>
      <c r="T563" s="1"/>
    </row>
    <row r="564" ht="14.25" customHeight="1">
      <c r="A564" s="52"/>
      <c r="B564" s="53"/>
      <c r="C564" s="53"/>
      <c r="D564" s="53"/>
      <c r="E564" s="53"/>
      <c r="F564" s="53"/>
      <c r="G564" s="1"/>
      <c r="H564" s="1"/>
      <c r="I564" s="1"/>
      <c r="J564" s="1"/>
      <c r="K564" s="1"/>
      <c r="L564" s="1"/>
      <c r="M564" s="1"/>
      <c r="N564" s="1"/>
      <c r="O564" s="1"/>
      <c r="P564" s="1"/>
      <c r="Q564" s="1"/>
      <c r="R564" s="1"/>
      <c r="S564" s="1"/>
      <c r="T564" s="1"/>
    </row>
    <row r="565" ht="14.25" customHeight="1">
      <c r="A565" s="52"/>
      <c r="B565" s="53"/>
      <c r="C565" s="53"/>
      <c r="D565" s="53"/>
      <c r="E565" s="53"/>
      <c r="F565" s="53"/>
      <c r="G565" s="1"/>
      <c r="H565" s="1"/>
      <c r="I565" s="1"/>
      <c r="J565" s="1"/>
      <c r="K565" s="1"/>
      <c r="L565" s="1"/>
      <c r="M565" s="1"/>
      <c r="N565" s="1"/>
      <c r="O565" s="1"/>
      <c r="P565" s="1"/>
      <c r="Q565" s="1"/>
      <c r="R565" s="1"/>
      <c r="S565" s="1"/>
      <c r="T565" s="1"/>
    </row>
    <row r="566" ht="14.25" customHeight="1">
      <c r="A566" s="52"/>
      <c r="B566" s="53"/>
      <c r="C566" s="53"/>
      <c r="D566" s="53"/>
      <c r="E566" s="53"/>
      <c r="F566" s="53"/>
      <c r="G566" s="1"/>
      <c r="H566" s="1"/>
      <c r="I566" s="1"/>
      <c r="J566" s="1"/>
      <c r="K566" s="1"/>
      <c r="L566" s="1"/>
      <c r="M566" s="1"/>
      <c r="N566" s="1"/>
      <c r="O566" s="1"/>
      <c r="P566" s="1"/>
      <c r="Q566" s="1"/>
      <c r="R566" s="1"/>
      <c r="S566" s="1"/>
      <c r="T566" s="1"/>
    </row>
    <row r="567" ht="14.25" customHeight="1">
      <c r="A567" s="52"/>
      <c r="B567" s="53"/>
      <c r="C567" s="53"/>
      <c r="D567" s="53"/>
      <c r="E567" s="53"/>
      <c r="F567" s="53"/>
      <c r="G567" s="1"/>
      <c r="H567" s="1"/>
      <c r="I567" s="1"/>
      <c r="J567" s="1"/>
      <c r="K567" s="1"/>
      <c r="L567" s="1"/>
      <c r="M567" s="1"/>
      <c r="N567" s="1"/>
      <c r="O567" s="1"/>
      <c r="P567" s="1"/>
      <c r="Q567" s="1"/>
      <c r="R567" s="1"/>
      <c r="S567" s="1"/>
      <c r="T567" s="1"/>
    </row>
    <row r="568" ht="14.25" customHeight="1">
      <c r="A568" s="52"/>
      <c r="B568" s="53"/>
      <c r="C568" s="53"/>
      <c r="D568" s="53"/>
      <c r="E568" s="53"/>
      <c r="F568" s="53"/>
      <c r="G568" s="1"/>
      <c r="H568" s="1"/>
      <c r="I568" s="1"/>
      <c r="J568" s="1"/>
      <c r="K568" s="1"/>
      <c r="L568" s="1"/>
      <c r="M568" s="1"/>
      <c r="N568" s="1"/>
      <c r="O568" s="1"/>
      <c r="P568" s="1"/>
      <c r="Q568" s="1"/>
      <c r="R568" s="1"/>
      <c r="S568" s="1"/>
      <c r="T568" s="1"/>
    </row>
    <row r="569" ht="14.25" customHeight="1">
      <c r="A569" s="52"/>
      <c r="B569" s="53"/>
      <c r="C569" s="53"/>
      <c r="D569" s="53"/>
      <c r="E569" s="53"/>
      <c r="F569" s="53"/>
      <c r="G569" s="1"/>
      <c r="H569" s="1"/>
      <c r="I569" s="1"/>
      <c r="J569" s="1"/>
      <c r="K569" s="1"/>
      <c r="L569" s="1"/>
      <c r="M569" s="1"/>
      <c r="N569" s="1"/>
      <c r="O569" s="1"/>
      <c r="P569" s="1"/>
      <c r="Q569" s="1"/>
      <c r="R569" s="1"/>
      <c r="S569" s="1"/>
      <c r="T569" s="1"/>
    </row>
    <row r="570" ht="14.25" customHeight="1">
      <c r="A570" s="52"/>
      <c r="B570" s="53"/>
      <c r="C570" s="53"/>
      <c r="D570" s="53"/>
      <c r="E570" s="53"/>
      <c r="F570" s="53"/>
      <c r="G570" s="1"/>
      <c r="H570" s="1"/>
      <c r="I570" s="1"/>
      <c r="J570" s="1"/>
      <c r="K570" s="1"/>
      <c r="L570" s="1"/>
      <c r="M570" s="1"/>
      <c r="N570" s="1"/>
      <c r="O570" s="1"/>
      <c r="P570" s="1"/>
      <c r="Q570" s="1"/>
      <c r="R570" s="1"/>
      <c r="S570" s="1"/>
      <c r="T570" s="1"/>
    </row>
    <row r="571" ht="14.25" customHeight="1">
      <c r="A571" s="52"/>
      <c r="B571" s="53"/>
      <c r="C571" s="53"/>
      <c r="D571" s="53"/>
      <c r="E571" s="53"/>
      <c r="F571" s="53"/>
      <c r="G571" s="1"/>
      <c r="H571" s="1"/>
      <c r="I571" s="1"/>
      <c r="J571" s="1"/>
      <c r="K571" s="1"/>
      <c r="L571" s="1"/>
      <c r="M571" s="1"/>
      <c r="N571" s="1"/>
      <c r="O571" s="1"/>
      <c r="P571" s="1"/>
      <c r="Q571" s="1"/>
      <c r="R571" s="1"/>
      <c r="S571" s="1"/>
      <c r="T571" s="1"/>
    </row>
    <row r="572" ht="14.25" customHeight="1">
      <c r="A572" s="52"/>
      <c r="B572" s="53"/>
      <c r="C572" s="53"/>
      <c r="D572" s="53"/>
      <c r="E572" s="53"/>
      <c r="F572" s="53"/>
      <c r="G572" s="1"/>
      <c r="H572" s="1"/>
      <c r="I572" s="1"/>
      <c r="J572" s="1"/>
      <c r="K572" s="1"/>
      <c r="L572" s="1"/>
      <c r="M572" s="1"/>
      <c r="N572" s="1"/>
      <c r="O572" s="1"/>
      <c r="P572" s="1"/>
      <c r="Q572" s="1"/>
      <c r="R572" s="1"/>
      <c r="S572" s="1"/>
      <c r="T572" s="1"/>
    </row>
    <row r="573" ht="14.25" customHeight="1">
      <c r="A573" s="52"/>
      <c r="B573" s="53"/>
      <c r="C573" s="53"/>
      <c r="D573" s="53"/>
      <c r="E573" s="53"/>
      <c r="F573" s="53"/>
      <c r="G573" s="1"/>
      <c r="H573" s="1"/>
      <c r="I573" s="1"/>
      <c r="J573" s="1"/>
      <c r="K573" s="1"/>
      <c r="L573" s="1"/>
      <c r="M573" s="1"/>
      <c r="N573" s="1"/>
      <c r="O573" s="1"/>
      <c r="P573" s="1"/>
      <c r="Q573" s="1"/>
      <c r="R573" s="1"/>
      <c r="S573" s="1"/>
      <c r="T573" s="1"/>
    </row>
    <row r="574" ht="14.25" customHeight="1">
      <c r="A574" s="52"/>
      <c r="B574" s="53"/>
      <c r="C574" s="53"/>
      <c r="D574" s="53"/>
      <c r="E574" s="53"/>
      <c r="F574" s="53"/>
      <c r="G574" s="1"/>
      <c r="H574" s="1"/>
      <c r="I574" s="1"/>
      <c r="J574" s="1"/>
      <c r="K574" s="1"/>
      <c r="L574" s="1"/>
      <c r="M574" s="1"/>
      <c r="N574" s="1"/>
      <c r="O574" s="1"/>
      <c r="P574" s="1"/>
      <c r="Q574" s="1"/>
      <c r="R574" s="1"/>
      <c r="S574" s="1"/>
      <c r="T574" s="1"/>
    </row>
    <row r="575" ht="14.25" customHeight="1">
      <c r="A575" s="52"/>
      <c r="B575" s="53"/>
      <c r="C575" s="53"/>
      <c r="D575" s="53"/>
      <c r="E575" s="53"/>
      <c r="F575" s="53"/>
      <c r="G575" s="1"/>
      <c r="H575" s="1"/>
      <c r="I575" s="1"/>
      <c r="J575" s="1"/>
      <c r="K575" s="1"/>
      <c r="L575" s="1"/>
      <c r="M575" s="1"/>
      <c r="N575" s="1"/>
      <c r="O575" s="1"/>
      <c r="P575" s="1"/>
      <c r="Q575" s="1"/>
      <c r="R575" s="1"/>
      <c r="S575" s="1"/>
      <c r="T575" s="1"/>
    </row>
    <row r="576" ht="14.25" customHeight="1">
      <c r="A576" s="52"/>
      <c r="B576" s="53"/>
      <c r="C576" s="53"/>
      <c r="D576" s="53"/>
      <c r="E576" s="53"/>
      <c r="F576" s="53"/>
      <c r="G576" s="1"/>
      <c r="H576" s="1"/>
      <c r="I576" s="1"/>
      <c r="J576" s="1"/>
      <c r="K576" s="1"/>
      <c r="L576" s="1"/>
      <c r="M576" s="1"/>
      <c r="N576" s="1"/>
      <c r="O576" s="1"/>
      <c r="P576" s="1"/>
      <c r="Q576" s="1"/>
      <c r="R576" s="1"/>
      <c r="S576" s="1"/>
      <c r="T576" s="1"/>
    </row>
    <row r="577" ht="14.25" customHeight="1">
      <c r="A577" s="52"/>
      <c r="B577" s="53"/>
      <c r="C577" s="53"/>
      <c r="D577" s="53"/>
      <c r="E577" s="53"/>
      <c r="F577" s="53"/>
      <c r="G577" s="1"/>
      <c r="H577" s="1"/>
      <c r="I577" s="1"/>
      <c r="J577" s="1"/>
      <c r="K577" s="1"/>
      <c r="L577" s="1"/>
      <c r="M577" s="1"/>
      <c r="N577" s="1"/>
      <c r="O577" s="1"/>
      <c r="P577" s="1"/>
      <c r="Q577" s="1"/>
      <c r="R577" s="1"/>
      <c r="S577" s="1"/>
      <c r="T577" s="1"/>
    </row>
    <row r="578" ht="14.25" customHeight="1">
      <c r="A578" s="52"/>
      <c r="B578" s="53"/>
      <c r="C578" s="53"/>
      <c r="D578" s="53"/>
      <c r="E578" s="53"/>
      <c r="F578" s="53"/>
      <c r="G578" s="1"/>
      <c r="H578" s="1"/>
      <c r="I578" s="1"/>
      <c r="J578" s="1"/>
      <c r="K578" s="1"/>
      <c r="L578" s="1"/>
      <c r="M578" s="1"/>
      <c r="N578" s="1"/>
      <c r="O578" s="1"/>
      <c r="P578" s="1"/>
      <c r="Q578" s="1"/>
      <c r="R578" s="1"/>
      <c r="S578" s="1"/>
      <c r="T578" s="1"/>
    </row>
    <row r="579" ht="14.25" customHeight="1">
      <c r="A579" s="52"/>
      <c r="B579" s="53"/>
      <c r="C579" s="53"/>
      <c r="D579" s="53"/>
      <c r="E579" s="53"/>
      <c r="F579" s="53"/>
      <c r="G579" s="1"/>
      <c r="H579" s="1"/>
      <c r="I579" s="1"/>
      <c r="J579" s="1"/>
      <c r="K579" s="1"/>
      <c r="L579" s="1"/>
      <c r="M579" s="1"/>
      <c r="N579" s="1"/>
      <c r="O579" s="1"/>
      <c r="P579" s="1"/>
      <c r="Q579" s="1"/>
      <c r="R579" s="1"/>
      <c r="S579" s="1"/>
      <c r="T579" s="1"/>
    </row>
    <row r="580" ht="14.25" customHeight="1">
      <c r="A580" s="52"/>
      <c r="B580" s="53"/>
      <c r="C580" s="53"/>
      <c r="D580" s="53"/>
      <c r="E580" s="53"/>
      <c r="F580" s="53"/>
      <c r="G580" s="1"/>
      <c r="H580" s="1"/>
      <c r="I580" s="1"/>
      <c r="J580" s="1"/>
      <c r="K580" s="1"/>
      <c r="L580" s="1"/>
      <c r="M580" s="1"/>
      <c r="N580" s="1"/>
      <c r="O580" s="1"/>
      <c r="P580" s="1"/>
      <c r="Q580" s="1"/>
      <c r="R580" s="1"/>
      <c r="S580" s="1"/>
      <c r="T580" s="1"/>
    </row>
    <row r="581" ht="14.25" customHeight="1">
      <c r="A581" s="52"/>
      <c r="B581" s="53"/>
      <c r="C581" s="53"/>
      <c r="D581" s="53"/>
      <c r="E581" s="53"/>
      <c r="F581" s="53"/>
      <c r="G581" s="1"/>
      <c r="H581" s="1"/>
      <c r="I581" s="1"/>
      <c r="J581" s="1"/>
      <c r="K581" s="1"/>
      <c r="L581" s="1"/>
      <c r="M581" s="1"/>
      <c r="N581" s="1"/>
      <c r="O581" s="1"/>
      <c r="P581" s="1"/>
      <c r="Q581" s="1"/>
      <c r="R581" s="1"/>
      <c r="S581" s="1"/>
      <c r="T581" s="1"/>
    </row>
    <row r="582" ht="14.25" customHeight="1">
      <c r="A582" s="52"/>
      <c r="B582" s="53"/>
      <c r="C582" s="53"/>
      <c r="D582" s="53"/>
      <c r="E582" s="53"/>
      <c r="F582" s="53"/>
      <c r="G582" s="1"/>
      <c r="H582" s="1"/>
      <c r="I582" s="1"/>
      <c r="J582" s="1"/>
      <c r="K582" s="1"/>
      <c r="L582" s="1"/>
      <c r="M582" s="1"/>
      <c r="N582" s="1"/>
      <c r="O582" s="1"/>
      <c r="P582" s="1"/>
      <c r="Q582" s="1"/>
      <c r="R582" s="1"/>
      <c r="S582" s="1"/>
      <c r="T582" s="1"/>
    </row>
    <row r="583" ht="14.25" customHeight="1">
      <c r="A583" s="52"/>
      <c r="B583" s="53"/>
      <c r="C583" s="53"/>
      <c r="D583" s="53"/>
      <c r="E583" s="53"/>
      <c r="F583" s="53"/>
      <c r="G583" s="1"/>
      <c r="H583" s="1"/>
      <c r="I583" s="1"/>
      <c r="J583" s="1"/>
      <c r="K583" s="1"/>
      <c r="L583" s="1"/>
      <c r="M583" s="1"/>
      <c r="N583" s="1"/>
      <c r="O583" s="1"/>
      <c r="P583" s="1"/>
      <c r="Q583" s="1"/>
      <c r="R583" s="1"/>
      <c r="S583" s="1"/>
      <c r="T583" s="1"/>
    </row>
    <row r="584" ht="14.25" customHeight="1">
      <c r="A584" s="52"/>
      <c r="B584" s="53"/>
      <c r="C584" s="53"/>
      <c r="D584" s="53"/>
      <c r="E584" s="53"/>
      <c r="F584" s="53"/>
      <c r="G584" s="1"/>
      <c r="H584" s="1"/>
      <c r="I584" s="1"/>
      <c r="J584" s="1"/>
      <c r="K584" s="1"/>
      <c r="L584" s="1"/>
      <c r="M584" s="1"/>
      <c r="N584" s="1"/>
      <c r="O584" s="1"/>
      <c r="P584" s="1"/>
      <c r="Q584" s="1"/>
      <c r="R584" s="1"/>
      <c r="S584" s="1"/>
      <c r="T584" s="1"/>
    </row>
    <row r="585" ht="14.25" customHeight="1">
      <c r="A585" s="52"/>
      <c r="B585" s="53"/>
      <c r="C585" s="53"/>
      <c r="D585" s="53"/>
      <c r="E585" s="53"/>
      <c r="F585" s="53"/>
      <c r="G585" s="1"/>
      <c r="H585" s="1"/>
      <c r="I585" s="1"/>
      <c r="J585" s="1"/>
      <c r="K585" s="1"/>
      <c r="L585" s="1"/>
      <c r="M585" s="1"/>
      <c r="N585" s="1"/>
      <c r="O585" s="1"/>
      <c r="P585" s="1"/>
      <c r="Q585" s="1"/>
      <c r="R585" s="1"/>
      <c r="S585" s="1"/>
      <c r="T585" s="1"/>
    </row>
    <row r="586" ht="14.25" customHeight="1">
      <c r="A586" s="52"/>
      <c r="B586" s="53"/>
      <c r="C586" s="53"/>
      <c r="D586" s="53"/>
      <c r="E586" s="53"/>
      <c r="F586" s="53"/>
      <c r="G586" s="1"/>
      <c r="H586" s="1"/>
      <c r="I586" s="1"/>
      <c r="J586" s="1"/>
      <c r="K586" s="1"/>
      <c r="L586" s="1"/>
      <c r="M586" s="1"/>
      <c r="N586" s="1"/>
      <c r="O586" s="1"/>
      <c r="P586" s="1"/>
      <c r="Q586" s="1"/>
      <c r="R586" s="1"/>
      <c r="S586" s="1"/>
      <c r="T586" s="1"/>
    </row>
    <row r="587" ht="14.25" customHeight="1">
      <c r="A587" s="52"/>
      <c r="B587" s="53"/>
      <c r="C587" s="53"/>
      <c r="D587" s="53"/>
      <c r="E587" s="53"/>
      <c r="F587" s="53"/>
      <c r="G587" s="1"/>
      <c r="H587" s="1"/>
      <c r="I587" s="1"/>
      <c r="J587" s="1"/>
      <c r="K587" s="1"/>
      <c r="L587" s="1"/>
      <c r="M587" s="1"/>
      <c r="N587" s="1"/>
      <c r="O587" s="1"/>
      <c r="P587" s="1"/>
      <c r="Q587" s="1"/>
      <c r="R587" s="1"/>
      <c r="S587" s="1"/>
      <c r="T587" s="1"/>
    </row>
    <row r="588" ht="14.25" customHeight="1">
      <c r="A588" s="52"/>
      <c r="B588" s="53"/>
      <c r="C588" s="53"/>
      <c r="D588" s="53"/>
      <c r="E588" s="53"/>
      <c r="F588" s="53"/>
      <c r="G588" s="1"/>
      <c r="H588" s="1"/>
      <c r="I588" s="1"/>
      <c r="J588" s="1"/>
      <c r="K588" s="1"/>
      <c r="L588" s="1"/>
      <c r="M588" s="1"/>
      <c r="N588" s="1"/>
      <c r="O588" s="1"/>
      <c r="P588" s="1"/>
      <c r="Q588" s="1"/>
      <c r="R588" s="1"/>
      <c r="S588" s="1"/>
      <c r="T588" s="1"/>
    </row>
    <row r="589" ht="14.25" customHeight="1">
      <c r="A589" s="52"/>
      <c r="B589" s="53"/>
      <c r="C589" s="53"/>
      <c r="D589" s="53"/>
      <c r="E589" s="53"/>
      <c r="F589" s="53"/>
      <c r="G589" s="1"/>
      <c r="H589" s="1"/>
      <c r="I589" s="1"/>
      <c r="J589" s="1"/>
      <c r="K589" s="1"/>
      <c r="L589" s="1"/>
      <c r="M589" s="1"/>
      <c r="N589" s="1"/>
      <c r="O589" s="1"/>
      <c r="P589" s="1"/>
      <c r="Q589" s="1"/>
      <c r="R589" s="1"/>
      <c r="S589" s="1"/>
      <c r="T589" s="1"/>
    </row>
    <row r="590" ht="14.25" customHeight="1">
      <c r="A590" s="52"/>
      <c r="B590" s="53"/>
      <c r="C590" s="53"/>
      <c r="D590" s="53"/>
      <c r="E590" s="53"/>
      <c r="F590" s="53"/>
      <c r="G590" s="1"/>
      <c r="H590" s="1"/>
      <c r="I590" s="1"/>
      <c r="J590" s="1"/>
      <c r="K590" s="1"/>
      <c r="L590" s="1"/>
      <c r="M590" s="1"/>
      <c r="N590" s="1"/>
      <c r="O590" s="1"/>
      <c r="P590" s="1"/>
      <c r="Q590" s="1"/>
      <c r="R590" s="1"/>
      <c r="S590" s="1"/>
      <c r="T590" s="1"/>
    </row>
    <row r="591" ht="14.25" customHeight="1">
      <c r="A591" s="52"/>
      <c r="B591" s="53"/>
      <c r="C591" s="53"/>
      <c r="D591" s="53"/>
      <c r="E591" s="53"/>
      <c r="F591" s="53"/>
      <c r="G591" s="1"/>
      <c r="H591" s="1"/>
      <c r="I591" s="1"/>
      <c r="J591" s="1"/>
      <c r="K591" s="1"/>
      <c r="L591" s="1"/>
      <c r="M591" s="1"/>
      <c r="N591" s="1"/>
      <c r="O591" s="1"/>
      <c r="P591" s="1"/>
      <c r="Q591" s="1"/>
      <c r="R591" s="1"/>
      <c r="S591" s="1"/>
      <c r="T591" s="1"/>
    </row>
    <row r="592" ht="14.25" customHeight="1">
      <c r="A592" s="52"/>
      <c r="B592" s="53"/>
      <c r="C592" s="53"/>
      <c r="D592" s="53"/>
      <c r="E592" s="53"/>
      <c r="F592" s="53"/>
      <c r="G592" s="1"/>
      <c r="H592" s="1"/>
      <c r="I592" s="1"/>
      <c r="J592" s="1"/>
      <c r="K592" s="1"/>
      <c r="L592" s="1"/>
      <c r="M592" s="1"/>
      <c r="N592" s="1"/>
      <c r="O592" s="1"/>
      <c r="P592" s="1"/>
      <c r="Q592" s="1"/>
      <c r="R592" s="1"/>
      <c r="S592" s="1"/>
      <c r="T592" s="1"/>
    </row>
    <row r="593" ht="14.25" customHeight="1">
      <c r="A593" s="52"/>
      <c r="B593" s="53"/>
      <c r="C593" s="53"/>
      <c r="D593" s="53"/>
      <c r="E593" s="53"/>
      <c r="F593" s="53"/>
      <c r="G593" s="1"/>
      <c r="H593" s="1"/>
      <c r="I593" s="1"/>
      <c r="J593" s="1"/>
      <c r="K593" s="1"/>
      <c r="L593" s="1"/>
      <c r="M593" s="1"/>
      <c r="N593" s="1"/>
      <c r="O593" s="1"/>
      <c r="P593" s="1"/>
      <c r="Q593" s="1"/>
      <c r="R593" s="1"/>
      <c r="S593" s="1"/>
      <c r="T593" s="1"/>
    </row>
    <row r="594" ht="14.25" customHeight="1">
      <c r="A594" s="52"/>
      <c r="B594" s="53"/>
      <c r="C594" s="53"/>
      <c r="D594" s="53"/>
      <c r="E594" s="53"/>
      <c r="F594" s="53"/>
      <c r="G594" s="1"/>
      <c r="H594" s="1"/>
      <c r="I594" s="1"/>
      <c r="J594" s="1"/>
      <c r="K594" s="1"/>
      <c r="L594" s="1"/>
      <c r="M594" s="1"/>
      <c r="N594" s="1"/>
      <c r="O594" s="1"/>
      <c r="P594" s="1"/>
      <c r="Q594" s="1"/>
      <c r="R594" s="1"/>
      <c r="S594" s="1"/>
      <c r="T594" s="1"/>
    </row>
    <row r="595" ht="14.25" customHeight="1">
      <c r="A595" s="52"/>
      <c r="B595" s="53"/>
      <c r="C595" s="53"/>
      <c r="D595" s="53"/>
      <c r="E595" s="53"/>
      <c r="F595" s="53"/>
      <c r="G595" s="1"/>
      <c r="H595" s="1"/>
      <c r="I595" s="1"/>
      <c r="J595" s="1"/>
      <c r="K595" s="1"/>
      <c r="L595" s="1"/>
      <c r="M595" s="1"/>
      <c r="N595" s="1"/>
      <c r="O595" s="1"/>
      <c r="P595" s="1"/>
      <c r="Q595" s="1"/>
      <c r="R595" s="1"/>
      <c r="S595" s="1"/>
      <c r="T595" s="1"/>
    </row>
    <row r="596" ht="14.25" customHeight="1">
      <c r="A596" s="52"/>
      <c r="B596" s="53"/>
      <c r="C596" s="53"/>
      <c r="D596" s="53"/>
      <c r="E596" s="53"/>
      <c r="F596" s="53"/>
      <c r="G596" s="1"/>
      <c r="H596" s="1"/>
      <c r="I596" s="1"/>
      <c r="J596" s="1"/>
      <c r="K596" s="1"/>
      <c r="L596" s="1"/>
      <c r="M596" s="1"/>
      <c r="N596" s="1"/>
      <c r="O596" s="1"/>
      <c r="P596" s="1"/>
      <c r="Q596" s="1"/>
      <c r="R596" s="1"/>
      <c r="S596" s="1"/>
      <c r="T596" s="1"/>
    </row>
    <row r="597" ht="14.25" customHeight="1">
      <c r="A597" s="52"/>
      <c r="B597" s="53"/>
      <c r="C597" s="53"/>
      <c r="D597" s="53"/>
      <c r="E597" s="53"/>
      <c r="F597" s="53"/>
      <c r="G597" s="1"/>
      <c r="H597" s="1"/>
      <c r="I597" s="1"/>
      <c r="J597" s="1"/>
      <c r="K597" s="1"/>
      <c r="L597" s="1"/>
      <c r="M597" s="1"/>
      <c r="N597" s="1"/>
      <c r="O597" s="1"/>
      <c r="P597" s="1"/>
      <c r="Q597" s="1"/>
      <c r="R597" s="1"/>
      <c r="S597" s="1"/>
      <c r="T597" s="1"/>
    </row>
    <row r="598" ht="14.25" customHeight="1">
      <c r="A598" s="52"/>
      <c r="B598" s="53"/>
      <c r="C598" s="53"/>
      <c r="D598" s="53"/>
      <c r="E598" s="53"/>
      <c r="F598" s="53"/>
      <c r="G598" s="1"/>
      <c r="H598" s="1"/>
      <c r="I598" s="1"/>
      <c r="J598" s="1"/>
      <c r="K598" s="1"/>
      <c r="L598" s="1"/>
      <c r="M598" s="1"/>
      <c r="N598" s="1"/>
      <c r="O598" s="1"/>
      <c r="P598" s="1"/>
      <c r="Q598" s="1"/>
      <c r="R598" s="1"/>
      <c r="S598" s="1"/>
      <c r="T598" s="1"/>
    </row>
    <row r="599" ht="14.25" customHeight="1">
      <c r="A599" s="52"/>
      <c r="B599" s="53"/>
      <c r="C599" s="53"/>
      <c r="D599" s="53"/>
      <c r="E599" s="53"/>
      <c r="F599" s="53"/>
      <c r="G599" s="1"/>
      <c r="H599" s="1"/>
      <c r="I599" s="1"/>
      <c r="J599" s="1"/>
      <c r="K599" s="1"/>
      <c r="L599" s="1"/>
      <c r="M599" s="1"/>
      <c r="N599" s="1"/>
      <c r="O599" s="1"/>
      <c r="P599" s="1"/>
      <c r="Q599" s="1"/>
      <c r="R599" s="1"/>
      <c r="S599" s="1"/>
      <c r="T599" s="1"/>
    </row>
    <row r="600" ht="14.25" customHeight="1">
      <c r="A600" s="52"/>
      <c r="B600" s="53"/>
      <c r="C600" s="53"/>
      <c r="D600" s="53"/>
      <c r="E600" s="53"/>
      <c r="F600" s="53"/>
      <c r="G600" s="1"/>
      <c r="H600" s="1"/>
      <c r="I600" s="1"/>
      <c r="J600" s="1"/>
      <c r="K600" s="1"/>
      <c r="L600" s="1"/>
      <c r="M600" s="1"/>
      <c r="N600" s="1"/>
      <c r="O600" s="1"/>
      <c r="P600" s="1"/>
      <c r="Q600" s="1"/>
      <c r="R600" s="1"/>
      <c r="S600" s="1"/>
      <c r="T600" s="1"/>
    </row>
    <row r="601" ht="14.25" customHeight="1">
      <c r="A601" s="52"/>
      <c r="B601" s="53"/>
      <c r="C601" s="53"/>
      <c r="D601" s="53"/>
      <c r="E601" s="53"/>
      <c r="F601" s="53"/>
      <c r="G601" s="1"/>
      <c r="H601" s="1"/>
      <c r="I601" s="1"/>
      <c r="J601" s="1"/>
      <c r="K601" s="1"/>
      <c r="L601" s="1"/>
      <c r="M601" s="1"/>
      <c r="N601" s="1"/>
      <c r="O601" s="1"/>
      <c r="P601" s="1"/>
      <c r="Q601" s="1"/>
      <c r="R601" s="1"/>
      <c r="S601" s="1"/>
      <c r="T601" s="1"/>
    </row>
    <row r="602" ht="14.25" customHeight="1">
      <c r="A602" s="52"/>
      <c r="B602" s="53"/>
      <c r="C602" s="53"/>
      <c r="D602" s="53"/>
      <c r="E602" s="53"/>
      <c r="F602" s="53"/>
      <c r="G602" s="1"/>
      <c r="H602" s="1"/>
      <c r="I602" s="1"/>
      <c r="J602" s="1"/>
      <c r="K602" s="1"/>
      <c r="L602" s="1"/>
      <c r="M602" s="1"/>
      <c r="N602" s="1"/>
      <c r="O602" s="1"/>
      <c r="P602" s="1"/>
      <c r="Q602" s="1"/>
      <c r="R602" s="1"/>
      <c r="S602" s="1"/>
      <c r="T602" s="1"/>
    </row>
    <row r="603" ht="14.25" customHeight="1">
      <c r="A603" s="52"/>
      <c r="B603" s="53"/>
      <c r="C603" s="53"/>
      <c r="D603" s="53"/>
      <c r="E603" s="53"/>
      <c r="F603" s="53"/>
      <c r="G603" s="1"/>
      <c r="H603" s="1"/>
      <c r="I603" s="1"/>
      <c r="J603" s="1"/>
      <c r="K603" s="1"/>
      <c r="L603" s="1"/>
      <c r="M603" s="1"/>
      <c r="N603" s="1"/>
      <c r="O603" s="1"/>
      <c r="P603" s="1"/>
      <c r="Q603" s="1"/>
      <c r="R603" s="1"/>
      <c r="S603" s="1"/>
      <c r="T603" s="1"/>
    </row>
    <row r="604" ht="14.25" customHeight="1">
      <c r="A604" s="52"/>
      <c r="B604" s="53"/>
      <c r="C604" s="53"/>
      <c r="D604" s="53"/>
      <c r="E604" s="53"/>
      <c r="F604" s="53"/>
      <c r="G604" s="1"/>
      <c r="H604" s="1"/>
      <c r="I604" s="1"/>
      <c r="J604" s="1"/>
      <c r="K604" s="1"/>
      <c r="L604" s="1"/>
      <c r="M604" s="1"/>
      <c r="N604" s="1"/>
      <c r="O604" s="1"/>
      <c r="P604" s="1"/>
      <c r="Q604" s="1"/>
      <c r="R604" s="1"/>
      <c r="S604" s="1"/>
      <c r="T604" s="1"/>
    </row>
    <row r="605" ht="14.25" customHeight="1">
      <c r="A605" s="52"/>
      <c r="B605" s="53"/>
      <c r="C605" s="53"/>
      <c r="D605" s="53"/>
      <c r="E605" s="53"/>
      <c r="F605" s="53"/>
      <c r="G605" s="1"/>
      <c r="H605" s="1"/>
      <c r="I605" s="1"/>
      <c r="J605" s="1"/>
      <c r="K605" s="1"/>
      <c r="L605" s="1"/>
      <c r="M605" s="1"/>
      <c r="N605" s="1"/>
      <c r="O605" s="1"/>
      <c r="P605" s="1"/>
      <c r="Q605" s="1"/>
      <c r="R605" s="1"/>
      <c r="S605" s="1"/>
      <c r="T605" s="1"/>
    </row>
    <row r="606" ht="14.25" customHeight="1">
      <c r="A606" s="52"/>
      <c r="B606" s="53"/>
      <c r="C606" s="53"/>
      <c r="D606" s="53"/>
      <c r="E606" s="53"/>
      <c r="F606" s="53"/>
      <c r="G606" s="1"/>
      <c r="H606" s="1"/>
      <c r="I606" s="1"/>
      <c r="J606" s="1"/>
      <c r="K606" s="1"/>
      <c r="L606" s="1"/>
      <c r="M606" s="1"/>
      <c r="N606" s="1"/>
      <c r="O606" s="1"/>
      <c r="P606" s="1"/>
      <c r="Q606" s="1"/>
      <c r="R606" s="1"/>
      <c r="S606" s="1"/>
      <c r="T606" s="1"/>
    </row>
    <row r="607" ht="14.25" customHeight="1">
      <c r="A607" s="52"/>
      <c r="B607" s="53"/>
      <c r="C607" s="53"/>
      <c r="D607" s="53"/>
      <c r="E607" s="53"/>
      <c r="F607" s="53"/>
      <c r="G607" s="1"/>
      <c r="H607" s="1"/>
      <c r="I607" s="1"/>
      <c r="J607" s="1"/>
      <c r="K607" s="1"/>
      <c r="L607" s="1"/>
      <c r="M607" s="1"/>
      <c r="N607" s="1"/>
      <c r="O607" s="1"/>
      <c r="P607" s="1"/>
      <c r="Q607" s="1"/>
      <c r="R607" s="1"/>
      <c r="S607" s="1"/>
      <c r="T607" s="1"/>
    </row>
    <row r="608" ht="14.25" customHeight="1">
      <c r="A608" s="52"/>
      <c r="B608" s="53"/>
      <c r="C608" s="53"/>
      <c r="D608" s="53"/>
      <c r="E608" s="53"/>
      <c r="F608" s="53"/>
      <c r="G608" s="1"/>
      <c r="H608" s="1"/>
      <c r="I608" s="1"/>
      <c r="J608" s="1"/>
      <c r="K608" s="1"/>
      <c r="L608" s="1"/>
      <c r="M608" s="1"/>
      <c r="N608" s="1"/>
      <c r="O608" s="1"/>
      <c r="P608" s="1"/>
      <c r="Q608" s="1"/>
      <c r="R608" s="1"/>
      <c r="S608" s="1"/>
      <c r="T608" s="1"/>
    </row>
    <row r="609" ht="14.25" customHeight="1">
      <c r="A609" s="52"/>
      <c r="B609" s="53"/>
      <c r="C609" s="53"/>
      <c r="D609" s="53"/>
      <c r="E609" s="53"/>
      <c r="F609" s="53"/>
      <c r="G609" s="1"/>
      <c r="H609" s="1"/>
      <c r="I609" s="1"/>
      <c r="J609" s="1"/>
      <c r="K609" s="1"/>
      <c r="L609" s="1"/>
      <c r="M609" s="1"/>
      <c r="N609" s="1"/>
      <c r="O609" s="1"/>
      <c r="P609" s="1"/>
      <c r="Q609" s="1"/>
      <c r="R609" s="1"/>
      <c r="S609" s="1"/>
      <c r="T609" s="1"/>
    </row>
    <row r="610" ht="14.25" customHeight="1">
      <c r="A610" s="52"/>
      <c r="B610" s="53"/>
      <c r="C610" s="53"/>
      <c r="D610" s="53"/>
      <c r="E610" s="53"/>
      <c r="F610" s="53"/>
      <c r="G610" s="1"/>
      <c r="H610" s="1"/>
      <c r="I610" s="1"/>
      <c r="J610" s="1"/>
      <c r="K610" s="1"/>
      <c r="L610" s="1"/>
      <c r="M610" s="1"/>
      <c r="N610" s="1"/>
      <c r="O610" s="1"/>
      <c r="P610" s="1"/>
      <c r="Q610" s="1"/>
      <c r="R610" s="1"/>
      <c r="S610" s="1"/>
      <c r="T610" s="1"/>
    </row>
    <row r="611" ht="14.25" customHeight="1">
      <c r="A611" s="52"/>
      <c r="B611" s="53"/>
      <c r="C611" s="53"/>
      <c r="D611" s="53"/>
      <c r="E611" s="53"/>
      <c r="F611" s="53"/>
      <c r="G611" s="1"/>
      <c r="H611" s="1"/>
      <c r="I611" s="1"/>
      <c r="J611" s="1"/>
      <c r="K611" s="1"/>
      <c r="L611" s="1"/>
      <c r="M611" s="1"/>
      <c r="N611" s="1"/>
      <c r="O611" s="1"/>
      <c r="P611" s="1"/>
      <c r="Q611" s="1"/>
      <c r="R611" s="1"/>
      <c r="S611" s="1"/>
      <c r="T611" s="1"/>
    </row>
    <row r="612" ht="14.25" customHeight="1">
      <c r="A612" s="52"/>
      <c r="B612" s="53"/>
      <c r="C612" s="53"/>
      <c r="D612" s="53"/>
      <c r="E612" s="53"/>
      <c r="F612" s="53"/>
      <c r="G612" s="1"/>
      <c r="H612" s="1"/>
      <c r="I612" s="1"/>
      <c r="J612" s="1"/>
      <c r="K612" s="1"/>
      <c r="L612" s="1"/>
      <c r="M612" s="1"/>
      <c r="N612" s="1"/>
      <c r="O612" s="1"/>
      <c r="P612" s="1"/>
      <c r="Q612" s="1"/>
      <c r="R612" s="1"/>
      <c r="S612" s="1"/>
      <c r="T612" s="1"/>
    </row>
    <row r="613" ht="14.25" customHeight="1">
      <c r="A613" s="52"/>
      <c r="B613" s="53"/>
      <c r="C613" s="53"/>
      <c r="D613" s="53"/>
      <c r="E613" s="53"/>
      <c r="F613" s="53"/>
      <c r="G613" s="1"/>
      <c r="H613" s="1"/>
      <c r="I613" s="1"/>
      <c r="J613" s="1"/>
      <c r="K613" s="1"/>
      <c r="L613" s="1"/>
      <c r="M613" s="1"/>
      <c r="N613" s="1"/>
      <c r="O613" s="1"/>
      <c r="P613" s="1"/>
      <c r="Q613" s="1"/>
      <c r="R613" s="1"/>
      <c r="S613" s="1"/>
      <c r="T613" s="1"/>
    </row>
    <row r="614" ht="14.25" customHeight="1">
      <c r="A614" s="52"/>
      <c r="B614" s="53"/>
      <c r="C614" s="53"/>
      <c r="D614" s="53"/>
      <c r="E614" s="53"/>
      <c r="F614" s="53"/>
      <c r="G614" s="1"/>
      <c r="H614" s="1"/>
      <c r="I614" s="1"/>
      <c r="J614" s="1"/>
      <c r="K614" s="1"/>
      <c r="L614" s="1"/>
      <c r="M614" s="1"/>
      <c r="N614" s="1"/>
      <c r="O614" s="1"/>
      <c r="P614" s="1"/>
      <c r="Q614" s="1"/>
      <c r="R614" s="1"/>
      <c r="S614" s="1"/>
      <c r="T614" s="1"/>
    </row>
    <row r="615" ht="14.25" customHeight="1">
      <c r="A615" s="52"/>
      <c r="B615" s="53"/>
      <c r="C615" s="53"/>
      <c r="D615" s="53"/>
      <c r="E615" s="53"/>
      <c r="F615" s="53"/>
      <c r="G615" s="1"/>
      <c r="H615" s="1"/>
      <c r="I615" s="1"/>
      <c r="J615" s="1"/>
      <c r="K615" s="1"/>
      <c r="L615" s="1"/>
      <c r="M615" s="1"/>
      <c r="N615" s="1"/>
      <c r="O615" s="1"/>
      <c r="P615" s="1"/>
      <c r="Q615" s="1"/>
      <c r="R615" s="1"/>
      <c r="S615" s="1"/>
      <c r="T615" s="1"/>
    </row>
    <row r="616" ht="14.25" customHeight="1">
      <c r="A616" s="52"/>
      <c r="B616" s="53"/>
      <c r="C616" s="53"/>
      <c r="D616" s="53"/>
      <c r="E616" s="53"/>
      <c r="F616" s="53"/>
      <c r="G616" s="1"/>
      <c r="H616" s="1"/>
      <c r="I616" s="1"/>
      <c r="J616" s="1"/>
      <c r="K616" s="1"/>
      <c r="L616" s="1"/>
      <c r="M616" s="1"/>
      <c r="N616" s="1"/>
      <c r="O616" s="1"/>
      <c r="P616" s="1"/>
      <c r="Q616" s="1"/>
      <c r="R616" s="1"/>
      <c r="S616" s="1"/>
      <c r="T616" s="1"/>
    </row>
    <row r="617" ht="14.25" customHeight="1">
      <c r="A617" s="52"/>
      <c r="B617" s="53"/>
      <c r="C617" s="53"/>
      <c r="D617" s="53"/>
      <c r="E617" s="53"/>
      <c r="F617" s="53"/>
      <c r="G617" s="1"/>
      <c r="H617" s="1"/>
      <c r="I617" s="1"/>
      <c r="J617" s="1"/>
      <c r="K617" s="1"/>
      <c r="L617" s="1"/>
      <c r="M617" s="1"/>
      <c r="N617" s="1"/>
      <c r="O617" s="1"/>
      <c r="P617" s="1"/>
      <c r="Q617" s="1"/>
      <c r="R617" s="1"/>
      <c r="S617" s="1"/>
      <c r="T617" s="1"/>
    </row>
    <row r="618" ht="14.25" customHeight="1">
      <c r="A618" s="52"/>
      <c r="B618" s="53"/>
      <c r="C618" s="53"/>
      <c r="D618" s="53"/>
      <c r="E618" s="53"/>
      <c r="F618" s="53"/>
      <c r="G618" s="1"/>
      <c r="H618" s="1"/>
      <c r="I618" s="1"/>
      <c r="J618" s="1"/>
      <c r="K618" s="1"/>
      <c r="L618" s="1"/>
      <c r="M618" s="1"/>
      <c r="N618" s="1"/>
      <c r="O618" s="1"/>
      <c r="P618" s="1"/>
      <c r="Q618" s="1"/>
      <c r="R618" s="1"/>
      <c r="S618" s="1"/>
      <c r="T618" s="1"/>
    </row>
    <row r="619" ht="14.25" customHeight="1">
      <c r="A619" s="52"/>
      <c r="B619" s="53"/>
      <c r="C619" s="53"/>
      <c r="D619" s="53"/>
      <c r="E619" s="53"/>
      <c r="F619" s="53"/>
      <c r="G619" s="1"/>
      <c r="H619" s="1"/>
      <c r="I619" s="1"/>
      <c r="J619" s="1"/>
      <c r="K619" s="1"/>
      <c r="L619" s="1"/>
      <c r="M619" s="1"/>
      <c r="N619" s="1"/>
      <c r="O619" s="1"/>
      <c r="P619" s="1"/>
      <c r="Q619" s="1"/>
      <c r="R619" s="1"/>
      <c r="S619" s="1"/>
      <c r="T619" s="1"/>
    </row>
    <row r="620" ht="14.25" customHeight="1">
      <c r="A620" s="52"/>
      <c r="B620" s="53"/>
      <c r="C620" s="53"/>
      <c r="D620" s="53"/>
      <c r="E620" s="53"/>
      <c r="F620" s="53"/>
      <c r="G620" s="1"/>
      <c r="H620" s="1"/>
      <c r="I620" s="1"/>
      <c r="J620" s="1"/>
      <c r="K620" s="1"/>
      <c r="L620" s="1"/>
      <c r="M620" s="1"/>
      <c r="N620" s="1"/>
      <c r="O620" s="1"/>
      <c r="P620" s="1"/>
      <c r="Q620" s="1"/>
      <c r="R620" s="1"/>
      <c r="S620" s="1"/>
      <c r="T620" s="1"/>
    </row>
    <row r="621" ht="14.25" customHeight="1">
      <c r="A621" s="52"/>
      <c r="B621" s="53"/>
      <c r="C621" s="53"/>
      <c r="D621" s="53"/>
      <c r="E621" s="53"/>
      <c r="F621" s="53"/>
      <c r="G621" s="1"/>
      <c r="H621" s="1"/>
      <c r="I621" s="1"/>
      <c r="J621" s="1"/>
      <c r="K621" s="1"/>
      <c r="L621" s="1"/>
      <c r="M621" s="1"/>
      <c r="N621" s="1"/>
      <c r="O621" s="1"/>
      <c r="P621" s="1"/>
      <c r="Q621" s="1"/>
      <c r="R621" s="1"/>
      <c r="S621" s="1"/>
      <c r="T621" s="1"/>
    </row>
    <row r="622" ht="14.25" customHeight="1">
      <c r="A622" s="52"/>
      <c r="B622" s="53"/>
      <c r="C622" s="53"/>
      <c r="D622" s="53"/>
      <c r="E622" s="53"/>
      <c r="F622" s="53"/>
      <c r="G622" s="1"/>
      <c r="H622" s="1"/>
      <c r="I622" s="1"/>
      <c r="J622" s="1"/>
      <c r="K622" s="1"/>
      <c r="L622" s="1"/>
      <c r="M622" s="1"/>
      <c r="N622" s="1"/>
      <c r="O622" s="1"/>
      <c r="P622" s="1"/>
      <c r="Q622" s="1"/>
      <c r="R622" s="1"/>
      <c r="S622" s="1"/>
      <c r="T622" s="1"/>
    </row>
    <row r="623" ht="14.25" customHeight="1">
      <c r="A623" s="52"/>
      <c r="B623" s="53"/>
      <c r="C623" s="53"/>
      <c r="D623" s="53"/>
      <c r="E623" s="53"/>
      <c r="F623" s="53"/>
      <c r="G623" s="1"/>
      <c r="H623" s="1"/>
      <c r="I623" s="1"/>
      <c r="J623" s="1"/>
      <c r="K623" s="1"/>
      <c r="L623" s="1"/>
      <c r="M623" s="1"/>
      <c r="N623" s="1"/>
      <c r="O623" s="1"/>
      <c r="P623" s="1"/>
      <c r="Q623" s="1"/>
      <c r="R623" s="1"/>
      <c r="S623" s="1"/>
      <c r="T623" s="1"/>
    </row>
    <row r="624" ht="14.25" customHeight="1">
      <c r="A624" s="52"/>
      <c r="B624" s="53"/>
      <c r="C624" s="53"/>
      <c r="D624" s="53"/>
      <c r="E624" s="53"/>
      <c r="F624" s="53"/>
      <c r="G624" s="1"/>
      <c r="H624" s="1"/>
      <c r="I624" s="1"/>
      <c r="J624" s="1"/>
      <c r="K624" s="1"/>
      <c r="L624" s="1"/>
      <c r="M624" s="1"/>
      <c r="N624" s="1"/>
      <c r="O624" s="1"/>
      <c r="P624" s="1"/>
      <c r="Q624" s="1"/>
      <c r="R624" s="1"/>
      <c r="S624" s="1"/>
      <c r="T624" s="1"/>
    </row>
    <row r="625" ht="14.25" customHeight="1">
      <c r="A625" s="52"/>
      <c r="B625" s="53"/>
      <c r="C625" s="53"/>
      <c r="D625" s="53"/>
      <c r="E625" s="53"/>
      <c r="F625" s="53"/>
      <c r="G625" s="1"/>
      <c r="H625" s="1"/>
      <c r="I625" s="1"/>
      <c r="J625" s="1"/>
      <c r="K625" s="1"/>
      <c r="L625" s="1"/>
      <c r="M625" s="1"/>
      <c r="N625" s="1"/>
      <c r="O625" s="1"/>
      <c r="P625" s="1"/>
      <c r="Q625" s="1"/>
      <c r="R625" s="1"/>
      <c r="S625" s="1"/>
      <c r="T625" s="1"/>
    </row>
    <row r="626" ht="14.25" customHeight="1">
      <c r="A626" s="52"/>
      <c r="B626" s="53"/>
      <c r="C626" s="53"/>
      <c r="D626" s="53"/>
      <c r="E626" s="53"/>
      <c r="F626" s="53"/>
      <c r="G626" s="1"/>
      <c r="H626" s="1"/>
      <c r="I626" s="1"/>
      <c r="J626" s="1"/>
      <c r="K626" s="1"/>
      <c r="L626" s="1"/>
      <c r="M626" s="1"/>
      <c r="N626" s="1"/>
      <c r="O626" s="1"/>
      <c r="P626" s="1"/>
      <c r="Q626" s="1"/>
      <c r="R626" s="1"/>
      <c r="S626" s="1"/>
      <c r="T626" s="1"/>
    </row>
    <row r="627" ht="14.25" customHeight="1">
      <c r="A627" s="52"/>
      <c r="B627" s="53"/>
      <c r="C627" s="53"/>
      <c r="D627" s="53"/>
      <c r="E627" s="53"/>
      <c r="F627" s="53"/>
      <c r="G627" s="1"/>
      <c r="H627" s="1"/>
      <c r="I627" s="1"/>
      <c r="J627" s="1"/>
      <c r="K627" s="1"/>
      <c r="L627" s="1"/>
      <c r="M627" s="1"/>
      <c r="N627" s="1"/>
      <c r="O627" s="1"/>
      <c r="P627" s="1"/>
      <c r="Q627" s="1"/>
      <c r="R627" s="1"/>
      <c r="S627" s="1"/>
      <c r="T627" s="1"/>
    </row>
    <row r="628" ht="14.25" customHeight="1">
      <c r="A628" s="52"/>
      <c r="B628" s="53"/>
      <c r="C628" s="53"/>
      <c r="D628" s="53"/>
      <c r="E628" s="53"/>
      <c r="F628" s="53"/>
      <c r="G628" s="1"/>
      <c r="H628" s="1"/>
      <c r="I628" s="1"/>
      <c r="J628" s="1"/>
      <c r="K628" s="1"/>
      <c r="L628" s="1"/>
      <c r="M628" s="1"/>
      <c r="N628" s="1"/>
      <c r="O628" s="1"/>
      <c r="P628" s="1"/>
      <c r="Q628" s="1"/>
      <c r="R628" s="1"/>
      <c r="S628" s="1"/>
      <c r="T628" s="1"/>
    </row>
    <row r="629" ht="14.25" customHeight="1">
      <c r="A629" s="52"/>
      <c r="B629" s="53"/>
      <c r="C629" s="53"/>
      <c r="D629" s="53"/>
      <c r="E629" s="53"/>
      <c r="F629" s="53"/>
      <c r="G629" s="1"/>
      <c r="H629" s="1"/>
      <c r="I629" s="1"/>
      <c r="J629" s="1"/>
      <c r="K629" s="1"/>
      <c r="L629" s="1"/>
      <c r="M629" s="1"/>
      <c r="N629" s="1"/>
      <c r="O629" s="1"/>
      <c r="P629" s="1"/>
      <c r="Q629" s="1"/>
      <c r="R629" s="1"/>
      <c r="S629" s="1"/>
      <c r="T629" s="1"/>
    </row>
    <row r="630" ht="14.25" customHeight="1">
      <c r="A630" s="52"/>
      <c r="B630" s="53"/>
      <c r="C630" s="53"/>
      <c r="D630" s="53"/>
      <c r="E630" s="53"/>
      <c r="F630" s="53"/>
      <c r="G630" s="1"/>
      <c r="H630" s="1"/>
      <c r="I630" s="1"/>
      <c r="J630" s="1"/>
      <c r="K630" s="1"/>
      <c r="L630" s="1"/>
      <c r="M630" s="1"/>
      <c r="N630" s="1"/>
      <c r="O630" s="1"/>
      <c r="P630" s="1"/>
      <c r="Q630" s="1"/>
      <c r="R630" s="1"/>
      <c r="S630" s="1"/>
      <c r="T630" s="1"/>
    </row>
    <row r="631" ht="14.25" customHeight="1">
      <c r="A631" s="52"/>
      <c r="B631" s="53"/>
      <c r="C631" s="53"/>
      <c r="D631" s="53"/>
      <c r="E631" s="53"/>
      <c r="F631" s="53"/>
      <c r="G631" s="1"/>
      <c r="H631" s="1"/>
      <c r="I631" s="1"/>
      <c r="J631" s="1"/>
      <c r="K631" s="1"/>
      <c r="L631" s="1"/>
      <c r="M631" s="1"/>
      <c r="N631" s="1"/>
      <c r="O631" s="1"/>
      <c r="P631" s="1"/>
      <c r="Q631" s="1"/>
      <c r="R631" s="1"/>
      <c r="S631" s="1"/>
      <c r="T631" s="1"/>
    </row>
    <row r="632" ht="14.25" customHeight="1">
      <c r="A632" s="52"/>
      <c r="B632" s="53"/>
      <c r="C632" s="53"/>
      <c r="D632" s="53"/>
      <c r="E632" s="53"/>
      <c r="F632" s="53"/>
      <c r="G632" s="1"/>
      <c r="H632" s="1"/>
      <c r="I632" s="1"/>
      <c r="J632" s="1"/>
      <c r="K632" s="1"/>
      <c r="L632" s="1"/>
      <c r="M632" s="1"/>
      <c r="N632" s="1"/>
      <c r="O632" s="1"/>
      <c r="P632" s="1"/>
      <c r="Q632" s="1"/>
      <c r="R632" s="1"/>
      <c r="S632" s="1"/>
      <c r="T632" s="1"/>
    </row>
    <row r="633" ht="14.25" customHeight="1">
      <c r="A633" s="52"/>
      <c r="B633" s="53"/>
      <c r="C633" s="53"/>
      <c r="D633" s="53"/>
      <c r="E633" s="53"/>
      <c r="F633" s="53"/>
      <c r="G633" s="1"/>
      <c r="H633" s="1"/>
      <c r="I633" s="1"/>
      <c r="J633" s="1"/>
      <c r="K633" s="1"/>
      <c r="L633" s="1"/>
      <c r="M633" s="1"/>
      <c r="N633" s="1"/>
      <c r="O633" s="1"/>
      <c r="P633" s="1"/>
      <c r="Q633" s="1"/>
      <c r="R633" s="1"/>
      <c r="S633" s="1"/>
      <c r="T633" s="1"/>
    </row>
    <row r="634" ht="14.25" customHeight="1">
      <c r="A634" s="52"/>
      <c r="B634" s="53"/>
      <c r="C634" s="53"/>
      <c r="D634" s="53"/>
      <c r="E634" s="53"/>
      <c r="F634" s="53"/>
      <c r="G634" s="1"/>
      <c r="H634" s="1"/>
      <c r="I634" s="1"/>
      <c r="J634" s="1"/>
      <c r="K634" s="1"/>
      <c r="L634" s="1"/>
      <c r="M634" s="1"/>
      <c r="N634" s="1"/>
      <c r="O634" s="1"/>
      <c r="P634" s="1"/>
      <c r="Q634" s="1"/>
      <c r="R634" s="1"/>
      <c r="S634" s="1"/>
      <c r="T634" s="1"/>
    </row>
    <row r="635" ht="14.25" customHeight="1">
      <c r="A635" s="52"/>
      <c r="B635" s="53"/>
      <c r="C635" s="53"/>
      <c r="D635" s="53"/>
      <c r="E635" s="53"/>
      <c r="F635" s="53"/>
      <c r="G635" s="1"/>
      <c r="H635" s="1"/>
      <c r="I635" s="1"/>
      <c r="J635" s="1"/>
      <c r="K635" s="1"/>
      <c r="L635" s="1"/>
      <c r="M635" s="1"/>
      <c r="N635" s="1"/>
      <c r="O635" s="1"/>
      <c r="P635" s="1"/>
      <c r="Q635" s="1"/>
      <c r="R635" s="1"/>
      <c r="S635" s="1"/>
      <c r="T635" s="1"/>
    </row>
    <row r="636" ht="14.25" customHeight="1">
      <c r="A636" s="52"/>
      <c r="B636" s="53"/>
      <c r="C636" s="53"/>
      <c r="D636" s="53"/>
      <c r="E636" s="53"/>
      <c r="F636" s="53"/>
      <c r="G636" s="1"/>
      <c r="H636" s="1"/>
      <c r="I636" s="1"/>
      <c r="J636" s="1"/>
      <c r="K636" s="1"/>
      <c r="L636" s="1"/>
      <c r="M636" s="1"/>
      <c r="N636" s="1"/>
      <c r="O636" s="1"/>
      <c r="P636" s="1"/>
      <c r="Q636" s="1"/>
      <c r="R636" s="1"/>
      <c r="S636" s="1"/>
      <c r="T636" s="1"/>
    </row>
    <row r="637" ht="14.25" customHeight="1">
      <c r="A637" s="52"/>
      <c r="B637" s="53"/>
      <c r="C637" s="53"/>
      <c r="D637" s="53"/>
      <c r="E637" s="53"/>
      <c r="F637" s="53"/>
      <c r="G637" s="1"/>
      <c r="H637" s="1"/>
      <c r="I637" s="1"/>
      <c r="J637" s="1"/>
      <c r="K637" s="1"/>
      <c r="L637" s="1"/>
      <c r="M637" s="1"/>
      <c r="N637" s="1"/>
      <c r="O637" s="1"/>
      <c r="P637" s="1"/>
      <c r="Q637" s="1"/>
      <c r="R637" s="1"/>
      <c r="S637" s="1"/>
      <c r="T637" s="1"/>
    </row>
    <row r="638" ht="14.25" customHeight="1">
      <c r="A638" s="52"/>
      <c r="B638" s="53"/>
      <c r="C638" s="53"/>
      <c r="D638" s="53"/>
      <c r="E638" s="53"/>
      <c r="F638" s="53"/>
      <c r="G638" s="1"/>
      <c r="H638" s="1"/>
      <c r="I638" s="1"/>
      <c r="J638" s="1"/>
      <c r="K638" s="1"/>
      <c r="L638" s="1"/>
      <c r="M638" s="1"/>
      <c r="N638" s="1"/>
      <c r="O638" s="1"/>
      <c r="P638" s="1"/>
      <c r="Q638" s="1"/>
      <c r="R638" s="1"/>
      <c r="S638" s="1"/>
      <c r="T638" s="1"/>
    </row>
    <row r="639" ht="14.25" customHeight="1">
      <c r="A639" s="52"/>
      <c r="B639" s="53"/>
      <c r="C639" s="53"/>
      <c r="D639" s="53"/>
      <c r="E639" s="53"/>
      <c r="F639" s="53"/>
      <c r="G639" s="1"/>
      <c r="H639" s="1"/>
      <c r="I639" s="1"/>
      <c r="J639" s="1"/>
      <c r="K639" s="1"/>
      <c r="L639" s="1"/>
      <c r="M639" s="1"/>
      <c r="N639" s="1"/>
      <c r="O639" s="1"/>
      <c r="P639" s="1"/>
      <c r="Q639" s="1"/>
      <c r="R639" s="1"/>
      <c r="S639" s="1"/>
      <c r="T639" s="1"/>
    </row>
    <row r="640" ht="14.25" customHeight="1">
      <c r="A640" s="52"/>
      <c r="B640" s="53"/>
      <c r="C640" s="53"/>
      <c r="D640" s="53"/>
      <c r="E640" s="53"/>
      <c r="F640" s="53"/>
      <c r="G640" s="1"/>
      <c r="H640" s="1"/>
      <c r="I640" s="1"/>
      <c r="J640" s="1"/>
      <c r="K640" s="1"/>
      <c r="L640" s="1"/>
      <c r="M640" s="1"/>
      <c r="N640" s="1"/>
      <c r="O640" s="1"/>
      <c r="P640" s="1"/>
      <c r="Q640" s="1"/>
      <c r="R640" s="1"/>
      <c r="S640" s="1"/>
      <c r="T640" s="1"/>
    </row>
    <row r="641" ht="14.25" customHeight="1">
      <c r="A641" s="52"/>
      <c r="B641" s="53"/>
      <c r="C641" s="53"/>
      <c r="D641" s="53"/>
      <c r="E641" s="53"/>
      <c r="F641" s="53"/>
      <c r="G641" s="1"/>
      <c r="H641" s="1"/>
      <c r="I641" s="1"/>
      <c r="J641" s="1"/>
      <c r="K641" s="1"/>
      <c r="L641" s="1"/>
      <c r="M641" s="1"/>
      <c r="N641" s="1"/>
      <c r="O641" s="1"/>
      <c r="P641" s="1"/>
      <c r="Q641" s="1"/>
      <c r="R641" s="1"/>
      <c r="S641" s="1"/>
      <c r="T641" s="1"/>
    </row>
    <row r="642" ht="14.25" customHeight="1">
      <c r="A642" s="52"/>
      <c r="B642" s="53"/>
      <c r="C642" s="53"/>
      <c r="D642" s="53"/>
      <c r="E642" s="53"/>
      <c r="F642" s="53"/>
      <c r="G642" s="1"/>
      <c r="H642" s="1"/>
      <c r="I642" s="1"/>
      <c r="J642" s="1"/>
      <c r="K642" s="1"/>
      <c r="L642" s="1"/>
      <c r="M642" s="1"/>
      <c r="N642" s="1"/>
      <c r="O642" s="1"/>
      <c r="P642" s="1"/>
      <c r="Q642" s="1"/>
      <c r="R642" s="1"/>
      <c r="S642" s="1"/>
      <c r="T642" s="1"/>
    </row>
    <row r="643" ht="14.25" customHeight="1">
      <c r="A643" s="52"/>
      <c r="B643" s="53"/>
      <c r="C643" s="53"/>
      <c r="D643" s="53"/>
      <c r="E643" s="53"/>
      <c r="F643" s="53"/>
      <c r="G643" s="1"/>
      <c r="H643" s="1"/>
      <c r="I643" s="1"/>
      <c r="J643" s="1"/>
      <c r="K643" s="1"/>
      <c r="L643" s="1"/>
      <c r="M643" s="1"/>
      <c r="N643" s="1"/>
      <c r="O643" s="1"/>
      <c r="P643" s="1"/>
      <c r="Q643" s="1"/>
      <c r="R643" s="1"/>
      <c r="S643" s="1"/>
      <c r="T643" s="1"/>
    </row>
    <row r="644" ht="14.25" customHeight="1">
      <c r="A644" s="52"/>
      <c r="B644" s="53"/>
      <c r="C644" s="53"/>
      <c r="D644" s="53"/>
      <c r="E644" s="53"/>
      <c r="F644" s="53"/>
      <c r="G644" s="1"/>
      <c r="H644" s="1"/>
      <c r="I644" s="1"/>
      <c r="J644" s="1"/>
      <c r="K644" s="1"/>
      <c r="L644" s="1"/>
      <c r="M644" s="1"/>
      <c r="N644" s="1"/>
      <c r="O644" s="1"/>
      <c r="P644" s="1"/>
      <c r="Q644" s="1"/>
      <c r="R644" s="1"/>
      <c r="S644" s="1"/>
      <c r="T644" s="1"/>
    </row>
    <row r="645" ht="14.25" customHeight="1">
      <c r="A645" s="52"/>
      <c r="B645" s="53"/>
      <c r="C645" s="53"/>
      <c r="D645" s="53"/>
      <c r="E645" s="53"/>
      <c r="F645" s="53"/>
      <c r="G645" s="1"/>
      <c r="H645" s="1"/>
      <c r="I645" s="1"/>
      <c r="J645" s="1"/>
      <c r="K645" s="1"/>
      <c r="L645" s="1"/>
      <c r="M645" s="1"/>
      <c r="N645" s="1"/>
      <c r="O645" s="1"/>
      <c r="P645" s="1"/>
      <c r="Q645" s="1"/>
      <c r="R645" s="1"/>
      <c r="S645" s="1"/>
      <c r="T645" s="1"/>
    </row>
    <row r="646" ht="14.25" customHeight="1">
      <c r="A646" s="52"/>
      <c r="B646" s="53"/>
      <c r="C646" s="53"/>
      <c r="D646" s="53"/>
      <c r="E646" s="53"/>
      <c r="F646" s="53"/>
      <c r="G646" s="1"/>
      <c r="H646" s="1"/>
      <c r="I646" s="1"/>
      <c r="J646" s="1"/>
      <c r="K646" s="1"/>
      <c r="L646" s="1"/>
      <c r="M646" s="1"/>
      <c r="N646" s="1"/>
      <c r="O646" s="1"/>
      <c r="P646" s="1"/>
      <c r="Q646" s="1"/>
      <c r="R646" s="1"/>
      <c r="S646" s="1"/>
      <c r="T646" s="1"/>
    </row>
    <row r="647" ht="14.25" customHeight="1">
      <c r="A647" s="52"/>
      <c r="B647" s="53"/>
      <c r="C647" s="53"/>
      <c r="D647" s="53"/>
      <c r="E647" s="53"/>
      <c r="F647" s="53"/>
      <c r="G647" s="1"/>
      <c r="H647" s="1"/>
      <c r="I647" s="1"/>
      <c r="J647" s="1"/>
      <c r="K647" s="1"/>
      <c r="L647" s="1"/>
      <c r="M647" s="1"/>
      <c r="N647" s="1"/>
      <c r="O647" s="1"/>
      <c r="P647" s="1"/>
      <c r="Q647" s="1"/>
      <c r="R647" s="1"/>
      <c r="S647" s="1"/>
      <c r="T647" s="1"/>
    </row>
    <row r="648" ht="14.25" customHeight="1">
      <c r="A648" s="52"/>
      <c r="B648" s="53"/>
      <c r="C648" s="53"/>
      <c r="D648" s="53"/>
      <c r="E648" s="53"/>
      <c r="F648" s="53"/>
      <c r="G648" s="1"/>
      <c r="H648" s="1"/>
      <c r="I648" s="1"/>
      <c r="J648" s="1"/>
      <c r="K648" s="1"/>
      <c r="L648" s="1"/>
      <c r="M648" s="1"/>
      <c r="N648" s="1"/>
      <c r="O648" s="1"/>
      <c r="P648" s="1"/>
      <c r="Q648" s="1"/>
      <c r="R648" s="1"/>
      <c r="S648" s="1"/>
      <c r="T648" s="1"/>
    </row>
    <row r="649" ht="14.25" customHeight="1">
      <c r="A649" s="52"/>
      <c r="B649" s="53"/>
      <c r="C649" s="53"/>
      <c r="D649" s="53"/>
      <c r="E649" s="53"/>
      <c r="F649" s="53"/>
      <c r="G649" s="1"/>
      <c r="H649" s="1"/>
      <c r="I649" s="1"/>
      <c r="J649" s="1"/>
      <c r="K649" s="1"/>
      <c r="L649" s="1"/>
      <c r="M649" s="1"/>
      <c r="N649" s="1"/>
      <c r="O649" s="1"/>
      <c r="P649" s="1"/>
      <c r="Q649" s="1"/>
      <c r="R649" s="1"/>
      <c r="S649" s="1"/>
      <c r="T649" s="1"/>
    </row>
    <row r="650" ht="14.25" customHeight="1">
      <c r="A650" s="52"/>
      <c r="B650" s="53"/>
      <c r="C650" s="53"/>
      <c r="D650" s="53"/>
      <c r="E650" s="53"/>
      <c r="F650" s="53"/>
      <c r="G650" s="1"/>
      <c r="H650" s="1"/>
      <c r="I650" s="1"/>
      <c r="J650" s="1"/>
      <c r="K650" s="1"/>
      <c r="L650" s="1"/>
      <c r="M650" s="1"/>
      <c r="N650" s="1"/>
      <c r="O650" s="1"/>
      <c r="P650" s="1"/>
      <c r="Q650" s="1"/>
      <c r="R650" s="1"/>
      <c r="S650" s="1"/>
      <c r="T650" s="1"/>
    </row>
    <row r="651" ht="14.25" customHeight="1">
      <c r="A651" s="52"/>
      <c r="B651" s="53"/>
      <c r="C651" s="53"/>
      <c r="D651" s="53"/>
      <c r="E651" s="53"/>
      <c r="F651" s="53"/>
      <c r="G651" s="1"/>
      <c r="H651" s="1"/>
      <c r="I651" s="1"/>
      <c r="J651" s="1"/>
      <c r="K651" s="1"/>
      <c r="L651" s="1"/>
      <c r="M651" s="1"/>
      <c r="N651" s="1"/>
      <c r="O651" s="1"/>
      <c r="P651" s="1"/>
      <c r="Q651" s="1"/>
      <c r="R651" s="1"/>
      <c r="S651" s="1"/>
      <c r="T651" s="1"/>
    </row>
    <row r="652" ht="14.25" customHeight="1">
      <c r="A652" s="52"/>
      <c r="B652" s="53"/>
      <c r="C652" s="53"/>
      <c r="D652" s="53"/>
      <c r="E652" s="53"/>
      <c r="F652" s="53"/>
      <c r="G652" s="1"/>
      <c r="H652" s="1"/>
      <c r="I652" s="1"/>
      <c r="J652" s="1"/>
      <c r="K652" s="1"/>
      <c r="L652" s="1"/>
      <c r="M652" s="1"/>
      <c r="N652" s="1"/>
      <c r="O652" s="1"/>
      <c r="P652" s="1"/>
      <c r="Q652" s="1"/>
      <c r="R652" s="1"/>
      <c r="S652" s="1"/>
      <c r="T652" s="1"/>
    </row>
    <row r="653" ht="14.25" customHeight="1">
      <c r="A653" s="52"/>
      <c r="B653" s="53"/>
      <c r="C653" s="53"/>
      <c r="D653" s="53"/>
      <c r="E653" s="53"/>
      <c r="F653" s="53"/>
      <c r="G653" s="1"/>
      <c r="H653" s="1"/>
      <c r="I653" s="1"/>
      <c r="J653" s="1"/>
      <c r="K653" s="1"/>
      <c r="L653" s="1"/>
      <c r="M653" s="1"/>
      <c r="N653" s="1"/>
      <c r="O653" s="1"/>
      <c r="P653" s="1"/>
      <c r="Q653" s="1"/>
      <c r="R653" s="1"/>
      <c r="S653" s="1"/>
      <c r="T653" s="1"/>
    </row>
    <row r="654" ht="14.25" customHeight="1">
      <c r="A654" s="52"/>
      <c r="B654" s="53"/>
      <c r="C654" s="53"/>
      <c r="D654" s="53"/>
      <c r="E654" s="53"/>
      <c r="F654" s="53"/>
      <c r="G654" s="1"/>
      <c r="H654" s="1"/>
      <c r="I654" s="1"/>
      <c r="J654" s="1"/>
      <c r="K654" s="1"/>
      <c r="L654" s="1"/>
      <c r="M654" s="1"/>
      <c r="N654" s="1"/>
      <c r="O654" s="1"/>
      <c r="P654" s="1"/>
      <c r="Q654" s="1"/>
      <c r="R654" s="1"/>
      <c r="S654" s="1"/>
      <c r="T654" s="1"/>
    </row>
    <row r="655" ht="14.25" customHeight="1">
      <c r="A655" s="52"/>
      <c r="B655" s="53"/>
      <c r="C655" s="53"/>
      <c r="D655" s="53"/>
      <c r="E655" s="53"/>
      <c r="F655" s="53"/>
      <c r="G655" s="1"/>
      <c r="H655" s="1"/>
      <c r="I655" s="1"/>
      <c r="J655" s="1"/>
      <c r="K655" s="1"/>
      <c r="L655" s="1"/>
      <c r="M655" s="1"/>
      <c r="N655" s="1"/>
      <c r="O655" s="1"/>
      <c r="P655" s="1"/>
      <c r="Q655" s="1"/>
      <c r="R655" s="1"/>
      <c r="S655" s="1"/>
      <c r="T655" s="1"/>
    </row>
    <row r="656" ht="14.25" customHeight="1">
      <c r="A656" s="52"/>
      <c r="B656" s="53"/>
      <c r="C656" s="53"/>
      <c r="D656" s="53"/>
      <c r="E656" s="53"/>
      <c r="F656" s="53"/>
      <c r="G656" s="1"/>
      <c r="H656" s="1"/>
      <c r="I656" s="1"/>
      <c r="J656" s="1"/>
      <c r="K656" s="1"/>
      <c r="L656" s="1"/>
      <c r="M656" s="1"/>
      <c r="N656" s="1"/>
      <c r="O656" s="1"/>
      <c r="P656" s="1"/>
      <c r="Q656" s="1"/>
      <c r="R656" s="1"/>
      <c r="S656" s="1"/>
      <c r="T656" s="1"/>
    </row>
    <row r="657" ht="14.25" customHeight="1">
      <c r="A657" s="52"/>
      <c r="B657" s="53"/>
      <c r="C657" s="53"/>
      <c r="D657" s="53"/>
      <c r="E657" s="53"/>
      <c r="F657" s="53"/>
      <c r="G657" s="1"/>
      <c r="H657" s="1"/>
      <c r="I657" s="1"/>
      <c r="J657" s="1"/>
      <c r="K657" s="1"/>
      <c r="L657" s="1"/>
      <c r="M657" s="1"/>
      <c r="N657" s="1"/>
      <c r="O657" s="1"/>
      <c r="P657" s="1"/>
      <c r="Q657" s="1"/>
      <c r="R657" s="1"/>
      <c r="S657" s="1"/>
      <c r="T657" s="1"/>
    </row>
    <row r="658" ht="14.25" customHeight="1">
      <c r="A658" s="52"/>
      <c r="B658" s="53"/>
      <c r="C658" s="53"/>
      <c r="D658" s="53"/>
      <c r="E658" s="53"/>
      <c r="F658" s="53"/>
      <c r="G658" s="1"/>
      <c r="H658" s="1"/>
      <c r="I658" s="1"/>
      <c r="J658" s="1"/>
      <c r="K658" s="1"/>
      <c r="L658" s="1"/>
      <c r="M658" s="1"/>
      <c r="N658" s="1"/>
      <c r="O658" s="1"/>
      <c r="P658" s="1"/>
      <c r="Q658" s="1"/>
      <c r="R658" s="1"/>
      <c r="S658" s="1"/>
      <c r="T658" s="1"/>
    </row>
    <row r="659" ht="14.25" customHeight="1">
      <c r="A659" s="52"/>
      <c r="B659" s="53"/>
      <c r="C659" s="53"/>
      <c r="D659" s="53"/>
      <c r="E659" s="53"/>
      <c r="F659" s="53"/>
      <c r="G659" s="1"/>
      <c r="H659" s="1"/>
      <c r="I659" s="1"/>
      <c r="J659" s="1"/>
      <c r="K659" s="1"/>
      <c r="L659" s="1"/>
      <c r="M659" s="1"/>
      <c r="N659" s="1"/>
      <c r="O659" s="1"/>
      <c r="P659" s="1"/>
      <c r="Q659" s="1"/>
      <c r="R659" s="1"/>
      <c r="S659" s="1"/>
      <c r="T659" s="1"/>
    </row>
    <row r="660" ht="14.25" customHeight="1">
      <c r="A660" s="52"/>
      <c r="B660" s="53"/>
      <c r="C660" s="53"/>
      <c r="D660" s="53"/>
      <c r="E660" s="53"/>
      <c r="F660" s="53"/>
      <c r="G660" s="1"/>
      <c r="H660" s="1"/>
      <c r="I660" s="1"/>
      <c r="J660" s="1"/>
      <c r="K660" s="1"/>
      <c r="L660" s="1"/>
      <c r="M660" s="1"/>
      <c r="N660" s="1"/>
      <c r="O660" s="1"/>
      <c r="P660" s="1"/>
      <c r="Q660" s="1"/>
      <c r="R660" s="1"/>
      <c r="S660" s="1"/>
      <c r="T660" s="1"/>
    </row>
    <row r="661" ht="14.25" customHeight="1">
      <c r="A661" s="52"/>
      <c r="B661" s="53"/>
      <c r="C661" s="53"/>
      <c r="D661" s="53"/>
      <c r="E661" s="53"/>
      <c r="F661" s="53"/>
      <c r="G661" s="1"/>
      <c r="H661" s="1"/>
      <c r="I661" s="1"/>
      <c r="J661" s="1"/>
      <c r="K661" s="1"/>
      <c r="L661" s="1"/>
      <c r="M661" s="1"/>
      <c r="N661" s="1"/>
      <c r="O661" s="1"/>
      <c r="P661" s="1"/>
      <c r="Q661" s="1"/>
      <c r="R661" s="1"/>
      <c r="S661" s="1"/>
      <c r="T661" s="1"/>
    </row>
    <row r="662" ht="14.25" customHeight="1">
      <c r="A662" s="52"/>
      <c r="B662" s="53"/>
      <c r="C662" s="53"/>
      <c r="D662" s="53"/>
      <c r="E662" s="53"/>
      <c r="F662" s="53"/>
      <c r="G662" s="1"/>
      <c r="H662" s="1"/>
      <c r="I662" s="1"/>
      <c r="J662" s="1"/>
      <c r="K662" s="1"/>
      <c r="L662" s="1"/>
      <c r="M662" s="1"/>
      <c r="N662" s="1"/>
      <c r="O662" s="1"/>
      <c r="P662" s="1"/>
      <c r="Q662" s="1"/>
      <c r="R662" s="1"/>
      <c r="S662" s="1"/>
      <c r="T662" s="1"/>
    </row>
    <row r="663" ht="14.25" customHeight="1">
      <c r="A663" s="52"/>
      <c r="B663" s="53"/>
      <c r="C663" s="53"/>
      <c r="D663" s="53"/>
      <c r="E663" s="53"/>
      <c r="F663" s="53"/>
      <c r="G663" s="1"/>
      <c r="H663" s="1"/>
      <c r="I663" s="1"/>
      <c r="J663" s="1"/>
      <c r="K663" s="1"/>
      <c r="L663" s="1"/>
      <c r="M663" s="1"/>
      <c r="N663" s="1"/>
      <c r="O663" s="1"/>
      <c r="P663" s="1"/>
      <c r="Q663" s="1"/>
      <c r="R663" s="1"/>
      <c r="S663" s="1"/>
      <c r="T663" s="1"/>
    </row>
    <row r="664" ht="14.25" customHeight="1">
      <c r="A664" s="52"/>
      <c r="B664" s="53"/>
      <c r="C664" s="53"/>
      <c r="D664" s="53"/>
      <c r="E664" s="53"/>
      <c r="F664" s="53"/>
      <c r="G664" s="1"/>
      <c r="H664" s="1"/>
      <c r="I664" s="1"/>
      <c r="J664" s="1"/>
      <c r="K664" s="1"/>
      <c r="L664" s="1"/>
      <c r="M664" s="1"/>
      <c r="N664" s="1"/>
      <c r="O664" s="1"/>
      <c r="P664" s="1"/>
      <c r="Q664" s="1"/>
      <c r="R664" s="1"/>
      <c r="S664" s="1"/>
      <c r="T664" s="1"/>
    </row>
    <row r="665" ht="14.25" customHeight="1">
      <c r="A665" s="52"/>
      <c r="B665" s="53"/>
      <c r="C665" s="53"/>
      <c r="D665" s="53"/>
      <c r="E665" s="53"/>
      <c r="F665" s="53"/>
      <c r="G665" s="1"/>
      <c r="H665" s="1"/>
      <c r="I665" s="1"/>
      <c r="J665" s="1"/>
      <c r="K665" s="1"/>
      <c r="L665" s="1"/>
      <c r="M665" s="1"/>
      <c r="N665" s="1"/>
      <c r="O665" s="1"/>
      <c r="P665" s="1"/>
      <c r="Q665" s="1"/>
      <c r="R665" s="1"/>
      <c r="S665" s="1"/>
      <c r="T665" s="1"/>
    </row>
    <row r="666" ht="14.25" customHeight="1">
      <c r="A666" s="52"/>
      <c r="B666" s="53"/>
      <c r="C666" s="53"/>
      <c r="D666" s="53"/>
      <c r="E666" s="53"/>
      <c r="F666" s="53"/>
      <c r="G666" s="1"/>
      <c r="H666" s="1"/>
      <c r="I666" s="1"/>
      <c r="J666" s="1"/>
      <c r="K666" s="1"/>
      <c r="L666" s="1"/>
      <c r="M666" s="1"/>
      <c r="N666" s="1"/>
      <c r="O666" s="1"/>
      <c r="P666" s="1"/>
      <c r="Q666" s="1"/>
      <c r="R666" s="1"/>
      <c r="S666" s="1"/>
      <c r="T666" s="1"/>
    </row>
    <row r="667" ht="14.25" customHeight="1">
      <c r="A667" s="52"/>
      <c r="B667" s="53"/>
      <c r="C667" s="53"/>
      <c r="D667" s="53"/>
      <c r="E667" s="53"/>
      <c r="F667" s="53"/>
      <c r="G667" s="1"/>
      <c r="H667" s="1"/>
      <c r="I667" s="1"/>
      <c r="J667" s="1"/>
      <c r="K667" s="1"/>
      <c r="L667" s="1"/>
      <c r="M667" s="1"/>
      <c r="N667" s="1"/>
      <c r="O667" s="1"/>
      <c r="P667" s="1"/>
      <c r="Q667" s="1"/>
      <c r="R667" s="1"/>
      <c r="S667" s="1"/>
      <c r="T667" s="1"/>
    </row>
    <row r="668" ht="14.25" customHeight="1">
      <c r="A668" s="52"/>
      <c r="B668" s="53"/>
      <c r="C668" s="53"/>
      <c r="D668" s="53"/>
      <c r="E668" s="53"/>
      <c r="F668" s="53"/>
      <c r="G668" s="1"/>
      <c r="H668" s="1"/>
      <c r="I668" s="1"/>
      <c r="J668" s="1"/>
      <c r="K668" s="1"/>
      <c r="L668" s="1"/>
      <c r="M668" s="1"/>
      <c r="N668" s="1"/>
      <c r="O668" s="1"/>
      <c r="P668" s="1"/>
      <c r="Q668" s="1"/>
      <c r="R668" s="1"/>
      <c r="S668" s="1"/>
      <c r="T668" s="1"/>
    </row>
    <row r="669" ht="14.25" customHeight="1">
      <c r="A669" s="52"/>
      <c r="B669" s="53"/>
      <c r="C669" s="53"/>
      <c r="D669" s="53"/>
      <c r="E669" s="53"/>
      <c r="F669" s="53"/>
      <c r="G669" s="1"/>
      <c r="H669" s="1"/>
      <c r="I669" s="1"/>
      <c r="J669" s="1"/>
      <c r="K669" s="1"/>
      <c r="L669" s="1"/>
      <c r="M669" s="1"/>
      <c r="N669" s="1"/>
      <c r="O669" s="1"/>
      <c r="P669" s="1"/>
      <c r="Q669" s="1"/>
      <c r="R669" s="1"/>
      <c r="S669" s="1"/>
      <c r="T669" s="1"/>
    </row>
    <row r="670" ht="14.25" customHeight="1">
      <c r="A670" s="52"/>
      <c r="B670" s="53"/>
      <c r="C670" s="53"/>
      <c r="D670" s="53"/>
      <c r="E670" s="53"/>
      <c r="F670" s="53"/>
      <c r="G670" s="1"/>
      <c r="H670" s="1"/>
      <c r="I670" s="1"/>
      <c r="J670" s="1"/>
      <c r="K670" s="1"/>
      <c r="L670" s="1"/>
      <c r="M670" s="1"/>
      <c r="N670" s="1"/>
      <c r="O670" s="1"/>
      <c r="P670" s="1"/>
      <c r="Q670" s="1"/>
      <c r="R670" s="1"/>
      <c r="S670" s="1"/>
      <c r="T670" s="1"/>
    </row>
    <row r="671" ht="14.25" customHeight="1">
      <c r="A671" s="52"/>
      <c r="B671" s="53"/>
      <c r="C671" s="53"/>
      <c r="D671" s="53"/>
      <c r="E671" s="53"/>
      <c r="F671" s="53"/>
      <c r="G671" s="1"/>
      <c r="H671" s="1"/>
      <c r="I671" s="1"/>
      <c r="J671" s="1"/>
      <c r="K671" s="1"/>
      <c r="L671" s="1"/>
      <c r="M671" s="1"/>
      <c r="N671" s="1"/>
      <c r="O671" s="1"/>
      <c r="P671" s="1"/>
      <c r="Q671" s="1"/>
      <c r="R671" s="1"/>
      <c r="S671" s="1"/>
      <c r="T671" s="1"/>
    </row>
    <row r="672" ht="14.25" customHeight="1">
      <c r="A672" s="52"/>
      <c r="B672" s="53"/>
      <c r="C672" s="53"/>
      <c r="D672" s="53"/>
      <c r="E672" s="53"/>
      <c r="F672" s="53"/>
      <c r="G672" s="1"/>
      <c r="H672" s="1"/>
      <c r="I672" s="1"/>
      <c r="J672" s="1"/>
      <c r="K672" s="1"/>
      <c r="L672" s="1"/>
      <c r="M672" s="1"/>
      <c r="N672" s="1"/>
      <c r="O672" s="1"/>
      <c r="P672" s="1"/>
      <c r="Q672" s="1"/>
      <c r="R672" s="1"/>
      <c r="S672" s="1"/>
      <c r="T672" s="1"/>
    </row>
    <row r="673" ht="14.25" customHeight="1">
      <c r="A673" s="52"/>
      <c r="B673" s="53"/>
      <c r="C673" s="53"/>
      <c r="D673" s="53"/>
      <c r="E673" s="53"/>
      <c r="F673" s="53"/>
      <c r="G673" s="1"/>
      <c r="H673" s="1"/>
      <c r="I673" s="1"/>
      <c r="J673" s="1"/>
      <c r="K673" s="1"/>
      <c r="L673" s="1"/>
      <c r="M673" s="1"/>
      <c r="N673" s="1"/>
      <c r="O673" s="1"/>
      <c r="P673" s="1"/>
      <c r="Q673" s="1"/>
      <c r="R673" s="1"/>
      <c r="S673" s="1"/>
      <c r="T673" s="1"/>
    </row>
    <row r="674" ht="14.25" customHeight="1">
      <c r="A674" s="52"/>
      <c r="B674" s="53"/>
      <c r="C674" s="53"/>
      <c r="D674" s="53"/>
      <c r="E674" s="53"/>
      <c r="F674" s="53"/>
      <c r="G674" s="1"/>
      <c r="H674" s="1"/>
      <c r="I674" s="1"/>
      <c r="J674" s="1"/>
      <c r="K674" s="1"/>
      <c r="L674" s="1"/>
      <c r="M674" s="1"/>
      <c r="N674" s="1"/>
      <c r="O674" s="1"/>
      <c r="P674" s="1"/>
      <c r="Q674" s="1"/>
      <c r="R674" s="1"/>
      <c r="S674" s="1"/>
      <c r="T674" s="1"/>
    </row>
    <row r="675" ht="14.25" customHeight="1">
      <c r="A675" s="52"/>
      <c r="B675" s="53"/>
      <c r="C675" s="53"/>
      <c r="D675" s="53"/>
      <c r="E675" s="53"/>
      <c r="F675" s="53"/>
      <c r="G675" s="1"/>
      <c r="H675" s="1"/>
      <c r="I675" s="1"/>
      <c r="J675" s="1"/>
      <c r="K675" s="1"/>
      <c r="L675" s="1"/>
      <c r="M675" s="1"/>
      <c r="N675" s="1"/>
      <c r="O675" s="1"/>
      <c r="P675" s="1"/>
      <c r="Q675" s="1"/>
      <c r="R675" s="1"/>
      <c r="S675" s="1"/>
      <c r="T675" s="1"/>
    </row>
    <row r="676" ht="14.25" customHeight="1">
      <c r="A676" s="52"/>
      <c r="B676" s="53"/>
      <c r="C676" s="53"/>
      <c r="D676" s="53"/>
      <c r="E676" s="53"/>
      <c r="F676" s="53"/>
      <c r="G676" s="1"/>
      <c r="H676" s="1"/>
      <c r="I676" s="1"/>
      <c r="J676" s="1"/>
      <c r="K676" s="1"/>
      <c r="L676" s="1"/>
      <c r="M676" s="1"/>
      <c r="N676" s="1"/>
      <c r="O676" s="1"/>
      <c r="P676" s="1"/>
      <c r="Q676" s="1"/>
      <c r="R676" s="1"/>
      <c r="S676" s="1"/>
      <c r="T676" s="1"/>
    </row>
    <row r="677" ht="14.25" customHeight="1">
      <c r="A677" s="52"/>
      <c r="B677" s="53"/>
      <c r="C677" s="53"/>
      <c r="D677" s="53"/>
      <c r="E677" s="53"/>
      <c r="F677" s="53"/>
      <c r="G677" s="1"/>
      <c r="H677" s="1"/>
      <c r="I677" s="1"/>
      <c r="J677" s="1"/>
      <c r="K677" s="1"/>
      <c r="L677" s="1"/>
      <c r="M677" s="1"/>
      <c r="N677" s="1"/>
      <c r="O677" s="1"/>
      <c r="P677" s="1"/>
      <c r="Q677" s="1"/>
      <c r="R677" s="1"/>
      <c r="S677" s="1"/>
      <c r="T677" s="1"/>
    </row>
    <row r="678" ht="14.25" customHeight="1">
      <c r="A678" s="52"/>
      <c r="B678" s="53"/>
      <c r="C678" s="53"/>
      <c r="D678" s="53"/>
      <c r="E678" s="53"/>
      <c r="F678" s="53"/>
      <c r="G678" s="1"/>
      <c r="H678" s="1"/>
      <c r="I678" s="1"/>
      <c r="J678" s="1"/>
      <c r="K678" s="1"/>
      <c r="L678" s="1"/>
      <c r="M678" s="1"/>
      <c r="N678" s="1"/>
      <c r="O678" s="1"/>
      <c r="P678" s="1"/>
      <c r="Q678" s="1"/>
      <c r="R678" s="1"/>
      <c r="S678" s="1"/>
      <c r="T678" s="1"/>
    </row>
    <row r="679" ht="14.25" customHeight="1">
      <c r="A679" s="52"/>
      <c r="B679" s="53"/>
      <c r="C679" s="53"/>
      <c r="D679" s="53"/>
      <c r="E679" s="53"/>
      <c r="F679" s="53"/>
      <c r="G679" s="1"/>
      <c r="H679" s="1"/>
      <c r="I679" s="1"/>
      <c r="J679" s="1"/>
      <c r="K679" s="1"/>
      <c r="L679" s="1"/>
      <c r="M679" s="1"/>
      <c r="N679" s="1"/>
      <c r="O679" s="1"/>
      <c r="P679" s="1"/>
      <c r="Q679" s="1"/>
      <c r="R679" s="1"/>
      <c r="S679" s="1"/>
      <c r="T679" s="1"/>
    </row>
    <row r="680" ht="14.25" customHeight="1">
      <c r="A680" s="52"/>
      <c r="B680" s="53"/>
      <c r="C680" s="53"/>
      <c r="D680" s="53"/>
      <c r="E680" s="53"/>
      <c r="F680" s="53"/>
      <c r="G680" s="1"/>
      <c r="H680" s="1"/>
      <c r="I680" s="1"/>
      <c r="J680" s="1"/>
      <c r="K680" s="1"/>
      <c r="L680" s="1"/>
      <c r="M680" s="1"/>
      <c r="N680" s="1"/>
      <c r="O680" s="1"/>
      <c r="P680" s="1"/>
      <c r="Q680" s="1"/>
      <c r="R680" s="1"/>
      <c r="S680" s="1"/>
      <c r="T680" s="1"/>
    </row>
    <row r="681" ht="14.25" customHeight="1">
      <c r="A681" s="52"/>
      <c r="B681" s="53"/>
      <c r="C681" s="53"/>
      <c r="D681" s="53"/>
      <c r="E681" s="53"/>
      <c r="F681" s="53"/>
      <c r="G681" s="1"/>
      <c r="H681" s="1"/>
      <c r="I681" s="1"/>
      <c r="J681" s="1"/>
      <c r="K681" s="1"/>
      <c r="L681" s="1"/>
      <c r="M681" s="1"/>
      <c r="N681" s="1"/>
      <c r="O681" s="1"/>
      <c r="P681" s="1"/>
      <c r="Q681" s="1"/>
      <c r="R681" s="1"/>
      <c r="S681" s="1"/>
      <c r="T681" s="1"/>
    </row>
    <row r="682" ht="14.25" customHeight="1">
      <c r="A682" s="52"/>
      <c r="B682" s="53"/>
      <c r="C682" s="53"/>
      <c r="D682" s="53"/>
      <c r="E682" s="53"/>
      <c r="F682" s="53"/>
      <c r="G682" s="1"/>
      <c r="H682" s="1"/>
      <c r="I682" s="1"/>
      <c r="J682" s="1"/>
      <c r="K682" s="1"/>
      <c r="L682" s="1"/>
      <c r="M682" s="1"/>
      <c r="N682" s="1"/>
      <c r="O682" s="1"/>
      <c r="P682" s="1"/>
      <c r="Q682" s="1"/>
      <c r="R682" s="1"/>
      <c r="S682" s="1"/>
      <c r="T682" s="1"/>
    </row>
    <row r="683" ht="14.25" customHeight="1">
      <c r="A683" s="52"/>
      <c r="B683" s="53"/>
      <c r="C683" s="53"/>
      <c r="D683" s="53"/>
      <c r="E683" s="53"/>
      <c r="F683" s="53"/>
      <c r="G683" s="1"/>
      <c r="H683" s="1"/>
      <c r="I683" s="1"/>
      <c r="J683" s="1"/>
      <c r="K683" s="1"/>
      <c r="L683" s="1"/>
      <c r="M683" s="1"/>
      <c r="N683" s="1"/>
      <c r="O683" s="1"/>
      <c r="P683" s="1"/>
      <c r="Q683" s="1"/>
      <c r="R683" s="1"/>
      <c r="S683" s="1"/>
      <c r="T683" s="1"/>
    </row>
    <row r="684" ht="14.25" customHeight="1">
      <c r="A684" s="52"/>
      <c r="B684" s="53"/>
      <c r="C684" s="53"/>
      <c r="D684" s="53"/>
      <c r="E684" s="53"/>
      <c r="F684" s="53"/>
      <c r="G684" s="1"/>
      <c r="H684" s="1"/>
      <c r="I684" s="1"/>
      <c r="J684" s="1"/>
      <c r="K684" s="1"/>
      <c r="L684" s="1"/>
      <c r="M684" s="1"/>
      <c r="N684" s="1"/>
      <c r="O684" s="1"/>
      <c r="P684" s="1"/>
      <c r="Q684" s="1"/>
      <c r="R684" s="1"/>
      <c r="S684" s="1"/>
      <c r="T684" s="1"/>
    </row>
    <row r="685" ht="14.25" customHeight="1">
      <c r="A685" s="52"/>
      <c r="B685" s="53"/>
      <c r="C685" s="53"/>
      <c r="D685" s="53"/>
      <c r="E685" s="53"/>
      <c r="F685" s="53"/>
      <c r="G685" s="1"/>
      <c r="H685" s="1"/>
      <c r="I685" s="1"/>
      <c r="J685" s="1"/>
      <c r="K685" s="1"/>
      <c r="L685" s="1"/>
      <c r="M685" s="1"/>
      <c r="N685" s="1"/>
      <c r="O685" s="1"/>
      <c r="P685" s="1"/>
      <c r="Q685" s="1"/>
      <c r="R685" s="1"/>
      <c r="S685" s="1"/>
      <c r="T685" s="1"/>
    </row>
    <row r="686" ht="14.25" customHeight="1">
      <c r="A686" s="52"/>
      <c r="B686" s="53"/>
      <c r="C686" s="53"/>
      <c r="D686" s="53"/>
      <c r="E686" s="53"/>
      <c r="F686" s="53"/>
      <c r="G686" s="1"/>
      <c r="H686" s="1"/>
      <c r="I686" s="1"/>
      <c r="J686" s="1"/>
      <c r="K686" s="1"/>
      <c r="L686" s="1"/>
      <c r="M686" s="1"/>
      <c r="N686" s="1"/>
      <c r="O686" s="1"/>
      <c r="P686" s="1"/>
      <c r="Q686" s="1"/>
      <c r="R686" s="1"/>
      <c r="S686" s="1"/>
      <c r="T686" s="1"/>
    </row>
    <row r="687" ht="14.25" customHeight="1">
      <c r="A687" s="52"/>
      <c r="B687" s="53"/>
      <c r="C687" s="53"/>
      <c r="D687" s="53"/>
      <c r="E687" s="53"/>
      <c r="F687" s="53"/>
      <c r="G687" s="1"/>
      <c r="H687" s="1"/>
      <c r="I687" s="1"/>
      <c r="J687" s="1"/>
      <c r="K687" s="1"/>
      <c r="L687" s="1"/>
      <c r="M687" s="1"/>
      <c r="N687" s="1"/>
      <c r="O687" s="1"/>
      <c r="P687" s="1"/>
      <c r="Q687" s="1"/>
      <c r="R687" s="1"/>
      <c r="S687" s="1"/>
      <c r="T687" s="1"/>
    </row>
    <row r="688" ht="14.25" customHeight="1">
      <c r="A688" s="52"/>
      <c r="B688" s="53"/>
      <c r="C688" s="53"/>
      <c r="D688" s="53"/>
      <c r="E688" s="53"/>
      <c r="F688" s="53"/>
      <c r="G688" s="1"/>
      <c r="H688" s="1"/>
      <c r="I688" s="1"/>
      <c r="J688" s="1"/>
      <c r="K688" s="1"/>
      <c r="L688" s="1"/>
      <c r="M688" s="1"/>
      <c r="N688" s="1"/>
      <c r="O688" s="1"/>
      <c r="P688" s="1"/>
      <c r="Q688" s="1"/>
      <c r="R688" s="1"/>
      <c r="S688" s="1"/>
      <c r="T688" s="1"/>
    </row>
    <row r="689" ht="14.25" customHeight="1">
      <c r="A689" s="52"/>
      <c r="B689" s="53"/>
      <c r="C689" s="53"/>
      <c r="D689" s="53"/>
      <c r="E689" s="53"/>
      <c r="F689" s="53"/>
      <c r="G689" s="1"/>
      <c r="H689" s="1"/>
      <c r="I689" s="1"/>
      <c r="J689" s="1"/>
      <c r="K689" s="1"/>
      <c r="L689" s="1"/>
      <c r="M689" s="1"/>
      <c r="N689" s="1"/>
      <c r="O689" s="1"/>
      <c r="P689" s="1"/>
      <c r="Q689" s="1"/>
      <c r="R689" s="1"/>
      <c r="S689" s="1"/>
      <c r="T689" s="1"/>
    </row>
    <row r="690" ht="14.25" customHeight="1">
      <c r="A690" s="52"/>
      <c r="B690" s="53"/>
      <c r="C690" s="53"/>
      <c r="D690" s="53"/>
      <c r="E690" s="53"/>
      <c r="F690" s="53"/>
      <c r="G690" s="1"/>
      <c r="H690" s="1"/>
      <c r="I690" s="1"/>
      <c r="J690" s="1"/>
      <c r="K690" s="1"/>
      <c r="L690" s="1"/>
      <c r="M690" s="1"/>
      <c r="N690" s="1"/>
      <c r="O690" s="1"/>
      <c r="P690" s="1"/>
      <c r="Q690" s="1"/>
      <c r="R690" s="1"/>
      <c r="S690" s="1"/>
      <c r="T690" s="1"/>
    </row>
    <row r="691" ht="14.25" customHeight="1">
      <c r="A691" s="52"/>
      <c r="B691" s="53"/>
      <c r="C691" s="53"/>
      <c r="D691" s="53"/>
      <c r="E691" s="53"/>
      <c r="F691" s="53"/>
      <c r="G691" s="1"/>
      <c r="H691" s="1"/>
      <c r="I691" s="1"/>
      <c r="J691" s="1"/>
      <c r="K691" s="1"/>
      <c r="L691" s="1"/>
      <c r="M691" s="1"/>
      <c r="N691" s="1"/>
      <c r="O691" s="1"/>
      <c r="P691" s="1"/>
      <c r="Q691" s="1"/>
      <c r="R691" s="1"/>
      <c r="S691" s="1"/>
      <c r="T691" s="1"/>
    </row>
    <row r="692" ht="14.25" customHeight="1">
      <c r="A692" s="52"/>
      <c r="B692" s="53"/>
      <c r="C692" s="53"/>
      <c r="D692" s="53"/>
      <c r="E692" s="53"/>
      <c r="F692" s="53"/>
      <c r="G692" s="1"/>
      <c r="H692" s="1"/>
      <c r="I692" s="1"/>
      <c r="J692" s="1"/>
      <c r="K692" s="1"/>
      <c r="L692" s="1"/>
      <c r="M692" s="1"/>
      <c r="N692" s="1"/>
      <c r="O692" s="1"/>
      <c r="P692" s="1"/>
      <c r="Q692" s="1"/>
      <c r="R692" s="1"/>
      <c r="S692" s="1"/>
      <c r="T692" s="1"/>
    </row>
    <row r="693" ht="14.25" customHeight="1">
      <c r="A693" s="52"/>
      <c r="B693" s="53"/>
      <c r="C693" s="53"/>
      <c r="D693" s="53"/>
      <c r="E693" s="53"/>
      <c r="F693" s="53"/>
      <c r="G693" s="1"/>
      <c r="H693" s="1"/>
      <c r="I693" s="1"/>
      <c r="J693" s="1"/>
      <c r="K693" s="1"/>
      <c r="L693" s="1"/>
      <c r="M693" s="1"/>
      <c r="N693" s="1"/>
      <c r="O693" s="1"/>
      <c r="P693" s="1"/>
      <c r="Q693" s="1"/>
      <c r="R693" s="1"/>
      <c r="S693" s="1"/>
      <c r="T693" s="1"/>
    </row>
    <row r="694" ht="14.25" customHeight="1">
      <c r="A694" s="52"/>
      <c r="B694" s="53"/>
      <c r="C694" s="53"/>
      <c r="D694" s="53"/>
      <c r="E694" s="53"/>
      <c r="F694" s="53"/>
      <c r="G694" s="1"/>
      <c r="H694" s="1"/>
      <c r="I694" s="1"/>
      <c r="J694" s="1"/>
      <c r="K694" s="1"/>
      <c r="L694" s="1"/>
      <c r="M694" s="1"/>
      <c r="N694" s="1"/>
      <c r="O694" s="1"/>
      <c r="P694" s="1"/>
      <c r="Q694" s="1"/>
      <c r="R694" s="1"/>
      <c r="S694" s="1"/>
      <c r="T694" s="1"/>
    </row>
    <row r="695" ht="14.25" customHeight="1">
      <c r="A695" s="52"/>
      <c r="B695" s="53"/>
      <c r="C695" s="53"/>
      <c r="D695" s="53"/>
      <c r="E695" s="53"/>
      <c r="F695" s="53"/>
      <c r="G695" s="1"/>
      <c r="H695" s="1"/>
      <c r="I695" s="1"/>
      <c r="J695" s="1"/>
      <c r="K695" s="1"/>
      <c r="L695" s="1"/>
      <c r="M695" s="1"/>
      <c r="N695" s="1"/>
      <c r="O695" s="1"/>
      <c r="P695" s="1"/>
      <c r="Q695" s="1"/>
      <c r="R695" s="1"/>
      <c r="S695" s="1"/>
      <c r="T695" s="1"/>
    </row>
    <row r="696" ht="14.25" customHeight="1">
      <c r="A696" s="52"/>
      <c r="B696" s="53"/>
      <c r="C696" s="53"/>
      <c r="D696" s="53"/>
      <c r="E696" s="53"/>
      <c r="F696" s="53"/>
      <c r="G696" s="1"/>
      <c r="H696" s="1"/>
      <c r="I696" s="1"/>
      <c r="J696" s="1"/>
      <c r="K696" s="1"/>
      <c r="L696" s="1"/>
      <c r="M696" s="1"/>
      <c r="N696" s="1"/>
      <c r="O696" s="1"/>
      <c r="P696" s="1"/>
      <c r="Q696" s="1"/>
      <c r="R696" s="1"/>
      <c r="S696" s="1"/>
      <c r="T696" s="1"/>
    </row>
    <row r="697" ht="14.25" customHeight="1">
      <c r="A697" s="52"/>
      <c r="B697" s="53"/>
      <c r="C697" s="53"/>
      <c r="D697" s="53"/>
      <c r="E697" s="53"/>
      <c r="F697" s="53"/>
      <c r="G697" s="1"/>
      <c r="H697" s="1"/>
      <c r="I697" s="1"/>
      <c r="J697" s="1"/>
      <c r="K697" s="1"/>
      <c r="L697" s="1"/>
      <c r="M697" s="1"/>
      <c r="N697" s="1"/>
      <c r="O697" s="1"/>
      <c r="P697" s="1"/>
      <c r="Q697" s="1"/>
      <c r="R697" s="1"/>
      <c r="S697" s="1"/>
      <c r="T697" s="1"/>
    </row>
    <row r="698" ht="14.25" customHeight="1">
      <c r="A698" s="52"/>
      <c r="B698" s="53"/>
      <c r="C698" s="53"/>
      <c r="D698" s="53"/>
      <c r="E698" s="53"/>
      <c r="F698" s="53"/>
      <c r="G698" s="1"/>
      <c r="H698" s="1"/>
      <c r="I698" s="1"/>
      <c r="J698" s="1"/>
      <c r="K698" s="1"/>
      <c r="L698" s="1"/>
      <c r="M698" s="1"/>
      <c r="N698" s="1"/>
      <c r="O698" s="1"/>
      <c r="P698" s="1"/>
      <c r="Q698" s="1"/>
      <c r="R698" s="1"/>
      <c r="S698" s="1"/>
      <c r="T698" s="1"/>
    </row>
    <row r="699" ht="14.25" customHeight="1">
      <c r="A699" s="52"/>
      <c r="B699" s="53"/>
      <c r="C699" s="53"/>
      <c r="D699" s="53"/>
      <c r="E699" s="53"/>
      <c r="F699" s="53"/>
      <c r="G699" s="1"/>
      <c r="H699" s="1"/>
      <c r="I699" s="1"/>
      <c r="J699" s="1"/>
      <c r="K699" s="1"/>
      <c r="L699" s="1"/>
      <c r="M699" s="1"/>
      <c r="N699" s="1"/>
      <c r="O699" s="1"/>
      <c r="P699" s="1"/>
      <c r="Q699" s="1"/>
      <c r="R699" s="1"/>
      <c r="S699" s="1"/>
      <c r="T699" s="1"/>
    </row>
    <row r="700" ht="14.25" customHeight="1">
      <c r="A700" s="52"/>
      <c r="B700" s="53"/>
      <c r="C700" s="53"/>
      <c r="D700" s="53"/>
      <c r="E700" s="53"/>
      <c r="F700" s="53"/>
      <c r="G700" s="1"/>
      <c r="H700" s="1"/>
      <c r="I700" s="1"/>
      <c r="J700" s="1"/>
      <c r="K700" s="1"/>
      <c r="L700" s="1"/>
      <c r="M700" s="1"/>
      <c r="N700" s="1"/>
      <c r="O700" s="1"/>
      <c r="P700" s="1"/>
      <c r="Q700" s="1"/>
      <c r="R700" s="1"/>
      <c r="S700" s="1"/>
      <c r="T700" s="1"/>
    </row>
    <row r="701" ht="14.25" customHeight="1">
      <c r="A701" s="52"/>
      <c r="B701" s="53"/>
      <c r="C701" s="53"/>
      <c r="D701" s="53"/>
      <c r="E701" s="53"/>
      <c r="F701" s="53"/>
      <c r="G701" s="1"/>
      <c r="H701" s="1"/>
      <c r="I701" s="1"/>
      <c r="J701" s="1"/>
      <c r="K701" s="1"/>
      <c r="L701" s="1"/>
      <c r="M701" s="1"/>
      <c r="N701" s="1"/>
      <c r="O701" s="1"/>
      <c r="P701" s="1"/>
      <c r="Q701" s="1"/>
      <c r="R701" s="1"/>
      <c r="S701" s="1"/>
      <c r="T701" s="1"/>
    </row>
    <row r="702" ht="14.25" customHeight="1">
      <c r="A702" s="52"/>
      <c r="B702" s="53"/>
      <c r="C702" s="53"/>
      <c r="D702" s="53"/>
      <c r="E702" s="53"/>
      <c r="F702" s="53"/>
      <c r="G702" s="1"/>
      <c r="H702" s="1"/>
      <c r="I702" s="1"/>
      <c r="J702" s="1"/>
      <c r="K702" s="1"/>
      <c r="L702" s="1"/>
      <c r="M702" s="1"/>
      <c r="N702" s="1"/>
      <c r="O702" s="1"/>
      <c r="P702" s="1"/>
      <c r="Q702" s="1"/>
      <c r="R702" s="1"/>
      <c r="S702" s="1"/>
      <c r="T702" s="1"/>
    </row>
    <row r="703" ht="14.25" customHeight="1">
      <c r="A703" s="52"/>
      <c r="B703" s="53"/>
      <c r="C703" s="53"/>
      <c r="D703" s="53"/>
      <c r="E703" s="53"/>
      <c r="F703" s="53"/>
      <c r="G703" s="1"/>
      <c r="H703" s="1"/>
      <c r="I703" s="1"/>
      <c r="J703" s="1"/>
      <c r="K703" s="1"/>
      <c r="L703" s="1"/>
      <c r="M703" s="1"/>
      <c r="N703" s="1"/>
      <c r="O703" s="1"/>
      <c r="P703" s="1"/>
      <c r="Q703" s="1"/>
      <c r="R703" s="1"/>
      <c r="S703" s="1"/>
      <c r="T703" s="1"/>
    </row>
    <row r="704" ht="14.25" customHeight="1">
      <c r="A704" s="52"/>
      <c r="B704" s="53"/>
      <c r="C704" s="53"/>
      <c r="D704" s="53"/>
      <c r="E704" s="53"/>
      <c r="F704" s="53"/>
      <c r="G704" s="1"/>
      <c r="H704" s="1"/>
      <c r="I704" s="1"/>
      <c r="J704" s="1"/>
      <c r="K704" s="1"/>
      <c r="L704" s="1"/>
      <c r="M704" s="1"/>
      <c r="N704" s="1"/>
      <c r="O704" s="1"/>
      <c r="P704" s="1"/>
      <c r="Q704" s="1"/>
      <c r="R704" s="1"/>
      <c r="S704" s="1"/>
      <c r="T704" s="1"/>
    </row>
    <row r="705" ht="14.25" customHeight="1">
      <c r="A705" s="52"/>
      <c r="B705" s="53"/>
      <c r="C705" s="53"/>
      <c r="D705" s="53"/>
      <c r="E705" s="53"/>
      <c r="F705" s="53"/>
      <c r="G705" s="1"/>
      <c r="H705" s="1"/>
      <c r="I705" s="1"/>
      <c r="J705" s="1"/>
      <c r="K705" s="1"/>
      <c r="L705" s="1"/>
      <c r="M705" s="1"/>
      <c r="N705" s="1"/>
      <c r="O705" s="1"/>
      <c r="P705" s="1"/>
      <c r="Q705" s="1"/>
      <c r="R705" s="1"/>
      <c r="S705" s="1"/>
      <c r="T705" s="1"/>
    </row>
    <row r="706" ht="14.25" customHeight="1">
      <c r="A706" s="52"/>
      <c r="B706" s="53"/>
      <c r="C706" s="53"/>
      <c r="D706" s="53"/>
      <c r="E706" s="53"/>
      <c r="F706" s="53"/>
      <c r="G706" s="1"/>
      <c r="H706" s="1"/>
      <c r="I706" s="1"/>
      <c r="J706" s="1"/>
      <c r="K706" s="1"/>
      <c r="L706" s="1"/>
      <c r="M706" s="1"/>
      <c r="N706" s="1"/>
      <c r="O706" s="1"/>
      <c r="P706" s="1"/>
      <c r="Q706" s="1"/>
      <c r="R706" s="1"/>
      <c r="S706" s="1"/>
      <c r="T706" s="1"/>
    </row>
    <row r="707" ht="14.25" customHeight="1">
      <c r="A707" s="52"/>
      <c r="B707" s="53"/>
      <c r="C707" s="53"/>
      <c r="D707" s="53"/>
      <c r="E707" s="53"/>
      <c r="F707" s="53"/>
      <c r="G707" s="1"/>
      <c r="H707" s="1"/>
      <c r="I707" s="1"/>
      <c r="J707" s="1"/>
      <c r="K707" s="1"/>
      <c r="L707" s="1"/>
      <c r="M707" s="1"/>
      <c r="N707" s="1"/>
      <c r="O707" s="1"/>
      <c r="P707" s="1"/>
      <c r="Q707" s="1"/>
      <c r="R707" s="1"/>
      <c r="S707" s="1"/>
      <c r="T707" s="1"/>
    </row>
    <row r="708" ht="14.25" customHeight="1">
      <c r="A708" s="52"/>
      <c r="B708" s="53"/>
      <c r="C708" s="53"/>
      <c r="D708" s="53"/>
      <c r="E708" s="53"/>
      <c r="F708" s="53"/>
      <c r="G708" s="1"/>
      <c r="H708" s="1"/>
      <c r="I708" s="1"/>
      <c r="J708" s="1"/>
      <c r="K708" s="1"/>
      <c r="L708" s="1"/>
      <c r="M708" s="1"/>
      <c r="N708" s="1"/>
      <c r="O708" s="1"/>
      <c r="P708" s="1"/>
      <c r="Q708" s="1"/>
      <c r="R708" s="1"/>
      <c r="S708" s="1"/>
      <c r="T708" s="1"/>
    </row>
    <row r="709" ht="14.25" customHeight="1">
      <c r="A709" s="52"/>
      <c r="B709" s="53"/>
      <c r="C709" s="53"/>
      <c r="D709" s="53"/>
      <c r="E709" s="53"/>
      <c r="F709" s="53"/>
      <c r="G709" s="1"/>
      <c r="H709" s="1"/>
      <c r="I709" s="1"/>
      <c r="J709" s="1"/>
      <c r="K709" s="1"/>
      <c r="L709" s="1"/>
      <c r="M709" s="1"/>
      <c r="N709" s="1"/>
      <c r="O709" s="1"/>
      <c r="P709" s="1"/>
      <c r="Q709" s="1"/>
      <c r="R709" s="1"/>
      <c r="S709" s="1"/>
      <c r="T709" s="1"/>
    </row>
    <row r="710" ht="14.25" customHeight="1">
      <c r="A710" s="52"/>
      <c r="B710" s="53"/>
      <c r="C710" s="53"/>
      <c r="D710" s="53"/>
      <c r="E710" s="53"/>
      <c r="F710" s="53"/>
      <c r="G710" s="1"/>
      <c r="H710" s="1"/>
      <c r="I710" s="1"/>
      <c r="J710" s="1"/>
      <c r="K710" s="1"/>
      <c r="L710" s="1"/>
      <c r="M710" s="1"/>
      <c r="N710" s="1"/>
      <c r="O710" s="1"/>
      <c r="P710" s="1"/>
      <c r="Q710" s="1"/>
      <c r="R710" s="1"/>
      <c r="S710" s="1"/>
      <c r="T710" s="1"/>
    </row>
    <row r="711" ht="14.25" customHeight="1">
      <c r="A711" s="52"/>
      <c r="B711" s="53"/>
      <c r="C711" s="53"/>
      <c r="D711" s="53"/>
      <c r="E711" s="53"/>
      <c r="F711" s="53"/>
      <c r="G711" s="1"/>
      <c r="H711" s="1"/>
      <c r="I711" s="1"/>
      <c r="J711" s="1"/>
      <c r="K711" s="1"/>
      <c r="L711" s="1"/>
      <c r="M711" s="1"/>
      <c r="N711" s="1"/>
      <c r="O711" s="1"/>
      <c r="P711" s="1"/>
      <c r="Q711" s="1"/>
      <c r="R711" s="1"/>
      <c r="S711" s="1"/>
      <c r="T711" s="1"/>
    </row>
    <row r="712" ht="14.25" customHeight="1">
      <c r="A712" s="52"/>
      <c r="B712" s="53"/>
      <c r="C712" s="53"/>
      <c r="D712" s="53"/>
      <c r="E712" s="53"/>
      <c r="F712" s="53"/>
      <c r="G712" s="1"/>
      <c r="H712" s="1"/>
      <c r="I712" s="1"/>
      <c r="J712" s="1"/>
      <c r="K712" s="1"/>
      <c r="L712" s="1"/>
      <c r="M712" s="1"/>
      <c r="N712" s="1"/>
      <c r="O712" s="1"/>
      <c r="P712" s="1"/>
      <c r="Q712" s="1"/>
      <c r="R712" s="1"/>
      <c r="S712" s="1"/>
      <c r="T712" s="1"/>
    </row>
    <row r="713" ht="14.25" customHeight="1">
      <c r="A713" s="52"/>
      <c r="B713" s="53"/>
      <c r="C713" s="53"/>
      <c r="D713" s="53"/>
      <c r="E713" s="53"/>
      <c r="F713" s="53"/>
      <c r="G713" s="1"/>
      <c r="H713" s="1"/>
      <c r="I713" s="1"/>
      <c r="J713" s="1"/>
      <c r="K713" s="1"/>
      <c r="L713" s="1"/>
      <c r="M713" s="1"/>
      <c r="N713" s="1"/>
      <c r="O713" s="1"/>
      <c r="P713" s="1"/>
      <c r="Q713" s="1"/>
      <c r="R713" s="1"/>
      <c r="S713" s="1"/>
      <c r="T713" s="1"/>
    </row>
    <row r="714" ht="14.25" customHeight="1">
      <c r="A714" s="52"/>
      <c r="B714" s="53"/>
      <c r="C714" s="53"/>
      <c r="D714" s="53"/>
      <c r="E714" s="53"/>
      <c r="F714" s="53"/>
      <c r="G714" s="1"/>
      <c r="H714" s="1"/>
      <c r="I714" s="1"/>
      <c r="J714" s="1"/>
      <c r="K714" s="1"/>
      <c r="L714" s="1"/>
      <c r="M714" s="1"/>
      <c r="N714" s="1"/>
      <c r="O714" s="1"/>
      <c r="P714" s="1"/>
      <c r="Q714" s="1"/>
      <c r="R714" s="1"/>
      <c r="S714" s="1"/>
      <c r="T714" s="1"/>
    </row>
    <row r="715" ht="14.25" customHeight="1">
      <c r="A715" s="52"/>
      <c r="B715" s="53"/>
      <c r="C715" s="53"/>
      <c r="D715" s="53"/>
      <c r="E715" s="53"/>
      <c r="F715" s="53"/>
      <c r="G715" s="1"/>
      <c r="H715" s="1"/>
      <c r="I715" s="1"/>
      <c r="J715" s="1"/>
      <c r="K715" s="1"/>
      <c r="L715" s="1"/>
      <c r="M715" s="1"/>
      <c r="N715" s="1"/>
      <c r="O715" s="1"/>
      <c r="P715" s="1"/>
      <c r="Q715" s="1"/>
      <c r="R715" s="1"/>
      <c r="S715" s="1"/>
      <c r="T715" s="1"/>
    </row>
    <row r="716" ht="14.25" customHeight="1">
      <c r="A716" s="52"/>
      <c r="B716" s="53"/>
      <c r="C716" s="53"/>
      <c r="D716" s="53"/>
      <c r="E716" s="53"/>
      <c r="F716" s="53"/>
      <c r="G716" s="1"/>
      <c r="H716" s="1"/>
      <c r="I716" s="1"/>
      <c r="J716" s="1"/>
      <c r="K716" s="1"/>
      <c r="L716" s="1"/>
      <c r="M716" s="1"/>
      <c r="N716" s="1"/>
      <c r="O716" s="1"/>
      <c r="P716" s="1"/>
      <c r="Q716" s="1"/>
      <c r="R716" s="1"/>
      <c r="S716" s="1"/>
      <c r="T716" s="1"/>
    </row>
    <row r="717" ht="14.25" customHeight="1">
      <c r="A717" s="52"/>
      <c r="B717" s="53"/>
      <c r="C717" s="53"/>
      <c r="D717" s="53"/>
      <c r="E717" s="53"/>
      <c r="F717" s="53"/>
      <c r="G717" s="1"/>
      <c r="H717" s="1"/>
      <c r="I717" s="1"/>
      <c r="J717" s="1"/>
      <c r="K717" s="1"/>
      <c r="L717" s="1"/>
      <c r="M717" s="1"/>
      <c r="N717" s="1"/>
      <c r="O717" s="1"/>
      <c r="P717" s="1"/>
      <c r="Q717" s="1"/>
      <c r="R717" s="1"/>
      <c r="S717" s="1"/>
      <c r="T717" s="1"/>
    </row>
    <row r="718" ht="14.25" customHeight="1">
      <c r="A718" s="52"/>
      <c r="B718" s="53"/>
      <c r="C718" s="53"/>
      <c r="D718" s="53"/>
      <c r="E718" s="53"/>
      <c r="F718" s="53"/>
      <c r="G718" s="1"/>
      <c r="H718" s="1"/>
      <c r="I718" s="1"/>
      <c r="J718" s="1"/>
      <c r="K718" s="1"/>
      <c r="L718" s="1"/>
      <c r="M718" s="1"/>
      <c r="N718" s="1"/>
      <c r="O718" s="1"/>
      <c r="P718" s="1"/>
      <c r="Q718" s="1"/>
      <c r="R718" s="1"/>
      <c r="S718" s="1"/>
      <c r="T718" s="1"/>
    </row>
    <row r="719" ht="14.25" customHeight="1">
      <c r="A719" s="52"/>
      <c r="B719" s="53"/>
      <c r="C719" s="53"/>
      <c r="D719" s="53"/>
      <c r="E719" s="53"/>
      <c r="F719" s="53"/>
      <c r="G719" s="1"/>
      <c r="H719" s="1"/>
      <c r="I719" s="1"/>
      <c r="J719" s="1"/>
      <c r="K719" s="1"/>
      <c r="L719" s="1"/>
      <c r="M719" s="1"/>
      <c r="N719" s="1"/>
      <c r="O719" s="1"/>
      <c r="P719" s="1"/>
      <c r="Q719" s="1"/>
      <c r="R719" s="1"/>
      <c r="S719" s="1"/>
      <c r="T719" s="1"/>
    </row>
    <row r="720" ht="14.25" customHeight="1">
      <c r="A720" s="52"/>
      <c r="B720" s="53"/>
      <c r="C720" s="53"/>
      <c r="D720" s="53"/>
      <c r="E720" s="53"/>
      <c r="F720" s="53"/>
      <c r="G720" s="1"/>
      <c r="H720" s="1"/>
      <c r="I720" s="1"/>
      <c r="J720" s="1"/>
      <c r="K720" s="1"/>
      <c r="L720" s="1"/>
      <c r="M720" s="1"/>
      <c r="N720" s="1"/>
      <c r="O720" s="1"/>
      <c r="P720" s="1"/>
      <c r="Q720" s="1"/>
      <c r="R720" s="1"/>
      <c r="S720" s="1"/>
      <c r="T720" s="1"/>
    </row>
    <row r="721" ht="14.25" customHeight="1">
      <c r="A721" s="52"/>
      <c r="B721" s="53"/>
      <c r="C721" s="53"/>
      <c r="D721" s="53"/>
      <c r="E721" s="53"/>
      <c r="F721" s="53"/>
      <c r="G721" s="1"/>
      <c r="H721" s="1"/>
      <c r="I721" s="1"/>
      <c r="J721" s="1"/>
      <c r="K721" s="1"/>
      <c r="L721" s="1"/>
      <c r="M721" s="1"/>
      <c r="N721" s="1"/>
      <c r="O721" s="1"/>
      <c r="P721" s="1"/>
      <c r="Q721" s="1"/>
      <c r="R721" s="1"/>
      <c r="S721" s="1"/>
      <c r="T721" s="1"/>
    </row>
    <row r="722" ht="14.25" customHeight="1">
      <c r="A722" s="52"/>
      <c r="B722" s="53"/>
      <c r="C722" s="53"/>
      <c r="D722" s="53"/>
      <c r="E722" s="53"/>
      <c r="F722" s="53"/>
      <c r="G722" s="1"/>
      <c r="H722" s="1"/>
      <c r="I722" s="1"/>
      <c r="J722" s="1"/>
      <c r="K722" s="1"/>
      <c r="L722" s="1"/>
      <c r="M722" s="1"/>
      <c r="N722" s="1"/>
      <c r="O722" s="1"/>
      <c r="P722" s="1"/>
      <c r="Q722" s="1"/>
      <c r="R722" s="1"/>
      <c r="S722" s="1"/>
      <c r="T722" s="1"/>
    </row>
    <row r="723" ht="14.25" customHeight="1">
      <c r="A723" s="52"/>
      <c r="B723" s="53"/>
      <c r="C723" s="53"/>
      <c r="D723" s="53"/>
      <c r="E723" s="53"/>
      <c r="F723" s="53"/>
      <c r="G723" s="1"/>
      <c r="H723" s="1"/>
      <c r="I723" s="1"/>
      <c r="J723" s="1"/>
      <c r="K723" s="1"/>
      <c r="L723" s="1"/>
      <c r="M723" s="1"/>
      <c r="N723" s="1"/>
      <c r="O723" s="1"/>
      <c r="P723" s="1"/>
      <c r="Q723" s="1"/>
      <c r="R723" s="1"/>
      <c r="S723" s="1"/>
      <c r="T723" s="1"/>
    </row>
    <row r="724" ht="14.25" customHeight="1">
      <c r="A724" s="52"/>
      <c r="B724" s="53"/>
      <c r="C724" s="53"/>
      <c r="D724" s="53"/>
      <c r="E724" s="53"/>
      <c r="F724" s="53"/>
      <c r="G724" s="1"/>
      <c r="H724" s="1"/>
      <c r="I724" s="1"/>
      <c r="J724" s="1"/>
      <c r="K724" s="1"/>
      <c r="L724" s="1"/>
      <c r="M724" s="1"/>
      <c r="N724" s="1"/>
      <c r="O724" s="1"/>
      <c r="P724" s="1"/>
      <c r="Q724" s="1"/>
      <c r="R724" s="1"/>
      <c r="S724" s="1"/>
      <c r="T724" s="1"/>
    </row>
    <row r="725" ht="14.25" customHeight="1">
      <c r="A725" s="52"/>
      <c r="B725" s="53"/>
      <c r="C725" s="53"/>
      <c r="D725" s="53"/>
      <c r="E725" s="53"/>
      <c r="F725" s="53"/>
      <c r="G725" s="1"/>
      <c r="H725" s="1"/>
      <c r="I725" s="1"/>
      <c r="J725" s="1"/>
      <c r="K725" s="1"/>
      <c r="L725" s="1"/>
      <c r="M725" s="1"/>
      <c r="N725" s="1"/>
      <c r="O725" s="1"/>
      <c r="P725" s="1"/>
      <c r="Q725" s="1"/>
      <c r="R725" s="1"/>
      <c r="S725" s="1"/>
      <c r="T725" s="1"/>
    </row>
    <row r="726" ht="14.25" customHeight="1">
      <c r="A726" s="52"/>
      <c r="B726" s="53"/>
      <c r="C726" s="53"/>
      <c r="D726" s="53"/>
      <c r="E726" s="53"/>
      <c r="F726" s="53"/>
      <c r="G726" s="1"/>
      <c r="H726" s="1"/>
      <c r="I726" s="1"/>
      <c r="J726" s="1"/>
      <c r="K726" s="1"/>
      <c r="L726" s="1"/>
      <c r="M726" s="1"/>
      <c r="N726" s="1"/>
      <c r="O726" s="1"/>
      <c r="P726" s="1"/>
      <c r="Q726" s="1"/>
      <c r="R726" s="1"/>
      <c r="S726" s="1"/>
      <c r="T726" s="1"/>
    </row>
    <row r="727" ht="14.25" customHeight="1">
      <c r="A727" s="52"/>
      <c r="B727" s="53"/>
      <c r="C727" s="53"/>
      <c r="D727" s="53"/>
      <c r="E727" s="53"/>
      <c r="F727" s="53"/>
      <c r="G727" s="1"/>
      <c r="H727" s="1"/>
      <c r="I727" s="1"/>
      <c r="J727" s="1"/>
      <c r="K727" s="1"/>
      <c r="L727" s="1"/>
      <c r="M727" s="1"/>
      <c r="N727" s="1"/>
      <c r="O727" s="1"/>
      <c r="P727" s="1"/>
      <c r="Q727" s="1"/>
      <c r="R727" s="1"/>
      <c r="S727" s="1"/>
      <c r="T727" s="1"/>
    </row>
    <row r="728" ht="14.25" customHeight="1">
      <c r="A728" s="52"/>
      <c r="B728" s="53"/>
      <c r="C728" s="53"/>
      <c r="D728" s="53"/>
      <c r="E728" s="53"/>
      <c r="F728" s="53"/>
      <c r="G728" s="1"/>
      <c r="H728" s="1"/>
      <c r="I728" s="1"/>
      <c r="J728" s="1"/>
      <c r="K728" s="1"/>
      <c r="L728" s="1"/>
      <c r="M728" s="1"/>
      <c r="N728" s="1"/>
      <c r="O728" s="1"/>
      <c r="P728" s="1"/>
      <c r="Q728" s="1"/>
      <c r="R728" s="1"/>
      <c r="S728" s="1"/>
      <c r="T728" s="1"/>
    </row>
    <row r="729" ht="14.25" customHeight="1">
      <c r="A729" s="52"/>
      <c r="B729" s="53"/>
      <c r="C729" s="53"/>
      <c r="D729" s="53"/>
      <c r="E729" s="53"/>
      <c r="F729" s="53"/>
      <c r="G729" s="1"/>
      <c r="H729" s="1"/>
      <c r="I729" s="1"/>
      <c r="J729" s="1"/>
      <c r="K729" s="1"/>
      <c r="L729" s="1"/>
      <c r="M729" s="1"/>
      <c r="N729" s="1"/>
      <c r="O729" s="1"/>
      <c r="P729" s="1"/>
      <c r="Q729" s="1"/>
      <c r="R729" s="1"/>
      <c r="S729" s="1"/>
      <c r="T729" s="1"/>
    </row>
    <row r="730" ht="14.25" customHeight="1">
      <c r="A730" s="52"/>
      <c r="B730" s="53"/>
      <c r="C730" s="53"/>
      <c r="D730" s="53"/>
      <c r="E730" s="53"/>
      <c r="F730" s="53"/>
      <c r="G730" s="1"/>
      <c r="H730" s="1"/>
      <c r="I730" s="1"/>
      <c r="J730" s="1"/>
      <c r="K730" s="1"/>
      <c r="L730" s="1"/>
      <c r="M730" s="1"/>
      <c r="N730" s="1"/>
      <c r="O730" s="1"/>
      <c r="P730" s="1"/>
      <c r="Q730" s="1"/>
      <c r="R730" s="1"/>
      <c r="S730" s="1"/>
      <c r="T730" s="1"/>
    </row>
    <row r="731" ht="14.25" customHeight="1">
      <c r="A731" s="52"/>
      <c r="B731" s="53"/>
      <c r="C731" s="53"/>
      <c r="D731" s="53"/>
      <c r="E731" s="53"/>
      <c r="F731" s="53"/>
      <c r="G731" s="1"/>
      <c r="H731" s="1"/>
      <c r="I731" s="1"/>
      <c r="J731" s="1"/>
      <c r="K731" s="1"/>
      <c r="L731" s="1"/>
      <c r="M731" s="1"/>
      <c r="N731" s="1"/>
      <c r="O731" s="1"/>
      <c r="P731" s="1"/>
      <c r="Q731" s="1"/>
      <c r="R731" s="1"/>
      <c r="S731" s="1"/>
      <c r="T731" s="1"/>
    </row>
    <row r="732" ht="14.25" customHeight="1">
      <c r="A732" s="52"/>
      <c r="B732" s="53"/>
      <c r="C732" s="53"/>
      <c r="D732" s="53"/>
      <c r="E732" s="53"/>
      <c r="F732" s="53"/>
      <c r="G732" s="1"/>
      <c r="H732" s="1"/>
      <c r="I732" s="1"/>
      <c r="J732" s="1"/>
      <c r="K732" s="1"/>
      <c r="L732" s="1"/>
      <c r="M732" s="1"/>
      <c r="N732" s="1"/>
      <c r="O732" s="1"/>
      <c r="P732" s="1"/>
      <c r="Q732" s="1"/>
      <c r="R732" s="1"/>
      <c r="S732" s="1"/>
      <c r="T732" s="1"/>
    </row>
    <row r="733" ht="14.25" customHeight="1">
      <c r="A733" s="52"/>
      <c r="B733" s="53"/>
      <c r="C733" s="53"/>
      <c r="D733" s="53"/>
      <c r="E733" s="53"/>
      <c r="F733" s="53"/>
      <c r="G733" s="1"/>
      <c r="H733" s="1"/>
      <c r="I733" s="1"/>
      <c r="J733" s="1"/>
      <c r="K733" s="1"/>
      <c r="L733" s="1"/>
      <c r="M733" s="1"/>
      <c r="N733" s="1"/>
      <c r="O733" s="1"/>
      <c r="P733" s="1"/>
      <c r="Q733" s="1"/>
      <c r="R733" s="1"/>
      <c r="S733" s="1"/>
      <c r="T733" s="1"/>
    </row>
    <row r="734" ht="14.25" customHeight="1">
      <c r="A734" s="52"/>
      <c r="B734" s="53"/>
      <c r="C734" s="53"/>
      <c r="D734" s="53"/>
      <c r="E734" s="53"/>
      <c r="F734" s="53"/>
      <c r="G734" s="1"/>
      <c r="H734" s="1"/>
      <c r="I734" s="1"/>
      <c r="J734" s="1"/>
      <c r="K734" s="1"/>
      <c r="L734" s="1"/>
      <c r="M734" s="1"/>
      <c r="N734" s="1"/>
      <c r="O734" s="1"/>
      <c r="P734" s="1"/>
      <c r="Q734" s="1"/>
      <c r="R734" s="1"/>
      <c r="S734" s="1"/>
      <c r="T734" s="1"/>
    </row>
    <row r="735" ht="14.25" customHeight="1">
      <c r="A735" s="52"/>
      <c r="B735" s="53"/>
      <c r="C735" s="53"/>
      <c r="D735" s="53"/>
      <c r="E735" s="53"/>
      <c r="F735" s="53"/>
      <c r="G735" s="1"/>
      <c r="H735" s="1"/>
      <c r="I735" s="1"/>
      <c r="J735" s="1"/>
      <c r="K735" s="1"/>
      <c r="L735" s="1"/>
      <c r="M735" s="1"/>
      <c r="N735" s="1"/>
      <c r="O735" s="1"/>
      <c r="P735" s="1"/>
      <c r="Q735" s="1"/>
      <c r="R735" s="1"/>
      <c r="S735" s="1"/>
      <c r="T735" s="1"/>
    </row>
    <row r="736" ht="14.25" customHeight="1">
      <c r="A736" s="52"/>
      <c r="B736" s="53"/>
      <c r="C736" s="53"/>
      <c r="D736" s="53"/>
      <c r="E736" s="53"/>
      <c r="F736" s="53"/>
      <c r="G736" s="1"/>
      <c r="H736" s="1"/>
      <c r="I736" s="1"/>
      <c r="J736" s="1"/>
      <c r="K736" s="1"/>
      <c r="L736" s="1"/>
      <c r="M736" s="1"/>
      <c r="N736" s="1"/>
      <c r="O736" s="1"/>
      <c r="P736" s="1"/>
      <c r="Q736" s="1"/>
      <c r="R736" s="1"/>
      <c r="S736" s="1"/>
      <c r="T736" s="1"/>
    </row>
    <row r="737" ht="14.25" customHeight="1">
      <c r="A737" s="52"/>
      <c r="B737" s="53"/>
      <c r="C737" s="53"/>
      <c r="D737" s="53"/>
      <c r="E737" s="53"/>
      <c r="F737" s="53"/>
      <c r="G737" s="1"/>
      <c r="H737" s="1"/>
      <c r="I737" s="1"/>
      <c r="J737" s="1"/>
      <c r="K737" s="1"/>
      <c r="L737" s="1"/>
      <c r="M737" s="1"/>
      <c r="N737" s="1"/>
      <c r="O737" s="1"/>
      <c r="P737" s="1"/>
      <c r="Q737" s="1"/>
      <c r="R737" s="1"/>
      <c r="S737" s="1"/>
      <c r="T737" s="1"/>
    </row>
    <row r="738" ht="14.25" customHeight="1">
      <c r="A738" s="52"/>
      <c r="B738" s="53"/>
      <c r="C738" s="53"/>
      <c r="D738" s="53"/>
      <c r="E738" s="53"/>
      <c r="F738" s="53"/>
      <c r="G738" s="1"/>
      <c r="H738" s="1"/>
      <c r="I738" s="1"/>
      <c r="J738" s="1"/>
      <c r="K738" s="1"/>
      <c r="L738" s="1"/>
      <c r="M738" s="1"/>
      <c r="N738" s="1"/>
      <c r="O738" s="1"/>
      <c r="P738" s="1"/>
      <c r="Q738" s="1"/>
      <c r="R738" s="1"/>
      <c r="S738" s="1"/>
      <c r="T738" s="1"/>
    </row>
    <row r="739" ht="14.25" customHeight="1">
      <c r="A739" s="52"/>
      <c r="B739" s="53"/>
      <c r="C739" s="53"/>
      <c r="D739" s="53"/>
      <c r="E739" s="53"/>
      <c r="F739" s="53"/>
      <c r="G739" s="1"/>
      <c r="H739" s="1"/>
      <c r="I739" s="1"/>
      <c r="J739" s="1"/>
      <c r="K739" s="1"/>
      <c r="L739" s="1"/>
      <c r="M739" s="1"/>
      <c r="N739" s="1"/>
      <c r="O739" s="1"/>
      <c r="P739" s="1"/>
      <c r="Q739" s="1"/>
      <c r="R739" s="1"/>
      <c r="S739" s="1"/>
      <c r="T739" s="1"/>
    </row>
    <row r="740" ht="14.25" customHeight="1">
      <c r="A740" s="52"/>
      <c r="B740" s="53"/>
      <c r="C740" s="53"/>
      <c r="D740" s="53"/>
      <c r="E740" s="53"/>
      <c r="F740" s="53"/>
      <c r="G740" s="1"/>
      <c r="H740" s="1"/>
      <c r="I740" s="1"/>
      <c r="J740" s="1"/>
      <c r="K740" s="1"/>
      <c r="L740" s="1"/>
      <c r="M740" s="1"/>
      <c r="N740" s="1"/>
      <c r="O740" s="1"/>
      <c r="P740" s="1"/>
      <c r="Q740" s="1"/>
      <c r="R740" s="1"/>
      <c r="S740" s="1"/>
      <c r="T740" s="1"/>
    </row>
    <row r="741" ht="14.25" customHeight="1">
      <c r="A741" s="52"/>
      <c r="B741" s="53"/>
      <c r="C741" s="53"/>
      <c r="D741" s="53"/>
      <c r="E741" s="53"/>
      <c r="F741" s="53"/>
      <c r="G741" s="1"/>
      <c r="H741" s="1"/>
      <c r="I741" s="1"/>
      <c r="J741" s="1"/>
      <c r="K741" s="1"/>
      <c r="L741" s="1"/>
      <c r="M741" s="1"/>
      <c r="N741" s="1"/>
      <c r="O741" s="1"/>
      <c r="P741" s="1"/>
      <c r="Q741" s="1"/>
      <c r="R741" s="1"/>
      <c r="S741" s="1"/>
      <c r="T741" s="1"/>
    </row>
    <row r="742" ht="14.25" customHeight="1">
      <c r="A742" s="52"/>
      <c r="B742" s="53"/>
      <c r="C742" s="53"/>
      <c r="D742" s="53"/>
      <c r="E742" s="53"/>
      <c r="F742" s="53"/>
      <c r="G742" s="1"/>
      <c r="H742" s="1"/>
      <c r="I742" s="1"/>
      <c r="J742" s="1"/>
      <c r="K742" s="1"/>
      <c r="L742" s="1"/>
      <c r="M742" s="1"/>
      <c r="N742" s="1"/>
      <c r="O742" s="1"/>
      <c r="P742" s="1"/>
      <c r="Q742" s="1"/>
      <c r="R742" s="1"/>
      <c r="S742" s="1"/>
      <c r="T742" s="1"/>
    </row>
    <row r="743" ht="14.25" customHeight="1">
      <c r="A743" s="52"/>
      <c r="B743" s="53"/>
      <c r="C743" s="53"/>
      <c r="D743" s="53"/>
      <c r="E743" s="53"/>
      <c r="F743" s="53"/>
      <c r="G743" s="1"/>
      <c r="H743" s="1"/>
      <c r="I743" s="1"/>
      <c r="J743" s="1"/>
      <c r="K743" s="1"/>
      <c r="L743" s="1"/>
      <c r="M743" s="1"/>
      <c r="N743" s="1"/>
      <c r="O743" s="1"/>
      <c r="P743" s="1"/>
      <c r="Q743" s="1"/>
      <c r="R743" s="1"/>
      <c r="S743" s="1"/>
      <c r="T743" s="1"/>
    </row>
    <row r="744" ht="14.25" customHeight="1">
      <c r="A744" s="52"/>
      <c r="B744" s="53"/>
      <c r="C744" s="53"/>
      <c r="D744" s="53"/>
      <c r="E744" s="53"/>
      <c r="F744" s="53"/>
      <c r="G744" s="1"/>
      <c r="H744" s="1"/>
      <c r="I744" s="1"/>
      <c r="J744" s="1"/>
      <c r="K744" s="1"/>
      <c r="L744" s="1"/>
      <c r="M744" s="1"/>
      <c r="N744" s="1"/>
      <c r="O744" s="1"/>
      <c r="P744" s="1"/>
      <c r="Q744" s="1"/>
      <c r="R744" s="1"/>
      <c r="S744" s="1"/>
      <c r="T744" s="1"/>
    </row>
    <row r="745" ht="14.25" customHeight="1">
      <c r="A745" s="52"/>
      <c r="B745" s="53"/>
      <c r="C745" s="53"/>
      <c r="D745" s="53"/>
      <c r="E745" s="53"/>
      <c r="F745" s="53"/>
      <c r="G745" s="1"/>
      <c r="H745" s="1"/>
      <c r="I745" s="1"/>
      <c r="J745" s="1"/>
      <c r="K745" s="1"/>
      <c r="L745" s="1"/>
      <c r="M745" s="1"/>
      <c r="N745" s="1"/>
      <c r="O745" s="1"/>
      <c r="P745" s="1"/>
      <c r="Q745" s="1"/>
      <c r="R745" s="1"/>
      <c r="S745" s="1"/>
      <c r="T745" s="1"/>
    </row>
    <row r="746" ht="14.25" customHeight="1">
      <c r="A746" s="52"/>
      <c r="B746" s="53"/>
      <c r="C746" s="53"/>
      <c r="D746" s="53"/>
      <c r="E746" s="53"/>
      <c r="F746" s="53"/>
      <c r="G746" s="1"/>
      <c r="H746" s="1"/>
      <c r="I746" s="1"/>
      <c r="J746" s="1"/>
      <c r="K746" s="1"/>
      <c r="L746" s="1"/>
      <c r="M746" s="1"/>
      <c r="N746" s="1"/>
      <c r="O746" s="1"/>
      <c r="P746" s="1"/>
      <c r="Q746" s="1"/>
      <c r="R746" s="1"/>
      <c r="S746" s="1"/>
      <c r="T746" s="1"/>
    </row>
    <row r="747" ht="14.25" customHeight="1">
      <c r="A747" s="52"/>
      <c r="B747" s="53"/>
      <c r="C747" s="53"/>
      <c r="D747" s="53"/>
      <c r="E747" s="53"/>
      <c r="F747" s="53"/>
      <c r="G747" s="1"/>
      <c r="H747" s="1"/>
      <c r="I747" s="1"/>
      <c r="J747" s="1"/>
      <c r="K747" s="1"/>
      <c r="L747" s="1"/>
      <c r="M747" s="1"/>
      <c r="N747" s="1"/>
      <c r="O747" s="1"/>
      <c r="P747" s="1"/>
      <c r="Q747" s="1"/>
      <c r="R747" s="1"/>
      <c r="S747" s="1"/>
      <c r="T747" s="1"/>
    </row>
    <row r="748" ht="14.25" customHeight="1">
      <c r="A748" s="52"/>
      <c r="B748" s="53"/>
      <c r="C748" s="53"/>
      <c r="D748" s="53"/>
      <c r="E748" s="53"/>
      <c r="F748" s="53"/>
      <c r="G748" s="1"/>
      <c r="H748" s="1"/>
      <c r="I748" s="1"/>
      <c r="J748" s="1"/>
      <c r="K748" s="1"/>
      <c r="L748" s="1"/>
      <c r="M748" s="1"/>
      <c r="N748" s="1"/>
      <c r="O748" s="1"/>
      <c r="P748" s="1"/>
      <c r="Q748" s="1"/>
      <c r="R748" s="1"/>
      <c r="S748" s="1"/>
      <c r="T748" s="1"/>
    </row>
    <row r="749" ht="14.25" customHeight="1">
      <c r="A749" s="52"/>
      <c r="B749" s="53"/>
      <c r="C749" s="53"/>
      <c r="D749" s="53"/>
      <c r="E749" s="53"/>
      <c r="F749" s="53"/>
      <c r="G749" s="1"/>
      <c r="H749" s="1"/>
      <c r="I749" s="1"/>
      <c r="J749" s="1"/>
      <c r="K749" s="1"/>
      <c r="L749" s="1"/>
      <c r="M749" s="1"/>
      <c r="N749" s="1"/>
      <c r="O749" s="1"/>
      <c r="P749" s="1"/>
      <c r="Q749" s="1"/>
      <c r="R749" s="1"/>
      <c r="S749" s="1"/>
      <c r="T749" s="1"/>
    </row>
    <row r="750" ht="14.25" customHeight="1">
      <c r="A750" s="52"/>
      <c r="B750" s="53"/>
      <c r="C750" s="53"/>
      <c r="D750" s="53"/>
      <c r="E750" s="53"/>
      <c r="F750" s="53"/>
      <c r="G750" s="1"/>
      <c r="H750" s="1"/>
      <c r="I750" s="1"/>
      <c r="J750" s="1"/>
      <c r="K750" s="1"/>
      <c r="L750" s="1"/>
      <c r="M750" s="1"/>
      <c r="N750" s="1"/>
      <c r="O750" s="1"/>
      <c r="P750" s="1"/>
      <c r="Q750" s="1"/>
      <c r="R750" s="1"/>
      <c r="S750" s="1"/>
      <c r="T750" s="1"/>
    </row>
    <row r="751" ht="14.25" customHeight="1">
      <c r="A751" s="52"/>
      <c r="B751" s="53"/>
      <c r="C751" s="53"/>
      <c r="D751" s="53"/>
      <c r="E751" s="53"/>
      <c r="F751" s="53"/>
      <c r="G751" s="1"/>
      <c r="H751" s="1"/>
      <c r="I751" s="1"/>
      <c r="J751" s="1"/>
      <c r="K751" s="1"/>
      <c r="L751" s="1"/>
      <c r="M751" s="1"/>
      <c r="N751" s="1"/>
      <c r="O751" s="1"/>
      <c r="P751" s="1"/>
      <c r="Q751" s="1"/>
      <c r="R751" s="1"/>
      <c r="S751" s="1"/>
      <c r="T751" s="1"/>
    </row>
    <row r="752" ht="14.25" customHeight="1">
      <c r="A752" s="52"/>
      <c r="B752" s="53"/>
      <c r="C752" s="53"/>
      <c r="D752" s="53"/>
      <c r="E752" s="53"/>
      <c r="F752" s="53"/>
      <c r="G752" s="1"/>
      <c r="H752" s="1"/>
      <c r="I752" s="1"/>
      <c r="J752" s="1"/>
      <c r="K752" s="1"/>
      <c r="L752" s="1"/>
      <c r="M752" s="1"/>
      <c r="N752" s="1"/>
      <c r="O752" s="1"/>
      <c r="P752" s="1"/>
      <c r="Q752" s="1"/>
      <c r="R752" s="1"/>
      <c r="S752" s="1"/>
      <c r="T752" s="1"/>
    </row>
    <row r="753" ht="14.25" customHeight="1">
      <c r="A753" s="52"/>
      <c r="B753" s="53"/>
      <c r="C753" s="53"/>
      <c r="D753" s="53"/>
      <c r="E753" s="53"/>
      <c r="F753" s="53"/>
      <c r="G753" s="1"/>
      <c r="H753" s="1"/>
      <c r="I753" s="1"/>
      <c r="J753" s="1"/>
      <c r="K753" s="1"/>
      <c r="L753" s="1"/>
      <c r="M753" s="1"/>
      <c r="N753" s="1"/>
      <c r="O753" s="1"/>
      <c r="P753" s="1"/>
      <c r="Q753" s="1"/>
      <c r="R753" s="1"/>
      <c r="S753" s="1"/>
      <c r="T753" s="1"/>
    </row>
    <row r="754" ht="14.25" customHeight="1">
      <c r="A754" s="52"/>
      <c r="B754" s="53"/>
      <c r="C754" s="53"/>
      <c r="D754" s="53"/>
      <c r="E754" s="53"/>
      <c r="F754" s="53"/>
      <c r="G754" s="1"/>
      <c r="H754" s="1"/>
      <c r="I754" s="1"/>
      <c r="J754" s="1"/>
      <c r="K754" s="1"/>
      <c r="L754" s="1"/>
      <c r="M754" s="1"/>
      <c r="N754" s="1"/>
      <c r="O754" s="1"/>
      <c r="P754" s="1"/>
      <c r="Q754" s="1"/>
      <c r="R754" s="1"/>
      <c r="S754" s="1"/>
      <c r="T754" s="1"/>
    </row>
    <row r="755" ht="14.25" customHeight="1">
      <c r="A755" s="52"/>
      <c r="B755" s="53"/>
      <c r="C755" s="53"/>
      <c r="D755" s="53"/>
      <c r="E755" s="53"/>
      <c r="F755" s="53"/>
      <c r="G755" s="1"/>
      <c r="H755" s="1"/>
      <c r="I755" s="1"/>
      <c r="J755" s="1"/>
      <c r="K755" s="1"/>
      <c r="L755" s="1"/>
      <c r="M755" s="1"/>
      <c r="N755" s="1"/>
      <c r="O755" s="1"/>
      <c r="P755" s="1"/>
      <c r="Q755" s="1"/>
      <c r="R755" s="1"/>
      <c r="S755" s="1"/>
      <c r="T755" s="1"/>
    </row>
    <row r="756" ht="14.25" customHeight="1">
      <c r="A756" s="52"/>
      <c r="B756" s="53"/>
      <c r="C756" s="53"/>
      <c r="D756" s="53"/>
      <c r="E756" s="53"/>
      <c r="F756" s="53"/>
      <c r="G756" s="1"/>
      <c r="H756" s="1"/>
      <c r="I756" s="1"/>
      <c r="J756" s="1"/>
      <c r="K756" s="1"/>
      <c r="L756" s="1"/>
      <c r="M756" s="1"/>
      <c r="N756" s="1"/>
      <c r="O756" s="1"/>
      <c r="P756" s="1"/>
      <c r="Q756" s="1"/>
      <c r="R756" s="1"/>
      <c r="S756" s="1"/>
      <c r="T756" s="1"/>
    </row>
    <row r="757" ht="14.25" customHeight="1">
      <c r="A757" s="52"/>
      <c r="B757" s="53"/>
      <c r="C757" s="53"/>
      <c r="D757" s="53"/>
      <c r="E757" s="53"/>
      <c r="F757" s="53"/>
      <c r="G757" s="1"/>
      <c r="H757" s="1"/>
      <c r="I757" s="1"/>
      <c r="J757" s="1"/>
      <c r="K757" s="1"/>
      <c r="L757" s="1"/>
      <c r="M757" s="1"/>
      <c r="N757" s="1"/>
      <c r="O757" s="1"/>
      <c r="P757" s="1"/>
      <c r="Q757" s="1"/>
      <c r="R757" s="1"/>
      <c r="S757" s="1"/>
      <c r="T757" s="1"/>
    </row>
    <row r="758" ht="14.25" customHeight="1">
      <c r="A758" s="52"/>
      <c r="B758" s="53"/>
      <c r="C758" s="53"/>
      <c r="D758" s="53"/>
      <c r="E758" s="53"/>
      <c r="F758" s="53"/>
      <c r="G758" s="1"/>
      <c r="H758" s="1"/>
      <c r="I758" s="1"/>
      <c r="J758" s="1"/>
      <c r="K758" s="1"/>
      <c r="L758" s="1"/>
      <c r="M758" s="1"/>
      <c r="N758" s="1"/>
      <c r="O758" s="1"/>
      <c r="P758" s="1"/>
      <c r="Q758" s="1"/>
      <c r="R758" s="1"/>
      <c r="S758" s="1"/>
      <c r="T758" s="1"/>
    </row>
    <row r="759" ht="14.25" customHeight="1">
      <c r="A759" s="52"/>
      <c r="B759" s="53"/>
      <c r="C759" s="53"/>
      <c r="D759" s="53"/>
      <c r="E759" s="53"/>
      <c r="F759" s="53"/>
      <c r="G759" s="1"/>
      <c r="H759" s="1"/>
      <c r="I759" s="1"/>
      <c r="J759" s="1"/>
      <c r="K759" s="1"/>
      <c r="L759" s="1"/>
      <c r="M759" s="1"/>
      <c r="N759" s="1"/>
      <c r="O759" s="1"/>
      <c r="P759" s="1"/>
      <c r="Q759" s="1"/>
      <c r="R759" s="1"/>
      <c r="S759" s="1"/>
      <c r="T759" s="1"/>
    </row>
    <row r="760" ht="14.25" customHeight="1">
      <c r="A760" s="52"/>
      <c r="B760" s="53"/>
      <c r="C760" s="53"/>
      <c r="D760" s="53"/>
      <c r="E760" s="53"/>
      <c r="F760" s="53"/>
      <c r="G760" s="1"/>
      <c r="H760" s="1"/>
      <c r="I760" s="1"/>
      <c r="J760" s="1"/>
      <c r="K760" s="1"/>
      <c r="L760" s="1"/>
      <c r="M760" s="1"/>
      <c r="N760" s="1"/>
      <c r="O760" s="1"/>
      <c r="P760" s="1"/>
      <c r="Q760" s="1"/>
      <c r="R760" s="1"/>
      <c r="S760" s="1"/>
      <c r="T760" s="1"/>
    </row>
    <row r="761" ht="14.25" customHeight="1">
      <c r="A761" s="52"/>
      <c r="B761" s="53"/>
      <c r="C761" s="53"/>
      <c r="D761" s="53"/>
      <c r="E761" s="53"/>
      <c r="F761" s="53"/>
      <c r="G761" s="1"/>
      <c r="H761" s="1"/>
      <c r="I761" s="1"/>
      <c r="J761" s="1"/>
      <c r="K761" s="1"/>
      <c r="L761" s="1"/>
      <c r="M761" s="1"/>
      <c r="N761" s="1"/>
      <c r="O761" s="1"/>
      <c r="P761" s="1"/>
      <c r="Q761" s="1"/>
      <c r="R761" s="1"/>
      <c r="S761" s="1"/>
      <c r="T761" s="1"/>
    </row>
    <row r="762" ht="14.25" customHeight="1">
      <c r="A762" s="52"/>
      <c r="B762" s="53"/>
      <c r="C762" s="53"/>
      <c r="D762" s="53"/>
      <c r="E762" s="53"/>
      <c r="F762" s="53"/>
      <c r="G762" s="1"/>
      <c r="H762" s="1"/>
      <c r="I762" s="1"/>
      <c r="J762" s="1"/>
      <c r="K762" s="1"/>
      <c r="L762" s="1"/>
      <c r="M762" s="1"/>
      <c r="N762" s="1"/>
      <c r="O762" s="1"/>
      <c r="P762" s="1"/>
      <c r="Q762" s="1"/>
      <c r="R762" s="1"/>
      <c r="S762" s="1"/>
      <c r="T762" s="1"/>
    </row>
    <row r="763" ht="14.25" customHeight="1">
      <c r="A763" s="52"/>
      <c r="B763" s="53"/>
      <c r="C763" s="53"/>
      <c r="D763" s="53"/>
      <c r="E763" s="53"/>
      <c r="F763" s="53"/>
      <c r="G763" s="1"/>
      <c r="H763" s="1"/>
      <c r="I763" s="1"/>
      <c r="J763" s="1"/>
      <c r="K763" s="1"/>
      <c r="L763" s="1"/>
      <c r="M763" s="1"/>
      <c r="N763" s="1"/>
      <c r="O763" s="1"/>
      <c r="P763" s="1"/>
      <c r="Q763" s="1"/>
      <c r="R763" s="1"/>
      <c r="S763" s="1"/>
      <c r="T763" s="1"/>
    </row>
    <row r="764" ht="14.25" customHeight="1">
      <c r="A764" s="52"/>
      <c r="B764" s="53"/>
      <c r="C764" s="53"/>
      <c r="D764" s="53"/>
      <c r="E764" s="53"/>
      <c r="F764" s="53"/>
      <c r="G764" s="1"/>
      <c r="H764" s="1"/>
      <c r="I764" s="1"/>
      <c r="J764" s="1"/>
      <c r="K764" s="1"/>
      <c r="L764" s="1"/>
      <c r="M764" s="1"/>
      <c r="N764" s="1"/>
      <c r="O764" s="1"/>
      <c r="P764" s="1"/>
      <c r="Q764" s="1"/>
      <c r="R764" s="1"/>
      <c r="S764" s="1"/>
      <c r="T764" s="1"/>
    </row>
    <row r="765" ht="14.25" customHeight="1">
      <c r="A765" s="52"/>
      <c r="B765" s="53"/>
      <c r="C765" s="53"/>
      <c r="D765" s="53"/>
      <c r="E765" s="53"/>
      <c r="F765" s="53"/>
      <c r="G765" s="1"/>
      <c r="H765" s="1"/>
      <c r="I765" s="1"/>
      <c r="J765" s="1"/>
      <c r="K765" s="1"/>
      <c r="L765" s="1"/>
      <c r="M765" s="1"/>
      <c r="N765" s="1"/>
      <c r="O765" s="1"/>
      <c r="P765" s="1"/>
      <c r="Q765" s="1"/>
      <c r="R765" s="1"/>
      <c r="S765" s="1"/>
      <c r="T765" s="1"/>
    </row>
    <row r="766" ht="14.25" customHeight="1">
      <c r="A766" s="52"/>
      <c r="B766" s="53"/>
      <c r="C766" s="53"/>
      <c r="D766" s="53"/>
      <c r="E766" s="53"/>
      <c r="F766" s="53"/>
      <c r="G766" s="1"/>
      <c r="H766" s="1"/>
      <c r="I766" s="1"/>
      <c r="J766" s="1"/>
      <c r="K766" s="1"/>
      <c r="L766" s="1"/>
      <c r="M766" s="1"/>
      <c r="N766" s="1"/>
      <c r="O766" s="1"/>
      <c r="P766" s="1"/>
      <c r="Q766" s="1"/>
      <c r="R766" s="1"/>
      <c r="S766" s="1"/>
      <c r="T766" s="1"/>
    </row>
    <row r="767" ht="14.25" customHeight="1">
      <c r="A767" s="52"/>
      <c r="B767" s="53"/>
      <c r="C767" s="53"/>
      <c r="D767" s="53"/>
      <c r="E767" s="53"/>
      <c r="F767" s="53"/>
      <c r="G767" s="1"/>
      <c r="H767" s="1"/>
      <c r="I767" s="1"/>
      <c r="J767" s="1"/>
      <c r="K767" s="1"/>
      <c r="L767" s="1"/>
      <c r="M767" s="1"/>
      <c r="N767" s="1"/>
      <c r="O767" s="1"/>
      <c r="P767" s="1"/>
      <c r="Q767" s="1"/>
      <c r="R767" s="1"/>
      <c r="S767" s="1"/>
      <c r="T767" s="1"/>
    </row>
    <row r="768" ht="14.25" customHeight="1">
      <c r="A768" s="52"/>
      <c r="B768" s="53"/>
      <c r="C768" s="53"/>
      <c r="D768" s="53"/>
      <c r="E768" s="53"/>
      <c r="F768" s="53"/>
      <c r="G768" s="1"/>
      <c r="H768" s="1"/>
      <c r="I768" s="1"/>
      <c r="J768" s="1"/>
      <c r="K768" s="1"/>
      <c r="L768" s="1"/>
      <c r="M768" s="1"/>
      <c r="N768" s="1"/>
      <c r="O768" s="1"/>
      <c r="P768" s="1"/>
      <c r="Q768" s="1"/>
      <c r="R768" s="1"/>
      <c r="S768" s="1"/>
      <c r="T768" s="1"/>
    </row>
    <row r="769" ht="14.25" customHeight="1">
      <c r="A769" s="52"/>
      <c r="B769" s="53"/>
      <c r="C769" s="53"/>
      <c r="D769" s="53"/>
      <c r="E769" s="53"/>
      <c r="F769" s="53"/>
      <c r="G769" s="1"/>
      <c r="H769" s="1"/>
      <c r="I769" s="1"/>
      <c r="J769" s="1"/>
      <c r="K769" s="1"/>
      <c r="L769" s="1"/>
      <c r="M769" s="1"/>
      <c r="N769" s="1"/>
      <c r="O769" s="1"/>
      <c r="P769" s="1"/>
      <c r="Q769" s="1"/>
      <c r="R769" s="1"/>
      <c r="S769" s="1"/>
      <c r="T769" s="1"/>
    </row>
    <row r="770" ht="14.25" customHeight="1">
      <c r="A770" s="52"/>
      <c r="B770" s="53"/>
      <c r="C770" s="53"/>
      <c r="D770" s="53"/>
      <c r="E770" s="53"/>
      <c r="F770" s="53"/>
      <c r="G770" s="1"/>
      <c r="H770" s="1"/>
      <c r="I770" s="1"/>
      <c r="J770" s="1"/>
      <c r="K770" s="1"/>
      <c r="L770" s="1"/>
      <c r="M770" s="1"/>
      <c r="N770" s="1"/>
      <c r="O770" s="1"/>
      <c r="P770" s="1"/>
      <c r="Q770" s="1"/>
      <c r="R770" s="1"/>
      <c r="S770" s="1"/>
      <c r="T770" s="1"/>
    </row>
    <row r="771" ht="14.25" customHeight="1">
      <c r="A771" s="52"/>
      <c r="B771" s="53"/>
      <c r="C771" s="53"/>
      <c r="D771" s="53"/>
      <c r="E771" s="53"/>
      <c r="F771" s="53"/>
      <c r="G771" s="1"/>
      <c r="H771" s="1"/>
      <c r="I771" s="1"/>
      <c r="J771" s="1"/>
      <c r="K771" s="1"/>
      <c r="L771" s="1"/>
      <c r="M771" s="1"/>
      <c r="N771" s="1"/>
      <c r="O771" s="1"/>
      <c r="P771" s="1"/>
      <c r="Q771" s="1"/>
      <c r="R771" s="1"/>
      <c r="S771" s="1"/>
      <c r="T771" s="1"/>
    </row>
    <row r="772" ht="14.25" customHeight="1">
      <c r="A772" s="52"/>
      <c r="B772" s="53"/>
      <c r="C772" s="53"/>
      <c r="D772" s="53"/>
      <c r="E772" s="53"/>
      <c r="F772" s="53"/>
      <c r="G772" s="1"/>
      <c r="H772" s="1"/>
      <c r="I772" s="1"/>
      <c r="J772" s="1"/>
      <c r="K772" s="1"/>
      <c r="L772" s="1"/>
      <c r="M772" s="1"/>
      <c r="N772" s="1"/>
      <c r="O772" s="1"/>
      <c r="P772" s="1"/>
      <c r="Q772" s="1"/>
      <c r="R772" s="1"/>
      <c r="S772" s="1"/>
      <c r="T772" s="1"/>
    </row>
    <row r="773" ht="14.25" customHeight="1">
      <c r="A773" s="52"/>
      <c r="B773" s="53"/>
      <c r="C773" s="53"/>
      <c r="D773" s="53"/>
      <c r="E773" s="53"/>
      <c r="F773" s="53"/>
      <c r="G773" s="1"/>
      <c r="H773" s="1"/>
      <c r="I773" s="1"/>
      <c r="J773" s="1"/>
      <c r="K773" s="1"/>
      <c r="L773" s="1"/>
      <c r="M773" s="1"/>
      <c r="N773" s="1"/>
      <c r="O773" s="1"/>
      <c r="P773" s="1"/>
      <c r="Q773" s="1"/>
      <c r="R773" s="1"/>
      <c r="S773" s="1"/>
      <c r="T773" s="1"/>
    </row>
    <row r="774" ht="14.25" customHeight="1">
      <c r="A774" s="52"/>
      <c r="B774" s="53"/>
      <c r="C774" s="53"/>
      <c r="D774" s="53"/>
      <c r="E774" s="53"/>
      <c r="F774" s="53"/>
      <c r="G774" s="1"/>
      <c r="H774" s="1"/>
      <c r="I774" s="1"/>
      <c r="J774" s="1"/>
      <c r="K774" s="1"/>
      <c r="L774" s="1"/>
      <c r="M774" s="1"/>
      <c r="N774" s="1"/>
      <c r="O774" s="1"/>
      <c r="P774" s="1"/>
      <c r="Q774" s="1"/>
      <c r="R774" s="1"/>
      <c r="S774" s="1"/>
      <c r="T774" s="1"/>
    </row>
    <row r="775" ht="14.25" customHeight="1">
      <c r="A775" s="52"/>
      <c r="B775" s="53"/>
      <c r="C775" s="53"/>
      <c r="D775" s="53"/>
      <c r="E775" s="53"/>
      <c r="F775" s="53"/>
      <c r="G775" s="1"/>
      <c r="H775" s="1"/>
      <c r="I775" s="1"/>
      <c r="J775" s="1"/>
      <c r="K775" s="1"/>
      <c r="L775" s="1"/>
      <c r="M775" s="1"/>
      <c r="N775" s="1"/>
      <c r="O775" s="1"/>
      <c r="P775" s="1"/>
      <c r="Q775" s="1"/>
      <c r="R775" s="1"/>
      <c r="S775" s="1"/>
      <c r="T775" s="1"/>
    </row>
    <row r="776" ht="14.25" customHeight="1">
      <c r="A776" s="52"/>
      <c r="B776" s="53"/>
      <c r="C776" s="53"/>
      <c r="D776" s="53"/>
      <c r="E776" s="53"/>
      <c r="F776" s="53"/>
      <c r="G776" s="1"/>
      <c r="H776" s="1"/>
      <c r="I776" s="1"/>
      <c r="J776" s="1"/>
      <c r="K776" s="1"/>
      <c r="L776" s="1"/>
      <c r="M776" s="1"/>
      <c r="N776" s="1"/>
      <c r="O776" s="1"/>
      <c r="P776" s="1"/>
      <c r="Q776" s="1"/>
      <c r="R776" s="1"/>
      <c r="S776" s="1"/>
      <c r="T776" s="1"/>
    </row>
    <row r="777" ht="14.25" customHeight="1">
      <c r="A777" s="52"/>
      <c r="B777" s="53"/>
      <c r="C777" s="53"/>
      <c r="D777" s="53"/>
      <c r="E777" s="53"/>
      <c r="F777" s="53"/>
      <c r="G777" s="1"/>
      <c r="H777" s="1"/>
      <c r="I777" s="1"/>
      <c r="J777" s="1"/>
      <c r="K777" s="1"/>
      <c r="L777" s="1"/>
      <c r="M777" s="1"/>
      <c r="N777" s="1"/>
      <c r="O777" s="1"/>
      <c r="P777" s="1"/>
      <c r="Q777" s="1"/>
      <c r="R777" s="1"/>
      <c r="S777" s="1"/>
      <c r="T777" s="1"/>
    </row>
    <row r="778" ht="14.25" customHeight="1">
      <c r="A778" s="52"/>
      <c r="B778" s="53"/>
      <c r="C778" s="53"/>
      <c r="D778" s="53"/>
      <c r="E778" s="53"/>
      <c r="F778" s="53"/>
      <c r="G778" s="1"/>
      <c r="H778" s="1"/>
      <c r="I778" s="1"/>
      <c r="J778" s="1"/>
      <c r="K778" s="1"/>
      <c r="L778" s="1"/>
      <c r="M778" s="1"/>
      <c r="N778" s="1"/>
      <c r="O778" s="1"/>
      <c r="P778" s="1"/>
      <c r="Q778" s="1"/>
      <c r="R778" s="1"/>
      <c r="S778" s="1"/>
      <c r="T778" s="1"/>
    </row>
    <row r="779" ht="14.25" customHeight="1">
      <c r="A779" s="52"/>
      <c r="B779" s="53"/>
      <c r="C779" s="53"/>
      <c r="D779" s="53"/>
      <c r="E779" s="53"/>
      <c r="F779" s="53"/>
      <c r="G779" s="1"/>
      <c r="H779" s="1"/>
      <c r="I779" s="1"/>
      <c r="J779" s="1"/>
      <c r="K779" s="1"/>
      <c r="L779" s="1"/>
      <c r="M779" s="1"/>
      <c r="N779" s="1"/>
      <c r="O779" s="1"/>
      <c r="P779" s="1"/>
      <c r="Q779" s="1"/>
      <c r="R779" s="1"/>
      <c r="S779" s="1"/>
      <c r="T779" s="1"/>
    </row>
    <row r="780" ht="14.25" customHeight="1">
      <c r="A780" s="52"/>
      <c r="B780" s="53"/>
      <c r="C780" s="53"/>
      <c r="D780" s="53"/>
      <c r="E780" s="53"/>
      <c r="F780" s="53"/>
      <c r="G780" s="1"/>
      <c r="H780" s="1"/>
      <c r="I780" s="1"/>
      <c r="J780" s="1"/>
      <c r="K780" s="1"/>
      <c r="L780" s="1"/>
      <c r="M780" s="1"/>
      <c r="N780" s="1"/>
      <c r="O780" s="1"/>
      <c r="P780" s="1"/>
      <c r="Q780" s="1"/>
      <c r="R780" s="1"/>
      <c r="S780" s="1"/>
      <c r="T780" s="1"/>
    </row>
    <row r="781" ht="14.25" customHeight="1">
      <c r="A781" s="52"/>
      <c r="B781" s="53"/>
      <c r="C781" s="53"/>
      <c r="D781" s="53"/>
      <c r="E781" s="53"/>
      <c r="F781" s="53"/>
      <c r="G781" s="1"/>
      <c r="H781" s="1"/>
      <c r="I781" s="1"/>
      <c r="J781" s="1"/>
      <c r="K781" s="1"/>
      <c r="L781" s="1"/>
      <c r="M781" s="1"/>
      <c r="N781" s="1"/>
      <c r="O781" s="1"/>
      <c r="P781" s="1"/>
      <c r="Q781" s="1"/>
      <c r="R781" s="1"/>
      <c r="S781" s="1"/>
      <c r="T781" s="1"/>
    </row>
    <row r="782" ht="14.25" customHeight="1">
      <c r="A782" s="52"/>
      <c r="B782" s="53"/>
      <c r="C782" s="53"/>
      <c r="D782" s="53"/>
      <c r="E782" s="53"/>
      <c r="F782" s="53"/>
      <c r="G782" s="1"/>
      <c r="H782" s="1"/>
      <c r="I782" s="1"/>
      <c r="J782" s="1"/>
      <c r="K782" s="1"/>
      <c r="L782" s="1"/>
      <c r="M782" s="1"/>
      <c r="N782" s="1"/>
      <c r="O782" s="1"/>
      <c r="P782" s="1"/>
      <c r="Q782" s="1"/>
      <c r="R782" s="1"/>
      <c r="S782" s="1"/>
      <c r="T782" s="1"/>
    </row>
    <row r="783" ht="14.25" customHeight="1">
      <c r="A783" s="52"/>
      <c r="B783" s="53"/>
      <c r="C783" s="53"/>
      <c r="D783" s="53"/>
      <c r="E783" s="53"/>
      <c r="F783" s="53"/>
      <c r="G783" s="1"/>
      <c r="H783" s="1"/>
      <c r="I783" s="1"/>
      <c r="J783" s="1"/>
      <c r="K783" s="1"/>
      <c r="L783" s="1"/>
      <c r="M783" s="1"/>
      <c r="N783" s="1"/>
      <c r="O783" s="1"/>
      <c r="P783" s="1"/>
      <c r="Q783" s="1"/>
      <c r="R783" s="1"/>
      <c r="S783" s="1"/>
      <c r="T783" s="1"/>
    </row>
    <row r="784" ht="14.25" customHeight="1">
      <c r="A784" s="52"/>
      <c r="B784" s="53"/>
      <c r="C784" s="53"/>
      <c r="D784" s="53"/>
      <c r="E784" s="53"/>
      <c r="F784" s="53"/>
      <c r="G784" s="1"/>
      <c r="H784" s="1"/>
      <c r="I784" s="1"/>
      <c r="J784" s="1"/>
      <c r="K784" s="1"/>
      <c r="L784" s="1"/>
      <c r="M784" s="1"/>
      <c r="N784" s="1"/>
      <c r="O784" s="1"/>
      <c r="P784" s="1"/>
      <c r="Q784" s="1"/>
      <c r="R784" s="1"/>
      <c r="S784" s="1"/>
      <c r="T784" s="1"/>
    </row>
    <row r="785" ht="14.25" customHeight="1">
      <c r="A785" s="52"/>
      <c r="B785" s="53"/>
      <c r="C785" s="53"/>
      <c r="D785" s="53"/>
      <c r="E785" s="53"/>
      <c r="F785" s="53"/>
      <c r="G785" s="1"/>
      <c r="H785" s="1"/>
      <c r="I785" s="1"/>
      <c r="J785" s="1"/>
      <c r="K785" s="1"/>
      <c r="L785" s="1"/>
      <c r="M785" s="1"/>
      <c r="N785" s="1"/>
      <c r="O785" s="1"/>
      <c r="P785" s="1"/>
      <c r="Q785" s="1"/>
      <c r="R785" s="1"/>
      <c r="S785" s="1"/>
      <c r="T785" s="1"/>
    </row>
    <row r="786" ht="14.25" customHeight="1">
      <c r="A786" s="52"/>
      <c r="B786" s="53"/>
      <c r="C786" s="53"/>
      <c r="D786" s="53"/>
      <c r="E786" s="53"/>
      <c r="F786" s="53"/>
      <c r="G786" s="1"/>
      <c r="H786" s="1"/>
      <c r="I786" s="1"/>
      <c r="J786" s="1"/>
      <c r="K786" s="1"/>
      <c r="L786" s="1"/>
      <c r="M786" s="1"/>
      <c r="N786" s="1"/>
      <c r="O786" s="1"/>
      <c r="P786" s="1"/>
      <c r="Q786" s="1"/>
      <c r="R786" s="1"/>
      <c r="S786" s="1"/>
      <c r="T786" s="1"/>
    </row>
    <row r="787" ht="14.25" customHeight="1">
      <c r="A787" s="52"/>
      <c r="B787" s="53"/>
      <c r="C787" s="53"/>
      <c r="D787" s="53"/>
      <c r="E787" s="53"/>
      <c r="F787" s="53"/>
      <c r="G787" s="1"/>
      <c r="H787" s="1"/>
      <c r="I787" s="1"/>
      <c r="J787" s="1"/>
      <c r="K787" s="1"/>
      <c r="L787" s="1"/>
      <c r="M787" s="1"/>
      <c r="N787" s="1"/>
      <c r="O787" s="1"/>
      <c r="P787" s="1"/>
      <c r="Q787" s="1"/>
      <c r="R787" s="1"/>
      <c r="S787" s="1"/>
      <c r="T787" s="1"/>
    </row>
    <row r="788" ht="14.25" customHeight="1">
      <c r="A788" s="52"/>
      <c r="B788" s="53"/>
      <c r="C788" s="53"/>
      <c r="D788" s="53"/>
      <c r="E788" s="53"/>
      <c r="F788" s="53"/>
      <c r="G788" s="1"/>
      <c r="H788" s="1"/>
      <c r="I788" s="1"/>
      <c r="J788" s="1"/>
      <c r="K788" s="1"/>
      <c r="L788" s="1"/>
      <c r="M788" s="1"/>
      <c r="N788" s="1"/>
      <c r="O788" s="1"/>
      <c r="P788" s="1"/>
      <c r="Q788" s="1"/>
      <c r="R788" s="1"/>
      <c r="S788" s="1"/>
      <c r="T788" s="1"/>
    </row>
    <row r="789" ht="14.25" customHeight="1">
      <c r="A789" s="52"/>
      <c r="B789" s="53"/>
      <c r="C789" s="53"/>
      <c r="D789" s="53"/>
      <c r="E789" s="53"/>
      <c r="F789" s="53"/>
      <c r="G789" s="1"/>
      <c r="H789" s="1"/>
      <c r="I789" s="1"/>
      <c r="J789" s="1"/>
      <c r="K789" s="1"/>
      <c r="L789" s="1"/>
      <c r="M789" s="1"/>
      <c r="N789" s="1"/>
      <c r="O789" s="1"/>
      <c r="P789" s="1"/>
      <c r="Q789" s="1"/>
      <c r="R789" s="1"/>
      <c r="S789" s="1"/>
      <c r="T789" s="1"/>
    </row>
    <row r="790" ht="14.25" customHeight="1">
      <c r="A790" s="52"/>
      <c r="B790" s="53"/>
      <c r="C790" s="53"/>
      <c r="D790" s="53"/>
      <c r="E790" s="53"/>
      <c r="F790" s="53"/>
      <c r="G790" s="1"/>
      <c r="H790" s="1"/>
      <c r="I790" s="1"/>
      <c r="J790" s="1"/>
      <c r="K790" s="1"/>
      <c r="L790" s="1"/>
      <c r="M790" s="1"/>
      <c r="N790" s="1"/>
      <c r="O790" s="1"/>
      <c r="P790" s="1"/>
      <c r="Q790" s="1"/>
      <c r="R790" s="1"/>
      <c r="S790" s="1"/>
      <c r="T790" s="1"/>
    </row>
    <row r="791" ht="14.25" customHeight="1">
      <c r="A791" s="52"/>
      <c r="B791" s="53"/>
      <c r="C791" s="53"/>
      <c r="D791" s="53"/>
      <c r="E791" s="53"/>
      <c r="F791" s="53"/>
      <c r="G791" s="1"/>
      <c r="H791" s="1"/>
      <c r="I791" s="1"/>
      <c r="J791" s="1"/>
      <c r="K791" s="1"/>
      <c r="L791" s="1"/>
      <c r="M791" s="1"/>
      <c r="N791" s="1"/>
      <c r="O791" s="1"/>
      <c r="P791" s="1"/>
      <c r="Q791" s="1"/>
      <c r="R791" s="1"/>
      <c r="S791" s="1"/>
      <c r="T791" s="1"/>
    </row>
    <row r="792" ht="14.25" customHeight="1">
      <c r="A792" s="52"/>
      <c r="B792" s="53"/>
      <c r="C792" s="53"/>
      <c r="D792" s="53"/>
      <c r="E792" s="53"/>
      <c r="F792" s="53"/>
      <c r="G792" s="1"/>
      <c r="H792" s="1"/>
      <c r="I792" s="1"/>
      <c r="J792" s="1"/>
      <c r="K792" s="1"/>
      <c r="L792" s="1"/>
      <c r="M792" s="1"/>
      <c r="N792" s="1"/>
      <c r="O792" s="1"/>
      <c r="P792" s="1"/>
      <c r="Q792" s="1"/>
      <c r="R792" s="1"/>
      <c r="S792" s="1"/>
      <c r="T792" s="1"/>
    </row>
    <row r="793" ht="14.25" customHeight="1">
      <c r="A793" s="52"/>
      <c r="B793" s="53"/>
      <c r="C793" s="53"/>
      <c r="D793" s="53"/>
      <c r="E793" s="53"/>
      <c r="F793" s="53"/>
      <c r="G793" s="1"/>
      <c r="H793" s="1"/>
      <c r="I793" s="1"/>
      <c r="J793" s="1"/>
      <c r="K793" s="1"/>
      <c r="L793" s="1"/>
      <c r="M793" s="1"/>
      <c r="N793" s="1"/>
      <c r="O793" s="1"/>
      <c r="P793" s="1"/>
      <c r="Q793" s="1"/>
      <c r="R793" s="1"/>
      <c r="S793" s="1"/>
      <c r="T793" s="1"/>
    </row>
    <row r="794" ht="14.25" customHeight="1">
      <c r="A794" s="52"/>
      <c r="B794" s="53"/>
      <c r="C794" s="53"/>
      <c r="D794" s="53"/>
      <c r="E794" s="53"/>
      <c r="F794" s="53"/>
      <c r="G794" s="1"/>
      <c r="H794" s="1"/>
      <c r="I794" s="1"/>
      <c r="J794" s="1"/>
      <c r="K794" s="1"/>
      <c r="L794" s="1"/>
      <c r="M794" s="1"/>
      <c r="N794" s="1"/>
      <c r="O794" s="1"/>
      <c r="P794" s="1"/>
      <c r="Q794" s="1"/>
      <c r="R794" s="1"/>
      <c r="S794" s="1"/>
      <c r="T794" s="1"/>
    </row>
    <row r="795" ht="14.25" customHeight="1">
      <c r="A795" s="52"/>
      <c r="B795" s="53"/>
      <c r="C795" s="53"/>
      <c r="D795" s="53"/>
      <c r="E795" s="53"/>
      <c r="F795" s="53"/>
      <c r="G795" s="1"/>
      <c r="H795" s="1"/>
      <c r="I795" s="1"/>
      <c r="J795" s="1"/>
      <c r="K795" s="1"/>
      <c r="L795" s="1"/>
      <c r="M795" s="1"/>
      <c r="N795" s="1"/>
      <c r="O795" s="1"/>
      <c r="P795" s="1"/>
      <c r="Q795" s="1"/>
      <c r="R795" s="1"/>
      <c r="S795" s="1"/>
      <c r="T795" s="1"/>
    </row>
    <row r="796" ht="14.25" customHeight="1">
      <c r="A796" s="52"/>
      <c r="B796" s="53"/>
      <c r="C796" s="53"/>
      <c r="D796" s="53"/>
      <c r="E796" s="53"/>
      <c r="F796" s="53"/>
      <c r="G796" s="1"/>
      <c r="H796" s="1"/>
      <c r="I796" s="1"/>
      <c r="J796" s="1"/>
      <c r="K796" s="1"/>
      <c r="L796" s="1"/>
      <c r="M796" s="1"/>
      <c r="N796" s="1"/>
      <c r="O796" s="1"/>
      <c r="P796" s="1"/>
      <c r="Q796" s="1"/>
      <c r="R796" s="1"/>
      <c r="S796" s="1"/>
      <c r="T796" s="1"/>
    </row>
    <row r="797" ht="14.25" customHeight="1">
      <c r="A797" s="52"/>
      <c r="B797" s="53"/>
      <c r="C797" s="53"/>
      <c r="D797" s="53"/>
      <c r="E797" s="53"/>
      <c r="F797" s="53"/>
      <c r="G797" s="1"/>
      <c r="H797" s="1"/>
      <c r="I797" s="1"/>
      <c r="J797" s="1"/>
      <c r="K797" s="1"/>
      <c r="L797" s="1"/>
      <c r="M797" s="1"/>
      <c r="N797" s="1"/>
      <c r="O797" s="1"/>
      <c r="P797" s="1"/>
      <c r="Q797" s="1"/>
      <c r="R797" s="1"/>
      <c r="S797" s="1"/>
      <c r="T797" s="1"/>
    </row>
    <row r="798" ht="14.25" customHeight="1">
      <c r="A798" s="52"/>
      <c r="B798" s="53"/>
      <c r="C798" s="53"/>
      <c r="D798" s="53"/>
      <c r="E798" s="53"/>
      <c r="F798" s="53"/>
      <c r="G798" s="1"/>
      <c r="H798" s="1"/>
      <c r="I798" s="1"/>
      <c r="J798" s="1"/>
      <c r="K798" s="1"/>
      <c r="L798" s="1"/>
      <c r="M798" s="1"/>
      <c r="N798" s="1"/>
      <c r="O798" s="1"/>
      <c r="P798" s="1"/>
      <c r="Q798" s="1"/>
      <c r="R798" s="1"/>
      <c r="S798" s="1"/>
      <c r="T798" s="1"/>
    </row>
    <row r="799" ht="14.25" customHeight="1">
      <c r="A799" s="52"/>
      <c r="B799" s="53"/>
      <c r="C799" s="53"/>
      <c r="D799" s="53"/>
      <c r="E799" s="53"/>
      <c r="F799" s="53"/>
      <c r="G799" s="1"/>
      <c r="H799" s="1"/>
      <c r="I799" s="1"/>
      <c r="J799" s="1"/>
      <c r="K799" s="1"/>
      <c r="L799" s="1"/>
      <c r="M799" s="1"/>
      <c r="N799" s="1"/>
      <c r="O799" s="1"/>
      <c r="P799" s="1"/>
      <c r="Q799" s="1"/>
      <c r="R799" s="1"/>
      <c r="S799" s="1"/>
      <c r="T799" s="1"/>
    </row>
    <row r="800" ht="14.25" customHeight="1">
      <c r="A800" s="52"/>
      <c r="B800" s="53"/>
      <c r="C800" s="53"/>
      <c r="D800" s="53"/>
      <c r="E800" s="53"/>
      <c r="F800" s="53"/>
      <c r="G800" s="1"/>
      <c r="H800" s="1"/>
      <c r="I800" s="1"/>
      <c r="J800" s="1"/>
      <c r="K800" s="1"/>
      <c r="L800" s="1"/>
      <c r="M800" s="1"/>
      <c r="N800" s="1"/>
      <c r="O800" s="1"/>
      <c r="P800" s="1"/>
      <c r="Q800" s="1"/>
      <c r="R800" s="1"/>
      <c r="S800" s="1"/>
      <c r="T800" s="1"/>
    </row>
    <row r="801" ht="14.25" customHeight="1">
      <c r="A801" s="52"/>
      <c r="B801" s="53"/>
      <c r="C801" s="53"/>
      <c r="D801" s="53"/>
      <c r="E801" s="53"/>
      <c r="F801" s="53"/>
      <c r="G801" s="1"/>
      <c r="H801" s="1"/>
      <c r="I801" s="1"/>
      <c r="J801" s="1"/>
      <c r="K801" s="1"/>
      <c r="L801" s="1"/>
      <c r="M801" s="1"/>
      <c r="N801" s="1"/>
      <c r="O801" s="1"/>
      <c r="P801" s="1"/>
      <c r="Q801" s="1"/>
      <c r="R801" s="1"/>
      <c r="S801" s="1"/>
      <c r="T801" s="1"/>
    </row>
    <row r="802" ht="14.25" customHeight="1">
      <c r="A802" s="52"/>
      <c r="B802" s="53"/>
      <c r="C802" s="53"/>
      <c r="D802" s="53"/>
      <c r="E802" s="53"/>
      <c r="F802" s="53"/>
      <c r="G802" s="1"/>
      <c r="H802" s="1"/>
      <c r="I802" s="1"/>
      <c r="J802" s="1"/>
      <c r="K802" s="1"/>
      <c r="L802" s="1"/>
      <c r="M802" s="1"/>
      <c r="N802" s="1"/>
      <c r="O802" s="1"/>
      <c r="P802" s="1"/>
      <c r="Q802" s="1"/>
      <c r="R802" s="1"/>
      <c r="S802" s="1"/>
      <c r="T802" s="1"/>
    </row>
    <row r="803" ht="14.25" customHeight="1">
      <c r="A803" s="52"/>
      <c r="B803" s="53"/>
      <c r="C803" s="53"/>
      <c r="D803" s="53"/>
      <c r="E803" s="53"/>
      <c r="F803" s="53"/>
      <c r="G803" s="1"/>
      <c r="H803" s="1"/>
      <c r="I803" s="1"/>
      <c r="J803" s="1"/>
      <c r="K803" s="1"/>
      <c r="L803" s="1"/>
      <c r="M803" s="1"/>
      <c r="N803" s="1"/>
      <c r="O803" s="1"/>
      <c r="P803" s="1"/>
      <c r="Q803" s="1"/>
      <c r="R803" s="1"/>
      <c r="S803" s="1"/>
      <c r="T803" s="1"/>
    </row>
    <row r="804" ht="14.25" customHeight="1">
      <c r="A804" s="52"/>
      <c r="B804" s="53"/>
      <c r="C804" s="53"/>
      <c r="D804" s="53"/>
      <c r="E804" s="53"/>
      <c r="F804" s="53"/>
      <c r="G804" s="1"/>
      <c r="H804" s="1"/>
      <c r="I804" s="1"/>
      <c r="J804" s="1"/>
      <c r="K804" s="1"/>
      <c r="L804" s="1"/>
      <c r="M804" s="1"/>
      <c r="N804" s="1"/>
      <c r="O804" s="1"/>
      <c r="P804" s="1"/>
      <c r="Q804" s="1"/>
      <c r="R804" s="1"/>
      <c r="S804" s="1"/>
      <c r="T804" s="1"/>
    </row>
    <row r="805" ht="14.25" customHeight="1">
      <c r="A805" s="52"/>
      <c r="B805" s="53"/>
      <c r="C805" s="53"/>
      <c r="D805" s="53"/>
      <c r="E805" s="53"/>
      <c r="F805" s="53"/>
      <c r="G805" s="1"/>
      <c r="H805" s="1"/>
      <c r="I805" s="1"/>
      <c r="J805" s="1"/>
      <c r="K805" s="1"/>
      <c r="L805" s="1"/>
      <c r="M805" s="1"/>
      <c r="N805" s="1"/>
      <c r="O805" s="1"/>
      <c r="P805" s="1"/>
      <c r="Q805" s="1"/>
      <c r="R805" s="1"/>
      <c r="S805" s="1"/>
      <c r="T805" s="1"/>
    </row>
    <row r="806" ht="14.25" customHeight="1">
      <c r="A806" s="52"/>
      <c r="B806" s="53"/>
      <c r="C806" s="53"/>
      <c r="D806" s="53"/>
      <c r="E806" s="53"/>
      <c r="F806" s="53"/>
      <c r="G806" s="1"/>
      <c r="H806" s="1"/>
      <c r="I806" s="1"/>
      <c r="J806" s="1"/>
      <c r="K806" s="1"/>
      <c r="L806" s="1"/>
      <c r="M806" s="1"/>
      <c r="N806" s="1"/>
      <c r="O806" s="1"/>
      <c r="P806" s="1"/>
      <c r="Q806" s="1"/>
      <c r="R806" s="1"/>
      <c r="S806" s="1"/>
      <c r="T806" s="1"/>
    </row>
    <row r="807" ht="14.25" customHeight="1">
      <c r="A807" s="52"/>
      <c r="B807" s="53"/>
      <c r="C807" s="53"/>
      <c r="D807" s="53"/>
      <c r="E807" s="53"/>
      <c r="F807" s="53"/>
      <c r="G807" s="1"/>
      <c r="H807" s="1"/>
      <c r="I807" s="1"/>
      <c r="J807" s="1"/>
      <c r="K807" s="1"/>
      <c r="L807" s="1"/>
      <c r="M807" s="1"/>
      <c r="N807" s="1"/>
      <c r="O807" s="1"/>
      <c r="P807" s="1"/>
      <c r="Q807" s="1"/>
      <c r="R807" s="1"/>
      <c r="S807" s="1"/>
      <c r="T807" s="1"/>
    </row>
    <row r="808" ht="14.25" customHeight="1">
      <c r="A808" s="52"/>
      <c r="B808" s="53"/>
      <c r="C808" s="53"/>
      <c r="D808" s="53"/>
      <c r="E808" s="53"/>
      <c r="F808" s="53"/>
      <c r="G808" s="1"/>
      <c r="H808" s="1"/>
      <c r="I808" s="1"/>
      <c r="J808" s="1"/>
      <c r="K808" s="1"/>
      <c r="L808" s="1"/>
      <c r="M808" s="1"/>
      <c r="N808" s="1"/>
      <c r="O808" s="1"/>
      <c r="P808" s="1"/>
      <c r="Q808" s="1"/>
      <c r="R808" s="1"/>
      <c r="S808" s="1"/>
      <c r="T808" s="1"/>
    </row>
    <row r="809" ht="14.25" customHeight="1">
      <c r="A809" s="52"/>
      <c r="B809" s="53"/>
      <c r="C809" s="53"/>
      <c r="D809" s="53"/>
      <c r="E809" s="53"/>
      <c r="F809" s="53"/>
      <c r="G809" s="1"/>
      <c r="H809" s="1"/>
      <c r="I809" s="1"/>
      <c r="J809" s="1"/>
      <c r="K809" s="1"/>
      <c r="L809" s="1"/>
      <c r="M809" s="1"/>
      <c r="N809" s="1"/>
      <c r="O809" s="1"/>
      <c r="P809" s="1"/>
      <c r="Q809" s="1"/>
      <c r="R809" s="1"/>
      <c r="S809" s="1"/>
      <c r="T809" s="1"/>
    </row>
    <row r="810" ht="14.25" customHeight="1">
      <c r="A810" s="52"/>
      <c r="B810" s="53"/>
      <c r="C810" s="53"/>
      <c r="D810" s="53"/>
      <c r="E810" s="53"/>
      <c r="F810" s="53"/>
      <c r="G810" s="1"/>
      <c r="H810" s="1"/>
      <c r="I810" s="1"/>
      <c r="J810" s="1"/>
      <c r="K810" s="1"/>
      <c r="L810" s="1"/>
      <c r="M810" s="1"/>
      <c r="N810" s="1"/>
      <c r="O810" s="1"/>
      <c r="P810" s="1"/>
      <c r="Q810" s="1"/>
      <c r="R810" s="1"/>
      <c r="S810" s="1"/>
      <c r="T810" s="1"/>
    </row>
    <row r="811" ht="14.25" customHeight="1">
      <c r="A811" s="52"/>
      <c r="B811" s="53"/>
      <c r="C811" s="53"/>
      <c r="D811" s="53"/>
      <c r="E811" s="53"/>
      <c r="F811" s="53"/>
      <c r="G811" s="1"/>
      <c r="H811" s="1"/>
      <c r="I811" s="1"/>
      <c r="J811" s="1"/>
      <c r="K811" s="1"/>
      <c r="L811" s="1"/>
      <c r="M811" s="1"/>
      <c r="N811" s="1"/>
      <c r="O811" s="1"/>
      <c r="P811" s="1"/>
      <c r="Q811" s="1"/>
      <c r="R811" s="1"/>
      <c r="S811" s="1"/>
      <c r="T811" s="1"/>
    </row>
    <row r="812" ht="14.25" customHeight="1">
      <c r="A812" s="52"/>
      <c r="B812" s="53"/>
      <c r="C812" s="53"/>
      <c r="D812" s="53"/>
      <c r="E812" s="53"/>
      <c r="F812" s="53"/>
      <c r="G812" s="1"/>
      <c r="H812" s="1"/>
      <c r="I812" s="1"/>
      <c r="J812" s="1"/>
      <c r="K812" s="1"/>
      <c r="L812" s="1"/>
      <c r="M812" s="1"/>
      <c r="N812" s="1"/>
      <c r="O812" s="1"/>
      <c r="P812" s="1"/>
      <c r="Q812" s="1"/>
      <c r="R812" s="1"/>
      <c r="S812" s="1"/>
      <c r="T812" s="1"/>
    </row>
    <row r="813" ht="14.25" customHeight="1">
      <c r="A813" s="52"/>
      <c r="B813" s="53"/>
      <c r="C813" s="53"/>
      <c r="D813" s="53"/>
      <c r="E813" s="53"/>
      <c r="F813" s="53"/>
      <c r="G813" s="1"/>
      <c r="H813" s="1"/>
      <c r="I813" s="1"/>
      <c r="J813" s="1"/>
      <c r="K813" s="1"/>
      <c r="L813" s="1"/>
      <c r="M813" s="1"/>
      <c r="N813" s="1"/>
      <c r="O813" s="1"/>
      <c r="P813" s="1"/>
      <c r="Q813" s="1"/>
      <c r="R813" s="1"/>
      <c r="S813" s="1"/>
      <c r="T813" s="1"/>
    </row>
    <row r="814" ht="14.25" customHeight="1">
      <c r="A814" s="52"/>
      <c r="B814" s="53"/>
      <c r="C814" s="53"/>
      <c r="D814" s="53"/>
      <c r="E814" s="53"/>
      <c r="F814" s="53"/>
      <c r="G814" s="1"/>
      <c r="H814" s="1"/>
      <c r="I814" s="1"/>
      <c r="J814" s="1"/>
      <c r="K814" s="1"/>
      <c r="L814" s="1"/>
      <c r="M814" s="1"/>
      <c r="N814" s="1"/>
      <c r="O814" s="1"/>
      <c r="P814" s="1"/>
      <c r="Q814" s="1"/>
      <c r="R814" s="1"/>
      <c r="S814" s="1"/>
      <c r="T814" s="1"/>
    </row>
    <row r="815" ht="14.25" customHeight="1">
      <c r="A815" s="52"/>
      <c r="B815" s="53"/>
      <c r="C815" s="53"/>
      <c r="D815" s="53"/>
      <c r="E815" s="53"/>
      <c r="F815" s="53"/>
      <c r="G815" s="1"/>
      <c r="H815" s="1"/>
      <c r="I815" s="1"/>
      <c r="J815" s="1"/>
      <c r="K815" s="1"/>
      <c r="L815" s="1"/>
      <c r="M815" s="1"/>
      <c r="N815" s="1"/>
      <c r="O815" s="1"/>
      <c r="P815" s="1"/>
      <c r="Q815" s="1"/>
      <c r="R815" s="1"/>
      <c r="S815" s="1"/>
      <c r="T815" s="1"/>
    </row>
    <row r="816" ht="14.25" customHeight="1">
      <c r="A816" s="52"/>
      <c r="B816" s="53"/>
      <c r="C816" s="53"/>
      <c r="D816" s="53"/>
      <c r="E816" s="53"/>
      <c r="F816" s="53"/>
      <c r="G816" s="1"/>
      <c r="H816" s="1"/>
      <c r="I816" s="1"/>
      <c r="J816" s="1"/>
      <c r="K816" s="1"/>
      <c r="L816" s="1"/>
      <c r="M816" s="1"/>
      <c r="N816" s="1"/>
      <c r="O816" s="1"/>
      <c r="P816" s="1"/>
      <c r="Q816" s="1"/>
      <c r="R816" s="1"/>
      <c r="S816" s="1"/>
      <c r="T816" s="1"/>
    </row>
    <row r="817" ht="14.25" customHeight="1">
      <c r="A817" s="52"/>
      <c r="B817" s="53"/>
      <c r="C817" s="53"/>
      <c r="D817" s="53"/>
      <c r="E817" s="53"/>
      <c r="F817" s="53"/>
      <c r="G817" s="1"/>
      <c r="H817" s="1"/>
      <c r="I817" s="1"/>
      <c r="J817" s="1"/>
      <c r="K817" s="1"/>
      <c r="L817" s="1"/>
      <c r="M817" s="1"/>
      <c r="N817" s="1"/>
      <c r="O817" s="1"/>
      <c r="P817" s="1"/>
      <c r="Q817" s="1"/>
      <c r="R817" s="1"/>
      <c r="S817" s="1"/>
      <c r="T817" s="1"/>
    </row>
    <row r="818" ht="14.25" customHeight="1">
      <c r="A818" s="52"/>
      <c r="B818" s="53"/>
      <c r="C818" s="53"/>
      <c r="D818" s="53"/>
      <c r="E818" s="53"/>
      <c r="F818" s="53"/>
      <c r="G818" s="1"/>
      <c r="H818" s="1"/>
      <c r="I818" s="1"/>
      <c r="J818" s="1"/>
      <c r="K818" s="1"/>
      <c r="L818" s="1"/>
      <c r="M818" s="1"/>
      <c r="N818" s="1"/>
      <c r="O818" s="1"/>
      <c r="P818" s="1"/>
      <c r="Q818" s="1"/>
      <c r="R818" s="1"/>
      <c r="S818" s="1"/>
      <c r="T818" s="1"/>
    </row>
    <row r="819" ht="14.25" customHeight="1">
      <c r="A819" s="52"/>
      <c r="B819" s="53"/>
      <c r="C819" s="53"/>
      <c r="D819" s="53"/>
      <c r="E819" s="53"/>
      <c r="F819" s="53"/>
      <c r="G819" s="1"/>
      <c r="H819" s="1"/>
      <c r="I819" s="1"/>
      <c r="J819" s="1"/>
      <c r="K819" s="1"/>
      <c r="L819" s="1"/>
      <c r="M819" s="1"/>
      <c r="N819" s="1"/>
      <c r="O819" s="1"/>
      <c r="P819" s="1"/>
      <c r="Q819" s="1"/>
      <c r="R819" s="1"/>
      <c r="S819" s="1"/>
      <c r="T819" s="1"/>
    </row>
    <row r="820" ht="14.25" customHeight="1">
      <c r="A820" s="52"/>
      <c r="B820" s="53"/>
      <c r="C820" s="53"/>
      <c r="D820" s="53"/>
      <c r="E820" s="53"/>
      <c r="F820" s="53"/>
      <c r="G820" s="1"/>
      <c r="H820" s="1"/>
      <c r="I820" s="1"/>
      <c r="J820" s="1"/>
      <c r="K820" s="1"/>
      <c r="L820" s="1"/>
      <c r="M820" s="1"/>
      <c r="N820" s="1"/>
      <c r="O820" s="1"/>
      <c r="P820" s="1"/>
      <c r="Q820" s="1"/>
      <c r="R820" s="1"/>
      <c r="S820" s="1"/>
      <c r="T820" s="1"/>
    </row>
    <row r="821" ht="14.25" customHeight="1">
      <c r="A821" s="52"/>
      <c r="B821" s="53"/>
      <c r="C821" s="53"/>
      <c r="D821" s="53"/>
      <c r="E821" s="53"/>
      <c r="F821" s="53"/>
      <c r="G821" s="1"/>
      <c r="H821" s="1"/>
      <c r="I821" s="1"/>
      <c r="J821" s="1"/>
      <c r="K821" s="1"/>
      <c r="L821" s="1"/>
      <c r="M821" s="1"/>
      <c r="N821" s="1"/>
      <c r="O821" s="1"/>
      <c r="P821" s="1"/>
      <c r="Q821" s="1"/>
      <c r="R821" s="1"/>
      <c r="S821" s="1"/>
      <c r="T821" s="1"/>
    </row>
    <row r="822" ht="14.25" customHeight="1">
      <c r="A822" s="52"/>
      <c r="B822" s="53"/>
      <c r="C822" s="53"/>
      <c r="D822" s="53"/>
      <c r="E822" s="53"/>
      <c r="F822" s="53"/>
      <c r="G822" s="1"/>
      <c r="H822" s="1"/>
      <c r="I822" s="1"/>
      <c r="J822" s="1"/>
      <c r="K822" s="1"/>
      <c r="L822" s="1"/>
      <c r="M822" s="1"/>
      <c r="N822" s="1"/>
      <c r="O822" s="1"/>
      <c r="P822" s="1"/>
      <c r="Q822" s="1"/>
      <c r="R822" s="1"/>
      <c r="S822" s="1"/>
      <c r="T822" s="1"/>
    </row>
    <row r="823" ht="14.25" customHeight="1">
      <c r="A823" s="52"/>
      <c r="B823" s="53"/>
      <c r="C823" s="53"/>
      <c r="D823" s="53"/>
      <c r="E823" s="53"/>
      <c r="F823" s="53"/>
      <c r="G823" s="1"/>
      <c r="H823" s="1"/>
      <c r="I823" s="1"/>
      <c r="J823" s="1"/>
      <c r="K823" s="1"/>
      <c r="L823" s="1"/>
      <c r="M823" s="1"/>
      <c r="N823" s="1"/>
      <c r="O823" s="1"/>
      <c r="P823" s="1"/>
      <c r="Q823" s="1"/>
      <c r="R823" s="1"/>
      <c r="S823" s="1"/>
      <c r="T823" s="1"/>
    </row>
    <row r="824" ht="14.25" customHeight="1">
      <c r="A824" s="52"/>
      <c r="B824" s="53"/>
      <c r="C824" s="53"/>
      <c r="D824" s="53"/>
      <c r="E824" s="53"/>
      <c r="F824" s="53"/>
      <c r="G824" s="1"/>
      <c r="H824" s="1"/>
      <c r="I824" s="1"/>
      <c r="J824" s="1"/>
      <c r="K824" s="1"/>
      <c r="L824" s="1"/>
      <c r="M824" s="1"/>
      <c r="N824" s="1"/>
      <c r="O824" s="1"/>
      <c r="P824" s="1"/>
      <c r="Q824" s="1"/>
      <c r="R824" s="1"/>
      <c r="S824" s="1"/>
      <c r="T824" s="1"/>
    </row>
    <row r="825" ht="14.25" customHeight="1">
      <c r="A825" s="52"/>
      <c r="B825" s="53"/>
      <c r="C825" s="53"/>
      <c r="D825" s="53"/>
      <c r="E825" s="53"/>
      <c r="F825" s="53"/>
      <c r="G825" s="1"/>
      <c r="H825" s="1"/>
      <c r="I825" s="1"/>
      <c r="J825" s="1"/>
      <c r="K825" s="1"/>
      <c r="L825" s="1"/>
      <c r="M825" s="1"/>
      <c r="N825" s="1"/>
      <c r="O825" s="1"/>
      <c r="P825" s="1"/>
      <c r="Q825" s="1"/>
      <c r="R825" s="1"/>
      <c r="S825" s="1"/>
      <c r="T825" s="1"/>
    </row>
    <row r="826" ht="14.25" customHeight="1">
      <c r="A826" s="52"/>
      <c r="B826" s="53"/>
      <c r="C826" s="53"/>
      <c r="D826" s="53"/>
      <c r="E826" s="53"/>
      <c r="F826" s="53"/>
      <c r="G826" s="1"/>
      <c r="H826" s="1"/>
      <c r="I826" s="1"/>
      <c r="J826" s="1"/>
      <c r="K826" s="1"/>
      <c r="L826" s="1"/>
      <c r="M826" s="1"/>
      <c r="N826" s="1"/>
      <c r="O826" s="1"/>
      <c r="P826" s="1"/>
      <c r="Q826" s="1"/>
      <c r="R826" s="1"/>
      <c r="S826" s="1"/>
      <c r="T826" s="1"/>
    </row>
    <row r="827" ht="14.25" customHeight="1">
      <c r="A827" s="52"/>
      <c r="B827" s="53"/>
      <c r="C827" s="53"/>
      <c r="D827" s="53"/>
      <c r="E827" s="53"/>
      <c r="F827" s="53"/>
      <c r="G827" s="1"/>
      <c r="H827" s="1"/>
      <c r="I827" s="1"/>
      <c r="J827" s="1"/>
      <c r="K827" s="1"/>
      <c r="L827" s="1"/>
      <c r="M827" s="1"/>
      <c r="N827" s="1"/>
      <c r="O827" s="1"/>
      <c r="P827" s="1"/>
      <c r="Q827" s="1"/>
      <c r="R827" s="1"/>
      <c r="S827" s="1"/>
      <c r="T827" s="1"/>
    </row>
    <row r="828" ht="14.25" customHeight="1">
      <c r="A828" s="52"/>
      <c r="B828" s="53"/>
      <c r="C828" s="53"/>
      <c r="D828" s="53"/>
      <c r="E828" s="53"/>
      <c r="F828" s="53"/>
      <c r="G828" s="1"/>
      <c r="H828" s="1"/>
      <c r="I828" s="1"/>
      <c r="J828" s="1"/>
      <c r="K828" s="1"/>
      <c r="L828" s="1"/>
      <c r="M828" s="1"/>
      <c r="N828" s="1"/>
      <c r="O828" s="1"/>
      <c r="P828" s="1"/>
      <c r="Q828" s="1"/>
      <c r="R828" s="1"/>
      <c r="S828" s="1"/>
      <c r="T828" s="1"/>
    </row>
    <row r="829" ht="14.25" customHeight="1">
      <c r="A829" s="52"/>
      <c r="B829" s="53"/>
      <c r="C829" s="53"/>
      <c r="D829" s="53"/>
      <c r="E829" s="53"/>
      <c r="F829" s="53"/>
      <c r="G829" s="1"/>
      <c r="H829" s="1"/>
      <c r="I829" s="1"/>
      <c r="J829" s="1"/>
      <c r="K829" s="1"/>
      <c r="L829" s="1"/>
      <c r="M829" s="1"/>
      <c r="N829" s="1"/>
      <c r="O829" s="1"/>
      <c r="P829" s="1"/>
      <c r="Q829" s="1"/>
      <c r="R829" s="1"/>
      <c r="S829" s="1"/>
      <c r="T829" s="1"/>
    </row>
    <row r="830" ht="14.25" customHeight="1">
      <c r="A830" s="52"/>
      <c r="B830" s="53"/>
      <c r="C830" s="53"/>
      <c r="D830" s="53"/>
      <c r="E830" s="53"/>
      <c r="F830" s="53"/>
      <c r="G830" s="1"/>
      <c r="H830" s="1"/>
      <c r="I830" s="1"/>
      <c r="J830" s="1"/>
      <c r="K830" s="1"/>
      <c r="L830" s="1"/>
      <c r="M830" s="1"/>
      <c r="N830" s="1"/>
      <c r="O830" s="1"/>
      <c r="P830" s="1"/>
      <c r="Q830" s="1"/>
      <c r="R830" s="1"/>
      <c r="S830" s="1"/>
      <c r="T830" s="1"/>
    </row>
    <row r="831" ht="14.25" customHeight="1">
      <c r="A831" s="52"/>
      <c r="B831" s="53"/>
      <c r="C831" s="53"/>
      <c r="D831" s="53"/>
      <c r="E831" s="53"/>
      <c r="F831" s="53"/>
      <c r="G831" s="1"/>
      <c r="H831" s="1"/>
      <c r="I831" s="1"/>
      <c r="J831" s="1"/>
      <c r="K831" s="1"/>
      <c r="L831" s="1"/>
      <c r="M831" s="1"/>
      <c r="N831" s="1"/>
      <c r="O831" s="1"/>
      <c r="P831" s="1"/>
      <c r="Q831" s="1"/>
      <c r="R831" s="1"/>
      <c r="S831" s="1"/>
      <c r="T831" s="1"/>
    </row>
    <row r="832" ht="14.25" customHeight="1">
      <c r="A832" s="52"/>
      <c r="B832" s="53"/>
      <c r="C832" s="53"/>
      <c r="D832" s="53"/>
      <c r="E832" s="53"/>
      <c r="F832" s="53"/>
      <c r="G832" s="1"/>
      <c r="H832" s="1"/>
      <c r="I832" s="1"/>
      <c r="J832" s="1"/>
      <c r="K832" s="1"/>
      <c r="L832" s="1"/>
      <c r="M832" s="1"/>
      <c r="N832" s="1"/>
      <c r="O832" s="1"/>
      <c r="P832" s="1"/>
      <c r="Q832" s="1"/>
      <c r="R832" s="1"/>
      <c r="S832" s="1"/>
      <c r="T832" s="1"/>
    </row>
    <row r="833" ht="14.25" customHeight="1">
      <c r="A833" s="52"/>
      <c r="B833" s="53"/>
      <c r="C833" s="53"/>
      <c r="D833" s="53"/>
      <c r="E833" s="53"/>
      <c r="F833" s="53"/>
      <c r="G833" s="1"/>
      <c r="H833" s="1"/>
      <c r="I833" s="1"/>
      <c r="J833" s="1"/>
      <c r="K833" s="1"/>
      <c r="L833" s="1"/>
      <c r="M833" s="1"/>
      <c r="N833" s="1"/>
      <c r="O833" s="1"/>
      <c r="P833" s="1"/>
      <c r="Q833" s="1"/>
      <c r="R833" s="1"/>
      <c r="S833" s="1"/>
      <c r="T833" s="1"/>
    </row>
    <row r="834" ht="14.25" customHeight="1">
      <c r="A834" s="52"/>
      <c r="B834" s="53"/>
      <c r="C834" s="53"/>
      <c r="D834" s="53"/>
      <c r="E834" s="53"/>
      <c r="F834" s="53"/>
      <c r="G834" s="1"/>
      <c r="H834" s="1"/>
      <c r="I834" s="1"/>
      <c r="J834" s="1"/>
      <c r="K834" s="1"/>
      <c r="L834" s="1"/>
      <c r="M834" s="1"/>
      <c r="N834" s="1"/>
      <c r="O834" s="1"/>
      <c r="P834" s="1"/>
      <c r="Q834" s="1"/>
      <c r="R834" s="1"/>
      <c r="S834" s="1"/>
      <c r="T834" s="1"/>
    </row>
    <row r="835" ht="14.25" customHeight="1">
      <c r="A835" s="52"/>
      <c r="B835" s="53"/>
      <c r="C835" s="53"/>
      <c r="D835" s="53"/>
      <c r="E835" s="53"/>
      <c r="F835" s="53"/>
      <c r="G835" s="1"/>
      <c r="H835" s="1"/>
      <c r="I835" s="1"/>
      <c r="J835" s="1"/>
      <c r="K835" s="1"/>
      <c r="L835" s="1"/>
      <c r="M835" s="1"/>
      <c r="N835" s="1"/>
      <c r="O835" s="1"/>
      <c r="P835" s="1"/>
      <c r="Q835" s="1"/>
      <c r="R835" s="1"/>
      <c r="S835" s="1"/>
      <c r="T835" s="1"/>
    </row>
    <row r="836" ht="14.25" customHeight="1">
      <c r="A836" s="52"/>
      <c r="B836" s="53"/>
      <c r="C836" s="53"/>
      <c r="D836" s="53"/>
      <c r="E836" s="53"/>
      <c r="F836" s="53"/>
      <c r="G836" s="1"/>
      <c r="H836" s="1"/>
      <c r="I836" s="1"/>
      <c r="J836" s="1"/>
      <c r="K836" s="1"/>
      <c r="L836" s="1"/>
      <c r="M836" s="1"/>
      <c r="N836" s="1"/>
      <c r="O836" s="1"/>
      <c r="P836" s="1"/>
      <c r="Q836" s="1"/>
      <c r="R836" s="1"/>
      <c r="S836" s="1"/>
      <c r="T836" s="1"/>
    </row>
    <row r="837" ht="14.25" customHeight="1">
      <c r="A837" s="52"/>
      <c r="B837" s="53"/>
      <c r="C837" s="53"/>
      <c r="D837" s="53"/>
      <c r="E837" s="53"/>
      <c r="F837" s="53"/>
      <c r="G837" s="1"/>
      <c r="H837" s="1"/>
      <c r="I837" s="1"/>
      <c r="J837" s="1"/>
      <c r="K837" s="1"/>
      <c r="L837" s="1"/>
      <c r="M837" s="1"/>
      <c r="N837" s="1"/>
      <c r="O837" s="1"/>
      <c r="P837" s="1"/>
      <c r="Q837" s="1"/>
      <c r="R837" s="1"/>
      <c r="S837" s="1"/>
      <c r="T837" s="1"/>
    </row>
    <row r="838" ht="14.25" customHeight="1">
      <c r="A838" s="52"/>
      <c r="B838" s="53"/>
      <c r="C838" s="53"/>
      <c r="D838" s="53"/>
      <c r="E838" s="53"/>
      <c r="F838" s="53"/>
      <c r="G838" s="1"/>
      <c r="H838" s="1"/>
      <c r="I838" s="1"/>
      <c r="J838" s="1"/>
      <c r="K838" s="1"/>
      <c r="L838" s="1"/>
      <c r="M838" s="1"/>
      <c r="N838" s="1"/>
      <c r="O838" s="1"/>
      <c r="P838" s="1"/>
      <c r="Q838" s="1"/>
      <c r="R838" s="1"/>
      <c r="S838" s="1"/>
      <c r="T838" s="1"/>
    </row>
    <row r="839" ht="14.25" customHeight="1">
      <c r="A839" s="52"/>
      <c r="B839" s="53"/>
      <c r="C839" s="53"/>
      <c r="D839" s="53"/>
      <c r="E839" s="53"/>
      <c r="F839" s="53"/>
      <c r="G839" s="1"/>
      <c r="H839" s="1"/>
      <c r="I839" s="1"/>
      <c r="J839" s="1"/>
      <c r="K839" s="1"/>
      <c r="L839" s="1"/>
      <c r="M839" s="1"/>
      <c r="N839" s="1"/>
      <c r="O839" s="1"/>
      <c r="P839" s="1"/>
      <c r="Q839" s="1"/>
      <c r="R839" s="1"/>
      <c r="S839" s="1"/>
      <c r="T839" s="1"/>
    </row>
    <row r="840" ht="14.25" customHeight="1">
      <c r="A840" s="52"/>
      <c r="B840" s="53"/>
      <c r="C840" s="53"/>
      <c r="D840" s="53"/>
      <c r="E840" s="53"/>
      <c r="F840" s="53"/>
      <c r="G840" s="1"/>
      <c r="H840" s="1"/>
      <c r="I840" s="1"/>
      <c r="J840" s="1"/>
      <c r="K840" s="1"/>
      <c r="L840" s="1"/>
      <c r="M840" s="1"/>
      <c r="N840" s="1"/>
      <c r="O840" s="1"/>
      <c r="P840" s="1"/>
      <c r="Q840" s="1"/>
      <c r="R840" s="1"/>
      <c r="S840" s="1"/>
      <c r="T840" s="1"/>
    </row>
    <row r="841" ht="14.25" customHeight="1">
      <c r="A841" s="52"/>
      <c r="B841" s="53"/>
      <c r="C841" s="53"/>
      <c r="D841" s="53"/>
      <c r="E841" s="53"/>
      <c r="F841" s="53"/>
      <c r="G841" s="1"/>
      <c r="H841" s="1"/>
      <c r="I841" s="1"/>
      <c r="J841" s="1"/>
      <c r="K841" s="1"/>
      <c r="L841" s="1"/>
      <c r="M841" s="1"/>
      <c r="N841" s="1"/>
      <c r="O841" s="1"/>
      <c r="P841" s="1"/>
      <c r="Q841" s="1"/>
      <c r="R841" s="1"/>
      <c r="S841" s="1"/>
      <c r="T841" s="1"/>
    </row>
    <row r="842" ht="14.25" customHeight="1">
      <c r="A842" s="52"/>
      <c r="B842" s="53"/>
      <c r="C842" s="53"/>
      <c r="D842" s="53"/>
      <c r="E842" s="53"/>
      <c r="F842" s="53"/>
      <c r="G842" s="1"/>
      <c r="H842" s="1"/>
      <c r="I842" s="1"/>
      <c r="J842" s="1"/>
      <c r="K842" s="1"/>
      <c r="L842" s="1"/>
      <c r="M842" s="1"/>
      <c r="N842" s="1"/>
      <c r="O842" s="1"/>
      <c r="P842" s="1"/>
      <c r="Q842" s="1"/>
      <c r="R842" s="1"/>
      <c r="S842" s="1"/>
      <c r="T842" s="1"/>
    </row>
    <row r="843" ht="14.25" customHeight="1">
      <c r="A843" s="52"/>
      <c r="B843" s="53"/>
      <c r="C843" s="53"/>
      <c r="D843" s="53"/>
      <c r="E843" s="53"/>
      <c r="F843" s="53"/>
      <c r="G843" s="1"/>
      <c r="H843" s="1"/>
      <c r="I843" s="1"/>
      <c r="J843" s="1"/>
      <c r="K843" s="1"/>
      <c r="L843" s="1"/>
      <c r="M843" s="1"/>
      <c r="N843" s="1"/>
      <c r="O843" s="1"/>
      <c r="P843" s="1"/>
      <c r="Q843" s="1"/>
      <c r="R843" s="1"/>
      <c r="S843" s="1"/>
      <c r="T843" s="1"/>
    </row>
    <row r="844" ht="14.25" customHeight="1">
      <c r="A844" s="52"/>
      <c r="B844" s="53"/>
      <c r="C844" s="53"/>
      <c r="D844" s="53"/>
      <c r="E844" s="53"/>
      <c r="F844" s="53"/>
      <c r="G844" s="1"/>
      <c r="H844" s="1"/>
      <c r="I844" s="1"/>
      <c r="J844" s="1"/>
      <c r="K844" s="1"/>
      <c r="L844" s="1"/>
      <c r="M844" s="1"/>
      <c r="N844" s="1"/>
      <c r="O844" s="1"/>
      <c r="P844" s="1"/>
      <c r="Q844" s="1"/>
      <c r="R844" s="1"/>
      <c r="S844" s="1"/>
      <c r="T844" s="1"/>
    </row>
    <row r="845" ht="14.25" customHeight="1">
      <c r="A845" s="52"/>
      <c r="B845" s="53"/>
      <c r="C845" s="53"/>
      <c r="D845" s="53"/>
      <c r="E845" s="53"/>
      <c r="F845" s="53"/>
      <c r="G845" s="1"/>
      <c r="H845" s="1"/>
      <c r="I845" s="1"/>
      <c r="J845" s="1"/>
      <c r="K845" s="1"/>
      <c r="L845" s="1"/>
      <c r="M845" s="1"/>
      <c r="N845" s="1"/>
      <c r="O845" s="1"/>
      <c r="P845" s="1"/>
      <c r="Q845" s="1"/>
      <c r="R845" s="1"/>
      <c r="S845" s="1"/>
      <c r="T845" s="1"/>
    </row>
    <row r="846" ht="14.25" customHeight="1">
      <c r="A846" s="52"/>
      <c r="B846" s="53"/>
      <c r="C846" s="53"/>
      <c r="D846" s="53"/>
      <c r="E846" s="53"/>
      <c r="F846" s="53"/>
      <c r="G846" s="1"/>
      <c r="H846" s="1"/>
      <c r="I846" s="1"/>
      <c r="J846" s="1"/>
      <c r="K846" s="1"/>
      <c r="L846" s="1"/>
      <c r="M846" s="1"/>
      <c r="N846" s="1"/>
      <c r="O846" s="1"/>
      <c r="P846" s="1"/>
      <c r="Q846" s="1"/>
      <c r="R846" s="1"/>
      <c r="S846" s="1"/>
      <c r="T846" s="1"/>
    </row>
    <row r="847" ht="14.25" customHeight="1">
      <c r="A847" s="52"/>
      <c r="B847" s="53"/>
      <c r="C847" s="53"/>
      <c r="D847" s="53"/>
      <c r="E847" s="53"/>
      <c r="F847" s="53"/>
      <c r="G847" s="1"/>
      <c r="H847" s="1"/>
      <c r="I847" s="1"/>
      <c r="J847" s="1"/>
      <c r="K847" s="1"/>
      <c r="L847" s="1"/>
      <c r="M847" s="1"/>
      <c r="N847" s="1"/>
      <c r="O847" s="1"/>
      <c r="P847" s="1"/>
      <c r="Q847" s="1"/>
      <c r="R847" s="1"/>
      <c r="S847" s="1"/>
      <c r="T847" s="1"/>
    </row>
    <row r="848" ht="14.25" customHeight="1">
      <c r="A848" s="52"/>
      <c r="B848" s="53"/>
      <c r="C848" s="53"/>
      <c r="D848" s="53"/>
      <c r="E848" s="53"/>
      <c r="F848" s="53"/>
      <c r="G848" s="1"/>
      <c r="H848" s="1"/>
      <c r="I848" s="1"/>
      <c r="J848" s="1"/>
      <c r="K848" s="1"/>
      <c r="L848" s="1"/>
      <c r="M848" s="1"/>
      <c r="N848" s="1"/>
      <c r="O848" s="1"/>
      <c r="P848" s="1"/>
      <c r="Q848" s="1"/>
      <c r="R848" s="1"/>
      <c r="S848" s="1"/>
      <c r="T848" s="1"/>
    </row>
    <row r="849" ht="14.25" customHeight="1">
      <c r="A849" s="52"/>
      <c r="B849" s="53"/>
      <c r="C849" s="53"/>
      <c r="D849" s="53"/>
      <c r="E849" s="53"/>
      <c r="F849" s="53"/>
      <c r="G849" s="1"/>
      <c r="H849" s="1"/>
      <c r="I849" s="1"/>
      <c r="J849" s="1"/>
      <c r="K849" s="1"/>
      <c r="L849" s="1"/>
      <c r="M849" s="1"/>
      <c r="N849" s="1"/>
      <c r="O849" s="1"/>
      <c r="P849" s="1"/>
      <c r="Q849" s="1"/>
      <c r="R849" s="1"/>
      <c r="S849" s="1"/>
      <c r="T849" s="1"/>
    </row>
    <row r="850" ht="14.25" customHeight="1">
      <c r="A850" s="52"/>
      <c r="B850" s="53"/>
      <c r="C850" s="53"/>
      <c r="D850" s="53"/>
      <c r="E850" s="53"/>
      <c r="F850" s="53"/>
      <c r="G850" s="1"/>
      <c r="H850" s="1"/>
      <c r="I850" s="1"/>
      <c r="J850" s="1"/>
      <c r="K850" s="1"/>
      <c r="L850" s="1"/>
      <c r="M850" s="1"/>
      <c r="N850" s="1"/>
      <c r="O850" s="1"/>
      <c r="P850" s="1"/>
      <c r="Q850" s="1"/>
      <c r="R850" s="1"/>
      <c r="S850" s="1"/>
      <c r="T850" s="1"/>
    </row>
    <row r="851" ht="14.25" customHeight="1">
      <c r="A851" s="52"/>
      <c r="B851" s="53"/>
      <c r="C851" s="53"/>
      <c r="D851" s="53"/>
      <c r="E851" s="53"/>
      <c r="F851" s="53"/>
      <c r="G851" s="1"/>
      <c r="H851" s="1"/>
      <c r="I851" s="1"/>
      <c r="J851" s="1"/>
      <c r="K851" s="1"/>
      <c r="L851" s="1"/>
      <c r="M851" s="1"/>
      <c r="N851" s="1"/>
      <c r="O851" s="1"/>
      <c r="P851" s="1"/>
      <c r="Q851" s="1"/>
      <c r="R851" s="1"/>
      <c r="S851" s="1"/>
      <c r="T851" s="1"/>
    </row>
    <row r="852" ht="14.25" customHeight="1">
      <c r="A852" s="52"/>
      <c r="B852" s="53"/>
      <c r="C852" s="53"/>
      <c r="D852" s="53"/>
      <c r="E852" s="53"/>
      <c r="F852" s="53"/>
      <c r="G852" s="1"/>
      <c r="H852" s="1"/>
      <c r="I852" s="1"/>
      <c r="J852" s="1"/>
      <c r="K852" s="1"/>
      <c r="L852" s="1"/>
      <c r="M852" s="1"/>
      <c r="N852" s="1"/>
      <c r="O852" s="1"/>
      <c r="P852" s="1"/>
      <c r="Q852" s="1"/>
      <c r="R852" s="1"/>
      <c r="S852" s="1"/>
      <c r="T852" s="1"/>
    </row>
    <row r="853" ht="14.25" customHeight="1">
      <c r="A853" s="52"/>
      <c r="B853" s="53"/>
      <c r="C853" s="53"/>
      <c r="D853" s="53"/>
      <c r="E853" s="53"/>
      <c r="F853" s="53"/>
      <c r="G853" s="1"/>
      <c r="H853" s="1"/>
      <c r="I853" s="1"/>
      <c r="J853" s="1"/>
      <c r="K853" s="1"/>
      <c r="L853" s="1"/>
      <c r="M853" s="1"/>
      <c r="N853" s="1"/>
      <c r="O853" s="1"/>
      <c r="P853" s="1"/>
      <c r="Q853" s="1"/>
      <c r="R853" s="1"/>
      <c r="S853" s="1"/>
      <c r="T853" s="1"/>
    </row>
    <row r="854" ht="14.25" customHeight="1">
      <c r="A854" s="52"/>
      <c r="B854" s="53"/>
      <c r="C854" s="53"/>
      <c r="D854" s="53"/>
      <c r="E854" s="53"/>
      <c r="F854" s="53"/>
      <c r="G854" s="1"/>
      <c r="H854" s="1"/>
      <c r="I854" s="1"/>
      <c r="J854" s="1"/>
      <c r="K854" s="1"/>
      <c r="L854" s="1"/>
      <c r="M854" s="1"/>
      <c r="N854" s="1"/>
      <c r="O854" s="1"/>
      <c r="P854" s="1"/>
      <c r="Q854" s="1"/>
      <c r="R854" s="1"/>
      <c r="S854" s="1"/>
      <c r="T854" s="1"/>
    </row>
    <row r="855" ht="14.25" customHeight="1">
      <c r="A855" s="52"/>
      <c r="B855" s="53"/>
      <c r="C855" s="53"/>
      <c r="D855" s="53"/>
      <c r="E855" s="53"/>
      <c r="F855" s="53"/>
      <c r="G855" s="1"/>
      <c r="H855" s="1"/>
      <c r="I855" s="1"/>
      <c r="J855" s="1"/>
      <c r="K855" s="1"/>
      <c r="L855" s="1"/>
      <c r="M855" s="1"/>
      <c r="N855" s="1"/>
      <c r="O855" s="1"/>
      <c r="P855" s="1"/>
      <c r="Q855" s="1"/>
      <c r="R855" s="1"/>
      <c r="S855" s="1"/>
      <c r="T855" s="1"/>
    </row>
    <row r="856" ht="14.25" customHeight="1">
      <c r="A856" s="52"/>
      <c r="B856" s="53"/>
      <c r="C856" s="53"/>
      <c r="D856" s="53"/>
      <c r="E856" s="53"/>
      <c r="F856" s="53"/>
      <c r="G856" s="1"/>
      <c r="H856" s="1"/>
      <c r="I856" s="1"/>
      <c r="J856" s="1"/>
      <c r="K856" s="1"/>
      <c r="L856" s="1"/>
      <c r="M856" s="1"/>
      <c r="N856" s="1"/>
      <c r="O856" s="1"/>
      <c r="P856" s="1"/>
      <c r="Q856" s="1"/>
      <c r="R856" s="1"/>
      <c r="S856" s="1"/>
      <c r="T856" s="1"/>
    </row>
    <row r="857" ht="14.25" customHeight="1">
      <c r="A857" s="52"/>
      <c r="B857" s="53"/>
      <c r="C857" s="53"/>
      <c r="D857" s="53"/>
      <c r="E857" s="53"/>
      <c r="F857" s="53"/>
      <c r="G857" s="1"/>
      <c r="H857" s="1"/>
      <c r="I857" s="1"/>
      <c r="J857" s="1"/>
      <c r="K857" s="1"/>
      <c r="L857" s="1"/>
      <c r="M857" s="1"/>
      <c r="N857" s="1"/>
      <c r="O857" s="1"/>
      <c r="P857" s="1"/>
      <c r="Q857" s="1"/>
      <c r="R857" s="1"/>
      <c r="S857" s="1"/>
      <c r="T857" s="1"/>
    </row>
    <row r="858" ht="14.25" customHeight="1">
      <c r="A858" s="52"/>
      <c r="B858" s="53"/>
      <c r="C858" s="53"/>
      <c r="D858" s="53"/>
      <c r="E858" s="53"/>
      <c r="F858" s="53"/>
      <c r="G858" s="1"/>
      <c r="H858" s="1"/>
      <c r="I858" s="1"/>
      <c r="J858" s="1"/>
      <c r="K858" s="1"/>
      <c r="L858" s="1"/>
      <c r="M858" s="1"/>
      <c r="N858" s="1"/>
      <c r="O858" s="1"/>
      <c r="P858" s="1"/>
      <c r="Q858" s="1"/>
      <c r="R858" s="1"/>
      <c r="S858" s="1"/>
      <c r="T858" s="1"/>
    </row>
    <row r="859" ht="14.25" customHeight="1">
      <c r="A859" s="52"/>
      <c r="B859" s="53"/>
      <c r="C859" s="53"/>
      <c r="D859" s="53"/>
      <c r="E859" s="53"/>
      <c r="F859" s="53"/>
      <c r="G859" s="1"/>
      <c r="H859" s="1"/>
      <c r="I859" s="1"/>
      <c r="J859" s="1"/>
      <c r="K859" s="1"/>
      <c r="L859" s="1"/>
      <c r="M859" s="1"/>
      <c r="N859" s="1"/>
      <c r="O859" s="1"/>
      <c r="P859" s="1"/>
      <c r="Q859" s="1"/>
      <c r="R859" s="1"/>
      <c r="S859" s="1"/>
      <c r="T859" s="1"/>
    </row>
    <row r="860" ht="14.25" customHeight="1">
      <c r="A860" s="52"/>
      <c r="B860" s="53"/>
      <c r="C860" s="53"/>
      <c r="D860" s="53"/>
      <c r="E860" s="53"/>
      <c r="F860" s="53"/>
      <c r="G860" s="1"/>
      <c r="H860" s="1"/>
      <c r="I860" s="1"/>
      <c r="J860" s="1"/>
      <c r="K860" s="1"/>
      <c r="L860" s="1"/>
      <c r="M860" s="1"/>
      <c r="N860" s="1"/>
      <c r="O860" s="1"/>
      <c r="P860" s="1"/>
      <c r="Q860" s="1"/>
      <c r="R860" s="1"/>
      <c r="S860" s="1"/>
      <c r="T860" s="1"/>
    </row>
    <row r="861" ht="14.25" customHeight="1">
      <c r="A861" s="52"/>
      <c r="B861" s="53"/>
      <c r="C861" s="53"/>
      <c r="D861" s="53"/>
      <c r="E861" s="53"/>
      <c r="F861" s="53"/>
      <c r="G861" s="1"/>
      <c r="H861" s="1"/>
      <c r="I861" s="1"/>
      <c r="J861" s="1"/>
      <c r="K861" s="1"/>
      <c r="L861" s="1"/>
      <c r="M861" s="1"/>
      <c r="N861" s="1"/>
      <c r="O861" s="1"/>
      <c r="P861" s="1"/>
      <c r="Q861" s="1"/>
      <c r="R861" s="1"/>
      <c r="S861" s="1"/>
      <c r="T861" s="1"/>
    </row>
    <row r="862" ht="14.25" customHeight="1">
      <c r="A862" s="52"/>
      <c r="B862" s="53"/>
      <c r="C862" s="53"/>
      <c r="D862" s="53"/>
      <c r="E862" s="53"/>
      <c r="F862" s="53"/>
      <c r="G862" s="1"/>
      <c r="H862" s="1"/>
      <c r="I862" s="1"/>
      <c r="J862" s="1"/>
      <c r="K862" s="1"/>
      <c r="L862" s="1"/>
      <c r="M862" s="1"/>
      <c r="N862" s="1"/>
      <c r="O862" s="1"/>
      <c r="P862" s="1"/>
      <c r="Q862" s="1"/>
      <c r="R862" s="1"/>
      <c r="S862" s="1"/>
      <c r="T862" s="1"/>
    </row>
    <row r="863" ht="14.25" customHeight="1">
      <c r="A863" s="52"/>
      <c r="B863" s="53"/>
      <c r="C863" s="53"/>
      <c r="D863" s="53"/>
      <c r="E863" s="53"/>
      <c r="F863" s="53"/>
      <c r="G863" s="1"/>
      <c r="H863" s="1"/>
      <c r="I863" s="1"/>
      <c r="J863" s="1"/>
      <c r="K863" s="1"/>
      <c r="L863" s="1"/>
      <c r="M863" s="1"/>
      <c r="N863" s="1"/>
      <c r="O863" s="1"/>
      <c r="P863" s="1"/>
      <c r="Q863" s="1"/>
      <c r="R863" s="1"/>
      <c r="S863" s="1"/>
      <c r="T863" s="1"/>
    </row>
    <row r="864" ht="14.25" customHeight="1">
      <c r="A864" s="52"/>
      <c r="B864" s="53"/>
      <c r="C864" s="53"/>
      <c r="D864" s="53"/>
      <c r="E864" s="53"/>
      <c r="F864" s="53"/>
      <c r="G864" s="1"/>
      <c r="H864" s="1"/>
      <c r="I864" s="1"/>
      <c r="J864" s="1"/>
      <c r="K864" s="1"/>
      <c r="L864" s="1"/>
      <c r="M864" s="1"/>
      <c r="N864" s="1"/>
      <c r="O864" s="1"/>
      <c r="P864" s="1"/>
      <c r="Q864" s="1"/>
      <c r="R864" s="1"/>
      <c r="S864" s="1"/>
      <c r="T864" s="1"/>
    </row>
    <row r="865" ht="14.25" customHeight="1">
      <c r="A865" s="52"/>
      <c r="B865" s="53"/>
      <c r="C865" s="53"/>
      <c r="D865" s="53"/>
      <c r="E865" s="53"/>
      <c r="F865" s="53"/>
      <c r="G865" s="1"/>
      <c r="H865" s="1"/>
      <c r="I865" s="1"/>
      <c r="J865" s="1"/>
      <c r="K865" s="1"/>
      <c r="L865" s="1"/>
      <c r="M865" s="1"/>
      <c r="N865" s="1"/>
      <c r="O865" s="1"/>
      <c r="P865" s="1"/>
      <c r="Q865" s="1"/>
      <c r="R865" s="1"/>
      <c r="S865" s="1"/>
      <c r="T865" s="1"/>
    </row>
    <row r="866" ht="14.25" customHeight="1">
      <c r="A866" s="52"/>
      <c r="B866" s="53"/>
      <c r="C866" s="53"/>
      <c r="D866" s="53"/>
      <c r="E866" s="53"/>
      <c r="F866" s="53"/>
      <c r="G866" s="1"/>
      <c r="H866" s="1"/>
      <c r="I866" s="1"/>
      <c r="J866" s="1"/>
      <c r="K866" s="1"/>
      <c r="L866" s="1"/>
      <c r="M866" s="1"/>
      <c r="N866" s="1"/>
      <c r="O866" s="1"/>
      <c r="P866" s="1"/>
      <c r="Q866" s="1"/>
      <c r="R866" s="1"/>
      <c r="S866" s="1"/>
      <c r="T866" s="1"/>
    </row>
    <row r="867" ht="14.25" customHeight="1">
      <c r="A867" s="52"/>
      <c r="B867" s="53"/>
      <c r="C867" s="53"/>
      <c r="D867" s="53"/>
      <c r="E867" s="53"/>
      <c r="F867" s="53"/>
      <c r="G867" s="1"/>
      <c r="H867" s="1"/>
      <c r="I867" s="1"/>
      <c r="J867" s="1"/>
      <c r="K867" s="1"/>
      <c r="L867" s="1"/>
      <c r="M867" s="1"/>
      <c r="N867" s="1"/>
      <c r="O867" s="1"/>
      <c r="P867" s="1"/>
      <c r="Q867" s="1"/>
      <c r="R867" s="1"/>
      <c r="S867" s="1"/>
      <c r="T867" s="1"/>
    </row>
    <row r="868" ht="14.25" customHeight="1">
      <c r="A868" s="52"/>
      <c r="B868" s="53"/>
      <c r="C868" s="53"/>
      <c r="D868" s="53"/>
      <c r="E868" s="53"/>
      <c r="F868" s="53"/>
      <c r="G868" s="1"/>
      <c r="H868" s="1"/>
      <c r="I868" s="1"/>
      <c r="J868" s="1"/>
      <c r="K868" s="1"/>
      <c r="L868" s="1"/>
      <c r="M868" s="1"/>
      <c r="N868" s="1"/>
      <c r="O868" s="1"/>
      <c r="P868" s="1"/>
      <c r="Q868" s="1"/>
      <c r="R868" s="1"/>
      <c r="S868" s="1"/>
      <c r="T868" s="1"/>
    </row>
    <row r="869" ht="14.25" customHeight="1">
      <c r="A869" s="52"/>
      <c r="B869" s="53"/>
      <c r="C869" s="53"/>
      <c r="D869" s="53"/>
      <c r="E869" s="53"/>
      <c r="F869" s="53"/>
      <c r="G869" s="1"/>
      <c r="H869" s="1"/>
      <c r="I869" s="1"/>
      <c r="J869" s="1"/>
      <c r="K869" s="1"/>
      <c r="L869" s="1"/>
      <c r="M869" s="1"/>
      <c r="N869" s="1"/>
      <c r="O869" s="1"/>
      <c r="P869" s="1"/>
      <c r="Q869" s="1"/>
      <c r="R869" s="1"/>
      <c r="S869" s="1"/>
      <c r="T869" s="1"/>
    </row>
    <row r="870" ht="14.25" customHeight="1">
      <c r="A870" s="52"/>
      <c r="B870" s="53"/>
      <c r="C870" s="53"/>
      <c r="D870" s="53"/>
      <c r="E870" s="53"/>
      <c r="F870" s="53"/>
      <c r="G870" s="1"/>
      <c r="H870" s="1"/>
      <c r="I870" s="1"/>
      <c r="J870" s="1"/>
      <c r="K870" s="1"/>
      <c r="L870" s="1"/>
      <c r="M870" s="1"/>
      <c r="N870" s="1"/>
      <c r="O870" s="1"/>
      <c r="P870" s="1"/>
      <c r="Q870" s="1"/>
      <c r="R870" s="1"/>
      <c r="S870" s="1"/>
      <c r="T870" s="1"/>
    </row>
    <row r="871" ht="14.25" customHeight="1">
      <c r="A871" s="52"/>
      <c r="B871" s="53"/>
      <c r="C871" s="53"/>
      <c r="D871" s="53"/>
      <c r="E871" s="53"/>
      <c r="F871" s="53"/>
      <c r="G871" s="1"/>
      <c r="H871" s="1"/>
      <c r="I871" s="1"/>
      <c r="J871" s="1"/>
      <c r="K871" s="1"/>
      <c r="L871" s="1"/>
      <c r="M871" s="1"/>
      <c r="N871" s="1"/>
      <c r="O871" s="1"/>
      <c r="P871" s="1"/>
      <c r="Q871" s="1"/>
      <c r="R871" s="1"/>
      <c r="S871" s="1"/>
      <c r="T871" s="1"/>
    </row>
    <row r="872" ht="14.25" customHeight="1">
      <c r="A872" s="52"/>
      <c r="B872" s="53"/>
      <c r="C872" s="53"/>
      <c r="D872" s="53"/>
      <c r="E872" s="53"/>
      <c r="F872" s="53"/>
      <c r="G872" s="1"/>
      <c r="H872" s="1"/>
      <c r="I872" s="1"/>
      <c r="J872" s="1"/>
      <c r="K872" s="1"/>
      <c r="L872" s="1"/>
      <c r="M872" s="1"/>
      <c r="N872" s="1"/>
      <c r="O872" s="1"/>
      <c r="P872" s="1"/>
      <c r="Q872" s="1"/>
      <c r="R872" s="1"/>
      <c r="S872" s="1"/>
      <c r="T872" s="1"/>
    </row>
    <row r="873" ht="14.25" customHeight="1">
      <c r="A873" s="52"/>
      <c r="B873" s="53"/>
      <c r="C873" s="53"/>
      <c r="D873" s="53"/>
      <c r="E873" s="53"/>
      <c r="F873" s="53"/>
      <c r="G873" s="1"/>
      <c r="H873" s="1"/>
      <c r="I873" s="1"/>
      <c r="J873" s="1"/>
      <c r="K873" s="1"/>
      <c r="L873" s="1"/>
      <c r="M873" s="1"/>
      <c r="N873" s="1"/>
      <c r="O873" s="1"/>
      <c r="P873" s="1"/>
      <c r="Q873" s="1"/>
      <c r="R873" s="1"/>
      <c r="S873" s="1"/>
      <c r="T873" s="1"/>
    </row>
    <row r="874" ht="14.25" customHeight="1">
      <c r="A874" s="52"/>
      <c r="B874" s="53"/>
      <c r="C874" s="53"/>
      <c r="D874" s="53"/>
      <c r="E874" s="53"/>
      <c r="F874" s="53"/>
      <c r="G874" s="1"/>
      <c r="H874" s="1"/>
      <c r="I874" s="1"/>
      <c r="J874" s="1"/>
      <c r="K874" s="1"/>
      <c r="L874" s="1"/>
      <c r="M874" s="1"/>
      <c r="N874" s="1"/>
      <c r="O874" s="1"/>
      <c r="P874" s="1"/>
      <c r="Q874" s="1"/>
      <c r="R874" s="1"/>
      <c r="S874" s="1"/>
      <c r="T874" s="1"/>
    </row>
    <row r="875" ht="14.25" customHeight="1">
      <c r="A875" s="52"/>
      <c r="B875" s="53"/>
      <c r="C875" s="53"/>
      <c r="D875" s="53"/>
      <c r="E875" s="53"/>
      <c r="F875" s="53"/>
      <c r="G875" s="1"/>
      <c r="H875" s="1"/>
      <c r="I875" s="1"/>
      <c r="J875" s="1"/>
      <c r="K875" s="1"/>
      <c r="L875" s="1"/>
      <c r="M875" s="1"/>
      <c r="N875" s="1"/>
      <c r="O875" s="1"/>
      <c r="P875" s="1"/>
      <c r="Q875" s="1"/>
      <c r="R875" s="1"/>
      <c r="S875" s="1"/>
      <c r="T875" s="1"/>
    </row>
    <row r="876" ht="14.25" customHeight="1">
      <c r="A876" s="52"/>
      <c r="B876" s="53"/>
      <c r="C876" s="53"/>
      <c r="D876" s="53"/>
      <c r="E876" s="53"/>
      <c r="F876" s="53"/>
      <c r="G876" s="1"/>
      <c r="H876" s="1"/>
      <c r="I876" s="1"/>
      <c r="J876" s="1"/>
      <c r="K876" s="1"/>
      <c r="L876" s="1"/>
      <c r="M876" s="1"/>
      <c r="N876" s="1"/>
      <c r="O876" s="1"/>
      <c r="P876" s="1"/>
      <c r="Q876" s="1"/>
      <c r="R876" s="1"/>
      <c r="S876" s="1"/>
      <c r="T876" s="1"/>
    </row>
    <row r="877" ht="14.25" customHeight="1">
      <c r="A877" s="52"/>
      <c r="B877" s="53"/>
      <c r="C877" s="53"/>
      <c r="D877" s="53"/>
      <c r="E877" s="53"/>
      <c r="F877" s="53"/>
      <c r="G877" s="1"/>
      <c r="H877" s="1"/>
      <c r="I877" s="1"/>
      <c r="J877" s="1"/>
      <c r="K877" s="1"/>
      <c r="L877" s="1"/>
      <c r="M877" s="1"/>
      <c r="N877" s="1"/>
      <c r="O877" s="1"/>
      <c r="P877" s="1"/>
      <c r="Q877" s="1"/>
      <c r="R877" s="1"/>
      <c r="S877" s="1"/>
      <c r="T877" s="1"/>
    </row>
    <row r="878" ht="14.25" customHeight="1">
      <c r="A878" s="52"/>
      <c r="B878" s="53"/>
      <c r="C878" s="53"/>
      <c r="D878" s="53"/>
      <c r="E878" s="53"/>
      <c r="F878" s="53"/>
      <c r="G878" s="1"/>
      <c r="H878" s="1"/>
      <c r="I878" s="1"/>
      <c r="J878" s="1"/>
      <c r="K878" s="1"/>
      <c r="L878" s="1"/>
      <c r="M878" s="1"/>
      <c r="N878" s="1"/>
      <c r="O878" s="1"/>
      <c r="P878" s="1"/>
      <c r="Q878" s="1"/>
      <c r="R878" s="1"/>
      <c r="S878" s="1"/>
      <c r="T878" s="1"/>
    </row>
    <row r="879" ht="14.25" customHeight="1">
      <c r="A879" s="52"/>
      <c r="B879" s="53"/>
      <c r="C879" s="53"/>
      <c r="D879" s="53"/>
      <c r="E879" s="53"/>
      <c r="F879" s="53"/>
      <c r="G879" s="1"/>
      <c r="H879" s="1"/>
      <c r="I879" s="1"/>
      <c r="J879" s="1"/>
      <c r="K879" s="1"/>
      <c r="L879" s="1"/>
      <c r="M879" s="1"/>
      <c r="N879" s="1"/>
      <c r="O879" s="1"/>
      <c r="P879" s="1"/>
      <c r="Q879" s="1"/>
      <c r="R879" s="1"/>
      <c r="S879" s="1"/>
      <c r="T879" s="1"/>
    </row>
    <row r="880" ht="14.25" customHeight="1">
      <c r="A880" s="52"/>
      <c r="B880" s="53"/>
      <c r="C880" s="53"/>
      <c r="D880" s="53"/>
      <c r="E880" s="53"/>
      <c r="F880" s="53"/>
      <c r="G880" s="1"/>
      <c r="H880" s="1"/>
      <c r="I880" s="1"/>
      <c r="J880" s="1"/>
      <c r="K880" s="1"/>
      <c r="L880" s="1"/>
      <c r="M880" s="1"/>
      <c r="N880" s="1"/>
      <c r="O880" s="1"/>
      <c r="P880" s="1"/>
      <c r="Q880" s="1"/>
      <c r="R880" s="1"/>
      <c r="S880" s="1"/>
      <c r="T880" s="1"/>
    </row>
    <row r="881" ht="14.25" customHeight="1">
      <c r="A881" s="52"/>
      <c r="B881" s="53"/>
      <c r="C881" s="53"/>
      <c r="D881" s="53"/>
      <c r="E881" s="53"/>
      <c r="F881" s="53"/>
      <c r="G881" s="1"/>
      <c r="H881" s="1"/>
      <c r="I881" s="1"/>
      <c r="J881" s="1"/>
      <c r="K881" s="1"/>
      <c r="L881" s="1"/>
      <c r="M881" s="1"/>
      <c r="N881" s="1"/>
      <c r="O881" s="1"/>
      <c r="P881" s="1"/>
      <c r="Q881" s="1"/>
      <c r="R881" s="1"/>
      <c r="S881" s="1"/>
      <c r="T881" s="1"/>
    </row>
    <row r="882" ht="14.25" customHeight="1">
      <c r="A882" s="52"/>
      <c r="B882" s="53"/>
      <c r="C882" s="53"/>
      <c r="D882" s="53"/>
      <c r="E882" s="53"/>
      <c r="F882" s="53"/>
      <c r="G882" s="1"/>
      <c r="H882" s="1"/>
      <c r="I882" s="1"/>
      <c r="J882" s="1"/>
      <c r="K882" s="1"/>
      <c r="L882" s="1"/>
      <c r="M882" s="1"/>
      <c r="N882" s="1"/>
      <c r="O882" s="1"/>
      <c r="P882" s="1"/>
      <c r="Q882" s="1"/>
      <c r="R882" s="1"/>
      <c r="S882" s="1"/>
      <c r="T882" s="1"/>
    </row>
    <row r="883" ht="14.25" customHeight="1">
      <c r="A883" s="52"/>
      <c r="B883" s="53"/>
      <c r="C883" s="53"/>
      <c r="D883" s="53"/>
      <c r="E883" s="53"/>
      <c r="F883" s="53"/>
      <c r="G883" s="1"/>
      <c r="H883" s="1"/>
      <c r="I883" s="1"/>
      <c r="J883" s="1"/>
      <c r="K883" s="1"/>
      <c r="L883" s="1"/>
      <c r="M883" s="1"/>
      <c r="N883" s="1"/>
      <c r="O883" s="1"/>
      <c r="P883" s="1"/>
      <c r="Q883" s="1"/>
      <c r="R883" s="1"/>
      <c r="S883" s="1"/>
      <c r="T883" s="1"/>
    </row>
    <row r="884" ht="14.25" customHeight="1">
      <c r="A884" s="52"/>
      <c r="B884" s="53"/>
      <c r="C884" s="53"/>
      <c r="D884" s="53"/>
      <c r="E884" s="53"/>
      <c r="F884" s="53"/>
      <c r="G884" s="1"/>
      <c r="H884" s="1"/>
      <c r="I884" s="1"/>
      <c r="J884" s="1"/>
      <c r="K884" s="1"/>
      <c r="L884" s="1"/>
      <c r="M884" s="1"/>
      <c r="N884" s="1"/>
      <c r="O884" s="1"/>
      <c r="P884" s="1"/>
      <c r="Q884" s="1"/>
      <c r="R884" s="1"/>
      <c r="S884" s="1"/>
      <c r="T884" s="1"/>
    </row>
    <row r="885" ht="14.25" customHeight="1">
      <c r="A885" s="52"/>
      <c r="B885" s="53"/>
      <c r="C885" s="53"/>
      <c r="D885" s="53"/>
      <c r="E885" s="53"/>
      <c r="F885" s="53"/>
      <c r="G885" s="1"/>
      <c r="H885" s="1"/>
      <c r="I885" s="1"/>
      <c r="J885" s="1"/>
      <c r="K885" s="1"/>
      <c r="L885" s="1"/>
      <c r="M885" s="1"/>
      <c r="N885" s="1"/>
      <c r="O885" s="1"/>
      <c r="P885" s="1"/>
      <c r="Q885" s="1"/>
      <c r="R885" s="1"/>
      <c r="S885" s="1"/>
      <c r="T885" s="1"/>
    </row>
    <row r="886" ht="14.25" customHeight="1">
      <c r="A886" s="52"/>
      <c r="B886" s="53"/>
      <c r="C886" s="53"/>
      <c r="D886" s="53"/>
      <c r="E886" s="53"/>
      <c r="F886" s="53"/>
      <c r="G886" s="1"/>
      <c r="H886" s="1"/>
      <c r="I886" s="1"/>
      <c r="J886" s="1"/>
      <c r="K886" s="1"/>
      <c r="L886" s="1"/>
      <c r="M886" s="1"/>
      <c r="N886" s="1"/>
      <c r="O886" s="1"/>
      <c r="P886" s="1"/>
      <c r="Q886" s="1"/>
      <c r="R886" s="1"/>
      <c r="S886" s="1"/>
      <c r="T886" s="1"/>
    </row>
    <row r="887" ht="14.25" customHeight="1">
      <c r="A887" s="52"/>
      <c r="B887" s="53"/>
      <c r="C887" s="53"/>
      <c r="D887" s="53"/>
      <c r="E887" s="53"/>
      <c r="F887" s="53"/>
      <c r="G887" s="1"/>
      <c r="H887" s="1"/>
      <c r="I887" s="1"/>
      <c r="J887" s="1"/>
      <c r="K887" s="1"/>
      <c r="L887" s="1"/>
      <c r="M887" s="1"/>
      <c r="N887" s="1"/>
      <c r="O887" s="1"/>
      <c r="P887" s="1"/>
      <c r="Q887" s="1"/>
      <c r="R887" s="1"/>
      <c r="S887" s="1"/>
      <c r="T887" s="1"/>
    </row>
    <row r="888" ht="14.25" customHeight="1">
      <c r="A888" s="52"/>
      <c r="B888" s="53"/>
      <c r="C888" s="53"/>
      <c r="D888" s="53"/>
      <c r="E888" s="53"/>
      <c r="F888" s="53"/>
      <c r="G888" s="1"/>
      <c r="H888" s="1"/>
      <c r="I888" s="1"/>
      <c r="J888" s="1"/>
      <c r="K888" s="1"/>
      <c r="L888" s="1"/>
      <c r="M888" s="1"/>
      <c r="N888" s="1"/>
      <c r="O888" s="1"/>
      <c r="P888" s="1"/>
      <c r="Q888" s="1"/>
      <c r="R888" s="1"/>
      <c r="S888" s="1"/>
      <c r="T888" s="1"/>
    </row>
    <row r="889" ht="14.25" customHeight="1">
      <c r="A889" s="52"/>
      <c r="B889" s="53"/>
      <c r="C889" s="53"/>
      <c r="D889" s="53"/>
      <c r="E889" s="53"/>
      <c r="F889" s="53"/>
      <c r="G889" s="1"/>
      <c r="H889" s="1"/>
      <c r="I889" s="1"/>
      <c r="J889" s="1"/>
      <c r="K889" s="1"/>
      <c r="L889" s="1"/>
      <c r="M889" s="1"/>
      <c r="N889" s="1"/>
      <c r="O889" s="1"/>
      <c r="P889" s="1"/>
      <c r="Q889" s="1"/>
      <c r="R889" s="1"/>
      <c r="S889" s="1"/>
      <c r="T889" s="1"/>
    </row>
    <row r="890" ht="14.25" customHeight="1">
      <c r="A890" s="52"/>
      <c r="B890" s="53"/>
      <c r="C890" s="53"/>
      <c r="D890" s="53"/>
      <c r="E890" s="53"/>
      <c r="F890" s="53"/>
      <c r="G890" s="1"/>
      <c r="H890" s="1"/>
      <c r="I890" s="1"/>
      <c r="J890" s="1"/>
      <c r="K890" s="1"/>
      <c r="L890" s="1"/>
      <c r="M890" s="1"/>
      <c r="N890" s="1"/>
      <c r="O890" s="1"/>
      <c r="P890" s="1"/>
      <c r="Q890" s="1"/>
      <c r="R890" s="1"/>
      <c r="S890" s="1"/>
      <c r="T890" s="1"/>
    </row>
    <row r="891" ht="14.25" customHeight="1">
      <c r="A891" s="52"/>
      <c r="B891" s="53"/>
      <c r="C891" s="53"/>
      <c r="D891" s="53"/>
      <c r="E891" s="53"/>
      <c r="F891" s="53"/>
      <c r="G891" s="1"/>
      <c r="H891" s="1"/>
      <c r="I891" s="1"/>
      <c r="J891" s="1"/>
      <c r="K891" s="1"/>
      <c r="L891" s="1"/>
      <c r="M891" s="1"/>
      <c r="N891" s="1"/>
      <c r="O891" s="1"/>
      <c r="P891" s="1"/>
      <c r="Q891" s="1"/>
      <c r="R891" s="1"/>
      <c r="S891" s="1"/>
      <c r="T891" s="1"/>
    </row>
    <row r="892" ht="14.25" customHeight="1">
      <c r="A892" s="52"/>
      <c r="B892" s="53"/>
      <c r="C892" s="53"/>
      <c r="D892" s="53"/>
      <c r="E892" s="53"/>
      <c r="F892" s="53"/>
      <c r="G892" s="1"/>
      <c r="H892" s="1"/>
      <c r="I892" s="1"/>
      <c r="J892" s="1"/>
      <c r="K892" s="1"/>
      <c r="L892" s="1"/>
      <c r="M892" s="1"/>
      <c r="N892" s="1"/>
      <c r="O892" s="1"/>
      <c r="P892" s="1"/>
      <c r="Q892" s="1"/>
      <c r="R892" s="1"/>
      <c r="S892" s="1"/>
      <c r="T892" s="1"/>
    </row>
    <row r="893" ht="14.25" customHeight="1">
      <c r="A893" s="52"/>
      <c r="B893" s="53"/>
      <c r="C893" s="53"/>
      <c r="D893" s="53"/>
      <c r="E893" s="53"/>
      <c r="F893" s="53"/>
      <c r="G893" s="1"/>
      <c r="H893" s="1"/>
      <c r="I893" s="1"/>
      <c r="J893" s="1"/>
      <c r="K893" s="1"/>
      <c r="L893" s="1"/>
      <c r="M893" s="1"/>
      <c r="N893" s="1"/>
      <c r="O893" s="1"/>
      <c r="P893" s="1"/>
      <c r="Q893" s="1"/>
      <c r="R893" s="1"/>
      <c r="S893" s="1"/>
      <c r="T893" s="1"/>
    </row>
    <row r="894" ht="14.25" customHeight="1">
      <c r="A894" s="52"/>
      <c r="B894" s="53"/>
      <c r="C894" s="53"/>
      <c r="D894" s="53"/>
      <c r="E894" s="53"/>
      <c r="F894" s="53"/>
      <c r="G894" s="1"/>
      <c r="H894" s="1"/>
      <c r="I894" s="1"/>
      <c r="J894" s="1"/>
      <c r="K894" s="1"/>
      <c r="L894" s="1"/>
      <c r="M894" s="1"/>
      <c r="N894" s="1"/>
      <c r="O894" s="1"/>
      <c r="P894" s="1"/>
      <c r="Q894" s="1"/>
      <c r="R894" s="1"/>
      <c r="S894" s="1"/>
      <c r="T894" s="1"/>
    </row>
    <row r="895" ht="14.25" customHeight="1">
      <c r="A895" s="52"/>
      <c r="B895" s="53"/>
      <c r="C895" s="53"/>
      <c r="D895" s="53"/>
      <c r="E895" s="53"/>
      <c r="F895" s="53"/>
      <c r="G895" s="1"/>
      <c r="H895" s="1"/>
      <c r="I895" s="1"/>
      <c r="J895" s="1"/>
      <c r="K895" s="1"/>
      <c r="L895" s="1"/>
      <c r="M895" s="1"/>
      <c r="N895" s="1"/>
      <c r="O895" s="1"/>
      <c r="P895" s="1"/>
      <c r="Q895" s="1"/>
      <c r="R895" s="1"/>
      <c r="S895" s="1"/>
      <c r="T895" s="1"/>
    </row>
    <row r="896" ht="14.25" customHeight="1">
      <c r="A896" s="52"/>
      <c r="B896" s="53"/>
      <c r="C896" s="53"/>
      <c r="D896" s="53"/>
      <c r="E896" s="53"/>
      <c r="F896" s="53"/>
      <c r="G896" s="1"/>
      <c r="H896" s="1"/>
      <c r="I896" s="1"/>
      <c r="J896" s="1"/>
      <c r="K896" s="1"/>
      <c r="L896" s="1"/>
      <c r="M896" s="1"/>
      <c r="N896" s="1"/>
      <c r="O896" s="1"/>
      <c r="P896" s="1"/>
      <c r="Q896" s="1"/>
      <c r="R896" s="1"/>
      <c r="S896" s="1"/>
      <c r="T896" s="1"/>
    </row>
    <row r="897" ht="14.25" customHeight="1">
      <c r="A897" s="52"/>
      <c r="B897" s="53"/>
      <c r="C897" s="53"/>
      <c r="D897" s="53"/>
      <c r="E897" s="53"/>
      <c r="F897" s="53"/>
      <c r="G897" s="1"/>
      <c r="H897" s="1"/>
      <c r="I897" s="1"/>
      <c r="J897" s="1"/>
      <c r="K897" s="1"/>
      <c r="L897" s="1"/>
      <c r="M897" s="1"/>
      <c r="N897" s="1"/>
      <c r="O897" s="1"/>
      <c r="P897" s="1"/>
      <c r="Q897" s="1"/>
      <c r="R897" s="1"/>
      <c r="S897" s="1"/>
      <c r="T897" s="1"/>
    </row>
    <row r="898" ht="14.25" customHeight="1">
      <c r="A898" s="52"/>
      <c r="B898" s="53"/>
      <c r="C898" s="53"/>
      <c r="D898" s="53"/>
      <c r="E898" s="53"/>
      <c r="F898" s="53"/>
      <c r="G898" s="1"/>
      <c r="H898" s="1"/>
      <c r="I898" s="1"/>
      <c r="J898" s="1"/>
      <c r="K898" s="1"/>
      <c r="L898" s="1"/>
      <c r="M898" s="1"/>
      <c r="N898" s="1"/>
      <c r="O898" s="1"/>
      <c r="P898" s="1"/>
      <c r="Q898" s="1"/>
      <c r="R898" s="1"/>
      <c r="S898" s="1"/>
      <c r="T898" s="1"/>
    </row>
    <row r="899" ht="14.25" customHeight="1">
      <c r="A899" s="52"/>
      <c r="B899" s="53"/>
      <c r="C899" s="53"/>
      <c r="D899" s="53"/>
      <c r="E899" s="53"/>
      <c r="F899" s="53"/>
      <c r="G899" s="1"/>
      <c r="H899" s="1"/>
      <c r="I899" s="1"/>
      <c r="J899" s="1"/>
      <c r="K899" s="1"/>
      <c r="L899" s="1"/>
      <c r="M899" s="1"/>
      <c r="N899" s="1"/>
      <c r="O899" s="1"/>
      <c r="P899" s="1"/>
      <c r="Q899" s="1"/>
      <c r="R899" s="1"/>
      <c r="S899" s="1"/>
      <c r="T899" s="1"/>
    </row>
    <row r="900" ht="14.25" customHeight="1">
      <c r="A900" s="52"/>
      <c r="B900" s="53"/>
      <c r="C900" s="53"/>
      <c r="D900" s="53"/>
      <c r="E900" s="53"/>
      <c r="F900" s="53"/>
      <c r="G900" s="1"/>
      <c r="H900" s="1"/>
      <c r="I900" s="1"/>
      <c r="J900" s="1"/>
      <c r="K900" s="1"/>
      <c r="L900" s="1"/>
      <c r="M900" s="1"/>
      <c r="N900" s="1"/>
      <c r="O900" s="1"/>
      <c r="P900" s="1"/>
      <c r="Q900" s="1"/>
      <c r="R900" s="1"/>
      <c r="S900" s="1"/>
      <c r="T900" s="1"/>
    </row>
    <row r="901" ht="14.25" customHeight="1">
      <c r="A901" s="52"/>
      <c r="B901" s="53"/>
      <c r="C901" s="53"/>
      <c r="D901" s="53"/>
      <c r="E901" s="53"/>
      <c r="F901" s="53"/>
      <c r="G901" s="1"/>
      <c r="H901" s="1"/>
      <c r="I901" s="1"/>
      <c r="J901" s="1"/>
      <c r="K901" s="1"/>
      <c r="L901" s="1"/>
      <c r="M901" s="1"/>
      <c r="N901" s="1"/>
      <c r="O901" s="1"/>
      <c r="P901" s="1"/>
      <c r="Q901" s="1"/>
      <c r="R901" s="1"/>
      <c r="S901" s="1"/>
      <c r="T901" s="1"/>
    </row>
    <row r="902" ht="14.25" customHeight="1">
      <c r="A902" s="52"/>
      <c r="B902" s="53"/>
      <c r="C902" s="53"/>
      <c r="D902" s="53"/>
      <c r="E902" s="53"/>
      <c r="F902" s="53"/>
      <c r="G902" s="1"/>
      <c r="H902" s="1"/>
      <c r="I902" s="1"/>
      <c r="J902" s="1"/>
      <c r="K902" s="1"/>
      <c r="L902" s="1"/>
      <c r="M902" s="1"/>
      <c r="N902" s="1"/>
      <c r="O902" s="1"/>
      <c r="P902" s="1"/>
      <c r="Q902" s="1"/>
      <c r="R902" s="1"/>
      <c r="S902" s="1"/>
      <c r="T902" s="1"/>
    </row>
    <row r="903" ht="14.25" customHeight="1">
      <c r="A903" s="52"/>
      <c r="B903" s="53"/>
      <c r="C903" s="53"/>
      <c r="D903" s="53"/>
      <c r="E903" s="53"/>
      <c r="F903" s="53"/>
      <c r="G903" s="1"/>
      <c r="H903" s="1"/>
      <c r="I903" s="1"/>
      <c r="J903" s="1"/>
      <c r="K903" s="1"/>
      <c r="L903" s="1"/>
      <c r="M903" s="1"/>
      <c r="N903" s="1"/>
      <c r="O903" s="1"/>
      <c r="P903" s="1"/>
      <c r="Q903" s="1"/>
      <c r="R903" s="1"/>
      <c r="S903" s="1"/>
      <c r="T903" s="1"/>
    </row>
    <row r="904" ht="14.25" customHeight="1">
      <c r="A904" s="52"/>
      <c r="B904" s="53"/>
      <c r="C904" s="53"/>
      <c r="D904" s="53"/>
      <c r="E904" s="53"/>
      <c r="F904" s="53"/>
      <c r="G904" s="1"/>
      <c r="H904" s="1"/>
      <c r="I904" s="1"/>
      <c r="J904" s="1"/>
      <c r="K904" s="1"/>
      <c r="L904" s="1"/>
      <c r="M904" s="1"/>
      <c r="N904" s="1"/>
      <c r="O904" s="1"/>
      <c r="P904" s="1"/>
      <c r="Q904" s="1"/>
      <c r="R904" s="1"/>
      <c r="S904" s="1"/>
      <c r="T904" s="1"/>
    </row>
    <row r="905" ht="14.25" customHeight="1">
      <c r="A905" s="52"/>
      <c r="B905" s="53"/>
      <c r="C905" s="53"/>
      <c r="D905" s="53"/>
      <c r="E905" s="53"/>
      <c r="F905" s="53"/>
      <c r="G905" s="1"/>
      <c r="H905" s="1"/>
      <c r="I905" s="1"/>
      <c r="J905" s="1"/>
      <c r="K905" s="1"/>
      <c r="L905" s="1"/>
      <c r="M905" s="1"/>
      <c r="N905" s="1"/>
      <c r="O905" s="1"/>
      <c r="P905" s="1"/>
      <c r="Q905" s="1"/>
      <c r="R905" s="1"/>
      <c r="S905" s="1"/>
      <c r="T905" s="1"/>
    </row>
    <row r="906" ht="14.25" customHeight="1">
      <c r="A906" s="52"/>
      <c r="B906" s="53"/>
      <c r="C906" s="53"/>
      <c r="D906" s="53"/>
      <c r="E906" s="53"/>
      <c r="F906" s="53"/>
      <c r="G906" s="1"/>
      <c r="H906" s="1"/>
      <c r="I906" s="1"/>
      <c r="J906" s="1"/>
      <c r="K906" s="1"/>
      <c r="L906" s="1"/>
      <c r="M906" s="1"/>
      <c r="N906" s="1"/>
      <c r="O906" s="1"/>
      <c r="P906" s="1"/>
      <c r="Q906" s="1"/>
      <c r="R906" s="1"/>
      <c r="S906" s="1"/>
      <c r="T906" s="1"/>
    </row>
    <row r="907" ht="14.25" customHeight="1">
      <c r="A907" s="52"/>
      <c r="B907" s="53"/>
      <c r="C907" s="53"/>
      <c r="D907" s="53"/>
      <c r="E907" s="53"/>
      <c r="F907" s="53"/>
      <c r="G907" s="1"/>
      <c r="H907" s="1"/>
      <c r="I907" s="1"/>
      <c r="J907" s="1"/>
      <c r="K907" s="1"/>
      <c r="L907" s="1"/>
      <c r="M907" s="1"/>
      <c r="N907" s="1"/>
      <c r="O907" s="1"/>
      <c r="P907" s="1"/>
      <c r="Q907" s="1"/>
      <c r="R907" s="1"/>
      <c r="S907" s="1"/>
      <c r="T907" s="1"/>
    </row>
    <row r="908" ht="14.25" customHeight="1">
      <c r="A908" s="52"/>
      <c r="B908" s="53"/>
      <c r="C908" s="53"/>
      <c r="D908" s="53"/>
      <c r="E908" s="53"/>
      <c r="F908" s="53"/>
      <c r="G908" s="1"/>
      <c r="H908" s="1"/>
      <c r="I908" s="1"/>
      <c r="J908" s="1"/>
      <c r="K908" s="1"/>
      <c r="L908" s="1"/>
      <c r="M908" s="1"/>
      <c r="N908" s="1"/>
      <c r="O908" s="1"/>
      <c r="P908" s="1"/>
      <c r="Q908" s="1"/>
      <c r="R908" s="1"/>
      <c r="S908" s="1"/>
      <c r="T908" s="1"/>
    </row>
    <row r="909" ht="14.25" customHeight="1">
      <c r="A909" s="52"/>
      <c r="B909" s="53"/>
      <c r="C909" s="53"/>
      <c r="D909" s="53"/>
      <c r="E909" s="53"/>
      <c r="F909" s="53"/>
      <c r="G909" s="1"/>
      <c r="H909" s="1"/>
      <c r="I909" s="1"/>
      <c r="J909" s="1"/>
      <c r="K909" s="1"/>
      <c r="L909" s="1"/>
      <c r="M909" s="1"/>
      <c r="N909" s="1"/>
      <c r="O909" s="1"/>
      <c r="P909" s="1"/>
      <c r="Q909" s="1"/>
      <c r="R909" s="1"/>
      <c r="S909" s="1"/>
      <c r="T909" s="1"/>
    </row>
    <row r="910" ht="14.25" customHeight="1">
      <c r="A910" s="52"/>
      <c r="B910" s="53"/>
      <c r="C910" s="53"/>
      <c r="D910" s="53"/>
      <c r="E910" s="53"/>
      <c r="F910" s="53"/>
      <c r="G910" s="1"/>
      <c r="H910" s="1"/>
      <c r="I910" s="1"/>
      <c r="J910" s="1"/>
      <c r="K910" s="1"/>
      <c r="L910" s="1"/>
      <c r="M910" s="1"/>
      <c r="N910" s="1"/>
      <c r="O910" s="1"/>
      <c r="P910" s="1"/>
      <c r="Q910" s="1"/>
      <c r="R910" s="1"/>
      <c r="S910" s="1"/>
      <c r="T910" s="1"/>
    </row>
    <row r="911" ht="14.25" customHeight="1">
      <c r="A911" s="52"/>
      <c r="B911" s="53"/>
      <c r="C911" s="53"/>
      <c r="D911" s="53"/>
      <c r="E911" s="53"/>
      <c r="F911" s="53"/>
      <c r="G911" s="1"/>
      <c r="H911" s="1"/>
      <c r="I911" s="1"/>
      <c r="J911" s="1"/>
      <c r="K911" s="1"/>
      <c r="L911" s="1"/>
      <c r="M911" s="1"/>
      <c r="N911" s="1"/>
      <c r="O911" s="1"/>
      <c r="P911" s="1"/>
      <c r="Q911" s="1"/>
      <c r="R911" s="1"/>
      <c r="S911" s="1"/>
      <c r="T911" s="1"/>
    </row>
    <row r="912" ht="14.25" customHeight="1">
      <c r="A912" s="52"/>
      <c r="B912" s="53"/>
      <c r="C912" s="53"/>
      <c r="D912" s="53"/>
      <c r="E912" s="53"/>
      <c r="F912" s="53"/>
      <c r="G912" s="1"/>
      <c r="H912" s="1"/>
      <c r="I912" s="1"/>
      <c r="J912" s="1"/>
      <c r="K912" s="1"/>
      <c r="L912" s="1"/>
      <c r="M912" s="1"/>
      <c r="N912" s="1"/>
      <c r="O912" s="1"/>
      <c r="P912" s="1"/>
      <c r="Q912" s="1"/>
      <c r="R912" s="1"/>
      <c r="S912" s="1"/>
      <c r="T912" s="1"/>
    </row>
    <row r="913" ht="14.25" customHeight="1">
      <c r="A913" s="52"/>
      <c r="B913" s="53"/>
      <c r="C913" s="53"/>
      <c r="D913" s="53"/>
      <c r="E913" s="53"/>
      <c r="F913" s="53"/>
      <c r="G913" s="1"/>
      <c r="H913" s="1"/>
      <c r="I913" s="1"/>
      <c r="J913" s="1"/>
      <c r="K913" s="1"/>
      <c r="L913" s="1"/>
      <c r="M913" s="1"/>
      <c r="N913" s="1"/>
      <c r="O913" s="1"/>
      <c r="P913" s="1"/>
      <c r="Q913" s="1"/>
      <c r="R913" s="1"/>
      <c r="S913" s="1"/>
      <c r="T913" s="1"/>
    </row>
    <row r="914" ht="14.25" customHeight="1">
      <c r="A914" s="52"/>
      <c r="B914" s="53"/>
      <c r="C914" s="53"/>
      <c r="D914" s="53"/>
      <c r="E914" s="53"/>
      <c r="F914" s="53"/>
      <c r="G914" s="1"/>
      <c r="H914" s="1"/>
      <c r="I914" s="1"/>
      <c r="J914" s="1"/>
      <c r="K914" s="1"/>
      <c r="L914" s="1"/>
      <c r="M914" s="1"/>
      <c r="N914" s="1"/>
      <c r="O914" s="1"/>
      <c r="P914" s="1"/>
      <c r="Q914" s="1"/>
      <c r="R914" s="1"/>
      <c r="S914" s="1"/>
      <c r="T914" s="1"/>
    </row>
    <row r="915" ht="14.25" customHeight="1">
      <c r="A915" s="52"/>
      <c r="B915" s="53"/>
      <c r="C915" s="53"/>
      <c r="D915" s="53"/>
      <c r="E915" s="53"/>
      <c r="F915" s="53"/>
      <c r="G915" s="1"/>
      <c r="H915" s="1"/>
      <c r="I915" s="1"/>
      <c r="J915" s="1"/>
      <c r="K915" s="1"/>
      <c r="L915" s="1"/>
      <c r="M915" s="1"/>
      <c r="N915" s="1"/>
      <c r="O915" s="1"/>
      <c r="P915" s="1"/>
      <c r="Q915" s="1"/>
      <c r="R915" s="1"/>
      <c r="S915" s="1"/>
      <c r="T915" s="1"/>
    </row>
    <row r="916" ht="14.25" customHeight="1">
      <c r="A916" s="52"/>
      <c r="B916" s="53"/>
      <c r="C916" s="53"/>
      <c r="D916" s="53"/>
      <c r="E916" s="53"/>
      <c r="F916" s="53"/>
      <c r="G916" s="1"/>
      <c r="H916" s="1"/>
      <c r="I916" s="1"/>
      <c r="J916" s="1"/>
      <c r="K916" s="1"/>
      <c r="L916" s="1"/>
      <c r="M916" s="1"/>
      <c r="N916" s="1"/>
      <c r="O916" s="1"/>
      <c r="P916" s="1"/>
      <c r="Q916" s="1"/>
      <c r="R916" s="1"/>
      <c r="S916" s="1"/>
      <c r="T916" s="1"/>
    </row>
    <row r="917" ht="14.25" customHeight="1">
      <c r="A917" s="52"/>
      <c r="B917" s="53"/>
      <c r="C917" s="53"/>
      <c r="D917" s="53"/>
      <c r="E917" s="53"/>
      <c r="F917" s="53"/>
      <c r="G917" s="1"/>
      <c r="H917" s="1"/>
      <c r="I917" s="1"/>
      <c r="J917" s="1"/>
      <c r="K917" s="1"/>
      <c r="L917" s="1"/>
      <c r="M917" s="1"/>
      <c r="N917" s="1"/>
      <c r="O917" s="1"/>
      <c r="P917" s="1"/>
      <c r="Q917" s="1"/>
      <c r="R917" s="1"/>
      <c r="S917" s="1"/>
      <c r="T917" s="1"/>
    </row>
    <row r="918" ht="14.25" customHeight="1">
      <c r="A918" s="52"/>
      <c r="B918" s="53"/>
      <c r="C918" s="53"/>
      <c r="D918" s="53"/>
      <c r="E918" s="53"/>
      <c r="F918" s="53"/>
      <c r="G918" s="1"/>
      <c r="H918" s="1"/>
      <c r="I918" s="1"/>
      <c r="J918" s="1"/>
      <c r="K918" s="1"/>
      <c r="L918" s="1"/>
      <c r="M918" s="1"/>
      <c r="N918" s="1"/>
      <c r="O918" s="1"/>
      <c r="P918" s="1"/>
      <c r="Q918" s="1"/>
      <c r="R918" s="1"/>
      <c r="S918" s="1"/>
      <c r="T918" s="1"/>
    </row>
    <row r="919" ht="14.25" customHeight="1">
      <c r="A919" s="52"/>
      <c r="B919" s="53"/>
      <c r="C919" s="53"/>
      <c r="D919" s="53"/>
      <c r="E919" s="53"/>
      <c r="F919" s="53"/>
      <c r="G919" s="1"/>
      <c r="H919" s="1"/>
      <c r="I919" s="1"/>
      <c r="J919" s="1"/>
      <c r="K919" s="1"/>
      <c r="L919" s="1"/>
      <c r="M919" s="1"/>
      <c r="N919" s="1"/>
      <c r="O919" s="1"/>
      <c r="P919" s="1"/>
      <c r="Q919" s="1"/>
      <c r="R919" s="1"/>
      <c r="S919" s="1"/>
      <c r="T919" s="1"/>
    </row>
    <row r="920" ht="14.25" customHeight="1">
      <c r="A920" s="52"/>
      <c r="B920" s="53"/>
      <c r="C920" s="53"/>
      <c r="D920" s="53"/>
      <c r="E920" s="53"/>
      <c r="F920" s="53"/>
      <c r="G920" s="1"/>
      <c r="H920" s="1"/>
      <c r="I920" s="1"/>
      <c r="J920" s="1"/>
      <c r="K920" s="1"/>
      <c r="L920" s="1"/>
      <c r="M920" s="1"/>
      <c r="N920" s="1"/>
      <c r="O920" s="1"/>
      <c r="P920" s="1"/>
      <c r="Q920" s="1"/>
      <c r="R920" s="1"/>
      <c r="S920" s="1"/>
      <c r="T920" s="1"/>
    </row>
    <row r="921" ht="14.25" customHeight="1">
      <c r="A921" s="52"/>
      <c r="B921" s="53"/>
      <c r="C921" s="53"/>
      <c r="D921" s="53"/>
      <c r="E921" s="53"/>
      <c r="F921" s="53"/>
      <c r="G921" s="1"/>
      <c r="H921" s="1"/>
      <c r="I921" s="1"/>
      <c r="J921" s="1"/>
      <c r="K921" s="1"/>
      <c r="L921" s="1"/>
      <c r="M921" s="1"/>
      <c r="N921" s="1"/>
      <c r="O921" s="1"/>
      <c r="P921" s="1"/>
      <c r="Q921" s="1"/>
      <c r="R921" s="1"/>
      <c r="S921" s="1"/>
      <c r="T921" s="1"/>
    </row>
    <row r="922" ht="14.25" customHeight="1">
      <c r="A922" s="52"/>
      <c r="B922" s="53"/>
      <c r="C922" s="53"/>
      <c r="D922" s="53"/>
      <c r="E922" s="53"/>
      <c r="F922" s="53"/>
      <c r="G922" s="1"/>
      <c r="H922" s="1"/>
      <c r="I922" s="1"/>
      <c r="J922" s="1"/>
      <c r="K922" s="1"/>
      <c r="L922" s="1"/>
      <c r="M922" s="1"/>
      <c r="N922" s="1"/>
      <c r="O922" s="1"/>
      <c r="P922" s="1"/>
      <c r="Q922" s="1"/>
      <c r="R922" s="1"/>
      <c r="S922" s="1"/>
      <c r="T922" s="1"/>
    </row>
    <row r="923" ht="14.25" customHeight="1">
      <c r="A923" s="52"/>
      <c r="B923" s="53"/>
      <c r="C923" s="53"/>
      <c r="D923" s="53"/>
      <c r="E923" s="53"/>
      <c r="F923" s="53"/>
      <c r="G923" s="1"/>
      <c r="H923" s="1"/>
      <c r="I923" s="1"/>
      <c r="J923" s="1"/>
      <c r="K923" s="1"/>
      <c r="L923" s="1"/>
      <c r="M923" s="1"/>
      <c r="N923" s="1"/>
      <c r="O923" s="1"/>
      <c r="P923" s="1"/>
      <c r="Q923" s="1"/>
      <c r="R923" s="1"/>
      <c r="S923" s="1"/>
      <c r="T923" s="1"/>
    </row>
    <row r="924" ht="14.25" customHeight="1">
      <c r="A924" s="52"/>
      <c r="B924" s="53"/>
      <c r="C924" s="53"/>
      <c r="D924" s="53"/>
      <c r="E924" s="53"/>
      <c r="F924" s="53"/>
      <c r="G924" s="1"/>
      <c r="H924" s="1"/>
      <c r="I924" s="1"/>
      <c r="J924" s="1"/>
      <c r="K924" s="1"/>
      <c r="L924" s="1"/>
      <c r="M924" s="1"/>
      <c r="N924" s="1"/>
      <c r="O924" s="1"/>
      <c r="P924" s="1"/>
      <c r="Q924" s="1"/>
      <c r="R924" s="1"/>
      <c r="S924" s="1"/>
      <c r="T924" s="1"/>
    </row>
    <row r="925" ht="14.25" customHeight="1">
      <c r="A925" s="52"/>
      <c r="B925" s="53"/>
      <c r="C925" s="53"/>
      <c r="D925" s="53"/>
      <c r="E925" s="53"/>
      <c r="F925" s="53"/>
      <c r="G925" s="1"/>
      <c r="H925" s="1"/>
      <c r="I925" s="1"/>
      <c r="J925" s="1"/>
      <c r="K925" s="1"/>
      <c r="L925" s="1"/>
      <c r="M925" s="1"/>
      <c r="N925" s="1"/>
      <c r="O925" s="1"/>
      <c r="P925" s="1"/>
      <c r="Q925" s="1"/>
      <c r="R925" s="1"/>
      <c r="S925" s="1"/>
      <c r="T925" s="1"/>
    </row>
    <row r="926" ht="14.25" customHeight="1">
      <c r="A926" s="52"/>
      <c r="B926" s="53"/>
      <c r="C926" s="53"/>
      <c r="D926" s="53"/>
      <c r="E926" s="53"/>
      <c r="F926" s="53"/>
      <c r="G926" s="1"/>
      <c r="H926" s="1"/>
      <c r="I926" s="1"/>
      <c r="J926" s="1"/>
      <c r="K926" s="1"/>
      <c r="L926" s="1"/>
      <c r="M926" s="1"/>
      <c r="N926" s="1"/>
      <c r="O926" s="1"/>
      <c r="P926" s="1"/>
      <c r="Q926" s="1"/>
      <c r="R926" s="1"/>
      <c r="S926" s="1"/>
      <c r="T926" s="1"/>
    </row>
    <row r="927" ht="14.25" customHeight="1">
      <c r="A927" s="52"/>
      <c r="B927" s="53"/>
      <c r="C927" s="53"/>
      <c r="D927" s="53"/>
      <c r="E927" s="53"/>
      <c r="F927" s="53"/>
      <c r="G927" s="1"/>
      <c r="H927" s="1"/>
      <c r="I927" s="1"/>
      <c r="J927" s="1"/>
      <c r="K927" s="1"/>
      <c r="L927" s="1"/>
      <c r="M927" s="1"/>
      <c r="N927" s="1"/>
      <c r="O927" s="1"/>
      <c r="P927" s="1"/>
      <c r="Q927" s="1"/>
      <c r="R927" s="1"/>
      <c r="S927" s="1"/>
      <c r="T927" s="1"/>
    </row>
    <row r="928" ht="14.25" customHeight="1">
      <c r="A928" s="52"/>
      <c r="B928" s="53"/>
      <c r="C928" s="53"/>
      <c r="D928" s="53"/>
      <c r="E928" s="53"/>
      <c r="F928" s="53"/>
      <c r="G928" s="1"/>
      <c r="H928" s="1"/>
      <c r="I928" s="1"/>
      <c r="J928" s="1"/>
      <c r="K928" s="1"/>
      <c r="L928" s="1"/>
      <c r="M928" s="1"/>
      <c r="N928" s="1"/>
      <c r="O928" s="1"/>
      <c r="P928" s="1"/>
      <c r="Q928" s="1"/>
      <c r="R928" s="1"/>
      <c r="S928" s="1"/>
      <c r="T928" s="1"/>
    </row>
    <row r="929" ht="14.25" customHeight="1">
      <c r="A929" s="52"/>
      <c r="B929" s="53"/>
      <c r="C929" s="53"/>
      <c r="D929" s="53"/>
      <c r="E929" s="53"/>
      <c r="F929" s="53"/>
      <c r="G929" s="1"/>
      <c r="H929" s="1"/>
      <c r="I929" s="1"/>
      <c r="J929" s="1"/>
      <c r="K929" s="1"/>
      <c r="L929" s="1"/>
      <c r="M929" s="1"/>
      <c r="N929" s="1"/>
      <c r="O929" s="1"/>
      <c r="P929" s="1"/>
      <c r="Q929" s="1"/>
      <c r="R929" s="1"/>
      <c r="S929" s="1"/>
      <c r="T929" s="1"/>
    </row>
    <row r="930" ht="14.25" customHeight="1">
      <c r="A930" s="52"/>
      <c r="B930" s="53"/>
      <c r="C930" s="53"/>
      <c r="D930" s="53"/>
      <c r="E930" s="53"/>
      <c r="F930" s="53"/>
      <c r="G930" s="1"/>
      <c r="H930" s="1"/>
      <c r="I930" s="1"/>
      <c r="J930" s="1"/>
      <c r="K930" s="1"/>
      <c r="L930" s="1"/>
      <c r="M930" s="1"/>
      <c r="N930" s="1"/>
      <c r="O930" s="1"/>
      <c r="P930" s="1"/>
      <c r="Q930" s="1"/>
      <c r="R930" s="1"/>
      <c r="S930" s="1"/>
      <c r="T930" s="1"/>
    </row>
    <row r="931" ht="14.25" customHeight="1">
      <c r="A931" s="52"/>
      <c r="B931" s="53"/>
      <c r="C931" s="53"/>
      <c r="D931" s="53"/>
      <c r="E931" s="53"/>
      <c r="F931" s="53"/>
      <c r="G931" s="1"/>
      <c r="H931" s="1"/>
      <c r="I931" s="1"/>
      <c r="J931" s="1"/>
      <c r="K931" s="1"/>
      <c r="L931" s="1"/>
      <c r="M931" s="1"/>
      <c r="N931" s="1"/>
      <c r="O931" s="1"/>
      <c r="P931" s="1"/>
      <c r="Q931" s="1"/>
      <c r="R931" s="1"/>
      <c r="S931" s="1"/>
      <c r="T931" s="1"/>
    </row>
    <row r="932" ht="14.25" customHeight="1">
      <c r="A932" s="52"/>
      <c r="B932" s="53"/>
      <c r="C932" s="53"/>
      <c r="D932" s="53"/>
      <c r="E932" s="53"/>
      <c r="F932" s="53"/>
      <c r="G932" s="1"/>
      <c r="H932" s="1"/>
      <c r="I932" s="1"/>
      <c r="J932" s="1"/>
      <c r="K932" s="1"/>
      <c r="L932" s="1"/>
      <c r="M932" s="1"/>
      <c r="N932" s="1"/>
      <c r="O932" s="1"/>
      <c r="P932" s="1"/>
      <c r="Q932" s="1"/>
      <c r="R932" s="1"/>
      <c r="S932" s="1"/>
      <c r="T932" s="1"/>
    </row>
    <row r="933" ht="14.25" customHeight="1">
      <c r="A933" s="52"/>
      <c r="B933" s="53"/>
      <c r="C933" s="53"/>
      <c r="D933" s="53"/>
      <c r="E933" s="53"/>
      <c r="F933" s="53"/>
      <c r="G933" s="1"/>
      <c r="H933" s="1"/>
      <c r="I933" s="1"/>
      <c r="J933" s="1"/>
      <c r="K933" s="1"/>
      <c r="L933" s="1"/>
      <c r="M933" s="1"/>
      <c r="N933" s="1"/>
      <c r="O933" s="1"/>
      <c r="P933" s="1"/>
      <c r="Q933" s="1"/>
      <c r="R933" s="1"/>
      <c r="S933" s="1"/>
      <c r="T933" s="1"/>
    </row>
    <row r="934" ht="14.25" customHeight="1">
      <c r="A934" s="52"/>
      <c r="B934" s="53"/>
      <c r="C934" s="53"/>
      <c r="D934" s="53"/>
      <c r="E934" s="53"/>
      <c r="F934" s="53"/>
      <c r="G934" s="1"/>
      <c r="H934" s="1"/>
      <c r="I934" s="1"/>
      <c r="J934" s="1"/>
      <c r="K934" s="1"/>
      <c r="L934" s="1"/>
      <c r="M934" s="1"/>
      <c r="N934" s="1"/>
      <c r="O934" s="1"/>
      <c r="P934" s="1"/>
      <c r="Q934" s="1"/>
      <c r="R934" s="1"/>
      <c r="S934" s="1"/>
      <c r="T934" s="1"/>
    </row>
    <row r="935" ht="14.25" customHeight="1">
      <c r="A935" s="52"/>
      <c r="B935" s="53"/>
      <c r="C935" s="53"/>
      <c r="D935" s="53"/>
      <c r="E935" s="53"/>
      <c r="F935" s="53"/>
      <c r="G935" s="1"/>
      <c r="H935" s="1"/>
      <c r="I935" s="1"/>
      <c r="J935" s="1"/>
      <c r="K935" s="1"/>
      <c r="L935" s="1"/>
      <c r="M935" s="1"/>
      <c r="N935" s="1"/>
      <c r="O935" s="1"/>
      <c r="P935" s="1"/>
      <c r="Q935" s="1"/>
      <c r="R935" s="1"/>
      <c r="S935" s="1"/>
      <c r="T935" s="1"/>
    </row>
    <row r="936" ht="14.25" customHeight="1">
      <c r="A936" s="52"/>
      <c r="B936" s="53"/>
      <c r="C936" s="53"/>
      <c r="D936" s="53"/>
      <c r="E936" s="53"/>
      <c r="F936" s="53"/>
      <c r="G936" s="1"/>
      <c r="H936" s="1"/>
      <c r="I936" s="1"/>
      <c r="J936" s="1"/>
      <c r="K936" s="1"/>
      <c r="L936" s="1"/>
      <c r="M936" s="1"/>
      <c r="N936" s="1"/>
      <c r="O936" s="1"/>
      <c r="P936" s="1"/>
      <c r="Q936" s="1"/>
      <c r="R936" s="1"/>
      <c r="S936" s="1"/>
      <c r="T936" s="1"/>
    </row>
    <row r="937" ht="14.25" customHeight="1">
      <c r="A937" s="52"/>
      <c r="B937" s="53"/>
      <c r="C937" s="53"/>
      <c r="D937" s="53"/>
      <c r="E937" s="53"/>
      <c r="F937" s="53"/>
      <c r="G937" s="1"/>
      <c r="H937" s="1"/>
      <c r="I937" s="1"/>
      <c r="J937" s="1"/>
      <c r="K937" s="1"/>
      <c r="L937" s="1"/>
      <c r="M937" s="1"/>
      <c r="N937" s="1"/>
      <c r="O937" s="1"/>
      <c r="P937" s="1"/>
      <c r="Q937" s="1"/>
      <c r="R937" s="1"/>
      <c r="S937" s="1"/>
      <c r="T937" s="1"/>
    </row>
    <row r="938" ht="14.25" customHeight="1">
      <c r="A938" s="52"/>
      <c r="B938" s="53"/>
      <c r="C938" s="53"/>
      <c r="D938" s="53"/>
      <c r="E938" s="53"/>
      <c r="F938" s="53"/>
      <c r="G938" s="1"/>
      <c r="H938" s="1"/>
      <c r="I938" s="1"/>
      <c r="J938" s="1"/>
      <c r="K938" s="1"/>
      <c r="L938" s="1"/>
      <c r="M938" s="1"/>
      <c r="N938" s="1"/>
      <c r="O938" s="1"/>
      <c r="P938" s="1"/>
      <c r="Q938" s="1"/>
      <c r="R938" s="1"/>
      <c r="S938" s="1"/>
      <c r="T938" s="1"/>
    </row>
    <row r="939" ht="14.25" customHeight="1">
      <c r="A939" s="52"/>
      <c r="B939" s="53"/>
      <c r="C939" s="53"/>
      <c r="D939" s="53"/>
      <c r="E939" s="53"/>
      <c r="F939" s="53"/>
      <c r="G939" s="1"/>
      <c r="H939" s="1"/>
      <c r="I939" s="1"/>
      <c r="J939" s="1"/>
      <c r="K939" s="1"/>
      <c r="L939" s="1"/>
      <c r="M939" s="1"/>
      <c r="N939" s="1"/>
      <c r="O939" s="1"/>
      <c r="P939" s="1"/>
      <c r="Q939" s="1"/>
      <c r="R939" s="1"/>
      <c r="S939" s="1"/>
      <c r="T939" s="1"/>
    </row>
    <row r="940" ht="14.25" customHeight="1">
      <c r="A940" s="52"/>
      <c r="B940" s="53"/>
      <c r="C940" s="53"/>
      <c r="D940" s="53"/>
      <c r="E940" s="53"/>
      <c r="F940" s="53"/>
      <c r="G940" s="1"/>
      <c r="H940" s="1"/>
      <c r="I940" s="1"/>
      <c r="J940" s="1"/>
      <c r="K940" s="1"/>
      <c r="L940" s="1"/>
      <c r="M940" s="1"/>
      <c r="N940" s="1"/>
      <c r="O940" s="1"/>
      <c r="P940" s="1"/>
      <c r="Q940" s="1"/>
      <c r="R940" s="1"/>
      <c r="S940" s="1"/>
      <c r="T940" s="1"/>
    </row>
    <row r="941" ht="14.25" customHeight="1">
      <c r="A941" s="52"/>
      <c r="B941" s="53"/>
      <c r="C941" s="53"/>
      <c r="D941" s="53"/>
      <c r="E941" s="53"/>
      <c r="F941" s="53"/>
      <c r="G941" s="1"/>
      <c r="H941" s="1"/>
      <c r="I941" s="1"/>
      <c r="J941" s="1"/>
      <c r="K941" s="1"/>
      <c r="L941" s="1"/>
      <c r="M941" s="1"/>
      <c r="N941" s="1"/>
      <c r="O941" s="1"/>
      <c r="P941" s="1"/>
      <c r="Q941" s="1"/>
      <c r="R941" s="1"/>
      <c r="S941" s="1"/>
      <c r="T941" s="1"/>
    </row>
    <row r="942" ht="14.25" customHeight="1">
      <c r="A942" s="52"/>
      <c r="B942" s="53"/>
      <c r="C942" s="53"/>
      <c r="D942" s="53"/>
      <c r="E942" s="53"/>
      <c r="F942" s="53"/>
      <c r="G942" s="1"/>
      <c r="H942" s="1"/>
      <c r="I942" s="1"/>
      <c r="J942" s="1"/>
      <c r="K942" s="1"/>
      <c r="L942" s="1"/>
      <c r="M942" s="1"/>
      <c r="N942" s="1"/>
      <c r="O942" s="1"/>
      <c r="P942" s="1"/>
      <c r="Q942" s="1"/>
      <c r="R942" s="1"/>
      <c r="S942" s="1"/>
      <c r="T942" s="1"/>
    </row>
    <row r="943" ht="14.25" customHeight="1">
      <c r="A943" s="52"/>
      <c r="B943" s="53"/>
      <c r="C943" s="53"/>
      <c r="D943" s="53"/>
      <c r="E943" s="53"/>
      <c r="F943" s="53"/>
      <c r="G943" s="1"/>
      <c r="H943" s="1"/>
      <c r="I943" s="1"/>
      <c r="J943" s="1"/>
      <c r="K943" s="1"/>
      <c r="L943" s="1"/>
      <c r="M943" s="1"/>
      <c r="N943" s="1"/>
      <c r="O943" s="1"/>
      <c r="P943" s="1"/>
      <c r="Q943" s="1"/>
      <c r="R943" s="1"/>
      <c r="S943" s="1"/>
      <c r="T943" s="1"/>
    </row>
    <row r="944" ht="14.25" customHeight="1">
      <c r="A944" s="52"/>
      <c r="B944" s="53"/>
      <c r="C944" s="53"/>
      <c r="D944" s="53"/>
      <c r="E944" s="53"/>
      <c r="F944" s="53"/>
      <c r="G944" s="1"/>
      <c r="H944" s="1"/>
      <c r="I944" s="1"/>
      <c r="J944" s="1"/>
      <c r="K944" s="1"/>
      <c r="L944" s="1"/>
      <c r="M944" s="1"/>
      <c r="N944" s="1"/>
      <c r="O944" s="1"/>
      <c r="P944" s="1"/>
      <c r="Q944" s="1"/>
      <c r="R944" s="1"/>
      <c r="S944" s="1"/>
      <c r="T944" s="1"/>
    </row>
    <row r="945" ht="14.25" customHeight="1">
      <c r="A945" s="52"/>
      <c r="B945" s="53"/>
      <c r="C945" s="53"/>
      <c r="D945" s="53"/>
      <c r="E945" s="53"/>
      <c r="F945" s="53"/>
      <c r="G945" s="1"/>
      <c r="H945" s="1"/>
      <c r="I945" s="1"/>
      <c r="J945" s="1"/>
      <c r="K945" s="1"/>
      <c r="L945" s="1"/>
      <c r="M945" s="1"/>
      <c r="N945" s="1"/>
      <c r="O945" s="1"/>
      <c r="P945" s="1"/>
      <c r="Q945" s="1"/>
      <c r="R945" s="1"/>
      <c r="S945" s="1"/>
      <c r="T945" s="1"/>
    </row>
    <row r="946" ht="14.25" customHeight="1">
      <c r="A946" s="52"/>
      <c r="B946" s="53"/>
      <c r="C946" s="53"/>
      <c r="D946" s="53"/>
      <c r="E946" s="53"/>
      <c r="F946" s="53"/>
      <c r="G946" s="1"/>
      <c r="H946" s="1"/>
      <c r="I946" s="1"/>
      <c r="J946" s="1"/>
      <c r="K946" s="1"/>
      <c r="L946" s="1"/>
      <c r="M946" s="1"/>
      <c r="N946" s="1"/>
      <c r="O946" s="1"/>
      <c r="P946" s="1"/>
      <c r="Q946" s="1"/>
      <c r="R946" s="1"/>
      <c r="S946" s="1"/>
      <c r="T946" s="1"/>
    </row>
    <row r="947" ht="14.25" customHeight="1">
      <c r="A947" s="52"/>
      <c r="B947" s="53"/>
      <c r="C947" s="53"/>
      <c r="D947" s="53"/>
      <c r="E947" s="53"/>
      <c r="F947" s="53"/>
      <c r="G947" s="1"/>
      <c r="H947" s="1"/>
      <c r="I947" s="1"/>
      <c r="J947" s="1"/>
      <c r="K947" s="1"/>
      <c r="L947" s="1"/>
      <c r="M947" s="1"/>
      <c r="N947" s="1"/>
      <c r="O947" s="1"/>
      <c r="P947" s="1"/>
      <c r="Q947" s="1"/>
      <c r="R947" s="1"/>
      <c r="S947" s="1"/>
      <c r="T947" s="1"/>
    </row>
    <row r="948" ht="14.25" customHeight="1">
      <c r="A948" s="52"/>
      <c r="B948" s="53"/>
      <c r="C948" s="53"/>
      <c r="D948" s="53"/>
      <c r="E948" s="53"/>
      <c r="F948" s="53"/>
      <c r="G948" s="1"/>
      <c r="H948" s="1"/>
      <c r="I948" s="1"/>
      <c r="J948" s="1"/>
      <c r="K948" s="1"/>
      <c r="L948" s="1"/>
      <c r="M948" s="1"/>
      <c r="N948" s="1"/>
      <c r="O948" s="1"/>
      <c r="P948" s="1"/>
      <c r="Q948" s="1"/>
      <c r="R948" s="1"/>
      <c r="S948" s="1"/>
      <c r="T948" s="1"/>
    </row>
    <row r="949" ht="14.25" customHeight="1">
      <c r="A949" s="52"/>
      <c r="B949" s="53"/>
      <c r="C949" s="53"/>
      <c r="D949" s="53"/>
      <c r="E949" s="53"/>
      <c r="F949" s="53"/>
      <c r="G949" s="1"/>
      <c r="H949" s="1"/>
      <c r="I949" s="1"/>
      <c r="J949" s="1"/>
      <c r="K949" s="1"/>
      <c r="L949" s="1"/>
      <c r="M949" s="1"/>
      <c r="N949" s="1"/>
      <c r="O949" s="1"/>
      <c r="P949" s="1"/>
      <c r="Q949" s="1"/>
      <c r="R949" s="1"/>
      <c r="S949" s="1"/>
      <c r="T949" s="1"/>
    </row>
    <row r="950" ht="14.25" customHeight="1">
      <c r="A950" s="52"/>
      <c r="B950" s="53"/>
      <c r="C950" s="53"/>
      <c r="D950" s="53"/>
      <c r="E950" s="53"/>
      <c r="F950" s="53"/>
      <c r="G950" s="1"/>
      <c r="H950" s="1"/>
      <c r="I950" s="1"/>
      <c r="J950" s="1"/>
      <c r="K950" s="1"/>
      <c r="L950" s="1"/>
      <c r="M950" s="1"/>
      <c r="N950" s="1"/>
      <c r="O950" s="1"/>
      <c r="P950" s="1"/>
      <c r="Q950" s="1"/>
      <c r="R950" s="1"/>
      <c r="S950" s="1"/>
      <c r="T950" s="1"/>
    </row>
    <row r="951" ht="14.25" customHeight="1">
      <c r="A951" s="52"/>
      <c r="B951" s="53"/>
      <c r="C951" s="53"/>
      <c r="D951" s="53"/>
      <c r="E951" s="53"/>
      <c r="F951" s="53"/>
      <c r="G951" s="1"/>
      <c r="H951" s="1"/>
      <c r="I951" s="1"/>
      <c r="J951" s="1"/>
      <c r="K951" s="1"/>
      <c r="L951" s="1"/>
      <c r="M951" s="1"/>
      <c r="N951" s="1"/>
      <c r="O951" s="1"/>
      <c r="P951" s="1"/>
      <c r="Q951" s="1"/>
      <c r="R951" s="1"/>
      <c r="S951" s="1"/>
      <c r="T951" s="1"/>
    </row>
    <row r="952" ht="14.25" customHeight="1">
      <c r="A952" s="52"/>
      <c r="B952" s="53"/>
      <c r="C952" s="53"/>
      <c r="D952" s="53"/>
      <c r="E952" s="53"/>
      <c r="F952" s="53"/>
      <c r="G952" s="1"/>
      <c r="H952" s="1"/>
      <c r="I952" s="1"/>
      <c r="J952" s="1"/>
      <c r="K952" s="1"/>
      <c r="L952" s="1"/>
      <c r="M952" s="1"/>
      <c r="N952" s="1"/>
      <c r="O952" s="1"/>
      <c r="P952" s="1"/>
      <c r="Q952" s="1"/>
      <c r="R952" s="1"/>
      <c r="S952" s="1"/>
      <c r="T952" s="1"/>
    </row>
    <row r="953" ht="14.25" customHeight="1">
      <c r="A953" s="52"/>
      <c r="B953" s="53"/>
      <c r="C953" s="53"/>
      <c r="D953" s="53"/>
      <c r="E953" s="53"/>
      <c r="F953" s="53"/>
      <c r="G953" s="1"/>
      <c r="H953" s="1"/>
      <c r="I953" s="1"/>
      <c r="J953" s="1"/>
      <c r="K953" s="1"/>
      <c r="L953" s="1"/>
      <c r="M953" s="1"/>
      <c r="N953" s="1"/>
      <c r="O953" s="1"/>
      <c r="P953" s="1"/>
      <c r="Q953" s="1"/>
      <c r="R953" s="1"/>
      <c r="S953" s="1"/>
      <c r="T953" s="1"/>
    </row>
    <row r="954" ht="14.25" customHeight="1">
      <c r="A954" s="52"/>
      <c r="B954" s="53"/>
      <c r="C954" s="53"/>
      <c r="D954" s="53"/>
      <c r="E954" s="53"/>
      <c r="F954" s="53"/>
      <c r="G954" s="1"/>
      <c r="H954" s="1"/>
      <c r="I954" s="1"/>
      <c r="J954" s="1"/>
      <c r="K954" s="1"/>
      <c r="L954" s="1"/>
      <c r="M954" s="1"/>
      <c r="N954" s="1"/>
      <c r="O954" s="1"/>
      <c r="P954" s="1"/>
      <c r="Q954" s="1"/>
      <c r="R954" s="1"/>
      <c r="S954" s="1"/>
      <c r="T954" s="1"/>
    </row>
    <row r="955" ht="14.25" customHeight="1">
      <c r="A955" s="52"/>
      <c r="B955" s="53"/>
      <c r="C955" s="53"/>
      <c r="D955" s="53"/>
      <c r="E955" s="53"/>
      <c r="F955" s="53"/>
      <c r="G955" s="1"/>
      <c r="H955" s="1"/>
      <c r="I955" s="1"/>
      <c r="J955" s="1"/>
      <c r="K955" s="1"/>
      <c r="L955" s="1"/>
      <c r="M955" s="1"/>
      <c r="N955" s="1"/>
      <c r="O955" s="1"/>
      <c r="P955" s="1"/>
      <c r="Q955" s="1"/>
      <c r="R955" s="1"/>
      <c r="S955" s="1"/>
      <c r="T955" s="1"/>
    </row>
    <row r="956" ht="14.25" customHeight="1">
      <c r="A956" s="52"/>
      <c r="B956" s="53"/>
      <c r="C956" s="53"/>
      <c r="D956" s="53"/>
      <c r="E956" s="53"/>
      <c r="F956" s="53"/>
      <c r="G956" s="1"/>
      <c r="H956" s="1"/>
      <c r="I956" s="1"/>
      <c r="J956" s="1"/>
      <c r="K956" s="1"/>
      <c r="L956" s="1"/>
      <c r="M956" s="1"/>
      <c r="N956" s="1"/>
      <c r="O956" s="1"/>
      <c r="P956" s="1"/>
      <c r="Q956" s="1"/>
      <c r="R956" s="1"/>
      <c r="S956" s="1"/>
      <c r="T956" s="1"/>
    </row>
    <row r="957" ht="14.25" customHeight="1">
      <c r="A957" s="52"/>
      <c r="B957" s="53"/>
      <c r="C957" s="53"/>
      <c r="D957" s="53"/>
      <c r="E957" s="53"/>
      <c r="F957" s="53"/>
      <c r="G957" s="1"/>
      <c r="H957" s="1"/>
      <c r="I957" s="1"/>
      <c r="J957" s="1"/>
      <c r="K957" s="1"/>
      <c r="L957" s="1"/>
      <c r="M957" s="1"/>
      <c r="N957" s="1"/>
      <c r="O957" s="1"/>
      <c r="P957" s="1"/>
      <c r="Q957" s="1"/>
      <c r="R957" s="1"/>
      <c r="S957" s="1"/>
      <c r="T957" s="1"/>
    </row>
    <row r="958" ht="14.25" customHeight="1">
      <c r="A958" s="52"/>
      <c r="B958" s="53"/>
      <c r="C958" s="53"/>
      <c r="D958" s="53"/>
      <c r="E958" s="53"/>
      <c r="F958" s="53"/>
      <c r="G958" s="1"/>
      <c r="H958" s="1"/>
      <c r="I958" s="1"/>
      <c r="J958" s="1"/>
      <c r="K958" s="1"/>
      <c r="L958" s="1"/>
      <c r="M958" s="1"/>
      <c r="N958" s="1"/>
      <c r="O958" s="1"/>
      <c r="P958" s="1"/>
      <c r="Q958" s="1"/>
      <c r="R958" s="1"/>
      <c r="S958" s="1"/>
      <c r="T958" s="1"/>
    </row>
    <row r="959" ht="14.25" customHeight="1">
      <c r="A959" s="52"/>
      <c r="B959" s="53"/>
      <c r="C959" s="53"/>
      <c r="D959" s="53"/>
      <c r="E959" s="53"/>
      <c r="F959" s="53"/>
      <c r="G959" s="1"/>
      <c r="H959" s="1"/>
      <c r="I959" s="1"/>
      <c r="J959" s="1"/>
      <c r="K959" s="1"/>
      <c r="L959" s="1"/>
      <c r="M959" s="1"/>
      <c r="N959" s="1"/>
      <c r="O959" s="1"/>
      <c r="P959" s="1"/>
      <c r="Q959" s="1"/>
      <c r="R959" s="1"/>
      <c r="S959" s="1"/>
      <c r="T959" s="1"/>
    </row>
    <row r="960" ht="14.25" customHeight="1">
      <c r="A960" s="52"/>
      <c r="B960" s="53"/>
      <c r="C960" s="53"/>
      <c r="D960" s="53"/>
      <c r="E960" s="53"/>
      <c r="F960" s="53"/>
      <c r="G960" s="1"/>
      <c r="H960" s="1"/>
      <c r="I960" s="1"/>
      <c r="J960" s="1"/>
      <c r="K960" s="1"/>
      <c r="L960" s="1"/>
      <c r="M960" s="1"/>
      <c r="N960" s="1"/>
      <c r="O960" s="1"/>
      <c r="P960" s="1"/>
      <c r="Q960" s="1"/>
      <c r="R960" s="1"/>
      <c r="S960" s="1"/>
      <c r="T960" s="1"/>
    </row>
    <row r="961" ht="14.25" customHeight="1">
      <c r="A961" s="52"/>
      <c r="B961" s="53"/>
      <c r="C961" s="53"/>
      <c r="D961" s="53"/>
      <c r="E961" s="53"/>
      <c r="F961" s="53"/>
      <c r="G961" s="1"/>
      <c r="H961" s="1"/>
      <c r="I961" s="1"/>
      <c r="J961" s="1"/>
      <c r="K961" s="1"/>
      <c r="L961" s="1"/>
      <c r="M961" s="1"/>
      <c r="N961" s="1"/>
      <c r="O961" s="1"/>
      <c r="P961" s="1"/>
      <c r="Q961" s="1"/>
      <c r="R961" s="1"/>
      <c r="S961" s="1"/>
      <c r="T961" s="1"/>
    </row>
    <row r="962" ht="14.25" customHeight="1">
      <c r="A962" s="52"/>
      <c r="B962" s="53"/>
      <c r="C962" s="53"/>
      <c r="D962" s="53"/>
      <c r="E962" s="53"/>
      <c r="F962" s="53"/>
      <c r="G962" s="1"/>
      <c r="H962" s="1"/>
      <c r="I962" s="1"/>
      <c r="J962" s="1"/>
      <c r="K962" s="1"/>
      <c r="L962" s="1"/>
      <c r="M962" s="1"/>
      <c r="N962" s="1"/>
      <c r="O962" s="1"/>
      <c r="P962" s="1"/>
      <c r="Q962" s="1"/>
      <c r="R962" s="1"/>
      <c r="S962" s="1"/>
      <c r="T962" s="1"/>
    </row>
    <row r="963" ht="14.25" customHeight="1">
      <c r="A963" s="52"/>
      <c r="B963" s="53"/>
      <c r="C963" s="53"/>
      <c r="D963" s="53"/>
      <c r="E963" s="53"/>
      <c r="F963" s="53"/>
      <c r="G963" s="1"/>
      <c r="H963" s="1"/>
      <c r="I963" s="1"/>
      <c r="J963" s="1"/>
      <c r="K963" s="1"/>
      <c r="L963" s="1"/>
      <c r="M963" s="1"/>
      <c r="N963" s="1"/>
      <c r="O963" s="1"/>
      <c r="P963" s="1"/>
      <c r="Q963" s="1"/>
      <c r="R963" s="1"/>
      <c r="S963" s="1"/>
      <c r="T963" s="1"/>
    </row>
    <row r="964" ht="14.25" customHeight="1">
      <c r="A964" s="52"/>
      <c r="B964" s="53"/>
      <c r="C964" s="53"/>
      <c r="D964" s="53"/>
      <c r="E964" s="53"/>
      <c r="F964" s="53"/>
      <c r="G964" s="1"/>
      <c r="H964" s="1"/>
      <c r="I964" s="1"/>
      <c r="J964" s="1"/>
      <c r="K964" s="1"/>
      <c r="L964" s="1"/>
      <c r="M964" s="1"/>
      <c r="N964" s="1"/>
      <c r="O964" s="1"/>
      <c r="P964" s="1"/>
      <c r="Q964" s="1"/>
      <c r="R964" s="1"/>
      <c r="S964" s="1"/>
      <c r="T964" s="1"/>
    </row>
    <row r="965" ht="14.25" customHeight="1">
      <c r="A965" s="52"/>
      <c r="B965" s="53"/>
      <c r="C965" s="53"/>
      <c r="D965" s="53"/>
      <c r="E965" s="53"/>
      <c r="F965" s="53"/>
      <c r="G965" s="1"/>
      <c r="H965" s="1"/>
      <c r="I965" s="1"/>
      <c r="J965" s="1"/>
      <c r="K965" s="1"/>
      <c r="L965" s="1"/>
      <c r="M965" s="1"/>
      <c r="N965" s="1"/>
      <c r="O965" s="1"/>
      <c r="P965" s="1"/>
      <c r="Q965" s="1"/>
      <c r="R965" s="1"/>
      <c r="S965" s="1"/>
      <c r="T965" s="1"/>
    </row>
    <row r="966" ht="14.25" customHeight="1">
      <c r="A966" s="52"/>
      <c r="B966" s="53"/>
      <c r="C966" s="53"/>
      <c r="D966" s="53"/>
      <c r="E966" s="53"/>
      <c r="F966" s="53"/>
      <c r="G966" s="1"/>
      <c r="H966" s="1"/>
      <c r="I966" s="1"/>
      <c r="J966" s="1"/>
      <c r="K966" s="1"/>
      <c r="L966" s="1"/>
      <c r="M966" s="1"/>
      <c r="N966" s="1"/>
      <c r="O966" s="1"/>
      <c r="P966" s="1"/>
      <c r="Q966" s="1"/>
      <c r="R966" s="1"/>
      <c r="S966" s="1"/>
      <c r="T966" s="1"/>
    </row>
    <row r="967" ht="14.25" customHeight="1">
      <c r="A967" s="52"/>
      <c r="B967" s="53"/>
      <c r="C967" s="53"/>
      <c r="D967" s="53"/>
      <c r="E967" s="53"/>
      <c r="F967" s="53"/>
      <c r="G967" s="1"/>
      <c r="H967" s="1"/>
      <c r="I967" s="1"/>
      <c r="J967" s="1"/>
      <c r="K967" s="1"/>
      <c r="L967" s="1"/>
      <c r="M967" s="1"/>
      <c r="N967" s="1"/>
      <c r="O967" s="1"/>
      <c r="P967" s="1"/>
      <c r="Q967" s="1"/>
      <c r="R967" s="1"/>
      <c r="S967" s="1"/>
      <c r="T967" s="1"/>
    </row>
    <row r="968" ht="14.25" customHeight="1">
      <c r="A968" s="52"/>
      <c r="B968" s="53"/>
      <c r="C968" s="53"/>
      <c r="D968" s="53"/>
      <c r="E968" s="53"/>
      <c r="F968" s="53"/>
      <c r="G968" s="1"/>
      <c r="H968" s="1"/>
      <c r="I968" s="1"/>
      <c r="J968" s="1"/>
      <c r="K968" s="1"/>
      <c r="L968" s="1"/>
      <c r="M968" s="1"/>
      <c r="N968" s="1"/>
      <c r="O968" s="1"/>
      <c r="P968" s="1"/>
      <c r="Q968" s="1"/>
      <c r="R968" s="1"/>
      <c r="S968" s="1"/>
      <c r="T968" s="1"/>
    </row>
    <row r="969" ht="14.25" customHeight="1">
      <c r="A969" s="52"/>
      <c r="B969" s="53"/>
      <c r="C969" s="53"/>
      <c r="D969" s="53"/>
      <c r="E969" s="53"/>
      <c r="F969" s="53"/>
      <c r="G969" s="1"/>
      <c r="H969" s="1"/>
      <c r="I969" s="1"/>
      <c r="J969" s="1"/>
      <c r="K969" s="1"/>
      <c r="L969" s="1"/>
      <c r="M969" s="1"/>
      <c r="N969" s="1"/>
      <c r="O969" s="1"/>
      <c r="P969" s="1"/>
      <c r="Q969" s="1"/>
      <c r="R969" s="1"/>
      <c r="S969" s="1"/>
      <c r="T969" s="1"/>
    </row>
    <row r="970" ht="14.25" customHeight="1">
      <c r="A970" s="52"/>
      <c r="B970" s="53"/>
      <c r="C970" s="53"/>
      <c r="D970" s="53"/>
      <c r="E970" s="53"/>
      <c r="F970" s="53"/>
      <c r="G970" s="1"/>
      <c r="H970" s="1"/>
      <c r="I970" s="1"/>
      <c r="J970" s="1"/>
      <c r="K970" s="1"/>
      <c r="L970" s="1"/>
      <c r="M970" s="1"/>
      <c r="N970" s="1"/>
      <c r="O970" s="1"/>
      <c r="P970" s="1"/>
      <c r="Q970" s="1"/>
      <c r="R970" s="1"/>
      <c r="S970" s="1"/>
      <c r="T970" s="1"/>
    </row>
    <row r="971" ht="14.25" customHeight="1">
      <c r="A971" s="52"/>
      <c r="B971" s="53"/>
      <c r="C971" s="53"/>
      <c r="D971" s="53"/>
      <c r="E971" s="53"/>
      <c r="F971" s="53"/>
      <c r="G971" s="1"/>
      <c r="H971" s="1"/>
      <c r="I971" s="1"/>
      <c r="J971" s="1"/>
      <c r="K971" s="1"/>
      <c r="L971" s="1"/>
      <c r="M971" s="1"/>
      <c r="N971" s="1"/>
      <c r="O971" s="1"/>
      <c r="P971" s="1"/>
      <c r="Q971" s="1"/>
      <c r="R971" s="1"/>
      <c r="S971" s="1"/>
      <c r="T971" s="1"/>
    </row>
    <row r="972" ht="14.25" customHeight="1">
      <c r="A972" s="52"/>
      <c r="B972" s="53"/>
      <c r="C972" s="53"/>
      <c r="D972" s="53"/>
      <c r="E972" s="53"/>
      <c r="F972" s="53"/>
      <c r="G972" s="1"/>
      <c r="H972" s="1"/>
      <c r="I972" s="1"/>
      <c r="J972" s="1"/>
      <c r="K972" s="1"/>
      <c r="L972" s="1"/>
      <c r="M972" s="1"/>
      <c r="N972" s="1"/>
      <c r="O972" s="1"/>
      <c r="P972" s="1"/>
      <c r="Q972" s="1"/>
      <c r="R972" s="1"/>
      <c r="S972" s="1"/>
      <c r="T972" s="1"/>
    </row>
    <row r="973" ht="14.25" customHeight="1">
      <c r="A973" s="52"/>
      <c r="B973" s="53"/>
      <c r="C973" s="53"/>
      <c r="D973" s="53"/>
      <c r="E973" s="53"/>
      <c r="F973" s="53"/>
      <c r="G973" s="1"/>
      <c r="H973" s="1"/>
      <c r="I973" s="1"/>
      <c r="J973" s="1"/>
      <c r="K973" s="1"/>
      <c r="L973" s="1"/>
      <c r="M973" s="1"/>
      <c r="N973" s="1"/>
      <c r="O973" s="1"/>
      <c r="P973" s="1"/>
      <c r="Q973" s="1"/>
      <c r="R973" s="1"/>
      <c r="S973" s="1"/>
      <c r="T973" s="1"/>
    </row>
    <row r="974" ht="14.25" customHeight="1">
      <c r="A974" s="52"/>
      <c r="B974" s="53"/>
      <c r="C974" s="53"/>
      <c r="D974" s="53"/>
      <c r="E974" s="53"/>
      <c r="F974" s="53"/>
      <c r="G974" s="1"/>
      <c r="H974" s="1"/>
      <c r="I974" s="1"/>
      <c r="J974" s="1"/>
      <c r="K974" s="1"/>
      <c r="L974" s="1"/>
      <c r="M974" s="1"/>
      <c r="N974" s="1"/>
      <c r="O974" s="1"/>
      <c r="P974" s="1"/>
      <c r="Q974" s="1"/>
      <c r="R974" s="1"/>
      <c r="S974" s="1"/>
      <c r="T974" s="1"/>
    </row>
    <row r="975" ht="14.25" customHeight="1">
      <c r="A975" s="52"/>
      <c r="B975" s="53"/>
      <c r="C975" s="53"/>
      <c r="D975" s="53"/>
      <c r="E975" s="53"/>
      <c r="F975" s="53"/>
      <c r="G975" s="1"/>
      <c r="H975" s="1"/>
      <c r="I975" s="1"/>
      <c r="J975" s="1"/>
      <c r="K975" s="1"/>
      <c r="L975" s="1"/>
      <c r="M975" s="1"/>
      <c r="N975" s="1"/>
      <c r="O975" s="1"/>
      <c r="P975" s="1"/>
      <c r="Q975" s="1"/>
      <c r="R975" s="1"/>
      <c r="S975" s="1"/>
      <c r="T975" s="1"/>
    </row>
    <row r="976" ht="14.25" customHeight="1">
      <c r="A976" s="52"/>
      <c r="B976" s="53"/>
      <c r="C976" s="53"/>
      <c r="D976" s="53"/>
      <c r="E976" s="53"/>
      <c r="F976" s="53"/>
      <c r="G976" s="1"/>
      <c r="H976" s="1"/>
      <c r="I976" s="1"/>
      <c r="J976" s="1"/>
      <c r="K976" s="1"/>
      <c r="L976" s="1"/>
      <c r="M976" s="1"/>
      <c r="N976" s="1"/>
      <c r="O976" s="1"/>
      <c r="P976" s="1"/>
      <c r="Q976" s="1"/>
      <c r="R976" s="1"/>
      <c r="S976" s="1"/>
      <c r="T976" s="1"/>
    </row>
    <row r="977" ht="14.25" customHeight="1">
      <c r="A977" s="52"/>
      <c r="B977" s="53"/>
      <c r="C977" s="53"/>
      <c r="D977" s="53"/>
      <c r="E977" s="53"/>
      <c r="F977" s="53"/>
      <c r="G977" s="1"/>
      <c r="H977" s="1"/>
      <c r="I977" s="1"/>
      <c r="J977" s="1"/>
      <c r="K977" s="1"/>
      <c r="L977" s="1"/>
      <c r="M977" s="1"/>
      <c r="N977" s="1"/>
      <c r="O977" s="1"/>
      <c r="P977" s="1"/>
      <c r="Q977" s="1"/>
      <c r="R977" s="1"/>
      <c r="S977" s="1"/>
      <c r="T977" s="1"/>
    </row>
    <row r="978" ht="14.25" customHeight="1">
      <c r="A978" s="52"/>
      <c r="B978" s="53"/>
      <c r="C978" s="53"/>
      <c r="D978" s="53"/>
      <c r="E978" s="53"/>
      <c r="F978" s="53"/>
      <c r="G978" s="1"/>
      <c r="H978" s="1"/>
      <c r="I978" s="1"/>
      <c r="J978" s="1"/>
      <c r="K978" s="1"/>
      <c r="L978" s="1"/>
      <c r="M978" s="1"/>
      <c r="N978" s="1"/>
      <c r="O978" s="1"/>
      <c r="P978" s="1"/>
      <c r="Q978" s="1"/>
      <c r="R978" s="1"/>
      <c r="S978" s="1"/>
      <c r="T978" s="1"/>
    </row>
    <row r="979" ht="14.25" customHeight="1">
      <c r="A979" s="52"/>
      <c r="B979" s="53"/>
      <c r="C979" s="53"/>
      <c r="D979" s="53"/>
      <c r="E979" s="53"/>
      <c r="F979" s="53"/>
      <c r="G979" s="1"/>
      <c r="H979" s="1"/>
      <c r="I979" s="1"/>
      <c r="J979" s="1"/>
      <c r="K979" s="1"/>
      <c r="L979" s="1"/>
      <c r="M979" s="1"/>
      <c r="N979" s="1"/>
      <c r="O979" s="1"/>
      <c r="P979" s="1"/>
      <c r="Q979" s="1"/>
      <c r="R979" s="1"/>
      <c r="S979" s="1"/>
      <c r="T979" s="1"/>
    </row>
    <row r="980" ht="14.25" customHeight="1">
      <c r="A980" s="52"/>
      <c r="B980" s="53"/>
      <c r="C980" s="53"/>
      <c r="D980" s="53"/>
      <c r="E980" s="53"/>
      <c r="F980" s="53"/>
      <c r="G980" s="1"/>
      <c r="H980" s="1"/>
      <c r="I980" s="1"/>
      <c r="J980" s="1"/>
      <c r="K980" s="1"/>
      <c r="L980" s="1"/>
      <c r="M980" s="1"/>
      <c r="N980" s="1"/>
      <c r="O980" s="1"/>
      <c r="P980" s="1"/>
      <c r="Q980" s="1"/>
      <c r="R980" s="1"/>
      <c r="S980" s="1"/>
      <c r="T980" s="1"/>
    </row>
    <row r="981" ht="14.25" customHeight="1">
      <c r="A981" s="52"/>
      <c r="B981" s="53"/>
      <c r="C981" s="53"/>
      <c r="D981" s="53"/>
      <c r="E981" s="53"/>
      <c r="F981" s="53"/>
      <c r="G981" s="1"/>
      <c r="H981" s="1"/>
      <c r="I981" s="1"/>
      <c r="J981" s="1"/>
      <c r="K981" s="1"/>
      <c r="L981" s="1"/>
      <c r="M981" s="1"/>
      <c r="N981" s="1"/>
      <c r="O981" s="1"/>
      <c r="P981" s="1"/>
      <c r="Q981" s="1"/>
      <c r="R981" s="1"/>
      <c r="S981" s="1"/>
      <c r="T981" s="1"/>
    </row>
    <row r="982" ht="14.25" customHeight="1">
      <c r="A982" s="52"/>
      <c r="B982" s="53"/>
      <c r="C982" s="53"/>
      <c r="D982" s="53"/>
      <c r="E982" s="53"/>
      <c r="F982" s="53"/>
      <c r="G982" s="1"/>
      <c r="H982" s="1"/>
      <c r="I982" s="1"/>
      <c r="J982" s="1"/>
      <c r="K982" s="1"/>
      <c r="L982" s="1"/>
      <c r="M982" s="1"/>
      <c r="N982" s="1"/>
      <c r="O982" s="1"/>
      <c r="P982" s="1"/>
      <c r="Q982" s="1"/>
      <c r="R982" s="1"/>
      <c r="S982" s="1"/>
      <c r="T982" s="1"/>
    </row>
    <row r="983" ht="14.25" customHeight="1">
      <c r="A983" s="52"/>
      <c r="B983" s="53"/>
      <c r="C983" s="53"/>
      <c r="D983" s="53"/>
      <c r="E983" s="53"/>
      <c r="F983" s="53"/>
      <c r="G983" s="1"/>
      <c r="H983" s="1"/>
      <c r="I983" s="1"/>
      <c r="J983" s="1"/>
      <c r="K983" s="1"/>
      <c r="L983" s="1"/>
      <c r="M983" s="1"/>
      <c r="N983" s="1"/>
      <c r="O983" s="1"/>
      <c r="P983" s="1"/>
      <c r="Q983" s="1"/>
      <c r="R983" s="1"/>
      <c r="S983" s="1"/>
      <c r="T983" s="1"/>
    </row>
    <row r="984" ht="14.25" customHeight="1">
      <c r="A984" s="52"/>
      <c r="B984" s="53"/>
      <c r="C984" s="53"/>
      <c r="D984" s="53"/>
      <c r="E984" s="53"/>
      <c r="F984" s="53"/>
      <c r="G984" s="1"/>
      <c r="H984" s="1"/>
      <c r="I984" s="1"/>
      <c r="J984" s="1"/>
      <c r="K984" s="1"/>
      <c r="L984" s="1"/>
      <c r="M984" s="1"/>
      <c r="N984" s="1"/>
      <c r="O984" s="1"/>
      <c r="P984" s="1"/>
      <c r="Q984" s="1"/>
      <c r="R984" s="1"/>
      <c r="S984" s="1"/>
      <c r="T984" s="1"/>
    </row>
    <row r="985" ht="14.25" customHeight="1">
      <c r="A985" s="52"/>
      <c r="B985" s="53"/>
      <c r="C985" s="53"/>
      <c r="D985" s="53"/>
      <c r="E985" s="53"/>
      <c r="F985" s="53"/>
      <c r="G985" s="1"/>
      <c r="H985" s="1"/>
      <c r="I985" s="1"/>
      <c r="J985" s="1"/>
      <c r="K985" s="1"/>
      <c r="L985" s="1"/>
      <c r="M985" s="1"/>
      <c r="N985" s="1"/>
      <c r="O985" s="1"/>
      <c r="P985" s="1"/>
      <c r="Q985" s="1"/>
      <c r="R985" s="1"/>
      <c r="S985" s="1"/>
      <c r="T985" s="1"/>
    </row>
    <row r="986" ht="14.25" customHeight="1">
      <c r="A986" s="52"/>
      <c r="B986" s="53"/>
      <c r="C986" s="53"/>
      <c r="D986" s="53"/>
      <c r="E986" s="53"/>
      <c r="F986" s="53"/>
      <c r="G986" s="1"/>
      <c r="H986" s="1"/>
      <c r="I986" s="1"/>
      <c r="J986" s="1"/>
      <c r="K986" s="1"/>
      <c r="L986" s="1"/>
      <c r="M986" s="1"/>
      <c r="N986" s="1"/>
      <c r="O986" s="1"/>
      <c r="P986" s="1"/>
      <c r="Q986" s="1"/>
      <c r="R986" s="1"/>
      <c r="S986" s="1"/>
      <c r="T986" s="1"/>
    </row>
    <row r="987" ht="14.25" customHeight="1">
      <c r="A987" s="52"/>
      <c r="B987" s="53"/>
      <c r="C987" s="53"/>
      <c r="D987" s="53"/>
      <c r="E987" s="53"/>
      <c r="F987" s="53"/>
      <c r="G987" s="1"/>
      <c r="H987" s="1"/>
      <c r="I987" s="1"/>
      <c r="J987" s="1"/>
      <c r="K987" s="1"/>
      <c r="L987" s="1"/>
      <c r="M987" s="1"/>
      <c r="N987" s="1"/>
      <c r="O987" s="1"/>
      <c r="P987" s="1"/>
      <c r="Q987" s="1"/>
      <c r="R987" s="1"/>
      <c r="S987" s="1"/>
      <c r="T987" s="1"/>
    </row>
    <row r="988" ht="14.25" customHeight="1">
      <c r="A988" s="52"/>
      <c r="B988" s="53"/>
      <c r="C988" s="53"/>
      <c r="D988" s="53"/>
      <c r="E988" s="53"/>
      <c r="F988" s="53"/>
      <c r="G988" s="1"/>
      <c r="H988" s="1"/>
      <c r="I988" s="1"/>
      <c r="J988" s="1"/>
      <c r="K988" s="1"/>
      <c r="L988" s="1"/>
      <c r="M988" s="1"/>
      <c r="N988" s="1"/>
      <c r="O988" s="1"/>
      <c r="P988" s="1"/>
      <c r="Q988" s="1"/>
      <c r="R988" s="1"/>
      <c r="S988" s="1"/>
      <c r="T988" s="1"/>
    </row>
    <row r="989" ht="14.25" customHeight="1">
      <c r="A989" s="52"/>
      <c r="B989" s="53"/>
      <c r="C989" s="53"/>
      <c r="D989" s="53"/>
      <c r="E989" s="53"/>
      <c r="F989" s="53"/>
      <c r="G989" s="1"/>
      <c r="H989" s="1"/>
      <c r="I989" s="1"/>
      <c r="J989" s="1"/>
      <c r="K989" s="1"/>
      <c r="L989" s="1"/>
      <c r="M989" s="1"/>
      <c r="N989" s="1"/>
      <c r="O989" s="1"/>
      <c r="P989" s="1"/>
      <c r="Q989" s="1"/>
      <c r="R989" s="1"/>
      <c r="S989" s="1"/>
      <c r="T989" s="1"/>
    </row>
    <row r="990" ht="14.25" customHeight="1">
      <c r="A990" s="52"/>
      <c r="B990" s="53"/>
      <c r="C990" s="53"/>
      <c r="D990" s="53"/>
      <c r="E990" s="53"/>
      <c r="F990" s="53"/>
      <c r="G990" s="1"/>
      <c r="H990" s="1"/>
      <c r="I990" s="1"/>
      <c r="J990" s="1"/>
      <c r="K990" s="1"/>
      <c r="L990" s="1"/>
      <c r="M990" s="1"/>
      <c r="N990" s="1"/>
      <c r="O990" s="1"/>
      <c r="P990" s="1"/>
      <c r="Q990" s="1"/>
      <c r="R990" s="1"/>
      <c r="S990" s="1"/>
      <c r="T990" s="1"/>
    </row>
    <row r="991" ht="14.25" customHeight="1">
      <c r="A991" s="52"/>
      <c r="B991" s="53"/>
      <c r="C991" s="53"/>
      <c r="D991" s="53"/>
      <c r="E991" s="53"/>
      <c r="F991" s="53"/>
      <c r="G991" s="1"/>
      <c r="H991" s="1"/>
      <c r="I991" s="1"/>
      <c r="J991" s="1"/>
      <c r="K991" s="1"/>
      <c r="L991" s="1"/>
      <c r="M991" s="1"/>
      <c r="N991" s="1"/>
      <c r="O991" s="1"/>
      <c r="P991" s="1"/>
      <c r="Q991" s="1"/>
      <c r="R991" s="1"/>
      <c r="S991" s="1"/>
      <c r="T991" s="1"/>
    </row>
    <row r="992" ht="14.25" customHeight="1">
      <c r="A992" s="52"/>
      <c r="B992" s="53"/>
      <c r="C992" s="53"/>
      <c r="D992" s="53"/>
      <c r="E992" s="53"/>
      <c r="F992" s="53"/>
      <c r="G992" s="1"/>
      <c r="H992" s="1"/>
      <c r="I992" s="1"/>
      <c r="J992" s="1"/>
      <c r="K992" s="1"/>
      <c r="L992" s="1"/>
      <c r="M992" s="1"/>
      <c r="N992" s="1"/>
      <c r="O992" s="1"/>
      <c r="P992" s="1"/>
      <c r="Q992" s="1"/>
      <c r="R992" s="1"/>
      <c r="S992" s="1"/>
      <c r="T992" s="1"/>
    </row>
    <row r="993" ht="14.25" customHeight="1">
      <c r="A993" s="52"/>
      <c r="B993" s="53"/>
      <c r="C993" s="53"/>
      <c r="D993" s="53"/>
      <c r="E993" s="53"/>
      <c r="F993" s="53"/>
      <c r="G993" s="1"/>
      <c r="H993" s="1"/>
      <c r="I993" s="1"/>
      <c r="J993" s="1"/>
      <c r="K993" s="1"/>
      <c r="L993" s="1"/>
      <c r="M993" s="1"/>
      <c r="N993" s="1"/>
      <c r="O993" s="1"/>
      <c r="P993" s="1"/>
      <c r="Q993" s="1"/>
      <c r="R993" s="1"/>
      <c r="S993" s="1"/>
      <c r="T993" s="1"/>
    </row>
    <row r="994" ht="14.25" customHeight="1">
      <c r="A994" s="52"/>
      <c r="B994" s="53"/>
      <c r="C994" s="53"/>
      <c r="D994" s="53"/>
      <c r="E994" s="53"/>
      <c r="F994" s="53"/>
      <c r="G994" s="1"/>
      <c r="H994" s="1"/>
      <c r="I994" s="1"/>
      <c r="J994" s="1"/>
      <c r="K994" s="1"/>
      <c r="L994" s="1"/>
      <c r="M994" s="1"/>
      <c r="N994" s="1"/>
      <c r="O994" s="1"/>
      <c r="P994" s="1"/>
      <c r="Q994" s="1"/>
      <c r="R994" s="1"/>
      <c r="S994" s="1"/>
      <c r="T994" s="1"/>
    </row>
    <row r="995" ht="14.25" customHeight="1">
      <c r="A995" s="52"/>
      <c r="B995" s="53"/>
      <c r="C995" s="53"/>
      <c r="D995" s="53"/>
      <c r="E995" s="53"/>
      <c r="F995" s="53"/>
      <c r="G995" s="1"/>
      <c r="H995" s="1"/>
      <c r="I995" s="1"/>
      <c r="J995" s="1"/>
      <c r="K995" s="1"/>
      <c r="L995" s="1"/>
      <c r="M995" s="1"/>
      <c r="N995" s="1"/>
      <c r="O995" s="1"/>
      <c r="P995" s="1"/>
      <c r="Q995" s="1"/>
      <c r="R995" s="1"/>
      <c r="S995" s="1"/>
      <c r="T995" s="1"/>
    </row>
    <row r="996" ht="14.25" customHeight="1">
      <c r="A996" s="52"/>
      <c r="B996" s="53"/>
      <c r="C996" s="53"/>
      <c r="D996" s="53"/>
      <c r="E996" s="53"/>
      <c r="F996" s="53"/>
      <c r="G996" s="1"/>
      <c r="H996" s="1"/>
      <c r="I996" s="1"/>
      <c r="J996" s="1"/>
      <c r="K996" s="1"/>
      <c r="L996" s="1"/>
      <c r="M996" s="1"/>
      <c r="N996" s="1"/>
      <c r="O996" s="1"/>
      <c r="P996" s="1"/>
      <c r="Q996" s="1"/>
      <c r="R996" s="1"/>
      <c r="S996" s="1"/>
      <c r="T996" s="1"/>
    </row>
    <row r="997" ht="14.25" customHeight="1">
      <c r="A997" s="52"/>
      <c r="B997" s="53"/>
      <c r="C997" s="53"/>
      <c r="D997" s="53"/>
      <c r="E997" s="53"/>
      <c r="F997" s="53"/>
      <c r="G997" s="1"/>
      <c r="H997" s="1"/>
      <c r="I997" s="1"/>
      <c r="J997" s="1"/>
      <c r="K997" s="1"/>
      <c r="L997" s="1"/>
      <c r="M997" s="1"/>
      <c r="N997" s="1"/>
      <c r="O997" s="1"/>
      <c r="P997" s="1"/>
      <c r="Q997" s="1"/>
      <c r="R997" s="1"/>
      <c r="S997" s="1"/>
      <c r="T997" s="1"/>
    </row>
    <row r="998" ht="14.25" customHeight="1">
      <c r="A998" s="52"/>
      <c r="B998" s="53"/>
      <c r="C998" s="53"/>
      <c r="D998" s="53"/>
      <c r="E998" s="53"/>
      <c r="F998" s="53"/>
      <c r="G998" s="1"/>
      <c r="H998" s="1"/>
      <c r="I998" s="1"/>
      <c r="J998" s="1"/>
      <c r="K998" s="1"/>
      <c r="L998" s="1"/>
      <c r="M998" s="1"/>
      <c r="N998" s="1"/>
      <c r="O998" s="1"/>
      <c r="P998" s="1"/>
      <c r="Q998" s="1"/>
      <c r="R998" s="1"/>
      <c r="S998" s="1"/>
      <c r="T998" s="1"/>
    </row>
    <row r="999" ht="14.25" customHeight="1">
      <c r="A999" s="52"/>
      <c r="B999" s="53"/>
      <c r="C999" s="53"/>
      <c r="D999" s="53"/>
      <c r="E999" s="53"/>
      <c r="F999" s="53"/>
      <c r="G999" s="1"/>
      <c r="H999" s="1"/>
      <c r="I999" s="1"/>
      <c r="J999" s="1"/>
      <c r="K999" s="1"/>
      <c r="L999" s="1"/>
      <c r="M999" s="1"/>
      <c r="N999" s="1"/>
      <c r="O999" s="1"/>
      <c r="P999" s="1"/>
      <c r="Q999" s="1"/>
      <c r="R999" s="1"/>
      <c r="S999" s="1"/>
      <c r="T999" s="1"/>
    </row>
    <row r="1000" ht="14.25" customHeight="1">
      <c r="A1000" s="52"/>
      <c r="B1000" s="53"/>
      <c r="C1000" s="53"/>
      <c r="D1000" s="53"/>
      <c r="E1000" s="53"/>
      <c r="F1000" s="53"/>
      <c r="G1000" s="1"/>
      <c r="H1000" s="1"/>
      <c r="I1000" s="1"/>
      <c r="J1000" s="1"/>
      <c r="K1000" s="1"/>
      <c r="L1000" s="1"/>
      <c r="M1000" s="1"/>
      <c r="N1000" s="1"/>
      <c r="O1000" s="1"/>
      <c r="P1000" s="1"/>
      <c r="Q1000" s="1"/>
      <c r="R1000" s="1"/>
      <c r="S1000" s="1"/>
      <c r="T1000" s="1"/>
    </row>
  </sheetData>
  <mergeCells count="7">
    <mergeCell ref="A2:P2"/>
    <mergeCell ref="A4:P4"/>
    <mergeCell ref="A5:P5"/>
    <mergeCell ref="A6:P6"/>
    <mergeCell ref="A7:P7"/>
    <mergeCell ref="A8:P8"/>
    <mergeCell ref="A26:P2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11.86"/>
    <col customWidth="1" min="3" max="3" width="8.14"/>
    <col customWidth="1" min="4" max="4" width="13.14"/>
    <col customWidth="1" min="5" max="5" width="6.43"/>
    <col customWidth="1" min="6" max="6" width="5.86"/>
    <col customWidth="1" min="7" max="7" width="10.0"/>
    <col customWidth="1" min="8" max="11" width="9.14"/>
    <col customWidth="1" min="12" max="12" width="8.14"/>
    <col customWidth="1" min="13" max="13" width="10.14"/>
    <col customWidth="1" min="14" max="14" width="8.86"/>
    <col customWidth="1" min="15" max="15" width="20.86"/>
    <col customWidth="1" min="16" max="18" width="9.14"/>
    <col customWidth="1" min="19" max="26" width="10.0"/>
  </cols>
  <sheetData>
    <row r="1" ht="14.25" customHeight="1">
      <c r="A1" s="52"/>
      <c r="B1" s="53"/>
      <c r="C1" s="1"/>
      <c r="D1" s="1"/>
      <c r="E1" s="1"/>
      <c r="F1" s="1"/>
      <c r="G1" s="1"/>
      <c r="H1" s="1"/>
      <c r="I1" s="1"/>
      <c r="J1" s="1"/>
      <c r="K1" s="1"/>
      <c r="L1" s="1"/>
    </row>
    <row r="2" ht="33.75" customHeight="1">
      <c r="A2" s="54" t="s">
        <v>383</v>
      </c>
      <c r="B2" s="55"/>
      <c r="C2" s="55"/>
      <c r="D2" s="55"/>
      <c r="E2" s="55"/>
      <c r="F2" s="55"/>
      <c r="G2" s="55"/>
      <c r="H2" s="55"/>
      <c r="I2" s="55"/>
      <c r="J2" s="55"/>
      <c r="K2" s="55"/>
      <c r="L2" s="55"/>
      <c r="M2" s="55"/>
      <c r="N2" s="56"/>
      <c r="O2" s="114"/>
      <c r="P2" s="114"/>
      <c r="Q2" s="114"/>
      <c r="R2" s="114"/>
      <c r="S2" s="114"/>
      <c r="T2" s="114"/>
      <c r="U2" s="114"/>
      <c r="V2" s="114"/>
      <c r="W2" s="114"/>
      <c r="X2" s="114"/>
      <c r="Y2" s="114"/>
      <c r="Z2" s="114"/>
    </row>
    <row r="3" ht="18.0" customHeight="1">
      <c r="A3" s="115"/>
      <c r="B3" s="115"/>
      <c r="C3" s="115"/>
      <c r="D3" s="115"/>
      <c r="E3" s="115"/>
      <c r="F3" s="115"/>
      <c r="G3" s="115"/>
      <c r="H3" s="57"/>
      <c r="I3" s="57"/>
      <c r="J3" s="57"/>
      <c r="K3" s="57"/>
      <c r="L3" s="57"/>
      <c r="M3" s="58"/>
      <c r="N3" s="58"/>
      <c r="O3" s="58"/>
      <c r="P3" s="58"/>
      <c r="Q3" s="58"/>
      <c r="R3" s="58"/>
      <c r="S3" s="58"/>
      <c r="T3" s="58"/>
      <c r="U3" s="58"/>
      <c r="V3" s="58"/>
      <c r="W3" s="58"/>
      <c r="X3" s="58"/>
      <c r="Y3" s="58"/>
      <c r="Z3" s="58"/>
    </row>
    <row r="4" ht="15.75" customHeight="1">
      <c r="A4" s="116" t="s">
        <v>384</v>
      </c>
      <c r="B4" s="55"/>
      <c r="C4" s="55"/>
      <c r="D4" s="55"/>
      <c r="E4" s="55"/>
      <c r="F4" s="55"/>
      <c r="G4" s="55"/>
      <c r="H4" s="55"/>
      <c r="I4" s="55"/>
      <c r="J4" s="55"/>
      <c r="K4" s="55"/>
      <c r="L4" s="55"/>
      <c r="M4" s="55"/>
      <c r="N4" s="56"/>
      <c r="O4" s="58"/>
      <c r="P4" s="58"/>
      <c r="Q4" s="58"/>
      <c r="R4" s="58"/>
      <c r="S4" s="58"/>
      <c r="T4" s="58"/>
      <c r="U4" s="58"/>
      <c r="V4" s="58"/>
      <c r="W4" s="58"/>
      <c r="X4" s="58"/>
      <c r="Y4" s="58"/>
      <c r="Z4" s="58"/>
    </row>
    <row r="5" ht="13.5" customHeight="1">
      <c r="A5" s="117" t="s">
        <v>385</v>
      </c>
      <c r="B5" s="55"/>
      <c r="C5" s="55"/>
      <c r="D5" s="55"/>
      <c r="E5" s="55"/>
      <c r="F5" s="55"/>
      <c r="G5" s="55"/>
      <c r="H5" s="55"/>
      <c r="I5" s="55"/>
      <c r="J5" s="55"/>
      <c r="K5" s="55"/>
      <c r="L5" s="55"/>
      <c r="M5" s="55"/>
      <c r="N5" s="56"/>
      <c r="O5" s="58"/>
      <c r="P5" s="58"/>
      <c r="Q5" s="58"/>
      <c r="R5" s="58"/>
      <c r="S5" s="58"/>
      <c r="T5" s="58"/>
      <c r="U5" s="58"/>
      <c r="V5" s="58"/>
      <c r="W5" s="58"/>
      <c r="X5" s="58"/>
      <c r="Y5" s="58"/>
      <c r="Z5" s="58"/>
    </row>
    <row r="6" ht="14.25" customHeight="1">
      <c r="A6" s="116" t="s">
        <v>386</v>
      </c>
      <c r="B6" s="55"/>
      <c r="C6" s="55"/>
      <c r="D6" s="55"/>
      <c r="E6" s="55"/>
      <c r="F6" s="55"/>
      <c r="G6" s="55"/>
      <c r="H6" s="55"/>
      <c r="I6" s="55"/>
      <c r="J6" s="55"/>
      <c r="K6" s="55"/>
      <c r="L6" s="55"/>
      <c r="M6" s="55"/>
      <c r="N6" s="56"/>
      <c r="O6" s="58"/>
      <c r="P6" s="58"/>
      <c r="Q6" s="58"/>
      <c r="R6" s="58"/>
      <c r="S6" s="58"/>
      <c r="T6" s="58"/>
      <c r="U6" s="58"/>
      <c r="V6" s="58"/>
      <c r="W6" s="58"/>
      <c r="X6" s="58"/>
      <c r="Y6" s="58"/>
      <c r="Z6" s="58"/>
    </row>
    <row r="7" ht="15.0" customHeight="1">
      <c r="A7" s="59" t="s">
        <v>192</v>
      </c>
      <c r="B7" s="55"/>
      <c r="C7" s="55"/>
      <c r="D7" s="55"/>
      <c r="E7" s="55"/>
      <c r="F7" s="55"/>
      <c r="G7" s="55"/>
      <c r="H7" s="55"/>
      <c r="I7" s="55"/>
      <c r="J7" s="55"/>
      <c r="K7" s="55"/>
      <c r="L7" s="55"/>
      <c r="M7" s="55"/>
      <c r="N7" s="56"/>
      <c r="O7" s="57"/>
      <c r="P7" s="57"/>
      <c r="Q7" s="57"/>
      <c r="R7" s="57"/>
      <c r="S7" s="58"/>
      <c r="T7" s="58"/>
      <c r="U7" s="58"/>
      <c r="V7" s="58"/>
      <c r="W7" s="58"/>
      <c r="X7" s="58"/>
      <c r="Y7" s="58"/>
      <c r="Z7" s="58"/>
    </row>
    <row r="8" ht="57.0" customHeight="1">
      <c r="A8" s="60" t="s">
        <v>387</v>
      </c>
      <c r="B8" s="55"/>
      <c r="C8" s="55"/>
      <c r="D8" s="55"/>
      <c r="E8" s="55"/>
      <c r="F8" s="55"/>
      <c r="G8" s="55"/>
      <c r="H8" s="55"/>
      <c r="I8" s="55"/>
      <c r="J8" s="55"/>
      <c r="K8" s="55"/>
      <c r="L8" s="55"/>
      <c r="M8" s="55"/>
      <c r="N8" s="56"/>
      <c r="O8" s="58"/>
      <c r="P8" s="58"/>
      <c r="Q8" s="58"/>
      <c r="R8" s="58"/>
      <c r="S8" s="58"/>
      <c r="T8" s="58"/>
      <c r="U8" s="58"/>
      <c r="V8" s="58"/>
      <c r="W8" s="58"/>
      <c r="X8" s="58"/>
      <c r="Y8" s="58"/>
      <c r="Z8" s="58"/>
    </row>
    <row r="9" ht="14.25" customHeight="1">
      <c r="A9" s="118"/>
      <c r="B9" s="118"/>
      <c r="C9" s="118"/>
      <c r="D9" s="118"/>
      <c r="E9" s="118"/>
      <c r="F9" s="118"/>
      <c r="G9" s="118"/>
      <c r="H9" s="118"/>
      <c r="I9" s="118"/>
      <c r="J9" s="118"/>
      <c r="K9" s="118"/>
      <c r="L9" s="118"/>
      <c r="M9" s="58"/>
      <c r="N9" s="58"/>
      <c r="O9" s="58"/>
      <c r="P9" s="58"/>
      <c r="Q9" s="58"/>
      <c r="R9" s="58"/>
      <c r="S9" s="58"/>
      <c r="T9" s="58"/>
      <c r="U9" s="58"/>
      <c r="V9" s="58"/>
      <c r="W9" s="58"/>
      <c r="X9" s="58"/>
      <c r="Y9" s="58"/>
      <c r="Z9" s="58"/>
    </row>
    <row r="10" ht="54.75" customHeight="1">
      <c r="A10" s="63" t="s">
        <v>194</v>
      </c>
      <c r="B10" s="63" t="s">
        <v>195</v>
      </c>
      <c r="C10" s="63" t="s">
        <v>196</v>
      </c>
      <c r="D10" s="64" t="s">
        <v>197</v>
      </c>
      <c r="E10" s="64" t="s">
        <v>198</v>
      </c>
      <c r="F10" s="64" t="s">
        <v>199</v>
      </c>
      <c r="G10" s="63" t="s">
        <v>388</v>
      </c>
      <c r="H10" s="119" t="s">
        <v>201</v>
      </c>
      <c r="I10" s="64" t="s">
        <v>202</v>
      </c>
      <c r="J10" s="64" t="s">
        <v>203</v>
      </c>
      <c r="K10" s="64" t="s">
        <v>204</v>
      </c>
      <c r="L10" s="64" t="s">
        <v>205</v>
      </c>
      <c r="M10" s="63" t="s">
        <v>208</v>
      </c>
      <c r="N10" s="63" t="s">
        <v>209</v>
      </c>
      <c r="O10" s="65" t="s">
        <v>210</v>
      </c>
      <c r="P10" s="58"/>
      <c r="Q10" s="58"/>
      <c r="R10" s="58"/>
      <c r="S10" s="58"/>
      <c r="T10" s="58"/>
      <c r="U10" s="58"/>
      <c r="V10" s="58"/>
      <c r="W10" s="58"/>
      <c r="X10" s="58"/>
      <c r="Y10" s="58"/>
      <c r="Z10" s="58"/>
    </row>
    <row r="11" ht="273.0" customHeight="1">
      <c r="A11" s="120" t="s">
        <v>389</v>
      </c>
      <c r="B11" s="120" t="s">
        <v>37</v>
      </c>
      <c r="C11" s="121" t="s">
        <v>38</v>
      </c>
      <c r="D11" s="121" t="s">
        <v>390</v>
      </c>
      <c r="E11" s="121"/>
      <c r="F11" s="121" t="s">
        <v>391</v>
      </c>
      <c r="G11" s="122"/>
      <c r="H11" s="78" t="s">
        <v>392</v>
      </c>
      <c r="I11" s="121"/>
      <c r="J11" s="121"/>
      <c r="K11" s="123" t="s">
        <v>393</v>
      </c>
      <c r="L11" s="121">
        <v>2020.0</v>
      </c>
      <c r="M11" s="124">
        <v>200.0</v>
      </c>
      <c r="N11" s="125">
        <v>200.0</v>
      </c>
      <c r="O11" s="77" t="s">
        <v>37</v>
      </c>
      <c r="P11" s="58"/>
      <c r="Q11" s="58"/>
      <c r="R11" s="58"/>
      <c r="S11" s="58"/>
      <c r="T11" s="58"/>
      <c r="U11" s="58"/>
      <c r="V11" s="58"/>
      <c r="W11" s="58"/>
      <c r="X11" s="58"/>
      <c r="Y11" s="58"/>
      <c r="Z11" s="58"/>
    </row>
    <row r="12" ht="100.5" customHeight="1">
      <c r="A12" s="120" t="s">
        <v>394</v>
      </c>
      <c r="B12" s="120" t="s">
        <v>395</v>
      </c>
      <c r="C12" s="121" t="s">
        <v>38</v>
      </c>
      <c r="D12" s="121" t="s">
        <v>396</v>
      </c>
      <c r="E12" s="121"/>
      <c r="F12" s="121" t="s">
        <v>397</v>
      </c>
      <c r="G12" s="122" t="s">
        <v>398</v>
      </c>
      <c r="H12" s="78" t="s">
        <v>399</v>
      </c>
      <c r="I12" s="121"/>
      <c r="J12" s="121"/>
      <c r="K12" s="123" t="s">
        <v>400</v>
      </c>
      <c r="L12" s="121">
        <v>2020.0</v>
      </c>
      <c r="M12" s="124">
        <v>200.0</v>
      </c>
      <c r="N12" s="124">
        <v>200.0</v>
      </c>
      <c r="O12" s="77" t="s">
        <v>42</v>
      </c>
      <c r="P12" s="58"/>
      <c r="Q12" s="58"/>
      <c r="R12" s="58"/>
      <c r="S12" s="58"/>
      <c r="T12" s="58"/>
      <c r="U12" s="58"/>
      <c r="V12" s="58"/>
      <c r="W12" s="58"/>
      <c r="X12" s="58"/>
      <c r="Y12" s="58"/>
      <c r="Z12" s="58"/>
    </row>
    <row r="13" ht="316.5" customHeight="1">
      <c r="A13" s="120" t="s">
        <v>401</v>
      </c>
      <c r="B13" s="120" t="s">
        <v>402</v>
      </c>
      <c r="C13" s="121" t="s">
        <v>38</v>
      </c>
      <c r="D13" s="121" t="s">
        <v>403</v>
      </c>
      <c r="E13" s="121" t="s">
        <v>391</v>
      </c>
      <c r="F13" s="121"/>
      <c r="G13" s="122" t="s">
        <v>404</v>
      </c>
      <c r="H13" s="78" t="s">
        <v>405</v>
      </c>
      <c r="I13" s="121"/>
      <c r="J13" s="121"/>
      <c r="K13" s="123" t="s">
        <v>406</v>
      </c>
      <c r="L13" s="121">
        <v>2020.0</v>
      </c>
      <c r="M13" s="124">
        <v>200.0</v>
      </c>
      <c r="N13" s="125">
        <v>200.0</v>
      </c>
      <c r="O13" s="77" t="s">
        <v>43</v>
      </c>
      <c r="P13" s="58"/>
      <c r="Q13" s="58"/>
      <c r="R13" s="58"/>
      <c r="S13" s="58"/>
      <c r="T13" s="58"/>
      <c r="U13" s="58"/>
      <c r="V13" s="58"/>
      <c r="W13" s="58"/>
      <c r="X13" s="58"/>
      <c r="Y13" s="58"/>
      <c r="Z13" s="58"/>
    </row>
    <row r="14" ht="230.25" customHeight="1">
      <c r="A14" s="120" t="s">
        <v>407</v>
      </c>
      <c r="B14" s="120" t="s">
        <v>408</v>
      </c>
      <c r="C14" s="121" t="s">
        <v>38</v>
      </c>
      <c r="D14" s="121" t="s">
        <v>390</v>
      </c>
      <c r="E14" s="121" t="s">
        <v>391</v>
      </c>
      <c r="F14" s="121"/>
      <c r="G14" s="122" t="s">
        <v>404</v>
      </c>
      <c r="H14" s="78" t="s">
        <v>409</v>
      </c>
      <c r="I14" s="121"/>
      <c r="J14" s="121"/>
      <c r="K14" s="123" t="s">
        <v>410</v>
      </c>
      <c r="L14" s="121">
        <v>2020.0</v>
      </c>
      <c r="M14" s="124">
        <v>200.0</v>
      </c>
      <c r="N14" s="125">
        <v>100.0</v>
      </c>
      <c r="O14" s="77" t="s">
        <v>46</v>
      </c>
      <c r="P14" s="58"/>
      <c r="Q14" s="58"/>
      <c r="R14" s="58"/>
      <c r="S14" s="58"/>
      <c r="T14" s="58"/>
      <c r="U14" s="58"/>
      <c r="V14" s="58"/>
      <c r="W14" s="58"/>
      <c r="X14" s="58"/>
      <c r="Y14" s="58"/>
      <c r="Z14" s="58"/>
    </row>
    <row r="15" ht="54.75" customHeight="1">
      <c r="A15" s="126" t="s">
        <v>411</v>
      </c>
      <c r="B15" s="120" t="s">
        <v>412</v>
      </c>
      <c r="C15" s="121" t="s">
        <v>38</v>
      </c>
      <c r="D15" s="127" t="s">
        <v>413</v>
      </c>
      <c r="E15" s="121">
        <v>16.0</v>
      </c>
      <c r="F15" s="121">
        <v>5.0</v>
      </c>
      <c r="G15" s="122" t="s">
        <v>414</v>
      </c>
      <c r="H15" s="72" t="s">
        <v>415</v>
      </c>
      <c r="I15" s="121" t="s">
        <v>416</v>
      </c>
      <c r="J15" s="121" t="s">
        <v>416</v>
      </c>
      <c r="K15" s="123" t="s">
        <v>417</v>
      </c>
      <c r="L15" s="121">
        <v>2020.0</v>
      </c>
      <c r="M15" s="124">
        <v>200.0</v>
      </c>
      <c r="N15" s="125">
        <v>200.0</v>
      </c>
      <c r="O15" s="77" t="s">
        <v>418</v>
      </c>
      <c r="P15" s="58"/>
      <c r="Q15" s="58"/>
      <c r="R15" s="58"/>
      <c r="S15" s="58"/>
      <c r="T15" s="58"/>
      <c r="U15" s="58"/>
      <c r="V15" s="58"/>
      <c r="W15" s="58"/>
      <c r="X15" s="58"/>
      <c r="Y15" s="58"/>
      <c r="Z15" s="58"/>
    </row>
    <row r="16" ht="69.0" customHeight="1">
      <c r="A16" s="126" t="s">
        <v>419</v>
      </c>
      <c r="B16" s="120" t="s">
        <v>412</v>
      </c>
      <c r="C16" s="121" t="s">
        <v>38</v>
      </c>
      <c r="D16" s="127" t="s">
        <v>420</v>
      </c>
      <c r="E16" s="121">
        <v>7.0</v>
      </c>
      <c r="F16" s="121">
        <v>2.0</v>
      </c>
      <c r="G16" s="122" t="s">
        <v>421</v>
      </c>
      <c r="H16" s="72" t="s">
        <v>422</v>
      </c>
      <c r="I16" s="121" t="s">
        <v>423</v>
      </c>
      <c r="J16" s="121" t="s">
        <v>416</v>
      </c>
      <c r="K16" s="123" t="s">
        <v>424</v>
      </c>
      <c r="L16" s="121">
        <v>2020.0</v>
      </c>
      <c r="M16" s="128">
        <v>200.0</v>
      </c>
      <c r="N16" s="125">
        <v>200.0</v>
      </c>
      <c r="O16" s="77" t="s">
        <v>425</v>
      </c>
      <c r="P16" s="58"/>
      <c r="Q16" s="58"/>
      <c r="R16" s="58"/>
      <c r="S16" s="58"/>
      <c r="T16" s="58"/>
      <c r="U16" s="58"/>
      <c r="V16" s="58"/>
      <c r="W16" s="58"/>
      <c r="X16" s="58"/>
      <c r="Y16" s="58"/>
      <c r="Z16" s="58"/>
    </row>
    <row r="17" ht="96.0" customHeight="1">
      <c r="A17" s="126" t="s">
        <v>426</v>
      </c>
      <c r="B17" s="68" t="s">
        <v>412</v>
      </c>
      <c r="C17" s="69" t="s">
        <v>38</v>
      </c>
      <c r="D17" s="69" t="s">
        <v>427</v>
      </c>
      <c r="E17" s="69">
        <v>6.0</v>
      </c>
      <c r="F17" s="75"/>
      <c r="G17" s="69" t="s">
        <v>428</v>
      </c>
      <c r="H17" s="101" t="s">
        <v>429</v>
      </c>
      <c r="I17" s="75" t="s">
        <v>416</v>
      </c>
      <c r="J17" s="75" t="s">
        <v>416</v>
      </c>
      <c r="K17" s="102" t="s">
        <v>430</v>
      </c>
      <c r="L17" s="75">
        <v>2020.0</v>
      </c>
      <c r="M17" s="129">
        <v>200.0</v>
      </c>
      <c r="N17" s="130">
        <v>200.0</v>
      </c>
      <c r="O17" s="77" t="s">
        <v>431</v>
      </c>
      <c r="P17" s="58"/>
      <c r="Q17" s="58"/>
      <c r="R17" s="58"/>
      <c r="S17" s="58"/>
      <c r="T17" s="58"/>
      <c r="U17" s="58"/>
      <c r="V17" s="58"/>
      <c r="W17" s="58"/>
      <c r="X17" s="58"/>
      <c r="Y17" s="58"/>
      <c r="Z17" s="58"/>
    </row>
    <row r="18" ht="138.0" customHeight="1">
      <c r="A18" s="126" t="s">
        <v>432</v>
      </c>
      <c r="B18" s="68" t="s">
        <v>412</v>
      </c>
      <c r="C18" s="69" t="s">
        <v>38</v>
      </c>
      <c r="D18" s="127" t="s">
        <v>433</v>
      </c>
      <c r="E18" s="69">
        <v>17.0</v>
      </c>
      <c r="F18" s="75"/>
      <c r="G18" s="69" t="s">
        <v>404</v>
      </c>
      <c r="H18" s="101" t="s">
        <v>434</v>
      </c>
      <c r="I18" s="75" t="s">
        <v>416</v>
      </c>
      <c r="J18" s="75" t="s">
        <v>416</v>
      </c>
      <c r="K18" s="102" t="s">
        <v>435</v>
      </c>
      <c r="L18" s="75">
        <v>2020.0</v>
      </c>
      <c r="M18" s="129">
        <v>200.0</v>
      </c>
      <c r="N18" s="130">
        <v>200.0</v>
      </c>
      <c r="O18" s="77" t="s">
        <v>436</v>
      </c>
      <c r="P18" s="58"/>
      <c r="Q18" s="58"/>
      <c r="R18" s="58"/>
      <c r="S18" s="58"/>
      <c r="T18" s="58"/>
      <c r="U18" s="58"/>
      <c r="V18" s="58"/>
      <c r="W18" s="58"/>
      <c r="X18" s="58"/>
      <c r="Y18" s="58"/>
      <c r="Z18" s="58"/>
    </row>
    <row r="19" ht="82.5" customHeight="1">
      <c r="A19" s="68" t="s">
        <v>437</v>
      </c>
      <c r="B19" s="68" t="s">
        <v>412</v>
      </c>
      <c r="C19" s="69" t="s">
        <v>38</v>
      </c>
      <c r="D19" s="69" t="s">
        <v>438</v>
      </c>
      <c r="E19" s="69">
        <v>10.0</v>
      </c>
      <c r="F19" s="75"/>
      <c r="G19" s="69" t="s">
        <v>439</v>
      </c>
      <c r="H19" s="101" t="s">
        <v>440</v>
      </c>
      <c r="I19" s="75" t="s">
        <v>416</v>
      </c>
      <c r="J19" s="75" t="s">
        <v>416</v>
      </c>
      <c r="K19" s="102" t="s">
        <v>441</v>
      </c>
      <c r="L19" s="75">
        <v>2020.0</v>
      </c>
      <c r="M19" s="129">
        <v>200.0</v>
      </c>
      <c r="N19" s="130">
        <v>200.0</v>
      </c>
      <c r="O19" s="77" t="s">
        <v>442</v>
      </c>
      <c r="P19" s="58"/>
      <c r="Q19" s="58"/>
      <c r="R19" s="58"/>
      <c r="S19" s="58"/>
      <c r="T19" s="58"/>
      <c r="U19" s="58"/>
      <c r="V19" s="58"/>
      <c r="W19" s="58"/>
      <c r="X19" s="58"/>
      <c r="Y19" s="58"/>
      <c r="Z19" s="58"/>
    </row>
    <row r="20" ht="165.0" customHeight="1">
      <c r="A20" s="131" t="s">
        <v>443</v>
      </c>
      <c r="B20" s="120" t="s">
        <v>444</v>
      </c>
      <c r="C20" s="121" t="s">
        <v>38</v>
      </c>
      <c r="D20" s="132" t="s">
        <v>445</v>
      </c>
      <c r="E20" s="121"/>
      <c r="F20" s="121">
        <v>5.0</v>
      </c>
      <c r="G20" s="122"/>
      <c r="H20" s="72" t="s">
        <v>446</v>
      </c>
      <c r="I20" s="121"/>
      <c r="J20" s="121"/>
      <c r="K20" s="123" t="s">
        <v>447</v>
      </c>
      <c r="L20" s="121">
        <v>2020.0</v>
      </c>
      <c r="M20" s="124">
        <v>200.0</v>
      </c>
      <c r="N20" s="125">
        <v>200.0</v>
      </c>
      <c r="O20" s="77" t="s">
        <v>50</v>
      </c>
      <c r="P20" s="58"/>
      <c r="Q20" s="58"/>
      <c r="R20" s="58"/>
      <c r="S20" s="58"/>
      <c r="T20" s="58"/>
      <c r="U20" s="58"/>
      <c r="V20" s="58"/>
      <c r="W20" s="58"/>
      <c r="X20" s="58"/>
      <c r="Y20" s="58"/>
      <c r="Z20" s="58"/>
    </row>
    <row r="21" ht="57.0" customHeight="1">
      <c r="A21" s="120" t="s">
        <v>448</v>
      </c>
      <c r="B21" s="120" t="s">
        <v>449</v>
      </c>
      <c r="C21" s="121" t="s">
        <v>38</v>
      </c>
      <c r="D21" s="121" t="s">
        <v>445</v>
      </c>
      <c r="E21" s="121"/>
      <c r="F21" s="121">
        <v>7.0</v>
      </c>
      <c r="G21" s="122" t="s">
        <v>450</v>
      </c>
      <c r="H21" s="78" t="s">
        <v>451</v>
      </c>
      <c r="I21" s="121"/>
      <c r="J21" s="121"/>
      <c r="K21" s="123" t="s">
        <v>452</v>
      </c>
      <c r="L21" s="121">
        <v>2020.0</v>
      </c>
      <c r="M21" s="124">
        <v>200.0</v>
      </c>
      <c r="N21" s="125">
        <v>200.0</v>
      </c>
      <c r="O21" s="77" t="s">
        <v>51</v>
      </c>
      <c r="P21" s="58"/>
      <c r="Q21" s="58"/>
      <c r="R21" s="58"/>
      <c r="S21" s="58"/>
      <c r="T21" s="58"/>
      <c r="U21" s="58"/>
      <c r="V21" s="58"/>
      <c r="W21" s="58"/>
      <c r="X21" s="58"/>
      <c r="Y21" s="58"/>
      <c r="Z21" s="58"/>
    </row>
    <row r="22" ht="100.5" customHeight="1">
      <c r="A22" s="120" t="s">
        <v>453</v>
      </c>
      <c r="B22" s="120" t="s">
        <v>454</v>
      </c>
      <c r="C22" s="121" t="s">
        <v>38</v>
      </c>
      <c r="D22" s="121" t="s">
        <v>455</v>
      </c>
      <c r="E22" s="121" t="s">
        <v>397</v>
      </c>
      <c r="F22" s="121">
        <v>1.0</v>
      </c>
      <c r="G22" s="122" t="s">
        <v>456</v>
      </c>
      <c r="H22" s="78" t="s">
        <v>457</v>
      </c>
      <c r="I22" s="121"/>
      <c r="J22" s="121"/>
      <c r="K22" s="123" t="s">
        <v>458</v>
      </c>
      <c r="L22" s="121">
        <v>2020.0</v>
      </c>
      <c r="M22" s="124">
        <v>100.0</v>
      </c>
      <c r="N22" s="125">
        <v>100.0</v>
      </c>
      <c r="O22" s="77" t="s">
        <v>51</v>
      </c>
      <c r="P22" s="58"/>
      <c r="Q22" s="58"/>
      <c r="R22" s="58"/>
      <c r="S22" s="58"/>
      <c r="T22" s="58"/>
      <c r="U22" s="58"/>
      <c r="V22" s="58"/>
      <c r="W22" s="58"/>
      <c r="X22" s="58"/>
      <c r="Y22" s="58"/>
      <c r="Z22" s="58"/>
    </row>
    <row r="23" ht="114.75" customHeight="1">
      <c r="A23" s="68" t="s">
        <v>459</v>
      </c>
      <c r="B23" s="68" t="s">
        <v>460</v>
      </c>
      <c r="C23" s="69" t="s">
        <v>38</v>
      </c>
      <c r="D23" s="69" t="s">
        <v>461</v>
      </c>
      <c r="E23" s="69" t="s">
        <v>462</v>
      </c>
      <c r="F23" s="75">
        <v>10.0</v>
      </c>
      <c r="G23" s="69" t="s">
        <v>456</v>
      </c>
      <c r="H23" s="100" t="s">
        <v>440</v>
      </c>
      <c r="I23" s="75"/>
      <c r="J23" s="75"/>
      <c r="K23" s="102" t="s">
        <v>463</v>
      </c>
      <c r="L23" s="75">
        <v>2020.0</v>
      </c>
      <c r="M23" s="80">
        <v>200.0</v>
      </c>
      <c r="N23" s="130">
        <v>200.0</v>
      </c>
      <c r="O23" s="77" t="s">
        <v>51</v>
      </c>
      <c r="P23" s="58"/>
      <c r="Q23" s="58"/>
      <c r="R23" s="58"/>
      <c r="S23" s="58"/>
      <c r="T23" s="58"/>
      <c r="U23" s="58"/>
      <c r="V23" s="58"/>
      <c r="W23" s="58"/>
      <c r="X23" s="58"/>
      <c r="Y23" s="58"/>
      <c r="Z23" s="58"/>
    </row>
    <row r="24" ht="57.0" customHeight="1">
      <c r="A24" s="120" t="s">
        <v>464</v>
      </c>
      <c r="B24" s="120" t="s">
        <v>465</v>
      </c>
      <c r="C24" s="121" t="s">
        <v>38</v>
      </c>
      <c r="D24" s="121" t="s">
        <v>445</v>
      </c>
      <c r="E24" s="121">
        <v>2020.0</v>
      </c>
      <c r="F24" s="121">
        <v>6.0</v>
      </c>
      <c r="G24" s="122" t="s">
        <v>428</v>
      </c>
      <c r="H24" s="78" t="s">
        <v>466</v>
      </c>
      <c r="I24" s="121"/>
      <c r="J24" s="121"/>
      <c r="K24" s="123" t="s">
        <v>467</v>
      </c>
      <c r="L24" s="121">
        <v>2020.0</v>
      </c>
      <c r="M24" s="124">
        <v>200.0</v>
      </c>
      <c r="N24" s="125">
        <v>200.0</v>
      </c>
      <c r="O24" s="77" t="s">
        <v>53</v>
      </c>
      <c r="P24" s="58"/>
      <c r="Q24" s="58"/>
      <c r="R24" s="58"/>
      <c r="S24" s="58"/>
      <c r="T24" s="58"/>
      <c r="U24" s="58"/>
      <c r="V24" s="58"/>
      <c r="W24" s="58"/>
      <c r="X24" s="58"/>
      <c r="Y24" s="58"/>
      <c r="Z24" s="58"/>
    </row>
    <row r="25" ht="100.5" customHeight="1">
      <c r="A25" s="120" t="s">
        <v>468</v>
      </c>
      <c r="B25" s="120" t="s">
        <v>469</v>
      </c>
      <c r="C25" s="121" t="s">
        <v>38</v>
      </c>
      <c r="D25" s="121" t="s">
        <v>470</v>
      </c>
      <c r="E25" s="121" t="s">
        <v>397</v>
      </c>
      <c r="F25" s="121">
        <v>4.0</v>
      </c>
      <c r="G25" s="122" t="s">
        <v>471</v>
      </c>
      <c r="H25" s="78" t="s">
        <v>472</v>
      </c>
      <c r="I25" s="121"/>
      <c r="J25" s="121"/>
      <c r="K25" s="123" t="s">
        <v>473</v>
      </c>
      <c r="L25" s="121">
        <v>2020.0</v>
      </c>
      <c r="M25" s="124">
        <v>200.0</v>
      </c>
      <c r="N25" s="125">
        <v>200.0</v>
      </c>
      <c r="O25" s="77" t="s">
        <v>56</v>
      </c>
      <c r="P25" s="58"/>
      <c r="Q25" s="58"/>
      <c r="R25" s="58"/>
      <c r="S25" s="58"/>
      <c r="T25" s="58"/>
      <c r="U25" s="58"/>
      <c r="V25" s="58"/>
      <c r="W25" s="58"/>
      <c r="X25" s="58"/>
      <c r="Y25" s="58"/>
      <c r="Z25" s="58"/>
    </row>
    <row r="26" ht="100.5" customHeight="1">
      <c r="A26" s="120" t="s">
        <v>474</v>
      </c>
      <c r="B26" s="120" t="s">
        <v>469</v>
      </c>
      <c r="C26" s="121" t="s">
        <v>38</v>
      </c>
      <c r="D26" s="121" t="s">
        <v>390</v>
      </c>
      <c r="E26" s="121" t="s">
        <v>391</v>
      </c>
      <c r="F26" s="121"/>
      <c r="G26" s="122" t="s">
        <v>475</v>
      </c>
      <c r="H26" s="78" t="s">
        <v>476</v>
      </c>
      <c r="I26" s="121"/>
      <c r="J26" s="121"/>
      <c r="K26" s="123" t="s">
        <v>477</v>
      </c>
      <c r="L26" s="121">
        <v>2020.0</v>
      </c>
      <c r="M26" s="124">
        <v>200.0</v>
      </c>
      <c r="N26" s="125">
        <v>200.0</v>
      </c>
      <c r="O26" s="77" t="s">
        <v>56</v>
      </c>
      <c r="P26" s="58"/>
      <c r="Q26" s="58"/>
      <c r="R26" s="58"/>
      <c r="S26" s="58"/>
      <c r="T26" s="58"/>
      <c r="U26" s="58"/>
      <c r="V26" s="58"/>
      <c r="W26" s="58"/>
      <c r="X26" s="58"/>
      <c r="Y26" s="58"/>
      <c r="Z26" s="58"/>
    </row>
    <row r="27" ht="258.75" customHeight="1">
      <c r="A27" s="120" t="s">
        <v>478</v>
      </c>
      <c r="B27" s="120" t="s">
        <v>479</v>
      </c>
      <c r="C27" s="121" t="s">
        <v>38</v>
      </c>
      <c r="D27" s="121" t="s">
        <v>480</v>
      </c>
      <c r="E27" s="121" t="s">
        <v>481</v>
      </c>
      <c r="F27" s="121">
        <v>1.0</v>
      </c>
      <c r="G27" s="122" t="s">
        <v>482</v>
      </c>
      <c r="H27" s="78" t="s">
        <v>483</v>
      </c>
      <c r="I27" s="121"/>
      <c r="J27" s="121"/>
      <c r="K27" s="123" t="s">
        <v>484</v>
      </c>
      <c r="L27" s="121">
        <v>2020.0</v>
      </c>
      <c r="M27" s="124">
        <v>200.0</v>
      </c>
      <c r="N27" s="125">
        <v>200.0</v>
      </c>
      <c r="O27" s="77" t="s">
        <v>58</v>
      </c>
      <c r="P27" s="58"/>
      <c r="Q27" s="58"/>
      <c r="R27" s="58"/>
      <c r="S27" s="58"/>
      <c r="T27" s="58"/>
      <c r="U27" s="58"/>
      <c r="V27" s="58"/>
      <c r="W27" s="58"/>
      <c r="X27" s="58"/>
      <c r="Y27" s="58"/>
      <c r="Z27" s="58"/>
    </row>
    <row r="28" ht="220.5" customHeight="1">
      <c r="A28" s="120" t="s">
        <v>485</v>
      </c>
      <c r="B28" s="120" t="s">
        <v>486</v>
      </c>
      <c r="C28" s="121" t="s">
        <v>38</v>
      </c>
      <c r="D28" s="121" t="s">
        <v>470</v>
      </c>
      <c r="E28" s="121" t="s">
        <v>397</v>
      </c>
      <c r="F28" s="121">
        <v>1.0</v>
      </c>
      <c r="G28" s="122" t="s">
        <v>487</v>
      </c>
      <c r="H28" s="78" t="s">
        <v>488</v>
      </c>
      <c r="I28" s="121"/>
      <c r="J28" s="121"/>
      <c r="K28" s="123" t="s">
        <v>489</v>
      </c>
      <c r="L28" s="121">
        <v>2020.0</v>
      </c>
      <c r="M28" s="128">
        <v>200.0</v>
      </c>
      <c r="N28" s="125">
        <v>20.0</v>
      </c>
      <c r="O28" s="77" t="s">
        <v>58</v>
      </c>
      <c r="P28" s="58"/>
      <c r="Q28" s="58"/>
      <c r="R28" s="58"/>
      <c r="S28" s="58"/>
      <c r="T28" s="58"/>
      <c r="U28" s="58"/>
      <c r="V28" s="58"/>
      <c r="W28" s="58"/>
      <c r="X28" s="58"/>
      <c r="Y28" s="58"/>
      <c r="Z28" s="58"/>
    </row>
    <row r="29" ht="86.25" customHeight="1">
      <c r="A29" s="120" t="s">
        <v>490</v>
      </c>
      <c r="B29" s="120" t="s">
        <v>491</v>
      </c>
      <c r="C29" s="121" t="s">
        <v>38</v>
      </c>
      <c r="D29" s="121" t="s">
        <v>492</v>
      </c>
      <c r="E29" s="121">
        <v>7.0</v>
      </c>
      <c r="F29" s="121">
        <v>1.0</v>
      </c>
      <c r="G29" s="122" t="s">
        <v>493</v>
      </c>
      <c r="H29" s="78" t="s">
        <v>494</v>
      </c>
      <c r="I29" s="121" t="s">
        <v>495</v>
      </c>
      <c r="J29" s="121" t="s">
        <v>496</v>
      </c>
      <c r="K29" s="123" t="s">
        <v>497</v>
      </c>
      <c r="L29" s="121">
        <v>2020.0</v>
      </c>
      <c r="M29" s="129">
        <v>200.0</v>
      </c>
      <c r="N29" s="125">
        <v>200.0</v>
      </c>
      <c r="O29" s="77" t="s">
        <v>498</v>
      </c>
      <c r="P29" s="58"/>
      <c r="Q29" s="58"/>
      <c r="R29" s="58"/>
      <c r="S29" s="58"/>
      <c r="T29" s="58"/>
      <c r="U29" s="58"/>
      <c r="V29" s="58"/>
      <c r="W29" s="58"/>
      <c r="X29" s="58"/>
      <c r="Y29" s="58"/>
      <c r="Z29" s="58"/>
    </row>
    <row r="30" ht="54.75" customHeight="1">
      <c r="A30" s="68" t="s">
        <v>499</v>
      </c>
      <c r="B30" s="120" t="s">
        <v>491</v>
      </c>
      <c r="C30" s="121" t="s">
        <v>38</v>
      </c>
      <c r="D30" s="69" t="s">
        <v>500</v>
      </c>
      <c r="E30" s="69"/>
      <c r="F30" s="75">
        <v>12.0</v>
      </c>
      <c r="G30" s="69" t="s">
        <v>501</v>
      </c>
      <c r="H30" s="101" t="s">
        <v>502</v>
      </c>
      <c r="I30" s="75"/>
      <c r="J30" s="75"/>
      <c r="K30" s="123" t="s">
        <v>503</v>
      </c>
      <c r="L30" s="75">
        <v>2020.0</v>
      </c>
      <c r="M30" s="129">
        <v>200.0</v>
      </c>
      <c r="N30" s="125">
        <v>200.0</v>
      </c>
      <c r="O30" s="77" t="s">
        <v>498</v>
      </c>
      <c r="P30" s="58"/>
      <c r="Q30" s="58"/>
      <c r="R30" s="58"/>
      <c r="S30" s="58"/>
      <c r="T30" s="58"/>
      <c r="U30" s="58"/>
      <c r="V30" s="58"/>
      <c r="W30" s="58"/>
      <c r="X30" s="58"/>
      <c r="Y30" s="58"/>
      <c r="Z30" s="58"/>
    </row>
    <row r="31" ht="57.0" customHeight="1">
      <c r="A31" s="120" t="s">
        <v>504</v>
      </c>
      <c r="B31" s="120" t="s">
        <v>491</v>
      </c>
      <c r="C31" s="121" t="s">
        <v>38</v>
      </c>
      <c r="D31" s="121" t="s">
        <v>445</v>
      </c>
      <c r="E31" s="121"/>
      <c r="F31" s="121">
        <v>5.0</v>
      </c>
      <c r="G31" s="122" t="s">
        <v>505</v>
      </c>
      <c r="H31" s="78" t="s">
        <v>506</v>
      </c>
      <c r="I31" s="121"/>
      <c r="J31" s="121"/>
      <c r="K31" s="123" t="s">
        <v>507</v>
      </c>
      <c r="L31" s="121">
        <v>2020.0</v>
      </c>
      <c r="M31" s="129">
        <v>200.0</v>
      </c>
      <c r="N31" s="125">
        <v>200.0</v>
      </c>
      <c r="O31" s="77" t="s">
        <v>498</v>
      </c>
      <c r="P31" s="58"/>
      <c r="Q31" s="58"/>
      <c r="R31" s="58"/>
      <c r="S31" s="58"/>
      <c r="T31" s="58"/>
      <c r="U31" s="58"/>
      <c r="V31" s="58"/>
      <c r="W31" s="58"/>
      <c r="X31" s="58"/>
      <c r="Y31" s="58"/>
      <c r="Z31" s="58"/>
    </row>
    <row r="32" ht="69.0" customHeight="1">
      <c r="A32" s="68" t="s">
        <v>508</v>
      </c>
      <c r="B32" s="120" t="s">
        <v>491</v>
      </c>
      <c r="C32" s="121" t="s">
        <v>38</v>
      </c>
      <c r="D32" s="69" t="s">
        <v>509</v>
      </c>
      <c r="E32" s="69"/>
      <c r="F32" s="75" t="s">
        <v>510</v>
      </c>
      <c r="G32" s="69" t="s">
        <v>398</v>
      </c>
      <c r="H32" s="101" t="s">
        <v>511</v>
      </c>
      <c r="I32" s="75"/>
      <c r="J32" s="75"/>
      <c r="K32" s="102" t="s">
        <v>512</v>
      </c>
      <c r="L32" s="75">
        <v>2020.0</v>
      </c>
      <c r="M32" s="129">
        <v>200.0</v>
      </c>
      <c r="N32" s="125">
        <v>200.0</v>
      </c>
      <c r="O32" s="77" t="s">
        <v>498</v>
      </c>
      <c r="P32" s="58"/>
      <c r="Q32" s="58"/>
      <c r="R32" s="58"/>
      <c r="S32" s="58"/>
      <c r="T32" s="58"/>
      <c r="U32" s="58"/>
      <c r="V32" s="58"/>
      <c r="W32" s="58"/>
      <c r="X32" s="58"/>
      <c r="Y32" s="58"/>
      <c r="Z32" s="58"/>
    </row>
    <row r="33" ht="96.0" customHeight="1">
      <c r="A33" s="68" t="s">
        <v>513</v>
      </c>
      <c r="B33" s="120" t="s">
        <v>514</v>
      </c>
      <c r="C33" s="121" t="s">
        <v>38</v>
      </c>
      <c r="D33" s="69" t="s">
        <v>390</v>
      </c>
      <c r="E33" s="69"/>
      <c r="F33" s="75" t="s">
        <v>391</v>
      </c>
      <c r="G33" s="69" t="s">
        <v>404</v>
      </c>
      <c r="H33" s="101" t="s">
        <v>515</v>
      </c>
      <c r="I33" s="75"/>
      <c r="J33" s="75"/>
      <c r="K33" s="102" t="s">
        <v>516</v>
      </c>
      <c r="L33" s="75">
        <v>2020.0</v>
      </c>
      <c r="M33" s="129">
        <v>200.0</v>
      </c>
      <c r="N33" s="125">
        <v>100.0</v>
      </c>
      <c r="O33" s="77" t="s">
        <v>498</v>
      </c>
      <c r="P33" s="58"/>
      <c r="Q33" s="58"/>
      <c r="R33" s="58"/>
      <c r="S33" s="58"/>
      <c r="T33" s="58"/>
      <c r="U33" s="58"/>
      <c r="V33" s="58"/>
      <c r="W33" s="58"/>
      <c r="X33" s="58"/>
      <c r="Y33" s="58"/>
      <c r="Z33" s="58"/>
    </row>
    <row r="34" ht="230.25" customHeight="1">
      <c r="A34" s="120" t="s">
        <v>407</v>
      </c>
      <c r="B34" s="120" t="s">
        <v>408</v>
      </c>
      <c r="C34" s="121" t="s">
        <v>38</v>
      </c>
      <c r="D34" s="121" t="s">
        <v>390</v>
      </c>
      <c r="E34" s="121" t="s">
        <v>391</v>
      </c>
      <c r="F34" s="121"/>
      <c r="G34" s="122" t="s">
        <v>404</v>
      </c>
      <c r="H34" s="78" t="s">
        <v>409</v>
      </c>
      <c r="I34" s="121"/>
      <c r="J34" s="121"/>
      <c r="K34" s="123" t="s">
        <v>410</v>
      </c>
      <c r="L34" s="121">
        <v>2020.0</v>
      </c>
      <c r="M34" s="124">
        <v>200.0</v>
      </c>
      <c r="N34" s="125">
        <v>100.0</v>
      </c>
      <c r="O34" s="77" t="s">
        <v>61</v>
      </c>
      <c r="P34" s="58"/>
      <c r="Q34" s="58"/>
      <c r="R34" s="58"/>
      <c r="S34" s="58"/>
      <c r="T34" s="58"/>
      <c r="U34" s="58"/>
      <c r="V34" s="58"/>
      <c r="W34" s="58"/>
      <c r="X34" s="58"/>
      <c r="Y34" s="58"/>
      <c r="Z34" s="58"/>
    </row>
    <row r="35" ht="288.0" customHeight="1">
      <c r="A35" s="120" t="s">
        <v>517</v>
      </c>
      <c r="B35" s="120" t="s">
        <v>518</v>
      </c>
      <c r="C35" s="121" t="s">
        <v>38</v>
      </c>
      <c r="D35" s="121" t="s">
        <v>390</v>
      </c>
      <c r="E35" s="121">
        <v>17.0</v>
      </c>
      <c r="F35" s="121"/>
      <c r="G35" s="122" t="s">
        <v>404</v>
      </c>
      <c r="H35" s="78" t="s">
        <v>519</v>
      </c>
      <c r="I35" s="121"/>
      <c r="J35" s="121"/>
      <c r="K35" s="123" t="s">
        <v>520</v>
      </c>
      <c r="L35" s="121">
        <v>2020.0</v>
      </c>
      <c r="M35" s="124">
        <v>200.0</v>
      </c>
      <c r="N35" s="125">
        <v>200.0</v>
      </c>
      <c r="O35" s="77" t="s">
        <v>62</v>
      </c>
      <c r="P35" s="58"/>
      <c r="Q35" s="58"/>
      <c r="R35" s="58"/>
      <c r="S35" s="58"/>
      <c r="T35" s="58"/>
      <c r="U35" s="58"/>
      <c r="V35" s="58"/>
      <c r="W35" s="58"/>
      <c r="X35" s="58"/>
      <c r="Y35" s="58"/>
      <c r="Z35" s="58"/>
    </row>
    <row r="36" ht="114.75" customHeight="1">
      <c r="A36" s="133" t="s">
        <v>521</v>
      </c>
      <c r="B36" s="120" t="s">
        <v>522</v>
      </c>
      <c r="C36" s="121" t="s">
        <v>38</v>
      </c>
      <c r="D36" s="121" t="s">
        <v>523</v>
      </c>
      <c r="E36" s="121">
        <v>5.0</v>
      </c>
      <c r="F36" s="121">
        <v>10.0</v>
      </c>
      <c r="G36" s="122" t="s">
        <v>524</v>
      </c>
      <c r="H36" s="78" t="s">
        <v>525</v>
      </c>
      <c r="I36" s="121"/>
      <c r="J36" s="121"/>
      <c r="K36" s="123" t="s">
        <v>526</v>
      </c>
      <c r="L36" s="121">
        <v>2020.0</v>
      </c>
      <c r="M36" s="124">
        <v>200.0</v>
      </c>
      <c r="N36" s="125">
        <v>200.0</v>
      </c>
      <c r="O36" s="77" t="s">
        <v>63</v>
      </c>
      <c r="P36" s="58"/>
      <c r="Q36" s="58"/>
      <c r="R36" s="58"/>
      <c r="S36" s="58"/>
      <c r="T36" s="58"/>
      <c r="U36" s="58"/>
      <c r="V36" s="58"/>
      <c r="W36" s="58"/>
      <c r="X36" s="58"/>
      <c r="Y36" s="58"/>
      <c r="Z36" s="58"/>
    </row>
    <row r="37" ht="165.0" customHeight="1">
      <c r="A37" s="134" t="s">
        <v>527</v>
      </c>
      <c r="B37" s="135" t="s">
        <v>528</v>
      </c>
      <c r="C37" s="136" t="s">
        <v>38</v>
      </c>
      <c r="D37" s="134" t="s">
        <v>390</v>
      </c>
      <c r="E37" s="136" t="s">
        <v>391</v>
      </c>
      <c r="F37" s="136"/>
      <c r="G37" s="137" t="s">
        <v>404</v>
      </c>
      <c r="H37" s="136" t="s">
        <v>529</v>
      </c>
      <c r="I37" s="136"/>
      <c r="J37" s="136"/>
      <c r="K37" s="138" t="s">
        <v>530</v>
      </c>
      <c r="L37" s="136">
        <v>2020.0</v>
      </c>
      <c r="M37" s="139">
        <v>200.0</v>
      </c>
      <c r="N37" s="140">
        <v>200.0</v>
      </c>
      <c r="O37" s="77" t="s">
        <v>66</v>
      </c>
      <c r="P37" s="58"/>
      <c r="Q37" s="58"/>
      <c r="R37" s="58"/>
      <c r="S37" s="58"/>
      <c r="T37" s="58"/>
      <c r="U37" s="58"/>
      <c r="V37" s="58"/>
      <c r="W37" s="58"/>
      <c r="X37" s="58"/>
      <c r="Y37" s="58"/>
      <c r="Z37" s="58"/>
    </row>
    <row r="38" ht="151.5" customHeight="1">
      <c r="A38" s="120" t="s">
        <v>531</v>
      </c>
      <c r="B38" s="141" t="s">
        <v>532</v>
      </c>
      <c r="C38" s="121" t="s">
        <v>38</v>
      </c>
      <c r="D38" s="121" t="s">
        <v>427</v>
      </c>
      <c r="E38" s="121"/>
      <c r="F38" s="121">
        <v>8.0</v>
      </c>
      <c r="G38" s="142" t="s">
        <v>533</v>
      </c>
      <c r="H38" s="72" t="s">
        <v>534</v>
      </c>
      <c r="I38" s="121"/>
      <c r="J38" s="121"/>
      <c r="K38" s="123" t="s">
        <v>535</v>
      </c>
      <c r="L38" s="121">
        <v>2020.0</v>
      </c>
      <c r="M38" s="124">
        <v>200.0</v>
      </c>
      <c r="N38" s="125">
        <v>200.0</v>
      </c>
      <c r="O38" s="77" t="s">
        <v>68</v>
      </c>
      <c r="P38" s="58"/>
      <c r="Q38" s="58"/>
      <c r="R38" s="58"/>
      <c r="S38" s="58"/>
      <c r="T38" s="58"/>
      <c r="U38" s="58"/>
      <c r="V38" s="58"/>
      <c r="W38" s="58"/>
      <c r="X38" s="58"/>
      <c r="Y38" s="58"/>
      <c r="Z38" s="58"/>
    </row>
    <row r="39" ht="82.5" customHeight="1">
      <c r="A39" s="141" t="s">
        <v>536</v>
      </c>
      <c r="B39" s="141" t="s">
        <v>532</v>
      </c>
      <c r="C39" s="121" t="s">
        <v>38</v>
      </c>
      <c r="D39" s="73" t="s">
        <v>390</v>
      </c>
      <c r="E39" s="121"/>
      <c r="F39" s="121" t="s">
        <v>391</v>
      </c>
      <c r="G39" s="143" t="s">
        <v>404</v>
      </c>
      <c r="H39" s="123" t="s">
        <v>537</v>
      </c>
      <c r="I39" s="123"/>
      <c r="J39" s="101" t="s">
        <v>538</v>
      </c>
      <c r="K39" s="123" t="s">
        <v>539</v>
      </c>
      <c r="L39" s="121">
        <v>2020.0</v>
      </c>
      <c r="M39" s="144">
        <v>200.0</v>
      </c>
      <c r="N39" s="125">
        <v>200.0</v>
      </c>
      <c r="O39" s="77" t="s">
        <v>68</v>
      </c>
      <c r="P39" s="58"/>
      <c r="Q39" s="58"/>
      <c r="R39" s="58"/>
      <c r="S39" s="58"/>
      <c r="T39" s="58"/>
      <c r="U39" s="58"/>
      <c r="V39" s="58"/>
      <c r="W39" s="58"/>
      <c r="X39" s="58"/>
      <c r="Y39" s="58"/>
      <c r="Z39" s="58"/>
    </row>
    <row r="40" ht="172.5" customHeight="1">
      <c r="A40" s="120" t="s">
        <v>540</v>
      </c>
      <c r="B40" s="120" t="s">
        <v>541</v>
      </c>
      <c r="C40" s="121" t="s">
        <v>73</v>
      </c>
      <c r="D40" s="121" t="s">
        <v>542</v>
      </c>
      <c r="E40" s="121" t="s">
        <v>543</v>
      </c>
      <c r="F40" s="145" t="s">
        <v>544</v>
      </c>
      <c r="G40" s="122" t="s">
        <v>545</v>
      </c>
      <c r="H40" s="78" t="s">
        <v>546</v>
      </c>
      <c r="I40" s="121" t="s">
        <v>547</v>
      </c>
      <c r="J40" s="121"/>
      <c r="K40" s="123" t="s">
        <v>548</v>
      </c>
      <c r="L40" s="121" t="s">
        <v>549</v>
      </c>
      <c r="M40" s="124">
        <v>200.0</v>
      </c>
      <c r="N40" s="125">
        <v>66.0</v>
      </c>
      <c r="O40" s="77" t="s">
        <v>550</v>
      </c>
      <c r="P40" s="58"/>
      <c r="Q40" s="58"/>
      <c r="R40" s="58"/>
      <c r="S40" s="58"/>
      <c r="T40" s="58"/>
      <c r="U40" s="58"/>
      <c r="V40" s="58"/>
      <c r="W40" s="58"/>
      <c r="X40" s="58"/>
      <c r="Y40" s="58"/>
      <c r="Z40" s="58"/>
    </row>
    <row r="41" ht="172.5" customHeight="1">
      <c r="A41" s="120" t="s">
        <v>540</v>
      </c>
      <c r="B41" s="120" t="s">
        <v>541</v>
      </c>
      <c r="C41" s="121" t="s">
        <v>73</v>
      </c>
      <c r="D41" s="121" t="s">
        <v>542</v>
      </c>
      <c r="E41" s="121" t="s">
        <v>543</v>
      </c>
      <c r="F41" s="145" t="s">
        <v>544</v>
      </c>
      <c r="G41" s="122" t="s">
        <v>545</v>
      </c>
      <c r="H41" s="78" t="s">
        <v>546</v>
      </c>
      <c r="I41" s="121" t="s">
        <v>547</v>
      </c>
      <c r="J41" s="121"/>
      <c r="K41" s="123" t="s">
        <v>548</v>
      </c>
      <c r="L41" s="121" t="s">
        <v>549</v>
      </c>
      <c r="M41" s="124">
        <v>200.0</v>
      </c>
      <c r="N41" s="125">
        <v>66.0</v>
      </c>
      <c r="O41" s="77" t="s">
        <v>75</v>
      </c>
      <c r="P41" s="58"/>
      <c r="Q41" s="58"/>
      <c r="R41" s="58"/>
      <c r="S41" s="58"/>
      <c r="T41" s="58"/>
      <c r="U41" s="58"/>
      <c r="V41" s="58"/>
      <c r="W41" s="58"/>
      <c r="X41" s="58"/>
      <c r="Y41" s="58"/>
      <c r="Z41" s="58"/>
    </row>
    <row r="42" ht="60.0" customHeight="1">
      <c r="A42" s="146" t="s">
        <v>551</v>
      </c>
      <c r="B42" s="146" t="s">
        <v>552</v>
      </c>
      <c r="C42" s="147" t="s">
        <v>73</v>
      </c>
      <c r="D42" s="147" t="s">
        <v>553</v>
      </c>
      <c r="E42" s="147">
        <v>15.0</v>
      </c>
      <c r="F42" s="148">
        <v>2.0</v>
      </c>
      <c r="G42" s="147" t="s">
        <v>554</v>
      </c>
      <c r="H42" s="149" t="s">
        <v>555</v>
      </c>
      <c r="I42" s="148" t="s">
        <v>556</v>
      </c>
      <c r="J42" s="150">
        <v>5.81935000002E11</v>
      </c>
      <c r="K42" s="151" t="s">
        <v>557</v>
      </c>
      <c r="L42" s="148">
        <v>2020.0</v>
      </c>
      <c r="M42" s="152">
        <v>200.0</v>
      </c>
      <c r="N42" s="153">
        <v>100.0</v>
      </c>
      <c r="O42" s="154" t="s">
        <v>87</v>
      </c>
      <c r="P42" s="58"/>
      <c r="Q42" s="58"/>
      <c r="R42" s="58"/>
      <c r="S42" s="58"/>
      <c r="T42" s="58"/>
      <c r="U42" s="58"/>
      <c r="V42" s="58"/>
      <c r="W42" s="58"/>
      <c r="X42" s="58"/>
      <c r="Y42" s="58"/>
      <c r="Z42" s="58"/>
    </row>
    <row r="43" ht="82.5" customHeight="1">
      <c r="A43" s="120" t="s">
        <v>558</v>
      </c>
      <c r="B43" s="120" t="s">
        <v>559</v>
      </c>
      <c r="C43" s="121" t="s">
        <v>560</v>
      </c>
      <c r="D43" s="121" t="s">
        <v>561</v>
      </c>
      <c r="E43" s="121">
        <v>23.0</v>
      </c>
      <c r="F43" s="121">
        <v>1.0</v>
      </c>
      <c r="G43" s="122" t="s">
        <v>562</v>
      </c>
      <c r="H43" s="72" t="s">
        <v>563</v>
      </c>
      <c r="I43" s="121"/>
      <c r="J43" s="121"/>
      <c r="K43" s="123" t="s">
        <v>564</v>
      </c>
      <c r="L43" s="121">
        <v>2020.0</v>
      </c>
      <c r="M43" s="124"/>
      <c r="N43" s="125">
        <v>200.0</v>
      </c>
      <c r="O43" s="77" t="s">
        <v>122</v>
      </c>
      <c r="P43" s="58"/>
      <c r="Q43" s="58"/>
      <c r="R43" s="58"/>
      <c r="S43" s="58"/>
      <c r="T43" s="58"/>
      <c r="U43" s="58"/>
      <c r="V43" s="58"/>
      <c r="W43" s="58"/>
      <c r="X43" s="58"/>
      <c r="Y43" s="58"/>
      <c r="Z43" s="58"/>
    </row>
    <row r="44" ht="96.0" customHeight="1">
      <c r="A44" s="120" t="s">
        <v>565</v>
      </c>
      <c r="B44" s="120" t="s">
        <v>566</v>
      </c>
      <c r="C44" s="121" t="s">
        <v>567</v>
      </c>
      <c r="D44" s="121" t="s">
        <v>568</v>
      </c>
      <c r="E44" s="121">
        <v>20.0</v>
      </c>
      <c r="F44" s="121">
        <v>1.0</v>
      </c>
      <c r="G44" s="122" t="s">
        <v>569</v>
      </c>
      <c r="H44" s="72" t="s">
        <v>570</v>
      </c>
      <c r="I44" s="121">
        <v>0.0</v>
      </c>
      <c r="J44" s="121">
        <v>0.0</v>
      </c>
      <c r="K44" s="123" t="s">
        <v>571</v>
      </c>
      <c r="L44" s="121">
        <v>2020.0</v>
      </c>
      <c r="M44" s="124">
        <v>200.0</v>
      </c>
      <c r="N44" s="125">
        <v>66.0</v>
      </c>
      <c r="O44" s="77" t="s">
        <v>125</v>
      </c>
      <c r="P44" s="58"/>
      <c r="Q44" s="58"/>
      <c r="R44" s="58"/>
      <c r="S44" s="58"/>
      <c r="T44" s="58"/>
      <c r="U44" s="58"/>
      <c r="V44" s="58"/>
      <c r="W44" s="58"/>
      <c r="X44" s="58"/>
      <c r="Y44" s="58"/>
      <c r="Z44" s="58"/>
    </row>
    <row r="45" ht="96.0" customHeight="1">
      <c r="A45" s="120" t="s">
        <v>565</v>
      </c>
      <c r="B45" s="120" t="s">
        <v>566</v>
      </c>
      <c r="C45" s="121" t="s">
        <v>567</v>
      </c>
      <c r="D45" s="121" t="s">
        <v>568</v>
      </c>
      <c r="E45" s="121">
        <v>20.0</v>
      </c>
      <c r="F45" s="121">
        <v>1.0</v>
      </c>
      <c r="G45" s="122" t="s">
        <v>569</v>
      </c>
      <c r="H45" s="72" t="s">
        <v>570</v>
      </c>
      <c r="I45" s="121">
        <v>0.0</v>
      </c>
      <c r="J45" s="121">
        <v>0.0</v>
      </c>
      <c r="K45" s="123" t="s">
        <v>571</v>
      </c>
      <c r="L45" s="121">
        <v>2020.0</v>
      </c>
      <c r="M45" s="124">
        <v>200.0</v>
      </c>
      <c r="N45" s="125">
        <v>67.0</v>
      </c>
      <c r="O45" s="77" t="s">
        <v>131</v>
      </c>
      <c r="P45" s="58"/>
      <c r="Q45" s="58"/>
      <c r="R45" s="58"/>
      <c r="S45" s="58"/>
      <c r="T45" s="58"/>
      <c r="U45" s="58"/>
      <c r="V45" s="58"/>
      <c r="W45" s="58"/>
      <c r="X45" s="58"/>
      <c r="Y45" s="58"/>
      <c r="Z45" s="58"/>
    </row>
    <row r="46" ht="96.0" customHeight="1">
      <c r="A46" s="120" t="s">
        <v>565</v>
      </c>
      <c r="B46" s="120" t="s">
        <v>566</v>
      </c>
      <c r="C46" s="121" t="s">
        <v>567</v>
      </c>
      <c r="D46" s="121" t="s">
        <v>568</v>
      </c>
      <c r="E46" s="121">
        <v>20.0</v>
      </c>
      <c r="F46" s="121">
        <v>1.0</v>
      </c>
      <c r="G46" s="122" t="s">
        <v>569</v>
      </c>
      <c r="H46" s="72" t="s">
        <v>570</v>
      </c>
      <c r="I46" s="121">
        <v>0.0</v>
      </c>
      <c r="J46" s="121">
        <v>0.0</v>
      </c>
      <c r="K46" s="123" t="s">
        <v>571</v>
      </c>
      <c r="L46" s="121">
        <v>2020.0</v>
      </c>
      <c r="M46" s="124">
        <v>200.0</v>
      </c>
      <c r="N46" s="125">
        <v>67.0</v>
      </c>
      <c r="O46" s="77" t="s">
        <v>133</v>
      </c>
      <c r="P46" s="58"/>
      <c r="Q46" s="58"/>
      <c r="R46" s="58"/>
      <c r="S46" s="58"/>
      <c r="T46" s="58"/>
      <c r="U46" s="58"/>
      <c r="V46" s="58"/>
      <c r="W46" s="58"/>
      <c r="X46" s="58"/>
      <c r="Y46" s="58"/>
      <c r="Z46" s="58"/>
    </row>
    <row r="47" ht="409.5" customHeight="1">
      <c r="A47" s="120" t="s">
        <v>572</v>
      </c>
      <c r="B47" s="120" t="s">
        <v>573</v>
      </c>
      <c r="C47" s="121" t="s">
        <v>142</v>
      </c>
      <c r="D47" s="121" t="s">
        <v>574</v>
      </c>
      <c r="E47" s="121">
        <v>8.0</v>
      </c>
      <c r="F47" s="121"/>
      <c r="G47" s="122" t="s">
        <v>575</v>
      </c>
      <c r="H47" s="72" t="s">
        <v>576</v>
      </c>
      <c r="I47" s="121" t="s">
        <v>577</v>
      </c>
      <c r="J47" s="121" t="s">
        <v>578</v>
      </c>
      <c r="K47" s="123" t="s">
        <v>579</v>
      </c>
      <c r="L47" s="121" t="s">
        <v>580</v>
      </c>
      <c r="M47" s="124">
        <v>200.0</v>
      </c>
      <c r="N47" s="125">
        <v>200.0</v>
      </c>
      <c r="O47" s="77" t="s">
        <v>141</v>
      </c>
      <c r="P47" s="58"/>
      <c r="Q47" s="58"/>
      <c r="R47" s="58"/>
      <c r="S47" s="58"/>
      <c r="T47" s="58"/>
      <c r="U47" s="58"/>
      <c r="V47" s="58"/>
      <c r="W47" s="58"/>
      <c r="X47" s="58"/>
      <c r="Y47" s="58"/>
      <c r="Z47" s="58"/>
    </row>
    <row r="48" ht="123.75" customHeight="1">
      <c r="A48" s="120" t="s">
        <v>581</v>
      </c>
      <c r="B48" s="120" t="s">
        <v>147</v>
      </c>
      <c r="C48" s="121" t="s">
        <v>142</v>
      </c>
      <c r="D48" s="121" t="s">
        <v>445</v>
      </c>
      <c r="E48" s="121">
        <v>1.0</v>
      </c>
      <c r="F48" s="121">
        <v>1.0</v>
      </c>
      <c r="G48" s="122" t="s">
        <v>505</v>
      </c>
      <c r="H48" s="72" t="s">
        <v>582</v>
      </c>
      <c r="I48" s="121" t="s">
        <v>583</v>
      </c>
      <c r="J48" s="121" t="s">
        <v>583</v>
      </c>
      <c r="K48" s="123" t="s">
        <v>584</v>
      </c>
      <c r="L48" s="121">
        <v>2020.0</v>
      </c>
      <c r="M48" s="124">
        <v>200.0</v>
      </c>
      <c r="N48" s="125">
        <v>200.0</v>
      </c>
      <c r="O48" s="77" t="s">
        <v>147</v>
      </c>
      <c r="P48" s="58"/>
      <c r="Q48" s="58"/>
      <c r="R48" s="58"/>
      <c r="S48" s="58"/>
      <c r="T48" s="58"/>
      <c r="U48" s="58"/>
      <c r="V48" s="58"/>
      <c r="W48" s="58"/>
      <c r="X48" s="58"/>
      <c r="Y48" s="58"/>
      <c r="Z48" s="58"/>
    </row>
    <row r="49" ht="69.0" customHeight="1">
      <c r="A49" s="120" t="s">
        <v>585</v>
      </c>
      <c r="B49" s="120" t="s">
        <v>586</v>
      </c>
      <c r="C49" s="121" t="s">
        <v>142</v>
      </c>
      <c r="D49" s="121" t="s">
        <v>587</v>
      </c>
      <c r="E49" s="121">
        <v>12.0</v>
      </c>
      <c r="F49" s="121">
        <v>4.0</v>
      </c>
      <c r="G49" s="122" t="s">
        <v>588</v>
      </c>
      <c r="H49" s="72" t="s">
        <v>589</v>
      </c>
      <c r="I49" s="121" t="s">
        <v>583</v>
      </c>
      <c r="J49" s="121" t="s">
        <v>583</v>
      </c>
      <c r="K49" s="123" t="s">
        <v>590</v>
      </c>
      <c r="L49" s="121">
        <v>2020.0</v>
      </c>
      <c r="M49" s="124">
        <v>200.0</v>
      </c>
      <c r="N49" s="125">
        <v>100.0</v>
      </c>
      <c r="O49" s="77" t="s">
        <v>147</v>
      </c>
      <c r="P49" s="58"/>
      <c r="Q49" s="58"/>
      <c r="R49" s="58"/>
      <c r="S49" s="58"/>
      <c r="T49" s="58"/>
      <c r="U49" s="58"/>
      <c r="V49" s="58"/>
      <c r="W49" s="58"/>
      <c r="X49" s="58"/>
      <c r="Y49" s="58"/>
      <c r="Z49" s="58"/>
    </row>
    <row r="50" ht="151.5" customHeight="1">
      <c r="A50" s="120" t="s">
        <v>591</v>
      </c>
      <c r="B50" s="120" t="s">
        <v>147</v>
      </c>
      <c r="C50" s="121" t="s">
        <v>142</v>
      </c>
      <c r="D50" s="121" t="s">
        <v>445</v>
      </c>
      <c r="E50" s="121"/>
      <c r="F50" s="121" t="s">
        <v>592</v>
      </c>
      <c r="G50" s="122" t="s">
        <v>505</v>
      </c>
      <c r="H50" s="72" t="s">
        <v>593</v>
      </c>
      <c r="I50" s="121" t="s">
        <v>594</v>
      </c>
      <c r="J50" s="121" t="s">
        <v>583</v>
      </c>
      <c r="K50" s="123" t="s">
        <v>595</v>
      </c>
      <c r="L50" s="121">
        <v>2020.0</v>
      </c>
      <c r="M50" s="124">
        <v>200.0</v>
      </c>
      <c r="N50" s="125">
        <v>200.0</v>
      </c>
      <c r="O50" s="77" t="s">
        <v>147</v>
      </c>
      <c r="P50" s="58"/>
      <c r="Q50" s="58"/>
      <c r="R50" s="58"/>
      <c r="S50" s="58"/>
      <c r="T50" s="58"/>
      <c r="U50" s="58"/>
      <c r="V50" s="58"/>
      <c r="W50" s="58"/>
      <c r="X50" s="58"/>
      <c r="Y50" s="58"/>
      <c r="Z50" s="58"/>
    </row>
    <row r="51" ht="110.25" customHeight="1">
      <c r="A51" s="120" t="s">
        <v>596</v>
      </c>
      <c r="B51" s="120" t="s">
        <v>597</v>
      </c>
      <c r="C51" s="121" t="s">
        <v>142</v>
      </c>
      <c r="D51" s="121" t="s">
        <v>598</v>
      </c>
      <c r="E51" s="121" t="s">
        <v>599</v>
      </c>
      <c r="F51" s="121">
        <v>2.0</v>
      </c>
      <c r="G51" s="122" t="s">
        <v>600</v>
      </c>
      <c r="H51" s="72" t="s">
        <v>601</v>
      </c>
      <c r="I51" s="121" t="s">
        <v>602</v>
      </c>
      <c r="J51" s="121"/>
      <c r="K51" s="123" t="s">
        <v>603</v>
      </c>
      <c r="L51" s="121">
        <v>2020.0</v>
      </c>
      <c r="M51" s="124">
        <v>200.0</v>
      </c>
      <c r="N51" s="125">
        <v>100.0</v>
      </c>
      <c r="O51" s="77" t="s">
        <v>156</v>
      </c>
      <c r="P51" s="58"/>
      <c r="Q51" s="58"/>
      <c r="R51" s="58"/>
      <c r="S51" s="58"/>
      <c r="T51" s="58"/>
      <c r="U51" s="58"/>
      <c r="V51" s="58"/>
      <c r="W51" s="58"/>
      <c r="X51" s="58"/>
      <c r="Y51" s="58"/>
      <c r="Z51" s="58"/>
    </row>
    <row r="52" ht="69.0" customHeight="1">
      <c r="A52" s="120" t="s">
        <v>604</v>
      </c>
      <c r="B52" s="120" t="s">
        <v>605</v>
      </c>
      <c r="C52" s="121" t="s">
        <v>142</v>
      </c>
      <c r="D52" s="121" t="s">
        <v>445</v>
      </c>
      <c r="E52" s="121"/>
      <c r="F52" s="121" t="s">
        <v>606</v>
      </c>
      <c r="G52" s="122" t="s">
        <v>607</v>
      </c>
      <c r="H52" s="72" t="s">
        <v>608</v>
      </c>
      <c r="I52" s="121"/>
      <c r="J52" s="121"/>
      <c r="K52" s="123" t="s">
        <v>609</v>
      </c>
      <c r="L52" s="121">
        <v>2020.0</v>
      </c>
      <c r="M52" s="124">
        <v>200.0</v>
      </c>
      <c r="N52" s="125">
        <v>200.0</v>
      </c>
      <c r="O52" s="77" t="s">
        <v>156</v>
      </c>
      <c r="P52" s="58"/>
      <c r="Q52" s="58"/>
      <c r="R52" s="58"/>
      <c r="S52" s="58"/>
      <c r="T52" s="58"/>
      <c r="U52" s="58"/>
      <c r="V52" s="58"/>
      <c r="W52" s="58"/>
      <c r="X52" s="58"/>
      <c r="Y52" s="58"/>
      <c r="Z52" s="58"/>
    </row>
    <row r="53" ht="82.5" customHeight="1">
      <c r="A53" s="120" t="s">
        <v>610</v>
      </c>
      <c r="B53" s="120" t="s">
        <v>161</v>
      </c>
      <c r="C53" s="121" t="s">
        <v>142</v>
      </c>
      <c r="D53" s="121" t="s">
        <v>611</v>
      </c>
      <c r="E53" s="121">
        <v>12.0</v>
      </c>
      <c r="F53" s="121">
        <v>3.0</v>
      </c>
      <c r="G53" s="122" t="s">
        <v>612</v>
      </c>
      <c r="H53" s="72" t="s">
        <v>613</v>
      </c>
      <c r="I53" s="121"/>
      <c r="J53" s="121"/>
      <c r="K53" s="123" t="s">
        <v>614</v>
      </c>
      <c r="L53" s="121">
        <v>2020.0</v>
      </c>
      <c r="M53" s="124">
        <v>200.0</v>
      </c>
      <c r="N53" s="125">
        <v>200.0</v>
      </c>
      <c r="O53" s="77" t="s">
        <v>161</v>
      </c>
      <c r="P53" s="58"/>
      <c r="Q53" s="58"/>
      <c r="R53" s="58"/>
      <c r="S53" s="58"/>
      <c r="T53" s="58"/>
      <c r="U53" s="58"/>
      <c r="V53" s="58"/>
      <c r="W53" s="58"/>
      <c r="X53" s="58"/>
      <c r="Y53" s="58"/>
      <c r="Z53" s="58"/>
    </row>
    <row r="54" ht="110.25" customHeight="1">
      <c r="A54" s="120" t="s">
        <v>615</v>
      </c>
      <c r="B54" s="120" t="s">
        <v>311</v>
      </c>
      <c r="C54" s="121" t="s">
        <v>142</v>
      </c>
      <c r="D54" s="121" t="s">
        <v>616</v>
      </c>
      <c r="E54" s="121">
        <v>42.0</v>
      </c>
      <c r="F54" s="121">
        <v>1.0</v>
      </c>
      <c r="G54" s="122" t="s">
        <v>617</v>
      </c>
      <c r="H54" s="72" t="s">
        <v>618</v>
      </c>
      <c r="I54" s="121" t="s">
        <v>619</v>
      </c>
      <c r="J54" s="121">
        <v>5.91802600002E11</v>
      </c>
      <c r="K54" s="123" t="s">
        <v>620</v>
      </c>
      <c r="L54" s="121">
        <v>2020.0</v>
      </c>
      <c r="M54" s="124">
        <v>200.0</v>
      </c>
      <c r="N54" s="125">
        <v>200.0</v>
      </c>
      <c r="O54" s="77" t="s">
        <v>173</v>
      </c>
      <c r="P54" s="58"/>
      <c r="Q54" s="58"/>
      <c r="R54" s="58"/>
      <c r="S54" s="58"/>
      <c r="T54" s="58"/>
      <c r="U54" s="58"/>
      <c r="V54" s="58"/>
      <c r="W54" s="58"/>
      <c r="X54" s="58"/>
      <c r="Y54" s="58"/>
      <c r="Z54" s="58"/>
    </row>
    <row r="55" ht="96.0" customHeight="1">
      <c r="A55" s="120" t="s">
        <v>621</v>
      </c>
      <c r="B55" s="120" t="s">
        <v>311</v>
      </c>
      <c r="C55" s="121" t="s">
        <v>142</v>
      </c>
      <c r="D55" s="121" t="s">
        <v>622</v>
      </c>
      <c r="E55" s="121">
        <v>25.0</v>
      </c>
      <c r="F55" s="121">
        <v>3.0</v>
      </c>
      <c r="G55" s="122" t="s">
        <v>623</v>
      </c>
      <c r="H55" s="72" t="s">
        <v>624</v>
      </c>
      <c r="I55" s="121" t="s">
        <v>625</v>
      </c>
      <c r="J55" s="121"/>
      <c r="K55" s="123" t="s">
        <v>626</v>
      </c>
      <c r="L55" s="121">
        <v>2020.0</v>
      </c>
      <c r="M55" s="124">
        <v>200.0</v>
      </c>
      <c r="N55" s="125">
        <v>200.0</v>
      </c>
      <c r="O55" s="77" t="s">
        <v>173</v>
      </c>
      <c r="P55" s="58"/>
      <c r="Q55" s="58"/>
      <c r="R55" s="58"/>
      <c r="S55" s="58"/>
      <c r="T55" s="58"/>
      <c r="U55" s="58"/>
      <c r="V55" s="58"/>
      <c r="W55" s="58"/>
      <c r="X55" s="58"/>
      <c r="Y55" s="58"/>
      <c r="Z55" s="58"/>
    </row>
    <row r="56" ht="165.0" customHeight="1">
      <c r="A56" s="120" t="s">
        <v>627</v>
      </c>
      <c r="B56" s="120" t="s">
        <v>628</v>
      </c>
      <c r="C56" s="121" t="s">
        <v>142</v>
      </c>
      <c r="D56" s="121" t="s">
        <v>629</v>
      </c>
      <c r="E56" s="121"/>
      <c r="F56" s="121"/>
      <c r="G56" s="122" t="s">
        <v>505</v>
      </c>
      <c r="H56" s="72" t="s">
        <v>630</v>
      </c>
      <c r="I56" s="121"/>
      <c r="J56" s="121"/>
      <c r="K56" s="123" t="s">
        <v>631</v>
      </c>
      <c r="L56" s="121">
        <v>2020.0</v>
      </c>
      <c r="M56" s="124">
        <v>200.0</v>
      </c>
      <c r="N56" s="125">
        <v>100.0</v>
      </c>
      <c r="O56" s="77" t="s">
        <v>174</v>
      </c>
      <c r="P56" s="58"/>
      <c r="Q56" s="58"/>
      <c r="R56" s="58"/>
      <c r="S56" s="58"/>
      <c r="T56" s="58"/>
      <c r="U56" s="58"/>
      <c r="V56" s="58"/>
      <c r="W56" s="58"/>
      <c r="X56" s="58"/>
      <c r="Y56" s="58"/>
      <c r="Z56" s="58"/>
    </row>
    <row r="57" ht="289.5" customHeight="1">
      <c r="A57" s="120" t="s">
        <v>632</v>
      </c>
      <c r="B57" s="120" t="s">
        <v>633</v>
      </c>
      <c r="C57" s="121" t="s">
        <v>142</v>
      </c>
      <c r="D57" s="121" t="s">
        <v>634</v>
      </c>
      <c r="E57" s="121"/>
      <c r="F57" s="121"/>
      <c r="G57" s="122" t="s">
        <v>505</v>
      </c>
      <c r="H57" s="72" t="s">
        <v>635</v>
      </c>
      <c r="I57" s="121"/>
      <c r="J57" s="121"/>
      <c r="K57" s="123" t="s">
        <v>636</v>
      </c>
      <c r="L57" s="121">
        <v>2020.0</v>
      </c>
      <c r="M57" s="124">
        <v>200.0</v>
      </c>
      <c r="N57" s="125">
        <v>200.0</v>
      </c>
      <c r="O57" s="77" t="s">
        <v>174</v>
      </c>
      <c r="P57" s="58"/>
      <c r="Q57" s="58"/>
      <c r="R57" s="58"/>
      <c r="S57" s="58"/>
      <c r="T57" s="58"/>
      <c r="U57" s="58"/>
      <c r="V57" s="58"/>
      <c r="W57" s="58"/>
      <c r="X57" s="58"/>
      <c r="Y57" s="58"/>
      <c r="Z57" s="58"/>
    </row>
    <row r="58" ht="110.25" customHeight="1">
      <c r="A58" s="120" t="s">
        <v>596</v>
      </c>
      <c r="B58" s="120" t="s">
        <v>597</v>
      </c>
      <c r="C58" s="121" t="s">
        <v>142</v>
      </c>
      <c r="D58" s="121" t="s">
        <v>598</v>
      </c>
      <c r="E58" s="121" t="s">
        <v>599</v>
      </c>
      <c r="F58" s="121">
        <v>2.0</v>
      </c>
      <c r="G58" s="122" t="s">
        <v>600</v>
      </c>
      <c r="H58" s="72" t="s">
        <v>601</v>
      </c>
      <c r="I58" s="121" t="s">
        <v>602</v>
      </c>
      <c r="J58" s="121"/>
      <c r="K58" s="123" t="s">
        <v>603</v>
      </c>
      <c r="L58" s="121">
        <v>2020.0</v>
      </c>
      <c r="M58" s="124">
        <v>200.0</v>
      </c>
      <c r="N58" s="125">
        <v>100.0</v>
      </c>
      <c r="O58" s="77" t="s">
        <v>176</v>
      </c>
      <c r="P58" s="58"/>
      <c r="Q58" s="58"/>
      <c r="R58" s="58"/>
      <c r="S58" s="58"/>
      <c r="T58" s="58"/>
      <c r="U58" s="58"/>
      <c r="V58" s="58"/>
      <c r="W58" s="58"/>
      <c r="X58" s="58"/>
      <c r="Y58" s="58"/>
      <c r="Z58" s="58"/>
    </row>
    <row r="59" ht="69.0" customHeight="1">
      <c r="A59" s="120" t="s">
        <v>637</v>
      </c>
      <c r="B59" s="120" t="s">
        <v>605</v>
      </c>
      <c r="C59" s="121" t="s">
        <v>142</v>
      </c>
      <c r="D59" s="121" t="s">
        <v>445</v>
      </c>
      <c r="E59" s="121"/>
      <c r="F59" s="121" t="s">
        <v>606</v>
      </c>
      <c r="G59" s="122" t="s">
        <v>607</v>
      </c>
      <c r="H59" s="72" t="s">
        <v>608</v>
      </c>
      <c r="I59" s="121"/>
      <c r="J59" s="121"/>
      <c r="K59" s="123" t="s">
        <v>638</v>
      </c>
      <c r="L59" s="121">
        <v>2020.0</v>
      </c>
      <c r="M59" s="124">
        <v>200.0</v>
      </c>
      <c r="N59" s="125">
        <v>200.0</v>
      </c>
      <c r="O59" s="77" t="s">
        <v>176</v>
      </c>
      <c r="P59" s="58"/>
      <c r="Q59" s="58"/>
      <c r="R59" s="58"/>
      <c r="S59" s="58"/>
      <c r="T59" s="58"/>
      <c r="U59" s="58"/>
      <c r="V59" s="58"/>
      <c r="W59" s="58"/>
      <c r="X59" s="58"/>
      <c r="Y59" s="58"/>
      <c r="Z59" s="58"/>
    </row>
    <row r="60" ht="14.25" customHeight="1">
      <c r="A60" s="120"/>
      <c r="B60" s="120"/>
      <c r="C60" s="121"/>
      <c r="D60" s="121"/>
      <c r="E60" s="121"/>
      <c r="F60" s="121"/>
      <c r="G60" s="122"/>
      <c r="H60" s="72"/>
      <c r="I60" s="121"/>
      <c r="J60" s="121"/>
      <c r="K60" s="123"/>
      <c r="L60" s="121"/>
      <c r="M60" s="124"/>
      <c r="N60" s="125"/>
      <c r="O60" s="77"/>
      <c r="P60" s="58"/>
      <c r="Q60" s="58"/>
      <c r="R60" s="58"/>
      <c r="S60" s="58"/>
      <c r="T60" s="58"/>
      <c r="U60" s="58"/>
      <c r="V60" s="58"/>
      <c r="W60" s="58"/>
      <c r="X60" s="58"/>
      <c r="Y60" s="58"/>
      <c r="Z60" s="58"/>
    </row>
    <row r="61" ht="14.25" customHeight="1">
      <c r="A61" s="120"/>
      <c r="B61" s="120"/>
      <c r="C61" s="121"/>
      <c r="D61" s="121"/>
      <c r="E61" s="121"/>
      <c r="F61" s="121"/>
      <c r="G61" s="122"/>
      <c r="H61" s="72"/>
      <c r="I61" s="121"/>
      <c r="J61" s="121"/>
      <c r="K61" s="123"/>
      <c r="L61" s="121"/>
      <c r="M61" s="124"/>
      <c r="N61" s="125"/>
      <c r="O61" s="77"/>
      <c r="P61" s="58"/>
      <c r="Q61" s="58"/>
      <c r="R61" s="58"/>
      <c r="S61" s="58"/>
      <c r="T61" s="58"/>
      <c r="U61" s="58"/>
      <c r="V61" s="58"/>
      <c r="W61" s="58"/>
      <c r="X61" s="58"/>
      <c r="Y61" s="58"/>
      <c r="Z61" s="58"/>
    </row>
    <row r="62" ht="14.25" customHeight="1">
      <c r="A62" s="68"/>
      <c r="B62" s="68"/>
      <c r="C62" s="69"/>
      <c r="D62" s="69"/>
      <c r="E62" s="69"/>
      <c r="F62" s="75"/>
      <c r="G62" s="69"/>
      <c r="H62" s="101"/>
      <c r="I62" s="75"/>
      <c r="J62" s="75"/>
      <c r="K62" s="102"/>
      <c r="L62" s="75"/>
      <c r="M62" s="129"/>
      <c r="N62" s="130"/>
      <c r="O62" s="77"/>
    </row>
    <row r="63" ht="14.25" customHeight="1">
      <c r="A63" s="68"/>
      <c r="B63" s="68"/>
      <c r="C63" s="69"/>
      <c r="D63" s="69"/>
      <c r="E63" s="69"/>
      <c r="F63" s="75"/>
      <c r="G63" s="69"/>
      <c r="H63" s="101"/>
      <c r="I63" s="75"/>
      <c r="J63" s="75"/>
      <c r="K63" s="102"/>
      <c r="L63" s="75"/>
      <c r="M63" s="129"/>
      <c r="N63" s="130"/>
      <c r="O63" s="77"/>
    </row>
    <row r="64" ht="14.25" customHeight="1">
      <c r="A64" s="68"/>
      <c r="B64" s="68"/>
      <c r="C64" s="69"/>
      <c r="D64" s="69"/>
      <c r="E64" s="69"/>
      <c r="F64" s="75"/>
      <c r="G64" s="69"/>
      <c r="H64" s="101"/>
      <c r="I64" s="75"/>
      <c r="J64" s="75"/>
      <c r="K64" s="102"/>
      <c r="L64" s="75"/>
      <c r="M64" s="129"/>
      <c r="N64" s="130"/>
      <c r="O64" s="77"/>
    </row>
    <row r="65" ht="14.25" customHeight="1">
      <c r="A65" s="104" t="s">
        <v>180</v>
      </c>
      <c r="B65" s="53"/>
      <c r="C65" s="53"/>
      <c r="D65" s="53"/>
      <c r="E65" s="53"/>
      <c r="F65" s="53"/>
      <c r="G65" s="1"/>
      <c r="H65" s="1"/>
      <c r="I65" s="1"/>
      <c r="J65" s="1"/>
      <c r="K65" s="1"/>
      <c r="L65" s="1"/>
      <c r="M65" s="57"/>
      <c r="N65" s="105">
        <f>SUM(N11:N64)</f>
        <v>8052</v>
      </c>
    </row>
    <row r="66" ht="14.25" customHeight="1">
      <c r="A66" s="118"/>
      <c r="B66" s="118"/>
      <c r="C66" s="118"/>
      <c r="D66" s="118"/>
      <c r="E66" s="118"/>
      <c r="F66" s="118"/>
      <c r="G66" s="118"/>
      <c r="H66" s="118"/>
      <c r="I66" s="118"/>
      <c r="J66" s="118"/>
      <c r="K66" s="118"/>
      <c r="L66" s="118"/>
      <c r="M66" s="58"/>
      <c r="N66" s="58"/>
    </row>
    <row r="67" ht="15.0" customHeight="1">
      <c r="A67" s="106" t="s">
        <v>330</v>
      </c>
      <c r="B67" s="107"/>
      <c r="C67" s="107"/>
      <c r="D67" s="107"/>
      <c r="E67" s="107"/>
      <c r="F67" s="107"/>
      <c r="G67" s="107"/>
      <c r="H67" s="107"/>
      <c r="I67" s="107"/>
      <c r="J67" s="107"/>
      <c r="K67" s="107"/>
      <c r="L67" s="107"/>
      <c r="M67" s="107"/>
      <c r="N67" s="108"/>
    </row>
    <row r="68" ht="14.25" customHeight="1">
      <c r="A68" s="52"/>
      <c r="B68" s="53"/>
      <c r="C68" s="1"/>
      <c r="D68" s="1"/>
      <c r="E68" s="1"/>
      <c r="F68" s="1"/>
      <c r="G68" s="1"/>
      <c r="H68" s="1"/>
      <c r="I68" s="1"/>
      <c r="J68" s="1"/>
      <c r="K68" s="1"/>
      <c r="L68" s="1"/>
    </row>
    <row r="69" ht="14.25" customHeight="1">
      <c r="A69" s="52"/>
      <c r="B69" s="53"/>
      <c r="C69" s="1"/>
      <c r="D69" s="1"/>
      <c r="E69" s="1"/>
      <c r="F69" s="1"/>
      <c r="G69" s="1"/>
      <c r="H69" s="1"/>
      <c r="I69" s="1"/>
      <c r="J69" s="1"/>
      <c r="K69" s="1"/>
      <c r="L69" s="1"/>
    </row>
    <row r="70" ht="14.25" customHeight="1">
      <c r="A70" s="52"/>
      <c r="B70" s="53"/>
      <c r="C70" s="1"/>
      <c r="D70" s="1"/>
      <c r="E70" s="1"/>
      <c r="F70" s="1"/>
      <c r="G70" s="1"/>
      <c r="H70" s="1"/>
      <c r="I70" s="1"/>
      <c r="J70" s="1"/>
      <c r="K70" s="1"/>
      <c r="L70" s="1"/>
    </row>
    <row r="71" ht="14.25" customHeight="1">
      <c r="A71" s="52"/>
      <c r="B71" s="53"/>
      <c r="C71" s="1"/>
      <c r="D71" s="1"/>
      <c r="E71" s="1"/>
      <c r="F71" s="1"/>
      <c r="G71" s="1"/>
      <c r="H71" s="1"/>
      <c r="I71" s="1"/>
      <c r="J71" s="1"/>
      <c r="K71" s="1"/>
      <c r="L71" s="1"/>
    </row>
    <row r="72" ht="14.25" customHeight="1">
      <c r="A72" s="52"/>
      <c r="B72" s="53"/>
      <c r="C72" s="1"/>
      <c r="D72" s="1"/>
      <c r="E72" s="1"/>
      <c r="F72" s="1"/>
      <c r="G72" s="1"/>
      <c r="H72" s="1"/>
      <c r="I72" s="1"/>
      <c r="J72" s="1"/>
      <c r="K72" s="1"/>
      <c r="L72" s="1"/>
    </row>
    <row r="73" ht="14.25" customHeight="1">
      <c r="A73" s="52"/>
      <c r="B73" s="53"/>
      <c r="C73" s="1"/>
      <c r="D73" s="1"/>
      <c r="E73" s="1"/>
      <c r="F73" s="1"/>
      <c r="G73" s="1"/>
      <c r="H73" s="1"/>
      <c r="I73" s="1"/>
      <c r="J73" s="1"/>
      <c r="K73" s="1"/>
      <c r="L73" s="1"/>
    </row>
    <row r="74" ht="14.25" customHeight="1">
      <c r="A74" s="52"/>
      <c r="B74" s="53"/>
      <c r="C74" s="1"/>
      <c r="D74" s="1"/>
      <c r="E74" s="1"/>
      <c r="F74" s="1"/>
      <c r="G74" s="1"/>
      <c r="H74" s="1"/>
      <c r="I74" s="1"/>
      <c r="J74" s="1"/>
      <c r="K74" s="1"/>
      <c r="L74" s="1"/>
    </row>
    <row r="75" ht="14.25" customHeight="1">
      <c r="A75" s="52"/>
      <c r="B75" s="53"/>
      <c r="C75" s="1"/>
      <c r="D75" s="1"/>
      <c r="E75" s="1"/>
      <c r="F75" s="1"/>
      <c r="G75" s="1"/>
      <c r="H75" s="1"/>
      <c r="I75" s="1"/>
      <c r="J75" s="1"/>
      <c r="K75" s="1"/>
      <c r="L75" s="1"/>
    </row>
    <row r="76" ht="14.25" customHeight="1">
      <c r="A76" s="52"/>
      <c r="B76" s="53"/>
      <c r="C76" s="1"/>
      <c r="D76" s="1"/>
      <c r="E76" s="1"/>
      <c r="F76" s="1"/>
      <c r="G76" s="1"/>
      <c r="H76" s="1"/>
      <c r="I76" s="1"/>
      <c r="J76" s="1"/>
      <c r="K76" s="1"/>
      <c r="L76" s="1"/>
    </row>
    <row r="77" ht="14.25" customHeight="1">
      <c r="A77" s="52"/>
      <c r="B77" s="53"/>
      <c r="C77" s="1"/>
      <c r="D77" s="1"/>
      <c r="E77" s="1"/>
      <c r="F77" s="1"/>
      <c r="G77" s="1"/>
      <c r="H77" s="1"/>
      <c r="I77" s="1"/>
      <c r="J77" s="1"/>
      <c r="K77" s="1"/>
      <c r="L77" s="1"/>
    </row>
    <row r="78" ht="14.25" customHeight="1">
      <c r="A78" s="52"/>
      <c r="B78" s="53"/>
      <c r="C78" s="1"/>
      <c r="D78" s="1"/>
      <c r="E78" s="1"/>
      <c r="F78" s="1"/>
      <c r="G78" s="1"/>
      <c r="H78" s="1"/>
      <c r="I78" s="1"/>
      <c r="J78" s="1"/>
      <c r="K78" s="1"/>
      <c r="L78" s="1"/>
    </row>
    <row r="79" ht="14.25" customHeight="1">
      <c r="A79" s="52"/>
      <c r="B79" s="53"/>
      <c r="C79" s="1"/>
      <c r="D79" s="1"/>
      <c r="E79" s="1"/>
      <c r="F79" s="1"/>
      <c r="G79" s="1"/>
      <c r="H79" s="1"/>
      <c r="I79" s="1"/>
      <c r="J79" s="1"/>
      <c r="K79" s="1"/>
      <c r="L79" s="1"/>
    </row>
    <row r="80" ht="14.25" customHeight="1">
      <c r="A80" s="52"/>
      <c r="B80" s="53"/>
      <c r="C80" s="1"/>
      <c r="D80" s="1"/>
      <c r="E80" s="1"/>
      <c r="F80" s="1"/>
      <c r="G80" s="1"/>
      <c r="H80" s="1"/>
      <c r="I80" s="1"/>
      <c r="J80" s="1"/>
      <c r="K80" s="1"/>
      <c r="L80" s="1"/>
    </row>
    <row r="81" ht="14.25" customHeight="1">
      <c r="A81" s="52"/>
      <c r="B81" s="53"/>
      <c r="C81" s="1"/>
      <c r="D81" s="1"/>
      <c r="E81" s="1"/>
      <c r="F81" s="1"/>
      <c r="G81" s="1"/>
      <c r="H81" s="1"/>
      <c r="I81" s="1"/>
      <c r="J81" s="1"/>
      <c r="K81" s="1"/>
      <c r="L81" s="1"/>
    </row>
    <row r="82" ht="14.25" customHeight="1">
      <c r="A82" s="52"/>
      <c r="B82" s="53"/>
      <c r="C82" s="1"/>
      <c r="D82" s="1"/>
      <c r="E82" s="1"/>
      <c r="F82" s="1"/>
      <c r="G82" s="1"/>
      <c r="H82" s="1"/>
      <c r="I82" s="1"/>
      <c r="J82" s="1"/>
      <c r="K82" s="1"/>
      <c r="L82" s="1"/>
    </row>
    <row r="83" ht="14.25" customHeight="1">
      <c r="A83" s="52"/>
      <c r="B83" s="53"/>
      <c r="C83" s="1"/>
      <c r="D83" s="1"/>
      <c r="E83" s="1"/>
      <c r="F83" s="1"/>
      <c r="G83" s="1"/>
      <c r="H83" s="1"/>
      <c r="I83" s="1"/>
      <c r="J83" s="1"/>
      <c r="K83" s="1"/>
      <c r="L83" s="1"/>
    </row>
    <row r="84" ht="14.25" customHeight="1">
      <c r="A84" s="52"/>
      <c r="B84" s="53"/>
      <c r="C84" s="1"/>
      <c r="D84" s="1"/>
      <c r="E84" s="1"/>
      <c r="F84" s="1"/>
      <c r="G84" s="1"/>
      <c r="H84" s="1"/>
      <c r="I84" s="1"/>
      <c r="J84" s="1"/>
      <c r="K84" s="1"/>
      <c r="L84" s="1"/>
    </row>
    <row r="85" ht="14.25" customHeight="1">
      <c r="A85" s="52"/>
      <c r="B85" s="53"/>
      <c r="C85" s="1"/>
      <c r="D85" s="1"/>
      <c r="E85" s="1"/>
      <c r="F85" s="1"/>
      <c r="G85" s="1"/>
      <c r="H85" s="1"/>
      <c r="I85" s="1"/>
      <c r="J85" s="1"/>
      <c r="K85" s="1"/>
      <c r="L85" s="1"/>
    </row>
    <row r="86" ht="14.25" customHeight="1">
      <c r="A86" s="52"/>
      <c r="B86" s="53"/>
      <c r="C86" s="1"/>
      <c r="D86" s="1"/>
      <c r="E86" s="1"/>
      <c r="F86" s="1"/>
      <c r="G86" s="1"/>
      <c r="H86" s="1"/>
      <c r="I86" s="1"/>
      <c r="J86" s="1"/>
      <c r="K86" s="1"/>
      <c r="L86" s="1"/>
    </row>
    <row r="87" ht="14.25" customHeight="1">
      <c r="A87" s="52"/>
      <c r="B87" s="53"/>
      <c r="C87" s="1"/>
      <c r="D87" s="1"/>
      <c r="E87" s="1"/>
      <c r="F87" s="1"/>
      <c r="G87" s="1"/>
      <c r="H87" s="1"/>
      <c r="I87" s="1"/>
      <c r="J87" s="1"/>
      <c r="K87" s="1"/>
      <c r="L87" s="1"/>
    </row>
    <row r="88" ht="14.25" customHeight="1">
      <c r="A88" s="52"/>
      <c r="B88" s="53"/>
      <c r="C88" s="1"/>
      <c r="D88" s="1"/>
      <c r="E88" s="1"/>
      <c r="F88" s="1"/>
      <c r="G88" s="1"/>
      <c r="H88" s="1"/>
      <c r="I88" s="1"/>
      <c r="J88" s="1"/>
      <c r="K88" s="1"/>
      <c r="L88" s="1"/>
    </row>
    <row r="89" ht="14.25" customHeight="1">
      <c r="A89" s="52"/>
      <c r="B89" s="53"/>
      <c r="C89" s="1"/>
      <c r="D89" s="1"/>
      <c r="E89" s="1"/>
      <c r="F89" s="1"/>
      <c r="G89" s="1"/>
      <c r="H89" s="1"/>
      <c r="I89" s="1"/>
      <c r="J89" s="1"/>
      <c r="K89" s="1"/>
      <c r="L89" s="1"/>
    </row>
    <row r="90" ht="14.25" customHeight="1">
      <c r="A90" s="52"/>
      <c r="B90" s="53"/>
      <c r="C90" s="1"/>
      <c r="D90" s="1"/>
      <c r="E90" s="1"/>
      <c r="F90" s="1"/>
      <c r="G90" s="1"/>
      <c r="H90" s="1"/>
      <c r="I90" s="1"/>
      <c r="J90" s="1"/>
      <c r="K90" s="1"/>
      <c r="L90" s="1"/>
    </row>
    <row r="91" ht="14.25" customHeight="1">
      <c r="A91" s="52"/>
      <c r="B91" s="53"/>
      <c r="C91" s="1"/>
      <c r="D91" s="1"/>
      <c r="E91" s="1"/>
      <c r="F91" s="1"/>
      <c r="G91" s="1"/>
      <c r="H91" s="1"/>
      <c r="I91" s="1"/>
      <c r="J91" s="1"/>
      <c r="K91" s="1"/>
      <c r="L91" s="1"/>
    </row>
    <row r="92" ht="14.25" customHeight="1">
      <c r="A92" s="52"/>
      <c r="B92" s="53"/>
      <c r="C92" s="1"/>
      <c r="D92" s="1"/>
      <c r="E92" s="1"/>
      <c r="F92" s="1"/>
      <c r="G92" s="1"/>
      <c r="H92" s="1"/>
      <c r="I92" s="1"/>
      <c r="J92" s="1"/>
      <c r="K92" s="1"/>
      <c r="L92" s="1"/>
    </row>
    <row r="93" ht="14.25" customHeight="1">
      <c r="A93" s="52"/>
      <c r="B93" s="53"/>
      <c r="C93" s="1"/>
      <c r="D93" s="1"/>
      <c r="E93" s="1"/>
      <c r="F93" s="1"/>
      <c r="G93" s="1"/>
      <c r="H93" s="1"/>
      <c r="I93" s="1"/>
      <c r="J93" s="1"/>
      <c r="K93" s="1"/>
      <c r="L93" s="1"/>
    </row>
    <row r="94" ht="14.25" customHeight="1">
      <c r="A94" s="52"/>
      <c r="B94" s="53"/>
      <c r="C94" s="1"/>
      <c r="D94" s="1"/>
      <c r="E94" s="1"/>
      <c r="F94" s="1"/>
      <c r="G94" s="1"/>
      <c r="H94" s="1"/>
      <c r="I94" s="1"/>
      <c r="J94" s="1"/>
      <c r="K94" s="1"/>
      <c r="L94" s="1"/>
    </row>
    <row r="95" ht="14.25" customHeight="1">
      <c r="A95" s="52"/>
      <c r="B95" s="53"/>
      <c r="C95" s="1"/>
      <c r="D95" s="1"/>
      <c r="E95" s="1"/>
      <c r="F95" s="1"/>
      <c r="G95" s="1"/>
      <c r="H95" s="1"/>
      <c r="I95" s="1"/>
      <c r="J95" s="1"/>
      <c r="K95" s="1"/>
      <c r="L95" s="1"/>
    </row>
    <row r="96" ht="14.25" customHeight="1">
      <c r="A96" s="52"/>
      <c r="B96" s="53"/>
      <c r="C96" s="1"/>
      <c r="D96" s="1"/>
      <c r="E96" s="1"/>
      <c r="F96" s="1"/>
      <c r="G96" s="1"/>
      <c r="H96" s="1"/>
      <c r="I96" s="1"/>
      <c r="J96" s="1"/>
      <c r="K96" s="1"/>
      <c r="L96" s="1"/>
    </row>
    <row r="97" ht="14.25" customHeight="1">
      <c r="A97" s="52"/>
      <c r="B97" s="53"/>
      <c r="C97" s="1"/>
      <c r="D97" s="1"/>
      <c r="E97" s="1"/>
      <c r="F97" s="1"/>
      <c r="G97" s="1"/>
      <c r="H97" s="1"/>
      <c r="I97" s="1"/>
      <c r="J97" s="1"/>
      <c r="K97" s="1"/>
      <c r="L97" s="1"/>
    </row>
    <row r="98" ht="14.25" customHeight="1">
      <c r="A98" s="52"/>
      <c r="B98" s="53"/>
      <c r="C98" s="1"/>
      <c r="D98" s="1"/>
      <c r="E98" s="1"/>
      <c r="F98" s="1"/>
      <c r="G98" s="1"/>
      <c r="H98" s="1"/>
      <c r="I98" s="1"/>
      <c r="J98" s="1"/>
      <c r="K98" s="1"/>
      <c r="L98" s="1"/>
    </row>
    <row r="99" ht="14.25" customHeight="1">
      <c r="A99" s="52"/>
      <c r="B99" s="53"/>
      <c r="C99" s="1"/>
      <c r="D99" s="1"/>
      <c r="E99" s="1"/>
      <c r="F99" s="1"/>
      <c r="G99" s="1"/>
      <c r="H99" s="1"/>
      <c r="I99" s="1"/>
      <c r="J99" s="1"/>
      <c r="K99" s="1"/>
      <c r="L99" s="1"/>
    </row>
    <row r="100" ht="14.25" customHeight="1">
      <c r="A100" s="52"/>
      <c r="B100" s="53"/>
      <c r="C100" s="1"/>
      <c r="D100" s="1"/>
      <c r="E100" s="1"/>
      <c r="F100" s="1"/>
      <c r="G100" s="1"/>
      <c r="H100" s="1"/>
      <c r="I100" s="1"/>
      <c r="J100" s="1"/>
      <c r="K100" s="1"/>
      <c r="L100" s="1"/>
    </row>
    <row r="101" ht="14.25" customHeight="1">
      <c r="A101" s="52"/>
      <c r="B101" s="53"/>
      <c r="C101" s="1"/>
      <c r="D101" s="1"/>
      <c r="E101" s="1"/>
      <c r="F101" s="1"/>
      <c r="G101" s="1"/>
      <c r="H101" s="1"/>
      <c r="I101" s="1"/>
      <c r="J101" s="1"/>
      <c r="K101" s="1"/>
      <c r="L101" s="1"/>
    </row>
    <row r="102" ht="14.25" customHeight="1">
      <c r="A102" s="52"/>
      <c r="B102" s="53"/>
      <c r="C102" s="1"/>
      <c r="D102" s="1"/>
      <c r="E102" s="1"/>
      <c r="F102" s="1"/>
      <c r="G102" s="1"/>
      <c r="H102" s="1"/>
      <c r="I102" s="1"/>
      <c r="J102" s="1"/>
      <c r="K102" s="1"/>
      <c r="L102" s="1"/>
    </row>
    <row r="103" ht="14.25" customHeight="1">
      <c r="A103" s="52"/>
      <c r="B103" s="53"/>
      <c r="C103" s="1"/>
      <c r="D103" s="1"/>
      <c r="E103" s="1"/>
      <c r="F103" s="1"/>
      <c r="G103" s="1"/>
      <c r="H103" s="1"/>
      <c r="I103" s="1"/>
      <c r="J103" s="1"/>
      <c r="K103" s="1"/>
      <c r="L103" s="1"/>
    </row>
    <row r="104" ht="14.25" customHeight="1">
      <c r="A104" s="52"/>
      <c r="B104" s="53"/>
      <c r="C104" s="1"/>
      <c r="D104" s="1"/>
      <c r="E104" s="1"/>
      <c r="F104" s="1"/>
      <c r="G104" s="1"/>
      <c r="H104" s="1"/>
      <c r="I104" s="1"/>
      <c r="J104" s="1"/>
      <c r="K104" s="1"/>
      <c r="L104" s="1"/>
    </row>
    <row r="105" ht="14.25" customHeight="1">
      <c r="A105" s="52"/>
      <c r="B105" s="53"/>
      <c r="C105" s="1"/>
      <c r="D105" s="1"/>
      <c r="E105" s="1"/>
      <c r="F105" s="1"/>
      <c r="G105" s="1"/>
      <c r="H105" s="1"/>
      <c r="I105" s="1"/>
      <c r="J105" s="1"/>
      <c r="K105" s="1"/>
      <c r="L105" s="1"/>
    </row>
    <row r="106" ht="14.25" customHeight="1">
      <c r="A106" s="52"/>
      <c r="B106" s="53"/>
      <c r="C106" s="1"/>
      <c r="D106" s="1"/>
      <c r="E106" s="1"/>
      <c r="F106" s="1"/>
      <c r="G106" s="1"/>
      <c r="H106" s="1"/>
      <c r="I106" s="1"/>
      <c r="J106" s="1"/>
      <c r="K106" s="1"/>
      <c r="L106" s="1"/>
    </row>
    <row r="107" ht="14.25" customHeight="1">
      <c r="A107" s="52"/>
      <c r="B107" s="53"/>
      <c r="C107" s="1"/>
      <c r="D107" s="1"/>
      <c r="E107" s="1"/>
      <c r="F107" s="1"/>
      <c r="G107" s="1"/>
      <c r="H107" s="1"/>
      <c r="I107" s="1"/>
      <c r="J107" s="1"/>
      <c r="K107" s="1"/>
      <c r="L107" s="1"/>
    </row>
    <row r="108" ht="14.25" customHeight="1">
      <c r="A108" s="52"/>
      <c r="B108" s="53"/>
      <c r="C108" s="1"/>
      <c r="D108" s="1"/>
      <c r="E108" s="1"/>
      <c r="F108" s="1"/>
      <c r="G108" s="1"/>
      <c r="H108" s="1"/>
      <c r="I108" s="1"/>
      <c r="J108" s="1"/>
      <c r="K108" s="1"/>
      <c r="L108" s="1"/>
    </row>
    <row r="109" ht="14.25" customHeight="1">
      <c r="A109" s="52"/>
      <c r="B109" s="53"/>
      <c r="C109" s="1"/>
      <c r="D109" s="1"/>
      <c r="E109" s="1"/>
      <c r="F109" s="1"/>
      <c r="G109" s="1"/>
      <c r="H109" s="1"/>
      <c r="I109" s="1"/>
      <c r="J109" s="1"/>
      <c r="K109" s="1"/>
      <c r="L109" s="1"/>
    </row>
    <row r="110" ht="14.25" customHeight="1">
      <c r="A110" s="52"/>
      <c r="B110" s="53"/>
      <c r="C110" s="1"/>
      <c r="D110" s="1"/>
      <c r="E110" s="1"/>
      <c r="F110" s="1"/>
      <c r="G110" s="1"/>
      <c r="H110" s="1"/>
      <c r="I110" s="1"/>
      <c r="J110" s="1"/>
      <c r="K110" s="1"/>
      <c r="L110" s="1"/>
    </row>
    <row r="111" ht="14.25" customHeight="1">
      <c r="A111" s="52"/>
      <c r="B111" s="53"/>
      <c r="C111" s="1"/>
      <c r="D111" s="1"/>
      <c r="E111" s="1"/>
      <c r="F111" s="1"/>
      <c r="G111" s="1"/>
      <c r="H111" s="1"/>
      <c r="I111" s="1"/>
      <c r="J111" s="1"/>
      <c r="K111" s="1"/>
      <c r="L111" s="1"/>
    </row>
    <row r="112" ht="14.25" customHeight="1">
      <c r="A112" s="52"/>
      <c r="B112" s="53"/>
      <c r="C112" s="1"/>
      <c r="D112" s="1"/>
      <c r="E112" s="1"/>
      <c r="F112" s="1"/>
      <c r="G112" s="1"/>
      <c r="H112" s="1"/>
      <c r="I112" s="1"/>
      <c r="J112" s="1"/>
      <c r="K112" s="1"/>
      <c r="L112" s="1"/>
    </row>
    <row r="113" ht="14.25" customHeight="1">
      <c r="A113" s="52"/>
      <c r="B113" s="53"/>
      <c r="C113" s="1"/>
      <c r="D113" s="1"/>
      <c r="E113" s="1"/>
      <c r="F113" s="1"/>
      <c r="G113" s="1"/>
      <c r="H113" s="1"/>
      <c r="I113" s="1"/>
      <c r="J113" s="1"/>
      <c r="K113" s="1"/>
      <c r="L113" s="1"/>
    </row>
    <row r="114" ht="14.25" customHeight="1">
      <c r="A114" s="52"/>
      <c r="B114" s="53"/>
      <c r="C114" s="1"/>
      <c r="D114" s="1"/>
      <c r="E114" s="1"/>
      <c r="F114" s="1"/>
      <c r="G114" s="1"/>
      <c r="H114" s="1"/>
      <c r="I114" s="1"/>
      <c r="J114" s="1"/>
      <c r="K114" s="1"/>
      <c r="L114" s="1"/>
    </row>
    <row r="115" ht="14.25" customHeight="1">
      <c r="A115" s="52"/>
      <c r="B115" s="53"/>
      <c r="C115" s="1"/>
      <c r="D115" s="1"/>
      <c r="E115" s="1"/>
      <c r="F115" s="1"/>
      <c r="G115" s="1"/>
      <c r="H115" s="1"/>
      <c r="I115" s="1"/>
      <c r="J115" s="1"/>
      <c r="K115" s="1"/>
      <c r="L115" s="1"/>
    </row>
    <row r="116" ht="14.25" customHeight="1">
      <c r="A116" s="52"/>
      <c r="B116" s="53"/>
      <c r="C116" s="1"/>
      <c r="D116" s="1"/>
      <c r="E116" s="1"/>
      <c r="F116" s="1"/>
      <c r="G116" s="1"/>
      <c r="H116" s="1"/>
      <c r="I116" s="1"/>
      <c r="J116" s="1"/>
      <c r="K116" s="1"/>
      <c r="L116" s="1"/>
    </row>
    <row r="117" ht="14.25" customHeight="1">
      <c r="A117" s="52"/>
      <c r="B117" s="53"/>
      <c r="C117" s="1"/>
      <c r="D117" s="1"/>
      <c r="E117" s="1"/>
      <c r="F117" s="1"/>
      <c r="G117" s="1"/>
      <c r="H117" s="1"/>
      <c r="I117" s="1"/>
      <c r="J117" s="1"/>
      <c r="K117" s="1"/>
      <c r="L117" s="1"/>
    </row>
    <row r="118" ht="14.25" customHeight="1">
      <c r="A118" s="52"/>
      <c r="B118" s="53"/>
      <c r="C118" s="1"/>
      <c r="D118" s="1"/>
      <c r="E118" s="1"/>
      <c r="F118" s="1"/>
      <c r="G118" s="1"/>
      <c r="H118" s="1"/>
      <c r="I118" s="1"/>
      <c r="J118" s="1"/>
      <c r="K118" s="1"/>
      <c r="L118" s="1"/>
    </row>
    <row r="119" ht="14.25" customHeight="1">
      <c r="A119" s="52"/>
      <c r="B119" s="53"/>
      <c r="C119" s="1"/>
      <c r="D119" s="1"/>
      <c r="E119" s="1"/>
      <c r="F119" s="1"/>
      <c r="G119" s="1"/>
      <c r="H119" s="1"/>
      <c r="I119" s="1"/>
      <c r="J119" s="1"/>
      <c r="K119" s="1"/>
      <c r="L119" s="1"/>
    </row>
    <row r="120" ht="14.25" customHeight="1">
      <c r="A120" s="52"/>
      <c r="B120" s="53"/>
      <c r="C120" s="1"/>
      <c r="D120" s="1"/>
      <c r="E120" s="1"/>
      <c r="F120" s="1"/>
      <c r="G120" s="1"/>
      <c r="H120" s="1"/>
      <c r="I120" s="1"/>
      <c r="J120" s="1"/>
      <c r="K120" s="1"/>
      <c r="L120" s="1"/>
    </row>
    <row r="121" ht="14.25" customHeight="1">
      <c r="A121" s="52"/>
      <c r="B121" s="53"/>
      <c r="C121" s="1"/>
      <c r="D121" s="1"/>
      <c r="E121" s="1"/>
      <c r="F121" s="1"/>
      <c r="G121" s="1"/>
      <c r="H121" s="1"/>
      <c r="I121" s="1"/>
      <c r="J121" s="1"/>
      <c r="K121" s="1"/>
      <c r="L121" s="1"/>
    </row>
    <row r="122" ht="14.25" customHeight="1">
      <c r="A122" s="52"/>
      <c r="B122" s="53"/>
      <c r="C122" s="1"/>
      <c r="D122" s="1"/>
      <c r="E122" s="1"/>
      <c r="F122" s="1"/>
      <c r="G122" s="1"/>
      <c r="H122" s="1"/>
      <c r="I122" s="1"/>
      <c r="J122" s="1"/>
      <c r="K122" s="1"/>
      <c r="L122" s="1"/>
    </row>
    <row r="123" ht="14.25" customHeight="1">
      <c r="A123" s="52"/>
      <c r="B123" s="53"/>
      <c r="C123" s="1"/>
      <c r="D123" s="1"/>
      <c r="E123" s="1"/>
      <c r="F123" s="1"/>
      <c r="G123" s="1"/>
      <c r="H123" s="1"/>
      <c r="I123" s="1"/>
      <c r="J123" s="1"/>
      <c r="K123" s="1"/>
      <c r="L123" s="1"/>
    </row>
    <row r="124" ht="14.25" customHeight="1">
      <c r="A124" s="52"/>
      <c r="B124" s="53"/>
      <c r="C124" s="1"/>
      <c r="D124" s="1"/>
      <c r="E124" s="1"/>
      <c r="F124" s="1"/>
      <c r="G124" s="1"/>
      <c r="H124" s="1"/>
      <c r="I124" s="1"/>
      <c r="J124" s="1"/>
      <c r="K124" s="1"/>
      <c r="L124" s="1"/>
    </row>
    <row r="125" ht="14.25" customHeight="1">
      <c r="A125" s="52"/>
      <c r="B125" s="53"/>
      <c r="C125" s="1"/>
      <c r="D125" s="1"/>
      <c r="E125" s="1"/>
      <c r="F125" s="1"/>
      <c r="G125" s="1"/>
      <c r="H125" s="1"/>
      <c r="I125" s="1"/>
      <c r="J125" s="1"/>
      <c r="K125" s="1"/>
      <c r="L125" s="1"/>
    </row>
    <row r="126" ht="14.25" customHeight="1">
      <c r="A126" s="52"/>
      <c r="B126" s="53"/>
      <c r="C126" s="1"/>
      <c r="D126" s="1"/>
      <c r="E126" s="1"/>
      <c r="F126" s="1"/>
      <c r="G126" s="1"/>
      <c r="H126" s="1"/>
      <c r="I126" s="1"/>
      <c r="J126" s="1"/>
      <c r="K126" s="1"/>
      <c r="L126" s="1"/>
    </row>
    <row r="127" ht="14.25" customHeight="1">
      <c r="A127" s="52"/>
      <c r="B127" s="53"/>
      <c r="C127" s="1"/>
      <c r="D127" s="1"/>
      <c r="E127" s="1"/>
      <c r="F127" s="1"/>
      <c r="G127" s="1"/>
      <c r="H127" s="1"/>
      <c r="I127" s="1"/>
      <c r="J127" s="1"/>
      <c r="K127" s="1"/>
      <c r="L127" s="1"/>
    </row>
    <row r="128" ht="14.25" customHeight="1">
      <c r="A128" s="52"/>
      <c r="B128" s="53"/>
      <c r="C128" s="1"/>
      <c r="D128" s="1"/>
      <c r="E128" s="1"/>
      <c r="F128" s="1"/>
      <c r="G128" s="1"/>
      <c r="H128" s="1"/>
      <c r="I128" s="1"/>
      <c r="J128" s="1"/>
      <c r="K128" s="1"/>
      <c r="L128" s="1"/>
    </row>
    <row r="129" ht="14.25" customHeight="1">
      <c r="A129" s="52"/>
      <c r="B129" s="53"/>
      <c r="C129" s="1"/>
      <c r="D129" s="1"/>
      <c r="E129" s="1"/>
      <c r="F129" s="1"/>
      <c r="G129" s="1"/>
      <c r="H129" s="1"/>
      <c r="I129" s="1"/>
      <c r="J129" s="1"/>
      <c r="K129" s="1"/>
      <c r="L129" s="1"/>
    </row>
    <row r="130" ht="14.25" customHeight="1">
      <c r="A130" s="52"/>
      <c r="B130" s="53"/>
      <c r="C130" s="1"/>
      <c r="D130" s="1"/>
      <c r="E130" s="1"/>
      <c r="F130" s="1"/>
      <c r="G130" s="1"/>
      <c r="H130" s="1"/>
      <c r="I130" s="1"/>
      <c r="J130" s="1"/>
      <c r="K130" s="1"/>
      <c r="L130" s="1"/>
    </row>
    <row r="131" ht="14.25" customHeight="1">
      <c r="A131" s="52"/>
      <c r="B131" s="53"/>
      <c r="C131" s="1"/>
      <c r="D131" s="1"/>
      <c r="E131" s="1"/>
      <c r="F131" s="1"/>
      <c r="G131" s="1"/>
      <c r="H131" s="1"/>
      <c r="I131" s="1"/>
      <c r="J131" s="1"/>
      <c r="K131" s="1"/>
      <c r="L131" s="1"/>
    </row>
    <row r="132" ht="14.25" customHeight="1">
      <c r="A132" s="52"/>
      <c r="B132" s="53"/>
      <c r="C132" s="1"/>
      <c r="D132" s="1"/>
      <c r="E132" s="1"/>
      <c r="F132" s="1"/>
      <c r="G132" s="1"/>
      <c r="H132" s="1"/>
      <c r="I132" s="1"/>
      <c r="J132" s="1"/>
      <c r="K132" s="1"/>
      <c r="L132" s="1"/>
    </row>
    <row r="133" ht="14.25" customHeight="1">
      <c r="A133" s="52"/>
      <c r="B133" s="53"/>
      <c r="C133" s="1"/>
      <c r="D133" s="1"/>
      <c r="E133" s="1"/>
      <c r="F133" s="1"/>
      <c r="G133" s="1"/>
      <c r="H133" s="1"/>
      <c r="I133" s="1"/>
      <c r="J133" s="1"/>
      <c r="K133" s="1"/>
      <c r="L133" s="1"/>
    </row>
    <row r="134" ht="14.25" customHeight="1">
      <c r="A134" s="52"/>
      <c r="B134" s="53"/>
      <c r="C134" s="1"/>
      <c r="D134" s="1"/>
      <c r="E134" s="1"/>
      <c r="F134" s="1"/>
      <c r="G134" s="1"/>
      <c r="H134" s="1"/>
      <c r="I134" s="1"/>
      <c r="J134" s="1"/>
      <c r="K134" s="1"/>
      <c r="L134" s="1"/>
    </row>
    <row r="135" ht="14.25" customHeight="1">
      <c r="A135" s="52"/>
      <c r="B135" s="53"/>
      <c r="C135" s="1"/>
      <c r="D135" s="1"/>
      <c r="E135" s="1"/>
      <c r="F135" s="1"/>
      <c r="G135" s="1"/>
      <c r="H135" s="1"/>
      <c r="I135" s="1"/>
      <c r="J135" s="1"/>
      <c r="K135" s="1"/>
      <c r="L135" s="1"/>
    </row>
    <row r="136" ht="14.25" customHeight="1">
      <c r="A136" s="52"/>
      <c r="B136" s="53"/>
      <c r="C136" s="1"/>
      <c r="D136" s="1"/>
      <c r="E136" s="1"/>
      <c r="F136" s="1"/>
      <c r="G136" s="1"/>
      <c r="H136" s="1"/>
      <c r="I136" s="1"/>
      <c r="J136" s="1"/>
      <c r="K136" s="1"/>
      <c r="L136" s="1"/>
    </row>
    <row r="137" ht="14.25" customHeight="1">
      <c r="A137" s="52"/>
      <c r="B137" s="53"/>
      <c r="C137" s="1"/>
      <c r="D137" s="1"/>
      <c r="E137" s="1"/>
      <c r="F137" s="1"/>
      <c r="G137" s="1"/>
      <c r="H137" s="1"/>
      <c r="I137" s="1"/>
      <c r="J137" s="1"/>
      <c r="K137" s="1"/>
      <c r="L137" s="1"/>
    </row>
    <row r="138" ht="14.25" customHeight="1">
      <c r="A138" s="52"/>
      <c r="B138" s="53"/>
      <c r="C138" s="1"/>
      <c r="D138" s="1"/>
      <c r="E138" s="1"/>
      <c r="F138" s="1"/>
      <c r="G138" s="1"/>
      <c r="H138" s="1"/>
      <c r="I138" s="1"/>
      <c r="J138" s="1"/>
      <c r="K138" s="1"/>
      <c r="L138" s="1"/>
    </row>
    <row r="139" ht="14.25" customHeight="1">
      <c r="A139" s="52"/>
      <c r="B139" s="53"/>
      <c r="C139" s="1"/>
      <c r="D139" s="1"/>
      <c r="E139" s="1"/>
      <c r="F139" s="1"/>
      <c r="G139" s="1"/>
      <c r="H139" s="1"/>
      <c r="I139" s="1"/>
      <c r="J139" s="1"/>
      <c r="K139" s="1"/>
      <c r="L139" s="1"/>
    </row>
    <row r="140" ht="14.25" customHeight="1">
      <c r="A140" s="52"/>
      <c r="B140" s="53"/>
      <c r="C140" s="1"/>
      <c r="D140" s="1"/>
      <c r="E140" s="1"/>
      <c r="F140" s="1"/>
      <c r="G140" s="1"/>
      <c r="H140" s="1"/>
      <c r="I140" s="1"/>
      <c r="J140" s="1"/>
      <c r="K140" s="1"/>
      <c r="L140" s="1"/>
    </row>
    <row r="141" ht="14.25" customHeight="1">
      <c r="A141" s="52"/>
      <c r="B141" s="53"/>
      <c r="C141" s="1"/>
      <c r="D141" s="1"/>
      <c r="E141" s="1"/>
      <c r="F141" s="1"/>
      <c r="G141" s="1"/>
      <c r="H141" s="1"/>
      <c r="I141" s="1"/>
      <c r="J141" s="1"/>
      <c r="K141" s="1"/>
      <c r="L141" s="1"/>
    </row>
    <row r="142" ht="14.25" customHeight="1">
      <c r="A142" s="52"/>
      <c r="B142" s="53"/>
      <c r="C142" s="1"/>
      <c r="D142" s="1"/>
      <c r="E142" s="1"/>
      <c r="F142" s="1"/>
      <c r="G142" s="1"/>
      <c r="H142" s="1"/>
      <c r="I142" s="1"/>
      <c r="J142" s="1"/>
      <c r="K142" s="1"/>
      <c r="L142" s="1"/>
    </row>
    <row r="143" ht="14.25" customHeight="1">
      <c r="A143" s="52"/>
      <c r="B143" s="53"/>
      <c r="C143" s="1"/>
      <c r="D143" s="1"/>
      <c r="E143" s="1"/>
      <c r="F143" s="1"/>
      <c r="G143" s="1"/>
      <c r="H143" s="1"/>
      <c r="I143" s="1"/>
      <c r="J143" s="1"/>
      <c r="K143" s="1"/>
      <c r="L143" s="1"/>
    </row>
    <row r="144" ht="14.25" customHeight="1">
      <c r="A144" s="52"/>
      <c r="B144" s="53"/>
      <c r="C144" s="1"/>
      <c r="D144" s="1"/>
      <c r="E144" s="1"/>
      <c r="F144" s="1"/>
      <c r="G144" s="1"/>
      <c r="H144" s="1"/>
      <c r="I144" s="1"/>
      <c r="J144" s="1"/>
      <c r="K144" s="1"/>
      <c r="L144" s="1"/>
    </row>
    <row r="145" ht="14.25" customHeight="1">
      <c r="A145" s="52"/>
      <c r="B145" s="53"/>
      <c r="C145" s="1"/>
      <c r="D145" s="1"/>
      <c r="E145" s="1"/>
      <c r="F145" s="1"/>
      <c r="G145" s="1"/>
      <c r="H145" s="1"/>
      <c r="I145" s="1"/>
      <c r="J145" s="1"/>
      <c r="K145" s="1"/>
      <c r="L145" s="1"/>
    </row>
    <row r="146" ht="14.25" customHeight="1">
      <c r="A146" s="52"/>
      <c r="B146" s="53"/>
      <c r="C146" s="1"/>
      <c r="D146" s="1"/>
      <c r="E146" s="1"/>
      <c r="F146" s="1"/>
      <c r="G146" s="1"/>
      <c r="H146" s="1"/>
      <c r="I146" s="1"/>
      <c r="J146" s="1"/>
      <c r="K146" s="1"/>
      <c r="L146" s="1"/>
    </row>
    <row r="147" ht="14.25" customHeight="1">
      <c r="A147" s="52"/>
      <c r="B147" s="53"/>
      <c r="C147" s="1"/>
      <c r="D147" s="1"/>
      <c r="E147" s="1"/>
      <c r="F147" s="1"/>
      <c r="G147" s="1"/>
      <c r="H147" s="1"/>
      <c r="I147" s="1"/>
      <c r="J147" s="1"/>
      <c r="K147" s="1"/>
      <c r="L147" s="1"/>
    </row>
    <row r="148" ht="14.25" customHeight="1">
      <c r="A148" s="52"/>
      <c r="B148" s="53"/>
      <c r="C148" s="1"/>
      <c r="D148" s="1"/>
      <c r="E148" s="1"/>
      <c r="F148" s="1"/>
      <c r="G148" s="1"/>
      <c r="H148" s="1"/>
      <c r="I148" s="1"/>
      <c r="J148" s="1"/>
      <c r="K148" s="1"/>
      <c r="L148" s="1"/>
    </row>
    <row r="149" ht="14.25" customHeight="1">
      <c r="A149" s="52"/>
      <c r="B149" s="53"/>
      <c r="C149" s="1"/>
      <c r="D149" s="1"/>
      <c r="E149" s="1"/>
      <c r="F149" s="1"/>
      <c r="G149" s="1"/>
      <c r="H149" s="1"/>
      <c r="I149" s="1"/>
      <c r="J149" s="1"/>
      <c r="K149" s="1"/>
      <c r="L149" s="1"/>
    </row>
    <row r="150" ht="14.25" customHeight="1">
      <c r="A150" s="52"/>
      <c r="B150" s="53"/>
      <c r="C150" s="1"/>
      <c r="D150" s="1"/>
      <c r="E150" s="1"/>
      <c r="F150" s="1"/>
      <c r="G150" s="1"/>
      <c r="H150" s="1"/>
      <c r="I150" s="1"/>
      <c r="J150" s="1"/>
      <c r="K150" s="1"/>
      <c r="L150" s="1"/>
    </row>
    <row r="151" ht="14.25" customHeight="1">
      <c r="A151" s="52"/>
      <c r="B151" s="53"/>
      <c r="C151" s="1"/>
      <c r="D151" s="1"/>
      <c r="E151" s="1"/>
      <c r="F151" s="1"/>
      <c r="G151" s="1"/>
      <c r="H151" s="1"/>
      <c r="I151" s="1"/>
      <c r="J151" s="1"/>
      <c r="K151" s="1"/>
      <c r="L151" s="1"/>
    </row>
    <row r="152" ht="14.25" customHeight="1">
      <c r="A152" s="52"/>
      <c r="B152" s="53"/>
      <c r="C152" s="1"/>
      <c r="D152" s="1"/>
      <c r="E152" s="1"/>
      <c r="F152" s="1"/>
      <c r="G152" s="1"/>
      <c r="H152" s="1"/>
      <c r="I152" s="1"/>
      <c r="J152" s="1"/>
      <c r="K152" s="1"/>
      <c r="L152" s="1"/>
    </row>
    <row r="153" ht="14.25" customHeight="1">
      <c r="A153" s="52"/>
      <c r="B153" s="53"/>
      <c r="C153" s="1"/>
      <c r="D153" s="1"/>
      <c r="E153" s="1"/>
      <c r="F153" s="1"/>
      <c r="G153" s="1"/>
      <c r="H153" s="1"/>
      <c r="I153" s="1"/>
      <c r="J153" s="1"/>
      <c r="K153" s="1"/>
      <c r="L153" s="1"/>
    </row>
    <row r="154" ht="14.25" customHeight="1">
      <c r="A154" s="52"/>
      <c r="B154" s="53"/>
      <c r="C154" s="1"/>
      <c r="D154" s="1"/>
      <c r="E154" s="1"/>
      <c r="F154" s="1"/>
      <c r="G154" s="1"/>
      <c r="H154" s="1"/>
      <c r="I154" s="1"/>
      <c r="J154" s="1"/>
      <c r="K154" s="1"/>
      <c r="L154" s="1"/>
    </row>
    <row r="155" ht="14.25" customHeight="1">
      <c r="A155" s="52"/>
      <c r="B155" s="53"/>
      <c r="C155" s="1"/>
      <c r="D155" s="1"/>
      <c r="E155" s="1"/>
      <c r="F155" s="1"/>
      <c r="G155" s="1"/>
      <c r="H155" s="1"/>
      <c r="I155" s="1"/>
      <c r="J155" s="1"/>
      <c r="K155" s="1"/>
      <c r="L155" s="1"/>
    </row>
    <row r="156" ht="14.25" customHeight="1">
      <c r="A156" s="52"/>
      <c r="B156" s="53"/>
      <c r="C156" s="1"/>
      <c r="D156" s="1"/>
      <c r="E156" s="1"/>
      <c r="F156" s="1"/>
      <c r="G156" s="1"/>
      <c r="H156" s="1"/>
      <c r="I156" s="1"/>
      <c r="J156" s="1"/>
      <c r="K156" s="1"/>
      <c r="L156" s="1"/>
    </row>
    <row r="157" ht="14.25" customHeight="1">
      <c r="A157" s="52"/>
      <c r="B157" s="53"/>
      <c r="C157" s="1"/>
      <c r="D157" s="1"/>
      <c r="E157" s="1"/>
      <c r="F157" s="1"/>
      <c r="G157" s="1"/>
      <c r="H157" s="1"/>
      <c r="I157" s="1"/>
      <c r="J157" s="1"/>
      <c r="K157" s="1"/>
      <c r="L157" s="1"/>
    </row>
    <row r="158" ht="14.25" customHeight="1">
      <c r="A158" s="52"/>
      <c r="B158" s="53"/>
      <c r="C158" s="1"/>
      <c r="D158" s="1"/>
      <c r="E158" s="1"/>
      <c r="F158" s="1"/>
      <c r="G158" s="1"/>
      <c r="H158" s="1"/>
      <c r="I158" s="1"/>
      <c r="J158" s="1"/>
      <c r="K158" s="1"/>
      <c r="L158" s="1"/>
    </row>
    <row r="159" ht="14.25" customHeight="1">
      <c r="A159" s="52"/>
      <c r="B159" s="53"/>
      <c r="C159" s="1"/>
      <c r="D159" s="1"/>
      <c r="E159" s="1"/>
      <c r="F159" s="1"/>
      <c r="G159" s="1"/>
      <c r="H159" s="1"/>
      <c r="I159" s="1"/>
      <c r="J159" s="1"/>
      <c r="K159" s="1"/>
      <c r="L159" s="1"/>
    </row>
    <row r="160" ht="14.25" customHeight="1">
      <c r="A160" s="52"/>
      <c r="B160" s="53"/>
      <c r="C160" s="1"/>
      <c r="D160" s="1"/>
      <c r="E160" s="1"/>
      <c r="F160" s="1"/>
      <c r="G160" s="1"/>
      <c r="H160" s="1"/>
      <c r="I160" s="1"/>
      <c r="J160" s="1"/>
      <c r="K160" s="1"/>
      <c r="L160" s="1"/>
    </row>
    <row r="161" ht="14.25" customHeight="1">
      <c r="A161" s="52"/>
      <c r="B161" s="53"/>
      <c r="C161" s="1"/>
      <c r="D161" s="1"/>
      <c r="E161" s="1"/>
      <c r="F161" s="1"/>
      <c r="G161" s="1"/>
      <c r="H161" s="1"/>
      <c r="I161" s="1"/>
      <c r="J161" s="1"/>
      <c r="K161" s="1"/>
      <c r="L161" s="1"/>
    </row>
    <row r="162" ht="14.25" customHeight="1">
      <c r="A162" s="52"/>
      <c r="B162" s="53"/>
      <c r="C162" s="1"/>
      <c r="D162" s="1"/>
      <c r="E162" s="1"/>
      <c r="F162" s="1"/>
      <c r="G162" s="1"/>
      <c r="H162" s="1"/>
      <c r="I162" s="1"/>
      <c r="J162" s="1"/>
      <c r="K162" s="1"/>
      <c r="L162" s="1"/>
    </row>
    <row r="163" ht="14.25" customHeight="1">
      <c r="A163" s="52"/>
      <c r="B163" s="53"/>
      <c r="C163" s="1"/>
      <c r="D163" s="1"/>
      <c r="E163" s="1"/>
      <c r="F163" s="1"/>
      <c r="G163" s="1"/>
      <c r="H163" s="1"/>
      <c r="I163" s="1"/>
      <c r="J163" s="1"/>
      <c r="K163" s="1"/>
      <c r="L163" s="1"/>
    </row>
    <row r="164" ht="14.25" customHeight="1">
      <c r="A164" s="52"/>
      <c r="B164" s="53"/>
      <c r="C164" s="1"/>
      <c r="D164" s="1"/>
      <c r="E164" s="1"/>
      <c r="F164" s="1"/>
      <c r="G164" s="1"/>
      <c r="H164" s="1"/>
      <c r="I164" s="1"/>
      <c r="J164" s="1"/>
      <c r="K164" s="1"/>
      <c r="L164" s="1"/>
    </row>
    <row r="165" ht="14.25" customHeight="1">
      <c r="A165" s="52"/>
      <c r="B165" s="53"/>
      <c r="C165" s="1"/>
      <c r="D165" s="1"/>
      <c r="E165" s="1"/>
      <c r="F165" s="1"/>
      <c r="G165" s="1"/>
      <c r="H165" s="1"/>
      <c r="I165" s="1"/>
      <c r="J165" s="1"/>
      <c r="K165" s="1"/>
      <c r="L165" s="1"/>
    </row>
    <row r="166" ht="14.25" customHeight="1">
      <c r="A166" s="52"/>
      <c r="B166" s="53"/>
      <c r="C166" s="1"/>
      <c r="D166" s="1"/>
      <c r="E166" s="1"/>
      <c r="F166" s="1"/>
      <c r="G166" s="1"/>
      <c r="H166" s="1"/>
      <c r="I166" s="1"/>
      <c r="J166" s="1"/>
      <c r="K166" s="1"/>
      <c r="L166" s="1"/>
    </row>
    <row r="167" ht="14.25" customHeight="1">
      <c r="A167" s="52"/>
      <c r="B167" s="53"/>
      <c r="C167" s="1"/>
      <c r="D167" s="1"/>
      <c r="E167" s="1"/>
      <c r="F167" s="1"/>
      <c r="G167" s="1"/>
      <c r="H167" s="1"/>
      <c r="I167" s="1"/>
      <c r="J167" s="1"/>
      <c r="K167" s="1"/>
      <c r="L167" s="1"/>
    </row>
    <row r="168" ht="14.25" customHeight="1">
      <c r="A168" s="52"/>
      <c r="B168" s="53"/>
      <c r="C168" s="1"/>
      <c r="D168" s="1"/>
      <c r="E168" s="1"/>
      <c r="F168" s="1"/>
      <c r="G168" s="1"/>
      <c r="H168" s="1"/>
      <c r="I168" s="1"/>
      <c r="J168" s="1"/>
      <c r="K168" s="1"/>
      <c r="L168" s="1"/>
    </row>
    <row r="169" ht="14.25" customHeight="1">
      <c r="A169" s="52"/>
      <c r="B169" s="53"/>
      <c r="C169" s="1"/>
      <c r="D169" s="1"/>
      <c r="E169" s="1"/>
      <c r="F169" s="1"/>
      <c r="G169" s="1"/>
      <c r="H169" s="1"/>
      <c r="I169" s="1"/>
      <c r="J169" s="1"/>
      <c r="K169" s="1"/>
      <c r="L169" s="1"/>
    </row>
    <row r="170" ht="14.25" customHeight="1">
      <c r="A170" s="52"/>
      <c r="B170" s="53"/>
      <c r="C170" s="1"/>
      <c r="D170" s="1"/>
      <c r="E170" s="1"/>
      <c r="F170" s="1"/>
      <c r="G170" s="1"/>
      <c r="H170" s="1"/>
      <c r="I170" s="1"/>
      <c r="J170" s="1"/>
      <c r="K170" s="1"/>
      <c r="L170" s="1"/>
    </row>
    <row r="171" ht="14.25" customHeight="1">
      <c r="A171" s="52"/>
      <c r="B171" s="53"/>
      <c r="C171" s="1"/>
      <c r="D171" s="1"/>
      <c r="E171" s="1"/>
      <c r="F171" s="1"/>
      <c r="G171" s="1"/>
      <c r="H171" s="1"/>
      <c r="I171" s="1"/>
      <c r="J171" s="1"/>
      <c r="K171" s="1"/>
      <c r="L171" s="1"/>
    </row>
    <row r="172" ht="14.25" customHeight="1">
      <c r="A172" s="52"/>
      <c r="B172" s="53"/>
      <c r="C172" s="1"/>
      <c r="D172" s="1"/>
      <c r="E172" s="1"/>
      <c r="F172" s="1"/>
      <c r="G172" s="1"/>
      <c r="H172" s="1"/>
      <c r="I172" s="1"/>
      <c r="J172" s="1"/>
      <c r="K172" s="1"/>
      <c r="L172" s="1"/>
    </row>
    <row r="173" ht="14.25" customHeight="1">
      <c r="A173" s="52"/>
      <c r="B173" s="53"/>
      <c r="C173" s="1"/>
      <c r="D173" s="1"/>
      <c r="E173" s="1"/>
      <c r="F173" s="1"/>
      <c r="G173" s="1"/>
      <c r="H173" s="1"/>
      <c r="I173" s="1"/>
      <c r="J173" s="1"/>
      <c r="K173" s="1"/>
      <c r="L173" s="1"/>
    </row>
    <row r="174" ht="14.25" customHeight="1">
      <c r="A174" s="52"/>
      <c r="B174" s="53"/>
      <c r="C174" s="1"/>
      <c r="D174" s="1"/>
      <c r="E174" s="1"/>
      <c r="F174" s="1"/>
      <c r="G174" s="1"/>
      <c r="H174" s="1"/>
      <c r="I174" s="1"/>
      <c r="J174" s="1"/>
      <c r="K174" s="1"/>
      <c r="L174" s="1"/>
    </row>
    <row r="175" ht="14.25" customHeight="1">
      <c r="A175" s="52"/>
      <c r="B175" s="53"/>
      <c r="C175" s="1"/>
      <c r="D175" s="1"/>
      <c r="E175" s="1"/>
      <c r="F175" s="1"/>
      <c r="G175" s="1"/>
      <c r="H175" s="1"/>
      <c r="I175" s="1"/>
      <c r="J175" s="1"/>
      <c r="K175" s="1"/>
      <c r="L175" s="1"/>
    </row>
    <row r="176" ht="14.25" customHeight="1">
      <c r="A176" s="52"/>
      <c r="B176" s="53"/>
      <c r="C176" s="1"/>
      <c r="D176" s="1"/>
      <c r="E176" s="1"/>
      <c r="F176" s="1"/>
      <c r="G176" s="1"/>
      <c r="H176" s="1"/>
      <c r="I176" s="1"/>
      <c r="J176" s="1"/>
      <c r="K176" s="1"/>
      <c r="L176" s="1"/>
    </row>
    <row r="177" ht="14.25" customHeight="1">
      <c r="A177" s="52"/>
      <c r="B177" s="53"/>
      <c r="C177" s="1"/>
      <c r="D177" s="1"/>
      <c r="E177" s="1"/>
      <c r="F177" s="1"/>
      <c r="G177" s="1"/>
      <c r="H177" s="1"/>
      <c r="I177" s="1"/>
      <c r="J177" s="1"/>
      <c r="K177" s="1"/>
      <c r="L177" s="1"/>
    </row>
    <row r="178" ht="14.25" customHeight="1">
      <c r="A178" s="52"/>
      <c r="B178" s="53"/>
      <c r="C178" s="1"/>
      <c r="D178" s="1"/>
      <c r="E178" s="1"/>
      <c r="F178" s="1"/>
      <c r="G178" s="1"/>
      <c r="H178" s="1"/>
      <c r="I178" s="1"/>
      <c r="J178" s="1"/>
      <c r="K178" s="1"/>
      <c r="L178" s="1"/>
    </row>
    <row r="179" ht="14.25" customHeight="1">
      <c r="A179" s="52"/>
      <c r="B179" s="53"/>
      <c r="C179" s="1"/>
      <c r="D179" s="1"/>
      <c r="E179" s="1"/>
      <c r="F179" s="1"/>
      <c r="G179" s="1"/>
      <c r="H179" s="1"/>
      <c r="I179" s="1"/>
      <c r="J179" s="1"/>
      <c r="K179" s="1"/>
      <c r="L179" s="1"/>
    </row>
    <row r="180" ht="14.25" customHeight="1">
      <c r="A180" s="52"/>
      <c r="B180" s="53"/>
      <c r="C180" s="1"/>
      <c r="D180" s="1"/>
      <c r="E180" s="1"/>
      <c r="F180" s="1"/>
      <c r="G180" s="1"/>
      <c r="H180" s="1"/>
      <c r="I180" s="1"/>
      <c r="J180" s="1"/>
      <c r="K180" s="1"/>
      <c r="L180" s="1"/>
    </row>
    <row r="181" ht="14.25" customHeight="1">
      <c r="A181" s="52"/>
      <c r="B181" s="53"/>
      <c r="C181" s="1"/>
      <c r="D181" s="1"/>
      <c r="E181" s="1"/>
      <c r="F181" s="1"/>
      <c r="G181" s="1"/>
      <c r="H181" s="1"/>
      <c r="I181" s="1"/>
      <c r="J181" s="1"/>
      <c r="K181" s="1"/>
      <c r="L181" s="1"/>
    </row>
    <row r="182" ht="14.25" customHeight="1">
      <c r="A182" s="52"/>
      <c r="B182" s="53"/>
      <c r="C182" s="1"/>
      <c r="D182" s="1"/>
      <c r="E182" s="1"/>
      <c r="F182" s="1"/>
      <c r="G182" s="1"/>
      <c r="H182" s="1"/>
      <c r="I182" s="1"/>
      <c r="J182" s="1"/>
      <c r="K182" s="1"/>
      <c r="L182" s="1"/>
    </row>
    <row r="183" ht="14.25" customHeight="1">
      <c r="A183" s="52"/>
      <c r="B183" s="53"/>
      <c r="C183" s="1"/>
      <c r="D183" s="1"/>
      <c r="E183" s="1"/>
      <c r="F183" s="1"/>
      <c r="G183" s="1"/>
      <c r="H183" s="1"/>
      <c r="I183" s="1"/>
      <c r="J183" s="1"/>
      <c r="K183" s="1"/>
      <c r="L183" s="1"/>
    </row>
    <row r="184" ht="14.25" customHeight="1">
      <c r="A184" s="52"/>
      <c r="B184" s="53"/>
      <c r="C184" s="1"/>
      <c r="D184" s="1"/>
      <c r="E184" s="1"/>
      <c r="F184" s="1"/>
      <c r="G184" s="1"/>
      <c r="H184" s="1"/>
      <c r="I184" s="1"/>
      <c r="J184" s="1"/>
      <c r="K184" s="1"/>
      <c r="L184" s="1"/>
    </row>
    <row r="185" ht="14.25" customHeight="1">
      <c r="A185" s="52"/>
      <c r="B185" s="53"/>
      <c r="C185" s="1"/>
      <c r="D185" s="1"/>
      <c r="E185" s="1"/>
      <c r="F185" s="1"/>
      <c r="G185" s="1"/>
      <c r="H185" s="1"/>
      <c r="I185" s="1"/>
      <c r="J185" s="1"/>
      <c r="K185" s="1"/>
      <c r="L185" s="1"/>
    </row>
    <row r="186" ht="14.25" customHeight="1">
      <c r="A186" s="52"/>
      <c r="B186" s="53"/>
      <c r="C186" s="1"/>
      <c r="D186" s="1"/>
      <c r="E186" s="1"/>
      <c r="F186" s="1"/>
      <c r="G186" s="1"/>
      <c r="H186" s="1"/>
      <c r="I186" s="1"/>
      <c r="J186" s="1"/>
      <c r="K186" s="1"/>
      <c r="L186" s="1"/>
    </row>
    <row r="187" ht="14.25" customHeight="1">
      <c r="A187" s="52"/>
      <c r="B187" s="53"/>
      <c r="C187" s="1"/>
      <c r="D187" s="1"/>
      <c r="E187" s="1"/>
      <c r="F187" s="1"/>
      <c r="G187" s="1"/>
      <c r="H187" s="1"/>
      <c r="I187" s="1"/>
      <c r="J187" s="1"/>
      <c r="K187" s="1"/>
      <c r="L187" s="1"/>
    </row>
    <row r="188" ht="14.25" customHeight="1">
      <c r="A188" s="52"/>
      <c r="B188" s="53"/>
      <c r="C188" s="1"/>
      <c r="D188" s="1"/>
      <c r="E188" s="1"/>
      <c r="F188" s="1"/>
      <c r="G188" s="1"/>
      <c r="H188" s="1"/>
      <c r="I188" s="1"/>
      <c r="J188" s="1"/>
      <c r="K188" s="1"/>
      <c r="L188" s="1"/>
    </row>
    <row r="189" ht="14.25" customHeight="1">
      <c r="A189" s="52"/>
      <c r="B189" s="53"/>
      <c r="C189" s="1"/>
      <c r="D189" s="1"/>
      <c r="E189" s="1"/>
      <c r="F189" s="1"/>
      <c r="G189" s="1"/>
      <c r="H189" s="1"/>
      <c r="I189" s="1"/>
      <c r="J189" s="1"/>
      <c r="K189" s="1"/>
      <c r="L189" s="1"/>
    </row>
    <row r="190" ht="14.25" customHeight="1">
      <c r="A190" s="52"/>
      <c r="B190" s="53"/>
      <c r="C190" s="1"/>
      <c r="D190" s="1"/>
      <c r="E190" s="1"/>
      <c r="F190" s="1"/>
      <c r="G190" s="1"/>
      <c r="H190" s="1"/>
      <c r="I190" s="1"/>
      <c r="J190" s="1"/>
      <c r="K190" s="1"/>
      <c r="L190" s="1"/>
    </row>
    <row r="191" ht="14.25" customHeight="1">
      <c r="A191" s="52"/>
      <c r="B191" s="53"/>
      <c r="C191" s="1"/>
      <c r="D191" s="1"/>
      <c r="E191" s="1"/>
      <c r="F191" s="1"/>
      <c r="G191" s="1"/>
      <c r="H191" s="1"/>
      <c r="I191" s="1"/>
      <c r="J191" s="1"/>
      <c r="K191" s="1"/>
      <c r="L191" s="1"/>
    </row>
    <row r="192" ht="14.25" customHeight="1">
      <c r="A192" s="52"/>
      <c r="B192" s="53"/>
      <c r="C192" s="1"/>
      <c r="D192" s="1"/>
      <c r="E192" s="1"/>
      <c r="F192" s="1"/>
      <c r="G192" s="1"/>
      <c r="H192" s="1"/>
      <c r="I192" s="1"/>
      <c r="J192" s="1"/>
      <c r="K192" s="1"/>
      <c r="L192" s="1"/>
    </row>
    <row r="193" ht="14.25" customHeight="1">
      <c r="A193" s="52"/>
      <c r="B193" s="53"/>
      <c r="C193" s="1"/>
      <c r="D193" s="1"/>
      <c r="E193" s="1"/>
      <c r="F193" s="1"/>
      <c r="G193" s="1"/>
      <c r="H193" s="1"/>
      <c r="I193" s="1"/>
      <c r="J193" s="1"/>
      <c r="K193" s="1"/>
      <c r="L193" s="1"/>
    </row>
    <row r="194" ht="14.25" customHeight="1">
      <c r="A194" s="52"/>
      <c r="B194" s="53"/>
      <c r="C194" s="1"/>
      <c r="D194" s="1"/>
      <c r="E194" s="1"/>
      <c r="F194" s="1"/>
      <c r="G194" s="1"/>
      <c r="H194" s="1"/>
      <c r="I194" s="1"/>
      <c r="J194" s="1"/>
      <c r="K194" s="1"/>
      <c r="L194" s="1"/>
    </row>
    <row r="195" ht="14.25" customHeight="1">
      <c r="A195" s="52"/>
      <c r="B195" s="53"/>
      <c r="C195" s="1"/>
      <c r="D195" s="1"/>
      <c r="E195" s="1"/>
      <c r="F195" s="1"/>
      <c r="G195" s="1"/>
      <c r="H195" s="1"/>
      <c r="I195" s="1"/>
      <c r="J195" s="1"/>
      <c r="K195" s="1"/>
      <c r="L195" s="1"/>
    </row>
    <row r="196" ht="14.25" customHeight="1">
      <c r="A196" s="52"/>
      <c r="B196" s="53"/>
      <c r="C196" s="1"/>
      <c r="D196" s="1"/>
      <c r="E196" s="1"/>
      <c r="F196" s="1"/>
      <c r="G196" s="1"/>
      <c r="H196" s="1"/>
      <c r="I196" s="1"/>
      <c r="J196" s="1"/>
      <c r="K196" s="1"/>
      <c r="L196" s="1"/>
    </row>
    <row r="197" ht="14.25" customHeight="1">
      <c r="A197" s="52"/>
      <c r="B197" s="53"/>
      <c r="C197" s="1"/>
      <c r="D197" s="1"/>
      <c r="E197" s="1"/>
      <c r="F197" s="1"/>
      <c r="G197" s="1"/>
      <c r="H197" s="1"/>
      <c r="I197" s="1"/>
      <c r="J197" s="1"/>
      <c r="K197" s="1"/>
      <c r="L197" s="1"/>
    </row>
    <row r="198" ht="14.25" customHeight="1">
      <c r="A198" s="52"/>
      <c r="B198" s="53"/>
      <c r="C198" s="1"/>
      <c r="D198" s="1"/>
      <c r="E198" s="1"/>
      <c r="F198" s="1"/>
      <c r="G198" s="1"/>
      <c r="H198" s="1"/>
      <c r="I198" s="1"/>
      <c r="J198" s="1"/>
      <c r="K198" s="1"/>
      <c r="L198" s="1"/>
    </row>
    <row r="199" ht="14.25" customHeight="1">
      <c r="A199" s="52"/>
      <c r="B199" s="53"/>
      <c r="C199" s="1"/>
      <c r="D199" s="1"/>
      <c r="E199" s="1"/>
      <c r="F199" s="1"/>
      <c r="G199" s="1"/>
      <c r="H199" s="1"/>
      <c r="I199" s="1"/>
      <c r="J199" s="1"/>
      <c r="K199" s="1"/>
      <c r="L199" s="1"/>
    </row>
    <row r="200" ht="14.25" customHeight="1">
      <c r="A200" s="52"/>
      <c r="B200" s="53"/>
      <c r="C200" s="1"/>
      <c r="D200" s="1"/>
      <c r="E200" s="1"/>
      <c r="F200" s="1"/>
      <c r="G200" s="1"/>
      <c r="H200" s="1"/>
      <c r="I200" s="1"/>
      <c r="J200" s="1"/>
      <c r="K200" s="1"/>
      <c r="L200" s="1"/>
    </row>
    <row r="201" ht="14.25" customHeight="1">
      <c r="A201" s="52"/>
      <c r="B201" s="53"/>
      <c r="C201" s="1"/>
      <c r="D201" s="1"/>
      <c r="E201" s="1"/>
      <c r="F201" s="1"/>
      <c r="G201" s="1"/>
      <c r="H201" s="1"/>
      <c r="I201" s="1"/>
      <c r="J201" s="1"/>
      <c r="K201" s="1"/>
      <c r="L201" s="1"/>
    </row>
    <row r="202" ht="14.25" customHeight="1">
      <c r="A202" s="52"/>
      <c r="B202" s="53"/>
      <c r="C202" s="1"/>
      <c r="D202" s="1"/>
      <c r="E202" s="1"/>
      <c r="F202" s="1"/>
      <c r="G202" s="1"/>
      <c r="H202" s="1"/>
      <c r="I202" s="1"/>
      <c r="J202" s="1"/>
      <c r="K202" s="1"/>
      <c r="L202" s="1"/>
    </row>
    <row r="203" ht="14.25" customHeight="1">
      <c r="A203" s="52"/>
      <c r="B203" s="53"/>
      <c r="C203" s="1"/>
      <c r="D203" s="1"/>
      <c r="E203" s="1"/>
      <c r="F203" s="1"/>
      <c r="G203" s="1"/>
      <c r="H203" s="1"/>
      <c r="I203" s="1"/>
      <c r="J203" s="1"/>
      <c r="K203" s="1"/>
      <c r="L203" s="1"/>
    </row>
    <row r="204" ht="14.25" customHeight="1">
      <c r="A204" s="52"/>
      <c r="B204" s="53"/>
      <c r="C204" s="1"/>
      <c r="D204" s="1"/>
      <c r="E204" s="1"/>
      <c r="F204" s="1"/>
      <c r="G204" s="1"/>
      <c r="H204" s="1"/>
      <c r="I204" s="1"/>
      <c r="J204" s="1"/>
      <c r="K204" s="1"/>
      <c r="L204" s="1"/>
    </row>
    <row r="205" ht="14.25" customHeight="1">
      <c r="A205" s="52"/>
      <c r="B205" s="53"/>
      <c r="C205" s="1"/>
      <c r="D205" s="1"/>
      <c r="E205" s="1"/>
      <c r="F205" s="1"/>
      <c r="G205" s="1"/>
      <c r="H205" s="1"/>
      <c r="I205" s="1"/>
      <c r="J205" s="1"/>
      <c r="K205" s="1"/>
      <c r="L205" s="1"/>
    </row>
    <row r="206" ht="14.25" customHeight="1">
      <c r="A206" s="52"/>
      <c r="B206" s="53"/>
      <c r="C206" s="1"/>
      <c r="D206" s="1"/>
      <c r="E206" s="1"/>
      <c r="F206" s="1"/>
      <c r="G206" s="1"/>
      <c r="H206" s="1"/>
      <c r="I206" s="1"/>
      <c r="J206" s="1"/>
      <c r="K206" s="1"/>
      <c r="L206" s="1"/>
    </row>
    <row r="207" ht="14.25" customHeight="1">
      <c r="A207" s="52"/>
      <c r="B207" s="53"/>
      <c r="C207" s="1"/>
      <c r="D207" s="1"/>
      <c r="E207" s="1"/>
      <c r="F207" s="1"/>
      <c r="G207" s="1"/>
      <c r="H207" s="1"/>
      <c r="I207" s="1"/>
      <c r="J207" s="1"/>
      <c r="K207" s="1"/>
      <c r="L207" s="1"/>
    </row>
    <row r="208" ht="14.25" customHeight="1">
      <c r="A208" s="52"/>
      <c r="B208" s="53"/>
      <c r="C208" s="1"/>
      <c r="D208" s="1"/>
      <c r="E208" s="1"/>
      <c r="F208" s="1"/>
      <c r="G208" s="1"/>
      <c r="H208" s="1"/>
      <c r="I208" s="1"/>
      <c r="J208" s="1"/>
      <c r="K208" s="1"/>
      <c r="L208" s="1"/>
    </row>
    <row r="209" ht="14.25" customHeight="1">
      <c r="A209" s="52"/>
      <c r="B209" s="53"/>
      <c r="C209" s="1"/>
      <c r="D209" s="1"/>
      <c r="E209" s="1"/>
      <c r="F209" s="1"/>
      <c r="G209" s="1"/>
      <c r="H209" s="1"/>
      <c r="I209" s="1"/>
      <c r="J209" s="1"/>
      <c r="K209" s="1"/>
      <c r="L209" s="1"/>
    </row>
    <row r="210" ht="14.25" customHeight="1">
      <c r="A210" s="52"/>
      <c r="B210" s="53"/>
      <c r="C210" s="1"/>
      <c r="D210" s="1"/>
      <c r="E210" s="1"/>
      <c r="F210" s="1"/>
      <c r="G210" s="1"/>
      <c r="H210" s="1"/>
      <c r="I210" s="1"/>
      <c r="J210" s="1"/>
      <c r="K210" s="1"/>
      <c r="L210" s="1"/>
    </row>
    <row r="211" ht="14.25" customHeight="1">
      <c r="A211" s="52"/>
      <c r="B211" s="53"/>
      <c r="C211" s="1"/>
      <c r="D211" s="1"/>
      <c r="E211" s="1"/>
      <c r="F211" s="1"/>
      <c r="G211" s="1"/>
      <c r="H211" s="1"/>
      <c r="I211" s="1"/>
      <c r="J211" s="1"/>
      <c r="K211" s="1"/>
      <c r="L211" s="1"/>
    </row>
    <row r="212" ht="14.25" customHeight="1">
      <c r="A212" s="52"/>
      <c r="B212" s="53"/>
      <c r="C212" s="1"/>
      <c r="D212" s="1"/>
      <c r="E212" s="1"/>
      <c r="F212" s="1"/>
      <c r="G212" s="1"/>
      <c r="H212" s="1"/>
      <c r="I212" s="1"/>
      <c r="J212" s="1"/>
      <c r="K212" s="1"/>
      <c r="L212" s="1"/>
    </row>
    <row r="213" ht="14.25" customHeight="1">
      <c r="A213" s="52"/>
      <c r="B213" s="53"/>
      <c r="C213" s="1"/>
      <c r="D213" s="1"/>
      <c r="E213" s="1"/>
      <c r="F213" s="1"/>
      <c r="G213" s="1"/>
      <c r="H213" s="1"/>
      <c r="I213" s="1"/>
      <c r="J213" s="1"/>
      <c r="K213" s="1"/>
      <c r="L213" s="1"/>
    </row>
    <row r="214" ht="14.25" customHeight="1">
      <c r="A214" s="52"/>
      <c r="B214" s="53"/>
      <c r="C214" s="1"/>
      <c r="D214" s="1"/>
      <c r="E214" s="1"/>
      <c r="F214" s="1"/>
      <c r="G214" s="1"/>
      <c r="H214" s="1"/>
      <c r="I214" s="1"/>
      <c r="J214" s="1"/>
      <c r="K214" s="1"/>
      <c r="L214" s="1"/>
    </row>
    <row r="215" ht="14.25" customHeight="1">
      <c r="A215" s="52"/>
      <c r="B215" s="53"/>
      <c r="C215" s="1"/>
      <c r="D215" s="1"/>
      <c r="E215" s="1"/>
      <c r="F215" s="1"/>
      <c r="G215" s="1"/>
      <c r="H215" s="1"/>
      <c r="I215" s="1"/>
      <c r="J215" s="1"/>
      <c r="K215" s="1"/>
      <c r="L215" s="1"/>
    </row>
    <row r="216" ht="14.25" customHeight="1">
      <c r="A216" s="52"/>
      <c r="B216" s="53"/>
      <c r="C216" s="1"/>
      <c r="D216" s="1"/>
      <c r="E216" s="1"/>
      <c r="F216" s="1"/>
      <c r="G216" s="1"/>
      <c r="H216" s="1"/>
      <c r="I216" s="1"/>
      <c r="J216" s="1"/>
      <c r="K216" s="1"/>
      <c r="L216" s="1"/>
    </row>
    <row r="217" ht="14.25" customHeight="1">
      <c r="A217" s="52"/>
      <c r="B217" s="53"/>
      <c r="C217" s="1"/>
      <c r="D217" s="1"/>
      <c r="E217" s="1"/>
      <c r="F217" s="1"/>
      <c r="G217" s="1"/>
      <c r="H217" s="1"/>
      <c r="I217" s="1"/>
      <c r="J217" s="1"/>
      <c r="K217" s="1"/>
      <c r="L217" s="1"/>
    </row>
    <row r="218" ht="14.25" customHeight="1">
      <c r="A218" s="52"/>
      <c r="B218" s="53"/>
      <c r="C218" s="1"/>
      <c r="D218" s="1"/>
      <c r="E218" s="1"/>
      <c r="F218" s="1"/>
      <c r="G218" s="1"/>
      <c r="H218" s="1"/>
      <c r="I218" s="1"/>
      <c r="J218" s="1"/>
      <c r="K218" s="1"/>
      <c r="L218" s="1"/>
    </row>
    <row r="219" ht="14.25" customHeight="1">
      <c r="A219" s="52"/>
      <c r="B219" s="53"/>
      <c r="C219" s="1"/>
      <c r="D219" s="1"/>
      <c r="E219" s="1"/>
      <c r="F219" s="1"/>
      <c r="G219" s="1"/>
      <c r="H219" s="1"/>
      <c r="I219" s="1"/>
      <c r="J219" s="1"/>
      <c r="K219" s="1"/>
      <c r="L219" s="1"/>
    </row>
    <row r="220" ht="14.25" customHeight="1">
      <c r="A220" s="52"/>
      <c r="B220" s="53"/>
      <c r="C220" s="1"/>
      <c r="D220" s="1"/>
      <c r="E220" s="1"/>
      <c r="F220" s="1"/>
      <c r="G220" s="1"/>
      <c r="H220" s="1"/>
      <c r="I220" s="1"/>
      <c r="J220" s="1"/>
      <c r="K220" s="1"/>
      <c r="L220" s="1"/>
    </row>
    <row r="221" ht="14.25" customHeight="1">
      <c r="A221" s="52"/>
      <c r="B221" s="53"/>
      <c r="C221" s="1"/>
      <c r="D221" s="1"/>
      <c r="E221" s="1"/>
      <c r="F221" s="1"/>
      <c r="G221" s="1"/>
      <c r="H221" s="1"/>
      <c r="I221" s="1"/>
      <c r="J221" s="1"/>
      <c r="K221" s="1"/>
      <c r="L221" s="1"/>
    </row>
    <row r="222" ht="14.25" customHeight="1">
      <c r="A222" s="52"/>
      <c r="B222" s="53"/>
      <c r="C222" s="1"/>
      <c r="D222" s="1"/>
      <c r="E222" s="1"/>
      <c r="F222" s="1"/>
      <c r="G222" s="1"/>
      <c r="H222" s="1"/>
      <c r="I222" s="1"/>
      <c r="J222" s="1"/>
      <c r="K222" s="1"/>
      <c r="L222" s="1"/>
    </row>
    <row r="223" ht="14.25" customHeight="1">
      <c r="A223" s="52"/>
      <c r="B223" s="53"/>
      <c r="C223" s="1"/>
      <c r="D223" s="1"/>
      <c r="E223" s="1"/>
      <c r="F223" s="1"/>
      <c r="G223" s="1"/>
      <c r="H223" s="1"/>
      <c r="I223" s="1"/>
      <c r="J223" s="1"/>
      <c r="K223" s="1"/>
      <c r="L223" s="1"/>
    </row>
    <row r="224" ht="14.25" customHeight="1">
      <c r="A224" s="52"/>
      <c r="B224" s="53"/>
      <c r="C224" s="1"/>
      <c r="D224" s="1"/>
      <c r="E224" s="1"/>
      <c r="F224" s="1"/>
      <c r="G224" s="1"/>
      <c r="H224" s="1"/>
      <c r="I224" s="1"/>
      <c r="J224" s="1"/>
      <c r="K224" s="1"/>
      <c r="L224" s="1"/>
    </row>
    <row r="225" ht="14.25" customHeight="1">
      <c r="A225" s="52"/>
      <c r="B225" s="53"/>
      <c r="C225" s="1"/>
      <c r="D225" s="1"/>
      <c r="E225" s="1"/>
      <c r="F225" s="1"/>
      <c r="G225" s="1"/>
      <c r="H225" s="1"/>
      <c r="I225" s="1"/>
      <c r="J225" s="1"/>
      <c r="K225" s="1"/>
      <c r="L225" s="1"/>
    </row>
    <row r="226" ht="14.25" customHeight="1">
      <c r="A226" s="52"/>
      <c r="B226" s="53"/>
      <c r="C226" s="1"/>
      <c r="D226" s="1"/>
      <c r="E226" s="1"/>
      <c r="F226" s="1"/>
      <c r="G226" s="1"/>
      <c r="H226" s="1"/>
      <c r="I226" s="1"/>
      <c r="J226" s="1"/>
      <c r="K226" s="1"/>
      <c r="L226" s="1"/>
    </row>
    <row r="227" ht="14.25" customHeight="1">
      <c r="A227" s="52"/>
      <c r="B227" s="53"/>
      <c r="C227" s="1"/>
      <c r="D227" s="1"/>
      <c r="E227" s="1"/>
      <c r="F227" s="1"/>
      <c r="G227" s="1"/>
      <c r="H227" s="1"/>
      <c r="I227" s="1"/>
      <c r="J227" s="1"/>
      <c r="K227" s="1"/>
      <c r="L227" s="1"/>
    </row>
    <row r="228" ht="14.25" customHeight="1">
      <c r="A228" s="52"/>
      <c r="B228" s="53"/>
      <c r="C228" s="1"/>
      <c r="D228" s="1"/>
      <c r="E228" s="1"/>
      <c r="F228" s="1"/>
      <c r="G228" s="1"/>
      <c r="H228" s="1"/>
      <c r="I228" s="1"/>
      <c r="J228" s="1"/>
      <c r="K228" s="1"/>
      <c r="L228" s="1"/>
    </row>
    <row r="229" ht="14.25" customHeight="1">
      <c r="A229" s="52"/>
      <c r="B229" s="53"/>
      <c r="C229" s="1"/>
      <c r="D229" s="1"/>
      <c r="E229" s="1"/>
      <c r="F229" s="1"/>
      <c r="G229" s="1"/>
      <c r="H229" s="1"/>
      <c r="I229" s="1"/>
      <c r="J229" s="1"/>
      <c r="K229" s="1"/>
      <c r="L229" s="1"/>
    </row>
    <row r="230" ht="14.25" customHeight="1">
      <c r="A230" s="52"/>
      <c r="B230" s="53"/>
      <c r="C230" s="1"/>
      <c r="D230" s="1"/>
      <c r="E230" s="1"/>
      <c r="F230" s="1"/>
      <c r="G230" s="1"/>
      <c r="H230" s="1"/>
      <c r="I230" s="1"/>
      <c r="J230" s="1"/>
      <c r="K230" s="1"/>
      <c r="L230" s="1"/>
    </row>
    <row r="231" ht="14.25" customHeight="1">
      <c r="A231" s="52"/>
      <c r="B231" s="53"/>
      <c r="C231" s="1"/>
      <c r="D231" s="1"/>
      <c r="E231" s="1"/>
      <c r="F231" s="1"/>
      <c r="G231" s="1"/>
      <c r="H231" s="1"/>
      <c r="I231" s="1"/>
      <c r="J231" s="1"/>
      <c r="K231" s="1"/>
      <c r="L231" s="1"/>
    </row>
    <row r="232" ht="14.25" customHeight="1">
      <c r="A232" s="52"/>
      <c r="B232" s="53"/>
      <c r="C232" s="1"/>
      <c r="D232" s="1"/>
      <c r="E232" s="1"/>
      <c r="F232" s="1"/>
      <c r="G232" s="1"/>
      <c r="H232" s="1"/>
      <c r="I232" s="1"/>
      <c r="J232" s="1"/>
      <c r="K232" s="1"/>
      <c r="L232" s="1"/>
    </row>
    <row r="233" ht="14.25" customHeight="1">
      <c r="A233" s="52"/>
      <c r="B233" s="53"/>
      <c r="C233" s="1"/>
      <c r="D233" s="1"/>
      <c r="E233" s="1"/>
      <c r="F233" s="1"/>
      <c r="G233" s="1"/>
      <c r="H233" s="1"/>
      <c r="I233" s="1"/>
      <c r="J233" s="1"/>
      <c r="K233" s="1"/>
      <c r="L233" s="1"/>
    </row>
    <row r="234" ht="14.25" customHeight="1">
      <c r="A234" s="52"/>
      <c r="B234" s="53"/>
      <c r="C234" s="1"/>
      <c r="D234" s="1"/>
      <c r="E234" s="1"/>
      <c r="F234" s="1"/>
      <c r="G234" s="1"/>
      <c r="H234" s="1"/>
      <c r="I234" s="1"/>
      <c r="J234" s="1"/>
      <c r="K234" s="1"/>
      <c r="L234" s="1"/>
    </row>
    <row r="235" ht="14.25" customHeight="1">
      <c r="A235" s="52"/>
      <c r="B235" s="53"/>
      <c r="C235" s="1"/>
      <c r="D235" s="1"/>
      <c r="E235" s="1"/>
      <c r="F235" s="1"/>
      <c r="G235" s="1"/>
      <c r="H235" s="1"/>
      <c r="I235" s="1"/>
      <c r="J235" s="1"/>
      <c r="K235" s="1"/>
      <c r="L235" s="1"/>
    </row>
    <row r="236" ht="14.25" customHeight="1">
      <c r="A236" s="52"/>
      <c r="B236" s="53"/>
      <c r="C236" s="1"/>
      <c r="D236" s="1"/>
      <c r="E236" s="1"/>
      <c r="F236" s="1"/>
      <c r="G236" s="1"/>
      <c r="H236" s="1"/>
      <c r="I236" s="1"/>
      <c r="J236" s="1"/>
      <c r="K236" s="1"/>
      <c r="L236" s="1"/>
    </row>
    <row r="237" ht="14.25" customHeight="1">
      <c r="A237" s="52"/>
      <c r="B237" s="53"/>
      <c r="C237" s="1"/>
      <c r="D237" s="1"/>
      <c r="E237" s="1"/>
      <c r="F237" s="1"/>
      <c r="G237" s="1"/>
      <c r="H237" s="1"/>
      <c r="I237" s="1"/>
      <c r="J237" s="1"/>
      <c r="K237" s="1"/>
      <c r="L237" s="1"/>
    </row>
    <row r="238" ht="14.25" customHeight="1">
      <c r="A238" s="52"/>
      <c r="B238" s="53"/>
      <c r="C238" s="1"/>
      <c r="D238" s="1"/>
      <c r="E238" s="1"/>
      <c r="F238" s="1"/>
      <c r="G238" s="1"/>
      <c r="H238" s="1"/>
      <c r="I238" s="1"/>
      <c r="J238" s="1"/>
      <c r="K238" s="1"/>
      <c r="L238" s="1"/>
    </row>
    <row r="239" ht="14.25" customHeight="1">
      <c r="A239" s="52"/>
      <c r="B239" s="53"/>
      <c r="C239" s="1"/>
      <c r="D239" s="1"/>
      <c r="E239" s="1"/>
      <c r="F239" s="1"/>
      <c r="G239" s="1"/>
      <c r="H239" s="1"/>
      <c r="I239" s="1"/>
      <c r="J239" s="1"/>
      <c r="K239" s="1"/>
      <c r="L239" s="1"/>
    </row>
    <row r="240" ht="14.25" customHeight="1">
      <c r="A240" s="52"/>
      <c r="B240" s="53"/>
      <c r="C240" s="1"/>
      <c r="D240" s="1"/>
      <c r="E240" s="1"/>
      <c r="F240" s="1"/>
      <c r="G240" s="1"/>
      <c r="H240" s="1"/>
      <c r="I240" s="1"/>
      <c r="J240" s="1"/>
      <c r="K240" s="1"/>
      <c r="L240" s="1"/>
    </row>
    <row r="241" ht="14.25" customHeight="1">
      <c r="A241" s="52"/>
      <c r="B241" s="53"/>
      <c r="C241" s="1"/>
      <c r="D241" s="1"/>
      <c r="E241" s="1"/>
      <c r="F241" s="1"/>
      <c r="G241" s="1"/>
      <c r="H241" s="1"/>
      <c r="I241" s="1"/>
      <c r="J241" s="1"/>
      <c r="K241" s="1"/>
      <c r="L241" s="1"/>
    </row>
    <row r="242" ht="14.25" customHeight="1">
      <c r="A242" s="52"/>
      <c r="B242" s="53"/>
      <c r="C242" s="1"/>
      <c r="D242" s="1"/>
      <c r="E242" s="1"/>
      <c r="F242" s="1"/>
      <c r="G242" s="1"/>
      <c r="H242" s="1"/>
      <c r="I242" s="1"/>
      <c r="J242" s="1"/>
      <c r="K242" s="1"/>
      <c r="L242" s="1"/>
    </row>
    <row r="243" ht="14.25" customHeight="1">
      <c r="A243" s="52"/>
      <c r="B243" s="53"/>
      <c r="C243" s="1"/>
      <c r="D243" s="1"/>
      <c r="E243" s="1"/>
      <c r="F243" s="1"/>
      <c r="G243" s="1"/>
      <c r="H243" s="1"/>
      <c r="I243" s="1"/>
      <c r="J243" s="1"/>
      <c r="K243" s="1"/>
      <c r="L243" s="1"/>
    </row>
    <row r="244" ht="14.25" customHeight="1">
      <c r="A244" s="52"/>
      <c r="B244" s="53"/>
      <c r="C244" s="1"/>
      <c r="D244" s="1"/>
      <c r="E244" s="1"/>
      <c r="F244" s="1"/>
      <c r="G244" s="1"/>
      <c r="H244" s="1"/>
      <c r="I244" s="1"/>
      <c r="J244" s="1"/>
      <c r="K244" s="1"/>
      <c r="L244" s="1"/>
    </row>
    <row r="245" ht="14.25" customHeight="1">
      <c r="A245" s="52"/>
      <c r="B245" s="53"/>
      <c r="C245" s="1"/>
      <c r="D245" s="1"/>
      <c r="E245" s="1"/>
      <c r="F245" s="1"/>
      <c r="G245" s="1"/>
      <c r="H245" s="1"/>
      <c r="I245" s="1"/>
      <c r="J245" s="1"/>
      <c r="K245" s="1"/>
      <c r="L245" s="1"/>
    </row>
    <row r="246" ht="14.25" customHeight="1">
      <c r="A246" s="52"/>
      <c r="B246" s="53"/>
      <c r="C246" s="1"/>
      <c r="D246" s="1"/>
      <c r="E246" s="1"/>
      <c r="F246" s="1"/>
      <c r="G246" s="1"/>
      <c r="H246" s="1"/>
      <c r="I246" s="1"/>
      <c r="J246" s="1"/>
      <c r="K246" s="1"/>
      <c r="L246" s="1"/>
    </row>
    <row r="247" ht="14.25" customHeight="1">
      <c r="A247" s="52"/>
      <c r="B247" s="53"/>
      <c r="C247" s="1"/>
      <c r="D247" s="1"/>
      <c r="E247" s="1"/>
      <c r="F247" s="1"/>
      <c r="G247" s="1"/>
      <c r="H247" s="1"/>
      <c r="I247" s="1"/>
      <c r="J247" s="1"/>
      <c r="K247" s="1"/>
      <c r="L247" s="1"/>
    </row>
    <row r="248" ht="14.25" customHeight="1">
      <c r="A248" s="52"/>
      <c r="B248" s="53"/>
      <c r="C248" s="1"/>
      <c r="D248" s="1"/>
      <c r="E248" s="1"/>
      <c r="F248" s="1"/>
      <c r="G248" s="1"/>
      <c r="H248" s="1"/>
      <c r="I248" s="1"/>
      <c r="J248" s="1"/>
      <c r="K248" s="1"/>
      <c r="L248" s="1"/>
    </row>
    <row r="249" ht="14.25" customHeight="1">
      <c r="A249" s="52"/>
      <c r="B249" s="53"/>
      <c r="C249" s="1"/>
      <c r="D249" s="1"/>
      <c r="E249" s="1"/>
      <c r="F249" s="1"/>
      <c r="G249" s="1"/>
      <c r="H249" s="1"/>
      <c r="I249" s="1"/>
      <c r="J249" s="1"/>
      <c r="K249" s="1"/>
      <c r="L249" s="1"/>
    </row>
    <row r="250" ht="14.25" customHeight="1">
      <c r="A250" s="52"/>
      <c r="B250" s="53"/>
      <c r="C250" s="1"/>
      <c r="D250" s="1"/>
      <c r="E250" s="1"/>
      <c r="F250" s="1"/>
      <c r="G250" s="1"/>
      <c r="H250" s="1"/>
      <c r="I250" s="1"/>
      <c r="J250" s="1"/>
      <c r="K250" s="1"/>
      <c r="L250" s="1"/>
    </row>
    <row r="251" ht="14.25" customHeight="1">
      <c r="A251" s="52"/>
      <c r="B251" s="53"/>
      <c r="C251" s="1"/>
      <c r="D251" s="1"/>
      <c r="E251" s="1"/>
      <c r="F251" s="1"/>
      <c r="G251" s="1"/>
      <c r="H251" s="1"/>
      <c r="I251" s="1"/>
      <c r="J251" s="1"/>
      <c r="K251" s="1"/>
      <c r="L251" s="1"/>
    </row>
    <row r="252" ht="14.25" customHeight="1">
      <c r="A252" s="52"/>
      <c r="B252" s="53"/>
      <c r="C252" s="1"/>
      <c r="D252" s="1"/>
      <c r="E252" s="1"/>
      <c r="F252" s="1"/>
      <c r="G252" s="1"/>
      <c r="H252" s="1"/>
      <c r="I252" s="1"/>
      <c r="J252" s="1"/>
      <c r="K252" s="1"/>
      <c r="L252" s="1"/>
    </row>
    <row r="253" ht="14.25" customHeight="1">
      <c r="A253" s="52"/>
      <c r="B253" s="53"/>
      <c r="C253" s="1"/>
      <c r="D253" s="1"/>
      <c r="E253" s="1"/>
      <c r="F253" s="1"/>
      <c r="G253" s="1"/>
      <c r="H253" s="1"/>
      <c r="I253" s="1"/>
      <c r="J253" s="1"/>
      <c r="K253" s="1"/>
      <c r="L253" s="1"/>
    </row>
    <row r="254" ht="14.25" customHeight="1">
      <c r="A254" s="52"/>
      <c r="B254" s="53"/>
      <c r="C254" s="1"/>
      <c r="D254" s="1"/>
      <c r="E254" s="1"/>
      <c r="F254" s="1"/>
      <c r="G254" s="1"/>
      <c r="H254" s="1"/>
      <c r="I254" s="1"/>
      <c r="J254" s="1"/>
      <c r="K254" s="1"/>
      <c r="L254" s="1"/>
    </row>
    <row r="255" ht="14.25" customHeight="1">
      <c r="A255" s="52"/>
      <c r="B255" s="53"/>
      <c r="C255" s="1"/>
      <c r="D255" s="1"/>
      <c r="E255" s="1"/>
      <c r="F255" s="1"/>
      <c r="G255" s="1"/>
      <c r="H255" s="1"/>
      <c r="I255" s="1"/>
      <c r="J255" s="1"/>
      <c r="K255" s="1"/>
      <c r="L255" s="1"/>
    </row>
    <row r="256" ht="14.25" customHeight="1">
      <c r="A256" s="52"/>
      <c r="B256" s="53"/>
      <c r="C256" s="1"/>
      <c r="D256" s="1"/>
      <c r="E256" s="1"/>
      <c r="F256" s="1"/>
      <c r="G256" s="1"/>
      <c r="H256" s="1"/>
      <c r="I256" s="1"/>
      <c r="J256" s="1"/>
      <c r="K256" s="1"/>
      <c r="L256" s="1"/>
    </row>
    <row r="257" ht="14.25" customHeight="1">
      <c r="A257" s="52"/>
      <c r="B257" s="53"/>
      <c r="C257" s="1"/>
      <c r="D257" s="1"/>
      <c r="E257" s="1"/>
      <c r="F257" s="1"/>
      <c r="G257" s="1"/>
      <c r="H257" s="1"/>
      <c r="I257" s="1"/>
      <c r="J257" s="1"/>
      <c r="K257" s="1"/>
      <c r="L257" s="1"/>
    </row>
    <row r="258" ht="14.25" customHeight="1">
      <c r="A258" s="52"/>
      <c r="B258" s="53"/>
      <c r="C258" s="1"/>
      <c r="D258" s="1"/>
      <c r="E258" s="1"/>
      <c r="F258" s="1"/>
      <c r="G258" s="1"/>
      <c r="H258" s="1"/>
      <c r="I258" s="1"/>
      <c r="J258" s="1"/>
      <c r="K258" s="1"/>
      <c r="L258" s="1"/>
    </row>
    <row r="259" ht="14.25" customHeight="1">
      <c r="A259" s="52"/>
      <c r="B259" s="53"/>
      <c r="C259" s="1"/>
      <c r="D259" s="1"/>
      <c r="E259" s="1"/>
      <c r="F259" s="1"/>
      <c r="G259" s="1"/>
      <c r="H259" s="1"/>
      <c r="I259" s="1"/>
      <c r="J259" s="1"/>
      <c r="K259" s="1"/>
      <c r="L259" s="1"/>
    </row>
    <row r="260" ht="14.25" customHeight="1">
      <c r="A260" s="52"/>
      <c r="B260" s="53"/>
      <c r="C260" s="1"/>
      <c r="D260" s="1"/>
      <c r="E260" s="1"/>
      <c r="F260" s="1"/>
      <c r="G260" s="1"/>
      <c r="H260" s="1"/>
      <c r="I260" s="1"/>
      <c r="J260" s="1"/>
      <c r="K260" s="1"/>
      <c r="L260" s="1"/>
    </row>
    <row r="261" ht="14.25" customHeight="1">
      <c r="A261" s="52"/>
      <c r="B261" s="53"/>
      <c r="C261" s="1"/>
      <c r="D261" s="1"/>
      <c r="E261" s="1"/>
      <c r="F261" s="1"/>
      <c r="G261" s="1"/>
      <c r="H261" s="1"/>
      <c r="I261" s="1"/>
      <c r="J261" s="1"/>
      <c r="K261" s="1"/>
      <c r="L261" s="1"/>
    </row>
    <row r="262" ht="14.25" customHeight="1">
      <c r="A262" s="52"/>
      <c r="B262" s="53"/>
      <c r="C262" s="1"/>
      <c r="D262" s="1"/>
      <c r="E262" s="1"/>
      <c r="F262" s="1"/>
      <c r="G262" s="1"/>
      <c r="H262" s="1"/>
      <c r="I262" s="1"/>
      <c r="J262" s="1"/>
      <c r="K262" s="1"/>
      <c r="L262" s="1"/>
    </row>
    <row r="263" ht="14.25" customHeight="1">
      <c r="A263" s="52"/>
      <c r="B263" s="53"/>
      <c r="C263" s="1"/>
      <c r="D263" s="1"/>
      <c r="E263" s="1"/>
      <c r="F263" s="1"/>
      <c r="G263" s="1"/>
      <c r="H263" s="1"/>
      <c r="I263" s="1"/>
      <c r="J263" s="1"/>
      <c r="K263" s="1"/>
      <c r="L263" s="1"/>
    </row>
    <row r="264" ht="14.25" customHeight="1">
      <c r="A264" s="52"/>
      <c r="B264" s="53"/>
      <c r="C264" s="1"/>
      <c r="D264" s="1"/>
      <c r="E264" s="1"/>
      <c r="F264" s="1"/>
      <c r="G264" s="1"/>
      <c r="H264" s="1"/>
      <c r="I264" s="1"/>
      <c r="J264" s="1"/>
      <c r="K264" s="1"/>
      <c r="L264" s="1"/>
    </row>
    <row r="265" ht="14.25" customHeight="1">
      <c r="A265" s="52"/>
      <c r="B265" s="53"/>
      <c r="C265" s="1"/>
      <c r="D265" s="1"/>
      <c r="E265" s="1"/>
      <c r="F265" s="1"/>
      <c r="G265" s="1"/>
      <c r="H265" s="1"/>
      <c r="I265" s="1"/>
      <c r="J265" s="1"/>
      <c r="K265" s="1"/>
      <c r="L265" s="1"/>
    </row>
    <row r="266" ht="14.25" customHeight="1">
      <c r="A266" s="52"/>
      <c r="B266" s="53"/>
      <c r="C266" s="1"/>
      <c r="D266" s="1"/>
      <c r="E266" s="1"/>
      <c r="F266" s="1"/>
      <c r="G266" s="1"/>
      <c r="H266" s="1"/>
      <c r="I266" s="1"/>
      <c r="J266" s="1"/>
      <c r="K266" s="1"/>
      <c r="L266" s="1"/>
    </row>
    <row r="267" ht="14.25" customHeight="1">
      <c r="A267" s="52"/>
      <c r="B267" s="53"/>
      <c r="C267" s="1"/>
      <c r="D267" s="1"/>
      <c r="E267" s="1"/>
      <c r="F267" s="1"/>
      <c r="G267" s="1"/>
      <c r="H267" s="1"/>
      <c r="I267" s="1"/>
      <c r="J267" s="1"/>
      <c r="K267" s="1"/>
      <c r="L267" s="1"/>
    </row>
    <row r="268" ht="14.25" customHeight="1">
      <c r="A268" s="52"/>
      <c r="B268" s="53"/>
      <c r="C268" s="1"/>
      <c r="D268" s="1"/>
      <c r="E268" s="1"/>
      <c r="F268" s="1"/>
      <c r="G268" s="1"/>
      <c r="H268" s="1"/>
      <c r="I268" s="1"/>
      <c r="J268" s="1"/>
      <c r="K268" s="1"/>
      <c r="L268" s="1"/>
    </row>
    <row r="269" ht="14.25" customHeight="1">
      <c r="A269" s="52"/>
      <c r="B269" s="53"/>
      <c r="C269" s="1"/>
      <c r="D269" s="1"/>
      <c r="E269" s="1"/>
      <c r="F269" s="1"/>
      <c r="G269" s="1"/>
      <c r="H269" s="1"/>
      <c r="I269" s="1"/>
      <c r="J269" s="1"/>
      <c r="K269" s="1"/>
      <c r="L269" s="1"/>
    </row>
    <row r="270" ht="14.25" customHeight="1">
      <c r="A270" s="52"/>
      <c r="B270" s="53"/>
      <c r="C270" s="1"/>
      <c r="D270" s="1"/>
      <c r="E270" s="1"/>
      <c r="F270" s="1"/>
      <c r="G270" s="1"/>
      <c r="H270" s="1"/>
      <c r="I270" s="1"/>
      <c r="J270" s="1"/>
      <c r="K270" s="1"/>
      <c r="L270" s="1"/>
    </row>
    <row r="271" ht="14.25" customHeight="1">
      <c r="A271" s="52"/>
      <c r="B271" s="53"/>
      <c r="C271" s="1"/>
      <c r="D271" s="1"/>
      <c r="E271" s="1"/>
      <c r="F271" s="1"/>
      <c r="G271" s="1"/>
      <c r="H271" s="1"/>
      <c r="I271" s="1"/>
      <c r="J271" s="1"/>
      <c r="K271" s="1"/>
      <c r="L271" s="1"/>
    </row>
    <row r="272" ht="14.25" customHeight="1">
      <c r="A272" s="52"/>
      <c r="B272" s="53"/>
      <c r="C272" s="1"/>
      <c r="D272" s="1"/>
      <c r="E272" s="1"/>
      <c r="F272" s="1"/>
      <c r="G272" s="1"/>
      <c r="H272" s="1"/>
      <c r="I272" s="1"/>
      <c r="J272" s="1"/>
      <c r="K272" s="1"/>
      <c r="L272" s="1"/>
    </row>
    <row r="273" ht="14.25" customHeight="1">
      <c r="A273" s="52"/>
      <c r="B273" s="53"/>
      <c r="C273" s="1"/>
      <c r="D273" s="1"/>
      <c r="E273" s="1"/>
      <c r="F273" s="1"/>
      <c r="G273" s="1"/>
      <c r="H273" s="1"/>
      <c r="I273" s="1"/>
      <c r="J273" s="1"/>
      <c r="K273" s="1"/>
      <c r="L273" s="1"/>
    </row>
    <row r="274" ht="14.25" customHeight="1">
      <c r="A274" s="52"/>
      <c r="B274" s="53"/>
      <c r="C274" s="1"/>
      <c r="D274" s="1"/>
      <c r="E274" s="1"/>
      <c r="F274" s="1"/>
      <c r="G274" s="1"/>
      <c r="H274" s="1"/>
      <c r="I274" s="1"/>
      <c r="J274" s="1"/>
      <c r="K274" s="1"/>
      <c r="L274" s="1"/>
    </row>
    <row r="275" ht="14.25" customHeight="1">
      <c r="A275" s="52"/>
      <c r="B275" s="53"/>
      <c r="C275" s="1"/>
      <c r="D275" s="1"/>
      <c r="E275" s="1"/>
      <c r="F275" s="1"/>
      <c r="G275" s="1"/>
      <c r="H275" s="1"/>
      <c r="I275" s="1"/>
      <c r="J275" s="1"/>
      <c r="K275" s="1"/>
      <c r="L275" s="1"/>
    </row>
    <row r="276" ht="14.25" customHeight="1">
      <c r="A276" s="52"/>
      <c r="B276" s="53"/>
      <c r="C276" s="1"/>
      <c r="D276" s="1"/>
      <c r="E276" s="1"/>
      <c r="F276" s="1"/>
      <c r="G276" s="1"/>
      <c r="H276" s="1"/>
      <c r="I276" s="1"/>
      <c r="J276" s="1"/>
      <c r="K276" s="1"/>
      <c r="L276" s="1"/>
    </row>
    <row r="277" ht="14.25" customHeight="1">
      <c r="A277" s="52"/>
      <c r="B277" s="53"/>
      <c r="C277" s="1"/>
      <c r="D277" s="1"/>
      <c r="E277" s="1"/>
      <c r="F277" s="1"/>
      <c r="G277" s="1"/>
      <c r="H277" s="1"/>
      <c r="I277" s="1"/>
      <c r="J277" s="1"/>
      <c r="K277" s="1"/>
      <c r="L277" s="1"/>
    </row>
    <row r="278" ht="14.25" customHeight="1">
      <c r="A278" s="52"/>
      <c r="B278" s="53"/>
      <c r="C278" s="1"/>
      <c r="D278" s="1"/>
      <c r="E278" s="1"/>
      <c r="F278" s="1"/>
      <c r="G278" s="1"/>
      <c r="H278" s="1"/>
      <c r="I278" s="1"/>
      <c r="J278" s="1"/>
      <c r="K278" s="1"/>
      <c r="L278" s="1"/>
    </row>
    <row r="279" ht="14.25" customHeight="1">
      <c r="A279" s="52"/>
      <c r="B279" s="53"/>
      <c r="C279" s="1"/>
      <c r="D279" s="1"/>
      <c r="E279" s="1"/>
      <c r="F279" s="1"/>
      <c r="G279" s="1"/>
      <c r="H279" s="1"/>
      <c r="I279" s="1"/>
      <c r="J279" s="1"/>
      <c r="K279" s="1"/>
      <c r="L279" s="1"/>
    </row>
    <row r="280" ht="14.25" customHeight="1">
      <c r="A280" s="52"/>
      <c r="B280" s="53"/>
      <c r="C280" s="1"/>
      <c r="D280" s="1"/>
      <c r="E280" s="1"/>
      <c r="F280" s="1"/>
      <c r="G280" s="1"/>
      <c r="H280" s="1"/>
      <c r="I280" s="1"/>
      <c r="J280" s="1"/>
      <c r="K280" s="1"/>
      <c r="L280" s="1"/>
    </row>
    <row r="281" ht="14.25" customHeight="1">
      <c r="A281" s="52"/>
      <c r="B281" s="53"/>
      <c r="C281" s="1"/>
      <c r="D281" s="1"/>
      <c r="E281" s="1"/>
      <c r="F281" s="1"/>
      <c r="G281" s="1"/>
      <c r="H281" s="1"/>
      <c r="I281" s="1"/>
      <c r="J281" s="1"/>
      <c r="K281" s="1"/>
      <c r="L281" s="1"/>
    </row>
    <row r="282" ht="14.25" customHeight="1">
      <c r="A282" s="52"/>
      <c r="B282" s="53"/>
      <c r="C282" s="1"/>
      <c r="D282" s="1"/>
      <c r="E282" s="1"/>
      <c r="F282" s="1"/>
      <c r="G282" s="1"/>
      <c r="H282" s="1"/>
      <c r="I282" s="1"/>
      <c r="J282" s="1"/>
      <c r="K282" s="1"/>
      <c r="L282" s="1"/>
    </row>
    <row r="283" ht="14.25" customHeight="1">
      <c r="A283" s="52"/>
      <c r="B283" s="53"/>
      <c r="C283" s="1"/>
      <c r="D283" s="1"/>
      <c r="E283" s="1"/>
      <c r="F283" s="1"/>
      <c r="G283" s="1"/>
      <c r="H283" s="1"/>
      <c r="I283" s="1"/>
      <c r="J283" s="1"/>
      <c r="K283" s="1"/>
      <c r="L283" s="1"/>
    </row>
    <row r="284" ht="14.25" customHeight="1">
      <c r="A284" s="52"/>
      <c r="B284" s="53"/>
      <c r="C284" s="1"/>
      <c r="D284" s="1"/>
      <c r="E284" s="1"/>
      <c r="F284" s="1"/>
      <c r="G284" s="1"/>
      <c r="H284" s="1"/>
      <c r="I284" s="1"/>
      <c r="J284" s="1"/>
      <c r="K284" s="1"/>
      <c r="L284" s="1"/>
    </row>
    <row r="285" ht="14.25" customHeight="1">
      <c r="A285" s="52"/>
      <c r="B285" s="53"/>
      <c r="C285" s="1"/>
      <c r="D285" s="1"/>
      <c r="E285" s="1"/>
      <c r="F285" s="1"/>
      <c r="G285" s="1"/>
      <c r="H285" s="1"/>
      <c r="I285" s="1"/>
      <c r="J285" s="1"/>
      <c r="K285" s="1"/>
      <c r="L285" s="1"/>
    </row>
    <row r="286" ht="14.25" customHeight="1">
      <c r="A286" s="52"/>
      <c r="B286" s="53"/>
      <c r="C286" s="1"/>
      <c r="D286" s="1"/>
      <c r="E286" s="1"/>
      <c r="F286" s="1"/>
      <c r="G286" s="1"/>
      <c r="H286" s="1"/>
      <c r="I286" s="1"/>
      <c r="J286" s="1"/>
      <c r="K286" s="1"/>
      <c r="L286" s="1"/>
    </row>
    <row r="287" ht="14.25" customHeight="1">
      <c r="A287" s="52"/>
      <c r="B287" s="53"/>
      <c r="C287" s="1"/>
      <c r="D287" s="1"/>
      <c r="E287" s="1"/>
      <c r="F287" s="1"/>
      <c r="G287" s="1"/>
      <c r="H287" s="1"/>
      <c r="I287" s="1"/>
      <c r="J287" s="1"/>
      <c r="K287" s="1"/>
      <c r="L287" s="1"/>
    </row>
    <row r="288" ht="14.25" customHeight="1">
      <c r="A288" s="52"/>
      <c r="B288" s="53"/>
      <c r="C288" s="1"/>
      <c r="D288" s="1"/>
      <c r="E288" s="1"/>
      <c r="F288" s="1"/>
      <c r="G288" s="1"/>
      <c r="H288" s="1"/>
      <c r="I288" s="1"/>
      <c r="J288" s="1"/>
      <c r="K288" s="1"/>
      <c r="L288" s="1"/>
    </row>
    <row r="289" ht="14.25" customHeight="1">
      <c r="A289" s="52"/>
      <c r="B289" s="53"/>
      <c r="C289" s="1"/>
      <c r="D289" s="1"/>
      <c r="E289" s="1"/>
      <c r="F289" s="1"/>
      <c r="G289" s="1"/>
      <c r="H289" s="1"/>
      <c r="I289" s="1"/>
      <c r="J289" s="1"/>
      <c r="K289" s="1"/>
      <c r="L289" s="1"/>
    </row>
    <row r="290" ht="14.25" customHeight="1">
      <c r="A290" s="52"/>
      <c r="B290" s="53"/>
      <c r="C290" s="1"/>
      <c r="D290" s="1"/>
      <c r="E290" s="1"/>
      <c r="F290" s="1"/>
      <c r="G290" s="1"/>
      <c r="H290" s="1"/>
      <c r="I290" s="1"/>
      <c r="J290" s="1"/>
      <c r="K290" s="1"/>
      <c r="L290" s="1"/>
    </row>
    <row r="291" ht="14.25" customHeight="1">
      <c r="A291" s="52"/>
      <c r="B291" s="53"/>
      <c r="C291" s="1"/>
      <c r="D291" s="1"/>
      <c r="E291" s="1"/>
      <c r="F291" s="1"/>
      <c r="G291" s="1"/>
      <c r="H291" s="1"/>
      <c r="I291" s="1"/>
      <c r="J291" s="1"/>
      <c r="K291" s="1"/>
      <c r="L291" s="1"/>
    </row>
    <row r="292" ht="14.25" customHeight="1">
      <c r="A292" s="52"/>
      <c r="B292" s="53"/>
      <c r="C292" s="1"/>
      <c r="D292" s="1"/>
      <c r="E292" s="1"/>
      <c r="F292" s="1"/>
      <c r="G292" s="1"/>
      <c r="H292" s="1"/>
      <c r="I292" s="1"/>
      <c r="J292" s="1"/>
      <c r="K292" s="1"/>
      <c r="L292" s="1"/>
    </row>
    <row r="293" ht="14.25" customHeight="1">
      <c r="A293" s="52"/>
      <c r="B293" s="53"/>
      <c r="C293" s="1"/>
      <c r="D293" s="1"/>
      <c r="E293" s="1"/>
      <c r="F293" s="1"/>
      <c r="G293" s="1"/>
      <c r="H293" s="1"/>
      <c r="I293" s="1"/>
      <c r="J293" s="1"/>
      <c r="K293" s="1"/>
      <c r="L293" s="1"/>
    </row>
    <row r="294" ht="14.25" customHeight="1">
      <c r="A294" s="52"/>
      <c r="B294" s="53"/>
      <c r="C294" s="1"/>
      <c r="D294" s="1"/>
      <c r="E294" s="1"/>
      <c r="F294" s="1"/>
      <c r="G294" s="1"/>
      <c r="H294" s="1"/>
      <c r="I294" s="1"/>
      <c r="J294" s="1"/>
      <c r="K294" s="1"/>
      <c r="L294" s="1"/>
    </row>
    <row r="295" ht="14.25" customHeight="1">
      <c r="A295" s="52"/>
      <c r="B295" s="53"/>
      <c r="C295" s="1"/>
      <c r="D295" s="1"/>
      <c r="E295" s="1"/>
      <c r="F295" s="1"/>
      <c r="G295" s="1"/>
      <c r="H295" s="1"/>
      <c r="I295" s="1"/>
      <c r="J295" s="1"/>
      <c r="K295" s="1"/>
      <c r="L295" s="1"/>
    </row>
    <row r="296" ht="14.25" customHeight="1">
      <c r="A296" s="52"/>
      <c r="B296" s="53"/>
      <c r="C296" s="1"/>
      <c r="D296" s="1"/>
      <c r="E296" s="1"/>
      <c r="F296" s="1"/>
      <c r="G296" s="1"/>
      <c r="H296" s="1"/>
      <c r="I296" s="1"/>
      <c r="J296" s="1"/>
      <c r="K296" s="1"/>
      <c r="L296" s="1"/>
    </row>
    <row r="297" ht="14.25" customHeight="1">
      <c r="A297" s="52"/>
      <c r="B297" s="53"/>
      <c r="C297" s="1"/>
      <c r="D297" s="1"/>
      <c r="E297" s="1"/>
      <c r="F297" s="1"/>
      <c r="G297" s="1"/>
      <c r="H297" s="1"/>
      <c r="I297" s="1"/>
      <c r="J297" s="1"/>
      <c r="K297" s="1"/>
      <c r="L297" s="1"/>
    </row>
    <row r="298" ht="14.25" customHeight="1">
      <c r="A298" s="52"/>
      <c r="B298" s="53"/>
      <c r="C298" s="1"/>
      <c r="D298" s="1"/>
      <c r="E298" s="1"/>
      <c r="F298" s="1"/>
      <c r="G298" s="1"/>
      <c r="H298" s="1"/>
      <c r="I298" s="1"/>
      <c r="J298" s="1"/>
      <c r="K298" s="1"/>
      <c r="L298" s="1"/>
    </row>
    <row r="299" ht="14.25" customHeight="1">
      <c r="A299" s="52"/>
      <c r="B299" s="53"/>
      <c r="C299" s="1"/>
      <c r="D299" s="1"/>
      <c r="E299" s="1"/>
      <c r="F299" s="1"/>
      <c r="G299" s="1"/>
      <c r="H299" s="1"/>
      <c r="I299" s="1"/>
      <c r="J299" s="1"/>
      <c r="K299" s="1"/>
      <c r="L299" s="1"/>
    </row>
    <row r="300" ht="14.25" customHeight="1">
      <c r="A300" s="52"/>
      <c r="B300" s="53"/>
      <c r="C300" s="1"/>
      <c r="D300" s="1"/>
      <c r="E300" s="1"/>
      <c r="F300" s="1"/>
      <c r="G300" s="1"/>
      <c r="H300" s="1"/>
      <c r="I300" s="1"/>
      <c r="J300" s="1"/>
      <c r="K300" s="1"/>
      <c r="L300" s="1"/>
    </row>
    <row r="301" ht="14.25" customHeight="1">
      <c r="A301" s="52"/>
      <c r="B301" s="53"/>
      <c r="C301" s="1"/>
      <c r="D301" s="1"/>
      <c r="E301" s="1"/>
      <c r="F301" s="1"/>
      <c r="G301" s="1"/>
      <c r="H301" s="1"/>
      <c r="I301" s="1"/>
      <c r="J301" s="1"/>
      <c r="K301" s="1"/>
      <c r="L301" s="1"/>
    </row>
    <row r="302" ht="14.25" customHeight="1">
      <c r="A302" s="52"/>
      <c r="B302" s="53"/>
      <c r="C302" s="1"/>
      <c r="D302" s="1"/>
      <c r="E302" s="1"/>
      <c r="F302" s="1"/>
      <c r="G302" s="1"/>
      <c r="H302" s="1"/>
      <c r="I302" s="1"/>
      <c r="J302" s="1"/>
      <c r="K302" s="1"/>
      <c r="L302" s="1"/>
    </row>
    <row r="303" ht="14.25" customHeight="1">
      <c r="A303" s="52"/>
      <c r="B303" s="53"/>
      <c r="C303" s="1"/>
      <c r="D303" s="1"/>
      <c r="E303" s="1"/>
      <c r="F303" s="1"/>
      <c r="G303" s="1"/>
      <c r="H303" s="1"/>
      <c r="I303" s="1"/>
      <c r="J303" s="1"/>
      <c r="K303" s="1"/>
      <c r="L303" s="1"/>
    </row>
    <row r="304" ht="14.25" customHeight="1">
      <c r="A304" s="52"/>
      <c r="B304" s="53"/>
      <c r="C304" s="1"/>
      <c r="D304" s="1"/>
      <c r="E304" s="1"/>
      <c r="F304" s="1"/>
      <c r="G304" s="1"/>
      <c r="H304" s="1"/>
      <c r="I304" s="1"/>
      <c r="J304" s="1"/>
      <c r="K304" s="1"/>
      <c r="L304" s="1"/>
    </row>
    <row r="305" ht="14.25" customHeight="1">
      <c r="A305" s="52"/>
      <c r="B305" s="53"/>
      <c r="C305" s="1"/>
      <c r="D305" s="1"/>
      <c r="E305" s="1"/>
      <c r="F305" s="1"/>
      <c r="G305" s="1"/>
      <c r="H305" s="1"/>
      <c r="I305" s="1"/>
      <c r="J305" s="1"/>
      <c r="K305" s="1"/>
      <c r="L305" s="1"/>
    </row>
    <row r="306" ht="14.25" customHeight="1">
      <c r="A306" s="52"/>
      <c r="B306" s="53"/>
      <c r="C306" s="1"/>
      <c r="D306" s="1"/>
      <c r="E306" s="1"/>
      <c r="F306" s="1"/>
      <c r="G306" s="1"/>
      <c r="H306" s="1"/>
      <c r="I306" s="1"/>
      <c r="J306" s="1"/>
      <c r="K306" s="1"/>
      <c r="L306" s="1"/>
    </row>
    <row r="307" ht="14.25" customHeight="1">
      <c r="A307" s="52"/>
      <c r="B307" s="53"/>
      <c r="C307" s="1"/>
      <c r="D307" s="1"/>
      <c r="E307" s="1"/>
      <c r="F307" s="1"/>
      <c r="G307" s="1"/>
      <c r="H307" s="1"/>
      <c r="I307" s="1"/>
      <c r="J307" s="1"/>
      <c r="K307" s="1"/>
      <c r="L307" s="1"/>
    </row>
    <row r="308" ht="14.25" customHeight="1">
      <c r="A308" s="52"/>
      <c r="B308" s="53"/>
      <c r="C308" s="1"/>
      <c r="D308" s="1"/>
      <c r="E308" s="1"/>
      <c r="F308" s="1"/>
      <c r="G308" s="1"/>
      <c r="H308" s="1"/>
      <c r="I308" s="1"/>
      <c r="J308" s="1"/>
      <c r="K308" s="1"/>
      <c r="L308" s="1"/>
    </row>
    <row r="309" ht="14.25" customHeight="1">
      <c r="A309" s="52"/>
      <c r="B309" s="53"/>
      <c r="C309" s="1"/>
      <c r="D309" s="1"/>
      <c r="E309" s="1"/>
      <c r="F309" s="1"/>
      <c r="G309" s="1"/>
      <c r="H309" s="1"/>
      <c r="I309" s="1"/>
      <c r="J309" s="1"/>
      <c r="K309" s="1"/>
      <c r="L309" s="1"/>
    </row>
    <row r="310" ht="14.25" customHeight="1">
      <c r="A310" s="52"/>
      <c r="B310" s="53"/>
      <c r="C310" s="1"/>
      <c r="D310" s="1"/>
      <c r="E310" s="1"/>
      <c r="F310" s="1"/>
      <c r="G310" s="1"/>
      <c r="H310" s="1"/>
      <c r="I310" s="1"/>
      <c r="J310" s="1"/>
      <c r="K310" s="1"/>
      <c r="L310" s="1"/>
    </row>
    <row r="311" ht="14.25" customHeight="1">
      <c r="A311" s="52"/>
      <c r="B311" s="53"/>
      <c r="C311" s="1"/>
      <c r="D311" s="1"/>
      <c r="E311" s="1"/>
      <c r="F311" s="1"/>
      <c r="G311" s="1"/>
      <c r="H311" s="1"/>
      <c r="I311" s="1"/>
      <c r="J311" s="1"/>
      <c r="K311" s="1"/>
      <c r="L311" s="1"/>
    </row>
    <row r="312" ht="14.25" customHeight="1">
      <c r="A312" s="52"/>
      <c r="B312" s="53"/>
      <c r="C312" s="1"/>
      <c r="D312" s="1"/>
      <c r="E312" s="1"/>
      <c r="F312" s="1"/>
      <c r="G312" s="1"/>
      <c r="H312" s="1"/>
      <c r="I312" s="1"/>
      <c r="J312" s="1"/>
      <c r="K312" s="1"/>
      <c r="L312" s="1"/>
    </row>
    <row r="313" ht="14.25" customHeight="1">
      <c r="A313" s="52"/>
      <c r="B313" s="53"/>
      <c r="C313" s="1"/>
      <c r="D313" s="1"/>
      <c r="E313" s="1"/>
      <c r="F313" s="1"/>
      <c r="G313" s="1"/>
      <c r="H313" s="1"/>
      <c r="I313" s="1"/>
      <c r="J313" s="1"/>
      <c r="K313" s="1"/>
      <c r="L313" s="1"/>
    </row>
    <row r="314" ht="14.25" customHeight="1">
      <c r="A314" s="52"/>
      <c r="B314" s="53"/>
      <c r="C314" s="1"/>
      <c r="D314" s="1"/>
      <c r="E314" s="1"/>
      <c r="F314" s="1"/>
      <c r="G314" s="1"/>
      <c r="H314" s="1"/>
      <c r="I314" s="1"/>
      <c r="J314" s="1"/>
      <c r="K314" s="1"/>
      <c r="L314" s="1"/>
    </row>
    <row r="315" ht="14.25" customHeight="1">
      <c r="A315" s="52"/>
      <c r="B315" s="53"/>
      <c r="C315" s="1"/>
      <c r="D315" s="1"/>
      <c r="E315" s="1"/>
      <c r="F315" s="1"/>
      <c r="G315" s="1"/>
      <c r="H315" s="1"/>
      <c r="I315" s="1"/>
      <c r="J315" s="1"/>
      <c r="K315" s="1"/>
      <c r="L315" s="1"/>
    </row>
    <row r="316" ht="14.25" customHeight="1">
      <c r="A316" s="52"/>
      <c r="B316" s="53"/>
      <c r="C316" s="1"/>
      <c r="D316" s="1"/>
      <c r="E316" s="1"/>
      <c r="F316" s="1"/>
      <c r="G316" s="1"/>
      <c r="H316" s="1"/>
      <c r="I316" s="1"/>
      <c r="J316" s="1"/>
      <c r="K316" s="1"/>
      <c r="L316" s="1"/>
    </row>
    <row r="317" ht="14.25" customHeight="1">
      <c r="A317" s="52"/>
      <c r="B317" s="53"/>
      <c r="C317" s="1"/>
      <c r="D317" s="1"/>
      <c r="E317" s="1"/>
      <c r="F317" s="1"/>
      <c r="G317" s="1"/>
      <c r="H317" s="1"/>
      <c r="I317" s="1"/>
      <c r="J317" s="1"/>
      <c r="K317" s="1"/>
      <c r="L317" s="1"/>
    </row>
    <row r="318" ht="14.25" customHeight="1">
      <c r="A318" s="52"/>
      <c r="B318" s="53"/>
      <c r="C318" s="1"/>
      <c r="D318" s="1"/>
      <c r="E318" s="1"/>
      <c r="F318" s="1"/>
      <c r="G318" s="1"/>
      <c r="H318" s="1"/>
      <c r="I318" s="1"/>
      <c r="J318" s="1"/>
      <c r="K318" s="1"/>
      <c r="L318" s="1"/>
    </row>
    <row r="319" ht="14.25" customHeight="1">
      <c r="A319" s="52"/>
      <c r="B319" s="53"/>
      <c r="C319" s="1"/>
      <c r="D319" s="1"/>
      <c r="E319" s="1"/>
      <c r="F319" s="1"/>
      <c r="G319" s="1"/>
      <c r="H319" s="1"/>
      <c r="I319" s="1"/>
      <c r="J319" s="1"/>
      <c r="K319" s="1"/>
      <c r="L319" s="1"/>
    </row>
    <row r="320" ht="14.25" customHeight="1">
      <c r="A320" s="52"/>
      <c r="B320" s="53"/>
      <c r="C320" s="1"/>
      <c r="D320" s="1"/>
      <c r="E320" s="1"/>
      <c r="F320" s="1"/>
      <c r="G320" s="1"/>
      <c r="H320" s="1"/>
      <c r="I320" s="1"/>
      <c r="J320" s="1"/>
      <c r="K320" s="1"/>
      <c r="L320" s="1"/>
    </row>
    <row r="321" ht="14.25" customHeight="1">
      <c r="A321" s="52"/>
      <c r="B321" s="53"/>
      <c r="C321" s="1"/>
      <c r="D321" s="1"/>
      <c r="E321" s="1"/>
      <c r="F321" s="1"/>
      <c r="G321" s="1"/>
      <c r="H321" s="1"/>
      <c r="I321" s="1"/>
      <c r="J321" s="1"/>
      <c r="K321" s="1"/>
      <c r="L321" s="1"/>
    </row>
    <row r="322" ht="14.25" customHeight="1">
      <c r="A322" s="52"/>
      <c r="B322" s="53"/>
      <c r="C322" s="1"/>
      <c r="D322" s="1"/>
      <c r="E322" s="1"/>
      <c r="F322" s="1"/>
      <c r="G322" s="1"/>
      <c r="H322" s="1"/>
      <c r="I322" s="1"/>
      <c r="J322" s="1"/>
      <c r="K322" s="1"/>
      <c r="L322" s="1"/>
    </row>
    <row r="323" ht="14.25" customHeight="1">
      <c r="A323" s="52"/>
      <c r="B323" s="53"/>
      <c r="C323" s="1"/>
      <c r="D323" s="1"/>
      <c r="E323" s="1"/>
      <c r="F323" s="1"/>
      <c r="G323" s="1"/>
      <c r="H323" s="1"/>
      <c r="I323" s="1"/>
      <c r="J323" s="1"/>
      <c r="K323" s="1"/>
      <c r="L323" s="1"/>
    </row>
    <row r="324" ht="14.25" customHeight="1">
      <c r="A324" s="52"/>
      <c r="B324" s="53"/>
      <c r="C324" s="1"/>
      <c r="D324" s="1"/>
      <c r="E324" s="1"/>
      <c r="F324" s="1"/>
      <c r="G324" s="1"/>
      <c r="H324" s="1"/>
      <c r="I324" s="1"/>
      <c r="J324" s="1"/>
      <c r="K324" s="1"/>
      <c r="L324" s="1"/>
    </row>
    <row r="325" ht="14.25" customHeight="1">
      <c r="A325" s="52"/>
      <c r="B325" s="53"/>
      <c r="C325" s="1"/>
      <c r="D325" s="1"/>
      <c r="E325" s="1"/>
      <c r="F325" s="1"/>
      <c r="G325" s="1"/>
      <c r="H325" s="1"/>
      <c r="I325" s="1"/>
      <c r="J325" s="1"/>
      <c r="K325" s="1"/>
      <c r="L325" s="1"/>
    </row>
    <row r="326" ht="14.25" customHeight="1">
      <c r="A326" s="52"/>
      <c r="B326" s="53"/>
      <c r="C326" s="1"/>
      <c r="D326" s="1"/>
      <c r="E326" s="1"/>
      <c r="F326" s="1"/>
      <c r="G326" s="1"/>
      <c r="H326" s="1"/>
      <c r="I326" s="1"/>
      <c r="J326" s="1"/>
      <c r="K326" s="1"/>
      <c r="L326" s="1"/>
    </row>
    <row r="327" ht="14.25" customHeight="1">
      <c r="A327" s="52"/>
      <c r="B327" s="53"/>
      <c r="C327" s="1"/>
      <c r="D327" s="1"/>
      <c r="E327" s="1"/>
      <c r="F327" s="1"/>
      <c r="G327" s="1"/>
      <c r="H327" s="1"/>
      <c r="I327" s="1"/>
      <c r="J327" s="1"/>
      <c r="K327" s="1"/>
      <c r="L327" s="1"/>
    </row>
    <row r="328" ht="14.25" customHeight="1">
      <c r="A328" s="52"/>
      <c r="B328" s="53"/>
      <c r="C328" s="1"/>
      <c r="D328" s="1"/>
      <c r="E328" s="1"/>
      <c r="F328" s="1"/>
      <c r="G328" s="1"/>
      <c r="H328" s="1"/>
      <c r="I328" s="1"/>
      <c r="J328" s="1"/>
      <c r="K328" s="1"/>
      <c r="L328" s="1"/>
    </row>
    <row r="329" ht="14.25" customHeight="1">
      <c r="A329" s="52"/>
      <c r="B329" s="53"/>
      <c r="C329" s="1"/>
      <c r="D329" s="1"/>
      <c r="E329" s="1"/>
      <c r="F329" s="1"/>
      <c r="G329" s="1"/>
      <c r="H329" s="1"/>
      <c r="I329" s="1"/>
      <c r="J329" s="1"/>
      <c r="K329" s="1"/>
      <c r="L329" s="1"/>
    </row>
    <row r="330" ht="14.25" customHeight="1">
      <c r="A330" s="52"/>
      <c r="B330" s="53"/>
      <c r="C330" s="1"/>
      <c r="D330" s="1"/>
      <c r="E330" s="1"/>
      <c r="F330" s="1"/>
      <c r="G330" s="1"/>
      <c r="H330" s="1"/>
      <c r="I330" s="1"/>
      <c r="J330" s="1"/>
      <c r="K330" s="1"/>
      <c r="L330" s="1"/>
    </row>
    <row r="331" ht="14.25" customHeight="1">
      <c r="A331" s="52"/>
      <c r="B331" s="53"/>
      <c r="C331" s="1"/>
      <c r="D331" s="1"/>
      <c r="E331" s="1"/>
      <c r="F331" s="1"/>
      <c r="G331" s="1"/>
      <c r="H331" s="1"/>
      <c r="I331" s="1"/>
      <c r="J331" s="1"/>
      <c r="K331" s="1"/>
      <c r="L331" s="1"/>
    </row>
    <row r="332" ht="14.25" customHeight="1">
      <c r="A332" s="52"/>
      <c r="B332" s="53"/>
      <c r="C332" s="1"/>
      <c r="D332" s="1"/>
      <c r="E332" s="1"/>
      <c r="F332" s="1"/>
      <c r="G332" s="1"/>
      <c r="H332" s="1"/>
      <c r="I332" s="1"/>
      <c r="J332" s="1"/>
      <c r="K332" s="1"/>
      <c r="L332" s="1"/>
    </row>
    <row r="333" ht="14.25" customHeight="1">
      <c r="A333" s="52"/>
      <c r="B333" s="53"/>
      <c r="C333" s="1"/>
      <c r="D333" s="1"/>
      <c r="E333" s="1"/>
      <c r="F333" s="1"/>
      <c r="G333" s="1"/>
      <c r="H333" s="1"/>
      <c r="I333" s="1"/>
      <c r="J333" s="1"/>
      <c r="K333" s="1"/>
      <c r="L333" s="1"/>
    </row>
    <row r="334" ht="14.25" customHeight="1">
      <c r="A334" s="52"/>
      <c r="B334" s="53"/>
      <c r="C334" s="1"/>
      <c r="D334" s="1"/>
      <c r="E334" s="1"/>
      <c r="F334" s="1"/>
      <c r="G334" s="1"/>
      <c r="H334" s="1"/>
      <c r="I334" s="1"/>
      <c r="J334" s="1"/>
      <c r="K334" s="1"/>
      <c r="L334" s="1"/>
    </row>
    <row r="335" ht="14.25" customHeight="1">
      <c r="A335" s="52"/>
      <c r="B335" s="53"/>
      <c r="C335" s="1"/>
      <c r="D335" s="1"/>
      <c r="E335" s="1"/>
      <c r="F335" s="1"/>
      <c r="G335" s="1"/>
      <c r="H335" s="1"/>
      <c r="I335" s="1"/>
      <c r="J335" s="1"/>
      <c r="K335" s="1"/>
      <c r="L335" s="1"/>
    </row>
    <row r="336" ht="14.25" customHeight="1">
      <c r="A336" s="52"/>
      <c r="B336" s="53"/>
      <c r="C336" s="1"/>
      <c r="D336" s="1"/>
      <c r="E336" s="1"/>
      <c r="F336" s="1"/>
      <c r="G336" s="1"/>
      <c r="H336" s="1"/>
      <c r="I336" s="1"/>
      <c r="J336" s="1"/>
      <c r="K336" s="1"/>
      <c r="L336" s="1"/>
    </row>
    <row r="337" ht="14.25" customHeight="1">
      <c r="A337" s="52"/>
      <c r="B337" s="53"/>
      <c r="C337" s="1"/>
      <c r="D337" s="1"/>
      <c r="E337" s="1"/>
      <c r="F337" s="1"/>
      <c r="G337" s="1"/>
      <c r="H337" s="1"/>
      <c r="I337" s="1"/>
      <c r="J337" s="1"/>
      <c r="K337" s="1"/>
      <c r="L337" s="1"/>
    </row>
    <row r="338" ht="14.25" customHeight="1">
      <c r="A338" s="52"/>
      <c r="B338" s="53"/>
      <c r="C338" s="1"/>
      <c r="D338" s="1"/>
      <c r="E338" s="1"/>
      <c r="F338" s="1"/>
      <c r="G338" s="1"/>
      <c r="H338" s="1"/>
      <c r="I338" s="1"/>
      <c r="J338" s="1"/>
      <c r="K338" s="1"/>
      <c r="L338" s="1"/>
    </row>
    <row r="339" ht="14.25" customHeight="1">
      <c r="A339" s="52"/>
      <c r="B339" s="53"/>
      <c r="C339" s="1"/>
      <c r="D339" s="1"/>
      <c r="E339" s="1"/>
      <c r="F339" s="1"/>
      <c r="G339" s="1"/>
      <c r="H339" s="1"/>
      <c r="I339" s="1"/>
      <c r="J339" s="1"/>
      <c r="K339" s="1"/>
      <c r="L339" s="1"/>
    </row>
    <row r="340" ht="14.25" customHeight="1">
      <c r="A340" s="52"/>
      <c r="B340" s="53"/>
      <c r="C340" s="1"/>
      <c r="D340" s="1"/>
      <c r="E340" s="1"/>
      <c r="F340" s="1"/>
      <c r="G340" s="1"/>
      <c r="H340" s="1"/>
      <c r="I340" s="1"/>
      <c r="J340" s="1"/>
      <c r="K340" s="1"/>
      <c r="L340" s="1"/>
    </row>
    <row r="341" ht="14.25" customHeight="1">
      <c r="A341" s="52"/>
      <c r="B341" s="53"/>
      <c r="C341" s="1"/>
      <c r="D341" s="1"/>
      <c r="E341" s="1"/>
      <c r="F341" s="1"/>
      <c r="G341" s="1"/>
      <c r="H341" s="1"/>
      <c r="I341" s="1"/>
      <c r="J341" s="1"/>
      <c r="K341" s="1"/>
      <c r="L341" s="1"/>
    </row>
    <row r="342" ht="14.25" customHeight="1">
      <c r="A342" s="52"/>
      <c r="B342" s="53"/>
      <c r="C342" s="1"/>
      <c r="D342" s="1"/>
      <c r="E342" s="1"/>
      <c r="F342" s="1"/>
      <c r="G342" s="1"/>
      <c r="H342" s="1"/>
      <c r="I342" s="1"/>
      <c r="J342" s="1"/>
      <c r="K342" s="1"/>
      <c r="L342" s="1"/>
    </row>
    <row r="343" ht="14.25" customHeight="1">
      <c r="A343" s="52"/>
      <c r="B343" s="53"/>
      <c r="C343" s="1"/>
      <c r="D343" s="1"/>
      <c r="E343" s="1"/>
      <c r="F343" s="1"/>
      <c r="G343" s="1"/>
      <c r="H343" s="1"/>
      <c r="I343" s="1"/>
      <c r="J343" s="1"/>
      <c r="K343" s="1"/>
      <c r="L343" s="1"/>
    </row>
    <row r="344" ht="14.25" customHeight="1">
      <c r="A344" s="52"/>
      <c r="B344" s="53"/>
      <c r="C344" s="1"/>
      <c r="D344" s="1"/>
      <c r="E344" s="1"/>
      <c r="F344" s="1"/>
      <c r="G344" s="1"/>
      <c r="H344" s="1"/>
      <c r="I344" s="1"/>
      <c r="J344" s="1"/>
      <c r="K344" s="1"/>
      <c r="L344" s="1"/>
    </row>
    <row r="345" ht="14.25" customHeight="1">
      <c r="A345" s="52"/>
      <c r="B345" s="53"/>
      <c r="C345" s="1"/>
      <c r="D345" s="1"/>
      <c r="E345" s="1"/>
      <c r="F345" s="1"/>
      <c r="G345" s="1"/>
      <c r="H345" s="1"/>
      <c r="I345" s="1"/>
      <c r="J345" s="1"/>
      <c r="K345" s="1"/>
      <c r="L345" s="1"/>
    </row>
    <row r="346" ht="14.25" customHeight="1">
      <c r="A346" s="52"/>
      <c r="B346" s="53"/>
      <c r="C346" s="1"/>
      <c r="D346" s="1"/>
      <c r="E346" s="1"/>
      <c r="F346" s="1"/>
      <c r="G346" s="1"/>
      <c r="H346" s="1"/>
      <c r="I346" s="1"/>
      <c r="J346" s="1"/>
      <c r="K346" s="1"/>
      <c r="L346" s="1"/>
    </row>
    <row r="347" ht="14.25" customHeight="1">
      <c r="A347" s="52"/>
      <c r="B347" s="53"/>
      <c r="C347" s="1"/>
      <c r="D347" s="1"/>
      <c r="E347" s="1"/>
      <c r="F347" s="1"/>
      <c r="G347" s="1"/>
      <c r="H347" s="1"/>
      <c r="I347" s="1"/>
      <c r="J347" s="1"/>
      <c r="K347" s="1"/>
      <c r="L347" s="1"/>
    </row>
    <row r="348" ht="14.25" customHeight="1">
      <c r="A348" s="52"/>
      <c r="B348" s="53"/>
      <c r="C348" s="1"/>
      <c r="D348" s="1"/>
      <c r="E348" s="1"/>
      <c r="F348" s="1"/>
      <c r="G348" s="1"/>
      <c r="H348" s="1"/>
      <c r="I348" s="1"/>
      <c r="J348" s="1"/>
      <c r="K348" s="1"/>
      <c r="L348" s="1"/>
    </row>
    <row r="349" ht="14.25" customHeight="1">
      <c r="A349" s="52"/>
      <c r="B349" s="53"/>
      <c r="C349" s="1"/>
      <c r="D349" s="1"/>
      <c r="E349" s="1"/>
      <c r="F349" s="1"/>
      <c r="G349" s="1"/>
      <c r="H349" s="1"/>
      <c r="I349" s="1"/>
      <c r="J349" s="1"/>
      <c r="K349" s="1"/>
      <c r="L349" s="1"/>
    </row>
    <row r="350" ht="14.25" customHeight="1">
      <c r="A350" s="52"/>
      <c r="B350" s="53"/>
      <c r="C350" s="1"/>
      <c r="D350" s="1"/>
      <c r="E350" s="1"/>
      <c r="F350" s="1"/>
      <c r="G350" s="1"/>
      <c r="H350" s="1"/>
      <c r="I350" s="1"/>
      <c r="J350" s="1"/>
      <c r="K350" s="1"/>
      <c r="L350" s="1"/>
    </row>
    <row r="351" ht="14.25" customHeight="1">
      <c r="A351" s="52"/>
      <c r="B351" s="53"/>
      <c r="C351" s="1"/>
      <c r="D351" s="1"/>
      <c r="E351" s="1"/>
      <c r="F351" s="1"/>
      <c r="G351" s="1"/>
      <c r="H351" s="1"/>
      <c r="I351" s="1"/>
      <c r="J351" s="1"/>
      <c r="K351" s="1"/>
      <c r="L351" s="1"/>
    </row>
    <row r="352" ht="14.25" customHeight="1">
      <c r="A352" s="52"/>
      <c r="B352" s="53"/>
      <c r="C352" s="1"/>
      <c r="D352" s="1"/>
      <c r="E352" s="1"/>
      <c r="F352" s="1"/>
      <c r="G352" s="1"/>
      <c r="H352" s="1"/>
      <c r="I352" s="1"/>
      <c r="J352" s="1"/>
      <c r="K352" s="1"/>
      <c r="L352" s="1"/>
    </row>
    <row r="353" ht="14.25" customHeight="1">
      <c r="A353" s="52"/>
      <c r="B353" s="53"/>
      <c r="C353" s="1"/>
      <c r="D353" s="1"/>
      <c r="E353" s="1"/>
      <c r="F353" s="1"/>
      <c r="G353" s="1"/>
      <c r="H353" s="1"/>
      <c r="I353" s="1"/>
      <c r="J353" s="1"/>
      <c r="K353" s="1"/>
      <c r="L353" s="1"/>
    </row>
    <row r="354" ht="14.25" customHeight="1">
      <c r="A354" s="52"/>
      <c r="B354" s="53"/>
      <c r="C354" s="1"/>
      <c r="D354" s="1"/>
      <c r="E354" s="1"/>
      <c r="F354" s="1"/>
      <c r="G354" s="1"/>
      <c r="H354" s="1"/>
      <c r="I354" s="1"/>
      <c r="J354" s="1"/>
      <c r="K354" s="1"/>
      <c r="L354" s="1"/>
    </row>
    <row r="355" ht="14.25" customHeight="1">
      <c r="A355" s="52"/>
      <c r="B355" s="53"/>
      <c r="C355" s="1"/>
      <c r="D355" s="1"/>
      <c r="E355" s="1"/>
      <c r="F355" s="1"/>
      <c r="G355" s="1"/>
      <c r="H355" s="1"/>
      <c r="I355" s="1"/>
      <c r="J355" s="1"/>
      <c r="K355" s="1"/>
      <c r="L355" s="1"/>
    </row>
    <row r="356" ht="14.25" customHeight="1">
      <c r="A356" s="52"/>
      <c r="B356" s="53"/>
      <c r="C356" s="1"/>
      <c r="D356" s="1"/>
      <c r="E356" s="1"/>
      <c r="F356" s="1"/>
      <c r="G356" s="1"/>
      <c r="H356" s="1"/>
      <c r="I356" s="1"/>
      <c r="J356" s="1"/>
      <c r="K356" s="1"/>
      <c r="L356" s="1"/>
    </row>
    <row r="357" ht="14.25" customHeight="1">
      <c r="A357" s="52"/>
      <c r="B357" s="53"/>
      <c r="C357" s="1"/>
      <c r="D357" s="1"/>
      <c r="E357" s="1"/>
      <c r="F357" s="1"/>
      <c r="G357" s="1"/>
      <c r="H357" s="1"/>
      <c r="I357" s="1"/>
      <c r="J357" s="1"/>
      <c r="K357" s="1"/>
      <c r="L357" s="1"/>
    </row>
    <row r="358" ht="14.25" customHeight="1">
      <c r="A358" s="52"/>
      <c r="B358" s="53"/>
      <c r="C358" s="1"/>
      <c r="D358" s="1"/>
      <c r="E358" s="1"/>
      <c r="F358" s="1"/>
      <c r="G358" s="1"/>
      <c r="H358" s="1"/>
      <c r="I358" s="1"/>
      <c r="J358" s="1"/>
      <c r="K358" s="1"/>
      <c r="L358" s="1"/>
    </row>
    <row r="359" ht="14.25" customHeight="1">
      <c r="A359" s="52"/>
      <c r="B359" s="53"/>
      <c r="C359" s="1"/>
      <c r="D359" s="1"/>
      <c r="E359" s="1"/>
      <c r="F359" s="1"/>
      <c r="G359" s="1"/>
      <c r="H359" s="1"/>
      <c r="I359" s="1"/>
      <c r="J359" s="1"/>
      <c r="K359" s="1"/>
      <c r="L359" s="1"/>
    </row>
    <row r="360" ht="14.25" customHeight="1">
      <c r="A360" s="52"/>
      <c r="B360" s="53"/>
      <c r="C360" s="1"/>
      <c r="D360" s="1"/>
      <c r="E360" s="1"/>
      <c r="F360" s="1"/>
      <c r="G360" s="1"/>
      <c r="H360" s="1"/>
      <c r="I360" s="1"/>
      <c r="J360" s="1"/>
      <c r="K360" s="1"/>
      <c r="L360" s="1"/>
    </row>
    <row r="361" ht="14.25" customHeight="1">
      <c r="A361" s="52"/>
      <c r="B361" s="53"/>
      <c r="C361" s="1"/>
      <c r="D361" s="1"/>
      <c r="E361" s="1"/>
      <c r="F361" s="1"/>
      <c r="G361" s="1"/>
      <c r="H361" s="1"/>
      <c r="I361" s="1"/>
      <c r="J361" s="1"/>
      <c r="K361" s="1"/>
      <c r="L361" s="1"/>
    </row>
    <row r="362" ht="14.25" customHeight="1">
      <c r="A362" s="52"/>
      <c r="B362" s="53"/>
      <c r="C362" s="1"/>
      <c r="D362" s="1"/>
      <c r="E362" s="1"/>
      <c r="F362" s="1"/>
      <c r="G362" s="1"/>
      <c r="H362" s="1"/>
      <c r="I362" s="1"/>
      <c r="J362" s="1"/>
      <c r="K362" s="1"/>
      <c r="L362" s="1"/>
    </row>
    <row r="363" ht="14.25" customHeight="1">
      <c r="A363" s="52"/>
      <c r="B363" s="53"/>
      <c r="C363" s="1"/>
      <c r="D363" s="1"/>
      <c r="E363" s="1"/>
      <c r="F363" s="1"/>
      <c r="G363" s="1"/>
      <c r="H363" s="1"/>
      <c r="I363" s="1"/>
      <c r="J363" s="1"/>
      <c r="K363" s="1"/>
      <c r="L363" s="1"/>
    </row>
    <row r="364" ht="14.25" customHeight="1">
      <c r="A364" s="52"/>
      <c r="B364" s="53"/>
      <c r="C364" s="1"/>
      <c r="D364" s="1"/>
      <c r="E364" s="1"/>
      <c r="F364" s="1"/>
      <c r="G364" s="1"/>
      <c r="H364" s="1"/>
      <c r="I364" s="1"/>
      <c r="J364" s="1"/>
      <c r="K364" s="1"/>
      <c r="L364" s="1"/>
    </row>
    <row r="365" ht="14.25" customHeight="1">
      <c r="A365" s="52"/>
      <c r="B365" s="53"/>
      <c r="C365" s="1"/>
      <c r="D365" s="1"/>
      <c r="E365" s="1"/>
      <c r="F365" s="1"/>
      <c r="G365" s="1"/>
      <c r="H365" s="1"/>
      <c r="I365" s="1"/>
      <c r="J365" s="1"/>
      <c r="K365" s="1"/>
      <c r="L365" s="1"/>
    </row>
    <row r="366" ht="14.25" customHeight="1">
      <c r="A366" s="52"/>
      <c r="B366" s="53"/>
      <c r="C366" s="1"/>
      <c r="D366" s="1"/>
      <c r="E366" s="1"/>
      <c r="F366" s="1"/>
      <c r="G366" s="1"/>
      <c r="H366" s="1"/>
      <c r="I366" s="1"/>
      <c r="J366" s="1"/>
      <c r="K366" s="1"/>
      <c r="L366" s="1"/>
    </row>
    <row r="367" ht="14.25" customHeight="1">
      <c r="A367" s="52"/>
      <c r="B367" s="53"/>
      <c r="C367" s="1"/>
      <c r="D367" s="1"/>
      <c r="E367" s="1"/>
      <c r="F367" s="1"/>
      <c r="G367" s="1"/>
      <c r="H367" s="1"/>
      <c r="I367" s="1"/>
      <c r="J367" s="1"/>
      <c r="K367" s="1"/>
      <c r="L367" s="1"/>
    </row>
    <row r="368" ht="14.25" customHeight="1">
      <c r="A368" s="52"/>
      <c r="B368" s="53"/>
      <c r="C368" s="1"/>
      <c r="D368" s="1"/>
      <c r="E368" s="1"/>
      <c r="F368" s="1"/>
      <c r="G368" s="1"/>
      <c r="H368" s="1"/>
      <c r="I368" s="1"/>
      <c r="J368" s="1"/>
      <c r="K368" s="1"/>
      <c r="L368" s="1"/>
    </row>
    <row r="369" ht="14.25" customHeight="1">
      <c r="A369" s="52"/>
      <c r="B369" s="53"/>
      <c r="C369" s="1"/>
      <c r="D369" s="1"/>
      <c r="E369" s="1"/>
      <c r="F369" s="1"/>
      <c r="G369" s="1"/>
      <c r="H369" s="1"/>
      <c r="I369" s="1"/>
      <c r="J369" s="1"/>
      <c r="K369" s="1"/>
      <c r="L369" s="1"/>
    </row>
    <row r="370" ht="14.25" customHeight="1">
      <c r="A370" s="52"/>
      <c r="B370" s="53"/>
      <c r="C370" s="1"/>
      <c r="D370" s="1"/>
      <c r="E370" s="1"/>
      <c r="F370" s="1"/>
      <c r="G370" s="1"/>
      <c r="H370" s="1"/>
      <c r="I370" s="1"/>
      <c r="J370" s="1"/>
      <c r="K370" s="1"/>
      <c r="L370" s="1"/>
    </row>
    <row r="371" ht="14.25" customHeight="1">
      <c r="A371" s="52"/>
      <c r="B371" s="53"/>
      <c r="C371" s="1"/>
      <c r="D371" s="1"/>
      <c r="E371" s="1"/>
      <c r="F371" s="1"/>
      <c r="G371" s="1"/>
      <c r="H371" s="1"/>
      <c r="I371" s="1"/>
      <c r="J371" s="1"/>
      <c r="K371" s="1"/>
      <c r="L371" s="1"/>
    </row>
    <row r="372" ht="14.25" customHeight="1">
      <c r="A372" s="52"/>
      <c r="B372" s="53"/>
      <c r="C372" s="1"/>
      <c r="D372" s="1"/>
      <c r="E372" s="1"/>
      <c r="F372" s="1"/>
      <c r="G372" s="1"/>
      <c r="H372" s="1"/>
      <c r="I372" s="1"/>
      <c r="J372" s="1"/>
      <c r="K372" s="1"/>
      <c r="L372" s="1"/>
    </row>
    <row r="373" ht="14.25" customHeight="1">
      <c r="A373" s="52"/>
      <c r="B373" s="53"/>
      <c r="C373" s="1"/>
      <c r="D373" s="1"/>
      <c r="E373" s="1"/>
      <c r="F373" s="1"/>
      <c r="G373" s="1"/>
      <c r="H373" s="1"/>
      <c r="I373" s="1"/>
      <c r="J373" s="1"/>
      <c r="K373" s="1"/>
      <c r="L373" s="1"/>
    </row>
    <row r="374" ht="14.25" customHeight="1">
      <c r="A374" s="52"/>
      <c r="B374" s="53"/>
      <c r="C374" s="1"/>
      <c r="D374" s="1"/>
      <c r="E374" s="1"/>
      <c r="F374" s="1"/>
      <c r="G374" s="1"/>
      <c r="H374" s="1"/>
      <c r="I374" s="1"/>
      <c r="J374" s="1"/>
      <c r="K374" s="1"/>
      <c r="L374" s="1"/>
    </row>
    <row r="375" ht="14.25" customHeight="1">
      <c r="A375" s="52"/>
      <c r="B375" s="53"/>
      <c r="C375" s="1"/>
      <c r="D375" s="1"/>
      <c r="E375" s="1"/>
      <c r="F375" s="1"/>
      <c r="G375" s="1"/>
      <c r="H375" s="1"/>
      <c r="I375" s="1"/>
      <c r="J375" s="1"/>
      <c r="K375" s="1"/>
      <c r="L375" s="1"/>
    </row>
    <row r="376" ht="14.25" customHeight="1">
      <c r="A376" s="52"/>
      <c r="B376" s="53"/>
      <c r="C376" s="1"/>
      <c r="D376" s="1"/>
      <c r="E376" s="1"/>
      <c r="F376" s="1"/>
      <c r="G376" s="1"/>
      <c r="H376" s="1"/>
      <c r="I376" s="1"/>
      <c r="J376" s="1"/>
      <c r="K376" s="1"/>
      <c r="L376" s="1"/>
    </row>
    <row r="377" ht="14.25" customHeight="1">
      <c r="A377" s="52"/>
      <c r="B377" s="53"/>
      <c r="C377" s="1"/>
      <c r="D377" s="1"/>
      <c r="E377" s="1"/>
      <c r="F377" s="1"/>
      <c r="G377" s="1"/>
      <c r="H377" s="1"/>
      <c r="I377" s="1"/>
      <c r="J377" s="1"/>
      <c r="K377" s="1"/>
      <c r="L377" s="1"/>
    </row>
    <row r="378" ht="14.25" customHeight="1">
      <c r="A378" s="52"/>
      <c r="B378" s="53"/>
      <c r="C378" s="1"/>
      <c r="D378" s="1"/>
      <c r="E378" s="1"/>
      <c r="F378" s="1"/>
      <c r="G378" s="1"/>
      <c r="H378" s="1"/>
      <c r="I378" s="1"/>
      <c r="J378" s="1"/>
      <c r="K378" s="1"/>
      <c r="L378" s="1"/>
    </row>
    <row r="379" ht="14.25" customHeight="1">
      <c r="A379" s="52"/>
      <c r="B379" s="53"/>
      <c r="C379" s="1"/>
      <c r="D379" s="1"/>
      <c r="E379" s="1"/>
      <c r="F379" s="1"/>
      <c r="G379" s="1"/>
      <c r="H379" s="1"/>
      <c r="I379" s="1"/>
      <c r="J379" s="1"/>
      <c r="K379" s="1"/>
      <c r="L379" s="1"/>
    </row>
    <row r="380" ht="14.25" customHeight="1">
      <c r="A380" s="52"/>
      <c r="B380" s="53"/>
      <c r="C380" s="1"/>
      <c r="D380" s="1"/>
      <c r="E380" s="1"/>
      <c r="F380" s="1"/>
      <c r="G380" s="1"/>
      <c r="H380" s="1"/>
      <c r="I380" s="1"/>
      <c r="J380" s="1"/>
      <c r="K380" s="1"/>
      <c r="L380" s="1"/>
    </row>
    <row r="381" ht="14.25" customHeight="1">
      <c r="A381" s="52"/>
      <c r="B381" s="53"/>
      <c r="C381" s="1"/>
      <c r="D381" s="1"/>
      <c r="E381" s="1"/>
      <c r="F381" s="1"/>
      <c r="G381" s="1"/>
      <c r="H381" s="1"/>
      <c r="I381" s="1"/>
      <c r="J381" s="1"/>
      <c r="K381" s="1"/>
      <c r="L381" s="1"/>
    </row>
    <row r="382" ht="14.25" customHeight="1">
      <c r="A382" s="52"/>
      <c r="B382" s="53"/>
      <c r="C382" s="1"/>
      <c r="D382" s="1"/>
      <c r="E382" s="1"/>
      <c r="F382" s="1"/>
      <c r="G382" s="1"/>
      <c r="H382" s="1"/>
      <c r="I382" s="1"/>
      <c r="J382" s="1"/>
      <c r="K382" s="1"/>
      <c r="L382" s="1"/>
    </row>
    <row r="383" ht="14.25" customHeight="1">
      <c r="A383" s="52"/>
      <c r="B383" s="53"/>
      <c r="C383" s="1"/>
      <c r="D383" s="1"/>
      <c r="E383" s="1"/>
      <c r="F383" s="1"/>
      <c r="G383" s="1"/>
      <c r="H383" s="1"/>
      <c r="I383" s="1"/>
      <c r="J383" s="1"/>
      <c r="K383" s="1"/>
      <c r="L383" s="1"/>
    </row>
    <row r="384" ht="14.25" customHeight="1">
      <c r="A384" s="52"/>
      <c r="B384" s="53"/>
      <c r="C384" s="1"/>
      <c r="D384" s="1"/>
      <c r="E384" s="1"/>
      <c r="F384" s="1"/>
      <c r="G384" s="1"/>
      <c r="H384" s="1"/>
      <c r="I384" s="1"/>
      <c r="J384" s="1"/>
      <c r="K384" s="1"/>
      <c r="L384" s="1"/>
    </row>
    <row r="385" ht="14.25" customHeight="1">
      <c r="A385" s="52"/>
      <c r="B385" s="53"/>
      <c r="C385" s="1"/>
      <c r="D385" s="1"/>
      <c r="E385" s="1"/>
      <c r="F385" s="1"/>
      <c r="G385" s="1"/>
      <c r="H385" s="1"/>
      <c r="I385" s="1"/>
      <c r="J385" s="1"/>
      <c r="K385" s="1"/>
      <c r="L385" s="1"/>
    </row>
    <row r="386" ht="14.25" customHeight="1">
      <c r="A386" s="52"/>
      <c r="B386" s="53"/>
      <c r="C386" s="1"/>
      <c r="D386" s="1"/>
      <c r="E386" s="1"/>
      <c r="F386" s="1"/>
      <c r="G386" s="1"/>
      <c r="H386" s="1"/>
      <c r="I386" s="1"/>
      <c r="J386" s="1"/>
      <c r="K386" s="1"/>
      <c r="L386" s="1"/>
    </row>
    <row r="387" ht="14.25" customHeight="1">
      <c r="A387" s="52"/>
      <c r="B387" s="53"/>
      <c r="C387" s="1"/>
      <c r="D387" s="1"/>
      <c r="E387" s="1"/>
      <c r="F387" s="1"/>
      <c r="G387" s="1"/>
      <c r="H387" s="1"/>
      <c r="I387" s="1"/>
      <c r="J387" s="1"/>
      <c r="K387" s="1"/>
      <c r="L387" s="1"/>
    </row>
    <row r="388" ht="14.25" customHeight="1">
      <c r="A388" s="52"/>
      <c r="B388" s="53"/>
      <c r="C388" s="1"/>
      <c r="D388" s="1"/>
      <c r="E388" s="1"/>
      <c r="F388" s="1"/>
      <c r="G388" s="1"/>
      <c r="H388" s="1"/>
      <c r="I388" s="1"/>
      <c r="J388" s="1"/>
      <c r="K388" s="1"/>
      <c r="L388" s="1"/>
    </row>
    <row r="389" ht="14.25" customHeight="1">
      <c r="A389" s="52"/>
      <c r="B389" s="53"/>
      <c r="C389" s="1"/>
      <c r="D389" s="1"/>
      <c r="E389" s="1"/>
      <c r="F389" s="1"/>
      <c r="G389" s="1"/>
      <c r="H389" s="1"/>
      <c r="I389" s="1"/>
      <c r="J389" s="1"/>
      <c r="K389" s="1"/>
      <c r="L389" s="1"/>
    </row>
    <row r="390" ht="14.25" customHeight="1">
      <c r="A390" s="52"/>
      <c r="B390" s="53"/>
      <c r="C390" s="1"/>
      <c r="D390" s="1"/>
      <c r="E390" s="1"/>
      <c r="F390" s="1"/>
      <c r="G390" s="1"/>
      <c r="H390" s="1"/>
      <c r="I390" s="1"/>
      <c r="J390" s="1"/>
      <c r="K390" s="1"/>
      <c r="L390" s="1"/>
    </row>
    <row r="391" ht="14.25" customHeight="1">
      <c r="A391" s="52"/>
      <c r="B391" s="53"/>
      <c r="C391" s="1"/>
      <c r="D391" s="1"/>
      <c r="E391" s="1"/>
      <c r="F391" s="1"/>
      <c r="G391" s="1"/>
      <c r="H391" s="1"/>
      <c r="I391" s="1"/>
      <c r="J391" s="1"/>
      <c r="K391" s="1"/>
      <c r="L391" s="1"/>
    </row>
    <row r="392" ht="14.25" customHeight="1">
      <c r="A392" s="52"/>
      <c r="B392" s="53"/>
      <c r="C392" s="1"/>
      <c r="D392" s="1"/>
      <c r="E392" s="1"/>
      <c r="F392" s="1"/>
      <c r="G392" s="1"/>
      <c r="H392" s="1"/>
      <c r="I392" s="1"/>
      <c r="J392" s="1"/>
      <c r="K392" s="1"/>
      <c r="L392" s="1"/>
    </row>
    <row r="393" ht="14.25" customHeight="1">
      <c r="A393" s="52"/>
      <c r="B393" s="53"/>
      <c r="C393" s="1"/>
      <c r="D393" s="1"/>
      <c r="E393" s="1"/>
      <c r="F393" s="1"/>
      <c r="G393" s="1"/>
      <c r="H393" s="1"/>
      <c r="I393" s="1"/>
      <c r="J393" s="1"/>
      <c r="K393" s="1"/>
      <c r="L393" s="1"/>
    </row>
    <row r="394" ht="14.25" customHeight="1">
      <c r="A394" s="52"/>
      <c r="B394" s="53"/>
      <c r="C394" s="1"/>
      <c r="D394" s="1"/>
      <c r="E394" s="1"/>
      <c r="F394" s="1"/>
      <c r="G394" s="1"/>
      <c r="H394" s="1"/>
      <c r="I394" s="1"/>
      <c r="J394" s="1"/>
      <c r="K394" s="1"/>
      <c r="L394" s="1"/>
    </row>
    <row r="395" ht="14.25" customHeight="1">
      <c r="A395" s="52"/>
      <c r="B395" s="53"/>
      <c r="C395" s="1"/>
      <c r="D395" s="1"/>
      <c r="E395" s="1"/>
      <c r="F395" s="1"/>
      <c r="G395" s="1"/>
      <c r="H395" s="1"/>
      <c r="I395" s="1"/>
      <c r="J395" s="1"/>
      <c r="K395" s="1"/>
      <c r="L395" s="1"/>
    </row>
    <row r="396" ht="14.25" customHeight="1">
      <c r="A396" s="52"/>
      <c r="B396" s="53"/>
      <c r="C396" s="1"/>
      <c r="D396" s="1"/>
      <c r="E396" s="1"/>
      <c r="F396" s="1"/>
      <c r="G396" s="1"/>
      <c r="H396" s="1"/>
      <c r="I396" s="1"/>
      <c r="J396" s="1"/>
      <c r="K396" s="1"/>
      <c r="L396" s="1"/>
    </row>
    <row r="397" ht="14.25" customHeight="1">
      <c r="A397" s="52"/>
      <c r="B397" s="53"/>
      <c r="C397" s="1"/>
      <c r="D397" s="1"/>
      <c r="E397" s="1"/>
      <c r="F397" s="1"/>
      <c r="G397" s="1"/>
      <c r="H397" s="1"/>
      <c r="I397" s="1"/>
      <c r="J397" s="1"/>
      <c r="K397" s="1"/>
      <c r="L397" s="1"/>
    </row>
    <row r="398" ht="14.25" customHeight="1">
      <c r="A398" s="52"/>
      <c r="B398" s="53"/>
      <c r="C398" s="1"/>
      <c r="D398" s="1"/>
      <c r="E398" s="1"/>
      <c r="F398" s="1"/>
      <c r="G398" s="1"/>
      <c r="H398" s="1"/>
      <c r="I398" s="1"/>
      <c r="J398" s="1"/>
      <c r="K398" s="1"/>
      <c r="L398" s="1"/>
    </row>
    <row r="399" ht="14.25" customHeight="1">
      <c r="A399" s="52"/>
      <c r="B399" s="53"/>
      <c r="C399" s="1"/>
      <c r="D399" s="1"/>
      <c r="E399" s="1"/>
      <c r="F399" s="1"/>
      <c r="G399" s="1"/>
      <c r="H399" s="1"/>
      <c r="I399" s="1"/>
      <c r="J399" s="1"/>
      <c r="K399" s="1"/>
      <c r="L399" s="1"/>
    </row>
    <row r="400" ht="14.25" customHeight="1">
      <c r="A400" s="52"/>
      <c r="B400" s="53"/>
      <c r="C400" s="1"/>
      <c r="D400" s="1"/>
      <c r="E400" s="1"/>
      <c r="F400" s="1"/>
      <c r="G400" s="1"/>
      <c r="H400" s="1"/>
      <c r="I400" s="1"/>
      <c r="J400" s="1"/>
      <c r="K400" s="1"/>
      <c r="L400" s="1"/>
    </row>
    <row r="401" ht="14.25" customHeight="1">
      <c r="A401" s="52"/>
      <c r="B401" s="53"/>
      <c r="C401" s="1"/>
      <c r="D401" s="1"/>
      <c r="E401" s="1"/>
      <c r="F401" s="1"/>
      <c r="G401" s="1"/>
      <c r="H401" s="1"/>
      <c r="I401" s="1"/>
      <c r="J401" s="1"/>
      <c r="K401" s="1"/>
      <c r="L401" s="1"/>
    </row>
    <row r="402" ht="14.25" customHeight="1">
      <c r="A402" s="52"/>
      <c r="B402" s="53"/>
      <c r="C402" s="1"/>
      <c r="D402" s="1"/>
      <c r="E402" s="1"/>
      <c r="F402" s="1"/>
      <c r="G402" s="1"/>
      <c r="H402" s="1"/>
      <c r="I402" s="1"/>
      <c r="J402" s="1"/>
      <c r="K402" s="1"/>
      <c r="L402" s="1"/>
    </row>
    <row r="403" ht="14.25" customHeight="1">
      <c r="A403" s="52"/>
      <c r="B403" s="53"/>
      <c r="C403" s="1"/>
      <c r="D403" s="1"/>
      <c r="E403" s="1"/>
      <c r="F403" s="1"/>
      <c r="G403" s="1"/>
      <c r="H403" s="1"/>
      <c r="I403" s="1"/>
      <c r="J403" s="1"/>
      <c r="K403" s="1"/>
      <c r="L403" s="1"/>
    </row>
    <row r="404" ht="14.25" customHeight="1">
      <c r="A404" s="52"/>
      <c r="B404" s="53"/>
      <c r="C404" s="1"/>
      <c r="D404" s="1"/>
      <c r="E404" s="1"/>
      <c r="F404" s="1"/>
      <c r="G404" s="1"/>
      <c r="H404" s="1"/>
      <c r="I404" s="1"/>
      <c r="J404" s="1"/>
      <c r="K404" s="1"/>
      <c r="L404" s="1"/>
    </row>
    <row r="405" ht="14.25" customHeight="1">
      <c r="A405" s="52"/>
      <c r="B405" s="53"/>
      <c r="C405" s="1"/>
      <c r="D405" s="1"/>
      <c r="E405" s="1"/>
      <c r="F405" s="1"/>
      <c r="G405" s="1"/>
      <c r="H405" s="1"/>
      <c r="I405" s="1"/>
      <c r="J405" s="1"/>
      <c r="K405" s="1"/>
      <c r="L405" s="1"/>
    </row>
    <row r="406" ht="14.25" customHeight="1">
      <c r="A406" s="52"/>
      <c r="B406" s="53"/>
      <c r="C406" s="1"/>
      <c r="D406" s="1"/>
      <c r="E406" s="1"/>
      <c r="F406" s="1"/>
      <c r="G406" s="1"/>
      <c r="H406" s="1"/>
      <c r="I406" s="1"/>
      <c r="J406" s="1"/>
      <c r="K406" s="1"/>
      <c r="L406" s="1"/>
    </row>
    <row r="407" ht="14.25" customHeight="1">
      <c r="A407" s="52"/>
      <c r="B407" s="53"/>
      <c r="C407" s="1"/>
      <c r="D407" s="1"/>
      <c r="E407" s="1"/>
      <c r="F407" s="1"/>
      <c r="G407" s="1"/>
      <c r="H407" s="1"/>
      <c r="I407" s="1"/>
      <c r="J407" s="1"/>
      <c r="K407" s="1"/>
      <c r="L407" s="1"/>
    </row>
    <row r="408" ht="14.25" customHeight="1">
      <c r="A408" s="52"/>
      <c r="B408" s="53"/>
      <c r="C408" s="1"/>
      <c r="D408" s="1"/>
      <c r="E408" s="1"/>
      <c r="F408" s="1"/>
      <c r="G408" s="1"/>
      <c r="H408" s="1"/>
      <c r="I408" s="1"/>
      <c r="J408" s="1"/>
      <c r="K408" s="1"/>
      <c r="L408" s="1"/>
    </row>
    <row r="409" ht="14.25" customHeight="1">
      <c r="A409" s="52"/>
      <c r="B409" s="53"/>
      <c r="C409" s="1"/>
      <c r="D409" s="1"/>
      <c r="E409" s="1"/>
      <c r="F409" s="1"/>
      <c r="G409" s="1"/>
      <c r="H409" s="1"/>
      <c r="I409" s="1"/>
      <c r="J409" s="1"/>
      <c r="K409" s="1"/>
      <c r="L409" s="1"/>
    </row>
    <row r="410" ht="14.25" customHeight="1">
      <c r="A410" s="52"/>
      <c r="B410" s="53"/>
      <c r="C410" s="1"/>
      <c r="D410" s="1"/>
      <c r="E410" s="1"/>
      <c r="F410" s="1"/>
      <c r="G410" s="1"/>
      <c r="H410" s="1"/>
      <c r="I410" s="1"/>
      <c r="J410" s="1"/>
      <c r="K410" s="1"/>
      <c r="L410" s="1"/>
    </row>
    <row r="411" ht="14.25" customHeight="1">
      <c r="A411" s="52"/>
      <c r="B411" s="53"/>
      <c r="C411" s="1"/>
      <c r="D411" s="1"/>
      <c r="E411" s="1"/>
      <c r="F411" s="1"/>
      <c r="G411" s="1"/>
      <c r="H411" s="1"/>
      <c r="I411" s="1"/>
      <c r="J411" s="1"/>
      <c r="K411" s="1"/>
      <c r="L411" s="1"/>
    </row>
    <row r="412" ht="14.25" customHeight="1">
      <c r="A412" s="52"/>
      <c r="B412" s="53"/>
      <c r="C412" s="1"/>
      <c r="D412" s="1"/>
      <c r="E412" s="1"/>
      <c r="F412" s="1"/>
      <c r="G412" s="1"/>
      <c r="H412" s="1"/>
      <c r="I412" s="1"/>
      <c r="J412" s="1"/>
      <c r="K412" s="1"/>
      <c r="L412" s="1"/>
    </row>
    <row r="413" ht="14.25" customHeight="1">
      <c r="A413" s="52"/>
      <c r="B413" s="53"/>
      <c r="C413" s="1"/>
      <c r="D413" s="1"/>
      <c r="E413" s="1"/>
      <c r="F413" s="1"/>
      <c r="G413" s="1"/>
      <c r="H413" s="1"/>
      <c r="I413" s="1"/>
      <c r="J413" s="1"/>
      <c r="K413" s="1"/>
      <c r="L413" s="1"/>
    </row>
    <row r="414" ht="14.25" customHeight="1">
      <c r="A414" s="52"/>
      <c r="B414" s="53"/>
      <c r="C414" s="1"/>
      <c r="D414" s="1"/>
      <c r="E414" s="1"/>
      <c r="F414" s="1"/>
      <c r="G414" s="1"/>
      <c r="H414" s="1"/>
      <c r="I414" s="1"/>
      <c r="J414" s="1"/>
      <c r="K414" s="1"/>
      <c r="L414" s="1"/>
    </row>
    <row r="415" ht="14.25" customHeight="1">
      <c r="A415" s="52"/>
      <c r="B415" s="53"/>
      <c r="C415" s="1"/>
      <c r="D415" s="1"/>
      <c r="E415" s="1"/>
      <c r="F415" s="1"/>
      <c r="G415" s="1"/>
      <c r="H415" s="1"/>
      <c r="I415" s="1"/>
      <c r="J415" s="1"/>
      <c r="K415" s="1"/>
      <c r="L415" s="1"/>
    </row>
    <row r="416" ht="14.25" customHeight="1">
      <c r="A416" s="52"/>
      <c r="B416" s="53"/>
      <c r="C416" s="1"/>
      <c r="D416" s="1"/>
      <c r="E416" s="1"/>
      <c r="F416" s="1"/>
      <c r="G416" s="1"/>
      <c r="H416" s="1"/>
      <c r="I416" s="1"/>
      <c r="J416" s="1"/>
      <c r="K416" s="1"/>
      <c r="L416" s="1"/>
    </row>
    <row r="417" ht="14.25" customHeight="1">
      <c r="A417" s="52"/>
      <c r="B417" s="53"/>
      <c r="C417" s="1"/>
      <c r="D417" s="1"/>
      <c r="E417" s="1"/>
      <c r="F417" s="1"/>
      <c r="G417" s="1"/>
      <c r="H417" s="1"/>
      <c r="I417" s="1"/>
      <c r="J417" s="1"/>
      <c r="K417" s="1"/>
      <c r="L417" s="1"/>
    </row>
    <row r="418" ht="14.25" customHeight="1">
      <c r="A418" s="52"/>
      <c r="B418" s="53"/>
      <c r="C418" s="1"/>
      <c r="D418" s="1"/>
      <c r="E418" s="1"/>
      <c r="F418" s="1"/>
      <c r="G418" s="1"/>
      <c r="H418" s="1"/>
      <c r="I418" s="1"/>
      <c r="J418" s="1"/>
      <c r="K418" s="1"/>
      <c r="L418" s="1"/>
    </row>
    <row r="419" ht="14.25" customHeight="1">
      <c r="A419" s="52"/>
      <c r="B419" s="53"/>
      <c r="C419" s="1"/>
      <c r="D419" s="1"/>
      <c r="E419" s="1"/>
      <c r="F419" s="1"/>
      <c r="G419" s="1"/>
      <c r="H419" s="1"/>
      <c r="I419" s="1"/>
      <c r="J419" s="1"/>
      <c r="K419" s="1"/>
      <c r="L419" s="1"/>
    </row>
    <row r="420" ht="14.25" customHeight="1">
      <c r="A420" s="52"/>
      <c r="B420" s="53"/>
      <c r="C420" s="1"/>
      <c r="D420" s="1"/>
      <c r="E420" s="1"/>
      <c r="F420" s="1"/>
      <c r="G420" s="1"/>
      <c r="H420" s="1"/>
      <c r="I420" s="1"/>
      <c r="J420" s="1"/>
      <c r="K420" s="1"/>
      <c r="L420" s="1"/>
    </row>
    <row r="421" ht="14.25" customHeight="1">
      <c r="A421" s="52"/>
      <c r="B421" s="53"/>
      <c r="C421" s="1"/>
      <c r="D421" s="1"/>
      <c r="E421" s="1"/>
      <c r="F421" s="1"/>
      <c r="G421" s="1"/>
      <c r="H421" s="1"/>
      <c r="I421" s="1"/>
      <c r="J421" s="1"/>
      <c r="K421" s="1"/>
      <c r="L421" s="1"/>
    </row>
    <row r="422" ht="14.25" customHeight="1">
      <c r="A422" s="52"/>
      <c r="B422" s="53"/>
      <c r="C422" s="1"/>
      <c r="D422" s="1"/>
      <c r="E422" s="1"/>
      <c r="F422" s="1"/>
      <c r="G422" s="1"/>
      <c r="H422" s="1"/>
      <c r="I422" s="1"/>
      <c r="J422" s="1"/>
      <c r="K422" s="1"/>
      <c r="L422" s="1"/>
    </row>
    <row r="423" ht="14.25" customHeight="1">
      <c r="A423" s="52"/>
      <c r="B423" s="53"/>
      <c r="C423" s="1"/>
      <c r="D423" s="1"/>
      <c r="E423" s="1"/>
      <c r="F423" s="1"/>
      <c r="G423" s="1"/>
      <c r="H423" s="1"/>
      <c r="I423" s="1"/>
      <c r="J423" s="1"/>
      <c r="K423" s="1"/>
      <c r="L423" s="1"/>
    </row>
    <row r="424" ht="14.25" customHeight="1">
      <c r="A424" s="52"/>
      <c r="B424" s="53"/>
      <c r="C424" s="1"/>
      <c r="D424" s="1"/>
      <c r="E424" s="1"/>
      <c r="F424" s="1"/>
      <c r="G424" s="1"/>
      <c r="H424" s="1"/>
      <c r="I424" s="1"/>
      <c r="J424" s="1"/>
      <c r="K424" s="1"/>
      <c r="L424" s="1"/>
    </row>
    <row r="425" ht="14.25" customHeight="1">
      <c r="A425" s="52"/>
      <c r="B425" s="53"/>
      <c r="C425" s="1"/>
      <c r="D425" s="1"/>
      <c r="E425" s="1"/>
      <c r="F425" s="1"/>
      <c r="G425" s="1"/>
      <c r="H425" s="1"/>
      <c r="I425" s="1"/>
      <c r="J425" s="1"/>
      <c r="K425" s="1"/>
      <c r="L425" s="1"/>
    </row>
    <row r="426" ht="14.25" customHeight="1">
      <c r="A426" s="52"/>
      <c r="B426" s="53"/>
      <c r="C426" s="1"/>
      <c r="D426" s="1"/>
      <c r="E426" s="1"/>
      <c r="F426" s="1"/>
      <c r="G426" s="1"/>
      <c r="H426" s="1"/>
      <c r="I426" s="1"/>
      <c r="J426" s="1"/>
      <c r="K426" s="1"/>
      <c r="L426" s="1"/>
    </row>
    <row r="427" ht="14.25" customHeight="1">
      <c r="A427" s="52"/>
      <c r="B427" s="53"/>
      <c r="C427" s="1"/>
      <c r="D427" s="1"/>
      <c r="E427" s="1"/>
      <c r="F427" s="1"/>
      <c r="G427" s="1"/>
      <c r="H427" s="1"/>
      <c r="I427" s="1"/>
      <c r="J427" s="1"/>
      <c r="K427" s="1"/>
      <c r="L427" s="1"/>
    </row>
    <row r="428" ht="14.25" customHeight="1">
      <c r="A428" s="52"/>
      <c r="B428" s="53"/>
      <c r="C428" s="1"/>
      <c r="D428" s="1"/>
      <c r="E428" s="1"/>
      <c r="F428" s="1"/>
      <c r="G428" s="1"/>
      <c r="H428" s="1"/>
      <c r="I428" s="1"/>
      <c r="J428" s="1"/>
      <c r="K428" s="1"/>
      <c r="L428" s="1"/>
    </row>
    <row r="429" ht="14.25" customHeight="1">
      <c r="A429" s="52"/>
      <c r="B429" s="53"/>
      <c r="C429" s="1"/>
      <c r="D429" s="1"/>
      <c r="E429" s="1"/>
      <c r="F429" s="1"/>
      <c r="G429" s="1"/>
      <c r="H429" s="1"/>
      <c r="I429" s="1"/>
      <c r="J429" s="1"/>
      <c r="K429" s="1"/>
      <c r="L429" s="1"/>
    </row>
    <row r="430" ht="14.25" customHeight="1">
      <c r="A430" s="52"/>
      <c r="B430" s="53"/>
      <c r="C430" s="1"/>
      <c r="D430" s="1"/>
      <c r="E430" s="1"/>
      <c r="F430" s="1"/>
      <c r="G430" s="1"/>
      <c r="H430" s="1"/>
      <c r="I430" s="1"/>
      <c r="J430" s="1"/>
      <c r="K430" s="1"/>
      <c r="L430" s="1"/>
    </row>
    <row r="431" ht="14.25" customHeight="1">
      <c r="A431" s="52"/>
      <c r="B431" s="53"/>
      <c r="C431" s="1"/>
      <c r="D431" s="1"/>
      <c r="E431" s="1"/>
      <c r="F431" s="1"/>
      <c r="G431" s="1"/>
      <c r="H431" s="1"/>
      <c r="I431" s="1"/>
      <c r="J431" s="1"/>
      <c r="K431" s="1"/>
      <c r="L431" s="1"/>
    </row>
    <row r="432" ht="14.25" customHeight="1">
      <c r="A432" s="52"/>
      <c r="B432" s="53"/>
      <c r="C432" s="1"/>
      <c r="D432" s="1"/>
      <c r="E432" s="1"/>
      <c r="F432" s="1"/>
      <c r="G432" s="1"/>
      <c r="H432" s="1"/>
      <c r="I432" s="1"/>
      <c r="J432" s="1"/>
      <c r="K432" s="1"/>
      <c r="L432" s="1"/>
    </row>
    <row r="433" ht="14.25" customHeight="1">
      <c r="A433" s="52"/>
      <c r="B433" s="53"/>
      <c r="C433" s="1"/>
      <c r="D433" s="1"/>
      <c r="E433" s="1"/>
      <c r="F433" s="1"/>
      <c r="G433" s="1"/>
      <c r="H433" s="1"/>
      <c r="I433" s="1"/>
      <c r="J433" s="1"/>
      <c r="K433" s="1"/>
      <c r="L433" s="1"/>
    </row>
    <row r="434" ht="14.25" customHeight="1">
      <c r="A434" s="52"/>
      <c r="B434" s="53"/>
      <c r="C434" s="1"/>
      <c r="D434" s="1"/>
      <c r="E434" s="1"/>
      <c r="F434" s="1"/>
      <c r="G434" s="1"/>
      <c r="H434" s="1"/>
      <c r="I434" s="1"/>
      <c r="J434" s="1"/>
      <c r="K434" s="1"/>
      <c r="L434" s="1"/>
    </row>
    <row r="435" ht="14.25" customHeight="1">
      <c r="A435" s="52"/>
      <c r="B435" s="53"/>
      <c r="C435" s="1"/>
      <c r="D435" s="1"/>
      <c r="E435" s="1"/>
      <c r="F435" s="1"/>
      <c r="G435" s="1"/>
      <c r="H435" s="1"/>
      <c r="I435" s="1"/>
      <c r="J435" s="1"/>
      <c r="K435" s="1"/>
      <c r="L435" s="1"/>
    </row>
    <row r="436" ht="14.25" customHeight="1">
      <c r="A436" s="52"/>
      <c r="B436" s="53"/>
      <c r="C436" s="1"/>
      <c r="D436" s="1"/>
      <c r="E436" s="1"/>
      <c r="F436" s="1"/>
      <c r="G436" s="1"/>
      <c r="H436" s="1"/>
      <c r="I436" s="1"/>
      <c r="J436" s="1"/>
      <c r="K436" s="1"/>
      <c r="L436" s="1"/>
    </row>
    <row r="437" ht="14.25" customHeight="1">
      <c r="A437" s="52"/>
      <c r="B437" s="53"/>
      <c r="C437" s="1"/>
      <c r="D437" s="1"/>
      <c r="E437" s="1"/>
      <c r="F437" s="1"/>
      <c r="G437" s="1"/>
      <c r="H437" s="1"/>
      <c r="I437" s="1"/>
      <c r="J437" s="1"/>
      <c r="K437" s="1"/>
      <c r="L437" s="1"/>
    </row>
    <row r="438" ht="14.25" customHeight="1">
      <c r="A438" s="52"/>
      <c r="B438" s="53"/>
      <c r="C438" s="1"/>
      <c r="D438" s="1"/>
      <c r="E438" s="1"/>
      <c r="F438" s="1"/>
      <c r="G438" s="1"/>
      <c r="H438" s="1"/>
      <c r="I438" s="1"/>
      <c r="J438" s="1"/>
      <c r="K438" s="1"/>
      <c r="L438" s="1"/>
    </row>
    <row r="439" ht="14.25" customHeight="1">
      <c r="A439" s="52"/>
      <c r="B439" s="53"/>
      <c r="C439" s="1"/>
      <c r="D439" s="1"/>
      <c r="E439" s="1"/>
      <c r="F439" s="1"/>
      <c r="G439" s="1"/>
      <c r="H439" s="1"/>
      <c r="I439" s="1"/>
      <c r="J439" s="1"/>
      <c r="K439" s="1"/>
      <c r="L439" s="1"/>
    </row>
    <row r="440" ht="14.25" customHeight="1">
      <c r="A440" s="52"/>
      <c r="B440" s="53"/>
      <c r="C440" s="1"/>
      <c r="D440" s="1"/>
      <c r="E440" s="1"/>
      <c r="F440" s="1"/>
      <c r="G440" s="1"/>
      <c r="H440" s="1"/>
      <c r="I440" s="1"/>
      <c r="J440" s="1"/>
      <c r="K440" s="1"/>
      <c r="L440" s="1"/>
    </row>
    <row r="441" ht="14.25" customHeight="1">
      <c r="A441" s="52"/>
      <c r="B441" s="53"/>
      <c r="C441" s="1"/>
      <c r="D441" s="1"/>
      <c r="E441" s="1"/>
      <c r="F441" s="1"/>
      <c r="G441" s="1"/>
      <c r="H441" s="1"/>
      <c r="I441" s="1"/>
      <c r="J441" s="1"/>
      <c r="K441" s="1"/>
      <c r="L441" s="1"/>
    </row>
    <row r="442" ht="14.25" customHeight="1">
      <c r="A442" s="52"/>
      <c r="B442" s="53"/>
      <c r="C442" s="1"/>
      <c r="D442" s="1"/>
      <c r="E442" s="1"/>
      <c r="F442" s="1"/>
      <c r="G442" s="1"/>
      <c r="H442" s="1"/>
      <c r="I442" s="1"/>
      <c r="J442" s="1"/>
      <c r="K442" s="1"/>
      <c r="L442" s="1"/>
    </row>
    <row r="443" ht="14.25" customHeight="1">
      <c r="A443" s="52"/>
      <c r="B443" s="53"/>
      <c r="C443" s="1"/>
      <c r="D443" s="1"/>
      <c r="E443" s="1"/>
      <c r="F443" s="1"/>
      <c r="G443" s="1"/>
      <c r="H443" s="1"/>
      <c r="I443" s="1"/>
      <c r="J443" s="1"/>
      <c r="K443" s="1"/>
      <c r="L443" s="1"/>
    </row>
    <row r="444" ht="14.25" customHeight="1">
      <c r="A444" s="52"/>
      <c r="B444" s="53"/>
      <c r="C444" s="1"/>
      <c r="D444" s="1"/>
      <c r="E444" s="1"/>
      <c r="F444" s="1"/>
      <c r="G444" s="1"/>
      <c r="H444" s="1"/>
      <c r="I444" s="1"/>
      <c r="J444" s="1"/>
      <c r="K444" s="1"/>
      <c r="L444" s="1"/>
    </row>
    <row r="445" ht="14.25" customHeight="1">
      <c r="A445" s="52"/>
      <c r="B445" s="53"/>
      <c r="C445" s="1"/>
      <c r="D445" s="1"/>
      <c r="E445" s="1"/>
      <c r="F445" s="1"/>
      <c r="G445" s="1"/>
      <c r="H445" s="1"/>
      <c r="I445" s="1"/>
      <c r="J445" s="1"/>
      <c r="K445" s="1"/>
      <c r="L445" s="1"/>
    </row>
    <row r="446" ht="14.25" customHeight="1">
      <c r="A446" s="52"/>
      <c r="B446" s="53"/>
      <c r="C446" s="1"/>
      <c r="D446" s="1"/>
      <c r="E446" s="1"/>
      <c r="F446" s="1"/>
      <c r="G446" s="1"/>
      <c r="H446" s="1"/>
      <c r="I446" s="1"/>
      <c r="J446" s="1"/>
      <c r="K446" s="1"/>
      <c r="L446" s="1"/>
    </row>
    <row r="447" ht="14.25" customHeight="1">
      <c r="A447" s="52"/>
      <c r="B447" s="53"/>
      <c r="C447" s="1"/>
      <c r="D447" s="1"/>
      <c r="E447" s="1"/>
      <c r="F447" s="1"/>
      <c r="G447" s="1"/>
      <c r="H447" s="1"/>
      <c r="I447" s="1"/>
      <c r="J447" s="1"/>
      <c r="K447" s="1"/>
      <c r="L447" s="1"/>
    </row>
    <row r="448" ht="14.25" customHeight="1">
      <c r="A448" s="52"/>
      <c r="B448" s="53"/>
      <c r="C448" s="1"/>
      <c r="D448" s="1"/>
      <c r="E448" s="1"/>
      <c r="F448" s="1"/>
      <c r="G448" s="1"/>
      <c r="H448" s="1"/>
      <c r="I448" s="1"/>
      <c r="J448" s="1"/>
      <c r="K448" s="1"/>
      <c r="L448" s="1"/>
    </row>
    <row r="449" ht="14.25" customHeight="1">
      <c r="A449" s="52"/>
      <c r="B449" s="53"/>
      <c r="C449" s="1"/>
      <c r="D449" s="1"/>
      <c r="E449" s="1"/>
      <c r="F449" s="1"/>
      <c r="G449" s="1"/>
      <c r="H449" s="1"/>
      <c r="I449" s="1"/>
      <c r="J449" s="1"/>
      <c r="K449" s="1"/>
      <c r="L449" s="1"/>
    </row>
    <row r="450" ht="14.25" customHeight="1">
      <c r="A450" s="52"/>
      <c r="B450" s="53"/>
      <c r="C450" s="1"/>
      <c r="D450" s="1"/>
      <c r="E450" s="1"/>
      <c r="F450" s="1"/>
      <c r="G450" s="1"/>
      <c r="H450" s="1"/>
      <c r="I450" s="1"/>
      <c r="J450" s="1"/>
      <c r="K450" s="1"/>
      <c r="L450" s="1"/>
    </row>
    <row r="451" ht="14.25" customHeight="1">
      <c r="A451" s="52"/>
      <c r="B451" s="53"/>
      <c r="C451" s="1"/>
      <c r="D451" s="1"/>
      <c r="E451" s="1"/>
      <c r="F451" s="1"/>
      <c r="G451" s="1"/>
      <c r="H451" s="1"/>
      <c r="I451" s="1"/>
      <c r="J451" s="1"/>
      <c r="K451" s="1"/>
      <c r="L451" s="1"/>
    </row>
    <row r="452" ht="14.25" customHeight="1">
      <c r="A452" s="52"/>
      <c r="B452" s="53"/>
      <c r="C452" s="1"/>
      <c r="D452" s="1"/>
      <c r="E452" s="1"/>
      <c r="F452" s="1"/>
      <c r="G452" s="1"/>
      <c r="H452" s="1"/>
      <c r="I452" s="1"/>
      <c r="J452" s="1"/>
      <c r="K452" s="1"/>
      <c r="L452" s="1"/>
    </row>
    <row r="453" ht="14.25" customHeight="1">
      <c r="A453" s="52"/>
      <c r="B453" s="53"/>
      <c r="C453" s="1"/>
      <c r="D453" s="1"/>
      <c r="E453" s="1"/>
      <c r="F453" s="1"/>
      <c r="G453" s="1"/>
      <c r="H453" s="1"/>
      <c r="I453" s="1"/>
      <c r="J453" s="1"/>
      <c r="K453" s="1"/>
      <c r="L453" s="1"/>
    </row>
    <row r="454" ht="14.25" customHeight="1">
      <c r="A454" s="52"/>
      <c r="B454" s="53"/>
      <c r="C454" s="1"/>
      <c r="D454" s="1"/>
      <c r="E454" s="1"/>
      <c r="F454" s="1"/>
      <c r="G454" s="1"/>
      <c r="H454" s="1"/>
      <c r="I454" s="1"/>
      <c r="J454" s="1"/>
      <c r="K454" s="1"/>
      <c r="L454" s="1"/>
    </row>
    <row r="455" ht="14.25" customHeight="1">
      <c r="A455" s="52"/>
      <c r="B455" s="53"/>
      <c r="C455" s="1"/>
      <c r="D455" s="1"/>
      <c r="E455" s="1"/>
      <c r="F455" s="1"/>
      <c r="G455" s="1"/>
      <c r="H455" s="1"/>
      <c r="I455" s="1"/>
      <c r="J455" s="1"/>
      <c r="K455" s="1"/>
      <c r="L455" s="1"/>
    </row>
    <row r="456" ht="14.25" customHeight="1">
      <c r="A456" s="52"/>
      <c r="B456" s="53"/>
      <c r="C456" s="1"/>
      <c r="D456" s="1"/>
      <c r="E456" s="1"/>
      <c r="F456" s="1"/>
      <c r="G456" s="1"/>
      <c r="H456" s="1"/>
      <c r="I456" s="1"/>
      <c r="J456" s="1"/>
      <c r="K456" s="1"/>
      <c r="L456" s="1"/>
    </row>
    <row r="457" ht="14.25" customHeight="1">
      <c r="A457" s="52"/>
      <c r="B457" s="53"/>
      <c r="C457" s="1"/>
      <c r="D457" s="1"/>
      <c r="E457" s="1"/>
      <c r="F457" s="1"/>
      <c r="G457" s="1"/>
      <c r="H457" s="1"/>
      <c r="I457" s="1"/>
      <c r="J457" s="1"/>
      <c r="K457" s="1"/>
      <c r="L457" s="1"/>
    </row>
    <row r="458" ht="14.25" customHeight="1">
      <c r="A458" s="52"/>
      <c r="B458" s="53"/>
      <c r="C458" s="1"/>
      <c r="D458" s="1"/>
      <c r="E458" s="1"/>
      <c r="F458" s="1"/>
      <c r="G458" s="1"/>
      <c r="H458" s="1"/>
      <c r="I458" s="1"/>
      <c r="J458" s="1"/>
      <c r="K458" s="1"/>
      <c r="L458" s="1"/>
    </row>
    <row r="459" ht="14.25" customHeight="1">
      <c r="A459" s="52"/>
      <c r="B459" s="53"/>
      <c r="C459" s="1"/>
      <c r="D459" s="1"/>
      <c r="E459" s="1"/>
      <c r="F459" s="1"/>
      <c r="G459" s="1"/>
      <c r="H459" s="1"/>
      <c r="I459" s="1"/>
      <c r="J459" s="1"/>
      <c r="K459" s="1"/>
      <c r="L459" s="1"/>
    </row>
    <row r="460" ht="14.25" customHeight="1">
      <c r="A460" s="52"/>
      <c r="B460" s="53"/>
      <c r="C460" s="1"/>
      <c r="D460" s="1"/>
      <c r="E460" s="1"/>
      <c r="F460" s="1"/>
      <c r="G460" s="1"/>
      <c r="H460" s="1"/>
      <c r="I460" s="1"/>
      <c r="J460" s="1"/>
      <c r="K460" s="1"/>
      <c r="L460" s="1"/>
    </row>
    <row r="461" ht="14.25" customHeight="1">
      <c r="A461" s="52"/>
      <c r="B461" s="53"/>
      <c r="C461" s="1"/>
      <c r="D461" s="1"/>
      <c r="E461" s="1"/>
      <c r="F461" s="1"/>
      <c r="G461" s="1"/>
      <c r="H461" s="1"/>
      <c r="I461" s="1"/>
      <c r="J461" s="1"/>
      <c r="K461" s="1"/>
      <c r="L461" s="1"/>
    </row>
    <row r="462" ht="14.25" customHeight="1">
      <c r="A462" s="52"/>
      <c r="B462" s="53"/>
      <c r="C462" s="1"/>
      <c r="D462" s="1"/>
      <c r="E462" s="1"/>
      <c r="F462" s="1"/>
      <c r="G462" s="1"/>
      <c r="H462" s="1"/>
      <c r="I462" s="1"/>
      <c r="J462" s="1"/>
      <c r="K462" s="1"/>
      <c r="L462" s="1"/>
    </row>
    <row r="463" ht="14.25" customHeight="1">
      <c r="A463" s="52"/>
      <c r="B463" s="53"/>
      <c r="C463" s="1"/>
      <c r="D463" s="1"/>
      <c r="E463" s="1"/>
      <c r="F463" s="1"/>
      <c r="G463" s="1"/>
      <c r="H463" s="1"/>
      <c r="I463" s="1"/>
      <c r="J463" s="1"/>
      <c r="K463" s="1"/>
      <c r="L463" s="1"/>
    </row>
    <row r="464" ht="14.25" customHeight="1">
      <c r="A464" s="52"/>
      <c r="B464" s="53"/>
      <c r="C464" s="1"/>
      <c r="D464" s="1"/>
      <c r="E464" s="1"/>
      <c r="F464" s="1"/>
      <c r="G464" s="1"/>
      <c r="H464" s="1"/>
      <c r="I464" s="1"/>
      <c r="J464" s="1"/>
      <c r="K464" s="1"/>
      <c r="L464" s="1"/>
    </row>
    <row r="465" ht="14.25" customHeight="1">
      <c r="A465" s="52"/>
      <c r="B465" s="53"/>
      <c r="C465" s="1"/>
      <c r="D465" s="1"/>
      <c r="E465" s="1"/>
      <c r="F465" s="1"/>
      <c r="G465" s="1"/>
      <c r="H465" s="1"/>
      <c r="I465" s="1"/>
      <c r="J465" s="1"/>
      <c r="K465" s="1"/>
      <c r="L465" s="1"/>
    </row>
    <row r="466" ht="14.25" customHeight="1">
      <c r="A466" s="52"/>
      <c r="B466" s="53"/>
      <c r="C466" s="1"/>
      <c r="D466" s="1"/>
      <c r="E466" s="1"/>
      <c r="F466" s="1"/>
      <c r="G466" s="1"/>
      <c r="H466" s="1"/>
      <c r="I466" s="1"/>
      <c r="J466" s="1"/>
      <c r="K466" s="1"/>
      <c r="L466" s="1"/>
    </row>
    <row r="467" ht="14.25" customHeight="1">
      <c r="A467" s="52"/>
      <c r="B467" s="53"/>
      <c r="C467" s="1"/>
      <c r="D467" s="1"/>
      <c r="E467" s="1"/>
      <c r="F467" s="1"/>
      <c r="G467" s="1"/>
      <c r="H467" s="1"/>
      <c r="I467" s="1"/>
      <c r="J467" s="1"/>
      <c r="K467" s="1"/>
      <c r="L467" s="1"/>
    </row>
    <row r="468" ht="14.25" customHeight="1">
      <c r="A468" s="52"/>
      <c r="B468" s="53"/>
      <c r="C468" s="1"/>
      <c r="D468" s="1"/>
      <c r="E468" s="1"/>
      <c r="F468" s="1"/>
      <c r="G468" s="1"/>
      <c r="H468" s="1"/>
      <c r="I468" s="1"/>
      <c r="J468" s="1"/>
      <c r="K468" s="1"/>
      <c r="L468" s="1"/>
    </row>
    <row r="469" ht="14.25" customHeight="1">
      <c r="A469" s="52"/>
      <c r="B469" s="53"/>
      <c r="C469" s="1"/>
      <c r="D469" s="1"/>
      <c r="E469" s="1"/>
      <c r="F469" s="1"/>
      <c r="G469" s="1"/>
      <c r="H469" s="1"/>
      <c r="I469" s="1"/>
      <c r="J469" s="1"/>
      <c r="K469" s="1"/>
      <c r="L469" s="1"/>
    </row>
    <row r="470" ht="14.25" customHeight="1">
      <c r="A470" s="52"/>
      <c r="B470" s="53"/>
      <c r="C470" s="1"/>
      <c r="D470" s="1"/>
      <c r="E470" s="1"/>
      <c r="F470" s="1"/>
      <c r="G470" s="1"/>
      <c r="H470" s="1"/>
      <c r="I470" s="1"/>
      <c r="J470" s="1"/>
      <c r="K470" s="1"/>
      <c r="L470" s="1"/>
    </row>
    <row r="471" ht="14.25" customHeight="1">
      <c r="A471" s="52"/>
      <c r="B471" s="53"/>
      <c r="C471" s="1"/>
      <c r="D471" s="1"/>
      <c r="E471" s="1"/>
      <c r="F471" s="1"/>
      <c r="G471" s="1"/>
      <c r="H471" s="1"/>
      <c r="I471" s="1"/>
      <c r="J471" s="1"/>
      <c r="K471" s="1"/>
      <c r="L471" s="1"/>
    </row>
    <row r="472" ht="14.25" customHeight="1">
      <c r="A472" s="52"/>
      <c r="B472" s="53"/>
      <c r="C472" s="1"/>
      <c r="D472" s="1"/>
      <c r="E472" s="1"/>
      <c r="F472" s="1"/>
      <c r="G472" s="1"/>
      <c r="H472" s="1"/>
      <c r="I472" s="1"/>
      <c r="J472" s="1"/>
      <c r="K472" s="1"/>
      <c r="L472" s="1"/>
    </row>
    <row r="473" ht="14.25" customHeight="1">
      <c r="A473" s="52"/>
      <c r="B473" s="53"/>
      <c r="C473" s="1"/>
      <c r="D473" s="1"/>
      <c r="E473" s="1"/>
      <c r="F473" s="1"/>
      <c r="G473" s="1"/>
      <c r="H473" s="1"/>
      <c r="I473" s="1"/>
      <c r="J473" s="1"/>
      <c r="K473" s="1"/>
      <c r="L473" s="1"/>
    </row>
    <row r="474" ht="14.25" customHeight="1">
      <c r="A474" s="52"/>
      <c r="B474" s="53"/>
      <c r="C474" s="1"/>
      <c r="D474" s="1"/>
      <c r="E474" s="1"/>
      <c r="F474" s="1"/>
      <c r="G474" s="1"/>
      <c r="H474" s="1"/>
      <c r="I474" s="1"/>
      <c r="J474" s="1"/>
      <c r="K474" s="1"/>
      <c r="L474" s="1"/>
    </row>
    <row r="475" ht="14.25" customHeight="1">
      <c r="A475" s="52"/>
      <c r="B475" s="53"/>
      <c r="C475" s="1"/>
      <c r="D475" s="1"/>
      <c r="E475" s="1"/>
      <c r="F475" s="1"/>
      <c r="G475" s="1"/>
      <c r="H475" s="1"/>
      <c r="I475" s="1"/>
      <c r="J475" s="1"/>
      <c r="K475" s="1"/>
      <c r="L475" s="1"/>
    </row>
    <row r="476" ht="14.25" customHeight="1">
      <c r="A476" s="52"/>
      <c r="B476" s="53"/>
      <c r="C476" s="1"/>
      <c r="D476" s="1"/>
      <c r="E476" s="1"/>
      <c r="F476" s="1"/>
      <c r="G476" s="1"/>
      <c r="H476" s="1"/>
      <c r="I476" s="1"/>
      <c r="J476" s="1"/>
      <c r="K476" s="1"/>
      <c r="L476" s="1"/>
    </row>
    <row r="477" ht="14.25" customHeight="1">
      <c r="A477" s="52"/>
      <c r="B477" s="53"/>
      <c r="C477" s="1"/>
      <c r="D477" s="1"/>
      <c r="E477" s="1"/>
      <c r="F477" s="1"/>
      <c r="G477" s="1"/>
      <c r="H477" s="1"/>
      <c r="I477" s="1"/>
      <c r="J477" s="1"/>
      <c r="K477" s="1"/>
      <c r="L477" s="1"/>
    </row>
    <row r="478" ht="14.25" customHeight="1">
      <c r="A478" s="52"/>
      <c r="B478" s="53"/>
      <c r="C478" s="1"/>
      <c r="D478" s="1"/>
      <c r="E478" s="1"/>
      <c r="F478" s="1"/>
      <c r="G478" s="1"/>
      <c r="H478" s="1"/>
      <c r="I478" s="1"/>
      <c r="J478" s="1"/>
      <c r="K478" s="1"/>
      <c r="L478" s="1"/>
    </row>
    <row r="479" ht="14.25" customHeight="1">
      <c r="A479" s="52"/>
      <c r="B479" s="53"/>
      <c r="C479" s="1"/>
      <c r="D479" s="1"/>
      <c r="E479" s="1"/>
      <c r="F479" s="1"/>
      <c r="G479" s="1"/>
      <c r="H479" s="1"/>
      <c r="I479" s="1"/>
      <c r="J479" s="1"/>
      <c r="K479" s="1"/>
      <c r="L479" s="1"/>
    </row>
    <row r="480" ht="14.25" customHeight="1">
      <c r="A480" s="52"/>
      <c r="B480" s="53"/>
      <c r="C480" s="1"/>
      <c r="D480" s="1"/>
      <c r="E480" s="1"/>
      <c r="F480" s="1"/>
      <c r="G480" s="1"/>
      <c r="H480" s="1"/>
      <c r="I480" s="1"/>
      <c r="J480" s="1"/>
      <c r="K480" s="1"/>
      <c r="L480" s="1"/>
    </row>
    <row r="481" ht="14.25" customHeight="1">
      <c r="A481" s="52"/>
      <c r="B481" s="53"/>
      <c r="C481" s="1"/>
      <c r="D481" s="1"/>
      <c r="E481" s="1"/>
      <c r="F481" s="1"/>
      <c r="G481" s="1"/>
      <c r="H481" s="1"/>
      <c r="I481" s="1"/>
      <c r="J481" s="1"/>
      <c r="K481" s="1"/>
      <c r="L481" s="1"/>
    </row>
    <row r="482" ht="14.25" customHeight="1">
      <c r="A482" s="52"/>
      <c r="B482" s="53"/>
      <c r="C482" s="1"/>
      <c r="D482" s="1"/>
      <c r="E482" s="1"/>
      <c r="F482" s="1"/>
      <c r="G482" s="1"/>
      <c r="H482" s="1"/>
      <c r="I482" s="1"/>
      <c r="J482" s="1"/>
      <c r="K482" s="1"/>
      <c r="L482" s="1"/>
    </row>
    <row r="483" ht="14.25" customHeight="1">
      <c r="A483" s="52"/>
      <c r="B483" s="53"/>
      <c r="C483" s="1"/>
      <c r="D483" s="1"/>
      <c r="E483" s="1"/>
      <c r="F483" s="1"/>
      <c r="G483" s="1"/>
      <c r="H483" s="1"/>
      <c r="I483" s="1"/>
      <c r="J483" s="1"/>
      <c r="K483" s="1"/>
      <c r="L483" s="1"/>
    </row>
    <row r="484" ht="14.25" customHeight="1">
      <c r="A484" s="52"/>
      <c r="B484" s="53"/>
      <c r="C484" s="1"/>
      <c r="D484" s="1"/>
      <c r="E484" s="1"/>
      <c r="F484" s="1"/>
      <c r="G484" s="1"/>
      <c r="H484" s="1"/>
      <c r="I484" s="1"/>
      <c r="J484" s="1"/>
      <c r="K484" s="1"/>
      <c r="L484" s="1"/>
    </row>
    <row r="485" ht="14.25" customHeight="1">
      <c r="A485" s="52"/>
      <c r="B485" s="53"/>
      <c r="C485" s="1"/>
      <c r="D485" s="1"/>
      <c r="E485" s="1"/>
      <c r="F485" s="1"/>
      <c r="G485" s="1"/>
      <c r="H485" s="1"/>
      <c r="I485" s="1"/>
      <c r="J485" s="1"/>
      <c r="K485" s="1"/>
      <c r="L485" s="1"/>
    </row>
    <row r="486" ht="14.25" customHeight="1">
      <c r="A486" s="52"/>
      <c r="B486" s="53"/>
      <c r="C486" s="1"/>
      <c r="D486" s="1"/>
      <c r="E486" s="1"/>
      <c r="F486" s="1"/>
      <c r="G486" s="1"/>
      <c r="H486" s="1"/>
      <c r="I486" s="1"/>
      <c r="J486" s="1"/>
      <c r="K486" s="1"/>
      <c r="L486" s="1"/>
    </row>
    <row r="487" ht="14.25" customHeight="1">
      <c r="A487" s="52"/>
      <c r="B487" s="53"/>
      <c r="C487" s="1"/>
      <c r="D487" s="1"/>
      <c r="E487" s="1"/>
      <c r="F487" s="1"/>
      <c r="G487" s="1"/>
      <c r="H487" s="1"/>
      <c r="I487" s="1"/>
      <c r="J487" s="1"/>
      <c r="K487" s="1"/>
      <c r="L487" s="1"/>
    </row>
    <row r="488" ht="14.25" customHeight="1">
      <c r="A488" s="52"/>
      <c r="B488" s="53"/>
      <c r="C488" s="1"/>
      <c r="D488" s="1"/>
      <c r="E488" s="1"/>
      <c r="F488" s="1"/>
      <c r="G488" s="1"/>
      <c r="H488" s="1"/>
      <c r="I488" s="1"/>
      <c r="J488" s="1"/>
      <c r="K488" s="1"/>
      <c r="L488" s="1"/>
    </row>
    <row r="489" ht="14.25" customHeight="1">
      <c r="A489" s="52"/>
      <c r="B489" s="53"/>
      <c r="C489" s="1"/>
      <c r="D489" s="1"/>
      <c r="E489" s="1"/>
      <c r="F489" s="1"/>
      <c r="G489" s="1"/>
      <c r="H489" s="1"/>
      <c r="I489" s="1"/>
      <c r="J489" s="1"/>
      <c r="K489" s="1"/>
      <c r="L489" s="1"/>
    </row>
    <row r="490" ht="14.25" customHeight="1">
      <c r="A490" s="52"/>
      <c r="B490" s="53"/>
      <c r="C490" s="1"/>
      <c r="D490" s="1"/>
      <c r="E490" s="1"/>
      <c r="F490" s="1"/>
      <c r="G490" s="1"/>
      <c r="H490" s="1"/>
      <c r="I490" s="1"/>
      <c r="J490" s="1"/>
      <c r="K490" s="1"/>
      <c r="L490" s="1"/>
    </row>
    <row r="491" ht="14.25" customHeight="1">
      <c r="A491" s="52"/>
      <c r="B491" s="53"/>
      <c r="C491" s="1"/>
      <c r="D491" s="1"/>
      <c r="E491" s="1"/>
      <c r="F491" s="1"/>
      <c r="G491" s="1"/>
      <c r="H491" s="1"/>
      <c r="I491" s="1"/>
      <c r="J491" s="1"/>
      <c r="K491" s="1"/>
      <c r="L491" s="1"/>
    </row>
    <row r="492" ht="14.25" customHeight="1">
      <c r="A492" s="52"/>
      <c r="B492" s="53"/>
      <c r="C492" s="1"/>
      <c r="D492" s="1"/>
      <c r="E492" s="1"/>
      <c r="F492" s="1"/>
      <c r="G492" s="1"/>
      <c r="H492" s="1"/>
      <c r="I492" s="1"/>
      <c r="J492" s="1"/>
      <c r="K492" s="1"/>
      <c r="L492" s="1"/>
    </row>
    <row r="493" ht="14.25" customHeight="1">
      <c r="A493" s="52"/>
      <c r="B493" s="53"/>
      <c r="C493" s="1"/>
      <c r="D493" s="1"/>
      <c r="E493" s="1"/>
      <c r="F493" s="1"/>
      <c r="G493" s="1"/>
      <c r="H493" s="1"/>
      <c r="I493" s="1"/>
      <c r="J493" s="1"/>
      <c r="K493" s="1"/>
      <c r="L493" s="1"/>
    </row>
    <row r="494" ht="14.25" customHeight="1">
      <c r="A494" s="52"/>
      <c r="B494" s="53"/>
      <c r="C494" s="1"/>
      <c r="D494" s="1"/>
      <c r="E494" s="1"/>
      <c r="F494" s="1"/>
      <c r="G494" s="1"/>
      <c r="H494" s="1"/>
      <c r="I494" s="1"/>
      <c r="J494" s="1"/>
      <c r="K494" s="1"/>
      <c r="L494" s="1"/>
    </row>
    <row r="495" ht="14.25" customHeight="1">
      <c r="A495" s="52"/>
      <c r="B495" s="53"/>
      <c r="C495" s="1"/>
      <c r="D495" s="1"/>
      <c r="E495" s="1"/>
      <c r="F495" s="1"/>
      <c r="G495" s="1"/>
      <c r="H495" s="1"/>
      <c r="I495" s="1"/>
      <c r="J495" s="1"/>
      <c r="K495" s="1"/>
      <c r="L495" s="1"/>
    </row>
    <row r="496" ht="14.25" customHeight="1">
      <c r="A496" s="52"/>
      <c r="B496" s="53"/>
      <c r="C496" s="1"/>
      <c r="D496" s="1"/>
      <c r="E496" s="1"/>
      <c r="F496" s="1"/>
      <c r="G496" s="1"/>
      <c r="H496" s="1"/>
      <c r="I496" s="1"/>
      <c r="J496" s="1"/>
      <c r="K496" s="1"/>
      <c r="L496" s="1"/>
    </row>
    <row r="497" ht="14.25" customHeight="1">
      <c r="A497" s="52"/>
      <c r="B497" s="53"/>
      <c r="C497" s="1"/>
      <c r="D497" s="1"/>
      <c r="E497" s="1"/>
      <c r="F497" s="1"/>
      <c r="G497" s="1"/>
      <c r="H497" s="1"/>
      <c r="I497" s="1"/>
      <c r="J497" s="1"/>
      <c r="K497" s="1"/>
      <c r="L497" s="1"/>
    </row>
    <row r="498" ht="14.25" customHeight="1">
      <c r="A498" s="52"/>
      <c r="B498" s="53"/>
      <c r="C498" s="1"/>
      <c r="D498" s="1"/>
      <c r="E498" s="1"/>
      <c r="F498" s="1"/>
      <c r="G498" s="1"/>
      <c r="H498" s="1"/>
      <c r="I498" s="1"/>
      <c r="J498" s="1"/>
      <c r="K498" s="1"/>
      <c r="L498" s="1"/>
    </row>
    <row r="499" ht="14.25" customHeight="1">
      <c r="A499" s="52"/>
      <c r="B499" s="53"/>
      <c r="C499" s="1"/>
      <c r="D499" s="1"/>
      <c r="E499" s="1"/>
      <c r="F499" s="1"/>
      <c r="G499" s="1"/>
      <c r="H499" s="1"/>
      <c r="I499" s="1"/>
      <c r="J499" s="1"/>
      <c r="K499" s="1"/>
      <c r="L499" s="1"/>
    </row>
    <row r="500" ht="14.25" customHeight="1">
      <c r="A500" s="52"/>
      <c r="B500" s="53"/>
      <c r="C500" s="1"/>
      <c r="D500" s="1"/>
      <c r="E500" s="1"/>
      <c r="F500" s="1"/>
      <c r="G500" s="1"/>
      <c r="H500" s="1"/>
      <c r="I500" s="1"/>
      <c r="J500" s="1"/>
      <c r="K500" s="1"/>
      <c r="L500" s="1"/>
    </row>
    <row r="501" ht="14.25" customHeight="1">
      <c r="A501" s="52"/>
      <c r="B501" s="53"/>
      <c r="C501" s="1"/>
      <c r="D501" s="1"/>
      <c r="E501" s="1"/>
      <c r="F501" s="1"/>
      <c r="G501" s="1"/>
      <c r="H501" s="1"/>
      <c r="I501" s="1"/>
      <c r="J501" s="1"/>
      <c r="K501" s="1"/>
      <c r="L501" s="1"/>
    </row>
    <row r="502" ht="14.25" customHeight="1">
      <c r="A502" s="52"/>
      <c r="B502" s="53"/>
      <c r="C502" s="1"/>
      <c r="D502" s="1"/>
      <c r="E502" s="1"/>
      <c r="F502" s="1"/>
      <c r="G502" s="1"/>
      <c r="H502" s="1"/>
      <c r="I502" s="1"/>
      <c r="J502" s="1"/>
      <c r="K502" s="1"/>
      <c r="L502" s="1"/>
    </row>
    <row r="503" ht="14.25" customHeight="1">
      <c r="A503" s="52"/>
      <c r="B503" s="53"/>
      <c r="C503" s="1"/>
      <c r="D503" s="1"/>
      <c r="E503" s="1"/>
      <c r="F503" s="1"/>
      <c r="G503" s="1"/>
      <c r="H503" s="1"/>
      <c r="I503" s="1"/>
      <c r="J503" s="1"/>
      <c r="K503" s="1"/>
      <c r="L503" s="1"/>
    </row>
    <row r="504" ht="14.25" customHeight="1">
      <c r="A504" s="52"/>
      <c r="B504" s="53"/>
      <c r="C504" s="1"/>
      <c r="D504" s="1"/>
      <c r="E504" s="1"/>
      <c r="F504" s="1"/>
      <c r="G504" s="1"/>
      <c r="H504" s="1"/>
      <c r="I504" s="1"/>
      <c r="J504" s="1"/>
      <c r="K504" s="1"/>
      <c r="L504" s="1"/>
    </row>
    <row r="505" ht="14.25" customHeight="1">
      <c r="A505" s="52"/>
      <c r="B505" s="53"/>
      <c r="C505" s="1"/>
      <c r="D505" s="1"/>
      <c r="E505" s="1"/>
      <c r="F505" s="1"/>
      <c r="G505" s="1"/>
      <c r="H505" s="1"/>
      <c r="I505" s="1"/>
      <c r="J505" s="1"/>
      <c r="K505" s="1"/>
      <c r="L505" s="1"/>
    </row>
    <row r="506" ht="14.25" customHeight="1">
      <c r="A506" s="52"/>
      <c r="B506" s="53"/>
      <c r="C506" s="1"/>
      <c r="D506" s="1"/>
      <c r="E506" s="1"/>
      <c r="F506" s="1"/>
      <c r="G506" s="1"/>
      <c r="H506" s="1"/>
      <c r="I506" s="1"/>
      <c r="J506" s="1"/>
      <c r="K506" s="1"/>
      <c r="L506" s="1"/>
    </row>
    <row r="507" ht="14.25" customHeight="1">
      <c r="A507" s="52"/>
      <c r="B507" s="53"/>
      <c r="C507" s="1"/>
      <c r="D507" s="1"/>
      <c r="E507" s="1"/>
      <c r="F507" s="1"/>
      <c r="G507" s="1"/>
      <c r="H507" s="1"/>
      <c r="I507" s="1"/>
      <c r="J507" s="1"/>
      <c r="K507" s="1"/>
      <c r="L507" s="1"/>
    </row>
    <row r="508" ht="14.25" customHeight="1">
      <c r="A508" s="52"/>
      <c r="B508" s="53"/>
      <c r="C508" s="1"/>
      <c r="D508" s="1"/>
      <c r="E508" s="1"/>
      <c r="F508" s="1"/>
      <c r="G508" s="1"/>
      <c r="H508" s="1"/>
      <c r="I508" s="1"/>
      <c r="J508" s="1"/>
      <c r="K508" s="1"/>
      <c r="L508" s="1"/>
    </row>
    <row r="509" ht="14.25" customHeight="1">
      <c r="A509" s="52"/>
      <c r="B509" s="53"/>
      <c r="C509" s="1"/>
      <c r="D509" s="1"/>
      <c r="E509" s="1"/>
      <c r="F509" s="1"/>
      <c r="G509" s="1"/>
      <c r="H509" s="1"/>
      <c r="I509" s="1"/>
      <c r="J509" s="1"/>
      <c r="K509" s="1"/>
      <c r="L509" s="1"/>
    </row>
    <row r="510" ht="14.25" customHeight="1">
      <c r="A510" s="52"/>
      <c r="B510" s="53"/>
      <c r="C510" s="1"/>
      <c r="D510" s="1"/>
      <c r="E510" s="1"/>
      <c r="F510" s="1"/>
      <c r="G510" s="1"/>
      <c r="H510" s="1"/>
      <c r="I510" s="1"/>
      <c r="J510" s="1"/>
      <c r="K510" s="1"/>
      <c r="L510" s="1"/>
    </row>
    <row r="511" ht="14.25" customHeight="1">
      <c r="A511" s="52"/>
      <c r="B511" s="53"/>
      <c r="C511" s="1"/>
      <c r="D511" s="1"/>
      <c r="E511" s="1"/>
      <c r="F511" s="1"/>
      <c r="G511" s="1"/>
      <c r="H511" s="1"/>
      <c r="I511" s="1"/>
      <c r="J511" s="1"/>
      <c r="K511" s="1"/>
      <c r="L511" s="1"/>
    </row>
    <row r="512" ht="14.25" customHeight="1">
      <c r="A512" s="52"/>
      <c r="B512" s="53"/>
      <c r="C512" s="1"/>
      <c r="D512" s="1"/>
      <c r="E512" s="1"/>
      <c r="F512" s="1"/>
      <c r="G512" s="1"/>
      <c r="H512" s="1"/>
      <c r="I512" s="1"/>
      <c r="J512" s="1"/>
      <c r="K512" s="1"/>
      <c r="L512" s="1"/>
    </row>
    <row r="513" ht="14.25" customHeight="1">
      <c r="A513" s="52"/>
      <c r="B513" s="53"/>
      <c r="C513" s="1"/>
      <c r="D513" s="1"/>
      <c r="E513" s="1"/>
      <c r="F513" s="1"/>
      <c r="G513" s="1"/>
      <c r="H513" s="1"/>
      <c r="I513" s="1"/>
      <c r="J513" s="1"/>
      <c r="K513" s="1"/>
      <c r="L513" s="1"/>
    </row>
    <row r="514" ht="14.25" customHeight="1">
      <c r="A514" s="52"/>
      <c r="B514" s="53"/>
      <c r="C514" s="1"/>
      <c r="D514" s="1"/>
      <c r="E514" s="1"/>
      <c r="F514" s="1"/>
      <c r="G514" s="1"/>
      <c r="H514" s="1"/>
      <c r="I514" s="1"/>
      <c r="J514" s="1"/>
      <c r="K514" s="1"/>
      <c r="L514" s="1"/>
    </row>
    <row r="515" ht="14.25" customHeight="1">
      <c r="A515" s="52"/>
      <c r="B515" s="53"/>
      <c r="C515" s="1"/>
      <c r="D515" s="1"/>
      <c r="E515" s="1"/>
      <c r="F515" s="1"/>
      <c r="G515" s="1"/>
      <c r="H515" s="1"/>
      <c r="I515" s="1"/>
      <c r="J515" s="1"/>
      <c r="K515" s="1"/>
      <c r="L515" s="1"/>
    </row>
    <row r="516" ht="14.25" customHeight="1">
      <c r="A516" s="52"/>
      <c r="B516" s="53"/>
      <c r="C516" s="1"/>
      <c r="D516" s="1"/>
      <c r="E516" s="1"/>
      <c r="F516" s="1"/>
      <c r="G516" s="1"/>
      <c r="H516" s="1"/>
      <c r="I516" s="1"/>
      <c r="J516" s="1"/>
      <c r="K516" s="1"/>
      <c r="L516" s="1"/>
    </row>
    <row r="517" ht="14.25" customHeight="1">
      <c r="A517" s="52"/>
      <c r="B517" s="53"/>
      <c r="C517" s="1"/>
      <c r="D517" s="1"/>
      <c r="E517" s="1"/>
      <c r="F517" s="1"/>
      <c r="G517" s="1"/>
      <c r="H517" s="1"/>
      <c r="I517" s="1"/>
      <c r="J517" s="1"/>
      <c r="K517" s="1"/>
      <c r="L517" s="1"/>
    </row>
    <row r="518" ht="14.25" customHeight="1">
      <c r="A518" s="52"/>
      <c r="B518" s="53"/>
      <c r="C518" s="1"/>
      <c r="D518" s="1"/>
      <c r="E518" s="1"/>
      <c r="F518" s="1"/>
      <c r="G518" s="1"/>
      <c r="H518" s="1"/>
      <c r="I518" s="1"/>
      <c r="J518" s="1"/>
      <c r="K518" s="1"/>
      <c r="L518" s="1"/>
    </row>
    <row r="519" ht="14.25" customHeight="1">
      <c r="A519" s="52"/>
      <c r="B519" s="53"/>
      <c r="C519" s="1"/>
      <c r="D519" s="1"/>
      <c r="E519" s="1"/>
      <c r="F519" s="1"/>
      <c r="G519" s="1"/>
      <c r="H519" s="1"/>
      <c r="I519" s="1"/>
      <c r="J519" s="1"/>
      <c r="K519" s="1"/>
      <c r="L519" s="1"/>
    </row>
    <row r="520" ht="14.25" customHeight="1">
      <c r="A520" s="52"/>
      <c r="B520" s="53"/>
      <c r="C520" s="1"/>
      <c r="D520" s="1"/>
      <c r="E520" s="1"/>
      <c r="F520" s="1"/>
      <c r="G520" s="1"/>
      <c r="H520" s="1"/>
      <c r="I520" s="1"/>
      <c r="J520" s="1"/>
      <c r="K520" s="1"/>
      <c r="L520" s="1"/>
    </row>
    <row r="521" ht="14.25" customHeight="1">
      <c r="A521" s="52"/>
      <c r="B521" s="53"/>
      <c r="C521" s="1"/>
      <c r="D521" s="1"/>
      <c r="E521" s="1"/>
      <c r="F521" s="1"/>
      <c r="G521" s="1"/>
      <c r="H521" s="1"/>
      <c r="I521" s="1"/>
      <c r="J521" s="1"/>
      <c r="K521" s="1"/>
      <c r="L521" s="1"/>
    </row>
    <row r="522" ht="14.25" customHeight="1">
      <c r="A522" s="52"/>
      <c r="B522" s="53"/>
      <c r="C522" s="1"/>
      <c r="D522" s="1"/>
      <c r="E522" s="1"/>
      <c r="F522" s="1"/>
      <c r="G522" s="1"/>
      <c r="H522" s="1"/>
      <c r="I522" s="1"/>
      <c r="J522" s="1"/>
      <c r="K522" s="1"/>
      <c r="L522" s="1"/>
    </row>
    <row r="523" ht="14.25" customHeight="1">
      <c r="A523" s="52"/>
      <c r="B523" s="53"/>
      <c r="C523" s="1"/>
      <c r="D523" s="1"/>
      <c r="E523" s="1"/>
      <c r="F523" s="1"/>
      <c r="G523" s="1"/>
      <c r="H523" s="1"/>
      <c r="I523" s="1"/>
      <c r="J523" s="1"/>
      <c r="K523" s="1"/>
      <c r="L523" s="1"/>
    </row>
    <row r="524" ht="14.25" customHeight="1">
      <c r="A524" s="52"/>
      <c r="B524" s="53"/>
      <c r="C524" s="1"/>
      <c r="D524" s="1"/>
      <c r="E524" s="1"/>
      <c r="F524" s="1"/>
      <c r="G524" s="1"/>
      <c r="H524" s="1"/>
      <c r="I524" s="1"/>
      <c r="J524" s="1"/>
      <c r="K524" s="1"/>
      <c r="L524" s="1"/>
    </row>
    <row r="525" ht="14.25" customHeight="1">
      <c r="A525" s="52"/>
      <c r="B525" s="53"/>
      <c r="C525" s="1"/>
      <c r="D525" s="1"/>
      <c r="E525" s="1"/>
      <c r="F525" s="1"/>
      <c r="G525" s="1"/>
      <c r="H525" s="1"/>
      <c r="I525" s="1"/>
      <c r="J525" s="1"/>
      <c r="K525" s="1"/>
      <c r="L525" s="1"/>
    </row>
    <row r="526" ht="14.25" customHeight="1">
      <c r="A526" s="52"/>
      <c r="B526" s="53"/>
      <c r="C526" s="1"/>
      <c r="D526" s="1"/>
      <c r="E526" s="1"/>
      <c r="F526" s="1"/>
      <c r="G526" s="1"/>
      <c r="H526" s="1"/>
      <c r="I526" s="1"/>
      <c r="J526" s="1"/>
      <c r="K526" s="1"/>
      <c r="L526" s="1"/>
    </row>
    <row r="527" ht="14.25" customHeight="1">
      <c r="A527" s="52"/>
      <c r="B527" s="53"/>
      <c r="C527" s="1"/>
      <c r="D527" s="1"/>
      <c r="E527" s="1"/>
      <c r="F527" s="1"/>
      <c r="G527" s="1"/>
      <c r="H527" s="1"/>
      <c r="I527" s="1"/>
      <c r="J527" s="1"/>
      <c r="K527" s="1"/>
      <c r="L527" s="1"/>
    </row>
    <row r="528" ht="14.25" customHeight="1">
      <c r="A528" s="52"/>
      <c r="B528" s="53"/>
      <c r="C528" s="1"/>
      <c r="D528" s="1"/>
      <c r="E528" s="1"/>
      <c r="F528" s="1"/>
      <c r="G528" s="1"/>
      <c r="H528" s="1"/>
      <c r="I528" s="1"/>
      <c r="J528" s="1"/>
      <c r="K528" s="1"/>
      <c r="L528" s="1"/>
    </row>
    <row r="529" ht="14.25" customHeight="1">
      <c r="A529" s="52"/>
      <c r="B529" s="53"/>
      <c r="C529" s="1"/>
      <c r="D529" s="1"/>
      <c r="E529" s="1"/>
      <c r="F529" s="1"/>
      <c r="G529" s="1"/>
      <c r="H529" s="1"/>
      <c r="I529" s="1"/>
      <c r="J529" s="1"/>
      <c r="K529" s="1"/>
      <c r="L529" s="1"/>
    </row>
    <row r="530" ht="14.25" customHeight="1">
      <c r="A530" s="52"/>
      <c r="B530" s="53"/>
      <c r="C530" s="1"/>
      <c r="D530" s="1"/>
      <c r="E530" s="1"/>
      <c r="F530" s="1"/>
      <c r="G530" s="1"/>
      <c r="H530" s="1"/>
      <c r="I530" s="1"/>
      <c r="J530" s="1"/>
      <c r="K530" s="1"/>
      <c r="L530" s="1"/>
    </row>
    <row r="531" ht="14.25" customHeight="1">
      <c r="A531" s="52"/>
      <c r="B531" s="53"/>
      <c r="C531" s="1"/>
      <c r="D531" s="1"/>
      <c r="E531" s="1"/>
      <c r="F531" s="1"/>
      <c r="G531" s="1"/>
      <c r="H531" s="1"/>
      <c r="I531" s="1"/>
      <c r="J531" s="1"/>
      <c r="K531" s="1"/>
      <c r="L531" s="1"/>
    </row>
    <row r="532" ht="14.25" customHeight="1">
      <c r="A532" s="52"/>
      <c r="B532" s="53"/>
      <c r="C532" s="1"/>
      <c r="D532" s="1"/>
      <c r="E532" s="1"/>
      <c r="F532" s="1"/>
      <c r="G532" s="1"/>
      <c r="H532" s="1"/>
      <c r="I532" s="1"/>
      <c r="J532" s="1"/>
      <c r="K532" s="1"/>
      <c r="L532" s="1"/>
    </row>
    <row r="533" ht="14.25" customHeight="1">
      <c r="A533" s="52"/>
      <c r="B533" s="53"/>
      <c r="C533" s="1"/>
      <c r="D533" s="1"/>
      <c r="E533" s="1"/>
      <c r="F533" s="1"/>
      <c r="G533" s="1"/>
      <c r="H533" s="1"/>
      <c r="I533" s="1"/>
      <c r="J533" s="1"/>
      <c r="K533" s="1"/>
      <c r="L533" s="1"/>
    </row>
    <row r="534" ht="14.25" customHeight="1">
      <c r="A534" s="52"/>
      <c r="B534" s="53"/>
      <c r="C534" s="1"/>
      <c r="D534" s="1"/>
      <c r="E534" s="1"/>
      <c r="F534" s="1"/>
      <c r="G534" s="1"/>
      <c r="H534" s="1"/>
      <c r="I534" s="1"/>
      <c r="J534" s="1"/>
      <c r="K534" s="1"/>
      <c r="L534" s="1"/>
    </row>
    <row r="535" ht="14.25" customHeight="1">
      <c r="A535" s="52"/>
      <c r="B535" s="53"/>
      <c r="C535" s="1"/>
      <c r="D535" s="1"/>
      <c r="E535" s="1"/>
      <c r="F535" s="1"/>
      <c r="G535" s="1"/>
      <c r="H535" s="1"/>
      <c r="I535" s="1"/>
      <c r="J535" s="1"/>
      <c r="K535" s="1"/>
      <c r="L535" s="1"/>
    </row>
    <row r="536" ht="14.25" customHeight="1">
      <c r="A536" s="52"/>
      <c r="B536" s="53"/>
      <c r="C536" s="1"/>
      <c r="D536" s="1"/>
      <c r="E536" s="1"/>
      <c r="F536" s="1"/>
      <c r="G536" s="1"/>
      <c r="H536" s="1"/>
      <c r="I536" s="1"/>
      <c r="J536" s="1"/>
      <c r="K536" s="1"/>
      <c r="L536" s="1"/>
    </row>
    <row r="537" ht="14.25" customHeight="1">
      <c r="A537" s="52"/>
      <c r="B537" s="53"/>
      <c r="C537" s="1"/>
      <c r="D537" s="1"/>
      <c r="E537" s="1"/>
      <c r="F537" s="1"/>
      <c r="G537" s="1"/>
      <c r="H537" s="1"/>
      <c r="I537" s="1"/>
      <c r="J537" s="1"/>
      <c r="K537" s="1"/>
      <c r="L537" s="1"/>
    </row>
    <row r="538" ht="14.25" customHeight="1">
      <c r="A538" s="52"/>
      <c r="B538" s="53"/>
      <c r="C538" s="1"/>
      <c r="D538" s="1"/>
      <c r="E538" s="1"/>
      <c r="F538" s="1"/>
      <c r="G538" s="1"/>
      <c r="H538" s="1"/>
      <c r="I538" s="1"/>
      <c r="J538" s="1"/>
      <c r="K538" s="1"/>
      <c r="L538" s="1"/>
    </row>
    <row r="539" ht="14.25" customHeight="1">
      <c r="A539" s="52"/>
      <c r="B539" s="53"/>
      <c r="C539" s="1"/>
      <c r="D539" s="1"/>
      <c r="E539" s="1"/>
      <c r="F539" s="1"/>
      <c r="G539" s="1"/>
      <c r="H539" s="1"/>
      <c r="I539" s="1"/>
      <c r="J539" s="1"/>
      <c r="K539" s="1"/>
      <c r="L539" s="1"/>
    </row>
    <row r="540" ht="14.25" customHeight="1">
      <c r="A540" s="52"/>
      <c r="B540" s="53"/>
      <c r="C540" s="1"/>
      <c r="D540" s="1"/>
      <c r="E540" s="1"/>
      <c r="F540" s="1"/>
      <c r="G540" s="1"/>
      <c r="H540" s="1"/>
      <c r="I540" s="1"/>
      <c r="J540" s="1"/>
      <c r="K540" s="1"/>
      <c r="L540" s="1"/>
    </row>
    <row r="541" ht="14.25" customHeight="1">
      <c r="A541" s="52"/>
      <c r="B541" s="53"/>
      <c r="C541" s="1"/>
      <c r="D541" s="1"/>
      <c r="E541" s="1"/>
      <c r="F541" s="1"/>
      <c r="G541" s="1"/>
      <c r="H541" s="1"/>
      <c r="I541" s="1"/>
      <c r="J541" s="1"/>
      <c r="K541" s="1"/>
      <c r="L541" s="1"/>
    </row>
    <row r="542" ht="14.25" customHeight="1">
      <c r="A542" s="52"/>
      <c r="B542" s="53"/>
      <c r="C542" s="1"/>
      <c r="D542" s="1"/>
      <c r="E542" s="1"/>
      <c r="F542" s="1"/>
      <c r="G542" s="1"/>
      <c r="H542" s="1"/>
      <c r="I542" s="1"/>
      <c r="J542" s="1"/>
      <c r="K542" s="1"/>
      <c r="L542" s="1"/>
    </row>
    <row r="543" ht="14.25" customHeight="1">
      <c r="A543" s="52"/>
      <c r="B543" s="53"/>
      <c r="C543" s="1"/>
      <c r="D543" s="1"/>
      <c r="E543" s="1"/>
      <c r="F543" s="1"/>
      <c r="G543" s="1"/>
      <c r="H543" s="1"/>
      <c r="I543" s="1"/>
      <c r="J543" s="1"/>
      <c r="K543" s="1"/>
      <c r="L543" s="1"/>
    </row>
    <row r="544" ht="14.25" customHeight="1">
      <c r="A544" s="52"/>
      <c r="B544" s="53"/>
      <c r="C544" s="1"/>
      <c r="D544" s="1"/>
      <c r="E544" s="1"/>
      <c r="F544" s="1"/>
      <c r="G544" s="1"/>
      <c r="H544" s="1"/>
      <c r="I544" s="1"/>
      <c r="J544" s="1"/>
      <c r="K544" s="1"/>
      <c r="L544" s="1"/>
    </row>
    <row r="545" ht="14.25" customHeight="1">
      <c r="A545" s="52"/>
      <c r="B545" s="53"/>
      <c r="C545" s="1"/>
      <c r="D545" s="1"/>
      <c r="E545" s="1"/>
      <c r="F545" s="1"/>
      <c r="G545" s="1"/>
      <c r="H545" s="1"/>
      <c r="I545" s="1"/>
      <c r="J545" s="1"/>
      <c r="K545" s="1"/>
      <c r="L545" s="1"/>
    </row>
    <row r="546" ht="14.25" customHeight="1">
      <c r="A546" s="52"/>
      <c r="B546" s="53"/>
      <c r="C546" s="1"/>
      <c r="D546" s="1"/>
      <c r="E546" s="1"/>
      <c r="F546" s="1"/>
      <c r="G546" s="1"/>
      <c r="H546" s="1"/>
      <c r="I546" s="1"/>
      <c r="J546" s="1"/>
      <c r="K546" s="1"/>
      <c r="L546" s="1"/>
    </row>
    <row r="547" ht="14.25" customHeight="1">
      <c r="A547" s="52"/>
      <c r="B547" s="53"/>
      <c r="C547" s="1"/>
      <c r="D547" s="1"/>
      <c r="E547" s="1"/>
      <c r="F547" s="1"/>
      <c r="G547" s="1"/>
      <c r="H547" s="1"/>
      <c r="I547" s="1"/>
      <c r="J547" s="1"/>
      <c r="K547" s="1"/>
      <c r="L547" s="1"/>
    </row>
    <row r="548" ht="14.25" customHeight="1">
      <c r="A548" s="52"/>
      <c r="B548" s="53"/>
      <c r="C548" s="1"/>
      <c r="D548" s="1"/>
      <c r="E548" s="1"/>
      <c r="F548" s="1"/>
      <c r="G548" s="1"/>
      <c r="H548" s="1"/>
      <c r="I548" s="1"/>
      <c r="J548" s="1"/>
      <c r="K548" s="1"/>
      <c r="L548" s="1"/>
    </row>
    <row r="549" ht="14.25" customHeight="1">
      <c r="A549" s="52"/>
      <c r="B549" s="53"/>
      <c r="C549" s="1"/>
      <c r="D549" s="1"/>
      <c r="E549" s="1"/>
      <c r="F549" s="1"/>
      <c r="G549" s="1"/>
      <c r="H549" s="1"/>
      <c r="I549" s="1"/>
      <c r="J549" s="1"/>
      <c r="K549" s="1"/>
      <c r="L549" s="1"/>
    </row>
    <row r="550" ht="14.25" customHeight="1">
      <c r="A550" s="52"/>
      <c r="B550" s="53"/>
      <c r="C550" s="1"/>
      <c r="D550" s="1"/>
      <c r="E550" s="1"/>
      <c r="F550" s="1"/>
      <c r="G550" s="1"/>
      <c r="H550" s="1"/>
      <c r="I550" s="1"/>
      <c r="J550" s="1"/>
      <c r="K550" s="1"/>
      <c r="L550" s="1"/>
    </row>
    <row r="551" ht="14.25" customHeight="1">
      <c r="A551" s="52"/>
      <c r="B551" s="53"/>
      <c r="C551" s="1"/>
      <c r="D551" s="1"/>
      <c r="E551" s="1"/>
      <c r="F551" s="1"/>
      <c r="G551" s="1"/>
      <c r="H551" s="1"/>
      <c r="I551" s="1"/>
      <c r="J551" s="1"/>
      <c r="K551" s="1"/>
      <c r="L551" s="1"/>
    </row>
    <row r="552" ht="14.25" customHeight="1">
      <c r="A552" s="52"/>
      <c r="B552" s="53"/>
      <c r="C552" s="1"/>
      <c r="D552" s="1"/>
      <c r="E552" s="1"/>
      <c r="F552" s="1"/>
      <c r="G552" s="1"/>
      <c r="H552" s="1"/>
      <c r="I552" s="1"/>
      <c r="J552" s="1"/>
      <c r="K552" s="1"/>
      <c r="L552" s="1"/>
    </row>
    <row r="553" ht="14.25" customHeight="1">
      <c r="A553" s="52"/>
      <c r="B553" s="53"/>
      <c r="C553" s="1"/>
      <c r="D553" s="1"/>
      <c r="E553" s="1"/>
      <c r="F553" s="1"/>
      <c r="G553" s="1"/>
      <c r="H553" s="1"/>
      <c r="I553" s="1"/>
      <c r="J553" s="1"/>
      <c r="K553" s="1"/>
      <c r="L553" s="1"/>
    </row>
    <row r="554" ht="14.25" customHeight="1">
      <c r="A554" s="52"/>
      <c r="B554" s="53"/>
      <c r="C554" s="1"/>
      <c r="D554" s="1"/>
      <c r="E554" s="1"/>
      <c r="F554" s="1"/>
      <c r="G554" s="1"/>
      <c r="H554" s="1"/>
      <c r="I554" s="1"/>
      <c r="J554" s="1"/>
      <c r="K554" s="1"/>
      <c r="L554" s="1"/>
    </row>
    <row r="555" ht="14.25" customHeight="1">
      <c r="A555" s="52"/>
      <c r="B555" s="53"/>
      <c r="C555" s="1"/>
      <c r="D555" s="1"/>
      <c r="E555" s="1"/>
      <c r="F555" s="1"/>
      <c r="G555" s="1"/>
      <c r="H555" s="1"/>
      <c r="I555" s="1"/>
      <c r="J555" s="1"/>
      <c r="K555" s="1"/>
      <c r="L555" s="1"/>
    </row>
    <row r="556" ht="14.25" customHeight="1">
      <c r="A556" s="52"/>
      <c r="B556" s="53"/>
      <c r="C556" s="1"/>
      <c r="D556" s="1"/>
      <c r="E556" s="1"/>
      <c r="F556" s="1"/>
      <c r="G556" s="1"/>
      <c r="H556" s="1"/>
      <c r="I556" s="1"/>
      <c r="J556" s="1"/>
      <c r="K556" s="1"/>
      <c r="L556" s="1"/>
    </row>
    <row r="557" ht="14.25" customHeight="1">
      <c r="A557" s="52"/>
      <c r="B557" s="53"/>
      <c r="C557" s="1"/>
      <c r="D557" s="1"/>
      <c r="E557" s="1"/>
      <c r="F557" s="1"/>
      <c r="G557" s="1"/>
      <c r="H557" s="1"/>
      <c r="I557" s="1"/>
      <c r="J557" s="1"/>
      <c r="K557" s="1"/>
      <c r="L557" s="1"/>
    </row>
    <row r="558" ht="14.25" customHeight="1">
      <c r="A558" s="52"/>
      <c r="B558" s="53"/>
      <c r="C558" s="1"/>
      <c r="D558" s="1"/>
      <c r="E558" s="1"/>
      <c r="F558" s="1"/>
      <c r="G558" s="1"/>
      <c r="H558" s="1"/>
      <c r="I558" s="1"/>
      <c r="J558" s="1"/>
      <c r="K558" s="1"/>
      <c r="L558" s="1"/>
    </row>
    <row r="559" ht="14.25" customHeight="1">
      <c r="A559" s="52"/>
      <c r="B559" s="53"/>
      <c r="C559" s="1"/>
      <c r="D559" s="1"/>
      <c r="E559" s="1"/>
      <c r="F559" s="1"/>
      <c r="G559" s="1"/>
      <c r="H559" s="1"/>
      <c r="I559" s="1"/>
      <c r="J559" s="1"/>
      <c r="K559" s="1"/>
      <c r="L559" s="1"/>
    </row>
    <row r="560" ht="14.25" customHeight="1">
      <c r="A560" s="52"/>
      <c r="B560" s="53"/>
      <c r="C560" s="1"/>
      <c r="D560" s="1"/>
      <c r="E560" s="1"/>
      <c r="F560" s="1"/>
      <c r="G560" s="1"/>
      <c r="H560" s="1"/>
      <c r="I560" s="1"/>
      <c r="J560" s="1"/>
      <c r="K560" s="1"/>
      <c r="L560" s="1"/>
    </row>
    <row r="561" ht="14.25" customHeight="1">
      <c r="A561" s="52"/>
      <c r="B561" s="53"/>
      <c r="C561" s="1"/>
      <c r="D561" s="1"/>
      <c r="E561" s="1"/>
      <c r="F561" s="1"/>
      <c r="G561" s="1"/>
      <c r="H561" s="1"/>
      <c r="I561" s="1"/>
      <c r="J561" s="1"/>
      <c r="K561" s="1"/>
      <c r="L561" s="1"/>
    </row>
    <row r="562" ht="14.25" customHeight="1">
      <c r="A562" s="52"/>
      <c r="B562" s="53"/>
      <c r="C562" s="1"/>
      <c r="D562" s="1"/>
      <c r="E562" s="1"/>
      <c r="F562" s="1"/>
      <c r="G562" s="1"/>
      <c r="H562" s="1"/>
      <c r="I562" s="1"/>
      <c r="J562" s="1"/>
      <c r="K562" s="1"/>
      <c r="L562" s="1"/>
    </row>
    <row r="563" ht="14.25" customHeight="1">
      <c r="A563" s="52"/>
      <c r="B563" s="53"/>
      <c r="C563" s="1"/>
      <c r="D563" s="1"/>
      <c r="E563" s="1"/>
      <c r="F563" s="1"/>
      <c r="G563" s="1"/>
      <c r="H563" s="1"/>
      <c r="I563" s="1"/>
      <c r="J563" s="1"/>
      <c r="K563" s="1"/>
      <c r="L563" s="1"/>
    </row>
    <row r="564" ht="14.25" customHeight="1">
      <c r="A564" s="52"/>
      <c r="B564" s="53"/>
      <c r="C564" s="1"/>
      <c r="D564" s="1"/>
      <c r="E564" s="1"/>
      <c r="F564" s="1"/>
      <c r="G564" s="1"/>
      <c r="H564" s="1"/>
      <c r="I564" s="1"/>
      <c r="J564" s="1"/>
      <c r="K564" s="1"/>
      <c r="L564" s="1"/>
    </row>
    <row r="565" ht="14.25" customHeight="1">
      <c r="A565" s="52"/>
      <c r="B565" s="53"/>
      <c r="C565" s="1"/>
      <c r="D565" s="1"/>
      <c r="E565" s="1"/>
      <c r="F565" s="1"/>
      <c r="G565" s="1"/>
      <c r="H565" s="1"/>
      <c r="I565" s="1"/>
      <c r="J565" s="1"/>
      <c r="K565" s="1"/>
      <c r="L565" s="1"/>
    </row>
    <row r="566" ht="14.25" customHeight="1">
      <c r="A566" s="52"/>
      <c r="B566" s="53"/>
      <c r="C566" s="1"/>
      <c r="D566" s="1"/>
      <c r="E566" s="1"/>
      <c r="F566" s="1"/>
      <c r="G566" s="1"/>
      <c r="H566" s="1"/>
      <c r="I566" s="1"/>
      <c r="J566" s="1"/>
      <c r="K566" s="1"/>
      <c r="L566" s="1"/>
    </row>
    <row r="567" ht="14.25" customHeight="1">
      <c r="A567" s="52"/>
      <c r="B567" s="53"/>
      <c r="C567" s="1"/>
      <c r="D567" s="1"/>
      <c r="E567" s="1"/>
      <c r="F567" s="1"/>
      <c r="G567" s="1"/>
      <c r="H567" s="1"/>
      <c r="I567" s="1"/>
      <c r="J567" s="1"/>
      <c r="K567" s="1"/>
      <c r="L567" s="1"/>
    </row>
    <row r="568" ht="14.25" customHeight="1">
      <c r="A568" s="52"/>
      <c r="B568" s="53"/>
      <c r="C568" s="1"/>
      <c r="D568" s="1"/>
      <c r="E568" s="1"/>
      <c r="F568" s="1"/>
      <c r="G568" s="1"/>
      <c r="H568" s="1"/>
      <c r="I568" s="1"/>
      <c r="J568" s="1"/>
      <c r="K568" s="1"/>
      <c r="L568" s="1"/>
    </row>
    <row r="569" ht="14.25" customHeight="1">
      <c r="A569" s="52"/>
      <c r="B569" s="53"/>
      <c r="C569" s="1"/>
      <c r="D569" s="1"/>
      <c r="E569" s="1"/>
      <c r="F569" s="1"/>
      <c r="G569" s="1"/>
      <c r="H569" s="1"/>
      <c r="I569" s="1"/>
      <c r="J569" s="1"/>
      <c r="K569" s="1"/>
      <c r="L569" s="1"/>
    </row>
    <row r="570" ht="14.25" customHeight="1">
      <c r="A570" s="52"/>
      <c r="B570" s="53"/>
      <c r="C570" s="1"/>
      <c r="D570" s="1"/>
      <c r="E570" s="1"/>
      <c r="F570" s="1"/>
      <c r="G570" s="1"/>
      <c r="H570" s="1"/>
      <c r="I570" s="1"/>
      <c r="J570" s="1"/>
      <c r="K570" s="1"/>
      <c r="L570" s="1"/>
    </row>
    <row r="571" ht="14.25" customHeight="1">
      <c r="A571" s="52"/>
      <c r="B571" s="53"/>
      <c r="C571" s="1"/>
      <c r="D571" s="1"/>
      <c r="E571" s="1"/>
      <c r="F571" s="1"/>
      <c r="G571" s="1"/>
      <c r="H571" s="1"/>
      <c r="I571" s="1"/>
      <c r="J571" s="1"/>
      <c r="K571" s="1"/>
      <c r="L571" s="1"/>
    </row>
    <row r="572" ht="14.25" customHeight="1">
      <c r="A572" s="52"/>
      <c r="B572" s="53"/>
      <c r="C572" s="1"/>
      <c r="D572" s="1"/>
      <c r="E572" s="1"/>
      <c r="F572" s="1"/>
      <c r="G572" s="1"/>
      <c r="H572" s="1"/>
      <c r="I572" s="1"/>
      <c r="J572" s="1"/>
      <c r="K572" s="1"/>
      <c r="L572" s="1"/>
    </row>
    <row r="573" ht="14.25" customHeight="1">
      <c r="A573" s="52"/>
      <c r="B573" s="53"/>
      <c r="C573" s="1"/>
      <c r="D573" s="1"/>
      <c r="E573" s="1"/>
      <c r="F573" s="1"/>
      <c r="G573" s="1"/>
      <c r="H573" s="1"/>
      <c r="I573" s="1"/>
      <c r="J573" s="1"/>
      <c r="K573" s="1"/>
      <c r="L573" s="1"/>
    </row>
    <row r="574" ht="14.25" customHeight="1">
      <c r="A574" s="52"/>
      <c r="B574" s="53"/>
      <c r="C574" s="1"/>
      <c r="D574" s="1"/>
      <c r="E574" s="1"/>
      <c r="F574" s="1"/>
      <c r="G574" s="1"/>
      <c r="H574" s="1"/>
      <c r="I574" s="1"/>
      <c r="J574" s="1"/>
      <c r="K574" s="1"/>
      <c r="L574" s="1"/>
    </row>
    <row r="575" ht="14.25" customHeight="1">
      <c r="A575" s="52"/>
      <c r="B575" s="53"/>
      <c r="C575" s="1"/>
      <c r="D575" s="1"/>
      <c r="E575" s="1"/>
      <c r="F575" s="1"/>
      <c r="G575" s="1"/>
      <c r="H575" s="1"/>
      <c r="I575" s="1"/>
      <c r="J575" s="1"/>
      <c r="K575" s="1"/>
      <c r="L575" s="1"/>
    </row>
    <row r="576" ht="14.25" customHeight="1">
      <c r="A576" s="52"/>
      <c r="B576" s="53"/>
      <c r="C576" s="1"/>
      <c r="D576" s="1"/>
      <c r="E576" s="1"/>
      <c r="F576" s="1"/>
      <c r="G576" s="1"/>
      <c r="H576" s="1"/>
      <c r="I576" s="1"/>
      <c r="J576" s="1"/>
      <c r="K576" s="1"/>
      <c r="L576" s="1"/>
    </row>
    <row r="577" ht="14.25" customHeight="1">
      <c r="A577" s="52"/>
      <c r="B577" s="53"/>
      <c r="C577" s="1"/>
      <c r="D577" s="1"/>
      <c r="E577" s="1"/>
      <c r="F577" s="1"/>
      <c r="G577" s="1"/>
      <c r="H577" s="1"/>
      <c r="I577" s="1"/>
      <c r="J577" s="1"/>
      <c r="K577" s="1"/>
      <c r="L577" s="1"/>
    </row>
    <row r="578" ht="14.25" customHeight="1">
      <c r="A578" s="52"/>
      <c r="B578" s="53"/>
      <c r="C578" s="1"/>
      <c r="D578" s="1"/>
      <c r="E578" s="1"/>
      <c r="F578" s="1"/>
      <c r="G578" s="1"/>
      <c r="H578" s="1"/>
      <c r="I578" s="1"/>
      <c r="J578" s="1"/>
      <c r="K578" s="1"/>
      <c r="L578" s="1"/>
    </row>
    <row r="579" ht="14.25" customHeight="1">
      <c r="A579" s="52"/>
      <c r="B579" s="53"/>
      <c r="C579" s="1"/>
      <c r="D579" s="1"/>
      <c r="E579" s="1"/>
      <c r="F579" s="1"/>
      <c r="G579" s="1"/>
      <c r="H579" s="1"/>
      <c r="I579" s="1"/>
      <c r="J579" s="1"/>
      <c r="K579" s="1"/>
      <c r="L579" s="1"/>
    </row>
    <row r="580" ht="14.25" customHeight="1">
      <c r="A580" s="52"/>
      <c r="B580" s="53"/>
      <c r="C580" s="1"/>
      <c r="D580" s="1"/>
      <c r="E580" s="1"/>
      <c r="F580" s="1"/>
      <c r="G580" s="1"/>
      <c r="H580" s="1"/>
      <c r="I580" s="1"/>
      <c r="J580" s="1"/>
      <c r="K580" s="1"/>
      <c r="L580" s="1"/>
    </row>
    <row r="581" ht="14.25" customHeight="1">
      <c r="A581" s="52"/>
      <c r="B581" s="53"/>
      <c r="C581" s="1"/>
      <c r="D581" s="1"/>
      <c r="E581" s="1"/>
      <c r="F581" s="1"/>
      <c r="G581" s="1"/>
      <c r="H581" s="1"/>
      <c r="I581" s="1"/>
      <c r="J581" s="1"/>
      <c r="K581" s="1"/>
      <c r="L581" s="1"/>
    </row>
    <row r="582" ht="14.25" customHeight="1">
      <c r="A582" s="52"/>
      <c r="B582" s="53"/>
      <c r="C582" s="1"/>
      <c r="D582" s="1"/>
      <c r="E582" s="1"/>
      <c r="F582" s="1"/>
      <c r="G582" s="1"/>
      <c r="H582" s="1"/>
      <c r="I582" s="1"/>
      <c r="J582" s="1"/>
      <c r="K582" s="1"/>
      <c r="L582" s="1"/>
    </row>
    <row r="583" ht="14.25" customHeight="1">
      <c r="A583" s="52"/>
      <c r="B583" s="53"/>
      <c r="C583" s="1"/>
      <c r="D583" s="1"/>
      <c r="E583" s="1"/>
      <c r="F583" s="1"/>
      <c r="G583" s="1"/>
      <c r="H583" s="1"/>
      <c r="I583" s="1"/>
      <c r="J583" s="1"/>
      <c r="K583" s="1"/>
      <c r="L583" s="1"/>
    </row>
    <row r="584" ht="14.25" customHeight="1">
      <c r="A584" s="52"/>
      <c r="B584" s="53"/>
      <c r="C584" s="1"/>
      <c r="D584" s="1"/>
      <c r="E584" s="1"/>
      <c r="F584" s="1"/>
      <c r="G584" s="1"/>
      <c r="H584" s="1"/>
      <c r="I584" s="1"/>
      <c r="J584" s="1"/>
      <c r="K584" s="1"/>
      <c r="L584" s="1"/>
    </row>
    <row r="585" ht="14.25" customHeight="1">
      <c r="A585" s="52"/>
      <c r="B585" s="53"/>
      <c r="C585" s="1"/>
      <c r="D585" s="1"/>
      <c r="E585" s="1"/>
      <c r="F585" s="1"/>
      <c r="G585" s="1"/>
      <c r="H585" s="1"/>
      <c r="I585" s="1"/>
      <c r="J585" s="1"/>
      <c r="K585" s="1"/>
      <c r="L585" s="1"/>
    </row>
    <row r="586" ht="14.25" customHeight="1">
      <c r="A586" s="52"/>
      <c r="B586" s="53"/>
      <c r="C586" s="1"/>
      <c r="D586" s="1"/>
      <c r="E586" s="1"/>
      <c r="F586" s="1"/>
      <c r="G586" s="1"/>
      <c r="H586" s="1"/>
      <c r="I586" s="1"/>
      <c r="J586" s="1"/>
      <c r="K586" s="1"/>
      <c r="L586" s="1"/>
    </row>
    <row r="587" ht="14.25" customHeight="1">
      <c r="A587" s="52"/>
      <c r="B587" s="53"/>
      <c r="C587" s="1"/>
      <c r="D587" s="1"/>
      <c r="E587" s="1"/>
      <c r="F587" s="1"/>
      <c r="G587" s="1"/>
      <c r="H587" s="1"/>
      <c r="I587" s="1"/>
      <c r="J587" s="1"/>
      <c r="K587" s="1"/>
      <c r="L587" s="1"/>
    </row>
    <row r="588" ht="14.25" customHeight="1">
      <c r="A588" s="52"/>
      <c r="B588" s="53"/>
      <c r="C588" s="1"/>
      <c r="D588" s="1"/>
      <c r="E588" s="1"/>
      <c r="F588" s="1"/>
      <c r="G588" s="1"/>
      <c r="H588" s="1"/>
      <c r="I588" s="1"/>
      <c r="J588" s="1"/>
      <c r="K588" s="1"/>
      <c r="L588" s="1"/>
    </row>
    <row r="589" ht="14.25" customHeight="1">
      <c r="A589" s="52"/>
      <c r="B589" s="53"/>
      <c r="C589" s="1"/>
      <c r="D589" s="1"/>
      <c r="E589" s="1"/>
      <c r="F589" s="1"/>
      <c r="G589" s="1"/>
      <c r="H589" s="1"/>
      <c r="I589" s="1"/>
      <c r="J589" s="1"/>
      <c r="K589" s="1"/>
      <c r="L589" s="1"/>
    </row>
    <row r="590" ht="14.25" customHeight="1">
      <c r="A590" s="52"/>
      <c r="B590" s="53"/>
      <c r="C590" s="1"/>
      <c r="D590" s="1"/>
      <c r="E590" s="1"/>
      <c r="F590" s="1"/>
      <c r="G590" s="1"/>
      <c r="H590" s="1"/>
      <c r="I590" s="1"/>
      <c r="J590" s="1"/>
      <c r="K590" s="1"/>
      <c r="L590" s="1"/>
    </row>
    <row r="591" ht="14.25" customHeight="1">
      <c r="A591" s="52"/>
      <c r="B591" s="53"/>
      <c r="C591" s="1"/>
      <c r="D591" s="1"/>
      <c r="E591" s="1"/>
      <c r="F591" s="1"/>
      <c r="G591" s="1"/>
      <c r="H591" s="1"/>
      <c r="I591" s="1"/>
      <c r="J591" s="1"/>
      <c r="K591" s="1"/>
      <c r="L591" s="1"/>
    </row>
    <row r="592" ht="14.25" customHeight="1">
      <c r="A592" s="52"/>
      <c r="B592" s="53"/>
      <c r="C592" s="1"/>
      <c r="D592" s="1"/>
      <c r="E592" s="1"/>
      <c r="F592" s="1"/>
      <c r="G592" s="1"/>
      <c r="H592" s="1"/>
      <c r="I592" s="1"/>
      <c r="J592" s="1"/>
      <c r="K592" s="1"/>
      <c r="L592" s="1"/>
    </row>
    <row r="593" ht="14.25" customHeight="1">
      <c r="A593" s="52"/>
      <c r="B593" s="53"/>
      <c r="C593" s="1"/>
      <c r="D593" s="1"/>
      <c r="E593" s="1"/>
      <c r="F593" s="1"/>
      <c r="G593" s="1"/>
      <c r="H593" s="1"/>
      <c r="I593" s="1"/>
      <c r="J593" s="1"/>
      <c r="K593" s="1"/>
      <c r="L593" s="1"/>
    </row>
    <row r="594" ht="14.25" customHeight="1">
      <c r="A594" s="52"/>
      <c r="B594" s="53"/>
      <c r="C594" s="1"/>
      <c r="D594" s="1"/>
      <c r="E594" s="1"/>
      <c r="F594" s="1"/>
      <c r="G594" s="1"/>
      <c r="H594" s="1"/>
      <c r="I594" s="1"/>
      <c r="J594" s="1"/>
      <c r="K594" s="1"/>
      <c r="L594" s="1"/>
    </row>
    <row r="595" ht="14.25" customHeight="1">
      <c r="A595" s="52"/>
      <c r="B595" s="53"/>
      <c r="C595" s="1"/>
      <c r="D595" s="1"/>
      <c r="E595" s="1"/>
      <c r="F595" s="1"/>
      <c r="G595" s="1"/>
      <c r="H595" s="1"/>
      <c r="I595" s="1"/>
      <c r="J595" s="1"/>
      <c r="K595" s="1"/>
      <c r="L595" s="1"/>
    </row>
    <row r="596" ht="14.25" customHeight="1">
      <c r="A596" s="52"/>
      <c r="B596" s="53"/>
      <c r="C596" s="1"/>
      <c r="D596" s="1"/>
      <c r="E596" s="1"/>
      <c r="F596" s="1"/>
      <c r="G596" s="1"/>
      <c r="H596" s="1"/>
      <c r="I596" s="1"/>
      <c r="J596" s="1"/>
      <c r="K596" s="1"/>
      <c r="L596" s="1"/>
    </row>
    <row r="597" ht="14.25" customHeight="1">
      <c r="A597" s="52"/>
      <c r="B597" s="53"/>
      <c r="C597" s="1"/>
      <c r="D597" s="1"/>
      <c r="E597" s="1"/>
      <c r="F597" s="1"/>
      <c r="G597" s="1"/>
      <c r="H597" s="1"/>
      <c r="I597" s="1"/>
      <c r="J597" s="1"/>
      <c r="K597" s="1"/>
      <c r="L597" s="1"/>
    </row>
    <row r="598" ht="14.25" customHeight="1">
      <c r="A598" s="52"/>
      <c r="B598" s="53"/>
      <c r="C598" s="1"/>
      <c r="D598" s="1"/>
      <c r="E598" s="1"/>
      <c r="F598" s="1"/>
      <c r="G598" s="1"/>
      <c r="H598" s="1"/>
      <c r="I598" s="1"/>
      <c r="J598" s="1"/>
      <c r="K598" s="1"/>
      <c r="L598" s="1"/>
    </row>
    <row r="599" ht="14.25" customHeight="1">
      <c r="A599" s="52"/>
      <c r="B599" s="53"/>
      <c r="C599" s="1"/>
      <c r="D599" s="1"/>
      <c r="E599" s="1"/>
      <c r="F599" s="1"/>
      <c r="G599" s="1"/>
      <c r="H599" s="1"/>
      <c r="I599" s="1"/>
      <c r="J599" s="1"/>
      <c r="K599" s="1"/>
      <c r="L599" s="1"/>
    </row>
    <row r="600" ht="14.25" customHeight="1">
      <c r="A600" s="52"/>
      <c r="B600" s="53"/>
      <c r="C600" s="1"/>
      <c r="D600" s="1"/>
      <c r="E600" s="1"/>
      <c r="F600" s="1"/>
      <c r="G600" s="1"/>
      <c r="H600" s="1"/>
      <c r="I600" s="1"/>
      <c r="J600" s="1"/>
      <c r="K600" s="1"/>
      <c r="L600" s="1"/>
    </row>
    <row r="601" ht="14.25" customHeight="1">
      <c r="A601" s="52"/>
      <c r="B601" s="53"/>
      <c r="C601" s="1"/>
      <c r="D601" s="1"/>
      <c r="E601" s="1"/>
      <c r="F601" s="1"/>
      <c r="G601" s="1"/>
      <c r="H601" s="1"/>
      <c r="I601" s="1"/>
      <c r="J601" s="1"/>
      <c r="K601" s="1"/>
      <c r="L601" s="1"/>
    </row>
    <row r="602" ht="14.25" customHeight="1">
      <c r="A602" s="52"/>
      <c r="B602" s="53"/>
      <c r="C602" s="1"/>
      <c r="D602" s="1"/>
      <c r="E602" s="1"/>
      <c r="F602" s="1"/>
      <c r="G602" s="1"/>
      <c r="H602" s="1"/>
      <c r="I602" s="1"/>
      <c r="J602" s="1"/>
      <c r="K602" s="1"/>
      <c r="L602" s="1"/>
    </row>
    <row r="603" ht="14.25" customHeight="1">
      <c r="A603" s="52"/>
      <c r="B603" s="53"/>
      <c r="C603" s="1"/>
      <c r="D603" s="1"/>
      <c r="E603" s="1"/>
      <c r="F603" s="1"/>
      <c r="G603" s="1"/>
      <c r="H603" s="1"/>
      <c r="I603" s="1"/>
      <c r="J603" s="1"/>
      <c r="K603" s="1"/>
      <c r="L603" s="1"/>
    </row>
    <row r="604" ht="14.25" customHeight="1">
      <c r="A604" s="52"/>
      <c r="B604" s="53"/>
      <c r="C604" s="1"/>
      <c r="D604" s="1"/>
      <c r="E604" s="1"/>
      <c r="F604" s="1"/>
      <c r="G604" s="1"/>
      <c r="H604" s="1"/>
      <c r="I604" s="1"/>
      <c r="J604" s="1"/>
      <c r="K604" s="1"/>
      <c r="L604" s="1"/>
    </row>
    <row r="605" ht="14.25" customHeight="1">
      <c r="A605" s="52"/>
      <c r="B605" s="53"/>
      <c r="C605" s="1"/>
      <c r="D605" s="1"/>
      <c r="E605" s="1"/>
      <c r="F605" s="1"/>
      <c r="G605" s="1"/>
      <c r="H605" s="1"/>
      <c r="I605" s="1"/>
      <c r="J605" s="1"/>
      <c r="K605" s="1"/>
      <c r="L605" s="1"/>
    </row>
    <row r="606" ht="14.25" customHeight="1">
      <c r="A606" s="52"/>
      <c r="B606" s="53"/>
      <c r="C606" s="1"/>
      <c r="D606" s="1"/>
      <c r="E606" s="1"/>
      <c r="F606" s="1"/>
      <c r="G606" s="1"/>
      <c r="H606" s="1"/>
      <c r="I606" s="1"/>
      <c r="J606" s="1"/>
      <c r="K606" s="1"/>
      <c r="L606" s="1"/>
    </row>
    <row r="607" ht="14.25" customHeight="1">
      <c r="A607" s="52"/>
      <c r="B607" s="53"/>
      <c r="C607" s="1"/>
      <c r="D607" s="1"/>
      <c r="E607" s="1"/>
      <c r="F607" s="1"/>
      <c r="G607" s="1"/>
      <c r="H607" s="1"/>
      <c r="I607" s="1"/>
      <c r="J607" s="1"/>
      <c r="K607" s="1"/>
      <c r="L607" s="1"/>
    </row>
    <row r="608" ht="14.25" customHeight="1">
      <c r="A608" s="52"/>
      <c r="B608" s="53"/>
      <c r="C608" s="1"/>
      <c r="D608" s="1"/>
      <c r="E608" s="1"/>
      <c r="F608" s="1"/>
      <c r="G608" s="1"/>
      <c r="H608" s="1"/>
      <c r="I608" s="1"/>
      <c r="J608" s="1"/>
      <c r="K608" s="1"/>
      <c r="L608" s="1"/>
    </row>
    <row r="609" ht="14.25" customHeight="1">
      <c r="A609" s="52"/>
      <c r="B609" s="53"/>
      <c r="C609" s="1"/>
      <c r="D609" s="1"/>
      <c r="E609" s="1"/>
      <c r="F609" s="1"/>
      <c r="G609" s="1"/>
      <c r="H609" s="1"/>
      <c r="I609" s="1"/>
      <c r="J609" s="1"/>
      <c r="K609" s="1"/>
      <c r="L609" s="1"/>
    </row>
    <row r="610" ht="14.25" customHeight="1">
      <c r="A610" s="52"/>
      <c r="B610" s="53"/>
      <c r="C610" s="1"/>
      <c r="D610" s="1"/>
      <c r="E610" s="1"/>
      <c r="F610" s="1"/>
      <c r="G610" s="1"/>
      <c r="H610" s="1"/>
      <c r="I610" s="1"/>
      <c r="J610" s="1"/>
      <c r="K610" s="1"/>
      <c r="L610" s="1"/>
    </row>
    <row r="611" ht="14.25" customHeight="1">
      <c r="A611" s="52"/>
      <c r="B611" s="53"/>
      <c r="C611" s="1"/>
      <c r="D611" s="1"/>
      <c r="E611" s="1"/>
      <c r="F611" s="1"/>
      <c r="G611" s="1"/>
      <c r="H611" s="1"/>
      <c r="I611" s="1"/>
      <c r="J611" s="1"/>
      <c r="K611" s="1"/>
      <c r="L611" s="1"/>
    </row>
    <row r="612" ht="14.25" customHeight="1">
      <c r="A612" s="52"/>
      <c r="B612" s="53"/>
      <c r="C612" s="1"/>
      <c r="D612" s="1"/>
      <c r="E612" s="1"/>
      <c r="F612" s="1"/>
      <c r="G612" s="1"/>
      <c r="H612" s="1"/>
      <c r="I612" s="1"/>
      <c r="J612" s="1"/>
      <c r="K612" s="1"/>
      <c r="L612" s="1"/>
    </row>
    <row r="613" ht="14.25" customHeight="1">
      <c r="A613" s="52"/>
      <c r="B613" s="53"/>
      <c r="C613" s="1"/>
      <c r="D613" s="1"/>
      <c r="E613" s="1"/>
      <c r="F613" s="1"/>
      <c r="G613" s="1"/>
      <c r="H613" s="1"/>
      <c r="I613" s="1"/>
      <c r="J613" s="1"/>
      <c r="K613" s="1"/>
      <c r="L613" s="1"/>
    </row>
    <row r="614" ht="14.25" customHeight="1">
      <c r="A614" s="52"/>
      <c r="B614" s="53"/>
      <c r="C614" s="1"/>
      <c r="D614" s="1"/>
      <c r="E614" s="1"/>
      <c r="F614" s="1"/>
      <c r="G614" s="1"/>
      <c r="H614" s="1"/>
      <c r="I614" s="1"/>
      <c r="J614" s="1"/>
      <c r="K614" s="1"/>
      <c r="L614" s="1"/>
    </row>
    <row r="615" ht="14.25" customHeight="1">
      <c r="A615" s="52"/>
      <c r="B615" s="53"/>
      <c r="C615" s="1"/>
      <c r="D615" s="1"/>
      <c r="E615" s="1"/>
      <c r="F615" s="1"/>
      <c r="G615" s="1"/>
      <c r="H615" s="1"/>
      <c r="I615" s="1"/>
      <c r="J615" s="1"/>
      <c r="K615" s="1"/>
      <c r="L615" s="1"/>
    </row>
    <row r="616" ht="14.25" customHeight="1">
      <c r="A616" s="52"/>
      <c r="B616" s="53"/>
      <c r="C616" s="1"/>
      <c r="D616" s="1"/>
      <c r="E616" s="1"/>
      <c r="F616" s="1"/>
      <c r="G616" s="1"/>
      <c r="H616" s="1"/>
      <c r="I616" s="1"/>
      <c r="J616" s="1"/>
      <c r="K616" s="1"/>
      <c r="L616" s="1"/>
    </row>
    <row r="617" ht="14.25" customHeight="1">
      <c r="A617" s="52"/>
      <c r="B617" s="53"/>
      <c r="C617" s="1"/>
      <c r="D617" s="1"/>
      <c r="E617" s="1"/>
      <c r="F617" s="1"/>
      <c r="G617" s="1"/>
      <c r="H617" s="1"/>
      <c r="I617" s="1"/>
      <c r="J617" s="1"/>
      <c r="K617" s="1"/>
      <c r="L617" s="1"/>
    </row>
    <row r="618" ht="14.25" customHeight="1">
      <c r="A618" s="52"/>
      <c r="B618" s="53"/>
      <c r="C618" s="1"/>
      <c r="D618" s="1"/>
      <c r="E618" s="1"/>
      <c r="F618" s="1"/>
      <c r="G618" s="1"/>
      <c r="H618" s="1"/>
      <c r="I618" s="1"/>
      <c r="J618" s="1"/>
      <c r="K618" s="1"/>
      <c r="L618" s="1"/>
    </row>
    <row r="619" ht="14.25" customHeight="1">
      <c r="A619" s="52"/>
      <c r="B619" s="53"/>
      <c r="C619" s="1"/>
      <c r="D619" s="1"/>
      <c r="E619" s="1"/>
      <c r="F619" s="1"/>
      <c r="G619" s="1"/>
      <c r="H619" s="1"/>
      <c r="I619" s="1"/>
      <c r="J619" s="1"/>
      <c r="K619" s="1"/>
      <c r="L619" s="1"/>
    </row>
    <row r="620" ht="14.25" customHeight="1">
      <c r="A620" s="52"/>
      <c r="B620" s="53"/>
      <c r="C620" s="1"/>
      <c r="D620" s="1"/>
      <c r="E620" s="1"/>
      <c r="F620" s="1"/>
      <c r="G620" s="1"/>
      <c r="H620" s="1"/>
      <c r="I620" s="1"/>
      <c r="J620" s="1"/>
      <c r="K620" s="1"/>
      <c r="L620" s="1"/>
    </row>
    <row r="621" ht="14.25" customHeight="1">
      <c r="A621" s="52"/>
      <c r="B621" s="53"/>
      <c r="C621" s="1"/>
      <c r="D621" s="1"/>
      <c r="E621" s="1"/>
      <c r="F621" s="1"/>
      <c r="G621" s="1"/>
      <c r="H621" s="1"/>
      <c r="I621" s="1"/>
      <c r="J621" s="1"/>
      <c r="K621" s="1"/>
      <c r="L621" s="1"/>
    </row>
    <row r="622" ht="14.25" customHeight="1">
      <c r="A622" s="52"/>
      <c r="B622" s="53"/>
      <c r="C622" s="1"/>
      <c r="D622" s="1"/>
      <c r="E622" s="1"/>
      <c r="F622" s="1"/>
      <c r="G622" s="1"/>
      <c r="H622" s="1"/>
      <c r="I622" s="1"/>
      <c r="J622" s="1"/>
      <c r="K622" s="1"/>
      <c r="L622" s="1"/>
    </row>
    <row r="623" ht="14.25" customHeight="1">
      <c r="A623" s="52"/>
      <c r="B623" s="53"/>
      <c r="C623" s="1"/>
      <c r="D623" s="1"/>
      <c r="E623" s="1"/>
      <c r="F623" s="1"/>
      <c r="G623" s="1"/>
      <c r="H623" s="1"/>
      <c r="I623" s="1"/>
      <c r="J623" s="1"/>
      <c r="K623" s="1"/>
      <c r="L623" s="1"/>
    </row>
    <row r="624" ht="14.25" customHeight="1">
      <c r="A624" s="52"/>
      <c r="B624" s="53"/>
      <c r="C624" s="1"/>
      <c r="D624" s="1"/>
      <c r="E624" s="1"/>
      <c r="F624" s="1"/>
      <c r="G624" s="1"/>
      <c r="H624" s="1"/>
      <c r="I624" s="1"/>
      <c r="J624" s="1"/>
      <c r="K624" s="1"/>
      <c r="L624" s="1"/>
    </row>
    <row r="625" ht="14.25" customHeight="1">
      <c r="A625" s="52"/>
      <c r="B625" s="53"/>
      <c r="C625" s="1"/>
      <c r="D625" s="1"/>
      <c r="E625" s="1"/>
      <c r="F625" s="1"/>
      <c r="G625" s="1"/>
      <c r="H625" s="1"/>
      <c r="I625" s="1"/>
      <c r="J625" s="1"/>
      <c r="K625" s="1"/>
      <c r="L625" s="1"/>
    </row>
    <row r="626" ht="14.25" customHeight="1">
      <c r="A626" s="52"/>
      <c r="B626" s="53"/>
      <c r="C626" s="1"/>
      <c r="D626" s="1"/>
      <c r="E626" s="1"/>
      <c r="F626" s="1"/>
      <c r="G626" s="1"/>
      <c r="H626" s="1"/>
      <c r="I626" s="1"/>
      <c r="J626" s="1"/>
      <c r="K626" s="1"/>
      <c r="L626" s="1"/>
    </row>
    <row r="627" ht="14.25" customHeight="1">
      <c r="A627" s="52"/>
      <c r="B627" s="53"/>
      <c r="C627" s="1"/>
      <c r="D627" s="1"/>
      <c r="E627" s="1"/>
      <c r="F627" s="1"/>
      <c r="G627" s="1"/>
      <c r="H627" s="1"/>
      <c r="I627" s="1"/>
      <c r="J627" s="1"/>
      <c r="K627" s="1"/>
      <c r="L627" s="1"/>
    </row>
    <row r="628" ht="14.25" customHeight="1">
      <c r="A628" s="52"/>
      <c r="B628" s="53"/>
      <c r="C628" s="1"/>
      <c r="D628" s="1"/>
      <c r="E628" s="1"/>
      <c r="F628" s="1"/>
      <c r="G628" s="1"/>
      <c r="H628" s="1"/>
      <c r="I628" s="1"/>
      <c r="J628" s="1"/>
      <c r="K628" s="1"/>
      <c r="L628" s="1"/>
    </row>
    <row r="629" ht="14.25" customHeight="1">
      <c r="A629" s="52"/>
      <c r="B629" s="53"/>
      <c r="C629" s="1"/>
      <c r="D629" s="1"/>
      <c r="E629" s="1"/>
      <c r="F629" s="1"/>
      <c r="G629" s="1"/>
      <c r="H629" s="1"/>
      <c r="I629" s="1"/>
      <c r="J629" s="1"/>
      <c r="K629" s="1"/>
      <c r="L629" s="1"/>
    </row>
    <row r="630" ht="14.25" customHeight="1">
      <c r="A630" s="52"/>
      <c r="B630" s="53"/>
      <c r="C630" s="1"/>
      <c r="D630" s="1"/>
      <c r="E630" s="1"/>
      <c r="F630" s="1"/>
      <c r="G630" s="1"/>
      <c r="H630" s="1"/>
      <c r="I630" s="1"/>
      <c r="J630" s="1"/>
      <c r="K630" s="1"/>
      <c r="L630" s="1"/>
    </row>
    <row r="631" ht="14.25" customHeight="1">
      <c r="A631" s="52"/>
      <c r="B631" s="53"/>
      <c r="C631" s="1"/>
      <c r="D631" s="1"/>
      <c r="E631" s="1"/>
      <c r="F631" s="1"/>
      <c r="G631" s="1"/>
      <c r="H631" s="1"/>
      <c r="I631" s="1"/>
      <c r="J631" s="1"/>
      <c r="K631" s="1"/>
      <c r="L631" s="1"/>
    </row>
    <row r="632" ht="14.25" customHeight="1">
      <c r="A632" s="52"/>
      <c r="B632" s="53"/>
      <c r="C632" s="1"/>
      <c r="D632" s="1"/>
      <c r="E632" s="1"/>
      <c r="F632" s="1"/>
      <c r="G632" s="1"/>
      <c r="H632" s="1"/>
      <c r="I632" s="1"/>
      <c r="J632" s="1"/>
      <c r="K632" s="1"/>
      <c r="L632" s="1"/>
    </row>
    <row r="633" ht="14.25" customHeight="1">
      <c r="A633" s="52"/>
      <c r="B633" s="53"/>
      <c r="C633" s="1"/>
      <c r="D633" s="1"/>
      <c r="E633" s="1"/>
      <c r="F633" s="1"/>
      <c r="G633" s="1"/>
      <c r="H633" s="1"/>
      <c r="I633" s="1"/>
      <c r="J633" s="1"/>
      <c r="K633" s="1"/>
      <c r="L633" s="1"/>
    </row>
    <row r="634" ht="14.25" customHeight="1">
      <c r="A634" s="52"/>
      <c r="B634" s="53"/>
      <c r="C634" s="1"/>
      <c r="D634" s="1"/>
      <c r="E634" s="1"/>
      <c r="F634" s="1"/>
      <c r="G634" s="1"/>
      <c r="H634" s="1"/>
      <c r="I634" s="1"/>
      <c r="J634" s="1"/>
      <c r="K634" s="1"/>
      <c r="L634" s="1"/>
    </row>
    <row r="635" ht="14.25" customHeight="1">
      <c r="A635" s="52"/>
      <c r="B635" s="53"/>
      <c r="C635" s="1"/>
      <c r="D635" s="1"/>
      <c r="E635" s="1"/>
      <c r="F635" s="1"/>
      <c r="G635" s="1"/>
      <c r="H635" s="1"/>
      <c r="I635" s="1"/>
      <c r="J635" s="1"/>
      <c r="K635" s="1"/>
      <c r="L635" s="1"/>
    </row>
    <row r="636" ht="14.25" customHeight="1">
      <c r="A636" s="52"/>
      <c r="B636" s="53"/>
      <c r="C636" s="1"/>
      <c r="D636" s="1"/>
      <c r="E636" s="1"/>
      <c r="F636" s="1"/>
      <c r="G636" s="1"/>
      <c r="H636" s="1"/>
      <c r="I636" s="1"/>
      <c r="J636" s="1"/>
      <c r="K636" s="1"/>
      <c r="L636" s="1"/>
    </row>
    <row r="637" ht="14.25" customHeight="1">
      <c r="A637" s="52"/>
      <c r="B637" s="53"/>
      <c r="C637" s="1"/>
      <c r="D637" s="1"/>
      <c r="E637" s="1"/>
      <c r="F637" s="1"/>
      <c r="G637" s="1"/>
      <c r="H637" s="1"/>
      <c r="I637" s="1"/>
      <c r="J637" s="1"/>
      <c r="K637" s="1"/>
      <c r="L637" s="1"/>
    </row>
    <row r="638" ht="14.25" customHeight="1">
      <c r="A638" s="52"/>
      <c r="B638" s="53"/>
      <c r="C638" s="1"/>
      <c r="D638" s="1"/>
      <c r="E638" s="1"/>
      <c r="F638" s="1"/>
      <c r="G638" s="1"/>
      <c r="H638" s="1"/>
      <c r="I638" s="1"/>
      <c r="J638" s="1"/>
      <c r="K638" s="1"/>
      <c r="L638" s="1"/>
    </row>
    <row r="639" ht="14.25" customHeight="1">
      <c r="A639" s="52"/>
      <c r="B639" s="53"/>
      <c r="C639" s="1"/>
      <c r="D639" s="1"/>
      <c r="E639" s="1"/>
      <c r="F639" s="1"/>
      <c r="G639" s="1"/>
      <c r="H639" s="1"/>
      <c r="I639" s="1"/>
      <c r="J639" s="1"/>
      <c r="K639" s="1"/>
      <c r="L639" s="1"/>
    </row>
    <row r="640" ht="14.25" customHeight="1">
      <c r="A640" s="52"/>
      <c r="B640" s="53"/>
      <c r="C640" s="1"/>
      <c r="D640" s="1"/>
      <c r="E640" s="1"/>
      <c r="F640" s="1"/>
      <c r="G640" s="1"/>
      <c r="H640" s="1"/>
      <c r="I640" s="1"/>
      <c r="J640" s="1"/>
      <c r="K640" s="1"/>
      <c r="L640" s="1"/>
    </row>
    <row r="641" ht="14.25" customHeight="1">
      <c r="A641" s="52"/>
      <c r="B641" s="53"/>
      <c r="C641" s="1"/>
      <c r="D641" s="1"/>
      <c r="E641" s="1"/>
      <c r="F641" s="1"/>
      <c r="G641" s="1"/>
      <c r="H641" s="1"/>
      <c r="I641" s="1"/>
      <c r="J641" s="1"/>
      <c r="K641" s="1"/>
      <c r="L641" s="1"/>
    </row>
    <row r="642" ht="14.25" customHeight="1">
      <c r="A642" s="52"/>
      <c r="B642" s="53"/>
      <c r="C642" s="1"/>
      <c r="D642" s="1"/>
      <c r="E642" s="1"/>
      <c r="F642" s="1"/>
      <c r="G642" s="1"/>
      <c r="H642" s="1"/>
      <c r="I642" s="1"/>
      <c r="J642" s="1"/>
      <c r="K642" s="1"/>
      <c r="L642" s="1"/>
    </row>
    <row r="643" ht="14.25" customHeight="1">
      <c r="A643" s="52"/>
      <c r="B643" s="53"/>
      <c r="C643" s="1"/>
      <c r="D643" s="1"/>
      <c r="E643" s="1"/>
      <c r="F643" s="1"/>
      <c r="G643" s="1"/>
      <c r="H643" s="1"/>
      <c r="I643" s="1"/>
      <c r="J643" s="1"/>
      <c r="K643" s="1"/>
      <c r="L643" s="1"/>
    </row>
    <row r="644" ht="14.25" customHeight="1">
      <c r="A644" s="52"/>
      <c r="B644" s="53"/>
      <c r="C644" s="1"/>
      <c r="D644" s="1"/>
      <c r="E644" s="1"/>
      <c r="F644" s="1"/>
      <c r="G644" s="1"/>
      <c r="H644" s="1"/>
      <c r="I644" s="1"/>
      <c r="J644" s="1"/>
      <c r="K644" s="1"/>
      <c r="L644" s="1"/>
    </row>
    <row r="645" ht="14.25" customHeight="1">
      <c r="A645" s="52"/>
      <c r="B645" s="53"/>
      <c r="C645" s="1"/>
      <c r="D645" s="1"/>
      <c r="E645" s="1"/>
      <c r="F645" s="1"/>
      <c r="G645" s="1"/>
      <c r="H645" s="1"/>
      <c r="I645" s="1"/>
      <c r="J645" s="1"/>
      <c r="K645" s="1"/>
      <c r="L645" s="1"/>
    </row>
    <row r="646" ht="14.25" customHeight="1">
      <c r="A646" s="52"/>
      <c r="B646" s="53"/>
      <c r="C646" s="1"/>
      <c r="D646" s="1"/>
      <c r="E646" s="1"/>
      <c r="F646" s="1"/>
      <c r="G646" s="1"/>
      <c r="H646" s="1"/>
      <c r="I646" s="1"/>
      <c r="J646" s="1"/>
      <c r="K646" s="1"/>
      <c r="L646" s="1"/>
    </row>
    <row r="647" ht="14.25" customHeight="1">
      <c r="A647" s="52"/>
      <c r="B647" s="53"/>
      <c r="C647" s="1"/>
      <c r="D647" s="1"/>
      <c r="E647" s="1"/>
      <c r="F647" s="1"/>
      <c r="G647" s="1"/>
      <c r="H647" s="1"/>
      <c r="I647" s="1"/>
      <c r="J647" s="1"/>
      <c r="K647" s="1"/>
      <c r="L647" s="1"/>
    </row>
    <row r="648" ht="14.25" customHeight="1">
      <c r="A648" s="52"/>
      <c r="B648" s="53"/>
      <c r="C648" s="1"/>
      <c r="D648" s="1"/>
      <c r="E648" s="1"/>
      <c r="F648" s="1"/>
      <c r="G648" s="1"/>
      <c r="H648" s="1"/>
      <c r="I648" s="1"/>
      <c r="J648" s="1"/>
      <c r="K648" s="1"/>
      <c r="L648" s="1"/>
    </row>
    <row r="649" ht="14.25" customHeight="1">
      <c r="A649" s="52"/>
      <c r="B649" s="53"/>
      <c r="C649" s="1"/>
      <c r="D649" s="1"/>
      <c r="E649" s="1"/>
      <c r="F649" s="1"/>
      <c r="G649" s="1"/>
      <c r="H649" s="1"/>
      <c r="I649" s="1"/>
      <c r="J649" s="1"/>
      <c r="K649" s="1"/>
      <c r="L649" s="1"/>
    </row>
    <row r="650" ht="14.25" customHeight="1">
      <c r="A650" s="52"/>
      <c r="B650" s="53"/>
      <c r="C650" s="1"/>
      <c r="D650" s="1"/>
      <c r="E650" s="1"/>
      <c r="F650" s="1"/>
      <c r="G650" s="1"/>
      <c r="H650" s="1"/>
      <c r="I650" s="1"/>
      <c r="J650" s="1"/>
      <c r="K650" s="1"/>
      <c r="L650" s="1"/>
    </row>
    <row r="651" ht="14.25" customHeight="1">
      <c r="A651" s="52"/>
      <c r="B651" s="53"/>
      <c r="C651" s="1"/>
      <c r="D651" s="1"/>
      <c r="E651" s="1"/>
      <c r="F651" s="1"/>
      <c r="G651" s="1"/>
      <c r="H651" s="1"/>
      <c r="I651" s="1"/>
      <c r="J651" s="1"/>
      <c r="K651" s="1"/>
      <c r="L651" s="1"/>
    </row>
    <row r="652" ht="14.25" customHeight="1">
      <c r="A652" s="52"/>
      <c r="B652" s="53"/>
      <c r="C652" s="1"/>
      <c r="D652" s="1"/>
      <c r="E652" s="1"/>
      <c r="F652" s="1"/>
      <c r="G652" s="1"/>
      <c r="H652" s="1"/>
      <c r="I652" s="1"/>
      <c r="J652" s="1"/>
      <c r="K652" s="1"/>
      <c r="L652" s="1"/>
    </row>
    <row r="653" ht="14.25" customHeight="1">
      <c r="A653" s="52"/>
      <c r="B653" s="53"/>
      <c r="C653" s="1"/>
      <c r="D653" s="1"/>
      <c r="E653" s="1"/>
      <c r="F653" s="1"/>
      <c r="G653" s="1"/>
      <c r="H653" s="1"/>
      <c r="I653" s="1"/>
      <c r="J653" s="1"/>
      <c r="K653" s="1"/>
      <c r="L653" s="1"/>
    </row>
    <row r="654" ht="14.25" customHeight="1">
      <c r="A654" s="52"/>
      <c r="B654" s="53"/>
      <c r="C654" s="1"/>
      <c r="D654" s="1"/>
      <c r="E654" s="1"/>
      <c r="F654" s="1"/>
      <c r="G654" s="1"/>
      <c r="H654" s="1"/>
      <c r="I654" s="1"/>
      <c r="J654" s="1"/>
      <c r="K654" s="1"/>
      <c r="L654" s="1"/>
    </row>
    <row r="655" ht="14.25" customHeight="1">
      <c r="A655" s="52"/>
      <c r="B655" s="53"/>
      <c r="C655" s="1"/>
      <c r="D655" s="1"/>
      <c r="E655" s="1"/>
      <c r="F655" s="1"/>
      <c r="G655" s="1"/>
      <c r="H655" s="1"/>
      <c r="I655" s="1"/>
      <c r="J655" s="1"/>
      <c r="K655" s="1"/>
      <c r="L655" s="1"/>
    </row>
    <row r="656" ht="14.25" customHeight="1">
      <c r="A656" s="52"/>
      <c r="B656" s="53"/>
      <c r="C656" s="1"/>
      <c r="D656" s="1"/>
      <c r="E656" s="1"/>
      <c r="F656" s="1"/>
      <c r="G656" s="1"/>
      <c r="H656" s="1"/>
      <c r="I656" s="1"/>
      <c r="J656" s="1"/>
      <c r="K656" s="1"/>
      <c r="L656" s="1"/>
    </row>
    <row r="657" ht="14.25" customHeight="1">
      <c r="A657" s="52"/>
      <c r="B657" s="53"/>
      <c r="C657" s="1"/>
      <c r="D657" s="1"/>
      <c r="E657" s="1"/>
      <c r="F657" s="1"/>
      <c r="G657" s="1"/>
      <c r="H657" s="1"/>
      <c r="I657" s="1"/>
      <c r="J657" s="1"/>
      <c r="K657" s="1"/>
      <c r="L657" s="1"/>
    </row>
    <row r="658" ht="14.25" customHeight="1">
      <c r="A658" s="52"/>
      <c r="B658" s="53"/>
      <c r="C658" s="1"/>
      <c r="D658" s="1"/>
      <c r="E658" s="1"/>
      <c r="F658" s="1"/>
      <c r="G658" s="1"/>
      <c r="H658" s="1"/>
      <c r="I658" s="1"/>
      <c r="J658" s="1"/>
      <c r="K658" s="1"/>
      <c r="L658" s="1"/>
    </row>
    <row r="659" ht="14.25" customHeight="1">
      <c r="A659" s="52"/>
      <c r="B659" s="53"/>
      <c r="C659" s="1"/>
      <c r="D659" s="1"/>
      <c r="E659" s="1"/>
      <c r="F659" s="1"/>
      <c r="G659" s="1"/>
      <c r="H659" s="1"/>
      <c r="I659" s="1"/>
      <c r="J659" s="1"/>
      <c r="K659" s="1"/>
      <c r="L659" s="1"/>
    </row>
    <row r="660" ht="14.25" customHeight="1">
      <c r="A660" s="52"/>
      <c r="B660" s="53"/>
      <c r="C660" s="1"/>
      <c r="D660" s="1"/>
      <c r="E660" s="1"/>
      <c r="F660" s="1"/>
      <c r="G660" s="1"/>
      <c r="H660" s="1"/>
      <c r="I660" s="1"/>
      <c r="J660" s="1"/>
      <c r="K660" s="1"/>
      <c r="L660" s="1"/>
    </row>
    <row r="661" ht="14.25" customHeight="1">
      <c r="A661" s="52"/>
      <c r="B661" s="53"/>
      <c r="C661" s="1"/>
      <c r="D661" s="1"/>
      <c r="E661" s="1"/>
      <c r="F661" s="1"/>
      <c r="G661" s="1"/>
      <c r="H661" s="1"/>
      <c r="I661" s="1"/>
      <c r="J661" s="1"/>
      <c r="K661" s="1"/>
      <c r="L661" s="1"/>
    </row>
    <row r="662" ht="14.25" customHeight="1">
      <c r="A662" s="52"/>
      <c r="B662" s="53"/>
      <c r="C662" s="1"/>
      <c r="D662" s="1"/>
      <c r="E662" s="1"/>
      <c r="F662" s="1"/>
      <c r="G662" s="1"/>
      <c r="H662" s="1"/>
      <c r="I662" s="1"/>
      <c r="J662" s="1"/>
      <c r="K662" s="1"/>
      <c r="L662" s="1"/>
    </row>
    <row r="663" ht="14.25" customHeight="1">
      <c r="A663" s="52"/>
      <c r="B663" s="53"/>
      <c r="C663" s="1"/>
      <c r="D663" s="1"/>
      <c r="E663" s="1"/>
      <c r="F663" s="1"/>
      <c r="G663" s="1"/>
      <c r="H663" s="1"/>
      <c r="I663" s="1"/>
      <c r="J663" s="1"/>
      <c r="K663" s="1"/>
      <c r="L663" s="1"/>
    </row>
    <row r="664" ht="14.25" customHeight="1">
      <c r="A664" s="52"/>
      <c r="B664" s="53"/>
      <c r="C664" s="1"/>
      <c r="D664" s="1"/>
      <c r="E664" s="1"/>
      <c r="F664" s="1"/>
      <c r="G664" s="1"/>
      <c r="H664" s="1"/>
      <c r="I664" s="1"/>
      <c r="J664" s="1"/>
      <c r="K664" s="1"/>
      <c r="L664" s="1"/>
    </row>
    <row r="665" ht="14.25" customHeight="1">
      <c r="A665" s="52"/>
      <c r="B665" s="53"/>
      <c r="C665" s="1"/>
      <c r="D665" s="1"/>
      <c r="E665" s="1"/>
      <c r="F665" s="1"/>
      <c r="G665" s="1"/>
      <c r="H665" s="1"/>
      <c r="I665" s="1"/>
      <c r="J665" s="1"/>
      <c r="K665" s="1"/>
      <c r="L665" s="1"/>
    </row>
    <row r="666" ht="14.25" customHeight="1">
      <c r="A666" s="52"/>
      <c r="B666" s="53"/>
      <c r="C666" s="1"/>
      <c r="D666" s="1"/>
      <c r="E666" s="1"/>
      <c r="F666" s="1"/>
      <c r="G666" s="1"/>
      <c r="H666" s="1"/>
      <c r="I666" s="1"/>
      <c r="J666" s="1"/>
      <c r="K666" s="1"/>
      <c r="L666" s="1"/>
    </row>
    <row r="667" ht="14.25" customHeight="1">
      <c r="A667" s="52"/>
      <c r="B667" s="53"/>
      <c r="C667" s="1"/>
      <c r="D667" s="1"/>
      <c r="E667" s="1"/>
      <c r="F667" s="1"/>
      <c r="G667" s="1"/>
      <c r="H667" s="1"/>
      <c r="I667" s="1"/>
      <c r="J667" s="1"/>
      <c r="K667" s="1"/>
      <c r="L667" s="1"/>
    </row>
    <row r="668" ht="14.25" customHeight="1">
      <c r="A668" s="52"/>
      <c r="B668" s="53"/>
      <c r="C668" s="1"/>
      <c r="D668" s="1"/>
      <c r="E668" s="1"/>
      <c r="F668" s="1"/>
      <c r="G668" s="1"/>
      <c r="H668" s="1"/>
      <c r="I668" s="1"/>
      <c r="J668" s="1"/>
      <c r="K668" s="1"/>
      <c r="L668" s="1"/>
    </row>
    <row r="669" ht="14.25" customHeight="1">
      <c r="A669" s="52"/>
      <c r="B669" s="53"/>
      <c r="C669" s="1"/>
      <c r="D669" s="1"/>
      <c r="E669" s="1"/>
      <c r="F669" s="1"/>
      <c r="G669" s="1"/>
      <c r="H669" s="1"/>
      <c r="I669" s="1"/>
      <c r="J669" s="1"/>
      <c r="K669" s="1"/>
      <c r="L669" s="1"/>
    </row>
    <row r="670" ht="14.25" customHeight="1">
      <c r="A670" s="52"/>
      <c r="B670" s="53"/>
      <c r="C670" s="1"/>
      <c r="D670" s="1"/>
      <c r="E670" s="1"/>
      <c r="F670" s="1"/>
      <c r="G670" s="1"/>
      <c r="H670" s="1"/>
      <c r="I670" s="1"/>
      <c r="J670" s="1"/>
      <c r="K670" s="1"/>
      <c r="L670" s="1"/>
    </row>
    <row r="671" ht="14.25" customHeight="1">
      <c r="A671" s="52"/>
      <c r="B671" s="53"/>
      <c r="C671" s="1"/>
      <c r="D671" s="1"/>
      <c r="E671" s="1"/>
      <c r="F671" s="1"/>
      <c r="G671" s="1"/>
      <c r="H671" s="1"/>
      <c r="I671" s="1"/>
      <c r="J671" s="1"/>
      <c r="K671" s="1"/>
      <c r="L671" s="1"/>
    </row>
    <row r="672" ht="14.25" customHeight="1">
      <c r="A672" s="52"/>
      <c r="B672" s="53"/>
      <c r="C672" s="1"/>
      <c r="D672" s="1"/>
      <c r="E672" s="1"/>
      <c r="F672" s="1"/>
      <c r="G672" s="1"/>
      <c r="H672" s="1"/>
      <c r="I672" s="1"/>
      <c r="J672" s="1"/>
      <c r="K672" s="1"/>
      <c r="L672" s="1"/>
    </row>
    <row r="673" ht="14.25" customHeight="1">
      <c r="A673" s="52"/>
      <c r="B673" s="53"/>
      <c r="C673" s="1"/>
      <c r="D673" s="1"/>
      <c r="E673" s="1"/>
      <c r="F673" s="1"/>
      <c r="G673" s="1"/>
      <c r="H673" s="1"/>
      <c r="I673" s="1"/>
      <c r="J673" s="1"/>
      <c r="K673" s="1"/>
      <c r="L673" s="1"/>
    </row>
    <row r="674" ht="14.25" customHeight="1">
      <c r="A674" s="52"/>
      <c r="B674" s="53"/>
      <c r="C674" s="1"/>
      <c r="D674" s="1"/>
      <c r="E674" s="1"/>
      <c r="F674" s="1"/>
      <c r="G674" s="1"/>
      <c r="H674" s="1"/>
      <c r="I674" s="1"/>
      <c r="J674" s="1"/>
      <c r="K674" s="1"/>
      <c r="L674" s="1"/>
    </row>
    <row r="675" ht="14.25" customHeight="1">
      <c r="A675" s="52"/>
      <c r="B675" s="53"/>
      <c r="C675" s="1"/>
      <c r="D675" s="1"/>
      <c r="E675" s="1"/>
      <c r="F675" s="1"/>
      <c r="G675" s="1"/>
      <c r="H675" s="1"/>
      <c r="I675" s="1"/>
      <c r="J675" s="1"/>
      <c r="K675" s="1"/>
      <c r="L675" s="1"/>
    </row>
    <row r="676" ht="14.25" customHeight="1">
      <c r="A676" s="52"/>
      <c r="B676" s="53"/>
      <c r="C676" s="1"/>
      <c r="D676" s="1"/>
      <c r="E676" s="1"/>
      <c r="F676" s="1"/>
      <c r="G676" s="1"/>
      <c r="H676" s="1"/>
      <c r="I676" s="1"/>
      <c r="J676" s="1"/>
      <c r="K676" s="1"/>
      <c r="L676" s="1"/>
    </row>
    <row r="677" ht="14.25" customHeight="1">
      <c r="A677" s="52"/>
      <c r="B677" s="53"/>
      <c r="C677" s="1"/>
      <c r="D677" s="1"/>
      <c r="E677" s="1"/>
      <c r="F677" s="1"/>
      <c r="G677" s="1"/>
      <c r="H677" s="1"/>
      <c r="I677" s="1"/>
      <c r="J677" s="1"/>
      <c r="K677" s="1"/>
      <c r="L677" s="1"/>
    </row>
    <row r="678" ht="14.25" customHeight="1">
      <c r="A678" s="52"/>
      <c r="B678" s="53"/>
      <c r="C678" s="1"/>
      <c r="D678" s="1"/>
      <c r="E678" s="1"/>
      <c r="F678" s="1"/>
      <c r="G678" s="1"/>
      <c r="H678" s="1"/>
      <c r="I678" s="1"/>
      <c r="J678" s="1"/>
      <c r="K678" s="1"/>
      <c r="L678" s="1"/>
    </row>
    <row r="679" ht="14.25" customHeight="1">
      <c r="A679" s="52"/>
      <c r="B679" s="53"/>
      <c r="C679" s="1"/>
      <c r="D679" s="1"/>
      <c r="E679" s="1"/>
      <c r="F679" s="1"/>
      <c r="G679" s="1"/>
      <c r="H679" s="1"/>
      <c r="I679" s="1"/>
      <c r="J679" s="1"/>
      <c r="K679" s="1"/>
      <c r="L679" s="1"/>
    </row>
    <row r="680" ht="14.25" customHeight="1">
      <c r="A680" s="52"/>
      <c r="B680" s="53"/>
      <c r="C680" s="1"/>
      <c r="D680" s="1"/>
      <c r="E680" s="1"/>
      <c r="F680" s="1"/>
      <c r="G680" s="1"/>
      <c r="H680" s="1"/>
      <c r="I680" s="1"/>
      <c r="J680" s="1"/>
      <c r="K680" s="1"/>
      <c r="L680" s="1"/>
    </row>
    <row r="681" ht="14.25" customHeight="1">
      <c r="A681" s="52"/>
      <c r="B681" s="53"/>
      <c r="C681" s="1"/>
      <c r="D681" s="1"/>
      <c r="E681" s="1"/>
      <c r="F681" s="1"/>
      <c r="G681" s="1"/>
      <c r="H681" s="1"/>
      <c r="I681" s="1"/>
      <c r="J681" s="1"/>
      <c r="K681" s="1"/>
      <c r="L681" s="1"/>
    </row>
    <row r="682" ht="14.25" customHeight="1">
      <c r="A682" s="52"/>
      <c r="B682" s="53"/>
      <c r="C682" s="1"/>
      <c r="D682" s="1"/>
      <c r="E682" s="1"/>
      <c r="F682" s="1"/>
      <c r="G682" s="1"/>
      <c r="H682" s="1"/>
      <c r="I682" s="1"/>
      <c r="J682" s="1"/>
      <c r="K682" s="1"/>
      <c r="L682" s="1"/>
    </row>
    <row r="683" ht="14.25" customHeight="1">
      <c r="A683" s="52"/>
      <c r="B683" s="53"/>
      <c r="C683" s="1"/>
      <c r="D683" s="1"/>
      <c r="E683" s="1"/>
      <c r="F683" s="1"/>
      <c r="G683" s="1"/>
      <c r="H683" s="1"/>
      <c r="I683" s="1"/>
      <c r="J683" s="1"/>
      <c r="K683" s="1"/>
      <c r="L683" s="1"/>
    </row>
    <row r="684" ht="14.25" customHeight="1">
      <c r="A684" s="52"/>
      <c r="B684" s="53"/>
      <c r="C684" s="1"/>
      <c r="D684" s="1"/>
      <c r="E684" s="1"/>
      <c r="F684" s="1"/>
      <c r="G684" s="1"/>
      <c r="H684" s="1"/>
      <c r="I684" s="1"/>
      <c r="J684" s="1"/>
      <c r="K684" s="1"/>
      <c r="L684" s="1"/>
    </row>
    <row r="685" ht="14.25" customHeight="1">
      <c r="A685" s="52"/>
      <c r="B685" s="53"/>
      <c r="C685" s="1"/>
      <c r="D685" s="1"/>
      <c r="E685" s="1"/>
      <c r="F685" s="1"/>
      <c r="G685" s="1"/>
      <c r="H685" s="1"/>
      <c r="I685" s="1"/>
      <c r="J685" s="1"/>
      <c r="K685" s="1"/>
      <c r="L685" s="1"/>
    </row>
    <row r="686" ht="14.25" customHeight="1">
      <c r="A686" s="52"/>
      <c r="B686" s="53"/>
      <c r="C686" s="1"/>
      <c r="D686" s="1"/>
      <c r="E686" s="1"/>
      <c r="F686" s="1"/>
      <c r="G686" s="1"/>
      <c r="H686" s="1"/>
      <c r="I686" s="1"/>
      <c r="J686" s="1"/>
      <c r="K686" s="1"/>
      <c r="L686" s="1"/>
    </row>
    <row r="687" ht="14.25" customHeight="1">
      <c r="A687" s="52"/>
      <c r="B687" s="53"/>
      <c r="C687" s="1"/>
      <c r="D687" s="1"/>
      <c r="E687" s="1"/>
      <c r="F687" s="1"/>
      <c r="G687" s="1"/>
      <c r="H687" s="1"/>
      <c r="I687" s="1"/>
      <c r="J687" s="1"/>
      <c r="K687" s="1"/>
      <c r="L687" s="1"/>
    </row>
    <row r="688" ht="14.25" customHeight="1">
      <c r="A688" s="52"/>
      <c r="B688" s="53"/>
      <c r="C688" s="1"/>
      <c r="D688" s="1"/>
      <c r="E688" s="1"/>
      <c r="F688" s="1"/>
      <c r="G688" s="1"/>
      <c r="H688" s="1"/>
      <c r="I688" s="1"/>
      <c r="J688" s="1"/>
      <c r="K688" s="1"/>
      <c r="L688" s="1"/>
    </row>
    <row r="689" ht="14.25" customHeight="1">
      <c r="A689" s="52"/>
      <c r="B689" s="53"/>
      <c r="C689" s="1"/>
      <c r="D689" s="1"/>
      <c r="E689" s="1"/>
      <c r="F689" s="1"/>
      <c r="G689" s="1"/>
      <c r="H689" s="1"/>
      <c r="I689" s="1"/>
      <c r="J689" s="1"/>
      <c r="K689" s="1"/>
      <c r="L689" s="1"/>
    </row>
    <row r="690" ht="14.25" customHeight="1">
      <c r="A690" s="52"/>
      <c r="B690" s="53"/>
      <c r="C690" s="1"/>
      <c r="D690" s="1"/>
      <c r="E690" s="1"/>
      <c r="F690" s="1"/>
      <c r="G690" s="1"/>
      <c r="H690" s="1"/>
      <c r="I690" s="1"/>
      <c r="J690" s="1"/>
      <c r="K690" s="1"/>
      <c r="L690" s="1"/>
    </row>
    <row r="691" ht="14.25" customHeight="1">
      <c r="A691" s="52"/>
      <c r="B691" s="53"/>
      <c r="C691" s="1"/>
      <c r="D691" s="1"/>
      <c r="E691" s="1"/>
      <c r="F691" s="1"/>
      <c r="G691" s="1"/>
      <c r="H691" s="1"/>
      <c r="I691" s="1"/>
      <c r="J691" s="1"/>
      <c r="K691" s="1"/>
      <c r="L691" s="1"/>
    </row>
    <row r="692" ht="14.25" customHeight="1">
      <c r="A692" s="52"/>
      <c r="B692" s="53"/>
      <c r="C692" s="1"/>
      <c r="D692" s="1"/>
      <c r="E692" s="1"/>
      <c r="F692" s="1"/>
      <c r="G692" s="1"/>
      <c r="H692" s="1"/>
      <c r="I692" s="1"/>
      <c r="J692" s="1"/>
      <c r="K692" s="1"/>
      <c r="L692" s="1"/>
    </row>
    <row r="693" ht="14.25" customHeight="1">
      <c r="A693" s="52"/>
      <c r="B693" s="53"/>
      <c r="C693" s="1"/>
      <c r="D693" s="1"/>
      <c r="E693" s="1"/>
      <c r="F693" s="1"/>
      <c r="G693" s="1"/>
      <c r="H693" s="1"/>
      <c r="I693" s="1"/>
      <c r="J693" s="1"/>
      <c r="K693" s="1"/>
      <c r="L693" s="1"/>
    </row>
    <row r="694" ht="14.25" customHeight="1">
      <c r="A694" s="52"/>
      <c r="B694" s="53"/>
      <c r="C694" s="1"/>
      <c r="D694" s="1"/>
      <c r="E694" s="1"/>
      <c r="F694" s="1"/>
      <c r="G694" s="1"/>
      <c r="H694" s="1"/>
      <c r="I694" s="1"/>
      <c r="J694" s="1"/>
      <c r="K694" s="1"/>
      <c r="L694" s="1"/>
    </row>
    <row r="695" ht="14.25" customHeight="1">
      <c r="A695" s="52"/>
      <c r="B695" s="53"/>
      <c r="C695" s="1"/>
      <c r="D695" s="1"/>
      <c r="E695" s="1"/>
      <c r="F695" s="1"/>
      <c r="G695" s="1"/>
      <c r="H695" s="1"/>
      <c r="I695" s="1"/>
      <c r="J695" s="1"/>
      <c r="K695" s="1"/>
      <c r="L695" s="1"/>
    </row>
    <row r="696" ht="14.25" customHeight="1">
      <c r="A696" s="52"/>
      <c r="B696" s="53"/>
      <c r="C696" s="1"/>
      <c r="D696" s="1"/>
      <c r="E696" s="1"/>
      <c r="F696" s="1"/>
      <c r="G696" s="1"/>
      <c r="H696" s="1"/>
      <c r="I696" s="1"/>
      <c r="J696" s="1"/>
      <c r="K696" s="1"/>
      <c r="L696" s="1"/>
    </row>
    <row r="697" ht="14.25" customHeight="1">
      <c r="A697" s="52"/>
      <c r="B697" s="53"/>
      <c r="C697" s="1"/>
      <c r="D697" s="1"/>
      <c r="E697" s="1"/>
      <c r="F697" s="1"/>
      <c r="G697" s="1"/>
      <c r="H697" s="1"/>
      <c r="I697" s="1"/>
      <c r="J697" s="1"/>
      <c r="K697" s="1"/>
      <c r="L697" s="1"/>
    </row>
    <row r="698" ht="14.25" customHeight="1">
      <c r="A698" s="52"/>
      <c r="B698" s="53"/>
      <c r="C698" s="1"/>
      <c r="D698" s="1"/>
      <c r="E698" s="1"/>
      <c r="F698" s="1"/>
      <c r="G698" s="1"/>
      <c r="H698" s="1"/>
      <c r="I698" s="1"/>
      <c r="J698" s="1"/>
      <c r="K698" s="1"/>
      <c r="L698" s="1"/>
    </row>
    <row r="699" ht="14.25" customHeight="1">
      <c r="A699" s="52"/>
      <c r="B699" s="53"/>
      <c r="C699" s="1"/>
      <c r="D699" s="1"/>
      <c r="E699" s="1"/>
      <c r="F699" s="1"/>
      <c r="G699" s="1"/>
      <c r="H699" s="1"/>
      <c r="I699" s="1"/>
      <c r="J699" s="1"/>
      <c r="K699" s="1"/>
      <c r="L699" s="1"/>
    </row>
    <row r="700" ht="14.25" customHeight="1">
      <c r="A700" s="52"/>
      <c r="B700" s="53"/>
      <c r="C700" s="1"/>
      <c r="D700" s="1"/>
      <c r="E700" s="1"/>
      <c r="F700" s="1"/>
      <c r="G700" s="1"/>
      <c r="H700" s="1"/>
      <c r="I700" s="1"/>
      <c r="J700" s="1"/>
      <c r="K700" s="1"/>
      <c r="L700" s="1"/>
    </row>
    <row r="701" ht="14.25" customHeight="1">
      <c r="A701" s="52"/>
      <c r="B701" s="53"/>
      <c r="C701" s="1"/>
      <c r="D701" s="1"/>
      <c r="E701" s="1"/>
      <c r="F701" s="1"/>
      <c r="G701" s="1"/>
      <c r="H701" s="1"/>
      <c r="I701" s="1"/>
      <c r="J701" s="1"/>
      <c r="K701" s="1"/>
      <c r="L701" s="1"/>
    </row>
    <row r="702" ht="14.25" customHeight="1">
      <c r="A702" s="52"/>
      <c r="B702" s="53"/>
      <c r="C702" s="1"/>
      <c r="D702" s="1"/>
      <c r="E702" s="1"/>
      <c r="F702" s="1"/>
      <c r="G702" s="1"/>
      <c r="H702" s="1"/>
      <c r="I702" s="1"/>
      <c r="J702" s="1"/>
      <c r="K702" s="1"/>
      <c r="L702" s="1"/>
    </row>
    <row r="703" ht="14.25" customHeight="1">
      <c r="A703" s="52"/>
      <c r="B703" s="53"/>
      <c r="C703" s="1"/>
      <c r="D703" s="1"/>
      <c r="E703" s="1"/>
      <c r="F703" s="1"/>
      <c r="G703" s="1"/>
      <c r="H703" s="1"/>
      <c r="I703" s="1"/>
      <c r="J703" s="1"/>
      <c r="K703" s="1"/>
      <c r="L703" s="1"/>
    </row>
    <row r="704" ht="14.25" customHeight="1">
      <c r="A704" s="52"/>
      <c r="B704" s="53"/>
      <c r="C704" s="1"/>
      <c r="D704" s="1"/>
      <c r="E704" s="1"/>
      <c r="F704" s="1"/>
      <c r="G704" s="1"/>
      <c r="H704" s="1"/>
      <c r="I704" s="1"/>
      <c r="J704" s="1"/>
      <c r="K704" s="1"/>
      <c r="L704" s="1"/>
    </row>
    <row r="705" ht="14.25" customHeight="1">
      <c r="A705" s="52"/>
      <c r="B705" s="53"/>
      <c r="C705" s="1"/>
      <c r="D705" s="1"/>
      <c r="E705" s="1"/>
      <c r="F705" s="1"/>
      <c r="G705" s="1"/>
      <c r="H705" s="1"/>
      <c r="I705" s="1"/>
      <c r="J705" s="1"/>
      <c r="K705" s="1"/>
      <c r="L705" s="1"/>
    </row>
    <row r="706" ht="14.25" customHeight="1">
      <c r="A706" s="52"/>
      <c r="B706" s="53"/>
      <c r="C706" s="1"/>
      <c r="D706" s="1"/>
      <c r="E706" s="1"/>
      <c r="F706" s="1"/>
      <c r="G706" s="1"/>
      <c r="H706" s="1"/>
      <c r="I706" s="1"/>
      <c r="J706" s="1"/>
      <c r="K706" s="1"/>
      <c r="L706" s="1"/>
    </row>
    <row r="707" ht="14.25" customHeight="1">
      <c r="A707" s="52"/>
      <c r="B707" s="53"/>
      <c r="C707" s="1"/>
      <c r="D707" s="1"/>
      <c r="E707" s="1"/>
      <c r="F707" s="1"/>
      <c r="G707" s="1"/>
      <c r="H707" s="1"/>
      <c r="I707" s="1"/>
      <c r="J707" s="1"/>
      <c r="K707" s="1"/>
      <c r="L707" s="1"/>
    </row>
    <row r="708" ht="14.25" customHeight="1">
      <c r="A708" s="52"/>
      <c r="B708" s="53"/>
      <c r="C708" s="1"/>
      <c r="D708" s="1"/>
      <c r="E708" s="1"/>
      <c r="F708" s="1"/>
      <c r="G708" s="1"/>
      <c r="H708" s="1"/>
      <c r="I708" s="1"/>
      <c r="J708" s="1"/>
      <c r="K708" s="1"/>
      <c r="L708" s="1"/>
    </row>
    <row r="709" ht="14.25" customHeight="1">
      <c r="A709" s="52"/>
      <c r="B709" s="53"/>
      <c r="C709" s="1"/>
      <c r="D709" s="1"/>
      <c r="E709" s="1"/>
      <c r="F709" s="1"/>
      <c r="G709" s="1"/>
      <c r="H709" s="1"/>
      <c r="I709" s="1"/>
      <c r="J709" s="1"/>
      <c r="K709" s="1"/>
      <c r="L709" s="1"/>
    </row>
    <row r="710" ht="14.25" customHeight="1">
      <c r="A710" s="52"/>
      <c r="B710" s="53"/>
      <c r="C710" s="1"/>
      <c r="D710" s="1"/>
      <c r="E710" s="1"/>
      <c r="F710" s="1"/>
      <c r="G710" s="1"/>
      <c r="H710" s="1"/>
      <c r="I710" s="1"/>
      <c r="J710" s="1"/>
      <c r="K710" s="1"/>
      <c r="L710" s="1"/>
    </row>
    <row r="711" ht="14.25" customHeight="1">
      <c r="A711" s="52"/>
      <c r="B711" s="53"/>
      <c r="C711" s="1"/>
      <c r="D711" s="1"/>
      <c r="E711" s="1"/>
      <c r="F711" s="1"/>
      <c r="G711" s="1"/>
      <c r="H711" s="1"/>
      <c r="I711" s="1"/>
      <c r="J711" s="1"/>
      <c r="K711" s="1"/>
      <c r="L711" s="1"/>
    </row>
    <row r="712" ht="14.25" customHeight="1">
      <c r="A712" s="52"/>
      <c r="B712" s="53"/>
      <c r="C712" s="1"/>
      <c r="D712" s="1"/>
      <c r="E712" s="1"/>
      <c r="F712" s="1"/>
      <c r="G712" s="1"/>
      <c r="H712" s="1"/>
      <c r="I712" s="1"/>
      <c r="J712" s="1"/>
      <c r="K712" s="1"/>
      <c r="L712" s="1"/>
    </row>
    <row r="713" ht="14.25" customHeight="1">
      <c r="A713" s="52"/>
      <c r="B713" s="53"/>
      <c r="C713" s="1"/>
      <c r="D713" s="1"/>
      <c r="E713" s="1"/>
      <c r="F713" s="1"/>
      <c r="G713" s="1"/>
      <c r="H713" s="1"/>
      <c r="I713" s="1"/>
      <c r="J713" s="1"/>
      <c r="K713" s="1"/>
      <c r="L713" s="1"/>
    </row>
    <row r="714" ht="14.25" customHeight="1">
      <c r="A714" s="52"/>
      <c r="B714" s="53"/>
      <c r="C714" s="1"/>
      <c r="D714" s="1"/>
      <c r="E714" s="1"/>
      <c r="F714" s="1"/>
      <c r="G714" s="1"/>
      <c r="H714" s="1"/>
      <c r="I714" s="1"/>
      <c r="J714" s="1"/>
      <c r="K714" s="1"/>
      <c r="L714" s="1"/>
    </row>
    <row r="715" ht="14.25" customHeight="1">
      <c r="A715" s="52"/>
      <c r="B715" s="53"/>
      <c r="C715" s="1"/>
      <c r="D715" s="1"/>
      <c r="E715" s="1"/>
      <c r="F715" s="1"/>
      <c r="G715" s="1"/>
      <c r="H715" s="1"/>
      <c r="I715" s="1"/>
      <c r="J715" s="1"/>
      <c r="K715" s="1"/>
      <c r="L715" s="1"/>
    </row>
    <row r="716" ht="14.25" customHeight="1">
      <c r="A716" s="52"/>
      <c r="B716" s="53"/>
      <c r="C716" s="1"/>
      <c r="D716" s="1"/>
      <c r="E716" s="1"/>
      <c r="F716" s="1"/>
      <c r="G716" s="1"/>
      <c r="H716" s="1"/>
      <c r="I716" s="1"/>
      <c r="J716" s="1"/>
      <c r="K716" s="1"/>
      <c r="L716" s="1"/>
    </row>
    <row r="717" ht="14.25" customHeight="1">
      <c r="A717" s="52"/>
      <c r="B717" s="53"/>
      <c r="C717" s="1"/>
      <c r="D717" s="1"/>
      <c r="E717" s="1"/>
      <c r="F717" s="1"/>
      <c r="G717" s="1"/>
      <c r="H717" s="1"/>
      <c r="I717" s="1"/>
      <c r="J717" s="1"/>
      <c r="K717" s="1"/>
      <c r="L717" s="1"/>
    </row>
    <row r="718" ht="14.25" customHeight="1">
      <c r="A718" s="52"/>
      <c r="B718" s="53"/>
      <c r="C718" s="1"/>
      <c r="D718" s="1"/>
      <c r="E718" s="1"/>
      <c r="F718" s="1"/>
      <c r="G718" s="1"/>
      <c r="H718" s="1"/>
      <c r="I718" s="1"/>
      <c r="J718" s="1"/>
      <c r="K718" s="1"/>
      <c r="L718" s="1"/>
    </row>
    <row r="719" ht="14.25" customHeight="1">
      <c r="A719" s="52"/>
      <c r="B719" s="53"/>
      <c r="C719" s="1"/>
      <c r="D719" s="1"/>
      <c r="E719" s="1"/>
      <c r="F719" s="1"/>
      <c r="G719" s="1"/>
      <c r="H719" s="1"/>
      <c r="I719" s="1"/>
      <c r="J719" s="1"/>
      <c r="K719" s="1"/>
      <c r="L719" s="1"/>
    </row>
    <row r="720" ht="14.25" customHeight="1">
      <c r="A720" s="52"/>
      <c r="B720" s="53"/>
      <c r="C720" s="1"/>
      <c r="D720" s="1"/>
      <c r="E720" s="1"/>
      <c r="F720" s="1"/>
      <c r="G720" s="1"/>
      <c r="H720" s="1"/>
      <c r="I720" s="1"/>
      <c r="J720" s="1"/>
      <c r="K720" s="1"/>
      <c r="L720" s="1"/>
    </row>
    <row r="721" ht="14.25" customHeight="1">
      <c r="A721" s="52"/>
      <c r="B721" s="53"/>
      <c r="C721" s="1"/>
      <c r="D721" s="1"/>
      <c r="E721" s="1"/>
      <c r="F721" s="1"/>
      <c r="G721" s="1"/>
      <c r="H721" s="1"/>
      <c r="I721" s="1"/>
      <c r="J721" s="1"/>
      <c r="K721" s="1"/>
      <c r="L721" s="1"/>
    </row>
    <row r="722" ht="14.25" customHeight="1">
      <c r="A722" s="52"/>
      <c r="B722" s="53"/>
      <c r="C722" s="1"/>
      <c r="D722" s="1"/>
      <c r="E722" s="1"/>
      <c r="F722" s="1"/>
      <c r="G722" s="1"/>
      <c r="H722" s="1"/>
      <c r="I722" s="1"/>
      <c r="J722" s="1"/>
      <c r="K722" s="1"/>
      <c r="L722" s="1"/>
    </row>
    <row r="723" ht="14.25" customHeight="1">
      <c r="A723" s="52"/>
      <c r="B723" s="53"/>
      <c r="C723" s="1"/>
      <c r="D723" s="1"/>
      <c r="E723" s="1"/>
      <c r="F723" s="1"/>
      <c r="G723" s="1"/>
      <c r="H723" s="1"/>
      <c r="I723" s="1"/>
      <c r="J723" s="1"/>
      <c r="K723" s="1"/>
      <c r="L723" s="1"/>
    </row>
    <row r="724" ht="14.25" customHeight="1">
      <c r="A724" s="52"/>
      <c r="B724" s="53"/>
      <c r="C724" s="1"/>
      <c r="D724" s="1"/>
      <c r="E724" s="1"/>
      <c r="F724" s="1"/>
      <c r="G724" s="1"/>
      <c r="H724" s="1"/>
      <c r="I724" s="1"/>
      <c r="J724" s="1"/>
      <c r="K724" s="1"/>
      <c r="L724" s="1"/>
    </row>
    <row r="725" ht="14.25" customHeight="1">
      <c r="A725" s="52"/>
      <c r="B725" s="53"/>
      <c r="C725" s="1"/>
      <c r="D725" s="1"/>
      <c r="E725" s="1"/>
      <c r="F725" s="1"/>
      <c r="G725" s="1"/>
      <c r="H725" s="1"/>
      <c r="I725" s="1"/>
      <c r="J725" s="1"/>
      <c r="K725" s="1"/>
      <c r="L725" s="1"/>
    </row>
    <row r="726" ht="14.25" customHeight="1">
      <c r="A726" s="52"/>
      <c r="B726" s="53"/>
      <c r="C726" s="1"/>
      <c r="D726" s="1"/>
      <c r="E726" s="1"/>
      <c r="F726" s="1"/>
      <c r="G726" s="1"/>
      <c r="H726" s="1"/>
      <c r="I726" s="1"/>
      <c r="J726" s="1"/>
      <c r="K726" s="1"/>
      <c r="L726" s="1"/>
    </row>
    <row r="727" ht="14.25" customHeight="1">
      <c r="A727" s="52"/>
      <c r="B727" s="53"/>
      <c r="C727" s="1"/>
      <c r="D727" s="1"/>
      <c r="E727" s="1"/>
      <c r="F727" s="1"/>
      <c r="G727" s="1"/>
      <c r="H727" s="1"/>
      <c r="I727" s="1"/>
      <c r="J727" s="1"/>
      <c r="K727" s="1"/>
      <c r="L727" s="1"/>
    </row>
    <row r="728" ht="14.25" customHeight="1">
      <c r="A728" s="52"/>
      <c r="B728" s="53"/>
      <c r="C728" s="1"/>
      <c r="D728" s="1"/>
      <c r="E728" s="1"/>
      <c r="F728" s="1"/>
      <c r="G728" s="1"/>
      <c r="H728" s="1"/>
      <c r="I728" s="1"/>
      <c r="J728" s="1"/>
      <c r="K728" s="1"/>
      <c r="L728" s="1"/>
    </row>
    <row r="729" ht="14.25" customHeight="1">
      <c r="A729" s="52"/>
      <c r="B729" s="53"/>
      <c r="C729" s="1"/>
      <c r="D729" s="1"/>
      <c r="E729" s="1"/>
      <c r="F729" s="1"/>
      <c r="G729" s="1"/>
      <c r="H729" s="1"/>
      <c r="I729" s="1"/>
      <c r="J729" s="1"/>
      <c r="K729" s="1"/>
      <c r="L729" s="1"/>
    </row>
    <row r="730" ht="14.25" customHeight="1">
      <c r="A730" s="52"/>
      <c r="B730" s="53"/>
      <c r="C730" s="1"/>
      <c r="D730" s="1"/>
      <c r="E730" s="1"/>
      <c r="F730" s="1"/>
      <c r="G730" s="1"/>
      <c r="H730" s="1"/>
      <c r="I730" s="1"/>
      <c r="J730" s="1"/>
      <c r="K730" s="1"/>
      <c r="L730" s="1"/>
    </row>
    <row r="731" ht="14.25" customHeight="1">
      <c r="A731" s="52"/>
      <c r="B731" s="53"/>
      <c r="C731" s="1"/>
      <c r="D731" s="1"/>
      <c r="E731" s="1"/>
      <c r="F731" s="1"/>
      <c r="G731" s="1"/>
      <c r="H731" s="1"/>
      <c r="I731" s="1"/>
      <c r="J731" s="1"/>
      <c r="K731" s="1"/>
      <c r="L731" s="1"/>
    </row>
    <row r="732" ht="14.25" customHeight="1">
      <c r="A732" s="52"/>
      <c r="B732" s="53"/>
      <c r="C732" s="1"/>
      <c r="D732" s="1"/>
      <c r="E732" s="1"/>
      <c r="F732" s="1"/>
      <c r="G732" s="1"/>
      <c r="H732" s="1"/>
      <c r="I732" s="1"/>
      <c r="J732" s="1"/>
      <c r="K732" s="1"/>
      <c r="L732" s="1"/>
    </row>
    <row r="733" ht="14.25" customHeight="1">
      <c r="A733" s="52"/>
      <c r="B733" s="53"/>
      <c r="C733" s="1"/>
      <c r="D733" s="1"/>
      <c r="E733" s="1"/>
      <c r="F733" s="1"/>
      <c r="G733" s="1"/>
      <c r="H733" s="1"/>
      <c r="I733" s="1"/>
      <c r="J733" s="1"/>
      <c r="K733" s="1"/>
      <c r="L733" s="1"/>
    </row>
    <row r="734" ht="14.25" customHeight="1">
      <c r="A734" s="52"/>
      <c r="B734" s="53"/>
      <c r="C734" s="1"/>
      <c r="D734" s="1"/>
      <c r="E734" s="1"/>
      <c r="F734" s="1"/>
      <c r="G734" s="1"/>
      <c r="H734" s="1"/>
      <c r="I734" s="1"/>
      <c r="J734" s="1"/>
      <c r="K734" s="1"/>
      <c r="L734" s="1"/>
    </row>
    <row r="735" ht="14.25" customHeight="1">
      <c r="A735" s="52"/>
      <c r="B735" s="53"/>
      <c r="C735" s="1"/>
      <c r="D735" s="1"/>
      <c r="E735" s="1"/>
      <c r="F735" s="1"/>
      <c r="G735" s="1"/>
      <c r="H735" s="1"/>
      <c r="I735" s="1"/>
      <c r="J735" s="1"/>
      <c r="K735" s="1"/>
      <c r="L735" s="1"/>
    </row>
    <row r="736" ht="14.25" customHeight="1">
      <c r="A736" s="52"/>
      <c r="B736" s="53"/>
      <c r="C736" s="1"/>
      <c r="D736" s="1"/>
      <c r="E736" s="1"/>
      <c r="F736" s="1"/>
      <c r="G736" s="1"/>
      <c r="H736" s="1"/>
      <c r="I736" s="1"/>
      <c r="J736" s="1"/>
      <c r="K736" s="1"/>
      <c r="L736" s="1"/>
    </row>
    <row r="737" ht="14.25" customHeight="1">
      <c r="A737" s="52"/>
      <c r="B737" s="53"/>
      <c r="C737" s="1"/>
      <c r="D737" s="1"/>
      <c r="E737" s="1"/>
      <c r="F737" s="1"/>
      <c r="G737" s="1"/>
      <c r="H737" s="1"/>
      <c r="I737" s="1"/>
      <c r="J737" s="1"/>
      <c r="K737" s="1"/>
      <c r="L737" s="1"/>
    </row>
    <row r="738" ht="14.25" customHeight="1">
      <c r="A738" s="52"/>
      <c r="B738" s="53"/>
      <c r="C738" s="1"/>
      <c r="D738" s="1"/>
      <c r="E738" s="1"/>
      <c r="F738" s="1"/>
      <c r="G738" s="1"/>
      <c r="H738" s="1"/>
      <c r="I738" s="1"/>
      <c r="J738" s="1"/>
      <c r="K738" s="1"/>
      <c r="L738" s="1"/>
    </row>
    <row r="739" ht="14.25" customHeight="1">
      <c r="A739" s="52"/>
      <c r="B739" s="53"/>
      <c r="C739" s="1"/>
      <c r="D739" s="1"/>
      <c r="E739" s="1"/>
      <c r="F739" s="1"/>
      <c r="G739" s="1"/>
      <c r="H739" s="1"/>
      <c r="I739" s="1"/>
      <c r="J739" s="1"/>
      <c r="K739" s="1"/>
      <c r="L739" s="1"/>
    </row>
    <row r="740" ht="14.25" customHeight="1">
      <c r="A740" s="52"/>
      <c r="B740" s="53"/>
      <c r="C740" s="1"/>
      <c r="D740" s="1"/>
      <c r="E740" s="1"/>
      <c r="F740" s="1"/>
      <c r="G740" s="1"/>
      <c r="H740" s="1"/>
      <c r="I740" s="1"/>
      <c r="J740" s="1"/>
      <c r="K740" s="1"/>
      <c r="L740" s="1"/>
    </row>
    <row r="741" ht="14.25" customHeight="1">
      <c r="A741" s="52"/>
      <c r="B741" s="53"/>
      <c r="C741" s="1"/>
      <c r="D741" s="1"/>
      <c r="E741" s="1"/>
      <c r="F741" s="1"/>
      <c r="G741" s="1"/>
      <c r="H741" s="1"/>
      <c r="I741" s="1"/>
      <c r="J741" s="1"/>
      <c r="K741" s="1"/>
      <c r="L741" s="1"/>
    </row>
    <row r="742" ht="14.25" customHeight="1">
      <c r="A742" s="52"/>
      <c r="B742" s="53"/>
      <c r="C742" s="1"/>
      <c r="D742" s="1"/>
      <c r="E742" s="1"/>
      <c r="F742" s="1"/>
      <c r="G742" s="1"/>
      <c r="H742" s="1"/>
      <c r="I742" s="1"/>
      <c r="J742" s="1"/>
      <c r="K742" s="1"/>
      <c r="L742" s="1"/>
    </row>
    <row r="743" ht="14.25" customHeight="1">
      <c r="A743" s="52"/>
      <c r="B743" s="53"/>
      <c r="C743" s="1"/>
      <c r="D743" s="1"/>
      <c r="E743" s="1"/>
      <c r="F743" s="1"/>
      <c r="G743" s="1"/>
      <c r="H743" s="1"/>
      <c r="I743" s="1"/>
      <c r="J743" s="1"/>
      <c r="K743" s="1"/>
      <c r="L743" s="1"/>
    </row>
    <row r="744" ht="14.25" customHeight="1">
      <c r="A744" s="52"/>
      <c r="B744" s="53"/>
      <c r="C744" s="1"/>
      <c r="D744" s="1"/>
      <c r="E744" s="1"/>
      <c r="F744" s="1"/>
      <c r="G744" s="1"/>
      <c r="H744" s="1"/>
      <c r="I744" s="1"/>
      <c r="J744" s="1"/>
      <c r="K744" s="1"/>
      <c r="L744" s="1"/>
    </row>
    <row r="745" ht="14.25" customHeight="1">
      <c r="A745" s="52"/>
      <c r="B745" s="53"/>
      <c r="C745" s="1"/>
      <c r="D745" s="1"/>
      <c r="E745" s="1"/>
      <c r="F745" s="1"/>
      <c r="G745" s="1"/>
      <c r="H745" s="1"/>
      <c r="I745" s="1"/>
      <c r="J745" s="1"/>
      <c r="K745" s="1"/>
      <c r="L745" s="1"/>
    </row>
    <row r="746" ht="14.25" customHeight="1">
      <c r="A746" s="52"/>
      <c r="B746" s="53"/>
      <c r="C746" s="1"/>
      <c r="D746" s="1"/>
      <c r="E746" s="1"/>
      <c r="F746" s="1"/>
      <c r="G746" s="1"/>
      <c r="H746" s="1"/>
      <c r="I746" s="1"/>
      <c r="J746" s="1"/>
      <c r="K746" s="1"/>
      <c r="L746" s="1"/>
    </row>
    <row r="747" ht="14.25" customHeight="1">
      <c r="A747" s="52"/>
      <c r="B747" s="53"/>
      <c r="C747" s="1"/>
      <c r="D747" s="1"/>
      <c r="E747" s="1"/>
      <c r="F747" s="1"/>
      <c r="G747" s="1"/>
      <c r="H747" s="1"/>
      <c r="I747" s="1"/>
      <c r="J747" s="1"/>
      <c r="K747" s="1"/>
      <c r="L747" s="1"/>
    </row>
    <row r="748" ht="14.25" customHeight="1">
      <c r="A748" s="52"/>
      <c r="B748" s="53"/>
      <c r="C748" s="1"/>
      <c r="D748" s="1"/>
      <c r="E748" s="1"/>
      <c r="F748" s="1"/>
      <c r="G748" s="1"/>
      <c r="H748" s="1"/>
      <c r="I748" s="1"/>
      <c r="J748" s="1"/>
      <c r="K748" s="1"/>
      <c r="L748" s="1"/>
    </row>
    <row r="749" ht="14.25" customHeight="1">
      <c r="A749" s="52"/>
      <c r="B749" s="53"/>
      <c r="C749" s="1"/>
      <c r="D749" s="1"/>
      <c r="E749" s="1"/>
      <c r="F749" s="1"/>
      <c r="G749" s="1"/>
      <c r="H749" s="1"/>
      <c r="I749" s="1"/>
      <c r="J749" s="1"/>
      <c r="K749" s="1"/>
      <c r="L749" s="1"/>
    </row>
    <row r="750" ht="14.25" customHeight="1">
      <c r="A750" s="52"/>
      <c r="B750" s="53"/>
      <c r="C750" s="1"/>
      <c r="D750" s="1"/>
      <c r="E750" s="1"/>
      <c r="F750" s="1"/>
      <c r="G750" s="1"/>
      <c r="H750" s="1"/>
      <c r="I750" s="1"/>
      <c r="J750" s="1"/>
      <c r="K750" s="1"/>
      <c r="L750" s="1"/>
    </row>
    <row r="751" ht="14.25" customHeight="1">
      <c r="A751" s="52"/>
      <c r="B751" s="53"/>
      <c r="C751" s="1"/>
      <c r="D751" s="1"/>
      <c r="E751" s="1"/>
      <c r="F751" s="1"/>
      <c r="G751" s="1"/>
      <c r="H751" s="1"/>
      <c r="I751" s="1"/>
      <c r="J751" s="1"/>
      <c r="K751" s="1"/>
      <c r="L751" s="1"/>
    </row>
    <row r="752" ht="14.25" customHeight="1">
      <c r="A752" s="52"/>
      <c r="B752" s="53"/>
      <c r="C752" s="1"/>
      <c r="D752" s="1"/>
      <c r="E752" s="1"/>
      <c r="F752" s="1"/>
      <c r="G752" s="1"/>
      <c r="H752" s="1"/>
      <c r="I752" s="1"/>
      <c r="J752" s="1"/>
      <c r="K752" s="1"/>
      <c r="L752" s="1"/>
    </row>
    <row r="753" ht="14.25" customHeight="1">
      <c r="A753" s="52"/>
      <c r="B753" s="53"/>
      <c r="C753" s="1"/>
      <c r="D753" s="1"/>
      <c r="E753" s="1"/>
      <c r="F753" s="1"/>
      <c r="G753" s="1"/>
      <c r="H753" s="1"/>
      <c r="I753" s="1"/>
      <c r="J753" s="1"/>
      <c r="K753" s="1"/>
      <c r="L753" s="1"/>
    </row>
    <row r="754" ht="14.25" customHeight="1">
      <c r="A754" s="52"/>
      <c r="B754" s="53"/>
      <c r="C754" s="1"/>
      <c r="D754" s="1"/>
      <c r="E754" s="1"/>
      <c r="F754" s="1"/>
      <c r="G754" s="1"/>
      <c r="H754" s="1"/>
      <c r="I754" s="1"/>
      <c r="J754" s="1"/>
      <c r="K754" s="1"/>
      <c r="L754" s="1"/>
    </row>
    <row r="755" ht="14.25" customHeight="1">
      <c r="A755" s="52"/>
      <c r="B755" s="53"/>
      <c r="C755" s="1"/>
      <c r="D755" s="1"/>
      <c r="E755" s="1"/>
      <c r="F755" s="1"/>
      <c r="G755" s="1"/>
      <c r="H755" s="1"/>
      <c r="I755" s="1"/>
      <c r="J755" s="1"/>
      <c r="K755" s="1"/>
      <c r="L755" s="1"/>
    </row>
    <row r="756" ht="14.25" customHeight="1">
      <c r="A756" s="52"/>
      <c r="B756" s="53"/>
      <c r="C756" s="1"/>
      <c r="D756" s="1"/>
      <c r="E756" s="1"/>
      <c r="F756" s="1"/>
      <c r="G756" s="1"/>
      <c r="H756" s="1"/>
      <c r="I756" s="1"/>
      <c r="J756" s="1"/>
      <c r="K756" s="1"/>
      <c r="L756" s="1"/>
    </row>
    <row r="757" ht="14.25" customHeight="1">
      <c r="A757" s="52"/>
      <c r="B757" s="53"/>
      <c r="C757" s="1"/>
      <c r="D757" s="1"/>
      <c r="E757" s="1"/>
      <c r="F757" s="1"/>
      <c r="G757" s="1"/>
      <c r="H757" s="1"/>
      <c r="I757" s="1"/>
      <c r="J757" s="1"/>
      <c r="K757" s="1"/>
      <c r="L757" s="1"/>
    </row>
    <row r="758" ht="14.25" customHeight="1">
      <c r="A758" s="52"/>
      <c r="B758" s="53"/>
      <c r="C758" s="1"/>
      <c r="D758" s="1"/>
      <c r="E758" s="1"/>
      <c r="F758" s="1"/>
      <c r="G758" s="1"/>
      <c r="H758" s="1"/>
      <c r="I758" s="1"/>
      <c r="J758" s="1"/>
      <c r="K758" s="1"/>
      <c r="L758" s="1"/>
    </row>
    <row r="759" ht="14.25" customHeight="1">
      <c r="A759" s="52"/>
      <c r="B759" s="53"/>
      <c r="C759" s="1"/>
      <c r="D759" s="1"/>
      <c r="E759" s="1"/>
      <c r="F759" s="1"/>
      <c r="G759" s="1"/>
      <c r="H759" s="1"/>
      <c r="I759" s="1"/>
      <c r="J759" s="1"/>
      <c r="K759" s="1"/>
      <c r="L759" s="1"/>
    </row>
    <row r="760" ht="14.25" customHeight="1">
      <c r="A760" s="52"/>
      <c r="B760" s="53"/>
      <c r="C760" s="1"/>
      <c r="D760" s="1"/>
      <c r="E760" s="1"/>
      <c r="F760" s="1"/>
      <c r="G760" s="1"/>
      <c r="H760" s="1"/>
      <c r="I760" s="1"/>
      <c r="J760" s="1"/>
      <c r="K760" s="1"/>
      <c r="L760" s="1"/>
    </row>
    <row r="761" ht="14.25" customHeight="1">
      <c r="A761" s="52"/>
      <c r="B761" s="53"/>
      <c r="C761" s="1"/>
      <c r="D761" s="1"/>
      <c r="E761" s="1"/>
      <c r="F761" s="1"/>
      <c r="G761" s="1"/>
      <c r="H761" s="1"/>
      <c r="I761" s="1"/>
      <c r="J761" s="1"/>
      <c r="K761" s="1"/>
      <c r="L761" s="1"/>
    </row>
    <row r="762" ht="14.25" customHeight="1">
      <c r="A762" s="52"/>
      <c r="B762" s="53"/>
      <c r="C762" s="1"/>
      <c r="D762" s="1"/>
      <c r="E762" s="1"/>
      <c r="F762" s="1"/>
      <c r="G762" s="1"/>
      <c r="H762" s="1"/>
      <c r="I762" s="1"/>
      <c r="J762" s="1"/>
      <c r="K762" s="1"/>
      <c r="L762" s="1"/>
    </row>
    <row r="763" ht="14.25" customHeight="1">
      <c r="A763" s="52"/>
      <c r="B763" s="53"/>
      <c r="C763" s="1"/>
      <c r="D763" s="1"/>
      <c r="E763" s="1"/>
      <c r="F763" s="1"/>
      <c r="G763" s="1"/>
      <c r="H763" s="1"/>
      <c r="I763" s="1"/>
      <c r="J763" s="1"/>
      <c r="K763" s="1"/>
      <c r="L763" s="1"/>
    </row>
    <row r="764" ht="14.25" customHeight="1">
      <c r="A764" s="52"/>
      <c r="B764" s="53"/>
      <c r="C764" s="1"/>
      <c r="D764" s="1"/>
      <c r="E764" s="1"/>
      <c r="F764" s="1"/>
      <c r="G764" s="1"/>
      <c r="H764" s="1"/>
      <c r="I764" s="1"/>
      <c r="J764" s="1"/>
      <c r="K764" s="1"/>
      <c r="L764" s="1"/>
    </row>
    <row r="765" ht="14.25" customHeight="1">
      <c r="A765" s="52"/>
      <c r="B765" s="53"/>
      <c r="C765" s="1"/>
      <c r="D765" s="1"/>
      <c r="E765" s="1"/>
      <c r="F765" s="1"/>
      <c r="G765" s="1"/>
      <c r="H765" s="1"/>
      <c r="I765" s="1"/>
      <c r="J765" s="1"/>
      <c r="K765" s="1"/>
      <c r="L765" s="1"/>
    </row>
    <row r="766" ht="14.25" customHeight="1">
      <c r="A766" s="52"/>
      <c r="B766" s="53"/>
      <c r="C766" s="1"/>
      <c r="D766" s="1"/>
      <c r="E766" s="1"/>
      <c r="F766" s="1"/>
      <c r="G766" s="1"/>
      <c r="H766" s="1"/>
      <c r="I766" s="1"/>
      <c r="J766" s="1"/>
      <c r="K766" s="1"/>
      <c r="L766" s="1"/>
    </row>
    <row r="767" ht="14.25" customHeight="1">
      <c r="A767" s="52"/>
      <c r="B767" s="53"/>
      <c r="C767" s="1"/>
      <c r="D767" s="1"/>
      <c r="E767" s="1"/>
      <c r="F767" s="1"/>
      <c r="G767" s="1"/>
      <c r="H767" s="1"/>
      <c r="I767" s="1"/>
      <c r="J767" s="1"/>
      <c r="K767" s="1"/>
      <c r="L767" s="1"/>
    </row>
    <row r="768" ht="14.25" customHeight="1">
      <c r="A768" s="52"/>
      <c r="B768" s="53"/>
      <c r="C768" s="1"/>
      <c r="D768" s="1"/>
      <c r="E768" s="1"/>
      <c r="F768" s="1"/>
      <c r="G768" s="1"/>
      <c r="H768" s="1"/>
      <c r="I768" s="1"/>
      <c r="J768" s="1"/>
      <c r="K768" s="1"/>
      <c r="L768" s="1"/>
    </row>
    <row r="769" ht="14.25" customHeight="1">
      <c r="A769" s="52"/>
      <c r="B769" s="53"/>
      <c r="C769" s="1"/>
      <c r="D769" s="1"/>
      <c r="E769" s="1"/>
      <c r="F769" s="1"/>
      <c r="G769" s="1"/>
      <c r="H769" s="1"/>
      <c r="I769" s="1"/>
      <c r="J769" s="1"/>
      <c r="K769" s="1"/>
      <c r="L769" s="1"/>
    </row>
    <row r="770" ht="14.25" customHeight="1">
      <c r="A770" s="52"/>
      <c r="B770" s="53"/>
      <c r="C770" s="1"/>
      <c r="D770" s="1"/>
      <c r="E770" s="1"/>
      <c r="F770" s="1"/>
      <c r="G770" s="1"/>
      <c r="H770" s="1"/>
      <c r="I770" s="1"/>
      <c r="J770" s="1"/>
      <c r="K770" s="1"/>
      <c r="L770" s="1"/>
    </row>
    <row r="771" ht="14.25" customHeight="1">
      <c r="A771" s="52"/>
      <c r="B771" s="53"/>
      <c r="C771" s="1"/>
      <c r="D771" s="1"/>
      <c r="E771" s="1"/>
      <c r="F771" s="1"/>
      <c r="G771" s="1"/>
      <c r="H771" s="1"/>
      <c r="I771" s="1"/>
      <c r="J771" s="1"/>
      <c r="K771" s="1"/>
      <c r="L771" s="1"/>
    </row>
    <row r="772" ht="14.25" customHeight="1">
      <c r="A772" s="52"/>
      <c r="B772" s="53"/>
      <c r="C772" s="1"/>
      <c r="D772" s="1"/>
      <c r="E772" s="1"/>
      <c r="F772" s="1"/>
      <c r="G772" s="1"/>
      <c r="H772" s="1"/>
      <c r="I772" s="1"/>
      <c r="J772" s="1"/>
      <c r="K772" s="1"/>
      <c r="L772" s="1"/>
    </row>
    <row r="773" ht="14.25" customHeight="1">
      <c r="A773" s="52"/>
      <c r="B773" s="53"/>
      <c r="C773" s="1"/>
      <c r="D773" s="1"/>
      <c r="E773" s="1"/>
      <c r="F773" s="1"/>
      <c r="G773" s="1"/>
      <c r="H773" s="1"/>
      <c r="I773" s="1"/>
      <c r="J773" s="1"/>
      <c r="K773" s="1"/>
      <c r="L773" s="1"/>
    </row>
    <row r="774" ht="14.25" customHeight="1">
      <c r="A774" s="52"/>
      <c r="B774" s="53"/>
      <c r="C774" s="1"/>
      <c r="D774" s="1"/>
      <c r="E774" s="1"/>
      <c r="F774" s="1"/>
      <c r="G774" s="1"/>
      <c r="H774" s="1"/>
      <c r="I774" s="1"/>
      <c r="J774" s="1"/>
      <c r="K774" s="1"/>
      <c r="L774" s="1"/>
    </row>
    <row r="775" ht="14.25" customHeight="1">
      <c r="A775" s="52"/>
      <c r="B775" s="53"/>
      <c r="C775" s="1"/>
      <c r="D775" s="1"/>
      <c r="E775" s="1"/>
      <c r="F775" s="1"/>
      <c r="G775" s="1"/>
      <c r="H775" s="1"/>
      <c r="I775" s="1"/>
      <c r="J775" s="1"/>
      <c r="K775" s="1"/>
      <c r="L775" s="1"/>
    </row>
    <row r="776" ht="14.25" customHeight="1">
      <c r="A776" s="52"/>
      <c r="B776" s="53"/>
      <c r="C776" s="1"/>
      <c r="D776" s="1"/>
      <c r="E776" s="1"/>
      <c r="F776" s="1"/>
      <c r="G776" s="1"/>
      <c r="H776" s="1"/>
      <c r="I776" s="1"/>
      <c r="J776" s="1"/>
      <c r="K776" s="1"/>
      <c r="L776" s="1"/>
    </row>
    <row r="777" ht="14.25" customHeight="1">
      <c r="A777" s="52"/>
      <c r="B777" s="53"/>
      <c r="C777" s="1"/>
      <c r="D777" s="1"/>
      <c r="E777" s="1"/>
      <c r="F777" s="1"/>
      <c r="G777" s="1"/>
      <c r="H777" s="1"/>
      <c r="I777" s="1"/>
      <c r="J777" s="1"/>
      <c r="K777" s="1"/>
      <c r="L777" s="1"/>
    </row>
    <row r="778" ht="14.25" customHeight="1">
      <c r="A778" s="52"/>
      <c r="B778" s="53"/>
      <c r="C778" s="1"/>
      <c r="D778" s="1"/>
      <c r="E778" s="1"/>
      <c r="F778" s="1"/>
      <c r="G778" s="1"/>
      <c r="H778" s="1"/>
      <c r="I778" s="1"/>
      <c r="J778" s="1"/>
      <c r="K778" s="1"/>
      <c r="L778" s="1"/>
    </row>
    <row r="779" ht="14.25" customHeight="1">
      <c r="A779" s="52"/>
      <c r="B779" s="53"/>
      <c r="C779" s="1"/>
      <c r="D779" s="1"/>
      <c r="E779" s="1"/>
      <c r="F779" s="1"/>
      <c r="G779" s="1"/>
      <c r="H779" s="1"/>
      <c r="I779" s="1"/>
      <c r="J779" s="1"/>
      <c r="K779" s="1"/>
      <c r="L779" s="1"/>
    </row>
    <row r="780" ht="14.25" customHeight="1">
      <c r="A780" s="52"/>
      <c r="B780" s="53"/>
      <c r="C780" s="1"/>
      <c r="D780" s="1"/>
      <c r="E780" s="1"/>
      <c r="F780" s="1"/>
      <c r="G780" s="1"/>
      <c r="H780" s="1"/>
      <c r="I780" s="1"/>
      <c r="J780" s="1"/>
      <c r="K780" s="1"/>
      <c r="L780" s="1"/>
    </row>
    <row r="781" ht="14.25" customHeight="1">
      <c r="A781" s="52"/>
      <c r="B781" s="53"/>
      <c r="C781" s="1"/>
      <c r="D781" s="1"/>
      <c r="E781" s="1"/>
      <c r="F781" s="1"/>
      <c r="G781" s="1"/>
      <c r="H781" s="1"/>
      <c r="I781" s="1"/>
      <c r="J781" s="1"/>
      <c r="K781" s="1"/>
      <c r="L781" s="1"/>
    </row>
    <row r="782" ht="14.25" customHeight="1">
      <c r="A782" s="52"/>
      <c r="B782" s="53"/>
      <c r="C782" s="1"/>
      <c r="D782" s="1"/>
      <c r="E782" s="1"/>
      <c r="F782" s="1"/>
      <c r="G782" s="1"/>
      <c r="H782" s="1"/>
      <c r="I782" s="1"/>
      <c r="J782" s="1"/>
      <c r="K782" s="1"/>
      <c r="L782" s="1"/>
    </row>
    <row r="783" ht="14.25" customHeight="1">
      <c r="A783" s="52"/>
      <c r="B783" s="53"/>
      <c r="C783" s="1"/>
      <c r="D783" s="1"/>
      <c r="E783" s="1"/>
      <c r="F783" s="1"/>
      <c r="G783" s="1"/>
      <c r="H783" s="1"/>
      <c r="I783" s="1"/>
      <c r="J783" s="1"/>
      <c r="K783" s="1"/>
      <c r="L783" s="1"/>
    </row>
    <row r="784" ht="14.25" customHeight="1">
      <c r="A784" s="52"/>
      <c r="B784" s="53"/>
      <c r="C784" s="1"/>
      <c r="D784" s="1"/>
      <c r="E784" s="1"/>
      <c r="F784" s="1"/>
      <c r="G784" s="1"/>
      <c r="H784" s="1"/>
      <c r="I784" s="1"/>
      <c r="J784" s="1"/>
      <c r="K784" s="1"/>
      <c r="L784" s="1"/>
    </row>
    <row r="785" ht="14.25" customHeight="1">
      <c r="A785" s="52"/>
      <c r="B785" s="53"/>
      <c r="C785" s="1"/>
      <c r="D785" s="1"/>
      <c r="E785" s="1"/>
      <c r="F785" s="1"/>
      <c r="G785" s="1"/>
      <c r="H785" s="1"/>
      <c r="I785" s="1"/>
      <c r="J785" s="1"/>
      <c r="K785" s="1"/>
      <c r="L785" s="1"/>
    </row>
    <row r="786" ht="14.25" customHeight="1">
      <c r="A786" s="52"/>
      <c r="B786" s="53"/>
      <c r="C786" s="1"/>
      <c r="D786" s="1"/>
      <c r="E786" s="1"/>
      <c r="F786" s="1"/>
      <c r="G786" s="1"/>
      <c r="H786" s="1"/>
      <c r="I786" s="1"/>
      <c r="J786" s="1"/>
      <c r="K786" s="1"/>
      <c r="L786" s="1"/>
    </row>
    <row r="787" ht="14.25" customHeight="1">
      <c r="A787" s="52"/>
      <c r="B787" s="53"/>
      <c r="C787" s="1"/>
      <c r="D787" s="1"/>
      <c r="E787" s="1"/>
      <c r="F787" s="1"/>
      <c r="G787" s="1"/>
      <c r="H787" s="1"/>
      <c r="I787" s="1"/>
      <c r="J787" s="1"/>
      <c r="K787" s="1"/>
      <c r="L787" s="1"/>
    </row>
    <row r="788" ht="14.25" customHeight="1">
      <c r="A788" s="52"/>
      <c r="B788" s="53"/>
      <c r="C788" s="1"/>
      <c r="D788" s="1"/>
      <c r="E788" s="1"/>
      <c r="F788" s="1"/>
      <c r="G788" s="1"/>
      <c r="H788" s="1"/>
      <c r="I788" s="1"/>
      <c r="J788" s="1"/>
      <c r="K788" s="1"/>
      <c r="L788" s="1"/>
    </row>
    <row r="789" ht="14.25" customHeight="1">
      <c r="A789" s="52"/>
      <c r="B789" s="53"/>
      <c r="C789" s="1"/>
      <c r="D789" s="1"/>
      <c r="E789" s="1"/>
      <c r="F789" s="1"/>
      <c r="G789" s="1"/>
      <c r="H789" s="1"/>
      <c r="I789" s="1"/>
      <c r="J789" s="1"/>
      <c r="K789" s="1"/>
      <c r="L789" s="1"/>
    </row>
    <row r="790" ht="14.25" customHeight="1">
      <c r="A790" s="52"/>
      <c r="B790" s="53"/>
      <c r="C790" s="1"/>
      <c r="D790" s="1"/>
      <c r="E790" s="1"/>
      <c r="F790" s="1"/>
      <c r="G790" s="1"/>
      <c r="H790" s="1"/>
      <c r="I790" s="1"/>
      <c r="J790" s="1"/>
      <c r="K790" s="1"/>
      <c r="L790" s="1"/>
    </row>
    <row r="791" ht="14.25" customHeight="1">
      <c r="A791" s="52"/>
      <c r="B791" s="53"/>
      <c r="C791" s="1"/>
      <c r="D791" s="1"/>
      <c r="E791" s="1"/>
      <c r="F791" s="1"/>
      <c r="G791" s="1"/>
      <c r="H791" s="1"/>
      <c r="I791" s="1"/>
      <c r="J791" s="1"/>
      <c r="K791" s="1"/>
      <c r="L791" s="1"/>
    </row>
    <row r="792" ht="14.25" customHeight="1">
      <c r="A792" s="52"/>
      <c r="B792" s="53"/>
      <c r="C792" s="1"/>
      <c r="D792" s="1"/>
      <c r="E792" s="1"/>
      <c r="F792" s="1"/>
      <c r="G792" s="1"/>
      <c r="H792" s="1"/>
      <c r="I792" s="1"/>
      <c r="J792" s="1"/>
      <c r="K792" s="1"/>
      <c r="L792" s="1"/>
    </row>
    <row r="793" ht="14.25" customHeight="1">
      <c r="A793" s="52"/>
      <c r="B793" s="53"/>
      <c r="C793" s="1"/>
      <c r="D793" s="1"/>
      <c r="E793" s="1"/>
      <c r="F793" s="1"/>
      <c r="G793" s="1"/>
      <c r="H793" s="1"/>
      <c r="I793" s="1"/>
      <c r="J793" s="1"/>
      <c r="K793" s="1"/>
      <c r="L793" s="1"/>
    </row>
    <row r="794" ht="14.25" customHeight="1">
      <c r="A794" s="52"/>
      <c r="B794" s="53"/>
      <c r="C794" s="1"/>
      <c r="D794" s="1"/>
      <c r="E794" s="1"/>
      <c r="F794" s="1"/>
      <c r="G794" s="1"/>
      <c r="H794" s="1"/>
      <c r="I794" s="1"/>
      <c r="J794" s="1"/>
      <c r="K794" s="1"/>
      <c r="L794" s="1"/>
    </row>
    <row r="795" ht="14.25" customHeight="1">
      <c r="A795" s="52"/>
      <c r="B795" s="53"/>
      <c r="C795" s="1"/>
      <c r="D795" s="1"/>
      <c r="E795" s="1"/>
      <c r="F795" s="1"/>
      <c r="G795" s="1"/>
      <c r="H795" s="1"/>
      <c r="I795" s="1"/>
      <c r="J795" s="1"/>
      <c r="K795" s="1"/>
      <c r="L795" s="1"/>
    </row>
    <row r="796" ht="14.25" customHeight="1">
      <c r="A796" s="52"/>
      <c r="B796" s="53"/>
      <c r="C796" s="1"/>
      <c r="D796" s="1"/>
      <c r="E796" s="1"/>
      <c r="F796" s="1"/>
      <c r="G796" s="1"/>
      <c r="H796" s="1"/>
      <c r="I796" s="1"/>
      <c r="J796" s="1"/>
      <c r="K796" s="1"/>
      <c r="L796" s="1"/>
    </row>
    <row r="797" ht="14.25" customHeight="1">
      <c r="A797" s="52"/>
      <c r="B797" s="53"/>
      <c r="C797" s="1"/>
      <c r="D797" s="1"/>
      <c r="E797" s="1"/>
      <c r="F797" s="1"/>
      <c r="G797" s="1"/>
      <c r="H797" s="1"/>
      <c r="I797" s="1"/>
      <c r="J797" s="1"/>
      <c r="K797" s="1"/>
      <c r="L797" s="1"/>
    </row>
    <row r="798" ht="14.25" customHeight="1">
      <c r="A798" s="52"/>
      <c r="B798" s="53"/>
      <c r="C798" s="1"/>
      <c r="D798" s="1"/>
      <c r="E798" s="1"/>
      <c r="F798" s="1"/>
      <c r="G798" s="1"/>
      <c r="H798" s="1"/>
      <c r="I798" s="1"/>
      <c r="J798" s="1"/>
      <c r="K798" s="1"/>
      <c r="L798" s="1"/>
    </row>
    <row r="799" ht="14.25" customHeight="1">
      <c r="A799" s="52"/>
      <c r="B799" s="53"/>
      <c r="C799" s="1"/>
      <c r="D799" s="1"/>
      <c r="E799" s="1"/>
      <c r="F799" s="1"/>
      <c r="G799" s="1"/>
      <c r="H799" s="1"/>
      <c r="I799" s="1"/>
      <c r="J799" s="1"/>
      <c r="K799" s="1"/>
      <c r="L799" s="1"/>
    </row>
    <row r="800" ht="14.25" customHeight="1">
      <c r="A800" s="52"/>
      <c r="B800" s="53"/>
      <c r="C800" s="1"/>
      <c r="D800" s="1"/>
      <c r="E800" s="1"/>
      <c r="F800" s="1"/>
      <c r="G800" s="1"/>
      <c r="H800" s="1"/>
      <c r="I800" s="1"/>
      <c r="J800" s="1"/>
      <c r="K800" s="1"/>
      <c r="L800" s="1"/>
    </row>
    <row r="801" ht="14.25" customHeight="1">
      <c r="A801" s="52"/>
      <c r="B801" s="53"/>
      <c r="C801" s="1"/>
      <c r="D801" s="1"/>
      <c r="E801" s="1"/>
      <c r="F801" s="1"/>
      <c r="G801" s="1"/>
      <c r="H801" s="1"/>
      <c r="I801" s="1"/>
      <c r="J801" s="1"/>
      <c r="K801" s="1"/>
      <c r="L801" s="1"/>
    </row>
    <row r="802" ht="14.25" customHeight="1">
      <c r="A802" s="52"/>
      <c r="B802" s="53"/>
      <c r="C802" s="1"/>
      <c r="D802" s="1"/>
      <c r="E802" s="1"/>
      <c r="F802" s="1"/>
      <c r="G802" s="1"/>
      <c r="H802" s="1"/>
      <c r="I802" s="1"/>
      <c r="J802" s="1"/>
      <c r="K802" s="1"/>
      <c r="L802" s="1"/>
    </row>
    <row r="803" ht="14.25" customHeight="1">
      <c r="A803" s="52"/>
      <c r="B803" s="53"/>
      <c r="C803" s="1"/>
      <c r="D803" s="1"/>
      <c r="E803" s="1"/>
      <c r="F803" s="1"/>
      <c r="G803" s="1"/>
      <c r="H803" s="1"/>
      <c r="I803" s="1"/>
      <c r="J803" s="1"/>
      <c r="K803" s="1"/>
      <c r="L803" s="1"/>
    </row>
    <row r="804" ht="14.25" customHeight="1">
      <c r="A804" s="52"/>
      <c r="B804" s="53"/>
      <c r="C804" s="1"/>
      <c r="D804" s="1"/>
      <c r="E804" s="1"/>
      <c r="F804" s="1"/>
      <c r="G804" s="1"/>
      <c r="H804" s="1"/>
      <c r="I804" s="1"/>
      <c r="J804" s="1"/>
      <c r="K804" s="1"/>
      <c r="L804" s="1"/>
    </row>
    <row r="805" ht="14.25" customHeight="1">
      <c r="A805" s="52"/>
      <c r="B805" s="53"/>
      <c r="C805" s="1"/>
      <c r="D805" s="1"/>
      <c r="E805" s="1"/>
      <c r="F805" s="1"/>
      <c r="G805" s="1"/>
      <c r="H805" s="1"/>
      <c r="I805" s="1"/>
      <c r="J805" s="1"/>
      <c r="K805" s="1"/>
      <c r="L805" s="1"/>
    </row>
    <row r="806" ht="14.25" customHeight="1">
      <c r="A806" s="52"/>
      <c r="B806" s="53"/>
      <c r="C806" s="1"/>
      <c r="D806" s="1"/>
      <c r="E806" s="1"/>
      <c r="F806" s="1"/>
      <c r="G806" s="1"/>
      <c r="H806" s="1"/>
      <c r="I806" s="1"/>
      <c r="J806" s="1"/>
      <c r="K806" s="1"/>
      <c r="L806" s="1"/>
    </row>
    <row r="807" ht="14.25" customHeight="1">
      <c r="A807" s="52"/>
      <c r="B807" s="53"/>
      <c r="C807" s="1"/>
      <c r="D807" s="1"/>
      <c r="E807" s="1"/>
      <c r="F807" s="1"/>
      <c r="G807" s="1"/>
      <c r="H807" s="1"/>
      <c r="I807" s="1"/>
      <c r="J807" s="1"/>
      <c r="K807" s="1"/>
      <c r="L807" s="1"/>
    </row>
    <row r="808" ht="14.25" customHeight="1">
      <c r="A808" s="52"/>
      <c r="B808" s="53"/>
      <c r="C808" s="1"/>
      <c r="D808" s="1"/>
      <c r="E808" s="1"/>
      <c r="F808" s="1"/>
      <c r="G808" s="1"/>
      <c r="H808" s="1"/>
      <c r="I808" s="1"/>
      <c r="J808" s="1"/>
      <c r="K808" s="1"/>
      <c r="L808" s="1"/>
    </row>
    <row r="809" ht="14.25" customHeight="1">
      <c r="A809" s="52"/>
      <c r="B809" s="53"/>
      <c r="C809" s="1"/>
      <c r="D809" s="1"/>
      <c r="E809" s="1"/>
      <c r="F809" s="1"/>
      <c r="G809" s="1"/>
      <c r="H809" s="1"/>
      <c r="I809" s="1"/>
      <c r="J809" s="1"/>
      <c r="K809" s="1"/>
      <c r="L809" s="1"/>
    </row>
    <row r="810" ht="14.25" customHeight="1">
      <c r="A810" s="52"/>
      <c r="B810" s="53"/>
      <c r="C810" s="1"/>
      <c r="D810" s="1"/>
      <c r="E810" s="1"/>
      <c r="F810" s="1"/>
      <c r="G810" s="1"/>
      <c r="H810" s="1"/>
      <c r="I810" s="1"/>
      <c r="J810" s="1"/>
      <c r="K810" s="1"/>
      <c r="L810" s="1"/>
    </row>
    <row r="811" ht="14.25" customHeight="1">
      <c r="A811" s="52"/>
      <c r="B811" s="53"/>
      <c r="C811" s="1"/>
      <c r="D811" s="1"/>
      <c r="E811" s="1"/>
      <c r="F811" s="1"/>
      <c r="G811" s="1"/>
      <c r="H811" s="1"/>
      <c r="I811" s="1"/>
      <c r="J811" s="1"/>
      <c r="K811" s="1"/>
      <c r="L811" s="1"/>
    </row>
    <row r="812" ht="14.25" customHeight="1">
      <c r="A812" s="52"/>
      <c r="B812" s="53"/>
      <c r="C812" s="1"/>
      <c r="D812" s="1"/>
      <c r="E812" s="1"/>
      <c r="F812" s="1"/>
      <c r="G812" s="1"/>
      <c r="H812" s="1"/>
      <c r="I812" s="1"/>
      <c r="J812" s="1"/>
      <c r="K812" s="1"/>
      <c r="L812" s="1"/>
    </row>
    <row r="813" ht="14.25" customHeight="1">
      <c r="A813" s="52"/>
      <c r="B813" s="53"/>
      <c r="C813" s="1"/>
      <c r="D813" s="1"/>
      <c r="E813" s="1"/>
      <c r="F813" s="1"/>
      <c r="G813" s="1"/>
      <c r="H813" s="1"/>
      <c r="I813" s="1"/>
      <c r="J813" s="1"/>
      <c r="K813" s="1"/>
      <c r="L813" s="1"/>
    </row>
    <row r="814" ht="14.25" customHeight="1">
      <c r="A814" s="52"/>
      <c r="B814" s="53"/>
      <c r="C814" s="1"/>
      <c r="D814" s="1"/>
      <c r="E814" s="1"/>
      <c r="F814" s="1"/>
      <c r="G814" s="1"/>
      <c r="H814" s="1"/>
      <c r="I814" s="1"/>
      <c r="J814" s="1"/>
      <c r="K814" s="1"/>
      <c r="L814" s="1"/>
    </row>
    <row r="815" ht="14.25" customHeight="1">
      <c r="A815" s="52"/>
      <c r="B815" s="53"/>
      <c r="C815" s="1"/>
      <c r="D815" s="1"/>
      <c r="E815" s="1"/>
      <c r="F815" s="1"/>
      <c r="G815" s="1"/>
      <c r="H815" s="1"/>
      <c r="I815" s="1"/>
      <c r="J815" s="1"/>
      <c r="K815" s="1"/>
      <c r="L815" s="1"/>
    </row>
    <row r="816" ht="14.25" customHeight="1">
      <c r="A816" s="52"/>
      <c r="B816" s="53"/>
      <c r="C816" s="1"/>
      <c r="D816" s="1"/>
      <c r="E816" s="1"/>
      <c r="F816" s="1"/>
      <c r="G816" s="1"/>
      <c r="H816" s="1"/>
      <c r="I816" s="1"/>
      <c r="J816" s="1"/>
      <c r="K816" s="1"/>
      <c r="L816" s="1"/>
    </row>
    <row r="817" ht="14.25" customHeight="1">
      <c r="A817" s="52"/>
      <c r="B817" s="53"/>
      <c r="C817" s="1"/>
      <c r="D817" s="1"/>
      <c r="E817" s="1"/>
      <c r="F817" s="1"/>
      <c r="G817" s="1"/>
      <c r="H817" s="1"/>
      <c r="I817" s="1"/>
      <c r="J817" s="1"/>
      <c r="K817" s="1"/>
      <c r="L817" s="1"/>
    </row>
    <row r="818" ht="14.25" customHeight="1">
      <c r="A818" s="52"/>
      <c r="B818" s="53"/>
      <c r="C818" s="1"/>
      <c r="D818" s="1"/>
      <c r="E818" s="1"/>
      <c r="F818" s="1"/>
      <c r="G818" s="1"/>
      <c r="H818" s="1"/>
      <c r="I818" s="1"/>
      <c r="J818" s="1"/>
      <c r="K818" s="1"/>
      <c r="L818" s="1"/>
    </row>
    <row r="819" ht="14.25" customHeight="1">
      <c r="A819" s="52"/>
      <c r="B819" s="53"/>
      <c r="C819" s="1"/>
      <c r="D819" s="1"/>
      <c r="E819" s="1"/>
      <c r="F819" s="1"/>
      <c r="G819" s="1"/>
      <c r="H819" s="1"/>
      <c r="I819" s="1"/>
      <c r="J819" s="1"/>
      <c r="K819" s="1"/>
      <c r="L819" s="1"/>
    </row>
    <row r="820" ht="14.25" customHeight="1">
      <c r="A820" s="52"/>
      <c r="B820" s="53"/>
      <c r="C820" s="1"/>
      <c r="D820" s="1"/>
      <c r="E820" s="1"/>
      <c r="F820" s="1"/>
      <c r="G820" s="1"/>
      <c r="H820" s="1"/>
      <c r="I820" s="1"/>
      <c r="J820" s="1"/>
      <c r="K820" s="1"/>
      <c r="L820" s="1"/>
    </row>
    <row r="821" ht="14.25" customHeight="1">
      <c r="A821" s="52"/>
      <c r="B821" s="53"/>
      <c r="C821" s="1"/>
      <c r="D821" s="1"/>
      <c r="E821" s="1"/>
      <c r="F821" s="1"/>
      <c r="G821" s="1"/>
      <c r="H821" s="1"/>
      <c r="I821" s="1"/>
      <c r="J821" s="1"/>
      <c r="K821" s="1"/>
      <c r="L821" s="1"/>
    </row>
    <row r="822" ht="14.25" customHeight="1">
      <c r="A822" s="52"/>
      <c r="B822" s="53"/>
      <c r="C822" s="1"/>
      <c r="D822" s="1"/>
      <c r="E822" s="1"/>
      <c r="F822" s="1"/>
      <c r="G822" s="1"/>
      <c r="H822" s="1"/>
      <c r="I822" s="1"/>
      <c r="J822" s="1"/>
      <c r="K822" s="1"/>
      <c r="L822" s="1"/>
    </row>
    <row r="823" ht="14.25" customHeight="1">
      <c r="A823" s="52"/>
      <c r="B823" s="53"/>
      <c r="C823" s="1"/>
      <c r="D823" s="1"/>
      <c r="E823" s="1"/>
      <c r="F823" s="1"/>
      <c r="G823" s="1"/>
      <c r="H823" s="1"/>
      <c r="I823" s="1"/>
      <c r="J823" s="1"/>
      <c r="K823" s="1"/>
      <c r="L823" s="1"/>
    </row>
    <row r="824" ht="14.25" customHeight="1">
      <c r="A824" s="52"/>
      <c r="B824" s="53"/>
      <c r="C824" s="1"/>
      <c r="D824" s="1"/>
      <c r="E824" s="1"/>
      <c r="F824" s="1"/>
      <c r="G824" s="1"/>
      <c r="H824" s="1"/>
      <c r="I824" s="1"/>
      <c r="J824" s="1"/>
      <c r="K824" s="1"/>
      <c r="L824" s="1"/>
    </row>
    <row r="825" ht="14.25" customHeight="1">
      <c r="A825" s="52"/>
      <c r="B825" s="53"/>
      <c r="C825" s="1"/>
      <c r="D825" s="1"/>
      <c r="E825" s="1"/>
      <c r="F825" s="1"/>
      <c r="G825" s="1"/>
      <c r="H825" s="1"/>
      <c r="I825" s="1"/>
      <c r="J825" s="1"/>
      <c r="K825" s="1"/>
      <c r="L825" s="1"/>
    </row>
    <row r="826" ht="14.25" customHeight="1">
      <c r="A826" s="52"/>
      <c r="B826" s="53"/>
      <c r="C826" s="1"/>
      <c r="D826" s="1"/>
      <c r="E826" s="1"/>
      <c r="F826" s="1"/>
      <c r="G826" s="1"/>
      <c r="H826" s="1"/>
      <c r="I826" s="1"/>
      <c r="J826" s="1"/>
      <c r="K826" s="1"/>
      <c r="L826" s="1"/>
    </row>
    <row r="827" ht="14.25" customHeight="1">
      <c r="A827" s="52"/>
      <c r="B827" s="53"/>
      <c r="C827" s="1"/>
      <c r="D827" s="1"/>
      <c r="E827" s="1"/>
      <c r="F827" s="1"/>
      <c r="G827" s="1"/>
      <c r="H827" s="1"/>
      <c r="I827" s="1"/>
      <c r="J827" s="1"/>
      <c r="K827" s="1"/>
      <c r="L827" s="1"/>
    </row>
    <row r="828" ht="14.25" customHeight="1">
      <c r="A828" s="52"/>
      <c r="B828" s="53"/>
      <c r="C828" s="1"/>
      <c r="D828" s="1"/>
      <c r="E828" s="1"/>
      <c r="F828" s="1"/>
      <c r="G828" s="1"/>
      <c r="H828" s="1"/>
      <c r="I828" s="1"/>
      <c r="J828" s="1"/>
      <c r="K828" s="1"/>
      <c r="L828" s="1"/>
    </row>
    <row r="829" ht="14.25" customHeight="1">
      <c r="A829" s="52"/>
      <c r="B829" s="53"/>
      <c r="C829" s="1"/>
      <c r="D829" s="1"/>
      <c r="E829" s="1"/>
      <c r="F829" s="1"/>
      <c r="G829" s="1"/>
      <c r="H829" s="1"/>
      <c r="I829" s="1"/>
      <c r="J829" s="1"/>
      <c r="K829" s="1"/>
      <c r="L829" s="1"/>
    </row>
    <row r="830" ht="14.25" customHeight="1">
      <c r="A830" s="52"/>
      <c r="B830" s="53"/>
      <c r="C830" s="1"/>
      <c r="D830" s="1"/>
      <c r="E830" s="1"/>
      <c r="F830" s="1"/>
      <c r="G830" s="1"/>
      <c r="H830" s="1"/>
      <c r="I830" s="1"/>
      <c r="J830" s="1"/>
      <c r="K830" s="1"/>
      <c r="L830" s="1"/>
    </row>
    <row r="831" ht="14.25" customHeight="1">
      <c r="A831" s="52"/>
      <c r="B831" s="53"/>
      <c r="C831" s="1"/>
      <c r="D831" s="1"/>
      <c r="E831" s="1"/>
      <c r="F831" s="1"/>
      <c r="G831" s="1"/>
      <c r="H831" s="1"/>
      <c r="I831" s="1"/>
      <c r="J831" s="1"/>
      <c r="K831" s="1"/>
      <c r="L831" s="1"/>
    </row>
    <row r="832" ht="14.25" customHeight="1">
      <c r="A832" s="52"/>
      <c r="B832" s="53"/>
      <c r="C832" s="1"/>
      <c r="D832" s="1"/>
      <c r="E832" s="1"/>
      <c r="F832" s="1"/>
      <c r="G832" s="1"/>
      <c r="H832" s="1"/>
      <c r="I832" s="1"/>
      <c r="J832" s="1"/>
      <c r="K832" s="1"/>
      <c r="L832" s="1"/>
    </row>
    <row r="833" ht="14.25" customHeight="1">
      <c r="A833" s="52"/>
      <c r="B833" s="53"/>
      <c r="C833" s="1"/>
      <c r="D833" s="1"/>
      <c r="E833" s="1"/>
      <c r="F833" s="1"/>
      <c r="G833" s="1"/>
      <c r="H833" s="1"/>
      <c r="I833" s="1"/>
      <c r="J833" s="1"/>
      <c r="K833" s="1"/>
      <c r="L833" s="1"/>
    </row>
    <row r="834" ht="14.25" customHeight="1">
      <c r="A834" s="52"/>
      <c r="B834" s="53"/>
      <c r="C834" s="1"/>
      <c r="D834" s="1"/>
      <c r="E834" s="1"/>
      <c r="F834" s="1"/>
      <c r="G834" s="1"/>
      <c r="H834" s="1"/>
      <c r="I834" s="1"/>
      <c r="J834" s="1"/>
      <c r="K834" s="1"/>
      <c r="L834" s="1"/>
    </row>
    <row r="835" ht="14.25" customHeight="1">
      <c r="A835" s="52"/>
      <c r="B835" s="53"/>
      <c r="C835" s="1"/>
      <c r="D835" s="1"/>
      <c r="E835" s="1"/>
      <c r="F835" s="1"/>
      <c r="G835" s="1"/>
      <c r="H835" s="1"/>
      <c r="I835" s="1"/>
      <c r="J835" s="1"/>
      <c r="K835" s="1"/>
      <c r="L835" s="1"/>
    </row>
    <row r="836" ht="14.25" customHeight="1">
      <c r="A836" s="52"/>
      <c r="B836" s="53"/>
      <c r="C836" s="1"/>
      <c r="D836" s="1"/>
      <c r="E836" s="1"/>
      <c r="F836" s="1"/>
      <c r="G836" s="1"/>
      <c r="H836" s="1"/>
      <c r="I836" s="1"/>
      <c r="J836" s="1"/>
      <c r="K836" s="1"/>
      <c r="L836" s="1"/>
    </row>
    <row r="837" ht="14.25" customHeight="1">
      <c r="A837" s="52"/>
      <c r="B837" s="53"/>
      <c r="C837" s="1"/>
      <c r="D837" s="1"/>
      <c r="E837" s="1"/>
      <c r="F837" s="1"/>
      <c r="G837" s="1"/>
      <c r="H837" s="1"/>
      <c r="I837" s="1"/>
      <c r="J837" s="1"/>
      <c r="K837" s="1"/>
      <c r="L837" s="1"/>
    </row>
    <row r="838" ht="14.25" customHeight="1">
      <c r="A838" s="52"/>
      <c r="B838" s="53"/>
      <c r="C838" s="1"/>
      <c r="D838" s="1"/>
      <c r="E838" s="1"/>
      <c r="F838" s="1"/>
      <c r="G838" s="1"/>
      <c r="H838" s="1"/>
      <c r="I838" s="1"/>
      <c r="J838" s="1"/>
      <c r="K838" s="1"/>
      <c r="L838" s="1"/>
    </row>
    <row r="839" ht="14.25" customHeight="1">
      <c r="A839" s="52"/>
      <c r="B839" s="53"/>
      <c r="C839" s="1"/>
      <c r="D839" s="1"/>
      <c r="E839" s="1"/>
      <c r="F839" s="1"/>
      <c r="G839" s="1"/>
      <c r="H839" s="1"/>
      <c r="I839" s="1"/>
      <c r="J839" s="1"/>
      <c r="K839" s="1"/>
      <c r="L839" s="1"/>
    </row>
    <row r="840" ht="14.25" customHeight="1">
      <c r="A840" s="52"/>
      <c r="B840" s="53"/>
      <c r="C840" s="1"/>
      <c r="D840" s="1"/>
      <c r="E840" s="1"/>
      <c r="F840" s="1"/>
      <c r="G840" s="1"/>
      <c r="H840" s="1"/>
      <c r="I840" s="1"/>
      <c r="J840" s="1"/>
      <c r="K840" s="1"/>
      <c r="L840" s="1"/>
    </row>
    <row r="841" ht="14.25" customHeight="1">
      <c r="A841" s="52"/>
      <c r="B841" s="53"/>
      <c r="C841" s="1"/>
      <c r="D841" s="1"/>
      <c r="E841" s="1"/>
      <c r="F841" s="1"/>
      <c r="G841" s="1"/>
      <c r="H841" s="1"/>
      <c r="I841" s="1"/>
      <c r="J841" s="1"/>
      <c r="K841" s="1"/>
      <c r="L841" s="1"/>
    </row>
    <row r="842" ht="14.25" customHeight="1">
      <c r="A842" s="52"/>
      <c r="B842" s="53"/>
      <c r="C842" s="1"/>
      <c r="D842" s="1"/>
      <c r="E842" s="1"/>
      <c r="F842" s="1"/>
      <c r="G842" s="1"/>
      <c r="H842" s="1"/>
      <c r="I842" s="1"/>
      <c r="J842" s="1"/>
      <c r="K842" s="1"/>
      <c r="L842" s="1"/>
    </row>
    <row r="843" ht="14.25" customHeight="1">
      <c r="A843" s="52"/>
      <c r="B843" s="53"/>
      <c r="C843" s="1"/>
      <c r="D843" s="1"/>
      <c r="E843" s="1"/>
      <c r="F843" s="1"/>
      <c r="G843" s="1"/>
      <c r="H843" s="1"/>
      <c r="I843" s="1"/>
      <c r="J843" s="1"/>
      <c r="K843" s="1"/>
      <c r="L843" s="1"/>
    </row>
    <row r="844" ht="14.25" customHeight="1">
      <c r="A844" s="52"/>
      <c r="B844" s="53"/>
      <c r="C844" s="1"/>
      <c r="D844" s="1"/>
      <c r="E844" s="1"/>
      <c r="F844" s="1"/>
      <c r="G844" s="1"/>
      <c r="H844" s="1"/>
      <c r="I844" s="1"/>
      <c r="J844" s="1"/>
      <c r="K844" s="1"/>
      <c r="L844" s="1"/>
    </row>
    <row r="845" ht="14.25" customHeight="1">
      <c r="A845" s="52"/>
      <c r="B845" s="53"/>
      <c r="C845" s="1"/>
      <c r="D845" s="1"/>
      <c r="E845" s="1"/>
      <c r="F845" s="1"/>
      <c r="G845" s="1"/>
      <c r="H845" s="1"/>
      <c r="I845" s="1"/>
      <c r="J845" s="1"/>
      <c r="K845" s="1"/>
      <c r="L845" s="1"/>
    </row>
    <row r="846" ht="14.25" customHeight="1">
      <c r="A846" s="52"/>
      <c r="B846" s="53"/>
      <c r="C846" s="1"/>
      <c r="D846" s="1"/>
      <c r="E846" s="1"/>
      <c r="F846" s="1"/>
      <c r="G846" s="1"/>
      <c r="H846" s="1"/>
      <c r="I846" s="1"/>
      <c r="J846" s="1"/>
      <c r="K846" s="1"/>
      <c r="L846" s="1"/>
    </row>
    <row r="847" ht="14.25" customHeight="1">
      <c r="A847" s="52"/>
      <c r="B847" s="53"/>
      <c r="C847" s="1"/>
      <c r="D847" s="1"/>
      <c r="E847" s="1"/>
      <c r="F847" s="1"/>
      <c r="G847" s="1"/>
      <c r="H847" s="1"/>
      <c r="I847" s="1"/>
      <c r="J847" s="1"/>
      <c r="K847" s="1"/>
      <c r="L847" s="1"/>
    </row>
    <row r="848" ht="14.25" customHeight="1">
      <c r="A848" s="52"/>
      <c r="B848" s="53"/>
      <c r="C848" s="1"/>
      <c r="D848" s="1"/>
      <c r="E848" s="1"/>
      <c r="F848" s="1"/>
      <c r="G848" s="1"/>
      <c r="H848" s="1"/>
      <c r="I848" s="1"/>
      <c r="J848" s="1"/>
      <c r="K848" s="1"/>
      <c r="L848" s="1"/>
    </row>
    <row r="849" ht="14.25" customHeight="1">
      <c r="A849" s="52"/>
      <c r="B849" s="53"/>
      <c r="C849" s="1"/>
      <c r="D849" s="1"/>
      <c r="E849" s="1"/>
      <c r="F849" s="1"/>
      <c r="G849" s="1"/>
      <c r="H849" s="1"/>
      <c r="I849" s="1"/>
      <c r="J849" s="1"/>
      <c r="K849" s="1"/>
      <c r="L849" s="1"/>
    </row>
    <row r="850" ht="14.25" customHeight="1">
      <c r="A850" s="52"/>
      <c r="B850" s="53"/>
      <c r="C850" s="1"/>
      <c r="D850" s="1"/>
      <c r="E850" s="1"/>
      <c r="F850" s="1"/>
      <c r="G850" s="1"/>
      <c r="H850" s="1"/>
      <c r="I850" s="1"/>
      <c r="J850" s="1"/>
      <c r="K850" s="1"/>
      <c r="L850" s="1"/>
    </row>
    <row r="851" ht="14.25" customHeight="1">
      <c r="A851" s="52"/>
      <c r="B851" s="53"/>
      <c r="C851" s="1"/>
      <c r="D851" s="1"/>
      <c r="E851" s="1"/>
      <c r="F851" s="1"/>
      <c r="G851" s="1"/>
      <c r="H851" s="1"/>
      <c r="I851" s="1"/>
      <c r="J851" s="1"/>
      <c r="K851" s="1"/>
      <c r="L851" s="1"/>
    </row>
    <row r="852" ht="14.25" customHeight="1">
      <c r="A852" s="52"/>
      <c r="B852" s="53"/>
      <c r="C852" s="1"/>
      <c r="D852" s="1"/>
      <c r="E852" s="1"/>
      <c r="F852" s="1"/>
      <c r="G852" s="1"/>
      <c r="H852" s="1"/>
      <c r="I852" s="1"/>
      <c r="J852" s="1"/>
      <c r="K852" s="1"/>
      <c r="L852" s="1"/>
    </row>
    <row r="853" ht="14.25" customHeight="1">
      <c r="A853" s="52"/>
      <c r="B853" s="53"/>
      <c r="C853" s="1"/>
      <c r="D853" s="1"/>
      <c r="E853" s="1"/>
      <c r="F853" s="1"/>
      <c r="G853" s="1"/>
      <c r="H853" s="1"/>
      <c r="I853" s="1"/>
      <c r="J853" s="1"/>
      <c r="K853" s="1"/>
      <c r="L853" s="1"/>
    </row>
    <row r="854" ht="14.25" customHeight="1">
      <c r="A854" s="52"/>
      <c r="B854" s="53"/>
      <c r="C854" s="1"/>
      <c r="D854" s="1"/>
      <c r="E854" s="1"/>
      <c r="F854" s="1"/>
      <c r="G854" s="1"/>
      <c r="H854" s="1"/>
      <c r="I854" s="1"/>
      <c r="J854" s="1"/>
      <c r="K854" s="1"/>
      <c r="L854" s="1"/>
    </row>
    <row r="855" ht="14.25" customHeight="1">
      <c r="A855" s="52"/>
      <c r="B855" s="53"/>
      <c r="C855" s="1"/>
      <c r="D855" s="1"/>
      <c r="E855" s="1"/>
      <c r="F855" s="1"/>
      <c r="G855" s="1"/>
      <c r="H855" s="1"/>
      <c r="I855" s="1"/>
      <c r="J855" s="1"/>
      <c r="K855" s="1"/>
      <c r="L855" s="1"/>
    </row>
    <row r="856" ht="14.25" customHeight="1">
      <c r="A856" s="52"/>
      <c r="B856" s="53"/>
      <c r="C856" s="1"/>
      <c r="D856" s="1"/>
      <c r="E856" s="1"/>
      <c r="F856" s="1"/>
      <c r="G856" s="1"/>
      <c r="H856" s="1"/>
      <c r="I856" s="1"/>
      <c r="J856" s="1"/>
      <c r="K856" s="1"/>
      <c r="L856" s="1"/>
    </row>
    <row r="857" ht="14.25" customHeight="1">
      <c r="A857" s="52"/>
      <c r="B857" s="53"/>
      <c r="C857" s="1"/>
      <c r="D857" s="1"/>
      <c r="E857" s="1"/>
      <c r="F857" s="1"/>
      <c r="G857" s="1"/>
      <c r="H857" s="1"/>
      <c r="I857" s="1"/>
      <c r="J857" s="1"/>
      <c r="K857" s="1"/>
      <c r="L857" s="1"/>
    </row>
    <row r="858" ht="14.25" customHeight="1">
      <c r="A858" s="52"/>
      <c r="B858" s="53"/>
      <c r="C858" s="1"/>
      <c r="D858" s="1"/>
      <c r="E858" s="1"/>
      <c r="F858" s="1"/>
      <c r="G858" s="1"/>
      <c r="H858" s="1"/>
      <c r="I858" s="1"/>
      <c r="J858" s="1"/>
      <c r="K858" s="1"/>
      <c r="L858" s="1"/>
    </row>
    <row r="859" ht="14.25" customHeight="1">
      <c r="A859" s="52"/>
      <c r="B859" s="53"/>
      <c r="C859" s="1"/>
      <c r="D859" s="1"/>
      <c r="E859" s="1"/>
      <c r="F859" s="1"/>
      <c r="G859" s="1"/>
      <c r="H859" s="1"/>
      <c r="I859" s="1"/>
      <c r="J859" s="1"/>
      <c r="K859" s="1"/>
      <c r="L859" s="1"/>
    </row>
    <row r="860" ht="14.25" customHeight="1">
      <c r="A860" s="52"/>
      <c r="B860" s="53"/>
      <c r="C860" s="1"/>
      <c r="D860" s="1"/>
      <c r="E860" s="1"/>
      <c r="F860" s="1"/>
      <c r="G860" s="1"/>
      <c r="H860" s="1"/>
      <c r="I860" s="1"/>
      <c r="J860" s="1"/>
      <c r="K860" s="1"/>
      <c r="L860" s="1"/>
    </row>
    <row r="861" ht="14.25" customHeight="1">
      <c r="A861" s="52"/>
      <c r="B861" s="53"/>
      <c r="C861" s="1"/>
      <c r="D861" s="1"/>
      <c r="E861" s="1"/>
      <c r="F861" s="1"/>
      <c r="G861" s="1"/>
      <c r="H861" s="1"/>
      <c r="I861" s="1"/>
      <c r="J861" s="1"/>
      <c r="K861" s="1"/>
      <c r="L861" s="1"/>
    </row>
    <row r="862" ht="14.25" customHeight="1">
      <c r="A862" s="52"/>
      <c r="B862" s="53"/>
      <c r="C862" s="1"/>
      <c r="D862" s="1"/>
      <c r="E862" s="1"/>
      <c r="F862" s="1"/>
      <c r="G862" s="1"/>
      <c r="H862" s="1"/>
      <c r="I862" s="1"/>
      <c r="J862" s="1"/>
      <c r="K862" s="1"/>
      <c r="L862" s="1"/>
    </row>
    <row r="863" ht="14.25" customHeight="1">
      <c r="A863" s="52"/>
      <c r="B863" s="53"/>
      <c r="C863" s="1"/>
      <c r="D863" s="1"/>
      <c r="E863" s="1"/>
      <c r="F863" s="1"/>
      <c r="G863" s="1"/>
      <c r="H863" s="1"/>
      <c r="I863" s="1"/>
      <c r="J863" s="1"/>
      <c r="K863" s="1"/>
      <c r="L863" s="1"/>
    </row>
    <row r="864" ht="14.25" customHeight="1">
      <c r="A864" s="52"/>
      <c r="B864" s="53"/>
      <c r="C864" s="1"/>
      <c r="D864" s="1"/>
      <c r="E864" s="1"/>
      <c r="F864" s="1"/>
      <c r="G864" s="1"/>
      <c r="H864" s="1"/>
      <c r="I864" s="1"/>
      <c r="J864" s="1"/>
      <c r="K864" s="1"/>
      <c r="L864" s="1"/>
    </row>
    <row r="865" ht="14.25" customHeight="1">
      <c r="A865" s="52"/>
      <c r="B865" s="53"/>
      <c r="C865" s="1"/>
      <c r="D865" s="1"/>
      <c r="E865" s="1"/>
      <c r="F865" s="1"/>
      <c r="G865" s="1"/>
      <c r="H865" s="1"/>
      <c r="I865" s="1"/>
      <c r="J865" s="1"/>
      <c r="K865" s="1"/>
      <c r="L865" s="1"/>
    </row>
    <row r="866" ht="14.25" customHeight="1">
      <c r="A866" s="52"/>
      <c r="B866" s="53"/>
      <c r="C866" s="1"/>
      <c r="D866" s="1"/>
      <c r="E866" s="1"/>
      <c r="F866" s="1"/>
      <c r="G866" s="1"/>
      <c r="H866" s="1"/>
      <c r="I866" s="1"/>
      <c r="J866" s="1"/>
      <c r="K866" s="1"/>
      <c r="L866" s="1"/>
    </row>
    <row r="867" ht="14.25" customHeight="1">
      <c r="A867" s="52"/>
      <c r="B867" s="53"/>
      <c r="C867" s="1"/>
      <c r="D867" s="1"/>
      <c r="E867" s="1"/>
      <c r="F867" s="1"/>
      <c r="G867" s="1"/>
      <c r="H867" s="1"/>
      <c r="I867" s="1"/>
      <c r="J867" s="1"/>
      <c r="K867" s="1"/>
      <c r="L867" s="1"/>
    </row>
    <row r="868" ht="14.25" customHeight="1">
      <c r="A868" s="52"/>
      <c r="B868" s="53"/>
      <c r="C868" s="1"/>
      <c r="D868" s="1"/>
      <c r="E868" s="1"/>
      <c r="F868" s="1"/>
      <c r="G868" s="1"/>
      <c r="H868" s="1"/>
      <c r="I868" s="1"/>
      <c r="J868" s="1"/>
      <c r="K868" s="1"/>
      <c r="L868" s="1"/>
    </row>
    <row r="869" ht="14.25" customHeight="1">
      <c r="A869" s="52"/>
      <c r="B869" s="53"/>
      <c r="C869" s="1"/>
      <c r="D869" s="1"/>
      <c r="E869" s="1"/>
      <c r="F869" s="1"/>
      <c r="G869" s="1"/>
      <c r="H869" s="1"/>
      <c r="I869" s="1"/>
      <c r="J869" s="1"/>
      <c r="K869" s="1"/>
      <c r="L869" s="1"/>
    </row>
    <row r="870" ht="14.25" customHeight="1">
      <c r="A870" s="52"/>
      <c r="B870" s="53"/>
      <c r="C870" s="1"/>
      <c r="D870" s="1"/>
      <c r="E870" s="1"/>
      <c r="F870" s="1"/>
      <c r="G870" s="1"/>
      <c r="H870" s="1"/>
      <c r="I870" s="1"/>
      <c r="J870" s="1"/>
      <c r="K870" s="1"/>
      <c r="L870" s="1"/>
    </row>
    <row r="871" ht="14.25" customHeight="1">
      <c r="A871" s="52"/>
      <c r="B871" s="53"/>
      <c r="C871" s="1"/>
      <c r="D871" s="1"/>
      <c r="E871" s="1"/>
      <c r="F871" s="1"/>
      <c r="G871" s="1"/>
      <c r="H871" s="1"/>
      <c r="I871" s="1"/>
      <c r="J871" s="1"/>
      <c r="K871" s="1"/>
      <c r="L871" s="1"/>
    </row>
    <row r="872" ht="14.25" customHeight="1">
      <c r="A872" s="52"/>
      <c r="B872" s="53"/>
      <c r="C872" s="1"/>
      <c r="D872" s="1"/>
      <c r="E872" s="1"/>
      <c r="F872" s="1"/>
      <c r="G872" s="1"/>
      <c r="H872" s="1"/>
      <c r="I872" s="1"/>
      <c r="J872" s="1"/>
      <c r="K872" s="1"/>
      <c r="L872" s="1"/>
    </row>
    <row r="873" ht="14.25" customHeight="1">
      <c r="A873" s="52"/>
      <c r="B873" s="53"/>
      <c r="C873" s="1"/>
      <c r="D873" s="1"/>
      <c r="E873" s="1"/>
      <c r="F873" s="1"/>
      <c r="G873" s="1"/>
      <c r="H873" s="1"/>
      <c r="I873" s="1"/>
      <c r="J873" s="1"/>
      <c r="K873" s="1"/>
      <c r="L873" s="1"/>
    </row>
    <row r="874" ht="14.25" customHeight="1">
      <c r="A874" s="52"/>
      <c r="B874" s="53"/>
      <c r="C874" s="1"/>
      <c r="D874" s="1"/>
      <c r="E874" s="1"/>
      <c r="F874" s="1"/>
      <c r="G874" s="1"/>
      <c r="H874" s="1"/>
      <c r="I874" s="1"/>
      <c r="J874" s="1"/>
      <c r="K874" s="1"/>
      <c r="L874" s="1"/>
    </row>
    <row r="875" ht="14.25" customHeight="1">
      <c r="A875" s="52"/>
      <c r="B875" s="53"/>
      <c r="C875" s="1"/>
      <c r="D875" s="1"/>
      <c r="E875" s="1"/>
      <c r="F875" s="1"/>
      <c r="G875" s="1"/>
      <c r="H875" s="1"/>
      <c r="I875" s="1"/>
      <c r="J875" s="1"/>
      <c r="K875" s="1"/>
      <c r="L875" s="1"/>
    </row>
    <row r="876" ht="14.25" customHeight="1">
      <c r="A876" s="52"/>
      <c r="B876" s="53"/>
      <c r="C876" s="1"/>
      <c r="D876" s="1"/>
      <c r="E876" s="1"/>
      <c r="F876" s="1"/>
      <c r="G876" s="1"/>
      <c r="H876" s="1"/>
      <c r="I876" s="1"/>
      <c r="J876" s="1"/>
      <c r="K876" s="1"/>
      <c r="L876" s="1"/>
    </row>
    <row r="877" ht="14.25" customHeight="1">
      <c r="A877" s="52"/>
      <c r="B877" s="53"/>
      <c r="C877" s="1"/>
      <c r="D877" s="1"/>
      <c r="E877" s="1"/>
      <c r="F877" s="1"/>
      <c r="G877" s="1"/>
      <c r="H877" s="1"/>
      <c r="I877" s="1"/>
      <c r="J877" s="1"/>
      <c r="K877" s="1"/>
      <c r="L877" s="1"/>
    </row>
    <row r="878" ht="14.25" customHeight="1">
      <c r="A878" s="52"/>
      <c r="B878" s="53"/>
      <c r="C878" s="1"/>
      <c r="D878" s="1"/>
      <c r="E878" s="1"/>
      <c r="F878" s="1"/>
      <c r="G878" s="1"/>
      <c r="H878" s="1"/>
      <c r="I878" s="1"/>
      <c r="J878" s="1"/>
      <c r="K878" s="1"/>
      <c r="L878" s="1"/>
    </row>
    <row r="879" ht="14.25" customHeight="1">
      <c r="A879" s="52"/>
      <c r="B879" s="53"/>
      <c r="C879" s="1"/>
      <c r="D879" s="1"/>
      <c r="E879" s="1"/>
      <c r="F879" s="1"/>
      <c r="G879" s="1"/>
      <c r="H879" s="1"/>
      <c r="I879" s="1"/>
      <c r="J879" s="1"/>
      <c r="K879" s="1"/>
      <c r="L879" s="1"/>
    </row>
    <row r="880" ht="14.25" customHeight="1">
      <c r="A880" s="52"/>
      <c r="B880" s="53"/>
      <c r="C880" s="1"/>
      <c r="D880" s="1"/>
      <c r="E880" s="1"/>
      <c r="F880" s="1"/>
      <c r="G880" s="1"/>
      <c r="H880" s="1"/>
      <c r="I880" s="1"/>
      <c r="J880" s="1"/>
      <c r="K880" s="1"/>
      <c r="L880" s="1"/>
    </row>
    <row r="881" ht="14.25" customHeight="1">
      <c r="A881" s="52"/>
      <c r="B881" s="53"/>
      <c r="C881" s="1"/>
      <c r="D881" s="1"/>
      <c r="E881" s="1"/>
      <c r="F881" s="1"/>
      <c r="G881" s="1"/>
      <c r="H881" s="1"/>
      <c r="I881" s="1"/>
      <c r="J881" s="1"/>
      <c r="K881" s="1"/>
      <c r="L881" s="1"/>
    </row>
    <row r="882" ht="14.25" customHeight="1">
      <c r="A882" s="52"/>
      <c r="B882" s="53"/>
      <c r="C882" s="1"/>
      <c r="D882" s="1"/>
      <c r="E882" s="1"/>
      <c r="F882" s="1"/>
      <c r="G882" s="1"/>
      <c r="H882" s="1"/>
      <c r="I882" s="1"/>
      <c r="J882" s="1"/>
      <c r="K882" s="1"/>
      <c r="L882" s="1"/>
    </row>
    <row r="883" ht="14.25" customHeight="1">
      <c r="A883" s="52"/>
      <c r="B883" s="53"/>
      <c r="C883" s="1"/>
      <c r="D883" s="1"/>
      <c r="E883" s="1"/>
      <c r="F883" s="1"/>
      <c r="G883" s="1"/>
      <c r="H883" s="1"/>
      <c r="I883" s="1"/>
      <c r="J883" s="1"/>
      <c r="K883" s="1"/>
      <c r="L883" s="1"/>
    </row>
    <row r="884" ht="14.25" customHeight="1">
      <c r="A884" s="52"/>
      <c r="B884" s="53"/>
      <c r="C884" s="1"/>
      <c r="D884" s="1"/>
      <c r="E884" s="1"/>
      <c r="F884" s="1"/>
      <c r="G884" s="1"/>
      <c r="H884" s="1"/>
      <c r="I884" s="1"/>
      <c r="J884" s="1"/>
      <c r="K884" s="1"/>
      <c r="L884" s="1"/>
    </row>
    <row r="885" ht="14.25" customHeight="1">
      <c r="A885" s="52"/>
      <c r="B885" s="53"/>
      <c r="C885" s="1"/>
      <c r="D885" s="1"/>
      <c r="E885" s="1"/>
      <c r="F885" s="1"/>
      <c r="G885" s="1"/>
      <c r="H885" s="1"/>
      <c r="I885" s="1"/>
      <c r="J885" s="1"/>
      <c r="K885" s="1"/>
      <c r="L885" s="1"/>
    </row>
    <row r="886" ht="14.25" customHeight="1">
      <c r="A886" s="52"/>
      <c r="B886" s="53"/>
      <c r="C886" s="1"/>
      <c r="D886" s="1"/>
      <c r="E886" s="1"/>
      <c r="F886" s="1"/>
      <c r="G886" s="1"/>
      <c r="H886" s="1"/>
      <c r="I886" s="1"/>
      <c r="J886" s="1"/>
      <c r="K886" s="1"/>
      <c r="L886" s="1"/>
    </row>
    <row r="887" ht="14.25" customHeight="1">
      <c r="A887" s="52"/>
      <c r="B887" s="53"/>
      <c r="C887" s="1"/>
      <c r="D887" s="1"/>
      <c r="E887" s="1"/>
      <c r="F887" s="1"/>
      <c r="G887" s="1"/>
      <c r="H887" s="1"/>
      <c r="I887" s="1"/>
      <c r="J887" s="1"/>
      <c r="K887" s="1"/>
      <c r="L887" s="1"/>
    </row>
    <row r="888" ht="14.25" customHeight="1">
      <c r="A888" s="52"/>
      <c r="B888" s="53"/>
      <c r="C888" s="1"/>
      <c r="D888" s="1"/>
      <c r="E888" s="1"/>
      <c r="F888" s="1"/>
      <c r="G888" s="1"/>
      <c r="H888" s="1"/>
      <c r="I888" s="1"/>
      <c r="J888" s="1"/>
      <c r="K888" s="1"/>
      <c r="L888" s="1"/>
    </row>
    <row r="889" ht="14.25" customHeight="1">
      <c r="A889" s="52"/>
      <c r="B889" s="53"/>
      <c r="C889" s="1"/>
      <c r="D889" s="1"/>
      <c r="E889" s="1"/>
      <c r="F889" s="1"/>
      <c r="G889" s="1"/>
      <c r="H889" s="1"/>
      <c r="I889" s="1"/>
      <c r="J889" s="1"/>
      <c r="K889" s="1"/>
      <c r="L889" s="1"/>
    </row>
    <row r="890" ht="14.25" customHeight="1">
      <c r="A890" s="52"/>
      <c r="B890" s="53"/>
      <c r="C890" s="1"/>
      <c r="D890" s="1"/>
      <c r="E890" s="1"/>
      <c r="F890" s="1"/>
      <c r="G890" s="1"/>
      <c r="H890" s="1"/>
      <c r="I890" s="1"/>
      <c r="J890" s="1"/>
      <c r="K890" s="1"/>
      <c r="L890" s="1"/>
    </row>
    <row r="891" ht="14.25" customHeight="1">
      <c r="A891" s="52"/>
      <c r="B891" s="53"/>
      <c r="C891" s="1"/>
      <c r="D891" s="1"/>
      <c r="E891" s="1"/>
      <c r="F891" s="1"/>
      <c r="G891" s="1"/>
      <c r="H891" s="1"/>
      <c r="I891" s="1"/>
      <c r="J891" s="1"/>
      <c r="K891" s="1"/>
      <c r="L891" s="1"/>
    </row>
    <row r="892" ht="14.25" customHeight="1">
      <c r="A892" s="52"/>
      <c r="B892" s="53"/>
      <c r="C892" s="1"/>
      <c r="D892" s="1"/>
      <c r="E892" s="1"/>
      <c r="F892" s="1"/>
      <c r="G892" s="1"/>
      <c r="H892" s="1"/>
      <c r="I892" s="1"/>
      <c r="J892" s="1"/>
      <c r="K892" s="1"/>
      <c r="L892" s="1"/>
    </row>
    <row r="893" ht="14.25" customHeight="1">
      <c r="A893" s="52"/>
      <c r="B893" s="53"/>
      <c r="C893" s="1"/>
      <c r="D893" s="1"/>
      <c r="E893" s="1"/>
      <c r="F893" s="1"/>
      <c r="G893" s="1"/>
      <c r="H893" s="1"/>
      <c r="I893" s="1"/>
      <c r="J893" s="1"/>
      <c r="K893" s="1"/>
      <c r="L893" s="1"/>
    </row>
    <row r="894" ht="14.25" customHeight="1">
      <c r="A894" s="52"/>
      <c r="B894" s="53"/>
      <c r="C894" s="1"/>
      <c r="D894" s="1"/>
      <c r="E894" s="1"/>
      <c r="F894" s="1"/>
      <c r="G894" s="1"/>
      <c r="H894" s="1"/>
      <c r="I894" s="1"/>
      <c r="J894" s="1"/>
      <c r="K894" s="1"/>
      <c r="L894" s="1"/>
    </row>
    <row r="895" ht="14.25" customHeight="1">
      <c r="A895" s="52"/>
      <c r="B895" s="53"/>
      <c r="C895" s="1"/>
      <c r="D895" s="1"/>
      <c r="E895" s="1"/>
      <c r="F895" s="1"/>
      <c r="G895" s="1"/>
      <c r="H895" s="1"/>
      <c r="I895" s="1"/>
      <c r="J895" s="1"/>
      <c r="K895" s="1"/>
      <c r="L895" s="1"/>
    </row>
    <row r="896" ht="14.25" customHeight="1">
      <c r="A896" s="52"/>
      <c r="B896" s="53"/>
      <c r="C896" s="1"/>
      <c r="D896" s="1"/>
      <c r="E896" s="1"/>
      <c r="F896" s="1"/>
      <c r="G896" s="1"/>
      <c r="H896" s="1"/>
      <c r="I896" s="1"/>
      <c r="J896" s="1"/>
      <c r="K896" s="1"/>
      <c r="L896" s="1"/>
    </row>
    <row r="897" ht="14.25" customHeight="1">
      <c r="A897" s="52"/>
      <c r="B897" s="53"/>
      <c r="C897" s="1"/>
      <c r="D897" s="1"/>
      <c r="E897" s="1"/>
      <c r="F897" s="1"/>
      <c r="G897" s="1"/>
      <c r="H897" s="1"/>
      <c r="I897" s="1"/>
      <c r="J897" s="1"/>
      <c r="K897" s="1"/>
      <c r="L897" s="1"/>
    </row>
    <row r="898" ht="14.25" customHeight="1">
      <c r="A898" s="52"/>
      <c r="B898" s="53"/>
      <c r="C898" s="1"/>
      <c r="D898" s="1"/>
      <c r="E898" s="1"/>
      <c r="F898" s="1"/>
      <c r="G898" s="1"/>
      <c r="H898" s="1"/>
      <c r="I898" s="1"/>
      <c r="J898" s="1"/>
      <c r="K898" s="1"/>
      <c r="L898" s="1"/>
    </row>
    <row r="899" ht="14.25" customHeight="1">
      <c r="A899" s="52"/>
      <c r="B899" s="53"/>
      <c r="C899" s="1"/>
      <c r="D899" s="1"/>
      <c r="E899" s="1"/>
      <c r="F899" s="1"/>
      <c r="G899" s="1"/>
      <c r="H899" s="1"/>
      <c r="I899" s="1"/>
      <c r="J899" s="1"/>
      <c r="K899" s="1"/>
      <c r="L899" s="1"/>
    </row>
    <row r="900" ht="14.25" customHeight="1">
      <c r="A900" s="52"/>
      <c r="B900" s="53"/>
      <c r="C900" s="1"/>
      <c r="D900" s="1"/>
      <c r="E900" s="1"/>
      <c r="F900" s="1"/>
      <c r="G900" s="1"/>
      <c r="H900" s="1"/>
      <c r="I900" s="1"/>
      <c r="J900" s="1"/>
      <c r="K900" s="1"/>
      <c r="L900" s="1"/>
    </row>
    <row r="901" ht="14.25" customHeight="1">
      <c r="A901" s="52"/>
      <c r="B901" s="53"/>
      <c r="C901" s="1"/>
      <c r="D901" s="1"/>
      <c r="E901" s="1"/>
      <c r="F901" s="1"/>
      <c r="G901" s="1"/>
      <c r="H901" s="1"/>
      <c r="I901" s="1"/>
      <c r="J901" s="1"/>
      <c r="K901" s="1"/>
      <c r="L901" s="1"/>
    </row>
    <row r="902" ht="14.25" customHeight="1">
      <c r="A902" s="52"/>
      <c r="B902" s="53"/>
      <c r="C902" s="1"/>
      <c r="D902" s="1"/>
      <c r="E902" s="1"/>
      <c r="F902" s="1"/>
      <c r="G902" s="1"/>
      <c r="H902" s="1"/>
      <c r="I902" s="1"/>
      <c r="J902" s="1"/>
      <c r="K902" s="1"/>
      <c r="L902" s="1"/>
    </row>
    <row r="903" ht="14.25" customHeight="1">
      <c r="A903" s="52"/>
      <c r="B903" s="53"/>
      <c r="C903" s="1"/>
      <c r="D903" s="1"/>
      <c r="E903" s="1"/>
      <c r="F903" s="1"/>
      <c r="G903" s="1"/>
      <c r="H903" s="1"/>
      <c r="I903" s="1"/>
      <c r="J903" s="1"/>
      <c r="K903" s="1"/>
      <c r="L903" s="1"/>
    </row>
    <row r="904" ht="14.25" customHeight="1">
      <c r="A904" s="52"/>
      <c r="B904" s="53"/>
      <c r="C904" s="1"/>
      <c r="D904" s="1"/>
      <c r="E904" s="1"/>
      <c r="F904" s="1"/>
      <c r="G904" s="1"/>
      <c r="H904" s="1"/>
      <c r="I904" s="1"/>
      <c r="J904" s="1"/>
      <c r="K904" s="1"/>
      <c r="L904" s="1"/>
    </row>
    <row r="905" ht="14.25" customHeight="1">
      <c r="A905" s="52"/>
      <c r="B905" s="53"/>
      <c r="C905" s="1"/>
      <c r="D905" s="1"/>
      <c r="E905" s="1"/>
      <c r="F905" s="1"/>
      <c r="G905" s="1"/>
      <c r="H905" s="1"/>
      <c r="I905" s="1"/>
      <c r="J905" s="1"/>
      <c r="K905" s="1"/>
      <c r="L905" s="1"/>
    </row>
    <row r="906" ht="14.25" customHeight="1">
      <c r="A906" s="52"/>
      <c r="B906" s="53"/>
      <c r="C906" s="1"/>
      <c r="D906" s="1"/>
      <c r="E906" s="1"/>
      <c r="F906" s="1"/>
      <c r="G906" s="1"/>
      <c r="H906" s="1"/>
      <c r="I906" s="1"/>
      <c r="J906" s="1"/>
      <c r="K906" s="1"/>
      <c r="L906" s="1"/>
    </row>
    <row r="907" ht="14.25" customHeight="1">
      <c r="A907" s="52"/>
      <c r="B907" s="53"/>
      <c r="C907" s="1"/>
      <c r="D907" s="1"/>
      <c r="E907" s="1"/>
      <c r="F907" s="1"/>
      <c r="G907" s="1"/>
      <c r="H907" s="1"/>
      <c r="I907" s="1"/>
      <c r="J907" s="1"/>
      <c r="K907" s="1"/>
      <c r="L907" s="1"/>
    </row>
    <row r="908" ht="14.25" customHeight="1">
      <c r="A908" s="52"/>
      <c r="B908" s="53"/>
      <c r="C908" s="1"/>
      <c r="D908" s="1"/>
      <c r="E908" s="1"/>
      <c r="F908" s="1"/>
      <c r="G908" s="1"/>
      <c r="H908" s="1"/>
      <c r="I908" s="1"/>
      <c r="J908" s="1"/>
      <c r="K908" s="1"/>
      <c r="L908" s="1"/>
    </row>
    <row r="909" ht="14.25" customHeight="1">
      <c r="A909" s="52"/>
      <c r="B909" s="53"/>
      <c r="C909" s="1"/>
      <c r="D909" s="1"/>
      <c r="E909" s="1"/>
      <c r="F909" s="1"/>
      <c r="G909" s="1"/>
      <c r="H909" s="1"/>
      <c r="I909" s="1"/>
      <c r="J909" s="1"/>
      <c r="K909" s="1"/>
      <c r="L909" s="1"/>
    </row>
    <row r="910" ht="14.25" customHeight="1">
      <c r="A910" s="52"/>
      <c r="B910" s="53"/>
      <c r="C910" s="1"/>
      <c r="D910" s="1"/>
      <c r="E910" s="1"/>
      <c r="F910" s="1"/>
      <c r="G910" s="1"/>
      <c r="H910" s="1"/>
      <c r="I910" s="1"/>
      <c r="J910" s="1"/>
      <c r="K910" s="1"/>
      <c r="L910" s="1"/>
    </row>
    <row r="911" ht="14.25" customHeight="1">
      <c r="A911" s="52"/>
      <c r="B911" s="53"/>
      <c r="C911" s="1"/>
      <c r="D911" s="1"/>
      <c r="E911" s="1"/>
      <c r="F911" s="1"/>
      <c r="G911" s="1"/>
      <c r="H911" s="1"/>
      <c r="I911" s="1"/>
      <c r="J911" s="1"/>
      <c r="K911" s="1"/>
      <c r="L911" s="1"/>
    </row>
    <row r="912" ht="14.25" customHeight="1">
      <c r="A912" s="52"/>
      <c r="B912" s="53"/>
      <c r="C912" s="1"/>
      <c r="D912" s="1"/>
      <c r="E912" s="1"/>
      <c r="F912" s="1"/>
      <c r="G912" s="1"/>
      <c r="H912" s="1"/>
      <c r="I912" s="1"/>
      <c r="J912" s="1"/>
      <c r="K912" s="1"/>
      <c r="L912" s="1"/>
    </row>
    <row r="913" ht="14.25" customHeight="1">
      <c r="A913" s="52"/>
      <c r="B913" s="53"/>
      <c r="C913" s="1"/>
      <c r="D913" s="1"/>
      <c r="E913" s="1"/>
      <c r="F913" s="1"/>
      <c r="G913" s="1"/>
      <c r="H913" s="1"/>
      <c r="I913" s="1"/>
      <c r="J913" s="1"/>
      <c r="K913" s="1"/>
      <c r="L913" s="1"/>
    </row>
    <row r="914" ht="14.25" customHeight="1">
      <c r="A914" s="52"/>
      <c r="B914" s="53"/>
      <c r="C914" s="1"/>
      <c r="D914" s="1"/>
      <c r="E914" s="1"/>
      <c r="F914" s="1"/>
      <c r="G914" s="1"/>
      <c r="H914" s="1"/>
      <c r="I914" s="1"/>
      <c r="J914" s="1"/>
      <c r="K914" s="1"/>
      <c r="L914" s="1"/>
    </row>
    <row r="915" ht="14.25" customHeight="1">
      <c r="A915" s="52"/>
      <c r="B915" s="53"/>
      <c r="C915" s="1"/>
      <c r="D915" s="1"/>
      <c r="E915" s="1"/>
      <c r="F915" s="1"/>
      <c r="G915" s="1"/>
      <c r="H915" s="1"/>
      <c r="I915" s="1"/>
      <c r="J915" s="1"/>
      <c r="K915" s="1"/>
      <c r="L915" s="1"/>
    </row>
    <row r="916" ht="14.25" customHeight="1">
      <c r="A916" s="52"/>
      <c r="B916" s="53"/>
      <c r="C916" s="1"/>
      <c r="D916" s="1"/>
      <c r="E916" s="1"/>
      <c r="F916" s="1"/>
      <c r="G916" s="1"/>
      <c r="H916" s="1"/>
      <c r="I916" s="1"/>
      <c r="J916" s="1"/>
      <c r="K916" s="1"/>
      <c r="L916" s="1"/>
    </row>
    <row r="917" ht="14.25" customHeight="1">
      <c r="A917" s="52"/>
      <c r="B917" s="53"/>
      <c r="C917" s="1"/>
      <c r="D917" s="1"/>
      <c r="E917" s="1"/>
      <c r="F917" s="1"/>
      <c r="G917" s="1"/>
      <c r="H917" s="1"/>
      <c r="I917" s="1"/>
      <c r="J917" s="1"/>
      <c r="K917" s="1"/>
      <c r="L917" s="1"/>
    </row>
    <row r="918" ht="14.25" customHeight="1">
      <c r="A918" s="52"/>
      <c r="B918" s="53"/>
      <c r="C918" s="1"/>
      <c r="D918" s="1"/>
      <c r="E918" s="1"/>
      <c r="F918" s="1"/>
      <c r="G918" s="1"/>
      <c r="H918" s="1"/>
      <c r="I918" s="1"/>
      <c r="J918" s="1"/>
      <c r="K918" s="1"/>
      <c r="L918" s="1"/>
    </row>
    <row r="919" ht="14.25" customHeight="1">
      <c r="A919" s="52"/>
      <c r="B919" s="53"/>
      <c r="C919" s="1"/>
      <c r="D919" s="1"/>
      <c r="E919" s="1"/>
      <c r="F919" s="1"/>
      <c r="G919" s="1"/>
      <c r="H919" s="1"/>
      <c r="I919" s="1"/>
      <c r="J919" s="1"/>
      <c r="K919" s="1"/>
      <c r="L919" s="1"/>
    </row>
    <row r="920" ht="14.25" customHeight="1">
      <c r="A920" s="52"/>
      <c r="B920" s="53"/>
      <c r="C920" s="1"/>
      <c r="D920" s="1"/>
      <c r="E920" s="1"/>
      <c r="F920" s="1"/>
      <c r="G920" s="1"/>
      <c r="H920" s="1"/>
      <c r="I920" s="1"/>
      <c r="J920" s="1"/>
      <c r="K920" s="1"/>
      <c r="L920" s="1"/>
    </row>
    <row r="921" ht="14.25" customHeight="1">
      <c r="A921" s="52"/>
      <c r="B921" s="53"/>
      <c r="C921" s="1"/>
      <c r="D921" s="1"/>
      <c r="E921" s="1"/>
      <c r="F921" s="1"/>
      <c r="G921" s="1"/>
      <c r="H921" s="1"/>
      <c r="I921" s="1"/>
      <c r="J921" s="1"/>
      <c r="K921" s="1"/>
      <c r="L921" s="1"/>
    </row>
    <row r="922" ht="14.25" customHeight="1">
      <c r="A922" s="52"/>
      <c r="B922" s="53"/>
      <c r="C922" s="1"/>
      <c r="D922" s="1"/>
      <c r="E922" s="1"/>
      <c r="F922" s="1"/>
      <c r="G922" s="1"/>
      <c r="H922" s="1"/>
      <c r="I922" s="1"/>
      <c r="J922" s="1"/>
      <c r="K922" s="1"/>
      <c r="L922" s="1"/>
    </row>
    <row r="923" ht="14.25" customHeight="1">
      <c r="A923" s="52"/>
      <c r="B923" s="53"/>
      <c r="C923" s="1"/>
      <c r="D923" s="1"/>
      <c r="E923" s="1"/>
      <c r="F923" s="1"/>
      <c r="G923" s="1"/>
      <c r="H923" s="1"/>
      <c r="I923" s="1"/>
      <c r="J923" s="1"/>
      <c r="K923" s="1"/>
      <c r="L923" s="1"/>
    </row>
    <row r="924" ht="14.25" customHeight="1">
      <c r="A924" s="52"/>
      <c r="B924" s="53"/>
      <c r="C924" s="1"/>
      <c r="D924" s="1"/>
      <c r="E924" s="1"/>
      <c r="F924" s="1"/>
      <c r="G924" s="1"/>
      <c r="H924" s="1"/>
      <c r="I924" s="1"/>
      <c r="J924" s="1"/>
      <c r="K924" s="1"/>
      <c r="L924" s="1"/>
    </row>
    <row r="925" ht="14.25" customHeight="1">
      <c r="A925" s="52"/>
      <c r="B925" s="53"/>
      <c r="C925" s="1"/>
      <c r="D925" s="1"/>
      <c r="E925" s="1"/>
      <c r="F925" s="1"/>
      <c r="G925" s="1"/>
      <c r="H925" s="1"/>
      <c r="I925" s="1"/>
      <c r="J925" s="1"/>
      <c r="K925" s="1"/>
      <c r="L925" s="1"/>
    </row>
    <row r="926" ht="14.25" customHeight="1">
      <c r="A926" s="52"/>
      <c r="B926" s="53"/>
      <c r="C926" s="1"/>
      <c r="D926" s="1"/>
      <c r="E926" s="1"/>
      <c r="F926" s="1"/>
      <c r="G926" s="1"/>
      <c r="H926" s="1"/>
      <c r="I926" s="1"/>
      <c r="J926" s="1"/>
      <c r="K926" s="1"/>
      <c r="L926" s="1"/>
    </row>
    <row r="927" ht="14.25" customHeight="1">
      <c r="A927" s="52"/>
      <c r="B927" s="53"/>
      <c r="C927" s="1"/>
      <c r="D927" s="1"/>
      <c r="E927" s="1"/>
      <c r="F927" s="1"/>
      <c r="G927" s="1"/>
      <c r="H927" s="1"/>
      <c r="I927" s="1"/>
      <c r="J927" s="1"/>
      <c r="K927" s="1"/>
      <c r="L927" s="1"/>
    </row>
    <row r="928" ht="14.25" customHeight="1">
      <c r="A928" s="52"/>
      <c r="B928" s="53"/>
      <c r="C928" s="1"/>
      <c r="D928" s="1"/>
      <c r="E928" s="1"/>
      <c r="F928" s="1"/>
      <c r="G928" s="1"/>
      <c r="H928" s="1"/>
      <c r="I928" s="1"/>
      <c r="J928" s="1"/>
      <c r="K928" s="1"/>
      <c r="L928" s="1"/>
    </row>
    <row r="929" ht="14.25" customHeight="1">
      <c r="A929" s="52"/>
      <c r="B929" s="53"/>
      <c r="C929" s="1"/>
      <c r="D929" s="1"/>
      <c r="E929" s="1"/>
      <c r="F929" s="1"/>
      <c r="G929" s="1"/>
      <c r="H929" s="1"/>
      <c r="I929" s="1"/>
      <c r="J929" s="1"/>
      <c r="K929" s="1"/>
      <c r="L929" s="1"/>
    </row>
    <row r="930" ht="14.25" customHeight="1">
      <c r="A930" s="52"/>
      <c r="B930" s="53"/>
      <c r="C930" s="1"/>
      <c r="D930" s="1"/>
      <c r="E930" s="1"/>
      <c r="F930" s="1"/>
      <c r="G930" s="1"/>
      <c r="H930" s="1"/>
      <c r="I930" s="1"/>
      <c r="J930" s="1"/>
      <c r="K930" s="1"/>
      <c r="L930" s="1"/>
    </row>
    <row r="931" ht="14.25" customHeight="1">
      <c r="A931" s="52"/>
      <c r="B931" s="53"/>
      <c r="C931" s="1"/>
      <c r="D931" s="1"/>
      <c r="E931" s="1"/>
      <c r="F931" s="1"/>
      <c r="G931" s="1"/>
      <c r="H931" s="1"/>
      <c r="I931" s="1"/>
      <c r="J931" s="1"/>
      <c r="K931" s="1"/>
      <c r="L931" s="1"/>
    </row>
    <row r="932" ht="14.25" customHeight="1">
      <c r="A932" s="52"/>
      <c r="B932" s="53"/>
      <c r="C932" s="1"/>
      <c r="D932" s="1"/>
      <c r="E932" s="1"/>
      <c r="F932" s="1"/>
      <c r="G932" s="1"/>
      <c r="H932" s="1"/>
      <c r="I932" s="1"/>
      <c r="J932" s="1"/>
      <c r="K932" s="1"/>
      <c r="L932" s="1"/>
    </row>
    <row r="933" ht="14.25" customHeight="1">
      <c r="A933" s="52"/>
      <c r="B933" s="53"/>
      <c r="C933" s="1"/>
      <c r="D933" s="1"/>
      <c r="E933" s="1"/>
      <c r="F933" s="1"/>
      <c r="G933" s="1"/>
      <c r="H933" s="1"/>
      <c r="I933" s="1"/>
      <c r="J933" s="1"/>
      <c r="K933" s="1"/>
      <c r="L933" s="1"/>
    </row>
    <row r="934" ht="14.25" customHeight="1">
      <c r="A934" s="52"/>
      <c r="B934" s="53"/>
      <c r="C934" s="1"/>
      <c r="D934" s="1"/>
      <c r="E934" s="1"/>
      <c r="F934" s="1"/>
      <c r="G934" s="1"/>
      <c r="H934" s="1"/>
      <c r="I934" s="1"/>
      <c r="J934" s="1"/>
      <c r="K934" s="1"/>
      <c r="L934" s="1"/>
    </row>
    <row r="935" ht="14.25" customHeight="1">
      <c r="A935" s="52"/>
      <c r="B935" s="53"/>
      <c r="C935" s="1"/>
      <c r="D935" s="1"/>
      <c r="E935" s="1"/>
      <c r="F935" s="1"/>
      <c r="G935" s="1"/>
      <c r="H935" s="1"/>
      <c r="I935" s="1"/>
      <c r="J935" s="1"/>
      <c r="K935" s="1"/>
      <c r="L935" s="1"/>
    </row>
    <row r="936" ht="14.25" customHeight="1">
      <c r="A936" s="52"/>
      <c r="B936" s="53"/>
      <c r="C936" s="1"/>
      <c r="D936" s="1"/>
      <c r="E936" s="1"/>
      <c r="F936" s="1"/>
      <c r="G936" s="1"/>
      <c r="H936" s="1"/>
      <c r="I936" s="1"/>
      <c r="J936" s="1"/>
      <c r="K936" s="1"/>
      <c r="L936" s="1"/>
    </row>
    <row r="937" ht="14.25" customHeight="1">
      <c r="A937" s="52"/>
      <c r="B937" s="53"/>
      <c r="C937" s="1"/>
      <c r="D937" s="1"/>
      <c r="E937" s="1"/>
      <c r="F937" s="1"/>
      <c r="G937" s="1"/>
      <c r="H937" s="1"/>
      <c r="I937" s="1"/>
      <c r="J937" s="1"/>
      <c r="K937" s="1"/>
      <c r="L937" s="1"/>
    </row>
    <row r="938" ht="14.25" customHeight="1">
      <c r="A938" s="52"/>
      <c r="B938" s="53"/>
      <c r="C938" s="1"/>
      <c r="D938" s="1"/>
      <c r="E938" s="1"/>
      <c r="F938" s="1"/>
      <c r="G938" s="1"/>
      <c r="H938" s="1"/>
      <c r="I938" s="1"/>
      <c r="J938" s="1"/>
      <c r="K938" s="1"/>
      <c r="L938" s="1"/>
    </row>
    <row r="939" ht="14.25" customHeight="1">
      <c r="A939" s="52"/>
      <c r="B939" s="53"/>
      <c r="C939" s="1"/>
      <c r="D939" s="1"/>
      <c r="E939" s="1"/>
      <c r="F939" s="1"/>
      <c r="G939" s="1"/>
      <c r="H939" s="1"/>
      <c r="I939" s="1"/>
      <c r="J939" s="1"/>
      <c r="K939" s="1"/>
      <c r="L939" s="1"/>
    </row>
    <row r="940" ht="14.25" customHeight="1">
      <c r="A940" s="52"/>
      <c r="B940" s="53"/>
      <c r="C940" s="1"/>
      <c r="D940" s="1"/>
      <c r="E940" s="1"/>
      <c r="F940" s="1"/>
      <c r="G940" s="1"/>
      <c r="H940" s="1"/>
      <c r="I940" s="1"/>
      <c r="J940" s="1"/>
      <c r="K940" s="1"/>
      <c r="L940" s="1"/>
    </row>
    <row r="941" ht="14.25" customHeight="1">
      <c r="A941" s="52"/>
      <c r="B941" s="53"/>
      <c r="C941" s="1"/>
      <c r="D941" s="1"/>
      <c r="E941" s="1"/>
      <c r="F941" s="1"/>
      <c r="G941" s="1"/>
      <c r="H941" s="1"/>
      <c r="I941" s="1"/>
      <c r="J941" s="1"/>
      <c r="K941" s="1"/>
      <c r="L941" s="1"/>
    </row>
    <row r="942" ht="14.25" customHeight="1">
      <c r="A942" s="52"/>
      <c r="B942" s="53"/>
      <c r="C942" s="1"/>
      <c r="D942" s="1"/>
      <c r="E942" s="1"/>
      <c r="F942" s="1"/>
      <c r="G942" s="1"/>
      <c r="H942" s="1"/>
      <c r="I942" s="1"/>
      <c r="J942" s="1"/>
      <c r="K942" s="1"/>
      <c r="L942" s="1"/>
    </row>
    <row r="943" ht="14.25" customHeight="1">
      <c r="A943" s="52"/>
      <c r="B943" s="53"/>
      <c r="C943" s="1"/>
      <c r="D943" s="1"/>
      <c r="E943" s="1"/>
      <c r="F943" s="1"/>
      <c r="G943" s="1"/>
      <c r="H943" s="1"/>
      <c r="I943" s="1"/>
      <c r="J943" s="1"/>
      <c r="K943" s="1"/>
      <c r="L943" s="1"/>
    </row>
    <row r="944" ht="14.25" customHeight="1">
      <c r="A944" s="52"/>
      <c r="B944" s="53"/>
      <c r="C944" s="1"/>
      <c r="D944" s="1"/>
      <c r="E944" s="1"/>
      <c r="F944" s="1"/>
      <c r="G944" s="1"/>
      <c r="H944" s="1"/>
      <c r="I944" s="1"/>
      <c r="J944" s="1"/>
      <c r="K944" s="1"/>
      <c r="L944" s="1"/>
    </row>
    <row r="945" ht="14.25" customHeight="1">
      <c r="A945" s="52"/>
      <c r="B945" s="53"/>
      <c r="C945" s="1"/>
      <c r="D945" s="1"/>
      <c r="E945" s="1"/>
      <c r="F945" s="1"/>
      <c r="G945" s="1"/>
      <c r="H945" s="1"/>
      <c r="I945" s="1"/>
      <c r="J945" s="1"/>
      <c r="K945" s="1"/>
      <c r="L945" s="1"/>
    </row>
    <row r="946" ht="14.25" customHeight="1">
      <c r="A946" s="52"/>
      <c r="B946" s="53"/>
      <c r="C946" s="1"/>
      <c r="D946" s="1"/>
      <c r="E946" s="1"/>
      <c r="F946" s="1"/>
      <c r="G946" s="1"/>
      <c r="H946" s="1"/>
      <c r="I946" s="1"/>
      <c r="J946" s="1"/>
      <c r="K946" s="1"/>
      <c r="L946" s="1"/>
    </row>
    <row r="947" ht="14.25" customHeight="1">
      <c r="A947" s="52"/>
      <c r="B947" s="53"/>
      <c r="C947" s="1"/>
      <c r="D947" s="1"/>
      <c r="E947" s="1"/>
      <c r="F947" s="1"/>
      <c r="G947" s="1"/>
      <c r="H947" s="1"/>
      <c r="I947" s="1"/>
      <c r="J947" s="1"/>
      <c r="K947" s="1"/>
      <c r="L947" s="1"/>
    </row>
    <row r="948" ht="14.25" customHeight="1">
      <c r="A948" s="52"/>
      <c r="B948" s="53"/>
      <c r="C948" s="1"/>
      <c r="D948" s="1"/>
      <c r="E948" s="1"/>
      <c r="F948" s="1"/>
      <c r="G948" s="1"/>
      <c r="H948" s="1"/>
      <c r="I948" s="1"/>
      <c r="J948" s="1"/>
      <c r="K948" s="1"/>
      <c r="L948" s="1"/>
    </row>
    <row r="949" ht="14.25" customHeight="1">
      <c r="A949" s="52"/>
      <c r="B949" s="53"/>
      <c r="C949" s="1"/>
      <c r="D949" s="1"/>
      <c r="E949" s="1"/>
      <c r="F949" s="1"/>
      <c r="G949" s="1"/>
      <c r="H949" s="1"/>
      <c r="I949" s="1"/>
      <c r="J949" s="1"/>
      <c r="K949" s="1"/>
      <c r="L949" s="1"/>
    </row>
    <row r="950" ht="14.25" customHeight="1">
      <c r="A950" s="52"/>
      <c r="B950" s="53"/>
      <c r="C950" s="1"/>
      <c r="D950" s="1"/>
      <c r="E950" s="1"/>
      <c r="F950" s="1"/>
      <c r="G950" s="1"/>
      <c r="H950" s="1"/>
      <c r="I950" s="1"/>
      <c r="J950" s="1"/>
      <c r="K950" s="1"/>
      <c r="L950" s="1"/>
    </row>
    <row r="951" ht="14.25" customHeight="1">
      <c r="A951" s="52"/>
      <c r="B951" s="53"/>
      <c r="C951" s="1"/>
      <c r="D951" s="1"/>
      <c r="E951" s="1"/>
      <c r="F951" s="1"/>
      <c r="G951" s="1"/>
      <c r="H951" s="1"/>
      <c r="I951" s="1"/>
      <c r="J951" s="1"/>
      <c r="K951" s="1"/>
      <c r="L951" s="1"/>
    </row>
    <row r="952" ht="14.25" customHeight="1">
      <c r="A952" s="52"/>
      <c r="B952" s="53"/>
      <c r="C952" s="1"/>
      <c r="D952" s="1"/>
      <c r="E952" s="1"/>
      <c r="F952" s="1"/>
      <c r="G952" s="1"/>
      <c r="H952" s="1"/>
      <c r="I952" s="1"/>
      <c r="J952" s="1"/>
      <c r="K952" s="1"/>
      <c r="L952" s="1"/>
    </row>
    <row r="953" ht="14.25" customHeight="1">
      <c r="A953" s="52"/>
      <c r="B953" s="53"/>
      <c r="C953" s="1"/>
      <c r="D953" s="1"/>
      <c r="E953" s="1"/>
      <c r="F953" s="1"/>
      <c r="G953" s="1"/>
      <c r="H953" s="1"/>
      <c r="I953" s="1"/>
      <c r="J953" s="1"/>
      <c r="K953" s="1"/>
      <c r="L953" s="1"/>
    </row>
    <row r="954" ht="14.25" customHeight="1">
      <c r="A954" s="52"/>
      <c r="B954" s="53"/>
      <c r="C954" s="1"/>
      <c r="D954" s="1"/>
      <c r="E954" s="1"/>
      <c r="F954" s="1"/>
      <c r="G954" s="1"/>
      <c r="H954" s="1"/>
      <c r="I954" s="1"/>
      <c r="J954" s="1"/>
      <c r="K954" s="1"/>
      <c r="L954" s="1"/>
    </row>
    <row r="955" ht="14.25" customHeight="1">
      <c r="A955" s="52"/>
      <c r="B955" s="53"/>
      <c r="C955" s="1"/>
      <c r="D955" s="1"/>
      <c r="E955" s="1"/>
      <c r="F955" s="1"/>
      <c r="G955" s="1"/>
      <c r="H955" s="1"/>
      <c r="I955" s="1"/>
      <c r="J955" s="1"/>
      <c r="K955" s="1"/>
      <c r="L955" s="1"/>
    </row>
    <row r="956" ht="14.25" customHeight="1">
      <c r="A956" s="52"/>
      <c r="B956" s="53"/>
      <c r="C956" s="1"/>
      <c r="D956" s="1"/>
      <c r="E956" s="1"/>
      <c r="F956" s="1"/>
      <c r="G956" s="1"/>
      <c r="H956" s="1"/>
      <c r="I956" s="1"/>
      <c r="J956" s="1"/>
      <c r="K956" s="1"/>
      <c r="L956" s="1"/>
    </row>
    <row r="957" ht="14.25" customHeight="1">
      <c r="A957" s="52"/>
      <c r="B957" s="53"/>
      <c r="C957" s="1"/>
      <c r="D957" s="1"/>
      <c r="E957" s="1"/>
      <c r="F957" s="1"/>
      <c r="G957" s="1"/>
      <c r="H957" s="1"/>
      <c r="I957" s="1"/>
      <c r="J957" s="1"/>
      <c r="K957" s="1"/>
      <c r="L957" s="1"/>
    </row>
    <row r="958" ht="14.25" customHeight="1">
      <c r="A958" s="52"/>
      <c r="B958" s="53"/>
      <c r="C958" s="1"/>
      <c r="D958" s="1"/>
      <c r="E958" s="1"/>
      <c r="F958" s="1"/>
      <c r="G958" s="1"/>
      <c r="H958" s="1"/>
      <c r="I958" s="1"/>
      <c r="J958" s="1"/>
      <c r="K958" s="1"/>
      <c r="L958" s="1"/>
    </row>
    <row r="959" ht="14.25" customHeight="1">
      <c r="A959" s="52"/>
      <c r="B959" s="53"/>
      <c r="C959" s="1"/>
      <c r="D959" s="1"/>
      <c r="E959" s="1"/>
      <c r="F959" s="1"/>
      <c r="G959" s="1"/>
      <c r="H959" s="1"/>
      <c r="I959" s="1"/>
      <c r="J959" s="1"/>
      <c r="K959" s="1"/>
      <c r="L959" s="1"/>
    </row>
    <row r="960" ht="14.25" customHeight="1">
      <c r="A960" s="52"/>
      <c r="B960" s="53"/>
      <c r="C960" s="1"/>
      <c r="D960" s="1"/>
      <c r="E960" s="1"/>
      <c r="F960" s="1"/>
      <c r="G960" s="1"/>
      <c r="H960" s="1"/>
      <c r="I960" s="1"/>
      <c r="J960" s="1"/>
      <c r="K960" s="1"/>
      <c r="L960" s="1"/>
    </row>
    <row r="961" ht="14.25" customHeight="1">
      <c r="A961" s="52"/>
      <c r="B961" s="53"/>
      <c r="C961" s="1"/>
      <c r="D961" s="1"/>
      <c r="E961" s="1"/>
      <c r="F961" s="1"/>
      <c r="G961" s="1"/>
      <c r="H961" s="1"/>
      <c r="I961" s="1"/>
      <c r="J961" s="1"/>
      <c r="K961" s="1"/>
      <c r="L961" s="1"/>
    </row>
    <row r="962" ht="14.25" customHeight="1">
      <c r="A962" s="52"/>
      <c r="B962" s="53"/>
      <c r="C962" s="1"/>
      <c r="D962" s="1"/>
      <c r="E962" s="1"/>
      <c r="F962" s="1"/>
      <c r="G962" s="1"/>
      <c r="H962" s="1"/>
      <c r="I962" s="1"/>
      <c r="J962" s="1"/>
      <c r="K962" s="1"/>
      <c r="L962" s="1"/>
    </row>
    <row r="963" ht="14.25" customHeight="1">
      <c r="A963" s="52"/>
      <c r="B963" s="53"/>
      <c r="C963" s="1"/>
      <c r="D963" s="1"/>
      <c r="E963" s="1"/>
      <c r="F963" s="1"/>
      <c r="G963" s="1"/>
      <c r="H963" s="1"/>
      <c r="I963" s="1"/>
      <c r="J963" s="1"/>
      <c r="K963" s="1"/>
      <c r="L963" s="1"/>
    </row>
    <row r="964" ht="14.25" customHeight="1">
      <c r="A964" s="52"/>
      <c r="B964" s="53"/>
      <c r="C964" s="1"/>
      <c r="D964" s="1"/>
      <c r="E964" s="1"/>
      <c r="F964" s="1"/>
      <c r="G964" s="1"/>
      <c r="H964" s="1"/>
      <c r="I964" s="1"/>
      <c r="J964" s="1"/>
      <c r="K964" s="1"/>
      <c r="L964" s="1"/>
    </row>
    <row r="965" ht="14.25" customHeight="1">
      <c r="A965" s="52"/>
      <c r="B965" s="53"/>
      <c r="C965" s="1"/>
      <c r="D965" s="1"/>
      <c r="E965" s="1"/>
      <c r="F965" s="1"/>
      <c r="G965" s="1"/>
      <c r="H965" s="1"/>
      <c r="I965" s="1"/>
      <c r="J965" s="1"/>
      <c r="K965" s="1"/>
      <c r="L965" s="1"/>
    </row>
    <row r="966" ht="14.25" customHeight="1">
      <c r="A966" s="52"/>
      <c r="B966" s="53"/>
      <c r="C966" s="1"/>
      <c r="D966" s="1"/>
      <c r="E966" s="1"/>
      <c r="F966" s="1"/>
      <c r="G966" s="1"/>
      <c r="H966" s="1"/>
      <c r="I966" s="1"/>
      <c r="J966" s="1"/>
      <c r="K966" s="1"/>
      <c r="L966" s="1"/>
    </row>
    <row r="967" ht="14.25" customHeight="1">
      <c r="A967" s="52"/>
      <c r="B967" s="53"/>
      <c r="C967" s="1"/>
      <c r="D967" s="1"/>
      <c r="E967" s="1"/>
      <c r="F967" s="1"/>
      <c r="G967" s="1"/>
      <c r="H967" s="1"/>
      <c r="I967" s="1"/>
      <c r="J967" s="1"/>
      <c r="K967" s="1"/>
      <c r="L967" s="1"/>
    </row>
    <row r="968" ht="14.25" customHeight="1">
      <c r="A968" s="52"/>
      <c r="B968" s="53"/>
      <c r="C968" s="1"/>
      <c r="D968" s="1"/>
      <c r="E968" s="1"/>
      <c r="F968" s="1"/>
      <c r="G968" s="1"/>
      <c r="H968" s="1"/>
      <c r="I968" s="1"/>
      <c r="J968" s="1"/>
      <c r="K968" s="1"/>
      <c r="L968" s="1"/>
    </row>
    <row r="969" ht="14.25" customHeight="1">
      <c r="A969" s="52"/>
      <c r="B969" s="53"/>
      <c r="C969" s="1"/>
      <c r="D969" s="1"/>
      <c r="E969" s="1"/>
      <c r="F969" s="1"/>
      <c r="G969" s="1"/>
      <c r="H969" s="1"/>
      <c r="I969" s="1"/>
      <c r="J969" s="1"/>
      <c r="K969" s="1"/>
      <c r="L969" s="1"/>
    </row>
    <row r="970" ht="14.25" customHeight="1">
      <c r="A970" s="52"/>
      <c r="B970" s="53"/>
      <c r="C970" s="1"/>
      <c r="D970" s="1"/>
      <c r="E970" s="1"/>
      <c r="F970" s="1"/>
      <c r="G970" s="1"/>
      <c r="H970" s="1"/>
      <c r="I970" s="1"/>
      <c r="J970" s="1"/>
      <c r="K970" s="1"/>
      <c r="L970" s="1"/>
    </row>
    <row r="971" ht="14.25" customHeight="1">
      <c r="A971" s="52"/>
      <c r="B971" s="53"/>
      <c r="C971" s="1"/>
      <c r="D971" s="1"/>
      <c r="E971" s="1"/>
      <c r="F971" s="1"/>
      <c r="G971" s="1"/>
      <c r="H971" s="1"/>
      <c r="I971" s="1"/>
      <c r="J971" s="1"/>
      <c r="K971" s="1"/>
      <c r="L971" s="1"/>
    </row>
    <row r="972" ht="14.25" customHeight="1">
      <c r="A972" s="52"/>
      <c r="B972" s="53"/>
      <c r="C972" s="1"/>
      <c r="D972" s="1"/>
      <c r="E972" s="1"/>
      <c r="F972" s="1"/>
      <c r="G972" s="1"/>
      <c r="H972" s="1"/>
      <c r="I972" s="1"/>
      <c r="J972" s="1"/>
      <c r="K972" s="1"/>
      <c r="L972" s="1"/>
    </row>
    <row r="973" ht="14.25" customHeight="1">
      <c r="A973" s="52"/>
      <c r="B973" s="53"/>
      <c r="C973" s="1"/>
      <c r="D973" s="1"/>
      <c r="E973" s="1"/>
      <c r="F973" s="1"/>
      <c r="G973" s="1"/>
      <c r="H973" s="1"/>
      <c r="I973" s="1"/>
      <c r="J973" s="1"/>
      <c r="K973" s="1"/>
      <c r="L973" s="1"/>
    </row>
    <row r="974" ht="14.25" customHeight="1">
      <c r="A974" s="52"/>
      <c r="B974" s="53"/>
      <c r="C974" s="1"/>
      <c r="D974" s="1"/>
      <c r="E974" s="1"/>
      <c r="F974" s="1"/>
      <c r="G974" s="1"/>
      <c r="H974" s="1"/>
      <c r="I974" s="1"/>
      <c r="J974" s="1"/>
      <c r="K974" s="1"/>
      <c r="L974" s="1"/>
    </row>
    <row r="975" ht="14.25" customHeight="1">
      <c r="A975" s="52"/>
      <c r="B975" s="53"/>
      <c r="C975" s="1"/>
      <c r="D975" s="1"/>
      <c r="E975" s="1"/>
      <c r="F975" s="1"/>
      <c r="G975" s="1"/>
      <c r="H975" s="1"/>
      <c r="I975" s="1"/>
      <c r="J975" s="1"/>
      <c r="K975" s="1"/>
      <c r="L975" s="1"/>
    </row>
    <row r="976" ht="14.25" customHeight="1">
      <c r="A976" s="52"/>
      <c r="B976" s="53"/>
      <c r="C976" s="1"/>
      <c r="D976" s="1"/>
      <c r="E976" s="1"/>
      <c r="F976" s="1"/>
      <c r="G976" s="1"/>
      <c r="H976" s="1"/>
      <c r="I976" s="1"/>
      <c r="J976" s="1"/>
      <c r="K976" s="1"/>
      <c r="L976" s="1"/>
    </row>
    <row r="977" ht="14.25" customHeight="1">
      <c r="A977" s="52"/>
      <c r="B977" s="53"/>
      <c r="C977" s="1"/>
      <c r="D977" s="1"/>
      <c r="E977" s="1"/>
      <c r="F977" s="1"/>
      <c r="G977" s="1"/>
      <c r="H977" s="1"/>
      <c r="I977" s="1"/>
      <c r="J977" s="1"/>
      <c r="K977" s="1"/>
      <c r="L977" s="1"/>
    </row>
    <row r="978" ht="14.25" customHeight="1">
      <c r="A978" s="52"/>
      <c r="B978" s="53"/>
      <c r="C978" s="1"/>
      <c r="D978" s="1"/>
      <c r="E978" s="1"/>
      <c r="F978" s="1"/>
      <c r="G978" s="1"/>
      <c r="H978" s="1"/>
      <c r="I978" s="1"/>
      <c r="J978" s="1"/>
      <c r="K978" s="1"/>
      <c r="L978" s="1"/>
    </row>
    <row r="979" ht="14.25" customHeight="1">
      <c r="A979" s="52"/>
      <c r="B979" s="53"/>
      <c r="C979" s="1"/>
      <c r="D979" s="1"/>
      <c r="E979" s="1"/>
      <c r="F979" s="1"/>
      <c r="G979" s="1"/>
      <c r="H979" s="1"/>
      <c r="I979" s="1"/>
      <c r="J979" s="1"/>
      <c r="K979" s="1"/>
      <c r="L979" s="1"/>
    </row>
    <row r="980" ht="14.25" customHeight="1">
      <c r="A980" s="52"/>
      <c r="B980" s="53"/>
      <c r="C980" s="1"/>
      <c r="D980" s="1"/>
      <c r="E980" s="1"/>
      <c r="F980" s="1"/>
      <c r="G980" s="1"/>
      <c r="H980" s="1"/>
      <c r="I980" s="1"/>
      <c r="J980" s="1"/>
      <c r="K980" s="1"/>
      <c r="L980" s="1"/>
    </row>
    <row r="981" ht="14.25" customHeight="1">
      <c r="A981" s="52"/>
      <c r="B981" s="53"/>
      <c r="C981" s="1"/>
      <c r="D981" s="1"/>
      <c r="E981" s="1"/>
      <c r="F981" s="1"/>
      <c r="G981" s="1"/>
      <c r="H981" s="1"/>
      <c r="I981" s="1"/>
      <c r="J981" s="1"/>
      <c r="K981" s="1"/>
      <c r="L981" s="1"/>
    </row>
    <row r="982" ht="14.25" customHeight="1">
      <c r="A982" s="52"/>
      <c r="B982" s="53"/>
      <c r="C982" s="1"/>
      <c r="D982" s="1"/>
      <c r="E982" s="1"/>
      <c r="F982" s="1"/>
      <c r="G982" s="1"/>
      <c r="H982" s="1"/>
      <c r="I982" s="1"/>
      <c r="J982" s="1"/>
      <c r="K982" s="1"/>
      <c r="L982" s="1"/>
    </row>
    <row r="983" ht="14.25" customHeight="1">
      <c r="A983" s="52"/>
      <c r="B983" s="53"/>
      <c r="C983" s="1"/>
      <c r="D983" s="1"/>
      <c r="E983" s="1"/>
      <c r="F983" s="1"/>
      <c r="G983" s="1"/>
      <c r="H983" s="1"/>
      <c r="I983" s="1"/>
      <c r="J983" s="1"/>
      <c r="K983" s="1"/>
      <c r="L983" s="1"/>
    </row>
    <row r="984" ht="14.25" customHeight="1">
      <c r="A984" s="52"/>
      <c r="B984" s="53"/>
      <c r="C984" s="1"/>
      <c r="D984" s="1"/>
      <c r="E984" s="1"/>
      <c r="F984" s="1"/>
      <c r="G984" s="1"/>
      <c r="H984" s="1"/>
      <c r="I984" s="1"/>
      <c r="J984" s="1"/>
      <c r="K984" s="1"/>
      <c r="L984" s="1"/>
    </row>
    <row r="985" ht="14.25" customHeight="1">
      <c r="A985" s="52"/>
      <c r="B985" s="53"/>
      <c r="C985" s="1"/>
      <c r="D985" s="1"/>
      <c r="E985" s="1"/>
      <c r="F985" s="1"/>
      <c r="G985" s="1"/>
      <c r="H985" s="1"/>
      <c r="I985" s="1"/>
      <c r="J985" s="1"/>
      <c r="K985" s="1"/>
      <c r="L985" s="1"/>
    </row>
    <row r="986" ht="14.25" customHeight="1">
      <c r="A986" s="52"/>
      <c r="B986" s="53"/>
      <c r="C986" s="1"/>
      <c r="D986" s="1"/>
      <c r="E986" s="1"/>
      <c r="F986" s="1"/>
      <c r="G986" s="1"/>
      <c r="H986" s="1"/>
      <c r="I986" s="1"/>
      <c r="J986" s="1"/>
      <c r="K986" s="1"/>
      <c r="L986" s="1"/>
    </row>
    <row r="987" ht="14.25" customHeight="1">
      <c r="A987" s="52"/>
      <c r="B987" s="53"/>
      <c r="C987" s="1"/>
      <c r="D987" s="1"/>
      <c r="E987" s="1"/>
      <c r="F987" s="1"/>
      <c r="G987" s="1"/>
      <c r="H987" s="1"/>
      <c r="I987" s="1"/>
      <c r="J987" s="1"/>
      <c r="K987" s="1"/>
      <c r="L987" s="1"/>
    </row>
    <row r="988" ht="14.25" customHeight="1">
      <c r="A988" s="52"/>
      <c r="B988" s="53"/>
      <c r="C988" s="1"/>
      <c r="D988" s="1"/>
      <c r="E988" s="1"/>
      <c r="F988" s="1"/>
      <c r="G988" s="1"/>
      <c r="H988" s="1"/>
      <c r="I988" s="1"/>
      <c r="J988" s="1"/>
      <c r="K988" s="1"/>
      <c r="L988" s="1"/>
    </row>
    <row r="989" ht="14.25" customHeight="1">
      <c r="A989" s="52"/>
      <c r="B989" s="53"/>
      <c r="C989" s="1"/>
      <c r="D989" s="1"/>
      <c r="E989" s="1"/>
      <c r="F989" s="1"/>
      <c r="G989" s="1"/>
      <c r="H989" s="1"/>
      <c r="I989" s="1"/>
      <c r="J989" s="1"/>
      <c r="K989" s="1"/>
      <c r="L989" s="1"/>
    </row>
    <row r="990" ht="14.25" customHeight="1">
      <c r="A990" s="52"/>
      <c r="B990" s="53"/>
      <c r="C990" s="1"/>
      <c r="D990" s="1"/>
      <c r="E990" s="1"/>
      <c r="F990" s="1"/>
      <c r="G990" s="1"/>
      <c r="H990" s="1"/>
      <c r="I990" s="1"/>
      <c r="J990" s="1"/>
      <c r="K990" s="1"/>
      <c r="L990" s="1"/>
    </row>
    <row r="991" ht="14.25" customHeight="1">
      <c r="A991" s="52"/>
      <c r="B991" s="53"/>
      <c r="C991" s="1"/>
      <c r="D991" s="1"/>
      <c r="E991" s="1"/>
      <c r="F991" s="1"/>
      <c r="G991" s="1"/>
      <c r="H991" s="1"/>
      <c r="I991" s="1"/>
      <c r="J991" s="1"/>
      <c r="K991" s="1"/>
      <c r="L991" s="1"/>
    </row>
    <row r="992" ht="14.25" customHeight="1">
      <c r="A992" s="52"/>
      <c r="B992" s="53"/>
      <c r="C992" s="1"/>
      <c r="D992" s="1"/>
      <c r="E992" s="1"/>
      <c r="F992" s="1"/>
      <c r="G992" s="1"/>
      <c r="H992" s="1"/>
      <c r="I992" s="1"/>
      <c r="J992" s="1"/>
      <c r="K992" s="1"/>
      <c r="L992" s="1"/>
    </row>
    <row r="993" ht="14.25" customHeight="1">
      <c r="A993" s="52"/>
      <c r="B993" s="53"/>
      <c r="C993" s="1"/>
      <c r="D993" s="1"/>
      <c r="E993" s="1"/>
      <c r="F993" s="1"/>
      <c r="G993" s="1"/>
      <c r="H993" s="1"/>
      <c r="I993" s="1"/>
      <c r="J993" s="1"/>
      <c r="K993" s="1"/>
      <c r="L993" s="1"/>
    </row>
    <row r="994" ht="14.25" customHeight="1">
      <c r="A994" s="52"/>
      <c r="B994" s="53"/>
      <c r="C994" s="1"/>
      <c r="D994" s="1"/>
      <c r="E994" s="1"/>
      <c r="F994" s="1"/>
      <c r="G994" s="1"/>
      <c r="H994" s="1"/>
      <c r="I994" s="1"/>
      <c r="J994" s="1"/>
      <c r="K994" s="1"/>
      <c r="L994" s="1"/>
    </row>
    <row r="995" ht="14.25" customHeight="1">
      <c r="A995" s="52"/>
      <c r="B995" s="53"/>
      <c r="C995" s="1"/>
      <c r="D995" s="1"/>
      <c r="E995" s="1"/>
      <c r="F995" s="1"/>
      <c r="G995" s="1"/>
      <c r="H995" s="1"/>
      <c r="I995" s="1"/>
      <c r="J995" s="1"/>
      <c r="K995" s="1"/>
      <c r="L995" s="1"/>
    </row>
    <row r="996" ht="14.25" customHeight="1">
      <c r="A996" s="52"/>
      <c r="B996" s="53"/>
      <c r="C996" s="1"/>
      <c r="D996" s="1"/>
      <c r="E996" s="1"/>
      <c r="F996" s="1"/>
      <c r="G996" s="1"/>
      <c r="H996" s="1"/>
      <c r="I996" s="1"/>
      <c r="J996" s="1"/>
      <c r="K996" s="1"/>
      <c r="L996" s="1"/>
    </row>
    <row r="997" ht="14.25" customHeight="1">
      <c r="A997" s="52"/>
      <c r="B997" s="53"/>
      <c r="C997" s="1"/>
      <c r="D997" s="1"/>
      <c r="E997" s="1"/>
      <c r="F997" s="1"/>
      <c r="G997" s="1"/>
      <c r="H997" s="1"/>
      <c r="I997" s="1"/>
      <c r="J997" s="1"/>
      <c r="K997" s="1"/>
      <c r="L997" s="1"/>
    </row>
    <row r="998" ht="14.25" customHeight="1">
      <c r="A998" s="52"/>
      <c r="B998" s="53"/>
      <c r="C998" s="1"/>
      <c r="D998" s="1"/>
      <c r="E998" s="1"/>
      <c r="F998" s="1"/>
      <c r="G998" s="1"/>
      <c r="H998" s="1"/>
      <c r="I998" s="1"/>
      <c r="J998" s="1"/>
      <c r="K998" s="1"/>
      <c r="L998" s="1"/>
    </row>
    <row r="999" ht="14.25" customHeight="1">
      <c r="A999" s="52"/>
      <c r="B999" s="53"/>
      <c r="C999" s="1"/>
      <c r="D999" s="1"/>
      <c r="E999" s="1"/>
      <c r="F999" s="1"/>
      <c r="G999" s="1"/>
      <c r="H999" s="1"/>
      <c r="I999" s="1"/>
      <c r="J999" s="1"/>
      <c r="K999" s="1"/>
      <c r="L999" s="1"/>
    </row>
    <row r="1000" ht="14.25" customHeight="1">
      <c r="A1000" s="52"/>
      <c r="B1000" s="53"/>
      <c r="C1000" s="1"/>
      <c r="D1000" s="1"/>
      <c r="E1000" s="1"/>
      <c r="F1000" s="1"/>
      <c r="G1000" s="1"/>
      <c r="H1000" s="1"/>
      <c r="I1000" s="1"/>
      <c r="J1000" s="1"/>
      <c r="K1000" s="1"/>
      <c r="L1000" s="1"/>
    </row>
  </sheetData>
  <mergeCells count="7">
    <mergeCell ref="A2:N2"/>
    <mergeCell ref="A4:N4"/>
    <mergeCell ref="A5:N5"/>
    <mergeCell ref="A6:N6"/>
    <mergeCell ref="A7:N7"/>
    <mergeCell ref="A8:N8"/>
    <mergeCell ref="A67:N67"/>
  </mergeCells>
  <hyperlinks>
    <hyperlink r:id="rId1" ref="H11"/>
    <hyperlink r:id="rId2" ref="H12"/>
    <hyperlink r:id="rId3" ref="H13"/>
    <hyperlink r:id="rId4" ref="H14"/>
    <hyperlink r:id="rId5" ref="H21"/>
    <hyperlink r:id="rId6" ref="H22"/>
    <hyperlink r:id="rId7" ref="H23"/>
    <hyperlink r:id="rId8" ref="H24"/>
    <hyperlink r:id="rId9" ref="H25"/>
    <hyperlink r:id="rId10" ref="H26"/>
    <hyperlink r:id="rId11" ref="H27"/>
    <hyperlink r:id="rId12" ref="H28"/>
    <hyperlink r:id="rId13" ref="H29"/>
    <hyperlink r:id="rId14" ref="H31"/>
    <hyperlink r:id="rId15" ref="H34"/>
    <hyperlink r:id="rId16" ref="H35"/>
    <hyperlink r:id="rId17" ref="H36"/>
    <hyperlink r:id="rId18" ref="H40"/>
    <hyperlink r:id="rId19" ref="H41"/>
    <hyperlink r:id="rId20" ref="H42"/>
  </hyperlinks>
  <printOptions/>
  <pageMargins bottom="0.75" footer="0.0" header="0.0" left="0.7" right="0.7" top="0.75"/>
  <pageSetup orientation="landscape"/>
  <drawing r:id="rId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86"/>
    <col customWidth="1" min="2" max="3" width="15.43"/>
    <col customWidth="1" min="4" max="4" width="8.14"/>
    <col customWidth="1" min="5" max="5" width="17.43"/>
    <col customWidth="1" min="6" max="6" width="7.86"/>
    <col customWidth="1" min="7" max="7" width="8.43"/>
    <col customWidth="1" min="8" max="9" width="10.43"/>
    <col customWidth="1" min="10" max="10" width="10.0"/>
    <col customWidth="1" min="11" max="11" width="7.86"/>
    <col customWidth="1" min="12" max="12" width="8.86"/>
    <col customWidth="1" min="13" max="13" width="9.14"/>
    <col customWidth="1" min="14" max="14" width="20.86"/>
    <col customWidth="1" min="15" max="26" width="10.0"/>
  </cols>
  <sheetData>
    <row r="1" ht="14.25" customHeight="1">
      <c r="A1" s="52"/>
      <c r="B1" s="53"/>
      <c r="C1" s="53"/>
      <c r="D1" s="1"/>
      <c r="E1" s="1"/>
      <c r="F1" s="1"/>
      <c r="G1" s="1"/>
      <c r="H1" s="155"/>
      <c r="I1" s="155"/>
      <c r="J1" s="1"/>
      <c r="K1" s="1"/>
      <c r="L1" s="1"/>
      <c r="M1" s="1"/>
    </row>
    <row r="2" ht="15.0" customHeight="1">
      <c r="A2" s="54" t="s">
        <v>639</v>
      </c>
      <c r="B2" s="55"/>
      <c r="C2" s="55"/>
      <c r="D2" s="55"/>
      <c r="E2" s="55"/>
      <c r="F2" s="55"/>
      <c r="G2" s="55"/>
      <c r="H2" s="55"/>
      <c r="I2" s="55"/>
      <c r="J2" s="55"/>
      <c r="K2" s="55"/>
      <c r="L2" s="55"/>
      <c r="M2" s="56"/>
      <c r="N2" s="58"/>
      <c r="O2" s="58"/>
      <c r="P2" s="58"/>
      <c r="Q2" s="58"/>
      <c r="R2" s="58"/>
      <c r="S2" s="58"/>
      <c r="T2" s="58"/>
      <c r="U2" s="58"/>
      <c r="V2" s="58"/>
      <c r="W2" s="58"/>
      <c r="X2" s="58"/>
      <c r="Y2" s="58"/>
      <c r="Z2" s="58"/>
    </row>
    <row r="3" ht="15.0" customHeight="1">
      <c r="A3" s="156"/>
      <c r="B3" s="156"/>
      <c r="C3" s="156"/>
      <c r="D3" s="156"/>
      <c r="E3" s="156"/>
      <c r="F3" s="156"/>
      <c r="G3" s="156"/>
      <c r="H3" s="157"/>
      <c r="I3" s="157"/>
      <c r="J3" s="156"/>
      <c r="K3" s="156"/>
      <c r="L3" s="156"/>
      <c r="M3" s="156"/>
      <c r="N3" s="58"/>
      <c r="O3" s="58"/>
      <c r="P3" s="58"/>
      <c r="Q3" s="58"/>
      <c r="R3" s="58"/>
      <c r="S3" s="58"/>
      <c r="T3" s="58"/>
      <c r="U3" s="58"/>
      <c r="V3" s="58"/>
      <c r="W3" s="58"/>
      <c r="X3" s="58"/>
      <c r="Y3" s="58"/>
      <c r="Z3" s="58"/>
    </row>
    <row r="4" ht="28.5" customHeight="1">
      <c r="A4" s="158" t="s">
        <v>640</v>
      </c>
      <c r="B4" s="55"/>
      <c r="C4" s="55"/>
      <c r="D4" s="55"/>
      <c r="E4" s="55"/>
      <c r="F4" s="55"/>
      <c r="G4" s="55"/>
      <c r="H4" s="55"/>
      <c r="I4" s="55"/>
      <c r="J4" s="55"/>
      <c r="K4" s="55"/>
      <c r="L4" s="55"/>
      <c r="M4" s="56"/>
      <c r="N4" s="58"/>
      <c r="O4" s="58"/>
      <c r="P4" s="58"/>
      <c r="Q4" s="58"/>
      <c r="R4" s="58"/>
      <c r="S4" s="58"/>
      <c r="T4" s="58"/>
      <c r="U4" s="58"/>
      <c r="V4" s="58"/>
      <c r="W4" s="58"/>
      <c r="X4" s="58"/>
      <c r="Y4" s="58"/>
      <c r="Z4" s="58"/>
    </row>
    <row r="5" ht="14.25" customHeight="1">
      <c r="A5" s="117" t="s">
        <v>641</v>
      </c>
      <c r="B5" s="55"/>
      <c r="C5" s="55"/>
      <c r="D5" s="55"/>
      <c r="E5" s="55"/>
      <c r="F5" s="55"/>
      <c r="G5" s="55"/>
      <c r="H5" s="55"/>
      <c r="I5" s="55"/>
      <c r="J5" s="55"/>
      <c r="K5" s="55"/>
      <c r="L5" s="55"/>
      <c r="M5" s="56"/>
      <c r="N5" s="58"/>
      <c r="O5" s="58"/>
      <c r="P5" s="58"/>
      <c r="Q5" s="58"/>
      <c r="R5" s="58"/>
      <c r="S5" s="58"/>
      <c r="T5" s="58"/>
      <c r="U5" s="58"/>
      <c r="V5" s="58"/>
      <c r="W5" s="58"/>
      <c r="X5" s="58"/>
      <c r="Y5" s="58"/>
      <c r="Z5" s="58"/>
    </row>
    <row r="6" ht="14.25" customHeight="1">
      <c r="A6" s="59" t="s">
        <v>192</v>
      </c>
      <c r="B6" s="55"/>
      <c r="C6" s="55"/>
      <c r="D6" s="55"/>
      <c r="E6" s="55"/>
      <c r="F6" s="55"/>
      <c r="G6" s="55"/>
      <c r="H6" s="55"/>
      <c r="I6" s="55"/>
      <c r="J6" s="55"/>
      <c r="K6" s="55"/>
      <c r="L6" s="55"/>
      <c r="M6" s="159"/>
      <c r="N6" s="58"/>
      <c r="O6" s="58"/>
      <c r="P6" s="58"/>
      <c r="Q6" s="58"/>
      <c r="R6" s="58"/>
      <c r="S6" s="58"/>
      <c r="T6" s="58"/>
      <c r="U6" s="58"/>
      <c r="V6" s="58"/>
      <c r="W6" s="58"/>
      <c r="X6" s="58"/>
      <c r="Y6" s="58"/>
      <c r="Z6" s="58"/>
    </row>
    <row r="7" ht="56.25" customHeight="1">
      <c r="A7" s="60" t="s">
        <v>642</v>
      </c>
      <c r="B7" s="55"/>
      <c r="C7" s="55"/>
      <c r="D7" s="55"/>
      <c r="E7" s="55"/>
      <c r="F7" s="55"/>
      <c r="G7" s="55"/>
      <c r="H7" s="55"/>
      <c r="I7" s="55"/>
      <c r="J7" s="55"/>
      <c r="K7" s="55"/>
      <c r="L7" s="55"/>
      <c r="M7" s="56"/>
      <c r="N7" s="58"/>
      <c r="O7" s="58"/>
      <c r="P7" s="58"/>
      <c r="Q7" s="58"/>
      <c r="R7" s="58"/>
      <c r="S7" s="58"/>
      <c r="T7" s="58"/>
      <c r="U7" s="58"/>
      <c r="V7" s="58"/>
      <c r="W7" s="58"/>
      <c r="X7" s="58"/>
      <c r="Y7" s="58"/>
      <c r="Z7" s="58"/>
    </row>
    <row r="8" ht="14.25" customHeight="1">
      <c r="A8" s="52"/>
      <c r="B8" s="53"/>
      <c r="C8" s="53"/>
      <c r="D8" s="1"/>
      <c r="E8" s="1"/>
      <c r="F8" s="1"/>
      <c r="G8" s="1"/>
      <c r="H8" s="155"/>
      <c r="I8" s="155"/>
      <c r="J8" s="1"/>
      <c r="K8" s="1"/>
      <c r="L8" s="1"/>
      <c r="M8" s="1"/>
    </row>
    <row r="9" ht="69.0" customHeight="1">
      <c r="A9" s="63" t="s">
        <v>194</v>
      </c>
      <c r="B9" s="63" t="s">
        <v>643</v>
      </c>
      <c r="C9" s="63" t="s">
        <v>195</v>
      </c>
      <c r="D9" s="64" t="s">
        <v>9</v>
      </c>
      <c r="E9" s="160" t="s">
        <v>644</v>
      </c>
      <c r="F9" s="63" t="s">
        <v>645</v>
      </c>
      <c r="G9" s="64" t="s">
        <v>646</v>
      </c>
      <c r="H9" s="64" t="s">
        <v>202</v>
      </c>
      <c r="I9" s="64" t="s">
        <v>203</v>
      </c>
      <c r="J9" s="64" t="s">
        <v>647</v>
      </c>
      <c r="K9" s="64" t="s">
        <v>205</v>
      </c>
      <c r="L9" s="63" t="s">
        <v>208</v>
      </c>
      <c r="M9" s="63" t="s">
        <v>209</v>
      </c>
      <c r="N9" s="65" t="s">
        <v>210</v>
      </c>
    </row>
    <row r="10" ht="84.0" customHeight="1">
      <c r="A10" s="161" t="s">
        <v>648</v>
      </c>
      <c r="B10" s="146" t="s">
        <v>649</v>
      </c>
      <c r="C10" s="146" t="s">
        <v>650</v>
      </c>
      <c r="D10" s="162" t="s">
        <v>651</v>
      </c>
      <c r="E10" s="163" t="s">
        <v>652</v>
      </c>
      <c r="F10" s="164" t="s">
        <v>653</v>
      </c>
      <c r="G10" s="165" t="s">
        <v>654</v>
      </c>
      <c r="H10" s="166"/>
      <c r="I10" s="166"/>
      <c r="J10" s="167" t="s">
        <v>655</v>
      </c>
      <c r="K10" s="168">
        <v>2020.0</v>
      </c>
      <c r="L10" s="169">
        <v>100.0</v>
      </c>
      <c r="M10" s="170">
        <v>100.0</v>
      </c>
      <c r="N10" s="154" t="s">
        <v>72</v>
      </c>
    </row>
    <row r="11" ht="66.0" customHeight="1">
      <c r="A11" s="170" t="s">
        <v>656</v>
      </c>
      <c r="B11" s="146" t="s">
        <v>649</v>
      </c>
      <c r="C11" s="146" t="s">
        <v>657</v>
      </c>
      <c r="D11" s="162" t="s">
        <v>73</v>
      </c>
      <c r="E11" s="170" t="s">
        <v>658</v>
      </c>
      <c r="F11" s="170" t="s">
        <v>659</v>
      </c>
      <c r="G11" s="170" t="s">
        <v>660</v>
      </c>
      <c r="H11" s="166" t="s">
        <v>661</v>
      </c>
      <c r="I11" s="166"/>
      <c r="J11" s="167" t="s">
        <v>662</v>
      </c>
      <c r="K11" s="168">
        <v>2020.0</v>
      </c>
      <c r="L11" s="169">
        <v>100.0</v>
      </c>
      <c r="M11" s="170">
        <v>100.0</v>
      </c>
      <c r="N11" s="154" t="s">
        <v>75</v>
      </c>
    </row>
    <row r="12" ht="66.0" customHeight="1">
      <c r="A12" s="146" t="s">
        <v>663</v>
      </c>
      <c r="B12" s="146" t="s">
        <v>649</v>
      </c>
      <c r="C12" s="146" t="s">
        <v>664</v>
      </c>
      <c r="D12" s="162" t="s">
        <v>73</v>
      </c>
      <c r="E12" s="170" t="s">
        <v>665</v>
      </c>
      <c r="F12" s="162" t="s">
        <v>666</v>
      </c>
      <c r="G12" s="151" t="s">
        <v>667</v>
      </c>
      <c r="H12" s="171" t="s">
        <v>668</v>
      </c>
      <c r="I12" s="171"/>
      <c r="J12" s="172" t="s">
        <v>669</v>
      </c>
      <c r="K12" s="171">
        <v>2020.0</v>
      </c>
      <c r="L12" s="173">
        <v>100.0</v>
      </c>
      <c r="M12" s="154">
        <v>50.0</v>
      </c>
      <c r="N12" s="154" t="s">
        <v>75</v>
      </c>
    </row>
    <row r="13" ht="66.0" customHeight="1">
      <c r="A13" s="170" t="s">
        <v>670</v>
      </c>
      <c r="B13" s="146" t="s">
        <v>649</v>
      </c>
      <c r="C13" s="146" t="s">
        <v>657</v>
      </c>
      <c r="D13" s="162" t="s">
        <v>73</v>
      </c>
      <c r="E13" s="170" t="s">
        <v>665</v>
      </c>
      <c r="F13" s="162" t="s">
        <v>666</v>
      </c>
      <c r="G13" s="151" t="s">
        <v>671</v>
      </c>
      <c r="H13" s="171" t="s">
        <v>672</v>
      </c>
      <c r="I13" s="171"/>
      <c r="J13" s="172" t="s">
        <v>673</v>
      </c>
      <c r="K13" s="171">
        <v>2020.0</v>
      </c>
      <c r="L13" s="173">
        <v>100.0</v>
      </c>
      <c r="M13" s="154">
        <v>100.0</v>
      </c>
      <c r="N13" s="154" t="s">
        <v>75</v>
      </c>
    </row>
    <row r="14" ht="66.0" customHeight="1">
      <c r="A14" s="170" t="s">
        <v>674</v>
      </c>
      <c r="B14" s="146" t="s">
        <v>649</v>
      </c>
      <c r="C14" s="146" t="s">
        <v>657</v>
      </c>
      <c r="D14" s="162" t="s">
        <v>73</v>
      </c>
      <c r="E14" s="170" t="s">
        <v>675</v>
      </c>
      <c r="F14" s="162" t="s">
        <v>676</v>
      </c>
      <c r="G14" s="151" t="s">
        <v>677</v>
      </c>
      <c r="H14" s="174" t="s">
        <v>678</v>
      </c>
      <c r="I14" s="174"/>
      <c r="J14" s="149" t="s">
        <v>679</v>
      </c>
      <c r="K14" s="148">
        <v>2020.0</v>
      </c>
      <c r="L14" s="173">
        <v>100.0</v>
      </c>
      <c r="M14" s="154">
        <v>100.0</v>
      </c>
      <c r="N14" s="154" t="s">
        <v>75</v>
      </c>
    </row>
    <row r="15" ht="66.0" customHeight="1">
      <c r="A15" s="170" t="s">
        <v>680</v>
      </c>
      <c r="B15" s="146" t="s">
        <v>649</v>
      </c>
      <c r="C15" s="146" t="s">
        <v>681</v>
      </c>
      <c r="D15" s="162" t="s">
        <v>73</v>
      </c>
      <c r="E15" s="170" t="s">
        <v>682</v>
      </c>
      <c r="F15" s="170" t="s">
        <v>676</v>
      </c>
      <c r="G15" s="170" t="s">
        <v>683</v>
      </c>
      <c r="H15" s="166" t="s">
        <v>684</v>
      </c>
      <c r="I15" s="166"/>
      <c r="J15" s="167" t="s">
        <v>685</v>
      </c>
      <c r="K15" s="168">
        <v>2020.0</v>
      </c>
      <c r="L15" s="169">
        <v>100.0</v>
      </c>
      <c r="M15" s="170">
        <v>100.0</v>
      </c>
      <c r="N15" s="154" t="s">
        <v>686</v>
      </c>
    </row>
    <row r="16" ht="66.0" customHeight="1">
      <c r="A16" s="146" t="s">
        <v>687</v>
      </c>
      <c r="B16" s="146" t="s">
        <v>649</v>
      </c>
      <c r="C16" s="175" t="s">
        <v>681</v>
      </c>
      <c r="D16" s="147" t="s">
        <v>73</v>
      </c>
      <c r="E16" s="170" t="s">
        <v>688</v>
      </c>
      <c r="F16" s="148" t="s">
        <v>689</v>
      </c>
      <c r="G16" s="151" t="s">
        <v>690</v>
      </c>
      <c r="H16" s="171" t="s">
        <v>691</v>
      </c>
      <c r="I16" s="171"/>
      <c r="J16" s="172" t="s">
        <v>692</v>
      </c>
      <c r="K16" s="171">
        <v>2020.0</v>
      </c>
      <c r="L16" s="173">
        <v>100.0</v>
      </c>
      <c r="M16" s="154">
        <v>100.0</v>
      </c>
      <c r="N16" s="154" t="s">
        <v>686</v>
      </c>
    </row>
    <row r="17" ht="92.25" customHeight="1">
      <c r="A17" s="170" t="s">
        <v>693</v>
      </c>
      <c r="B17" s="146" t="s">
        <v>649</v>
      </c>
      <c r="C17" s="146" t="s">
        <v>694</v>
      </c>
      <c r="D17" s="162" t="s">
        <v>73</v>
      </c>
      <c r="E17" s="170" t="s">
        <v>695</v>
      </c>
      <c r="F17" s="170" t="s">
        <v>696</v>
      </c>
      <c r="G17" s="170" t="s">
        <v>697</v>
      </c>
      <c r="H17" s="149" t="s">
        <v>698</v>
      </c>
      <c r="I17" s="149" t="s">
        <v>699</v>
      </c>
      <c r="J17" s="167" t="s">
        <v>700</v>
      </c>
      <c r="K17" s="168">
        <v>2020.0</v>
      </c>
      <c r="L17" s="169">
        <v>100.0</v>
      </c>
      <c r="M17" s="170">
        <v>100.0</v>
      </c>
      <c r="N17" s="154" t="s">
        <v>89</v>
      </c>
    </row>
    <row r="18" ht="82.5" customHeight="1">
      <c r="A18" s="101" t="s">
        <v>701</v>
      </c>
      <c r="B18" s="68" t="s">
        <v>702</v>
      </c>
      <c r="C18" s="68" t="s">
        <v>338</v>
      </c>
      <c r="D18" s="176" t="s">
        <v>142</v>
      </c>
      <c r="E18" s="101" t="s">
        <v>703</v>
      </c>
      <c r="F18" s="101" t="s">
        <v>704</v>
      </c>
      <c r="G18" s="101" t="s">
        <v>705</v>
      </c>
      <c r="H18" s="177" t="s">
        <v>706</v>
      </c>
      <c r="I18" s="177" t="s">
        <v>707</v>
      </c>
      <c r="J18" s="68" t="s">
        <v>708</v>
      </c>
      <c r="K18" s="178">
        <v>2020.0</v>
      </c>
      <c r="L18" s="179">
        <v>100.0</v>
      </c>
      <c r="M18" s="180">
        <v>100.0</v>
      </c>
      <c r="N18" s="77" t="s">
        <v>153</v>
      </c>
    </row>
    <row r="19" ht="14.25" customHeight="1">
      <c r="A19" s="101"/>
      <c r="B19" s="68"/>
      <c r="C19" s="181"/>
      <c r="D19" s="176"/>
      <c r="E19" s="101"/>
      <c r="F19" s="101"/>
      <c r="G19" s="101"/>
      <c r="H19" s="182"/>
      <c r="I19" s="182"/>
      <c r="J19" s="183"/>
      <c r="K19" s="184"/>
      <c r="L19" s="179"/>
      <c r="M19" s="180"/>
      <c r="N19" s="77"/>
    </row>
    <row r="20" ht="14.25" customHeight="1">
      <c r="A20" s="101"/>
      <c r="B20" s="68"/>
      <c r="C20" s="181"/>
      <c r="D20" s="176"/>
      <c r="E20" s="101"/>
      <c r="F20" s="101"/>
      <c r="G20" s="101"/>
      <c r="H20" s="182"/>
      <c r="I20" s="182"/>
      <c r="J20" s="183"/>
      <c r="K20" s="184"/>
      <c r="L20" s="179"/>
      <c r="M20" s="180"/>
      <c r="N20" s="77"/>
    </row>
    <row r="21" ht="14.25" customHeight="1">
      <c r="A21" s="101"/>
      <c r="B21" s="68"/>
      <c r="C21" s="181"/>
      <c r="D21" s="176"/>
      <c r="E21" s="101"/>
      <c r="F21" s="101"/>
      <c r="G21" s="101"/>
      <c r="H21" s="182"/>
      <c r="I21" s="182"/>
      <c r="J21" s="183"/>
      <c r="K21" s="184"/>
      <c r="L21" s="179"/>
      <c r="M21" s="180"/>
      <c r="N21" s="77"/>
    </row>
    <row r="22" ht="14.25" customHeight="1">
      <c r="A22" s="101"/>
      <c r="B22" s="68"/>
      <c r="C22" s="181"/>
      <c r="D22" s="176"/>
      <c r="E22" s="101"/>
      <c r="F22" s="101"/>
      <c r="G22" s="101"/>
      <c r="H22" s="182"/>
      <c r="I22" s="182"/>
      <c r="J22" s="183"/>
      <c r="K22" s="184"/>
      <c r="L22" s="179"/>
      <c r="M22" s="180"/>
      <c r="N22" s="77"/>
    </row>
    <row r="23" ht="14.25" customHeight="1">
      <c r="A23" s="101"/>
      <c r="B23" s="101"/>
      <c r="C23" s="101"/>
      <c r="D23" s="75"/>
      <c r="E23" s="101"/>
      <c r="F23" s="75"/>
      <c r="G23" s="102"/>
      <c r="H23" s="75"/>
      <c r="I23" s="75"/>
      <c r="J23" s="101"/>
      <c r="K23" s="75"/>
      <c r="L23" s="185"/>
      <c r="M23" s="180"/>
      <c r="N23" s="77"/>
    </row>
    <row r="24" ht="14.25" customHeight="1">
      <c r="A24" s="104" t="s">
        <v>180</v>
      </c>
      <c r="B24" s="53"/>
      <c r="C24" s="53"/>
      <c r="D24" s="1"/>
      <c r="E24" s="1"/>
      <c r="F24" s="1"/>
      <c r="G24" s="1"/>
      <c r="H24" s="155"/>
      <c r="I24" s="155"/>
      <c r="J24" s="1"/>
      <c r="K24" s="1"/>
      <c r="L24" s="57"/>
      <c r="M24" s="186">
        <f>SUM(M10:M23)</f>
        <v>850</v>
      </c>
    </row>
    <row r="25" ht="14.25" customHeight="1">
      <c r="A25" s="104"/>
      <c r="B25" s="53"/>
      <c r="C25" s="53"/>
      <c r="D25" s="1"/>
      <c r="E25" s="1"/>
      <c r="F25" s="1"/>
      <c r="G25" s="1"/>
      <c r="H25" s="155"/>
      <c r="I25" s="155"/>
      <c r="J25" s="1"/>
      <c r="K25" s="1"/>
      <c r="L25" s="1"/>
      <c r="M25" s="104"/>
    </row>
    <row r="26" ht="15.0" customHeight="1">
      <c r="A26" s="106" t="s">
        <v>330</v>
      </c>
      <c r="B26" s="107"/>
      <c r="C26" s="107"/>
      <c r="D26" s="107"/>
      <c r="E26" s="107"/>
      <c r="F26" s="107"/>
      <c r="G26" s="107"/>
      <c r="H26" s="107"/>
      <c r="I26" s="107"/>
      <c r="J26" s="107"/>
      <c r="K26" s="107"/>
      <c r="L26" s="107"/>
      <c r="M26" s="108"/>
    </row>
    <row r="27" ht="14.25" customHeight="1">
      <c r="A27" s="52"/>
      <c r="B27" s="53"/>
      <c r="C27" s="53"/>
      <c r="D27" s="1"/>
      <c r="E27" s="1"/>
      <c r="F27" s="1"/>
      <c r="G27" s="1"/>
      <c r="H27" s="155"/>
      <c r="I27" s="155"/>
      <c r="J27" s="1"/>
      <c r="K27" s="1"/>
      <c r="L27" s="1"/>
      <c r="M27" s="52"/>
    </row>
    <row r="28" ht="14.25" customHeight="1">
      <c r="A28" s="52"/>
      <c r="B28" s="53"/>
      <c r="C28" s="53"/>
      <c r="D28" s="1"/>
      <c r="E28" s="1"/>
      <c r="F28" s="1"/>
      <c r="G28" s="1"/>
      <c r="H28" s="155"/>
      <c r="I28" s="155"/>
      <c r="J28" s="1"/>
      <c r="K28" s="1"/>
      <c r="L28" s="1"/>
      <c r="M28" s="52"/>
    </row>
    <row r="29" ht="14.25" customHeight="1">
      <c r="A29" s="52"/>
      <c r="B29" s="53"/>
      <c r="C29" s="53"/>
      <c r="D29" s="1"/>
      <c r="E29" s="1"/>
      <c r="F29" s="1"/>
      <c r="G29" s="1"/>
      <c r="H29" s="155"/>
      <c r="I29" s="155"/>
      <c r="J29" s="1"/>
      <c r="K29" s="1"/>
      <c r="L29" s="1"/>
      <c r="M29" s="1"/>
    </row>
    <row r="30" ht="14.25" customHeight="1">
      <c r="A30" s="187"/>
      <c r="B30" s="53"/>
      <c r="C30" s="53"/>
      <c r="D30" s="1"/>
      <c r="E30" s="1"/>
      <c r="F30" s="1"/>
      <c r="G30" s="1"/>
      <c r="H30" s="155"/>
      <c r="I30" s="155"/>
      <c r="J30" s="1"/>
      <c r="K30" s="1"/>
      <c r="L30" s="1"/>
      <c r="M30" s="1"/>
    </row>
    <row r="31" ht="14.25" customHeight="1">
      <c r="A31" s="52"/>
      <c r="B31" s="53"/>
      <c r="C31" s="53"/>
      <c r="D31" s="1"/>
      <c r="E31" s="1"/>
      <c r="F31" s="1"/>
      <c r="G31" s="1"/>
      <c r="H31" s="155"/>
      <c r="I31" s="155"/>
      <c r="J31" s="1"/>
      <c r="K31" s="1"/>
      <c r="L31" s="1"/>
      <c r="M31" s="1"/>
    </row>
    <row r="32" ht="14.25" customHeight="1">
      <c r="A32" s="52"/>
      <c r="B32" s="53"/>
      <c r="C32" s="53"/>
      <c r="D32" s="1"/>
      <c r="E32" s="1"/>
      <c r="F32" s="1"/>
      <c r="G32" s="1"/>
      <c r="H32" s="155"/>
      <c r="I32" s="155"/>
      <c r="J32" s="1"/>
      <c r="K32" s="1"/>
      <c r="L32" s="1"/>
      <c r="M32" s="1"/>
    </row>
    <row r="33" ht="14.25" customHeight="1">
      <c r="A33" s="52"/>
      <c r="B33" s="53"/>
      <c r="C33" s="53"/>
      <c r="D33" s="1"/>
      <c r="E33" s="1"/>
      <c r="F33" s="1"/>
      <c r="G33" s="1"/>
      <c r="H33" s="155"/>
      <c r="I33" s="155"/>
      <c r="J33" s="1"/>
      <c r="K33" s="1"/>
      <c r="L33" s="1"/>
      <c r="M33" s="1"/>
    </row>
    <row r="34" ht="14.25" customHeight="1">
      <c r="A34" s="52"/>
      <c r="B34" s="53"/>
      <c r="C34" s="53"/>
      <c r="D34" s="1"/>
      <c r="E34" s="1"/>
      <c r="F34" s="1"/>
      <c r="G34" s="1"/>
      <c r="H34" s="155"/>
      <c r="I34" s="155"/>
      <c r="J34" s="1"/>
      <c r="K34" s="1"/>
      <c r="L34" s="1"/>
      <c r="M34" s="1"/>
    </row>
    <row r="35" ht="14.25" customHeight="1">
      <c r="A35" s="52"/>
      <c r="B35" s="53"/>
      <c r="C35" s="53"/>
      <c r="D35" s="1"/>
      <c r="E35" s="1"/>
      <c r="F35" s="1"/>
      <c r="G35" s="1"/>
      <c r="H35" s="155"/>
      <c r="I35" s="155"/>
      <c r="J35" s="1"/>
      <c r="K35" s="1"/>
      <c r="L35" s="1"/>
      <c r="M35" s="1"/>
    </row>
    <row r="36" ht="14.25" customHeight="1">
      <c r="A36" s="52"/>
      <c r="B36" s="53"/>
      <c r="C36" s="53"/>
      <c r="D36" s="1"/>
      <c r="E36" s="1"/>
      <c r="F36" s="1"/>
      <c r="G36" s="1"/>
      <c r="H36" s="155"/>
      <c r="I36" s="155"/>
      <c r="J36" s="1"/>
      <c r="K36" s="1"/>
      <c r="L36" s="1"/>
      <c r="M36" s="1"/>
    </row>
    <row r="37" ht="14.25" customHeight="1">
      <c r="A37" s="52"/>
      <c r="B37" s="53"/>
      <c r="C37" s="53"/>
      <c r="D37" s="1"/>
      <c r="E37" s="1"/>
      <c r="F37" s="1"/>
      <c r="G37" s="1"/>
      <c r="H37" s="155"/>
      <c r="I37" s="155"/>
      <c r="J37" s="1"/>
      <c r="K37" s="1"/>
      <c r="L37" s="1"/>
      <c r="M37" s="1"/>
    </row>
    <row r="38" ht="14.25" customHeight="1">
      <c r="A38" s="52"/>
      <c r="B38" s="53"/>
      <c r="C38" s="53"/>
      <c r="D38" s="1"/>
      <c r="E38" s="1"/>
      <c r="F38" s="1"/>
      <c r="G38" s="1"/>
      <c r="H38" s="155"/>
      <c r="I38" s="155"/>
      <c r="J38" s="1"/>
      <c r="K38" s="1"/>
      <c r="L38" s="1"/>
      <c r="M38" s="1"/>
    </row>
    <row r="39" ht="14.25" customHeight="1">
      <c r="A39" s="52"/>
      <c r="B39" s="53"/>
      <c r="C39" s="53"/>
      <c r="D39" s="1"/>
      <c r="E39" s="1"/>
      <c r="F39" s="1"/>
      <c r="G39" s="1"/>
      <c r="H39" s="155"/>
      <c r="I39" s="155"/>
      <c r="J39" s="1"/>
      <c r="K39" s="1"/>
      <c r="L39" s="1"/>
      <c r="M39" s="1"/>
    </row>
    <row r="40" ht="14.25" customHeight="1">
      <c r="A40" s="52"/>
      <c r="B40" s="53"/>
      <c r="C40" s="53"/>
      <c r="D40" s="1"/>
      <c r="E40" s="1"/>
      <c r="F40" s="1"/>
      <c r="G40" s="1"/>
      <c r="H40" s="155"/>
      <c r="I40" s="155"/>
      <c r="J40" s="1"/>
      <c r="K40" s="1"/>
      <c r="L40" s="1"/>
      <c r="M40" s="1"/>
    </row>
    <row r="41" ht="14.25" customHeight="1">
      <c r="A41" s="52"/>
      <c r="B41" s="53"/>
      <c r="C41" s="53"/>
      <c r="D41" s="1"/>
      <c r="E41" s="1"/>
      <c r="F41" s="1"/>
      <c r="G41" s="1"/>
      <c r="H41" s="155"/>
      <c r="I41" s="155"/>
      <c r="J41" s="1"/>
      <c r="K41" s="1"/>
      <c r="L41" s="1"/>
      <c r="M41" s="1"/>
    </row>
    <row r="42" ht="14.25" customHeight="1">
      <c r="A42" s="52"/>
      <c r="B42" s="53"/>
      <c r="C42" s="53"/>
      <c r="D42" s="1"/>
      <c r="E42" s="1"/>
      <c r="F42" s="1"/>
      <c r="G42" s="1"/>
      <c r="H42" s="155"/>
      <c r="I42" s="155"/>
      <c r="J42" s="1"/>
      <c r="K42" s="1"/>
      <c r="L42" s="1"/>
      <c r="M42" s="1"/>
    </row>
    <row r="43" ht="14.25" customHeight="1">
      <c r="A43" s="52"/>
      <c r="B43" s="53"/>
      <c r="C43" s="53"/>
      <c r="D43" s="1"/>
      <c r="E43" s="1"/>
      <c r="F43" s="1"/>
      <c r="G43" s="1"/>
      <c r="H43" s="155"/>
      <c r="I43" s="155"/>
      <c r="J43" s="1"/>
      <c r="K43" s="1"/>
      <c r="L43" s="1"/>
      <c r="M43" s="1"/>
    </row>
    <row r="44" ht="14.25" customHeight="1">
      <c r="A44" s="52"/>
      <c r="B44" s="53"/>
      <c r="C44" s="53"/>
      <c r="D44" s="1"/>
      <c r="E44" s="1"/>
      <c r="F44" s="1"/>
      <c r="G44" s="1"/>
      <c r="H44" s="155"/>
      <c r="I44" s="155"/>
      <c r="J44" s="1"/>
      <c r="K44" s="1"/>
      <c r="L44" s="1"/>
      <c r="M44" s="1"/>
    </row>
    <row r="45" ht="14.25" customHeight="1">
      <c r="A45" s="52"/>
      <c r="B45" s="53"/>
      <c r="C45" s="53"/>
      <c r="D45" s="1"/>
      <c r="E45" s="1"/>
      <c r="F45" s="1"/>
      <c r="G45" s="1"/>
      <c r="H45" s="155"/>
      <c r="I45" s="155"/>
      <c r="J45" s="1"/>
      <c r="K45" s="1"/>
      <c r="L45" s="1"/>
      <c r="M45" s="1"/>
    </row>
    <row r="46" ht="14.25" customHeight="1">
      <c r="A46" s="52"/>
      <c r="B46" s="53"/>
      <c r="C46" s="53"/>
      <c r="D46" s="1"/>
      <c r="E46" s="1"/>
      <c r="F46" s="1"/>
      <c r="G46" s="1"/>
      <c r="H46" s="155"/>
      <c r="I46" s="155"/>
      <c r="J46" s="1"/>
      <c r="K46" s="1"/>
      <c r="L46" s="1"/>
      <c r="M46" s="1"/>
    </row>
    <row r="47" ht="14.25" customHeight="1">
      <c r="A47" s="52"/>
      <c r="B47" s="53"/>
      <c r="C47" s="53"/>
      <c r="D47" s="1"/>
      <c r="E47" s="1"/>
      <c r="F47" s="1"/>
      <c r="G47" s="1"/>
      <c r="H47" s="155"/>
      <c r="I47" s="155"/>
      <c r="J47" s="1"/>
      <c r="K47" s="1"/>
      <c r="L47" s="1"/>
      <c r="M47" s="1"/>
    </row>
    <row r="48" ht="14.25" customHeight="1">
      <c r="A48" s="52"/>
      <c r="B48" s="53"/>
      <c r="C48" s="53"/>
      <c r="D48" s="1"/>
      <c r="E48" s="1"/>
      <c r="F48" s="1"/>
      <c r="G48" s="1"/>
      <c r="H48" s="155"/>
      <c r="I48" s="155"/>
      <c r="J48" s="1"/>
      <c r="K48" s="1"/>
      <c r="L48" s="1"/>
      <c r="M48" s="1"/>
    </row>
    <row r="49" ht="14.25" customHeight="1">
      <c r="A49" s="52"/>
      <c r="B49" s="53"/>
      <c r="C49" s="53"/>
      <c r="D49" s="1"/>
      <c r="E49" s="1"/>
      <c r="F49" s="1"/>
      <c r="G49" s="1"/>
      <c r="H49" s="155"/>
      <c r="I49" s="155"/>
      <c r="J49" s="1"/>
      <c r="K49" s="1"/>
      <c r="L49" s="1"/>
      <c r="M49" s="1"/>
    </row>
    <row r="50" ht="14.25" customHeight="1">
      <c r="A50" s="52"/>
      <c r="B50" s="53"/>
      <c r="C50" s="53"/>
      <c r="D50" s="1"/>
      <c r="E50" s="1"/>
      <c r="F50" s="1"/>
      <c r="G50" s="1"/>
      <c r="H50" s="155"/>
      <c r="I50" s="155"/>
      <c r="J50" s="1"/>
      <c r="K50" s="1"/>
      <c r="L50" s="1"/>
      <c r="M50" s="1"/>
    </row>
    <row r="51" ht="14.25" customHeight="1">
      <c r="A51" s="52"/>
      <c r="B51" s="53"/>
      <c r="C51" s="53"/>
      <c r="D51" s="1"/>
      <c r="E51" s="1"/>
      <c r="F51" s="1"/>
      <c r="G51" s="1"/>
      <c r="H51" s="155"/>
      <c r="I51" s="155"/>
      <c r="J51" s="1"/>
      <c r="K51" s="1"/>
      <c r="L51" s="1"/>
      <c r="M51" s="1"/>
    </row>
    <row r="52" ht="14.25" customHeight="1">
      <c r="A52" s="52"/>
      <c r="B52" s="53"/>
      <c r="C52" s="53"/>
      <c r="D52" s="1"/>
      <c r="E52" s="1"/>
      <c r="F52" s="1"/>
      <c r="G52" s="1"/>
      <c r="H52" s="155"/>
      <c r="I52" s="155"/>
      <c r="J52" s="1"/>
      <c r="K52" s="1"/>
      <c r="L52" s="1"/>
      <c r="M52" s="1"/>
    </row>
    <row r="53" ht="14.25" customHeight="1">
      <c r="A53" s="52"/>
      <c r="B53" s="53"/>
      <c r="C53" s="53"/>
      <c r="D53" s="1"/>
      <c r="E53" s="1"/>
      <c r="F53" s="1"/>
      <c r="G53" s="1"/>
      <c r="H53" s="155"/>
      <c r="I53" s="155"/>
      <c r="J53" s="1"/>
      <c r="K53" s="1"/>
      <c r="L53" s="1"/>
      <c r="M53" s="1"/>
    </row>
    <row r="54" ht="14.25" customHeight="1">
      <c r="A54" s="52"/>
      <c r="B54" s="53"/>
      <c r="C54" s="53"/>
      <c r="D54" s="1"/>
      <c r="E54" s="1"/>
      <c r="F54" s="1"/>
      <c r="G54" s="1"/>
      <c r="H54" s="155"/>
      <c r="I54" s="155"/>
      <c r="J54" s="1"/>
      <c r="K54" s="1"/>
      <c r="L54" s="1"/>
      <c r="M54" s="1"/>
    </row>
    <row r="55" ht="14.25" customHeight="1">
      <c r="A55" s="52"/>
      <c r="B55" s="53"/>
      <c r="C55" s="53"/>
      <c r="D55" s="1"/>
      <c r="E55" s="1"/>
      <c r="F55" s="1"/>
      <c r="G55" s="1"/>
      <c r="H55" s="155"/>
      <c r="I55" s="155"/>
      <c r="J55" s="1"/>
      <c r="K55" s="1"/>
      <c r="L55" s="1"/>
      <c r="M55" s="1"/>
    </row>
    <row r="56" ht="14.25" customHeight="1">
      <c r="A56" s="52"/>
      <c r="B56" s="53"/>
      <c r="C56" s="53"/>
      <c r="D56" s="1"/>
      <c r="E56" s="1"/>
      <c r="F56" s="1"/>
      <c r="G56" s="1"/>
      <c r="H56" s="155"/>
      <c r="I56" s="155"/>
      <c r="J56" s="1"/>
      <c r="K56" s="1"/>
      <c r="L56" s="1"/>
      <c r="M56" s="1"/>
    </row>
    <row r="57" ht="14.25" customHeight="1">
      <c r="A57" s="52"/>
      <c r="B57" s="53"/>
      <c r="C57" s="53"/>
      <c r="D57" s="1"/>
      <c r="E57" s="1"/>
      <c r="F57" s="1"/>
      <c r="G57" s="1"/>
      <c r="H57" s="155"/>
      <c r="I57" s="155"/>
      <c r="J57" s="1"/>
      <c r="K57" s="1"/>
      <c r="L57" s="1"/>
      <c r="M57" s="1"/>
    </row>
    <row r="58" ht="14.25" customHeight="1">
      <c r="A58" s="52"/>
      <c r="B58" s="53"/>
      <c r="C58" s="53"/>
      <c r="D58" s="1"/>
      <c r="E58" s="1"/>
      <c r="F58" s="1"/>
      <c r="G58" s="1"/>
      <c r="H58" s="155"/>
      <c r="I58" s="155"/>
      <c r="J58" s="1"/>
      <c r="K58" s="1"/>
      <c r="L58" s="1"/>
      <c r="M58" s="1"/>
    </row>
    <row r="59" ht="14.25" customHeight="1">
      <c r="A59" s="52"/>
      <c r="B59" s="53"/>
      <c r="C59" s="53"/>
      <c r="D59" s="1"/>
      <c r="E59" s="1"/>
      <c r="F59" s="1"/>
      <c r="G59" s="1"/>
      <c r="H59" s="155"/>
      <c r="I59" s="155"/>
      <c r="J59" s="1"/>
      <c r="K59" s="1"/>
      <c r="L59" s="1"/>
      <c r="M59" s="1"/>
    </row>
    <row r="60" ht="14.25" customHeight="1">
      <c r="A60" s="52"/>
      <c r="B60" s="53"/>
      <c r="C60" s="53"/>
      <c r="D60" s="1"/>
      <c r="E60" s="1"/>
      <c r="F60" s="1"/>
      <c r="G60" s="1"/>
      <c r="H60" s="155"/>
      <c r="I60" s="155"/>
      <c r="J60" s="1"/>
      <c r="K60" s="1"/>
      <c r="L60" s="1"/>
      <c r="M60" s="1"/>
    </row>
    <row r="61" ht="14.25" customHeight="1">
      <c r="A61" s="52"/>
      <c r="B61" s="53"/>
      <c r="C61" s="53"/>
      <c r="D61" s="1"/>
      <c r="E61" s="1"/>
      <c r="F61" s="1"/>
      <c r="G61" s="1"/>
      <c r="H61" s="155"/>
      <c r="I61" s="155"/>
      <c r="J61" s="1"/>
      <c r="K61" s="1"/>
      <c r="L61" s="1"/>
      <c r="M61" s="1"/>
    </row>
    <row r="62" ht="14.25" customHeight="1">
      <c r="A62" s="52"/>
      <c r="B62" s="53"/>
      <c r="C62" s="53"/>
      <c r="D62" s="1"/>
      <c r="E62" s="1"/>
      <c r="F62" s="1"/>
      <c r="G62" s="1"/>
      <c r="H62" s="155"/>
      <c r="I62" s="155"/>
      <c r="J62" s="1"/>
      <c r="K62" s="1"/>
      <c r="L62" s="1"/>
      <c r="M62" s="1"/>
    </row>
    <row r="63" ht="14.25" customHeight="1">
      <c r="A63" s="52"/>
      <c r="B63" s="53"/>
      <c r="C63" s="53"/>
      <c r="D63" s="1"/>
      <c r="E63" s="1"/>
      <c r="F63" s="1"/>
      <c r="G63" s="1"/>
      <c r="H63" s="155"/>
      <c r="I63" s="155"/>
      <c r="J63" s="1"/>
      <c r="K63" s="1"/>
      <c r="L63" s="1"/>
      <c r="M63" s="1"/>
    </row>
    <row r="64" ht="14.25" customHeight="1">
      <c r="A64" s="52"/>
      <c r="B64" s="53"/>
      <c r="C64" s="53"/>
      <c r="D64" s="1"/>
      <c r="E64" s="1"/>
      <c r="F64" s="1"/>
      <c r="G64" s="1"/>
      <c r="H64" s="155"/>
      <c r="I64" s="155"/>
      <c r="J64" s="1"/>
      <c r="K64" s="1"/>
      <c r="L64" s="1"/>
      <c r="M64" s="1"/>
    </row>
    <row r="65" ht="14.25" customHeight="1">
      <c r="A65" s="52"/>
      <c r="B65" s="53"/>
      <c r="C65" s="53"/>
      <c r="D65" s="1"/>
      <c r="E65" s="1"/>
      <c r="F65" s="1"/>
      <c r="G65" s="1"/>
      <c r="H65" s="155"/>
      <c r="I65" s="155"/>
      <c r="J65" s="1"/>
      <c r="K65" s="1"/>
      <c r="L65" s="1"/>
      <c r="M65" s="1"/>
    </row>
    <row r="66" ht="14.25" customHeight="1">
      <c r="A66" s="52"/>
      <c r="B66" s="53"/>
      <c r="C66" s="53"/>
      <c r="D66" s="1"/>
      <c r="E66" s="1"/>
      <c r="F66" s="1"/>
      <c r="G66" s="1"/>
      <c r="H66" s="155"/>
      <c r="I66" s="155"/>
      <c r="J66" s="1"/>
      <c r="K66" s="1"/>
      <c r="L66" s="1"/>
      <c r="M66" s="1"/>
    </row>
    <row r="67" ht="14.25" customHeight="1">
      <c r="A67" s="52"/>
      <c r="B67" s="53"/>
      <c r="C67" s="53"/>
      <c r="D67" s="1"/>
      <c r="E67" s="1"/>
      <c r="F67" s="1"/>
      <c r="G67" s="1"/>
      <c r="H67" s="155"/>
      <c r="I67" s="155"/>
      <c r="J67" s="1"/>
      <c r="K67" s="1"/>
      <c r="L67" s="1"/>
      <c r="M67" s="1"/>
    </row>
    <row r="68" ht="14.25" customHeight="1">
      <c r="A68" s="52"/>
      <c r="B68" s="53"/>
      <c r="C68" s="53"/>
      <c r="D68" s="1"/>
      <c r="E68" s="1"/>
      <c r="F68" s="1"/>
      <c r="G68" s="1"/>
      <c r="H68" s="155"/>
      <c r="I68" s="155"/>
      <c r="J68" s="1"/>
      <c r="K68" s="1"/>
      <c r="L68" s="1"/>
      <c r="M68" s="1"/>
    </row>
    <row r="69" ht="14.25" customHeight="1">
      <c r="A69" s="52"/>
      <c r="B69" s="53"/>
      <c r="C69" s="53"/>
      <c r="D69" s="1"/>
      <c r="E69" s="1"/>
      <c r="F69" s="1"/>
      <c r="G69" s="1"/>
      <c r="H69" s="155"/>
      <c r="I69" s="155"/>
      <c r="J69" s="1"/>
      <c r="K69" s="1"/>
      <c r="L69" s="1"/>
      <c r="M69" s="1"/>
    </row>
    <row r="70" ht="14.25" customHeight="1">
      <c r="A70" s="52"/>
      <c r="B70" s="53"/>
      <c r="C70" s="53"/>
      <c r="D70" s="1"/>
      <c r="E70" s="1"/>
      <c r="F70" s="1"/>
      <c r="G70" s="1"/>
      <c r="H70" s="155"/>
      <c r="I70" s="155"/>
      <c r="J70" s="1"/>
      <c r="K70" s="1"/>
      <c r="L70" s="1"/>
      <c r="M70" s="1"/>
    </row>
    <row r="71" ht="14.25" customHeight="1">
      <c r="A71" s="52"/>
      <c r="B71" s="53"/>
      <c r="C71" s="53"/>
      <c r="D71" s="1"/>
      <c r="E71" s="1"/>
      <c r="F71" s="1"/>
      <c r="G71" s="1"/>
      <c r="H71" s="155"/>
      <c r="I71" s="155"/>
      <c r="J71" s="1"/>
      <c r="K71" s="1"/>
      <c r="L71" s="1"/>
      <c r="M71" s="1"/>
    </row>
    <row r="72" ht="14.25" customHeight="1">
      <c r="A72" s="52"/>
      <c r="B72" s="53"/>
      <c r="C72" s="53"/>
      <c r="D72" s="1"/>
      <c r="E72" s="1"/>
      <c r="F72" s="1"/>
      <c r="G72" s="1"/>
      <c r="H72" s="155"/>
      <c r="I72" s="155"/>
      <c r="J72" s="1"/>
      <c r="K72" s="1"/>
      <c r="L72" s="1"/>
      <c r="M72" s="1"/>
    </row>
    <row r="73" ht="14.25" customHeight="1">
      <c r="A73" s="52"/>
      <c r="B73" s="53"/>
      <c r="C73" s="53"/>
      <c r="D73" s="1"/>
      <c r="E73" s="1"/>
      <c r="F73" s="1"/>
      <c r="G73" s="1"/>
      <c r="H73" s="155"/>
      <c r="I73" s="155"/>
      <c r="J73" s="1"/>
      <c r="K73" s="1"/>
      <c r="L73" s="1"/>
      <c r="M73" s="1"/>
    </row>
    <row r="74" ht="14.25" customHeight="1">
      <c r="A74" s="52"/>
      <c r="B74" s="53"/>
      <c r="C74" s="53"/>
      <c r="D74" s="1"/>
      <c r="E74" s="1"/>
      <c r="F74" s="1"/>
      <c r="G74" s="1"/>
      <c r="H74" s="155"/>
      <c r="I74" s="155"/>
      <c r="J74" s="1"/>
      <c r="K74" s="1"/>
      <c r="L74" s="1"/>
      <c r="M74" s="1"/>
    </row>
    <row r="75" ht="14.25" customHeight="1">
      <c r="A75" s="52"/>
      <c r="B75" s="53"/>
      <c r="C75" s="53"/>
      <c r="D75" s="1"/>
      <c r="E75" s="1"/>
      <c r="F75" s="1"/>
      <c r="G75" s="1"/>
      <c r="H75" s="155"/>
      <c r="I75" s="155"/>
      <c r="J75" s="1"/>
      <c r="K75" s="1"/>
      <c r="L75" s="1"/>
      <c r="M75" s="1"/>
    </row>
    <row r="76" ht="14.25" customHeight="1">
      <c r="A76" s="52"/>
      <c r="B76" s="53"/>
      <c r="C76" s="53"/>
      <c r="D76" s="1"/>
      <c r="E76" s="1"/>
      <c r="F76" s="1"/>
      <c r="G76" s="1"/>
      <c r="H76" s="155"/>
      <c r="I76" s="155"/>
      <c r="J76" s="1"/>
      <c r="K76" s="1"/>
      <c r="L76" s="1"/>
      <c r="M76" s="1"/>
    </row>
    <row r="77" ht="14.25" customHeight="1">
      <c r="A77" s="52"/>
      <c r="B77" s="53"/>
      <c r="C77" s="53"/>
      <c r="D77" s="1"/>
      <c r="E77" s="1"/>
      <c r="F77" s="1"/>
      <c r="G77" s="1"/>
      <c r="H77" s="155"/>
      <c r="I77" s="155"/>
      <c r="J77" s="1"/>
      <c r="K77" s="1"/>
      <c r="L77" s="1"/>
      <c r="M77" s="1"/>
    </row>
    <row r="78" ht="14.25" customHeight="1">
      <c r="A78" s="52"/>
      <c r="B78" s="53"/>
      <c r="C78" s="53"/>
      <c r="D78" s="1"/>
      <c r="E78" s="1"/>
      <c r="F78" s="1"/>
      <c r="G78" s="1"/>
      <c r="H78" s="155"/>
      <c r="I78" s="155"/>
      <c r="J78" s="1"/>
      <c r="K78" s="1"/>
      <c r="L78" s="1"/>
      <c r="M78" s="1"/>
    </row>
    <row r="79" ht="14.25" customHeight="1">
      <c r="A79" s="52"/>
      <c r="B79" s="53"/>
      <c r="C79" s="53"/>
      <c r="D79" s="1"/>
      <c r="E79" s="1"/>
      <c r="F79" s="1"/>
      <c r="G79" s="1"/>
      <c r="H79" s="155"/>
      <c r="I79" s="155"/>
      <c r="J79" s="1"/>
      <c r="K79" s="1"/>
      <c r="L79" s="1"/>
      <c r="M79" s="1"/>
    </row>
    <row r="80" ht="14.25" customHeight="1">
      <c r="A80" s="52"/>
      <c r="B80" s="53"/>
      <c r="C80" s="53"/>
      <c r="D80" s="1"/>
      <c r="E80" s="1"/>
      <c r="F80" s="1"/>
      <c r="G80" s="1"/>
      <c r="H80" s="155"/>
      <c r="I80" s="155"/>
      <c r="J80" s="1"/>
      <c r="K80" s="1"/>
      <c r="L80" s="1"/>
      <c r="M80" s="1"/>
    </row>
    <row r="81" ht="14.25" customHeight="1">
      <c r="A81" s="52"/>
      <c r="B81" s="53"/>
      <c r="C81" s="53"/>
      <c r="D81" s="1"/>
      <c r="E81" s="1"/>
      <c r="F81" s="1"/>
      <c r="G81" s="1"/>
      <c r="H81" s="155"/>
      <c r="I81" s="155"/>
      <c r="J81" s="1"/>
      <c r="K81" s="1"/>
      <c r="L81" s="1"/>
      <c r="M81" s="1"/>
    </row>
    <row r="82" ht="14.25" customHeight="1">
      <c r="A82" s="52"/>
      <c r="B82" s="53"/>
      <c r="C82" s="53"/>
      <c r="D82" s="1"/>
      <c r="E82" s="1"/>
      <c r="F82" s="1"/>
      <c r="G82" s="1"/>
      <c r="H82" s="155"/>
      <c r="I82" s="155"/>
      <c r="J82" s="1"/>
      <c r="K82" s="1"/>
      <c r="L82" s="1"/>
      <c r="M82" s="1"/>
    </row>
    <row r="83" ht="14.25" customHeight="1">
      <c r="A83" s="52"/>
      <c r="B83" s="53"/>
      <c r="C83" s="53"/>
      <c r="D83" s="1"/>
      <c r="E83" s="1"/>
      <c r="F83" s="1"/>
      <c r="G83" s="1"/>
      <c r="H83" s="155"/>
      <c r="I83" s="155"/>
      <c r="J83" s="1"/>
      <c r="K83" s="1"/>
      <c r="L83" s="1"/>
      <c r="M83" s="1"/>
    </row>
    <row r="84" ht="14.25" customHeight="1">
      <c r="A84" s="52"/>
      <c r="B84" s="53"/>
      <c r="C84" s="53"/>
      <c r="D84" s="1"/>
      <c r="E84" s="1"/>
      <c r="F84" s="1"/>
      <c r="G84" s="1"/>
      <c r="H84" s="155"/>
      <c r="I84" s="155"/>
      <c r="J84" s="1"/>
      <c r="K84" s="1"/>
      <c r="L84" s="1"/>
      <c r="M84" s="1"/>
    </row>
    <row r="85" ht="14.25" customHeight="1">
      <c r="A85" s="52"/>
      <c r="B85" s="53"/>
      <c r="C85" s="53"/>
      <c r="D85" s="1"/>
      <c r="E85" s="1"/>
      <c r="F85" s="1"/>
      <c r="G85" s="1"/>
      <c r="H85" s="155"/>
      <c r="I85" s="155"/>
      <c r="J85" s="1"/>
      <c r="K85" s="1"/>
      <c r="L85" s="1"/>
      <c r="M85" s="1"/>
    </row>
    <row r="86" ht="14.25" customHeight="1">
      <c r="A86" s="52"/>
      <c r="B86" s="53"/>
      <c r="C86" s="53"/>
      <c r="D86" s="1"/>
      <c r="E86" s="1"/>
      <c r="F86" s="1"/>
      <c r="G86" s="1"/>
      <c r="H86" s="155"/>
      <c r="I86" s="155"/>
      <c r="J86" s="1"/>
      <c r="K86" s="1"/>
      <c r="L86" s="1"/>
      <c r="M86" s="1"/>
    </row>
    <row r="87" ht="14.25" customHeight="1">
      <c r="A87" s="52"/>
      <c r="B87" s="53"/>
      <c r="C87" s="53"/>
      <c r="D87" s="1"/>
      <c r="E87" s="1"/>
      <c r="F87" s="1"/>
      <c r="G87" s="1"/>
      <c r="H87" s="155"/>
      <c r="I87" s="155"/>
      <c r="J87" s="1"/>
      <c r="K87" s="1"/>
      <c r="L87" s="1"/>
      <c r="M87" s="1"/>
    </row>
    <row r="88" ht="14.25" customHeight="1">
      <c r="A88" s="52"/>
      <c r="B88" s="53"/>
      <c r="C88" s="53"/>
      <c r="D88" s="1"/>
      <c r="E88" s="1"/>
      <c r="F88" s="1"/>
      <c r="G88" s="1"/>
      <c r="H88" s="155"/>
      <c r="I88" s="155"/>
      <c r="J88" s="1"/>
      <c r="K88" s="1"/>
      <c r="L88" s="1"/>
      <c r="M88" s="1"/>
    </row>
    <row r="89" ht="14.25" customHeight="1">
      <c r="A89" s="52"/>
      <c r="B89" s="53"/>
      <c r="C89" s="53"/>
      <c r="D89" s="1"/>
      <c r="E89" s="1"/>
      <c r="F89" s="1"/>
      <c r="G89" s="1"/>
      <c r="H89" s="155"/>
      <c r="I89" s="155"/>
      <c r="J89" s="1"/>
      <c r="K89" s="1"/>
      <c r="L89" s="1"/>
      <c r="M89" s="1"/>
    </row>
    <row r="90" ht="14.25" customHeight="1">
      <c r="A90" s="52"/>
      <c r="B90" s="53"/>
      <c r="C90" s="53"/>
      <c r="D90" s="1"/>
      <c r="E90" s="1"/>
      <c r="F90" s="1"/>
      <c r="G90" s="1"/>
      <c r="H90" s="155"/>
      <c r="I90" s="155"/>
      <c r="J90" s="1"/>
      <c r="K90" s="1"/>
      <c r="L90" s="1"/>
      <c r="M90" s="1"/>
    </row>
    <row r="91" ht="14.25" customHeight="1">
      <c r="A91" s="52"/>
      <c r="B91" s="53"/>
      <c r="C91" s="53"/>
      <c r="D91" s="1"/>
      <c r="E91" s="1"/>
      <c r="F91" s="1"/>
      <c r="G91" s="1"/>
      <c r="H91" s="155"/>
      <c r="I91" s="155"/>
      <c r="J91" s="1"/>
      <c r="K91" s="1"/>
      <c r="L91" s="1"/>
      <c r="M91" s="1"/>
    </row>
    <row r="92" ht="14.25" customHeight="1">
      <c r="A92" s="52"/>
      <c r="B92" s="53"/>
      <c r="C92" s="53"/>
      <c r="D92" s="1"/>
      <c r="E92" s="1"/>
      <c r="F92" s="1"/>
      <c r="G92" s="1"/>
      <c r="H92" s="155"/>
      <c r="I92" s="155"/>
      <c r="J92" s="1"/>
      <c r="K92" s="1"/>
      <c r="L92" s="1"/>
      <c r="M92" s="1"/>
    </row>
    <row r="93" ht="14.25" customHeight="1">
      <c r="A93" s="52"/>
      <c r="B93" s="53"/>
      <c r="C93" s="53"/>
      <c r="D93" s="1"/>
      <c r="E93" s="1"/>
      <c r="F93" s="1"/>
      <c r="G93" s="1"/>
      <c r="H93" s="155"/>
      <c r="I93" s="155"/>
      <c r="J93" s="1"/>
      <c r="K93" s="1"/>
      <c r="L93" s="1"/>
      <c r="M93" s="1"/>
    </row>
    <row r="94" ht="14.25" customHeight="1">
      <c r="A94" s="52"/>
      <c r="B94" s="53"/>
      <c r="C94" s="53"/>
      <c r="D94" s="1"/>
      <c r="E94" s="1"/>
      <c r="F94" s="1"/>
      <c r="G94" s="1"/>
      <c r="H94" s="155"/>
      <c r="I94" s="155"/>
      <c r="J94" s="1"/>
      <c r="K94" s="1"/>
      <c r="L94" s="1"/>
      <c r="M94" s="1"/>
    </row>
    <row r="95" ht="14.25" customHeight="1">
      <c r="A95" s="52"/>
      <c r="B95" s="53"/>
      <c r="C95" s="53"/>
      <c r="D95" s="1"/>
      <c r="E95" s="1"/>
      <c r="F95" s="1"/>
      <c r="G95" s="1"/>
      <c r="H95" s="155"/>
      <c r="I95" s="155"/>
      <c r="J95" s="1"/>
      <c r="K95" s="1"/>
      <c r="L95" s="1"/>
      <c r="M95" s="1"/>
    </row>
    <row r="96" ht="14.25" customHeight="1">
      <c r="A96" s="52"/>
      <c r="B96" s="53"/>
      <c r="C96" s="53"/>
      <c r="D96" s="1"/>
      <c r="E96" s="1"/>
      <c r="F96" s="1"/>
      <c r="G96" s="1"/>
      <c r="H96" s="155"/>
      <c r="I96" s="155"/>
      <c r="J96" s="1"/>
      <c r="K96" s="1"/>
      <c r="L96" s="1"/>
      <c r="M96" s="1"/>
    </row>
    <row r="97" ht="14.25" customHeight="1">
      <c r="A97" s="52"/>
      <c r="B97" s="53"/>
      <c r="C97" s="53"/>
      <c r="D97" s="1"/>
      <c r="E97" s="1"/>
      <c r="F97" s="1"/>
      <c r="G97" s="1"/>
      <c r="H97" s="155"/>
      <c r="I97" s="155"/>
      <c r="J97" s="1"/>
      <c r="K97" s="1"/>
      <c r="L97" s="1"/>
      <c r="M97" s="1"/>
    </row>
    <row r="98" ht="14.25" customHeight="1">
      <c r="A98" s="52"/>
      <c r="B98" s="53"/>
      <c r="C98" s="53"/>
      <c r="D98" s="1"/>
      <c r="E98" s="1"/>
      <c r="F98" s="1"/>
      <c r="G98" s="1"/>
      <c r="H98" s="155"/>
      <c r="I98" s="155"/>
      <c r="J98" s="1"/>
      <c r="K98" s="1"/>
      <c r="L98" s="1"/>
      <c r="M98" s="1"/>
    </row>
    <row r="99" ht="14.25" customHeight="1">
      <c r="A99" s="52"/>
      <c r="B99" s="53"/>
      <c r="C99" s="53"/>
      <c r="D99" s="1"/>
      <c r="E99" s="1"/>
      <c r="F99" s="1"/>
      <c r="G99" s="1"/>
      <c r="H99" s="155"/>
      <c r="I99" s="155"/>
      <c r="J99" s="1"/>
      <c r="K99" s="1"/>
      <c r="L99" s="1"/>
      <c r="M99" s="1"/>
    </row>
    <row r="100" ht="14.25" customHeight="1">
      <c r="A100" s="52"/>
      <c r="B100" s="53"/>
      <c r="C100" s="53"/>
      <c r="D100" s="1"/>
      <c r="E100" s="1"/>
      <c r="F100" s="1"/>
      <c r="G100" s="1"/>
      <c r="H100" s="155"/>
      <c r="I100" s="155"/>
      <c r="J100" s="1"/>
      <c r="K100" s="1"/>
      <c r="L100" s="1"/>
      <c r="M100" s="1"/>
    </row>
    <row r="101" ht="14.25" customHeight="1">
      <c r="A101" s="52"/>
      <c r="B101" s="53"/>
      <c r="C101" s="53"/>
      <c r="D101" s="1"/>
      <c r="E101" s="1"/>
      <c r="F101" s="1"/>
      <c r="G101" s="1"/>
      <c r="H101" s="155"/>
      <c r="I101" s="155"/>
      <c r="J101" s="1"/>
      <c r="K101" s="1"/>
      <c r="L101" s="1"/>
      <c r="M101" s="1"/>
    </row>
    <row r="102" ht="14.25" customHeight="1">
      <c r="A102" s="52"/>
      <c r="B102" s="53"/>
      <c r="C102" s="53"/>
      <c r="D102" s="1"/>
      <c r="E102" s="1"/>
      <c r="F102" s="1"/>
      <c r="G102" s="1"/>
      <c r="H102" s="155"/>
      <c r="I102" s="155"/>
      <c r="J102" s="1"/>
      <c r="K102" s="1"/>
      <c r="L102" s="1"/>
      <c r="M102" s="1"/>
    </row>
    <row r="103" ht="14.25" customHeight="1">
      <c r="A103" s="52"/>
      <c r="B103" s="53"/>
      <c r="C103" s="53"/>
      <c r="D103" s="1"/>
      <c r="E103" s="1"/>
      <c r="F103" s="1"/>
      <c r="G103" s="1"/>
      <c r="H103" s="155"/>
      <c r="I103" s="155"/>
      <c r="J103" s="1"/>
      <c r="K103" s="1"/>
      <c r="L103" s="1"/>
      <c r="M103" s="1"/>
    </row>
    <row r="104" ht="14.25" customHeight="1">
      <c r="A104" s="52"/>
      <c r="B104" s="53"/>
      <c r="C104" s="53"/>
      <c r="D104" s="1"/>
      <c r="E104" s="1"/>
      <c r="F104" s="1"/>
      <c r="G104" s="1"/>
      <c r="H104" s="155"/>
      <c r="I104" s="155"/>
      <c r="J104" s="1"/>
      <c r="K104" s="1"/>
      <c r="L104" s="1"/>
      <c r="M104" s="1"/>
    </row>
    <row r="105" ht="14.25" customHeight="1">
      <c r="A105" s="52"/>
      <c r="B105" s="53"/>
      <c r="C105" s="53"/>
      <c r="D105" s="1"/>
      <c r="E105" s="1"/>
      <c r="F105" s="1"/>
      <c r="G105" s="1"/>
      <c r="H105" s="155"/>
      <c r="I105" s="155"/>
      <c r="J105" s="1"/>
      <c r="K105" s="1"/>
      <c r="L105" s="1"/>
      <c r="M105" s="1"/>
    </row>
    <row r="106" ht="14.25" customHeight="1">
      <c r="A106" s="52"/>
      <c r="B106" s="53"/>
      <c r="C106" s="53"/>
      <c r="D106" s="1"/>
      <c r="E106" s="1"/>
      <c r="F106" s="1"/>
      <c r="G106" s="1"/>
      <c r="H106" s="155"/>
      <c r="I106" s="155"/>
      <c r="J106" s="1"/>
      <c r="K106" s="1"/>
      <c r="L106" s="1"/>
      <c r="M106" s="1"/>
    </row>
    <row r="107" ht="14.25" customHeight="1">
      <c r="A107" s="52"/>
      <c r="B107" s="53"/>
      <c r="C107" s="53"/>
      <c r="D107" s="1"/>
      <c r="E107" s="1"/>
      <c r="F107" s="1"/>
      <c r="G107" s="1"/>
      <c r="H107" s="155"/>
      <c r="I107" s="155"/>
      <c r="J107" s="1"/>
      <c r="K107" s="1"/>
      <c r="L107" s="1"/>
      <c r="M107" s="1"/>
    </row>
    <row r="108" ht="14.25" customHeight="1">
      <c r="A108" s="52"/>
      <c r="B108" s="53"/>
      <c r="C108" s="53"/>
      <c r="D108" s="1"/>
      <c r="E108" s="1"/>
      <c r="F108" s="1"/>
      <c r="G108" s="1"/>
      <c r="H108" s="155"/>
      <c r="I108" s="155"/>
      <c r="J108" s="1"/>
      <c r="K108" s="1"/>
      <c r="L108" s="1"/>
      <c r="M108" s="1"/>
    </row>
    <row r="109" ht="14.25" customHeight="1">
      <c r="A109" s="52"/>
      <c r="B109" s="53"/>
      <c r="C109" s="53"/>
      <c r="D109" s="1"/>
      <c r="E109" s="1"/>
      <c r="F109" s="1"/>
      <c r="G109" s="1"/>
      <c r="H109" s="155"/>
      <c r="I109" s="155"/>
      <c r="J109" s="1"/>
      <c r="K109" s="1"/>
      <c r="L109" s="1"/>
      <c r="M109" s="1"/>
    </row>
    <row r="110" ht="14.25" customHeight="1">
      <c r="A110" s="52"/>
      <c r="B110" s="53"/>
      <c r="C110" s="53"/>
      <c r="D110" s="1"/>
      <c r="E110" s="1"/>
      <c r="F110" s="1"/>
      <c r="G110" s="1"/>
      <c r="H110" s="155"/>
      <c r="I110" s="155"/>
      <c r="J110" s="1"/>
      <c r="K110" s="1"/>
      <c r="L110" s="1"/>
      <c r="M110" s="1"/>
    </row>
    <row r="111" ht="14.25" customHeight="1">
      <c r="A111" s="52"/>
      <c r="B111" s="53"/>
      <c r="C111" s="53"/>
      <c r="D111" s="1"/>
      <c r="E111" s="1"/>
      <c r="F111" s="1"/>
      <c r="G111" s="1"/>
      <c r="H111" s="155"/>
      <c r="I111" s="155"/>
      <c r="J111" s="1"/>
      <c r="K111" s="1"/>
      <c r="L111" s="1"/>
      <c r="M111" s="1"/>
    </row>
    <row r="112" ht="14.25" customHeight="1">
      <c r="A112" s="52"/>
      <c r="B112" s="53"/>
      <c r="C112" s="53"/>
      <c r="D112" s="1"/>
      <c r="E112" s="1"/>
      <c r="F112" s="1"/>
      <c r="G112" s="1"/>
      <c r="H112" s="155"/>
      <c r="I112" s="155"/>
      <c r="J112" s="1"/>
      <c r="K112" s="1"/>
      <c r="L112" s="1"/>
      <c r="M112" s="1"/>
    </row>
    <row r="113" ht="14.25" customHeight="1">
      <c r="A113" s="52"/>
      <c r="B113" s="53"/>
      <c r="C113" s="53"/>
      <c r="D113" s="1"/>
      <c r="E113" s="1"/>
      <c r="F113" s="1"/>
      <c r="G113" s="1"/>
      <c r="H113" s="155"/>
      <c r="I113" s="155"/>
      <c r="J113" s="1"/>
      <c r="K113" s="1"/>
      <c r="L113" s="1"/>
      <c r="M113" s="1"/>
    </row>
    <row r="114" ht="14.25" customHeight="1">
      <c r="A114" s="52"/>
      <c r="B114" s="53"/>
      <c r="C114" s="53"/>
      <c r="D114" s="1"/>
      <c r="E114" s="1"/>
      <c r="F114" s="1"/>
      <c r="G114" s="1"/>
      <c r="H114" s="155"/>
      <c r="I114" s="155"/>
      <c r="J114" s="1"/>
      <c r="K114" s="1"/>
      <c r="L114" s="1"/>
      <c r="M114" s="1"/>
    </row>
    <row r="115" ht="14.25" customHeight="1">
      <c r="A115" s="52"/>
      <c r="B115" s="53"/>
      <c r="C115" s="53"/>
      <c r="D115" s="1"/>
      <c r="E115" s="1"/>
      <c r="F115" s="1"/>
      <c r="G115" s="1"/>
      <c r="H115" s="155"/>
      <c r="I115" s="155"/>
      <c r="J115" s="1"/>
      <c r="K115" s="1"/>
      <c r="L115" s="1"/>
      <c r="M115" s="1"/>
    </row>
    <row r="116" ht="14.25" customHeight="1">
      <c r="A116" s="52"/>
      <c r="B116" s="53"/>
      <c r="C116" s="53"/>
      <c r="D116" s="1"/>
      <c r="E116" s="1"/>
      <c r="F116" s="1"/>
      <c r="G116" s="1"/>
      <c r="H116" s="155"/>
      <c r="I116" s="155"/>
      <c r="J116" s="1"/>
      <c r="K116" s="1"/>
      <c r="L116" s="1"/>
      <c r="M116" s="1"/>
    </row>
    <row r="117" ht="14.25" customHeight="1">
      <c r="A117" s="52"/>
      <c r="B117" s="53"/>
      <c r="C117" s="53"/>
      <c r="D117" s="1"/>
      <c r="E117" s="1"/>
      <c r="F117" s="1"/>
      <c r="G117" s="1"/>
      <c r="H117" s="155"/>
      <c r="I117" s="155"/>
      <c r="J117" s="1"/>
      <c r="K117" s="1"/>
      <c r="L117" s="1"/>
      <c r="M117" s="1"/>
    </row>
    <row r="118" ht="14.25" customHeight="1">
      <c r="A118" s="52"/>
      <c r="B118" s="53"/>
      <c r="C118" s="53"/>
      <c r="D118" s="1"/>
      <c r="E118" s="1"/>
      <c r="F118" s="1"/>
      <c r="G118" s="1"/>
      <c r="H118" s="155"/>
      <c r="I118" s="155"/>
      <c r="J118" s="1"/>
      <c r="K118" s="1"/>
      <c r="L118" s="1"/>
      <c r="M118" s="1"/>
    </row>
    <row r="119" ht="14.25" customHeight="1">
      <c r="A119" s="52"/>
      <c r="B119" s="53"/>
      <c r="C119" s="53"/>
      <c r="D119" s="1"/>
      <c r="E119" s="1"/>
      <c r="F119" s="1"/>
      <c r="G119" s="1"/>
      <c r="H119" s="155"/>
      <c r="I119" s="155"/>
      <c r="J119" s="1"/>
      <c r="K119" s="1"/>
      <c r="L119" s="1"/>
      <c r="M119" s="1"/>
    </row>
    <row r="120" ht="14.25" customHeight="1">
      <c r="A120" s="52"/>
      <c r="B120" s="53"/>
      <c r="C120" s="53"/>
      <c r="D120" s="1"/>
      <c r="E120" s="1"/>
      <c r="F120" s="1"/>
      <c r="G120" s="1"/>
      <c r="H120" s="155"/>
      <c r="I120" s="155"/>
      <c r="J120" s="1"/>
      <c r="K120" s="1"/>
      <c r="L120" s="1"/>
      <c r="M120" s="1"/>
    </row>
    <row r="121" ht="14.25" customHeight="1">
      <c r="A121" s="52"/>
      <c r="B121" s="53"/>
      <c r="C121" s="53"/>
      <c r="D121" s="1"/>
      <c r="E121" s="1"/>
      <c r="F121" s="1"/>
      <c r="G121" s="1"/>
      <c r="H121" s="155"/>
      <c r="I121" s="155"/>
      <c r="J121" s="1"/>
      <c r="K121" s="1"/>
      <c r="L121" s="1"/>
      <c r="M121" s="1"/>
    </row>
    <row r="122" ht="14.25" customHeight="1">
      <c r="A122" s="52"/>
      <c r="B122" s="53"/>
      <c r="C122" s="53"/>
      <c r="D122" s="1"/>
      <c r="E122" s="1"/>
      <c r="F122" s="1"/>
      <c r="G122" s="1"/>
      <c r="H122" s="155"/>
      <c r="I122" s="155"/>
      <c r="J122" s="1"/>
      <c r="K122" s="1"/>
      <c r="L122" s="1"/>
      <c r="M122" s="1"/>
    </row>
    <row r="123" ht="14.25" customHeight="1">
      <c r="A123" s="52"/>
      <c r="B123" s="53"/>
      <c r="C123" s="53"/>
      <c r="D123" s="1"/>
      <c r="E123" s="1"/>
      <c r="F123" s="1"/>
      <c r="G123" s="1"/>
      <c r="H123" s="155"/>
      <c r="I123" s="155"/>
      <c r="J123" s="1"/>
      <c r="K123" s="1"/>
      <c r="L123" s="1"/>
      <c r="M123" s="1"/>
    </row>
    <row r="124" ht="14.25" customHeight="1">
      <c r="A124" s="52"/>
      <c r="B124" s="53"/>
      <c r="C124" s="53"/>
      <c r="D124" s="1"/>
      <c r="E124" s="1"/>
      <c r="F124" s="1"/>
      <c r="G124" s="1"/>
      <c r="H124" s="155"/>
      <c r="I124" s="155"/>
      <c r="J124" s="1"/>
      <c r="K124" s="1"/>
      <c r="L124" s="1"/>
      <c r="M124" s="1"/>
    </row>
    <row r="125" ht="14.25" customHeight="1">
      <c r="A125" s="52"/>
      <c r="B125" s="53"/>
      <c r="C125" s="53"/>
      <c r="D125" s="1"/>
      <c r="E125" s="1"/>
      <c r="F125" s="1"/>
      <c r="G125" s="1"/>
      <c r="H125" s="155"/>
      <c r="I125" s="155"/>
      <c r="J125" s="1"/>
      <c r="K125" s="1"/>
      <c r="L125" s="1"/>
      <c r="M125" s="1"/>
    </row>
    <row r="126" ht="14.25" customHeight="1">
      <c r="A126" s="52"/>
      <c r="B126" s="53"/>
      <c r="C126" s="53"/>
      <c r="D126" s="1"/>
      <c r="E126" s="1"/>
      <c r="F126" s="1"/>
      <c r="G126" s="1"/>
      <c r="H126" s="155"/>
      <c r="I126" s="155"/>
      <c r="J126" s="1"/>
      <c r="K126" s="1"/>
      <c r="L126" s="1"/>
      <c r="M126" s="1"/>
    </row>
    <row r="127" ht="14.25" customHeight="1">
      <c r="A127" s="52"/>
      <c r="B127" s="53"/>
      <c r="C127" s="53"/>
      <c r="D127" s="1"/>
      <c r="E127" s="1"/>
      <c r="F127" s="1"/>
      <c r="G127" s="1"/>
      <c r="H127" s="155"/>
      <c r="I127" s="155"/>
      <c r="J127" s="1"/>
      <c r="K127" s="1"/>
      <c r="L127" s="1"/>
      <c r="M127" s="1"/>
    </row>
    <row r="128" ht="14.25" customHeight="1">
      <c r="A128" s="52"/>
      <c r="B128" s="53"/>
      <c r="C128" s="53"/>
      <c r="D128" s="1"/>
      <c r="E128" s="1"/>
      <c r="F128" s="1"/>
      <c r="G128" s="1"/>
      <c r="H128" s="155"/>
      <c r="I128" s="155"/>
      <c r="J128" s="1"/>
      <c r="K128" s="1"/>
      <c r="L128" s="1"/>
      <c r="M128" s="1"/>
    </row>
    <row r="129" ht="14.25" customHeight="1">
      <c r="A129" s="52"/>
      <c r="B129" s="53"/>
      <c r="C129" s="53"/>
      <c r="D129" s="1"/>
      <c r="E129" s="1"/>
      <c r="F129" s="1"/>
      <c r="G129" s="1"/>
      <c r="H129" s="155"/>
      <c r="I129" s="155"/>
      <c r="J129" s="1"/>
      <c r="K129" s="1"/>
      <c r="L129" s="1"/>
      <c r="M129" s="1"/>
    </row>
    <row r="130" ht="14.25" customHeight="1">
      <c r="A130" s="52"/>
      <c r="B130" s="53"/>
      <c r="C130" s="53"/>
      <c r="D130" s="1"/>
      <c r="E130" s="1"/>
      <c r="F130" s="1"/>
      <c r="G130" s="1"/>
      <c r="H130" s="155"/>
      <c r="I130" s="155"/>
      <c r="J130" s="1"/>
      <c r="K130" s="1"/>
      <c r="L130" s="1"/>
      <c r="M130" s="1"/>
    </row>
    <row r="131" ht="14.25" customHeight="1">
      <c r="A131" s="52"/>
      <c r="B131" s="53"/>
      <c r="C131" s="53"/>
      <c r="D131" s="1"/>
      <c r="E131" s="1"/>
      <c r="F131" s="1"/>
      <c r="G131" s="1"/>
      <c r="H131" s="155"/>
      <c r="I131" s="155"/>
      <c r="J131" s="1"/>
      <c r="K131" s="1"/>
      <c r="L131" s="1"/>
      <c r="M131" s="1"/>
    </row>
    <row r="132" ht="14.25" customHeight="1">
      <c r="A132" s="52"/>
      <c r="B132" s="53"/>
      <c r="C132" s="53"/>
      <c r="D132" s="1"/>
      <c r="E132" s="1"/>
      <c r="F132" s="1"/>
      <c r="G132" s="1"/>
      <c r="H132" s="155"/>
      <c r="I132" s="155"/>
      <c r="J132" s="1"/>
      <c r="K132" s="1"/>
      <c r="L132" s="1"/>
      <c r="M132" s="1"/>
    </row>
    <row r="133" ht="14.25" customHeight="1">
      <c r="A133" s="52"/>
      <c r="B133" s="53"/>
      <c r="C133" s="53"/>
      <c r="D133" s="1"/>
      <c r="E133" s="1"/>
      <c r="F133" s="1"/>
      <c r="G133" s="1"/>
      <c r="H133" s="155"/>
      <c r="I133" s="155"/>
      <c r="J133" s="1"/>
      <c r="K133" s="1"/>
      <c r="L133" s="1"/>
      <c r="M133" s="1"/>
    </row>
    <row r="134" ht="14.25" customHeight="1">
      <c r="A134" s="52"/>
      <c r="B134" s="53"/>
      <c r="C134" s="53"/>
      <c r="D134" s="1"/>
      <c r="E134" s="1"/>
      <c r="F134" s="1"/>
      <c r="G134" s="1"/>
      <c r="H134" s="155"/>
      <c r="I134" s="155"/>
      <c r="J134" s="1"/>
      <c r="K134" s="1"/>
      <c r="L134" s="1"/>
      <c r="M134" s="1"/>
    </row>
    <row r="135" ht="14.25" customHeight="1">
      <c r="A135" s="52"/>
      <c r="B135" s="53"/>
      <c r="C135" s="53"/>
      <c r="D135" s="1"/>
      <c r="E135" s="1"/>
      <c r="F135" s="1"/>
      <c r="G135" s="1"/>
      <c r="H135" s="155"/>
      <c r="I135" s="155"/>
      <c r="J135" s="1"/>
      <c r="K135" s="1"/>
      <c r="L135" s="1"/>
      <c r="M135" s="1"/>
    </row>
    <row r="136" ht="14.25" customHeight="1">
      <c r="A136" s="52"/>
      <c r="B136" s="53"/>
      <c r="C136" s="53"/>
      <c r="D136" s="1"/>
      <c r="E136" s="1"/>
      <c r="F136" s="1"/>
      <c r="G136" s="1"/>
      <c r="H136" s="155"/>
      <c r="I136" s="155"/>
      <c r="J136" s="1"/>
      <c r="K136" s="1"/>
      <c r="L136" s="1"/>
      <c r="M136" s="1"/>
    </row>
    <row r="137" ht="14.25" customHeight="1">
      <c r="A137" s="52"/>
      <c r="B137" s="53"/>
      <c r="C137" s="53"/>
      <c r="D137" s="1"/>
      <c r="E137" s="1"/>
      <c r="F137" s="1"/>
      <c r="G137" s="1"/>
      <c r="H137" s="155"/>
      <c r="I137" s="155"/>
      <c r="J137" s="1"/>
      <c r="K137" s="1"/>
      <c r="L137" s="1"/>
      <c r="M137" s="1"/>
    </row>
    <row r="138" ht="14.25" customHeight="1">
      <c r="A138" s="52"/>
      <c r="B138" s="53"/>
      <c r="C138" s="53"/>
      <c r="D138" s="1"/>
      <c r="E138" s="1"/>
      <c r="F138" s="1"/>
      <c r="G138" s="1"/>
      <c r="H138" s="155"/>
      <c r="I138" s="155"/>
      <c r="J138" s="1"/>
      <c r="K138" s="1"/>
      <c r="L138" s="1"/>
      <c r="M138" s="1"/>
    </row>
    <row r="139" ht="14.25" customHeight="1">
      <c r="A139" s="52"/>
      <c r="B139" s="53"/>
      <c r="C139" s="53"/>
      <c r="D139" s="1"/>
      <c r="E139" s="1"/>
      <c r="F139" s="1"/>
      <c r="G139" s="1"/>
      <c r="H139" s="155"/>
      <c r="I139" s="155"/>
      <c r="J139" s="1"/>
      <c r="K139" s="1"/>
      <c r="L139" s="1"/>
      <c r="M139" s="1"/>
    </row>
    <row r="140" ht="14.25" customHeight="1">
      <c r="A140" s="52"/>
      <c r="B140" s="53"/>
      <c r="C140" s="53"/>
      <c r="D140" s="1"/>
      <c r="E140" s="1"/>
      <c r="F140" s="1"/>
      <c r="G140" s="1"/>
      <c r="H140" s="155"/>
      <c r="I140" s="155"/>
      <c r="J140" s="1"/>
      <c r="K140" s="1"/>
      <c r="L140" s="1"/>
      <c r="M140" s="1"/>
    </row>
    <row r="141" ht="14.25" customHeight="1">
      <c r="A141" s="52"/>
      <c r="B141" s="53"/>
      <c r="C141" s="53"/>
      <c r="D141" s="1"/>
      <c r="E141" s="1"/>
      <c r="F141" s="1"/>
      <c r="G141" s="1"/>
      <c r="H141" s="155"/>
      <c r="I141" s="155"/>
      <c r="J141" s="1"/>
      <c r="K141" s="1"/>
      <c r="L141" s="1"/>
      <c r="M141" s="1"/>
    </row>
    <row r="142" ht="14.25" customHeight="1">
      <c r="A142" s="52"/>
      <c r="B142" s="53"/>
      <c r="C142" s="53"/>
      <c r="D142" s="1"/>
      <c r="E142" s="1"/>
      <c r="F142" s="1"/>
      <c r="G142" s="1"/>
      <c r="H142" s="155"/>
      <c r="I142" s="155"/>
      <c r="J142" s="1"/>
      <c r="K142" s="1"/>
      <c r="L142" s="1"/>
      <c r="M142" s="1"/>
    </row>
    <row r="143" ht="14.25" customHeight="1">
      <c r="A143" s="52"/>
      <c r="B143" s="53"/>
      <c r="C143" s="53"/>
      <c r="D143" s="1"/>
      <c r="E143" s="1"/>
      <c r="F143" s="1"/>
      <c r="G143" s="1"/>
      <c r="H143" s="155"/>
      <c r="I143" s="155"/>
      <c r="J143" s="1"/>
      <c r="K143" s="1"/>
      <c r="L143" s="1"/>
      <c r="M143" s="1"/>
    </row>
    <row r="144" ht="14.25" customHeight="1">
      <c r="A144" s="52"/>
      <c r="B144" s="53"/>
      <c r="C144" s="53"/>
      <c r="D144" s="1"/>
      <c r="E144" s="1"/>
      <c r="F144" s="1"/>
      <c r="G144" s="1"/>
      <c r="H144" s="155"/>
      <c r="I144" s="155"/>
      <c r="J144" s="1"/>
      <c r="K144" s="1"/>
      <c r="L144" s="1"/>
      <c r="M144" s="1"/>
    </row>
    <row r="145" ht="14.25" customHeight="1">
      <c r="A145" s="52"/>
      <c r="B145" s="53"/>
      <c r="C145" s="53"/>
      <c r="D145" s="1"/>
      <c r="E145" s="1"/>
      <c r="F145" s="1"/>
      <c r="G145" s="1"/>
      <c r="H145" s="155"/>
      <c r="I145" s="155"/>
      <c r="J145" s="1"/>
      <c r="K145" s="1"/>
      <c r="L145" s="1"/>
      <c r="M145" s="1"/>
    </row>
    <row r="146" ht="14.25" customHeight="1">
      <c r="A146" s="52"/>
      <c r="B146" s="53"/>
      <c r="C146" s="53"/>
      <c r="D146" s="1"/>
      <c r="E146" s="1"/>
      <c r="F146" s="1"/>
      <c r="G146" s="1"/>
      <c r="H146" s="155"/>
      <c r="I146" s="155"/>
      <c r="J146" s="1"/>
      <c r="K146" s="1"/>
      <c r="L146" s="1"/>
      <c r="M146" s="1"/>
    </row>
    <row r="147" ht="14.25" customHeight="1">
      <c r="A147" s="52"/>
      <c r="B147" s="53"/>
      <c r="C147" s="53"/>
      <c r="D147" s="1"/>
      <c r="E147" s="1"/>
      <c r="F147" s="1"/>
      <c r="G147" s="1"/>
      <c r="H147" s="155"/>
      <c r="I147" s="155"/>
      <c r="J147" s="1"/>
      <c r="K147" s="1"/>
      <c r="L147" s="1"/>
      <c r="M147" s="1"/>
    </row>
    <row r="148" ht="14.25" customHeight="1">
      <c r="A148" s="52"/>
      <c r="B148" s="53"/>
      <c r="C148" s="53"/>
      <c r="D148" s="1"/>
      <c r="E148" s="1"/>
      <c r="F148" s="1"/>
      <c r="G148" s="1"/>
      <c r="H148" s="155"/>
      <c r="I148" s="155"/>
      <c r="J148" s="1"/>
      <c r="K148" s="1"/>
      <c r="L148" s="1"/>
      <c r="M148" s="1"/>
    </row>
    <row r="149" ht="14.25" customHeight="1">
      <c r="A149" s="52"/>
      <c r="B149" s="53"/>
      <c r="C149" s="53"/>
      <c r="D149" s="1"/>
      <c r="E149" s="1"/>
      <c r="F149" s="1"/>
      <c r="G149" s="1"/>
      <c r="H149" s="155"/>
      <c r="I149" s="155"/>
      <c r="J149" s="1"/>
      <c r="K149" s="1"/>
      <c r="L149" s="1"/>
      <c r="M149" s="1"/>
    </row>
    <row r="150" ht="14.25" customHeight="1">
      <c r="A150" s="52"/>
      <c r="B150" s="53"/>
      <c r="C150" s="53"/>
      <c r="D150" s="1"/>
      <c r="E150" s="1"/>
      <c r="F150" s="1"/>
      <c r="G150" s="1"/>
      <c r="H150" s="155"/>
      <c r="I150" s="155"/>
      <c r="J150" s="1"/>
      <c r="K150" s="1"/>
      <c r="L150" s="1"/>
      <c r="M150" s="1"/>
    </row>
    <row r="151" ht="14.25" customHeight="1">
      <c r="A151" s="52"/>
      <c r="B151" s="53"/>
      <c r="C151" s="53"/>
      <c r="D151" s="1"/>
      <c r="E151" s="1"/>
      <c r="F151" s="1"/>
      <c r="G151" s="1"/>
      <c r="H151" s="155"/>
      <c r="I151" s="155"/>
      <c r="J151" s="1"/>
      <c r="K151" s="1"/>
      <c r="L151" s="1"/>
      <c r="M151" s="1"/>
    </row>
    <row r="152" ht="14.25" customHeight="1">
      <c r="A152" s="52"/>
      <c r="B152" s="53"/>
      <c r="C152" s="53"/>
      <c r="D152" s="1"/>
      <c r="E152" s="1"/>
      <c r="F152" s="1"/>
      <c r="G152" s="1"/>
      <c r="H152" s="155"/>
      <c r="I152" s="155"/>
      <c r="J152" s="1"/>
      <c r="K152" s="1"/>
      <c r="L152" s="1"/>
      <c r="M152" s="1"/>
    </row>
    <row r="153" ht="14.25" customHeight="1">
      <c r="A153" s="52"/>
      <c r="B153" s="53"/>
      <c r="C153" s="53"/>
      <c r="D153" s="1"/>
      <c r="E153" s="1"/>
      <c r="F153" s="1"/>
      <c r="G153" s="1"/>
      <c r="H153" s="155"/>
      <c r="I153" s="155"/>
      <c r="J153" s="1"/>
      <c r="K153" s="1"/>
      <c r="L153" s="1"/>
      <c r="M153" s="1"/>
    </row>
    <row r="154" ht="14.25" customHeight="1">
      <c r="A154" s="52"/>
      <c r="B154" s="53"/>
      <c r="C154" s="53"/>
      <c r="D154" s="1"/>
      <c r="E154" s="1"/>
      <c r="F154" s="1"/>
      <c r="G154" s="1"/>
      <c r="H154" s="155"/>
      <c r="I154" s="155"/>
      <c r="J154" s="1"/>
      <c r="K154" s="1"/>
      <c r="L154" s="1"/>
      <c r="M154" s="1"/>
    </row>
    <row r="155" ht="14.25" customHeight="1">
      <c r="A155" s="52"/>
      <c r="B155" s="53"/>
      <c r="C155" s="53"/>
      <c r="D155" s="1"/>
      <c r="E155" s="1"/>
      <c r="F155" s="1"/>
      <c r="G155" s="1"/>
      <c r="H155" s="155"/>
      <c r="I155" s="155"/>
      <c r="J155" s="1"/>
      <c r="K155" s="1"/>
      <c r="L155" s="1"/>
      <c r="M155" s="1"/>
    </row>
    <row r="156" ht="14.25" customHeight="1">
      <c r="A156" s="52"/>
      <c r="B156" s="53"/>
      <c r="C156" s="53"/>
      <c r="D156" s="1"/>
      <c r="E156" s="1"/>
      <c r="F156" s="1"/>
      <c r="G156" s="1"/>
      <c r="H156" s="155"/>
      <c r="I156" s="155"/>
      <c r="J156" s="1"/>
      <c r="K156" s="1"/>
      <c r="L156" s="1"/>
      <c r="M156" s="1"/>
    </row>
    <row r="157" ht="14.25" customHeight="1">
      <c r="A157" s="52"/>
      <c r="B157" s="53"/>
      <c r="C157" s="53"/>
      <c r="D157" s="1"/>
      <c r="E157" s="1"/>
      <c r="F157" s="1"/>
      <c r="G157" s="1"/>
      <c r="H157" s="155"/>
      <c r="I157" s="155"/>
      <c r="J157" s="1"/>
      <c r="K157" s="1"/>
      <c r="L157" s="1"/>
      <c r="M157" s="1"/>
    </row>
    <row r="158" ht="14.25" customHeight="1">
      <c r="A158" s="52"/>
      <c r="B158" s="53"/>
      <c r="C158" s="53"/>
      <c r="D158" s="1"/>
      <c r="E158" s="1"/>
      <c r="F158" s="1"/>
      <c r="G158" s="1"/>
      <c r="H158" s="155"/>
      <c r="I158" s="155"/>
      <c r="J158" s="1"/>
      <c r="K158" s="1"/>
      <c r="L158" s="1"/>
      <c r="M158" s="1"/>
    </row>
    <row r="159" ht="14.25" customHeight="1">
      <c r="A159" s="52"/>
      <c r="B159" s="53"/>
      <c r="C159" s="53"/>
      <c r="D159" s="1"/>
      <c r="E159" s="1"/>
      <c r="F159" s="1"/>
      <c r="G159" s="1"/>
      <c r="H159" s="155"/>
      <c r="I159" s="155"/>
      <c r="J159" s="1"/>
      <c r="K159" s="1"/>
      <c r="L159" s="1"/>
      <c r="M159" s="1"/>
    </row>
    <row r="160" ht="14.25" customHeight="1">
      <c r="A160" s="52"/>
      <c r="B160" s="53"/>
      <c r="C160" s="53"/>
      <c r="D160" s="1"/>
      <c r="E160" s="1"/>
      <c r="F160" s="1"/>
      <c r="G160" s="1"/>
      <c r="H160" s="155"/>
      <c r="I160" s="155"/>
      <c r="J160" s="1"/>
      <c r="K160" s="1"/>
      <c r="L160" s="1"/>
      <c r="M160" s="1"/>
    </row>
    <row r="161" ht="14.25" customHeight="1">
      <c r="A161" s="52"/>
      <c r="B161" s="53"/>
      <c r="C161" s="53"/>
      <c r="D161" s="1"/>
      <c r="E161" s="1"/>
      <c r="F161" s="1"/>
      <c r="G161" s="1"/>
      <c r="H161" s="155"/>
      <c r="I161" s="155"/>
      <c r="J161" s="1"/>
      <c r="K161" s="1"/>
      <c r="L161" s="1"/>
      <c r="M161" s="1"/>
    </row>
    <row r="162" ht="14.25" customHeight="1">
      <c r="A162" s="52"/>
      <c r="B162" s="53"/>
      <c r="C162" s="53"/>
      <c r="D162" s="1"/>
      <c r="E162" s="1"/>
      <c r="F162" s="1"/>
      <c r="G162" s="1"/>
      <c r="H162" s="155"/>
      <c r="I162" s="155"/>
      <c r="J162" s="1"/>
      <c r="K162" s="1"/>
      <c r="L162" s="1"/>
      <c r="M162" s="1"/>
    </row>
    <row r="163" ht="14.25" customHeight="1">
      <c r="A163" s="52"/>
      <c r="B163" s="53"/>
      <c r="C163" s="53"/>
      <c r="D163" s="1"/>
      <c r="E163" s="1"/>
      <c r="F163" s="1"/>
      <c r="G163" s="1"/>
      <c r="H163" s="155"/>
      <c r="I163" s="155"/>
      <c r="J163" s="1"/>
      <c r="K163" s="1"/>
      <c r="L163" s="1"/>
      <c r="M163" s="1"/>
    </row>
    <row r="164" ht="14.25" customHeight="1">
      <c r="A164" s="52"/>
      <c r="B164" s="53"/>
      <c r="C164" s="53"/>
      <c r="D164" s="1"/>
      <c r="E164" s="1"/>
      <c r="F164" s="1"/>
      <c r="G164" s="1"/>
      <c r="H164" s="155"/>
      <c r="I164" s="155"/>
      <c r="J164" s="1"/>
      <c r="K164" s="1"/>
      <c r="L164" s="1"/>
      <c r="M164" s="1"/>
    </row>
    <row r="165" ht="14.25" customHeight="1">
      <c r="A165" s="52"/>
      <c r="B165" s="53"/>
      <c r="C165" s="53"/>
      <c r="D165" s="1"/>
      <c r="E165" s="1"/>
      <c r="F165" s="1"/>
      <c r="G165" s="1"/>
      <c r="H165" s="155"/>
      <c r="I165" s="155"/>
      <c r="J165" s="1"/>
      <c r="K165" s="1"/>
      <c r="L165" s="1"/>
      <c r="M165" s="1"/>
    </row>
    <row r="166" ht="14.25" customHeight="1">
      <c r="A166" s="52"/>
      <c r="B166" s="53"/>
      <c r="C166" s="53"/>
      <c r="D166" s="1"/>
      <c r="E166" s="1"/>
      <c r="F166" s="1"/>
      <c r="G166" s="1"/>
      <c r="H166" s="155"/>
      <c r="I166" s="155"/>
      <c r="J166" s="1"/>
      <c r="K166" s="1"/>
      <c r="L166" s="1"/>
      <c r="M166" s="1"/>
    </row>
    <row r="167" ht="14.25" customHeight="1">
      <c r="A167" s="52"/>
      <c r="B167" s="53"/>
      <c r="C167" s="53"/>
      <c r="D167" s="1"/>
      <c r="E167" s="1"/>
      <c r="F167" s="1"/>
      <c r="G167" s="1"/>
      <c r="H167" s="155"/>
      <c r="I167" s="155"/>
      <c r="J167" s="1"/>
      <c r="K167" s="1"/>
      <c r="L167" s="1"/>
      <c r="M167" s="1"/>
    </row>
    <row r="168" ht="14.25" customHeight="1">
      <c r="A168" s="52"/>
      <c r="B168" s="53"/>
      <c r="C168" s="53"/>
      <c r="D168" s="1"/>
      <c r="E168" s="1"/>
      <c r="F168" s="1"/>
      <c r="G168" s="1"/>
      <c r="H168" s="155"/>
      <c r="I168" s="155"/>
      <c r="J168" s="1"/>
      <c r="K168" s="1"/>
      <c r="L168" s="1"/>
      <c r="M168" s="1"/>
    </row>
    <row r="169" ht="14.25" customHeight="1">
      <c r="A169" s="52"/>
      <c r="B169" s="53"/>
      <c r="C169" s="53"/>
      <c r="D169" s="1"/>
      <c r="E169" s="1"/>
      <c r="F169" s="1"/>
      <c r="G169" s="1"/>
      <c r="H169" s="155"/>
      <c r="I169" s="155"/>
      <c r="J169" s="1"/>
      <c r="K169" s="1"/>
      <c r="L169" s="1"/>
      <c r="M169" s="1"/>
    </row>
    <row r="170" ht="14.25" customHeight="1">
      <c r="A170" s="52"/>
      <c r="B170" s="53"/>
      <c r="C170" s="53"/>
      <c r="D170" s="1"/>
      <c r="E170" s="1"/>
      <c r="F170" s="1"/>
      <c r="G170" s="1"/>
      <c r="H170" s="155"/>
      <c r="I170" s="155"/>
      <c r="J170" s="1"/>
      <c r="K170" s="1"/>
      <c r="L170" s="1"/>
      <c r="M170" s="1"/>
    </row>
    <row r="171" ht="14.25" customHeight="1">
      <c r="A171" s="52"/>
      <c r="B171" s="53"/>
      <c r="C171" s="53"/>
      <c r="D171" s="1"/>
      <c r="E171" s="1"/>
      <c r="F171" s="1"/>
      <c r="G171" s="1"/>
      <c r="H171" s="155"/>
      <c r="I171" s="155"/>
      <c r="J171" s="1"/>
      <c r="K171" s="1"/>
      <c r="L171" s="1"/>
      <c r="M171" s="1"/>
    </row>
    <row r="172" ht="14.25" customHeight="1">
      <c r="A172" s="52"/>
      <c r="B172" s="53"/>
      <c r="C172" s="53"/>
      <c r="D172" s="1"/>
      <c r="E172" s="1"/>
      <c r="F172" s="1"/>
      <c r="G172" s="1"/>
      <c r="H172" s="155"/>
      <c r="I172" s="155"/>
      <c r="J172" s="1"/>
      <c r="K172" s="1"/>
      <c r="L172" s="1"/>
      <c r="M172" s="1"/>
    </row>
    <row r="173" ht="14.25" customHeight="1">
      <c r="A173" s="52"/>
      <c r="B173" s="53"/>
      <c r="C173" s="53"/>
      <c r="D173" s="1"/>
      <c r="E173" s="1"/>
      <c r="F173" s="1"/>
      <c r="G173" s="1"/>
      <c r="H173" s="155"/>
      <c r="I173" s="155"/>
      <c r="J173" s="1"/>
      <c r="K173" s="1"/>
      <c r="L173" s="1"/>
      <c r="M173" s="1"/>
    </row>
    <row r="174" ht="14.25" customHeight="1">
      <c r="A174" s="52"/>
      <c r="B174" s="53"/>
      <c r="C174" s="53"/>
      <c r="D174" s="1"/>
      <c r="E174" s="1"/>
      <c r="F174" s="1"/>
      <c r="G174" s="1"/>
      <c r="H174" s="155"/>
      <c r="I174" s="155"/>
      <c r="J174" s="1"/>
      <c r="K174" s="1"/>
      <c r="L174" s="1"/>
      <c r="M174" s="1"/>
    </row>
    <row r="175" ht="14.25" customHeight="1">
      <c r="A175" s="52"/>
      <c r="B175" s="53"/>
      <c r="C175" s="53"/>
      <c r="D175" s="1"/>
      <c r="E175" s="1"/>
      <c r="F175" s="1"/>
      <c r="G175" s="1"/>
      <c r="H175" s="155"/>
      <c r="I175" s="155"/>
      <c r="J175" s="1"/>
      <c r="K175" s="1"/>
      <c r="L175" s="1"/>
      <c r="M175" s="1"/>
    </row>
    <row r="176" ht="14.25" customHeight="1">
      <c r="A176" s="52"/>
      <c r="B176" s="53"/>
      <c r="C176" s="53"/>
      <c r="D176" s="1"/>
      <c r="E176" s="1"/>
      <c r="F176" s="1"/>
      <c r="G176" s="1"/>
      <c r="H176" s="155"/>
      <c r="I176" s="155"/>
      <c r="J176" s="1"/>
      <c r="K176" s="1"/>
      <c r="L176" s="1"/>
      <c r="M176" s="1"/>
    </row>
    <row r="177" ht="14.25" customHeight="1">
      <c r="A177" s="52"/>
      <c r="B177" s="53"/>
      <c r="C177" s="53"/>
      <c r="D177" s="1"/>
      <c r="E177" s="1"/>
      <c r="F177" s="1"/>
      <c r="G177" s="1"/>
      <c r="H177" s="155"/>
      <c r="I177" s="155"/>
      <c r="J177" s="1"/>
      <c r="K177" s="1"/>
      <c r="L177" s="1"/>
      <c r="M177" s="1"/>
    </row>
    <row r="178" ht="14.25" customHeight="1">
      <c r="A178" s="52"/>
      <c r="B178" s="53"/>
      <c r="C178" s="53"/>
      <c r="D178" s="1"/>
      <c r="E178" s="1"/>
      <c r="F178" s="1"/>
      <c r="G178" s="1"/>
      <c r="H178" s="155"/>
      <c r="I178" s="155"/>
      <c r="J178" s="1"/>
      <c r="K178" s="1"/>
      <c r="L178" s="1"/>
      <c r="M178" s="1"/>
    </row>
    <row r="179" ht="14.25" customHeight="1">
      <c r="A179" s="52"/>
      <c r="B179" s="53"/>
      <c r="C179" s="53"/>
      <c r="D179" s="1"/>
      <c r="E179" s="1"/>
      <c r="F179" s="1"/>
      <c r="G179" s="1"/>
      <c r="H179" s="155"/>
      <c r="I179" s="155"/>
      <c r="J179" s="1"/>
      <c r="K179" s="1"/>
      <c r="L179" s="1"/>
      <c r="M179" s="1"/>
    </row>
    <row r="180" ht="14.25" customHeight="1">
      <c r="A180" s="52"/>
      <c r="B180" s="53"/>
      <c r="C180" s="53"/>
      <c r="D180" s="1"/>
      <c r="E180" s="1"/>
      <c r="F180" s="1"/>
      <c r="G180" s="1"/>
      <c r="H180" s="155"/>
      <c r="I180" s="155"/>
      <c r="J180" s="1"/>
      <c r="K180" s="1"/>
      <c r="L180" s="1"/>
      <c r="M180" s="1"/>
    </row>
    <row r="181" ht="14.25" customHeight="1">
      <c r="A181" s="52"/>
      <c r="B181" s="53"/>
      <c r="C181" s="53"/>
      <c r="D181" s="1"/>
      <c r="E181" s="1"/>
      <c r="F181" s="1"/>
      <c r="G181" s="1"/>
      <c r="H181" s="155"/>
      <c r="I181" s="155"/>
      <c r="J181" s="1"/>
      <c r="K181" s="1"/>
      <c r="L181" s="1"/>
      <c r="M181" s="1"/>
    </row>
    <row r="182" ht="14.25" customHeight="1">
      <c r="A182" s="52"/>
      <c r="B182" s="53"/>
      <c r="C182" s="53"/>
      <c r="D182" s="1"/>
      <c r="E182" s="1"/>
      <c r="F182" s="1"/>
      <c r="G182" s="1"/>
      <c r="H182" s="155"/>
      <c r="I182" s="155"/>
      <c r="J182" s="1"/>
      <c r="K182" s="1"/>
      <c r="L182" s="1"/>
      <c r="M182" s="1"/>
    </row>
    <row r="183" ht="14.25" customHeight="1">
      <c r="A183" s="52"/>
      <c r="B183" s="53"/>
      <c r="C183" s="53"/>
      <c r="D183" s="1"/>
      <c r="E183" s="1"/>
      <c r="F183" s="1"/>
      <c r="G183" s="1"/>
      <c r="H183" s="155"/>
      <c r="I183" s="155"/>
      <c r="J183" s="1"/>
      <c r="K183" s="1"/>
      <c r="L183" s="1"/>
      <c r="M183" s="1"/>
    </row>
    <row r="184" ht="14.25" customHeight="1">
      <c r="A184" s="52"/>
      <c r="B184" s="53"/>
      <c r="C184" s="53"/>
      <c r="D184" s="1"/>
      <c r="E184" s="1"/>
      <c r="F184" s="1"/>
      <c r="G184" s="1"/>
      <c r="H184" s="155"/>
      <c r="I184" s="155"/>
      <c r="J184" s="1"/>
      <c r="K184" s="1"/>
      <c r="L184" s="1"/>
      <c r="M184" s="1"/>
    </row>
    <row r="185" ht="14.25" customHeight="1">
      <c r="A185" s="52"/>
      <c r="B185" s="53"/>
      <c r="C185" s="53"/>
      <c r="D185" s="1"/>
      <c r="E185" s="1"/>
      <c r="F185" s="1"/>
      <c r="G185" s="1"/>
      <c r="H185" s="155"/>
      <c r="I185" s="155"/>
      <c r="J185" s="1"/>
      <c r="K185" s="1"/>
      <c r="L185" s="1"/>
      <c r="M185" s="1"/>
    </row>
    <row r="186" ht="14.25" customHeight="1">
      <c r="A186" s="52"/>
      <c r="B186" s="53"/>
      <c r="C186" s="53"/>
      <c r="D186" s="1"/>
      <c r="E186" s="1"/>
      <c r="F186" s="1"/>
      <c r="G186" s="1"/>
      <c r="H186" s="155"/>
      <c r="I186" s="155"/>
      <c r="J186" s="1"/>
      <c r="K186" s="1"/>
      <c r="L186" s="1"/>
      <c r="M186" s="1"/>
    </row>
    <row r="187" ht="14.25" customHeight="1">
      <c r="A187" s="52"/>
      <c r="B187" s="53"/>
      <c r="C187" s="53"/>
      <c r="D187" s="1"/>
      <c r="E187" s="1"/>
      <c r="F187" s="1"/>
      <c r="G187" s="1"/>
      <c r="H187" s="155"/>
      <c r="I187" s="155"/>
      <c r="J187" s="1"/>
      <c r="K187" s="1"/>
      <c r="L187" s="1"/>
      <c r="M187" s="1"/>
    </row>
    <row r="188" ht="14.25" customHeight="1">
      <c r="A188" s="52"/>
      <c r="B188" s="53"/>
      <c r="C188" s="53"/>
      <c r="D188" s="1"/>
      <c r="E188" s="1"/>
      <c r="F188" s="1"/>
      <c r="G188" s="1"/>
      <c r="H188" s="155"/>
      <c r="I188" s="155"/>
      <c r="J188" s="1"/>
      <c r="K188" s="1"/>
      <c r="L188" s="1"/>
      <c r="M188" s="1"/>
    </row>
    <row r="189" ht="14.25" customHeight="1">
      <c r="A189" s="52"/>
      <c r="B189" s="53"/>
      <c r="C189" s="53"/>
      <c r="D189" s="1"/>
      <c r="E189" s="1"/>
      <c r="F189" s="1"/>
      <c r="G189" s="1"/>
      <c r="H189" s="155"/>
      <c r="I189" s="155"/>
      <c r="J189" s="1"/>
      <c r="K189" s="1"/>
      <c r="L189" s="1"/>
      <c r="M189" s="1"/>
    </row>
    <row r="190" ht="14.25" customHeight="1">
      <c r="A190" s="52"/>
      <c r="B190" s="53"/>
      <c r="C190" s="53"/>
      <c r="D190" s="1"/>
      <c r="E190" s="1"/>
      <c r="F190" s="1"/>
      <c r="G190" s="1"/>
      <c r="H190" s="155"/>
      <c r="I190" s="155"/>
      <c r="J190" s="1"/>
      <c r="K190" s="1"/>
      <c r="L190" s="1"/>
      <c r="M190" s="1"/>
    </row>
    <row r="191" ht="14.25" customHeight="1">
      <c r="A191" s="52"/>
      <c r="B191" s="53"/>
      <c r="C191" s="53"/>
      <c r="D191" s="1"/>
      <c r="E191" s="1"/>
      <c r="F191" s="1"/>
      <c r="G191" s="1"/>
      <c r="H191" s="155"/>
      <c r="I191" s="155"/>
      <c r="J191" s="1"/>
      <c r="K191" s="1"/>
      <c r="L191" s="1"/>
      <c r="M191" s="1"/>
    </row>
    <row r="192" ht="14.25" customHeight="1">
      <c r="A192" s="52"/>
      <c r="B192" s="53"/>
      <c r="C192" s="53"/>
      <c r="D192" s="1"/>
      <c r="E192" s="1"/>
      <c r="F192" s="1"/>
      <c r="G192" s="1"/>
      <c r="H192" s="155"/>
      <c r="I192" s="155"/>
      <c r="J192" s="1"/>
      <c r="K192" s="1"/>
      <c r="L192" s="1"/>
      <c r="M192" s="1"/>
    </row>
    <row r="193" ht="14.25" customHeight="1">
      <c r="A193" s="52"/>
      <c r="B193" s="53"/>
      <c r="C193" s="53"/>
      <c r="D193" s="1"/>
      <c r="E193" s="1"/>
      <c r="F193" s="1"/>
      <c r="G193" s="1"/>
      <c r="H193" s="155"/>
      <c r="I193" s="155"/>
      <c r="J193" s="1"/>
      <c r="K193" s="1"/>
      <c r="L193" s="1"/>
      <c r="M193" s="1"/>
    </row>
    <row r="194" ht="14.25" customHeight="1">
      <c r="A194" s="52"/>
      <c r="B194" s="53"/>
      <c r="C194" s="53"/>
      <c r="D194" s="1"/>
      <c r="E194" s="1"/>
      <c r="F194" s="1"/>
      <c r="G194" s="1"/>
      <c r="H194" s="155"/>
      <c r="I194" s="155"/>
      <c r="J194" s="1"/>
      <c r="K194" s="1"/>
      <c r="L194" s="1"/>
      <c r="M194" s="1"/>
    </row>
    <row r="195" ht="14.25" customHeight="1">
      <c r="A195" s="52"/>
      <c r="B195" s="53"/>
      <c r="C195" s="53"/>
      <c r="D195" s="1"/>
      <c r="E195" s="1"/>
      <c r="F195" s="1"/>
      <c r="G195" s="1"/>
      <c r="H195" s="155"/>
      <c r="I195" s="155"/>
      <c r="J195" s="1"/>
      <c r="K195" s="1"/>
      <c r="L195" s="1"/>
      <c r="M195" s="1"/>
    </row>
    <row r="196" ht="14.25" customHeight="1">
      <c r="A196" s="52"/>
      <c r="B196" s="53"/>
      <c r="C196" s="53"/>
      <c r="D196" s="1"/>
      <c r="E196" s="1"/>
      <c r="F196" s="1"/>
      <c r="G196" s="1"/>
      <c r="H196" s="155"/>
      <c r="I196" s="155"/>
      <c r="J196" s="1"/>
      <c r="K196" s="1"/>
      <c r="L196" s="1"/>
      <c r="M196" s="1"/>
    </row>
    <row r="197" ht="14.25" customHeight="1">
      <c r="A197" s="52"/>
      <c r="B197" s="53"/>
      <c r="C197" s="53"/>
      <c r="D197" s="1"/>
      <c r="E197" s="1"/>
      <c r="F197" s="1"/>
      <c r="G197" s="1"/>
      <c r="H197" s="155"/>
      <c r="I197" s="155"/>
      <c r="J197" s="1"/>
      <c r="K197" s="1"/>
      <c r="L197" s="1"/>
      <c r="M197" s="1"/>
    </row>
    <row r="198" ht="14.25" customHeight="1">
      <c r="A198" s="52"/>
      <c r="B198" s="53"/>
      <c r="C198" s="53"/>
      <c r="D198" s="1"/>
      <c r="E198" s="1"/>
      <c r="F198" s="1"/>
      <c r="G198" s="1"/>
      <c r="H198" s="155"/>
      <c r="I198" s="155"/>
      <c r="J198" s="1"/>
      <c r="K198" s="1"/>
      <c r="L198" s="1"/>
      <c r="M198" s="1"/>
    </row>
    <row r="199" ht="14.25" customHeight="1">
      <c r="A199" s="52"/>
      <c r="B199" s="53"/>
      <c r="C199" s="53"/>
      <c r="D199" s="1"/>
      <c r="E199" s="1"/>
      <c r="F199" s="1"/>
      <c r="G199" s="1"/>
      <c r="H199" s="155"/>
      <c r="I199" s="155"/>
      <c r="J199" s="1"/>
      <c r="K199" s="1"/>
      <c r="L199" s="1"/>
      <c r="M199" s="1"/>
    </row>
    <row r="200" ht="14.25" customHeight="1">
      <c r="A200" s="52"/>
      <c r="B200" s="53"/>
      <c r="C200" s="53"/>
      <c r="D200" s="1"/>
      <c r="E200" s="1"/>
      <c r="F200" s="1"/>
      <c r="G200" s="1"/>
      <c r="H200" s="155"/>
      <c r="I200" s="155"/>
      <c r="J200" s="1"/>
      <c r="K200" s="1"/>
      <c r="L200" s="1"/>
      <c r="M200" s="1"/>
    </row>
    <row r="201" ht="14.25" customHeight="1">
      <c r="A201" s="52"/>
      <c r="B201" s="53"/>
      <c r="C201" s="53"/>
      <c r="D201" s="1"/>
      <c r="E201" s="1"/>
      <c r="F201" s="1"/>
      <c r="G201" s="1"/>
      <c r="H201" s="155"/>
      <c r="I201" s="155"/>
      <c r="J201" s="1"/>
      <c r="K201" s="1"/>
      <c r="L201" s="1"/>
      <c r="M201" s="1"/>
    </row>
    <row r="202" ht="14.25" customHeight="1">
      <c r="A202" s="52"/>
      <c r="B202" s="53"/>
      <c r="C202" s="53"/>
      <c r="D202" s="1"/>
      <c r="E202" s="1"/>
      <c r="F202" s="1"/>
      <c r="G202" s="1"/>
      <c r="H202" s="155"/>
      <c r="I202" s="155"/>
      <c r="J202" s="1"/>
      <c r="K202" s="1"/>
      <c r="L202" s="1"/>
      <c r="M202" s="1"/>
    </row>
    <row r="203" ht="14.25" customHeight="1">
      <c r="A203" s="52"/>
      <c r="B203" s="53"/>
      <c r="C203" s="53"/>
      <c r="D203" s="1"/>
      <c r="E203" s="1"/>
      <c r="F203" s="1"/>
      <c r="G203" s="1"/>
      <c r="H203" s="155"/>
      <c r="I203" s="155"/>
      <c r="J203" s="1"/>
      <c r="K203" s="1"/>
      <c r="L203" s="1"/>
      <c r="M203" s="1"/>
    </row>
    <row r="204" ht="14.25" customHeight="1">
      <c r="A204" s="52"/>
      <c r="B204" s="53"/>
      <c r="C204" s="53"/>
      <c r="D204" s="1"/>
      <c r="E204" s="1"/>
      <c r="F204" s="1"/>
      <c r="G204" s="1"/>
      <c r="H204" s="155"/>
      <c r="I204" s="155"/>
      <c r="J204" s="1"/>
      <c r="K204" s="1"/>
      <c r="L204" s="1"/>
      <c r="M204" s="1"/>
    </row>
    <row r="205" ht="14.25" customHeight="1">
      <c r="A205" s="52"/>
      <c r="B205" s="53"/>
      <c r="C205" s="53"/>
      <c r="D205" s="1"/>
      <c r="E205" s="1"/>
      <c r="F205" s="1"/>
      <c r="G205" s="1"/>
      <c r="H205" s="155"/>
      <c r="I205" s="155"/>
      <c r="J205" s="1"/>
      <c r="K205" s="1"/>
      <c r="L205" s="1"/>
      <c r="M205" s="1"/>
    </row>
    <row r="206" ht="14.25" customHeight="1">
      <c r="A206" s="52"/>
      <c r="B206" s="53"/>
      <c r="C206" s="53"/>
      <c r="D206" s="1"/>
      <c r="E206" s="1"/>
      <c r="F206" s="1"/>
      <c r="G206" s="1"/>
      <c r="H206" s="155"/>
      <c r="I206" s="155"/>
      <c r="J206" s="1"/>
      <c r="K206" s="1"/>
      <c r="L206" s="1"/>
      <c r="M206" s="1"/>
    </row>
    <row r="207" ht="14.25" customHeight="1">
      <c r="A207" s="52"/>
      <c r="B207" s="53"/>
      <c r="C207" s="53"/>
      <c r="D207" s="1"/>
      <c r="E207" s="1"/>
      <c r="F207" s="1"/>
      <c r="G207" s="1"/>
      <c r="H207" s="155"/>
      <c r="I207" s="155"/>
      <c r="J207" s="1"/>
      <c r="K207" s="1"/>
      <c r="L207" s="1"/>
      <c r="M207" s="1"/>
    </row>
    <row r="208" ht="14.25" customHeight="1">
      <c r="A208" s="52"/>
      <c r="B208" s="53"/>
      <c r="C208" s="53"/>
      <c r="D208" s="1"/>
      <c r="E208" s="1"/>
      <c r="F208" s="1"/>
      <c r="G208" s="1"/>
      <c r="H208" s="155"/>
      <c r="I208" s="155"/>
      <c r="J208" s="1"/>
      <c r="K208" s="1"/>
      <c r="L208" s="1"/>
      <c r="M208" s="1"/>
    </row>
    <row r="209" ht="14.25" customHeight="1">
      <c r="A209" s="52"/>
      <c r="B209" s="53"/>
      <c r="C209" s="53"/>
      <c r="D209" s="1"/>
      <c r="E209" s="1"/>
      <c r="F209" s="1"/>
      <c r="G209" s="1"/>
      <c r="H209" s="155"/>
      <c r="I209" s="155"/>
      <c r="J209" s="1"/>
      <c r="K209" s="1"/>
      <c r="L209" s="1"/>
      <c r="M209" s="1"/>
    </row>
    <row r="210" ht="14.25" customHeight="1">
      <c r="A210" s="52"/>
      <c r="B210" s="53"/>
      <c r="C210" s="53"/>
      <c r="D210" s="1"/>
      <c r="E210" s="1"/>
      <c r="F210" s="1"/>
      <c r="G210" s="1"/>
      <c r="H210" s="155"/>
      <c r="I210" s="155"/>
      <c r="J210" s="1"/>
      <c r="K210" s="1"/>
      <c r="L210" s="1"/>
      <c r="M210" s="1"/>
    </row>
    <row r="211" ht="14.25" customHeight="1">
      <c r="A211" s="52"/>
      <c r="B211" s="53"/>
      <c r="C211" s="53"/>
      <c r="D211" s="1"/>
      <c r="E211" s="1"/>
      <c r="F211" s="1"/>
      <c r="G211" s="1"/>
      <c r="H211" s="155"/>
      <c r="I211" s="155"/>
      <c r="J211" s="1"/>
      <c r="K211" s="1"/>
      <c r="L211" s="1"/>
      <c r="M211" s="1"/>
    </row>
    <row r="212" ht="14.25" customHeight="1">
      <c r="A212" s="52"/>
      <c r="B212" s="53"/>
      <c r="C212" s="53"/>
      <c r="D212" s="1"/>
      <c r="E212" s="1"/>
      <c r="F212" s="1"/>
      <c r="G212" s="1"/>
      <c r="H212" s="155"/>
      <c r="I212" s="155"/>
      <c r="J212" s="1"/>
      <c r="K212" s="1"/>
      <c r="L212" s="1"/>
      <c r="M212" s="1"/>
    </row>
    <row r="213" ht="14.25" customHeight="1">
      <c r="A213" s="52"/>
      <c r="B213" s="53"/>
      <c r="C213" s="53"/>
      <c r="D213" s="1"/>
      <c r="E213" s="1"/>
      <c r="F213" s="1"/>
      <c r="G213" s="1"/>
      <c r="H213" s="155"/>
      <c r="I213" s="155"/>
      <c r="J213" s="1"/>
      <c r="K213" s="1"/>
      <c r="L213" s="1"/>
      <c r="M213" s="1"/>
    </row>
    <row r="214" ht="14.25" customHeight="1">
      <c r="A214" s="52"/>
      <c r="B214" s="53"/>
      <c r="C214" s="53"/>
      <c r="D214" s="1"/>
      <c r="E214" s="1"/>
      <c r="F214" s="1"/>
      <c r="G214" s="1"/>
      <c r="H214" s="155"/>
      <c r="I214" s="155"/>
      <c r="J214" s="1"/>
      <c r="K214" s="1"/>
      <c r="L214" s="1"/>
      <c r="M214" s="1"/>
    </row>
    <row r="215" ht="14.25" customHeight="1">
      <c r="A215" s="52"/>
      <c r="B215" s="53"/>
      <c r="C215" s="53"/>
      <c r="D215" s="1"/>
      <c r="E215" s="1"/>
      <c r="F215" s="1"/>
      <c r="G215" s="1"/>
      <c r="H215" s="155"/>
      <c r="I215" s="155"/>
      <c r="J215" s="1"/>
      <c r="K215" s="1"/>
      <c r="L215" s="1"/>
      <c r="M215" s="1"/>
    </row>
    <row r="216" ht="14.25" customHeight="1">
      <c r="A216" s="52"/>
      <c r="B216" s="53"/>
      <c r="C216" s="53"/>
      <c r="D216" s="1"/>
      <c r="E216" s="1"/>
      <c r="F216" s="1"/>
      <c r="G216" s="1"/>
      <c r="H216" s="155"/>
      <c r="I216" s="155"/>
      <c r="J216" s="1"/>
      <c r="K216" s="1"/>
      <c r="L216" s="1"/>
      <c r="M216" s="1"/>
    </row>
    <row r="217" ht="14.25" customHeight="1">
      <c r="A217" s="52"/>
      <c r="B217" s="53"/>
      <c r="C217" s="53"/>
      <c r="D217" s="1"/>
      <c r="E217" s="1"/>
      <c r="F217" s="1"/>
      <c r="G217" s="1"/>
      <c r="H217" s="155"/>
      <c r="I217" s="155"/>
      <c r="J217" s="1"/>
      <c r="K217" s="1"/>
      <c r="L217" s="1"/>
      <c r="M217" s="1"/>
    </row>
    <row r="218" ht="14.25" customHeight="1">
      <c r="A218" s="52"/>
      <c r="B218" s="53"/>
      <c r="C218" s="53"/>
      <c r="D218" s="1"/>
      <c r="E218" s="1"/>
      <c r="F218" s="1"/>
      <c r="G218" s="1"/>
      <c r="H218" s="155"/>
      <c r="I218" s="155"/>
      <c r="J218" s="1"/>
      <c r="K218" s="1"/>
      <c r="L218" s="1"/>
      <c r="M218" s="1"/>
    </row>
    <row r="219" ht="14.25" customHeight="1">
      <c r="A219" s="52"/>
      <c r="B219" s="53"/>
      <c r="C219" s="53"/>
      <c r="D219" s="1"/>
      <c r="E219" s="1"/>
      <c r="F219" s="1"/>
      <c r="G219" s="1"/>
      <c r="H219" s="155"/>
      <c r="I219" s="155"/>
      <c r="J219" s="1"/>
      <c r="K219" s="1"/>
      <c r="L219" s="1"/>
      <c r="M219" s="1"/>
    </row>
    <row r="220" ht="14.25" customHeight="1">
      <c r="A220" s="52"/>
      <c r="B220" s="53"/>
      <c r="C220" s="53"/>
      <c r="D220" s="1"/>
      <c r="E220" s="1"/>
      <c r="F220" s="1"/>
      <c r="G220" s="1"/>
      <c r="H220" s="155"/>
      <c r="I220" s="155"/>
      <c r="J220" s="1"/>
      <c r="K220" s="1"/>
      <c r="L220" s="1"/>
      <c r="M220" s="1"/>
    </row>
    <row r="221" ht="14.25" customHeight="1">
      <c r="A221" s="52"/>
      <c r="B221" s="53"/>
      <c r="C221" s="53"/>
      <c r="D221" s="1"/>
      <c r="E221" s="1"/>
      <c r="F221" s="1"/>
      <c r="G221" s="1"/>
      <c r="H221" s="155"/>
      <c r="I221" s="155"/>
      <c r="J221" s="1"/>
      <c r="K221" s="1"/>
      <c r="L221" s="1"/>
      <c r="M221" s="1"/>
    </row>
    <row r="222" ht="14.25" customHeight="1">
      <c r="A222" s="52"/>
      <c r="B222" s="53"/>
      <c r="C222" s="53"/>
      <c r="D222" s="1"/>
      <c r="E222" s="1"/>
      <c r="F222" s="1"/>
      <c r="G222" s="1"/>
      <c r="H222" s="155"/>
      <c r="I222" s="155"/>
      <c r="J222" s="1"/>
      <c r="K222" s="1"/>
      <c r="L222" s="1"/>
      <c r="M222" s="1"/>
    </row>
    <row r="223" ht="14.25" customHeight="1">
      <c r="A223" s="52"/>
      <c r="B223" s="53"/>
      <c r="C223" s="53"/>
      <c r="D223" s="1"/>
      <c r="E223" s="1"/>
      <c r="F223" s="1"/>
      <c r="G223" s="1"/>
      <c r="H223" s="155"/>
      <c r="I223" s="155"/>
      <c r="J223" s="1"/>
      <c r="K223" s="1"/>
      <c r="L223" s="1"/>
      <c r="M223" s="1"/>
    </row>
    <row r="224" ht="14.25" customHeight="1">
      <c r="A224" s="52"/>
      <c r="B224" s="53"/>
      <c r="C224" s="53"/>
      <c r="D224" s="1"/>
      <c r="E224" s="1"/>
      <c r="F224" s="1"/>
      <c r="G224" s="1"/>
      <c r="H224" s="155"/>
      <c r="I224" s="155"/>
      <c r="J224" s="1"/>
      <c r="K224" s="1"/>
      <c r="L224" s="1"/>
      <c r="M224" s="1"/>
    </row>
    <row r="225" ht="14.25" customHeight="1">
      <c r="A225" s="52"/>
      <c r="B225" s="53"/>
      <c r="C225" s="53"/>
      <c r="D225" s="1"/>
      <c r="E225" s="1"/>
      <c r="F225" s="1"/>
      <c r="G225" s="1"/>
      <c r="H225" s="155"/>
      <c r="I225" s="155"/>
      <c r="J225" s="1"/>
      <c r="K225" s="1"/>
      <c r="L225" s="1"/>
      <c r="M225" s="1"/>
    </row>
    <row r="226" ht="14.25" customHeight="1">
      <c r="A226" s="52"/>
      <c r="B226" s="53"/>
      <c r="C226" s="53"/>
      <c r="D226" s="1"/>
      <c r="E226" s="1"/>
      <c r="F226" s="1"/>
      <c r="G226" s="1"/>
      <c r="H226" s="155"/>
      <c r="I226" s="155"/>
      <c r="J226" s="1"/>
      <c r="K226" s="1"/>
      <c r="L226" s="1"/>
      <c r="M226" s="1"/>
    </row>
    <row r="227" ht="14.25" customHeight="1">
      <c r="A227" s="52"/>
      <c r="B227" s="53"/>
      <c r="C227" s="53"/>
      <c r="D227" s="1"/>
      <c r="E227" s="1"/>
      <c r="F227" s="1"/>
      <c r="G227" s="1"/>
      <c r="H227" s="155"/>
      <c r="I227" s="155"/>
      <c r="J227" s="1"/>
      <c r="K227" s="1"/>
      <c r="L227" s="1"/>
      <c r="M227" s="1"/>
    </row>
    <row r="228" ht="14.25" customHeight="1">
      <c r="A228" s="52"/>
      <c r="B228" s="53"/>
      <c r="C228" s="53"/>
      <c r="D228" s="1"/>
      <c r="E228" s="1"/>
      <c r="F228" s="1"/>
      <c r="G228" s="1"/>
      <c r="H228" s="155"/>
      <c r="I228" s="155"/>
      <c r="J228" s="1"/>
      <c r="K228" s="1"/>
      <c r="L228" s="1"/>
      <c r="M228" s="1"/>
    </row>
    <row r="229" ht="14.25" customHeight="1">
      <c r="A229" s="52"/>
      <c r="B229" s="53"/>
      <c r="C229" s="53"/>
      <c r="D229" s="1"/>
      <c r="E229" s="1"/>
      <c r="F229" s="1"/>
      <c r="G229" s="1"/>
      <c r="H229" s="155"/>
      <c r="I229" s="155"/>
      <c r="J229" s="1"/>
      <c r="K229" s="1"/>
      <c r="L229" s="1"/>
      <c r="M229" s="1"/>
    </row>
    <row r="230" ht="14.25" customHeight="1">
      <c r="A230" s="52"/>
      <c r="B230" s="53"/>
      <c r="C230" s="53"/>
      <c r="D230" s="1"/>
      <c r="E230" s="1"/>
      <c r="F230" s="1"/>
      <c r="G230" s="1"/>
      <c r="H230" s="155"/>
      <c r="I230" s="155"/>
      <c r="J230" s="1"/>
      <c r="K230" s="1"/>
      <c r="L230" s="1"/>
      <c r="M230" s="1"/>
    </row>
    <row r="231" ht="14.25" customHeight="1">
      <c r="A231" s="52"/>
      <c r="B231" s="53"/>
      <c r="C231" s="53"/>
      <c r="D231" s="1"/>
      <c r="E231" s="1"/>
      <c r="F231" s="1"/>
      <c r="G231" s="1"/>
      <c r="H231" s="155"/>
      <c r="I231" s="155"/>
      <c r="J231" s="1"/>
      <c r="K231" s="1"/>
      <c r="L231" s="1"/>
      <c r="M231" s="1"/>
    </row>
    <row r="232" ht="14.25" customHeight="1">
      <c r="A232" s="52"/>
      <c r="B232" s="53"/>
      <c r="C232" s="53"/>
      <c r="D232" s="1"/>
      <c r="E232" s="1"/>
      <c r="F232" s="1"/>
      <c r="G232" s="1"/>
      <c r="H232" s="155"/>
      <c r="I232" s="155"/>
      <c r="J232" s="1"/>
      <c r="K232" s="1"/>
      <c r="L232" s="1"/>
      <c r="M232" s="1"/>
    </row>
    <row r="233" ht="14.25" customHeight="1">
      <c r="A233" s="52"/>
      <c r="B233" s="53"/>
      <c r="C233" s="53"/>
      <c r="D233" s="1"/>
      <c r="E233" s="1"/>
      <c r="F233" s="1"/>
      <c r="G233" s="1"/>
      <c r="H233" s="155"/>
      <c r="I233" s="155"/>
      <c r="J233" s="1"/>
      <c r="K233" s="1"/>
      <c r="L233" s="1"/>
      <c r="M233" s="1"/>
    </row>
    <row r="234" ht="14.25" customHeight="1">
      <c r="A234" s="52"/>
      <c r="B234" s="53"/>
      <c r="C234" s="53"/>
      <c r="D234" s="1"/>
      <c r="E234" s="1"/>
      <c r="F234" s="1"/>
      <c r="G234" s="1"/>
      <c r="H234" s="155"/>
      <c r="I234" s="155"/>
      <c r="J234" s="1"/>
      <c r="K234" s="1"/>
      <c r="L234" s="1"/>
      <c r="M234" s="1"/>
    </row>
    <row r="235" ht="14.25" customHeight="1">
      <c r="A235" s="52"/>
      <c r="B235" s="53"/>
      <c r="C235" s="53"/>
      <c r="D235" s="1"/>
      <c r="E235" s="1"/>
      <c r="F235" s="1"/>
      <c r="G235" s="1"/>
      <c r="H235" s="155"/>
      <c r="I235" s="155"/>
      <c r="J235" s="1"/>
      <c r="K235" s="1"/>
      <c r="L235" s="1"/>
      <c r="M235" s="1"/>
    </row>
    <row r="236" ht="14.25" customHeight="1">
      <c r="A236" s="52"/>
      <c r="B236" s="53"/>
      <c r="C236" s="53"/>
      <c r="D236" s="1"/>
      <c r="E236" s="1"/>
      <c r="F236" s="1"/>
      <c r="G236" s="1"/>
      <c r="H236" s="155"/>
      <c r="I236" s="155"/>
      <c r="J236" s="1"/>
      <c r="K236" s="1"/>
      <c r="L236" s="1"/>
      <c r="M236" s="1"/>
    </row>
    <row r="237" ht="14.25" customHeight="1">
      <c r="A237" s="52"/>
      <c r="B237" s="53"/>
      <c r="C237" s="53"/>
      <c r="D237" s="1"/>
      <c r="E237" s="1"/>
      <c r="F237" s="1"/>
      <c r="G237" s="1"/>
      <c r="H237" s="155"/>
      <c r="I237" s="155"/>
      <c r="J237" s="1"/>
      <c r="K237" s="1"/>
      <c r="L237" s="1"/>
      <c r="M237" s="1"/>
    </row>
    <row r="238" ht="14.25" customHeight="1">
      <c r="A238" s="52"/>
      <c r="B238" s="53"/>
      <c r="C238" s="53"/>
      <c r="D238" s="1"/>
      <c r="E238" s="1"/>
      <c r="F238" s="1"/>
      <c r="G238" s="1"/>
      <c r="H238" s="155"/>
      <c r="I238" s="155"/>
      <c r="J238" s="1"/>
      <c r="K238" s="1"/>
      <c r="L238" s="1"/>
      <c r="M238" s="1"/>
    </row>
    <row r="239" ht="14.25" customHeight="1">
      <c r="A239" s="52"/>
      <c r="B239" s="53"/>
      <c r="C239" s="53"/>
      <c r="D239" s="1"/>
      <c r="E239" s="1"/>
      <c r="F239" s="1"/>
      <c r="G239" s="1"/>
      <c r="H239" s="155"/>
      <c r="I239" s="155"/>
      <c r="J239" s="1"/>
      <c r="K239" s="1"/>
      <c r="L239" s="1"/>
      <c r="M239" s="1"/>
    </row>
    <row r="240" ht="14.25" customHeight="1">
      <c r="A240" s="52"/>
      <c r="B240" s="53"/>
      <c r="C240" s="53"/>
      <c r="D240" s="1"/>
      <c r="E240" s="1"/>
      <c r="F240" s="1"/>
      <c r="G240" s="1"/>
      <c r="H240" s="155"/>
      <c r="I240" s="155"/>
      <c r="J240" s="1"/>
      <c r="K240" s="1"/>
      <c r="L240" s="1"/>
      <c r="M240" s="1"/>
    </row>
    <row r="241" ht="14.25" customHeight="1">
      <c r="A241" s="52"/>
      <c r="B241" s="53"/>
      <c r="C241" s="53"/>
      <c r="D241" s="1"/>
      <c r="E241" s="1"/>
      <c r="F241" s="1"/>
      <c r="G241" s="1"/>
      <c r="H241" s="155"/>
      <c r="I241" s="155"/>
      <c r="J241" s="1"/>
      <c r="K241" s="1"/>
      <c r="L241" s="1"/>
      <c r="M241" s="1"/>
    </row>
    <row r="242" ht="14.25" customHeight="1">
      <c r="A242" s="52"/>
      <c r="B242" s="53"/>
      <c r="C242" s="53"/>
      <c r="D242" s="1"/>
      <c r="E242" s="1"/>
      <c r="F242" s="1"/>
      <c r="G242" s="1"/>
      <c r="H242" s="155"/>
      <c r="I242" s="155"/>
      <c r="J242" s="1"/>
      <c r="K242" s="1"/>
      <c r="L242" s="1"/>
      <c r="M242" s="1"/>
    </row>
    <row r="243" ht="14.25" customHeight="1">
      <c r="A243" s="52"/>
      <c r="B243" s="53"/>
      <c r="C243" s="53"/>
      <c r="D243" s="1"/>
      <c r="E243" s="1"/>
      <c r="F243" s="1"/>
      <c r="G243" s="1"/>
      <c r="H243" s="155"/>
      <c r="I243" s="155"/>
      <c r="J243" s="1"/>
      <c r="K243" s="1"/>
      <c r="L243" s="1"/>
      <c r="M243" s="1"/>
    </row>
    <row r="244" ht="14.25" customHeight="1">
      <c r="A244" s="52"/>
      <c r="B244" s="53"/>
      <c r="C244" s="53"/>
      <c r="D244" s="1"/>
      <c r="E244" s="1"/>
      <c r="F244" s="1"/>
      <c r="G244" s="1"/>
      <c r="H244" s="155"/>
      <c r="I244" s="155"/>
      <c r="J244" s="1"/>
      <c r="K244" s="1"/>
      <c r="L244" s="1"/>
      <c r="M244" s="1"/>
    </row>
    <row r="245" ht="14.25" customHeight="1">
      <c r="A245" s="52"/>
      <c r="B245" s="53"/>
      <c r="C245" s="53"/>
      <c r="D245" s="1"/>
      <c r="E245" s="1"/>
      <c r="F245" s="1"/>
      <c r="G245" s="1"/>
      <c r="H245" s="155"/>
      <c r="I245" s="155"/>
      <c r="J245" s="1"/>
      <c r="K245" s="1"/>
      <c r="L245" s="1"/>
      <c r="M245" s="1"/>
    </row>
    <row r="246" ht="14.25" customHeight="1">
      <c r="A246" s="52"/>
      <c r="B246" s="53"/>
      <c r="C246" s="53"/>
      <c r="D246" s="1"/>
      <c r="E246" s="1"/>
      <c r="F246" s="1"/>
      <c r="G246" s="1"/>
      <c r="H246" s="155"/>
      <c r="I246" s="155"/>
      <c r="J246" s="1"/>
      <c r="K246" s="1"/>
      <c r="L246" s="1"/>
      <c r="M246" s="1"/>
    </row>
    <row r="247" ht="14.25" customHeight="1">
      <c r="A247" s="52"/>
      <c r="B247" s="53"/>
      <c r="C247" s="53"/>
      <c r="D247" s="1"/>
      <c r="E247" s="1"/>
      <c r="F247" s="1"/>
      <c r="G247" s="1"/>
      <c r="H247" s="155"/>
      <c r="I247" s="155"/>
      <c r="J247" s="1"/>
      <c r="K247" s="1"/>
      <c r="L247" s="1"/>
      <c r="M247" s="1"/>
    </row>
    <row r="248" ht="14.25" customHeight="1">
      <c r="A248" s="52"/>
      <c r="B248" s="53"/>
      <c r="C248" s="53"/>
      <c r="D248" s="1"/>
      <c r="E248" s="1"/>
      <c r="F248" s="1"/>
      <c r="G248" s="1"/>
      <c r="H248" s="155"/>
      <c r="I248" s="155"/>
      <c r="J248" s="1"/>
      <c r="K248" s="1"/>
      <c r="L248" s="1"/>
      <c r="M248" s="1"/>
    </row>
    <row r="249" ht="14.25" customHeight="1">
      <c r="A249" s="52"/>
      <c r="B249" s="53"/>
      <c r="C249" s="53"/>
      <c r="D249" s="1"/>
      <c r="E249" s="1"/>
      <c r="F249" s="1"/>
      <c r="G249" s="1"/>
      <c r="H249" s="155"/>
      <c r="I249" s="155"/>
      <c r="J249" s="1"/>
      <c r="K249" s="1"/>
      <c r="L249" s="1"/>
      <c r="M249" s="1"/>
    </row>
    <row r="250" ht="14.25" customHeight="1">
      <c r="A250" s="52"/>
      <c r="B250" s="53"/>
      <c r="C250" s="53"/>
      <c r="D250" s="1"/>
      <c r="E250" s="1"/>
      <c r="F250" s="1"/>
      <c r="G250" s="1"/>
      <c r="H250" s="155"/>
      <c r="I250" s="155"/>
      <c r="J250" s="1"/>
      <c r="K250" s="1"/>
      <c r="L250" s="1"/>
      <c r="M250" s="1"/>
    </row>
    <row r="251" ht="14.25" customHeight="1">
      <c r="A251" s="52"/>
      <c r="B251" s="53"/>
      <c r="C251" s="53"/>
      <c r="D251" s="1"/>
      <c r="E251" s="1"/>
      <c r="F251" s="1"/>
      <c r="G251" s="1"/>
      <c r="H251" s="155"/>
      <c r="I251" s="155"/>
      <c r="J251" s="1"/>
      <c r="K251" s="1"/>
      <c r="L251" s="1"/>
      <c r="M251" s="1"/>
    </row>
    <row r="252" ht="14.25" customHeight="1">
      <c r="A252" s="52"/>
      <c r="B252" s="53"/>
      <c r="C252" s="53"/>
      <c r="D252" s="1"/>
      <c r="E252" s="1"/>
      <c r="F252" s="1"/>
      <c r="G252" s="1"/>
      <c r="H252" s="155"/>
      <c r="I252" s="155"/>
      <c r="J252" s="1"/>
      <c r="K252" s="1"/>
      <c r="L252" s="1"/>
      <c r="M252" s="1"/>
    </row>
    <row r="253" ht="14.25" customHeight="1">
      <c r="A253" s="52"/>
      <c r="B253" s="53"/>
      <c r="C253" s="53"/>
      <c r="D253" s="1"/>
      <c r="E253" s="1"/>
      <c r="F253" s="1"/>
      <c r="G253" s="1"/>
      <c r="H253" s="155"/>
      <c r="I253" s="155"/>
      <c r="J253" s="1"/>
      <c r="K253" s="1"/>
      <c r="L253" s="1"/>
      <c r="M253" s="1"/>
    </row>
    <row r="254" ht="14.25" customHeight="1">
      <c r="A254" s="52"/>
      <c r="B254" s="53"/>
      <c r="C254" s="53"/>
      <c r="D254" s="1"/>
      <c r="E254" s="1"/>
      <c r="F254" s="1"/>
      <c r="G254" s="1"/>
      <c r="H254" s="155"/>
      <c r="I254" s="155"/>
      <c r="J254" s="1"/>
      <c r="K254" s="1"/>
      <c r="L254" s="1"/>
      <c r="M254" s="1"/>
    </row>
    <row r="255" ht="14.25" customHeight="1">
      <c r="A255" s="52"/>
      <c r="B255" s="53"/>
      <c r="C255" s="53"/>
      <c r="D255" s="1"/>
      <c r="E255" s="1"/>
      <c r="F255" s="1"/>
      <c r="G255" s="1"/>
      <c r="H255" s="155"/>
      <c r="I255" s="155"/>
      <c r="J255" s="1"/>
      <c r="K255" s="1"/>
      <c r="L255" s="1"/>
      <c r="M255" s="1"/>
    </row>
    <row r="256" ht="14.25" customHeight="1">
      <c r="A256" s="52"/>
      <c r="B256" s="53"/>
      <c r="C256" s="53"/>
      <c r="D256" s="1"/>
      <c r="E256" s="1"/>
      <c r="F256" s="1"/>
      <c r="G256" s="1"/>
      <c r="H256" s="155"/>
      <c r="I256" s="155"/>
      <c r="J256" s="1"/>
      <c r="K256" s="1"/>
      <c r="L256" s="1"/>
      <c r="M256" s="1"/>
    </row>
    <row r="257" ht="14.25" customHeight="1">
      <c r="A257" s="52"/>
      <c r="B257" s="53"/>
      <c r="C257" s="53"/>
      <c r="D257" s="1"/>
      <c r="E257" s="1"/>
      <c r="F257" s="1"/>
      <c r="G257" s="1"/>
      <c r="H257" s="155"/>
      <c r="I257" s="155"/>
      <c r="J257" s="1"/>
      <c r="K257" s="1"/>
      <c r="L257" s="1"/>
      <c r="M257" s="1"/>
    </row>
    <row r="258" ht="14.25" customHeight="1">
      <c r="A258" s="52"/>
      <c r="B258" s="53"/>
      <c r="C258" s="53"/>
      <c r="D258" s="1"/>
      <c r="E258" s="1"/>
      <c r="F258" s="1"/>
      <c r="G258" s="1"/>
      <c r="H258" s="155"/>
      <c r="I258" s="155"/>
      <c r="J258" s="1"/>
      <c r="K258" s="1"/>
      <c r="L258" s="1"/>
      <c r="M258" s="1"/>
    </row>
    <row r="259" ht="14.25" customHeight="1">
      <c r="A259" s="52"/>
      <c r="B259" s="53"/>
      <c r="C259" s="53"/>
      <c r="D259" s="1"/>
      <c r="E259" s="1"/>
      <c r="F259" s="1"/>
      <c r="G259" s="1"/>
      <c r="H259" s="155"/>
      <c r="I259" s="155"/>
      <c r="J259" s="1"/>
      <c r="K259" s="1"/>
      <c r="L259" s="1"/>
      <c r="M259" s="1"/>
    </row>
    <row r="260" ht="14.25" customHeight="1">
      <c r="A260" s="52"/>
      <c r="B260" s="53"/>
      <c r="C260" s="53"/>
      <c r="D260" s="1"/>
      <c r="E260" s="1"/>
      <c r="F260" s="1"/>
      <c r="G260" s="1"/>
      <c r="H260" s="155"/>
      <c r="I260" s="155"/>
      <c r="J260" s="1"/>
      <c r="K260" s="1"/>
      <c r="L260" s="1"/>
      <c r="M260" s="1"/>
    </row>
    <row r="261" ht="14.25" customHeight="1">
      <c r="A261" s="52"/>
      <c r="B261" s="53"/>
      <c r="C261" s="53"/>
      <c r="D261" s="1"/>
      <c r="E261" s="1"/>
      <c r="F261" s="1"/>
      <c r="G261" s="1"/>
      <c r="H261" s="155"/>
      <c r="I261" s="155"/>
      <c r="J261" s="1"/>
      <c r="K261" s="1"/>
      <c r="L261" s="1"/>
      <c r="M261" s="1"/>
    </row>
    <row r="262" ht="14.25" customHeight="1">
      <c r="A262" s="52"/>
      <c r="B262" s="53"/>
      <c r="C262" s="53"/>
      <c r="D262" s="1"/>
      <c r="E262" s="1"/>
      <c r="F262" s="1"/>
      <c r="G262" s="1"/>
      <c r="H262" s="155"/>
      <c r="I262" s="155"/>
      <c r="J262" s="1"/>
      <c r="K262" s="1"/>
      <c r="L262" s="1"/>
      <c r="M262" s="1"/>
    </row>
    <row r="263" ht="14.25" customHeight="1">
      <c r="A263" s="52"/>
      <c r="B263" s="53"/>
      <c r="C263" s="53"/>
      <c r="D263" s="1"/>
      <c r="E263" s="1"/>
      <c r="F263" s="1"/>
      <c r="G263" s="1"/>
      <c r="H263" s="155"/>
      <c r="I263" s="155"/>
      <c r="J263" s="1"/>
      <c r="K263" s="1"/>
      <c r="L263" s="1"/>
      <c r="M263" s="1"/>
    </row>
    <row r="264" ht="14.25" customHeight="1">
      <c r="A264" s="52"/>
      <c r="B264" s="53"/>
      <c r="C264" s="53"/>
      <c r="D264" s="1"/>
      <c r="E264" s="1"/>
      <c r="F264" s="1"/>
      <c r="G264" s="1"/>
      <c r="H264" s="155"/>
      <c r="I264" s="155"/>
      <c r="J264" s="1"/>
      <c r="K264" s="1"/>
      <c r="L264" s="1"/>
      <c r="M264" s="1"/>
    </row>
    <row r="265" ht="14.25" customHeight="1">
      <c r="A265" s="52"/>
      <c r="B265" s="53"/>
      <c r="C265" s="53"/>
      <c r="D265" s="1"/>
      <c r="E265" s="1"/>
      <c r="F265" s="1"/>
      <c r="G265" s="1"/>
      <c r="H265" s="155"/>
      <c r="I265" s="155"/>
      <c r="J265" s="1"/>
      <c r="K265" s="1"/>
      <c r="L265" s="1"/>
      <c r="M265" s="1"/>
    </row>
    <row r="266" ht="14.25" customHeight="1">
      <c r="A266" s="52"/>
      <c r="B266" s="53"/>
      <c r="C266" s="53"/>
      <c r="D266" s="1"/>
      <c r="E266" s="1"/>
      <c r="F266" s="1"/>
      <c r="G266" s="1"/>
      <c r="H266" s="155"/>
      <c r="I266" s="155"/>
      <c r="J266" s="1"/>
      <c r="K266" s="1"/>
      <c r="L266" s="1"/>
      <c r="M266" s="1"/>
    </row>
    <row r="267" ht="14.25" customHeight="1">
      <c r="A267" s="52"/>
      <c r="B267" s="53"/>
      <c r="C267" s="53"/>
      <c r="D267" s="1"/>
      <c r="E267" s="1"/>
      <c r="F267" s="1"/>
      <c r="G267" s="1"/>
      <c r="H267" s="155"/>
      <c r="I267" s="155"/>
      <c r="J267" s="1"/>
      <c r="K267" s="1"/>
      <c r="L267" s="1"/>
      <c r="M267" s="1"/>
    </row>
    <row r="268" ht="14.25" customHeight="1">
      <c r="A268" s="52"/>
      <c r="B268" s="53"/>
      <c r="C268" s="53"/>
      <c r="D268" s="1"/>
      <c r="E268" s="1"/>
      <c r="F268" s="1"/>
      <c r="G268" s="1"/>
      <c r="H268" s="155"/>
      <c r="I268" s="155"/>
      <c r="J268" s="1"/>
      <c r="K268" s="1"/>
      <c r="L268" s="1"/>
      <c r="M268" s="1"/>
    </row>
    <row r="269" ht="14.25" customHeight="1">
      <c r="A269" s="52"/>
      <c r="B269" s="53"/>
      <c r="C269" s="53"/>
      <c r="D269" s="1"/>
      <c r="E269" s="1"/>
      <c r="F269" s="1"/>
      <c r="G269" s="1"/>
      <c r="H269" s="155"/>
      <c r="I269" s="155"/>
      <c r="J269" s="1"/>
      <c r="K269" s="1"/>
      <c r="L269" s="1"/>
      <c r="M269" s="1"/>
    </row>
    <row r="270" ht="14.25" customHeight="1">
      <c r="A270" s="52"/>
      <c r="B270" s="53"/>
      <c r="C270" s="53"/>
      <c r="D270" s="1"/>
      <c r="E270" s="1"/>
      <c r="F270" s="1"/>
      <c r="G270" s="1"/>
      <c r="H270" s="155"/>
      <c r="I270" s="155"/>
      <c r="J270" s="1"/>
      <c r="K270" s="1"/>
      <c r="L270" s="1"/>
      <c r="M270" s="1"/>
    </row>
    <row r="271" ht="14.25" customHeight="1">
      <c r="A271" s="52"/>
      <c r="B271" s="53"/>
      <c r="C271" s="53"/>
      <c r="D271" s="1"/>
      <c r="E271" s="1"/>
      <c r="F271" s="1"/>
      <c r="G271" s="1"/>
      <c r="H271" s="155"/>
      <c r="I271" s="155"/>
      <c r="J271" s="1"/>
      <c r="K271" s="1"/>
      <c r="L271" s="1"/>
      <c r="M271" s="1"/>
    </row>
    <row r="272" ht="14.25" customHeight="1">
      <c r="A272" s="52"/>
      <c r="B272" s="53"/>
      <c r="C272" s="53"/>
      <c r="D272" s="1"/>
      <c r="E272" s="1"/>
      <c r="F272" s="1"/>
      <c r="G272" s="1"/>
      <c r="H272" s="155"/>
      <c r="I272" s="155"/>
      <c r="J272" s="1"/>
      <c r="K272" s="1"/>
      <c r="L272" s="1"/>
      <c r="M272" s="1"/>
    </row>
    <row r="273" ht="14.25" customHeight="1">
      <c r="A273" s="52"/>
      <c r="B273" s="53"/>
      <c r="C273" s="53"/>
      <c r="D273" s="1"/>
      <c r="E273" s="1"/>
      <c r="F273" s="1"/>
      <c r="G273" s="1"/>
      <c r="H273" s="155"/>
      <c r="I273" s="155"/>
      <c r="J273" s="1"/>
      <c r="K273" s="1"/>
      <c r="L273" s="1"/>
      <c r="M273" s="1"/>
    </row>
    <row r="274" ht="14.25" customHeight="1">
      <c r="A274" s="52"/>
      <c r="B274" s="53"/>
      <c r="C274" s="53"/>
      <c r="D274" s="1"/>
      <c r="E274" s="1"/>
      <c r="F274" s="1"/>
      <c r="G274" s="1"/>
      <c r="H274" s="155"/>
      <c r="I274" s="155"/>
      <c r="J274" s="1"/>
      <c r="K274" s="1"/>
      <c r="L274" s="1"/>
      <c r="M274" s="1"/>
    </row>
    <row r="275" ht="14.25" customHeight="1">
      <c r="A275" s="52"/>
      <c r="B275" s="53"/>
      <c r="C275" s="53"/>
      <c r="D275" s="1"/>
      <c r="E275" s="1"/>
      <c r="F275" s="1"/>
      <c r="G275" s="1"/>
      <c r="H275" s="155"/>
      <c r="I275" s="155"/>
      <c r="J275" s="1"/>
      <c r="K275" s="1"/>
      <c r="L275" s="1"/>
      <c r="M275" s="1"/>
    </row>
    <row r="276" ht="14.25" customHeight="1">
      <c r="A276" s="52"/>
      <c r="B276" s="53"/>
      <c r="C276" s="53"/>
      <c r="D276" s="1"/>
      <c r="E276" s="1"/>
      <c r="F276" s="1"/>
      <c r="G276" s="1"/>
      <c r="H276" s="155"/>
      <c r="I276" s="155"/>
      <c r="J276" s="1"/>
      <c r="K276" s="1"/>
      <c r="L276" s="1"/>
      <c r="M276" s="1"/>
    </row>
    <row r="277" ht="14.25" customHeight="1">
      <c r="A277" s="52"/>
      <c r="B277" s="53"/>
      <c r="C277" s="53"/>
      <c r="D277" s="1"/>
      <c r="E277" s="1"/>
      <c r="F277" s="1"/>
      <c r="G277" s="1"/>
      <c r="H277" s="155"/>
      <c r="I277" s="155"/>
      <c r="J277" s="1"/>
      <c r="K277" s="1"/>
      <c r="L277" s="1"/>
      <c r="M277" s="1"/>
    </row>
    <row r="278" ht="14.25" customHeight="1">
      <c r="A278" s="52"/>
      <c r="B278" s="53"/>
      <c r="C278" s="53"/>
      <c r="D278" s="1"/>
      <c r="E278" s="1"/>
      <c r="F278" s="1"/>
      <c r="G278" s="1"/>
      <c r="H278" s="155"/>
      <c r="I278" s="155"/>
      <c r="J278" s="1"/>
      <c r="K278" s="1"/>
      <c r="L278" s="1"/>
      <c r="M278" s="1"/>
    </row>
    <row r="279" ht="14.25" customHeight="1">
      <c r="A279" s="52"/>
      <c r="B279" s="53"/>
      <c r="C279" s="53"/>
      <c r="D279" s="1"/>
      <c r="E279" s="1"/>
      <c r="F279" s="1"/>
      <c r="G279" s="1"/>
      <c r="H279" s="155"/>
      <c r="I279" s="155"/>
      <c r="J279" s="1"/>
      <c r="K279" s="1"/>
      <c r="L279" s="1"/>
      <c r="M279" s="1"/>
    </row>
    <row r="280" ht="14.25" customHeight="1">
      <c r="A280" s="52"/>
      <c r="B280" s="53"/>
      <c r="C280" s="53"/>
      <c r="D280" s="1"/>
      <c r="E280" s="1"/>
      <c r="F280" s="1"/>
      <c r="G280" s="1"/>
      <c r="H280" s="155"/>
      <c r="I280" s="155"/>
      <c r="J280" s="1"/>
      <c r="K280" s="1"/>
      <c r="L280" s="1"/>
      <c r="M280" s="1"/>
    </row>
    <row r="281" ht="14.25" customHeight="1">
      <c r="A281" s="52"/>
      <c r="B281" s="53"/>
      <c r="C281" s="53"/>
      <c r="D281" s="1"/>
      <c r="E281" s="1"/>
      <c r="F281" s="1"/>
      <c r="G281" s="1"/>
      <c r="H281" s="155"/>
      <c r="I281" s="155"/>
      <c r="J281" s="1"/>
      <c r="K281" s="1"/>
      <c r="L281" s="1"/>
      <c r="M281" s="1"/>
    </row>
    <row r="282" ht="14.25" customHeight="1">
      <c r="A282" s="52"/>
      <c r="B282" s="53"/>
      <c r="C282" s="53"/>
      <c r="D282" s="1"/>
      <c r="E282" s="1"/>
      <c r="F282" s="1"/>
      <c r="G282" s="1"/>
      <c r="H282" s="155"/>
      <c r="I282" s="155"/>
      <c r="J282" s="1"/>
      <c r="K282" s="1"/>
      <c r="L282" s="1"/>
      <c r="M282" s="1"/>
    </row>
    <row r="283" ht="14.25" customHeight="1">
      <c r="A283" s="52"/>
      <c r="B283" s="53"/>
      <c r="C283" s="53"/>
      <c r="D283" s="1"/>
      <c r="E283" s="1"/>
      <c r="F283" s="1"/>
      <c r="G283" s="1"/>
      <c r="H283" s="155"/>
      <c r="I283" s="155"/>
      <c r="J283" s="1"/>
      <c r="K283" s="1"/>
      <c r="L283" s="1"/>
      <c r="M283" s="1"/>
    </row>
    <row r="284" ht="14.25" customHeight="1">
      <c r="A284" s="52"/>
      <c r="B284" s="53"/>
      <c r="C284" s="53"/>
      <c r="D284" s="1"/>
      <c r="E284" s="1"/>
      <c r="F284" s="1"/>
      <c r="G284" s="1"/>
      <c r="H284" s="155"/>
      <c r="I284" s="155"/>
      <c r="J284" s="1"/>
      <c r="K284" s="1"/>
      <c r="L284" s="1"/>
      <c r="M284" s="1"/>
    </row>
    <row r="285" ht="14.25" customHeight="1">
      <c r="A285" s="52"/>
      <c r="B285" s="53"/>
      <c r="C285" s="53"/>
      <c r="D285" s="1"/>
      <c r="E285" s="1"/>
      <c r="F285" s="1"/>
      <c r="G285" s="1"/>
      <c r="H285" s="155"/>
      <c r="I285" s="155"/>
      <c r="J285" s="1"/>
      <c r="K285" s="1"/>
      <c r="L285" s="1"/>
      <c r="M285" s="1"/>
    </row>
    <row r="286" ht="14.25" customHeight="1">
      <c r="A286" s="52"/>
      <c r="B286" s="53"/>
      <c r="C286" s="53"/>
      <c r="D286" s="1"/>
      <c r="E286" s="1"/>
      <c r="F286" s="1"/>
      <c r="G286" s="1"/>
      <c r="H286" s="155"/>
      <c r="I286" s="155"/>
      <c r="J286" s="1"/>
      <c r="K286" s="1"/>
      <c r="L286" s="1"/>
      <c r="M286" s="1"/>
    </row>
    <row r="287" ht="14.25" customHeight="1">
      <c r="A287" s="52"/>
      <c r="B287" s="53"/>
      <c r="C287" s="53"/>
      <c r="D287" s="1"/>
      <c r="E287" s="1"/>
      <c r="F287" s="1"/>
      <c r="G287" s="1"/>
      <c r="H287" s="155"/>
      <c r="I287" s="155"/>
      <c r="J287" s="1"/>
      <c r="K287" s="1"/>
      <c r="L287" s="1"/>
      <c r="M287" s="1"/>
    </row>
    <row r="288" ht="14.25" customHeight="1">
      <c r="A288" s="52"/>
      <c r="B288" s="53"/>
      <c r="C288" s="53"/>
      <c r="D288" s="1"/>
      <c r="E288" s="1"/>
      <c r="F288" s="1"/>
      <c r="G288" s="1"/>
      <c r="H288" s="155"/>
      <c r="I288" s="155"/>
      <c r="J288" s="1"/>
      <c r="K288" s="1"/>
      <c r="L288" s="1"/>
      <c r="M288" s="1"/>
    </row>
    <row r="289" ht="14.25" customHeight="1">
      <c r="A289" s="52"/>
      <c r="B289" s="53"/>
      <c r="C289" s="53"/>
      <c r="D289" s="1"/>
      <c r="E289" s="1"/>
      <c r="F289" s="1"/>
      <c r="G289" s="1"/>
      <c r="H289" s="155"/>
      <c r="I289" s="155"/>
      <c r="J289" s="1"/>
      <c r="K289" s="1"/>
      <c r="L289" s="1"/>
      <c r="M289" s="1"/>
    </row>
    <row r="290" ht="14.25" customHeight="1">
      <c r="A290" s="52"/>
      <c r="B290" s="53"/>
      <c r="C290" s="53"/>
      <c r="D290" s="1"/>
      <c r="E290" s="1"/>
      <c r="F290" s="1"/>
      <c r="G290" s="1"/>
      <c r="H290" s="155"/>
      <c r="I290" s="155"/>
      <c r="J290" s="1"/>
      <c r="K290" s="1"/>
      <c r="L290" s="1"/>
      <c r="M290" s="1"/>
    </row>
    <row r="291" ht="14.25" customHeight="1">
      <c r="A291" s="52"/>
      <c r="B291" s="53"/>
      <c r="C291" s="53"/>
      <c r="D291" s="1"/>
      <c r="E291" s="1"/>
      <c r="F291" s="1"/>
      <c r="G291" s="1"/>
      <c r="H291" s="155"/>
      <c r="I291" s="155"/>
      <c r="J291" s="1"/>
      <c r="K291" s="1"/>
      <c r="L291" s="1"/>
      <c r="M291" s="1"/>
    </row>
    <row r="292" ht="14.25" customHeight="1">
      <c r="A292" s="52"/>
      <c r="B292" s="53"/>
      <c r="C292" s="53"/>
      <c r="D292" s="1"/>
      <c r="E292" s="1"/>
      <c r="F292" s="1"/>
      <c r="G292" s="1"/>
      <c r="H292" s="155"/>
      <c r="I292" s="155"/>
      <c r="J292" s="1"/>
      <c r="K292" s="1"/>
      <c r="L292" s="1"/>
      <c r="M292" s="1"/>
    </row>
    <row r="293" ht="14.25" customHeight="1">
      <c r="A293" s="52"/>
      <c r="B293" s="53"/>
      <c r="C293" s="53"/>
      <c r="D293" s="1"/>
      <c r="E293" s="1"/>
      <c r="F293" s="1"/>
      <c r="G293" s="1"/>
      <c r="H293" s="155"/>
      <c r="I293" s="155"/>
      <c r="J293" s="1"/>
      <c r="K293" s="1"/>
      <c r="L293" s="1"/>
      <c r="M293" s="1"/>
    </row>
    <row r="294" ht="14.25" customHeight="1">
      <c r="A294" s="52"/>
      <c r="B294" s="53"/>
      <c r="C294" s="53"/>
      <c r="D294" s="1"/>
      <c r="E294" s="1"/>
      <c r="F294" s="1"/>
      <c r="G294" s="1"/>
      <c r="H294" s="155"/>
      <c r="I294" s="155"/>
      <c r="J294" s="1"/>
      <c r="K294" s="1"/>
      <c r="L294" s="1"/>
      <c r="M294" s="1"/>
    </row>
    <row r="295" ht="14.25" customHeight="1">
      <c r="A295" s="52"/>
      <c r="B295" s="53"/>
      <c r="C295" s="53"/>
      <c r="D295" s="1"/>
      <c r="E295" s="1"/>
      <c r="F295" s="1"/>
      <c r="G295" s="1"/>
      <c r="H295" s="155"/>
      <c r="I295" s="155"/>
      <c r="J295" s="1"/>
      <c r="K295" s="1"/>
      <c r="L295" s="1"/>
      <c r="M295" s="1"/>
    </row>
    <row r="296" ht="14.25" customHeight="1">
      <c r="A296" s="52"/>
      <c r="B296" s="53"/>
      <c r="C296" s="53"/>
      <c r="D296" s="1"/>
      <c r="E296" s="1"/>
      <c r="F296" s="1"/>
      <c r="G296" s="1"/>
      <c r="H296" s="155"/>
      <c r="I296" s="155"/>
      <c r="J296" s="1"/>
      <c r="K296" s="1"/>
      <c r="L296" s="1"/>
      <c r="M296" s="1"/>
    </row>
    <row r="297" ht="14.25" customHeight="1">
      <c r="A297" s="52"/>
      <c r="B297" s="53"/>
      <c r="C297" s="53"/>
      <c r="D297" s="1"/>
      <c r="E297" s="1"/>
      <c r="F297" s="1"/>
      <c r="G297" s="1"/>
      <c r="H297" s="155"/>
      <c r="I297" s="155"/>
      <c r="J297" s="1"/>
      <c r="K297" s="1"/>
      <c r="L297" s="1"/>
      <c r="M297" s="1"/>
    </row>
    <row r="298" ht="14.25" customHeight="1">
      <c r="A298" s="52"/>
      <c r="B298" s="53"/>
      <c r="C298" s="53"/>
      <c r="D298" s="1"/>
      <c r="E298" s="1"/>
      <c r="F298" s="1"/>
      <c r="G298" s="1"/>
      <c r="H298" s="155"/>
      <c r="I298" s="155"/>
      <c r="J298" s="1"/>
      <c r="K298" s="1"/>
      <c r="L298" s="1"/>
      <c r="M298" s="1"/>
    </row>
    <row r="299" ht="14.25" customHeight="1">
      <c r="A299" s="52"/>
      <c r="B299" s="53"/>
      <c r="C299" s="53"/>
      <c r="D299" s="1"/>
      <c r="E299" s="1"/>
      <c r="F299" s="1"/>
      <c r="G299" s="1"/>
      <c r="H299" s="155"/>
      <c r="I299" s="155"/>
      <c r="J299" s="1"/>
      <c r="K299" s="1"/>
      <c r="L299" s="1"/>
      <c r="M299" s="1"/>
    </row>
    <row r="300" ht="14.25" customHeight="1">
      <c r="A300" s="52"/>
      <c r="B300" s="53"/>
      <c r="C300" s="53"/>
      <c r="D300" s="1"/>
      <c r="E300" s="1"/>
      <c r="F300" s="1"/>
      <c r="G300" s="1"/>
      <c r="H300" s="155"/>
      <c r="I300" s="155"/>
      <c r="J300" s="1"/>
      <c r="K300" s="1"/>
      <c r="L300" s="1"/>
      <c r="M300" s="1"/>
    </row>
    <row r="301" ht="14.25" customHeight="1">
      <c r="A301" s="52"/>
      <c r="B301" s="53"/>
      <c r="C301" s="53"/>
      <c r="D301" s="1"/>
      <c r="E301" s="1"/>
      <c r="F301" s="1"/>
      <c r="G301" s="1"/>
      <c r="H301" s="155"/>
      <c r="I301" s="155"/>
      <c r="J301" s="1"/>
      <c r="K301" s="1"/>
      <c r="L301" s="1"/>
      <c r="M301" s="1"/>
    </row>
    <row r="302" ht="14.25" customHeight="1">
      <c r="A302" s="52"/>
      <c r="B302" s="53"/>
      <c r="C302" s="53"/>
      <c r="D302" s="1"/>
      <c r="E302" s="1"/>
      <c r="F302" s="1"/>
      <c r="G302" s="1"/>
      <c r="H302" s="155"/>
      <c r="I302" s="155"/>
      <c r="J302" s="1"/>
      <c r="K302" s="1"/>
      <c r="L302" s="1"/>
      <c r="M302" s="1"/>
    </row>
    <row r="303" ht="14.25" customHeight="1">
      <c r="A303" s="52"/>
      <c r="B303" s="53"/>
      <c r="C303" s="53"/>
      <c r="D303" s="1"/>
      <c r="E303" s="1"/>
      <c r="F303" s="1"/>
      <c r="G303" s="1"/>
      <c r="H303" s="155"/>
      <c r="I303" s="155"/>
      <c r="J303" s="1"/>
      <c r="K303" s="1"/>
      <c r="L303" s="1"/>
      <c r="M303" s="1"/>
    </row>
    <row r="304" ht="14.25" customHeight="1">
      <c r="A304" s="52"/>
      <c r="B304" s="53"/>
      <c r="C304" s="53"/>
      <c r="D304" s="1"/>
      <c r="E304" s="1"/>
      <c r="F304" s="1"/>
      <c r="G304" s="1"/>
      <c r="H304" s="155"/>
      <c r="I304" s="155"/>
      <c r="J304" s="1"/>
      <c r="K304" s="1"/>
      <c r="L304" s="1"/>
      <c r="M304" s="1"/>
    </row>
    <row r="305" ht="14.25" customHeight="1">
      <c r="A305" s="52"/>
      <c r="B305" s="53"/>
      <c r="C305" s="53"/>
      <c r="D305" s="1"/>
      <c r="E305" s="1"/>
      <c r="F305" s="1"/>
      <c r="G305" s="1"/>
      <c r="H305" s="155"/>
      <c r="I305" s="155"/>
      <c r="J305" s="1"/>
      <c r="K305" s="1"/>
      <c r="L305" s="1"/>
      <c r="M305" s="1"/>
    </row>
    <row r="306" ht="14.25" customHeight="1">
      <c r="A306" s="52"/>
      <c r="B306" s="53"/>
      <c r="C306" s="53"/>
      <c r="D306" s="1"/>
      <c r="E306" s="1"/>
      <c r="F306" s="1"/>
      <c r="G306" s="1"/>
      <c r="H306" s="155"/>
      <c r="I306" s="155"/>
      <c r="J306" s="1"/>
      <c r="K306" s="1"/>
      <c r="L306" s="1"/>
      <c r="M306" s="1"/>
    </row>
    <row r="307" ht="14.25" customHeight="1">
      <c r="A307" s="52"/>
      <c r="B307" s="53"/>
      <c r="C307" s="53"/>
      <c r="D307" s="1"/>
      <c r="E307" s="1"/>
      <c r="F307" s="1"/>
      <c r="G307" s="1"/>
      <c r="H307" s="155"/>
      <c r="I307" s="155"/>
      <c r="J307" s="1"/>
      <c r="K307" s="1"/>
      <c r="L307" s="1"/>
      <c r="M307" s="1"/>
    </row>
    <row r="308" ht="14.25" customHeight="1">
      <c r="A308" s="52"/>
      <c r="B308" s="53"/>
      <c r="C308" s="53"/>
      <c r="D308" s="1"/>
      <c r="E308" s="1"/>
      <c r="F308" s="1"/>
      <c r="G308" s="1"/>
      <c r="H308" s="155"/>
      <c r="I308" s="155"/>
      <c r="J308" s="1"/>
      <c r="K308" s="1"/>
      <c r="L308" s="1"/>
      <c r="M308" s="1"/>
    </row>
    <row r="309" ht="14.25" customHeight="1">
      <c r="A309" s="52"/>
      <c r="B309" s="53"/>
      <c r="C309" s="53"/>
      <c r="D309" s="1"/>
      <c r="E309" s="1"/>
      <c r="F309" s="1"/>
      <c r="G309" s="1"/>
      <c r="H309" s="155"/>
      <c r="I309" s="155"/>
      <c r="J309" s="1"/>
      <c r="K309" s="1"/>
      <c r="L309" s="1"/>
      <c r="M309" s="1"/>
    </row>
    <row r="310" ht="14.25" customHeight="1">
      <c r="A310" s="52"/>
      <c r="B310" s="53"/>
      <c r="C310" s="53"/>
      <c r="D310" s="1"/>
      <c r="E310" s="1"/>
      <c r="F310" s="1"/>
      <c r="G310" s="1"/>
      <c r="H310" s="155"/>
      <c r="I310" s="155"/>
      <c r="J310" s="1"/>
      <c r="K310" s="1"/>
      <c r="L310" s="1"/>
      <c r="M310" s="1"/>
    </row>
    <row r="311" ht="14.25" customHeight="1">
      <c r="A311" s="52"/>
      <c r="B311" s="53"/>
      <c r="C311" s="53"/>
      <c r="D311" s="1"/>
      <c r="E311" s="1"/>
      <c r="F311" s="1"/>
      <c r="G311" s="1"/>
      <c r="H311" s="155"/>
      <c r="I311" s="155"/>
      <c r="J311" s="1"/>
      <c r="K311" s="1"/>
      <c r="L311" s="1"/>
      <c r="M311" s="1"/>
    </row>
    <row r="312" ht="14.25" customHeight="1">
      <c r="A312" s="52"/>
      <c r="B312" s="53"/>
      <c r="C312" s="53"/>
      <c r="D312" s="1"/>
      <c r="E312" s="1"/>
      <c r="F312" s="1"/>
      <c r="G312" s="1"/>
      <c r="H312" s="155"/>
      <c r="I312" s="155"/>
      <c r="J312" s="1"/>
      <c r="K312" s="1"/>
      <c r="L312" s="1"/>
      <c r="M312" s="1"/>
    </row>
    <row r="313" ht="14.25" customHeight="1">
      <c r="A313" s="52"/>
      <c r="B313" s="53"/>
      <c r="C313" s="53"/>
      <c r="D313" s="1"/>
      <c r="E313" s="1"/>
      <c r="F313" s="1"/>
      <c r="G313" s="1"/>
      <c r="H313" s="155"/>
      <c r="I313" s="155"/>
      <c r="J313" s="1"/>
      <c r="K313" s="1"/>
      <c r="L313" s="1"/>
      <c r="M313" s="1"/>
    </row>
    <row r="314" ht="14.25" customHeight="1">
      <c r="A314" s="52"/>
      <c r="B314" s="53"/>
      <c r="C314" s="53"/>
      <c r="D314" s="1"/>
      <c r="E314" s="1"/>
      <c r="F314" s="1"/>
      <c r="G314" s="1"/>
      <c r="H314" s="155"/>
      <c r="I314" s="155"/>
      <c r="J314" s="1"/>
      <c r="K314" s="1"/>
      <c r="L314" s="1"/>
      <c r="M314" s="1"/>
    </row>
    <row r="315" ht="14.25" customHeight="1">
      <c r="A315" s="52"/>
      <c r="B315" s="53"/>
      <c r="C315" s="53"/>
      <c r="D315" s="1"/>
      <c r="E315" s="1"/>
      <c r="F315" s="1"/>
      <c r="G315" s="1"/>
      <c r="H315" s="155"/>
      <c r="I315" s="155"/>
      <c r="J315" s="1"/>
      <c r="K315" s="1"/>
      <c r="L315" s="1"/>
      <c r="M315" s="1"/>
    </row>
    <row r="316" ht="14.25" customHeight="1">
      <c r="A316" s="52"/>
      <c r="B316" s="53"/>
      <c r="C316" s="53"/>
      <c r="D316" s="1"/>
      <c r="E316" s="1"/>
      <c r="F316" s="1"/>
      <c r="G316" s="1"/>
      <c r="H316" s="155"/>
      <c r="I316" s="155"/>
      <c r="J316" s="1"/>
      <c r="K316" s="1"/>
      <c r="L316" s="1"/>
      <c r="M316" s="1"/>
    </row>
    <row r="317" ht="14.25" customHeight="1">
      <c r="A317" s="52"/>
      <c r="B317" s="53"/>
      <c r="C317" s="53"/>
      <c r="D317" s="1"/>
      <c r="E317" s="1"/>
      <c r="F317" s="1"/>
      <c r="G317" s="1"/>
      <c r="H317" s="155"/>
      <c r="I317" s="155"/>
      <c r="J317" s="1"/>
      <c r="K317" s="1"/>
      <c r="L317" s="1"/>
      <c r="M317" s="1"/>
    </row>
    <row r="318" ht="14.25" customHeight="1">
      <c r="A318" s="52"/>
      <c r="B318" s="53"/>
      <c r="C318" s="53"/>
      <c r="D318" s="1"/>
      <c r="E318" s="1"/>
      <c r="F318" s="1"/>
      <c r="G318" s="1"/>
      <c r="H318" s="155"/>
      <c r="I318" s="155"/>
      <c r="J318" s="1"/>
      <c r="K318" s="1"/>
      <c r="L318" s="1"/>
      <c r="M318" s="1"/>
    </row>
    <row r="319" ht="14.25" customHeight="1">
      <c r="A319" s="52"/>
      <c r="B319" s="53"/>
      <c r="C319" s="53"/>
      <c r="D319" s="1"/>
      <c r="E319" s="1"/>
      <c r="F319" s="1"/>
      <c r="G319" s="1"/>
      <c r="H319" s="155"/>
      <c r="I319" s="155"/>
      <c r="J319" s="1"/>
      <c r="K319" s="1"/>
      <c r="L319" s="1"/>
      <c r="M319" s="1"/>
    </row>
    <row r="320" ht="14.25" customHeight="1">
      <c r="A320" s="52"/>
      <c r="B320" s="53"/>
      <c r="C320" s="53"/>
      <c r="D320" s="1"/>
      <c r="E320" s="1"/>
      <c r="F320" s="1"/>
      <c r="G320" s="1"/>
      <c r="H320" s="155"/>
      <c r="I320" s="155"/>
      <c r="J320" s="1"/>
      <c r="K320" s="1"/>
      <c r="L320" s="1"/>
      <c r="M320" s="1"/>
    </row>
    <row r="321" ht="14.25" customHeight="1">
      <c r="A321" s="52"/>
      <c r="B321" s="53"/>
      <c r="C321" s="53"/>
      <c r="D321" s="1"/>
      <c r="E321" s="1"/>
      <c r="F321" s="1"/>
      <c r="G321" s="1"/>
      <c r="H321" s="155"/>
      <c r="I321" s="155"/>
      <c r="J321" s="1"/>
      <c r="K321" s="1"/>
      <c r="L321" s="1"/>
      <c r="M321" s="1"/>
    </row>
    <row r="322" ht="14.25" customHeight="1">
      <c r="A322" s="52"/>
      <c r="B322" s="53"/>
      <c r="C322" s="53"/>
      <c r="D322" s="1"/>
      <c r="E322" s="1"/>
      <c r="F322" s="1"/>
      <c r="G322" s="1"/>
      <c r="H322" s="155"/>
      <c r="I322" s="155"/>
      <c r="J322" s="1"/>
      <c r="K322" s="1"/>
      <c r="L322" s="1"/>
      <c r="M322" s="1"/>
    </row>
    <row r="323" ht="14.25" customHeight="1">
      <c r="A323" s="52"/>
      <c r="B323" s="53"/>
      <c r="C323" s="53"/>
      <c r="D323" s="1"/>
      <c r="E323" s="1"/>
      <c r="F323" s="1"/>
      <c r="G323" s="1"/>
      <c r="H323" s="155"/>
      <c r="I323" s="155"/>
      <c r="J323" s="1"/>
      <c r="K323" s="1"/>
      <c r="L323" s="1"/>
      <c r="M323" s="1"/>
    </row>
    <row r="324" ht="14.25" customHeight="1">
      <c r="A324" s="52"/>
      <c r="B324" s="53"/>
      <c r="C324" s="53"/>
      <c r="D324" s="1"/>
      <c r="E324" s="1"/>
      <c r="F324" s="1"/>
      <c r="G324" s="1"/>
      <c r="H324" s="155"/>
      <c r="I324" s="155"/>
      <c r="J324" s="1"/>
      <c r="K324" s="1"/>
      <c r="L324" s="1"/>
      <c r="M324" s="1"/>
    </row>
    <row r="325" ht="14.25" customHeight="1">
      <c r="A325" s="52"/>
      <c r="B325" s="53"/>
      <c r="C325" s="53"/>
      <c r="D325" s="1"/>
      <c r="E325" s="1"/>
      <c r="F325" s="1"/>
      <c r="G325" s="1"/>
      <c r="H325" s="155"/>
      <c r="I325" s="155"/>
      <c r="J325" s="1"/>
      <c r="K325" s="1"/>
      <c r="L325" s="1"/>
      <c r="M325" s="1"/>
    </row>
    <row r="326" ht="14.25" customHeight="1">
      <c r="A326" s="52"/>
      <c r="B326" s="53"/>
      <c r="C326" s="53"/>
      <c r="D326" s="1"/>
      <c r="E326" s="1"/>
      <c r="F326" s="1"/>
      <c r="G326" s="1"/>
      <c r="H326" s="155"/>
      <c r="I326" s="155"/>
      <c r="J326" s="1"/>
      <c r="K326" s="1"/>
      <c r="L326" s="1"/>
      <c r="M326" s="1"/>
    </row>
    <row r="327" ht="14.25" customHeight="1">
      <c r="A327" s="52"/>
      <c r="B327" s="53"/>
      <c r="C327" s="53"/>
      <c r="D327" s="1"/>
      <c r="E327" s="1"/>
      <c r="F327" s="1"/>
      <c r="G327" s="1"/>
      <c r="H327" s="155"/>
      <c r="I327" s="155"/>
      <c r="J327" s="1"/>
      <c r="K327" s="1"/>
      <c r="L327" s="1"/>
      <c r="M327" s="1"/>
    </row>
    <row r="328" ht="14.25" customHeight="1">
      <c r="A328" s="52"/>
      <c r="B328" s="53"/>
      <c r="C328" s="53"/>
      <c r="D328" s="1"/>
      <c r="E328" s="1"/>
      <c r="F328" s="1"/>
      <c r="G328" s="1"/>
      <c r="H328" s="155"/>
      <c r="I328" s="155"/>
      <c r="J328" s="1"/>
      <c r="K328" s="1"/>
      <c r="L328" s="1"/>
      <c r="M328" s="1"/>
    </row>
    <row r="329" ht="14.25" customHeight="1">
      <c r="A329" s="52"/>
      <c r="B329" s="53"/>
      <c r="C329" s="53"/>
      <c r="D329" s="1"/>
      <c r="E329" s="1"/>
      <c r="F329" s="1"/>
      <c r="G329" s="1"/>
      <c r="H329" s="155"/>
      <c r="I329" s="155"/>
      <c r="J329" s="1"/>
      <c r="K329" s="1"/>
      <c r="L329" s="1"/>
      <c r="M329" s="1"/>
    </row>
    <row r="330" ht="14.25" customHeight="1">
      <c r="A330" s="52"/>
      <c r="B330" s="53"/>
      <c r="C330" s="53"/>
      <c r="D330" s="1"/>
      <c r="E330" s="1"/>
      <c r="F330" s="1"/>
      <c r="G330" s="1"/>
      <c r="H330" s="155"/>
      <c r="I330" s="155"/>
      <c r="J330" s="1"/>
      <c r="K330" s="1"/>
      <c r="L330" s="1"/>
      <c r="M330" s="1"/>
    </row>
    <row r="331" ht="14.25" customHeight="1">
      <c r="A331" s="52"/>
      <c r="B331" s="53"/>
      <c r="C331" s="53"/>
      <c r="D331" s="1"/>
      <c r="E331" s="1"/>
      <c r="F331" s="1"/>
      <c r="G331" s="1"/>
      <c r="H331" s="155"/>
      <c r="I331" s="155"/>
      <c r="J331" s="1"/>
      <c r="K331" s="1"/>
      <c r="L331" s="1"/>
      <c r="M331" s="1"/>
    </row>
    <row r="332" ht="14.25" customHeight="1">
      <c r="A332" s="52"/>
      <c r="B332" s="53"/>
      <c r="C332" s="53"/>
      <c r="D332" s="1"/>
      <c r="E332" s="1"/>
      <c r="F332" s="1"/>
      <c r="G332" s="1"/>
      <c r="H332" s="155"/>
      <c r="I332" s="155"/>
      <c r="J332" s="1"/>
      <c r="K332" s="1"/>
      <c r="L332" s="1"/>
      <c r="M332" s="1"/>
    </row>
    <row r="333" ht="14.25" customHeight="1">
      <c r="A333" s="52"/>
      <c r="B333" s="53"/>
      <c r="C333" s="53"/>
      <c r="D333" s="1"/>
      <c r="E333" s="1"/>
      <c r="F333" s="1"/>
      <c r="G333" s="1"/>
      <c r="H333" s="155"/>
      <c r="I333" s="155"/>
      <c r="J333" s="1"/>
      <c r="K333" s="1"/>
      <c r="L333" s="1"/>
      <c r="M333" s="1"/>
    </row>
    <row r="334" ht="14.25" customHeight="1">
      <c r="A334" s="52"/>
      <c r="B334" s="53"/>
      <c r="C334" s="53"/>
      <c r="D334" s="1"/>
      <c r="E334" s="1"/>
      <c r="F334" s="1"/>
      <c r="G334" s="1"/>
      <c r="H334" s="155"/>
      <c r="I334" s="155"/>
      <c r="J334" s="1"/>
      <c r="K334" s="1"/>
      <c r="L334" s="1"/>
      <c r="M334" s="1"/>
    </row>
    <row r="335" ht="14.25" customHeight="1">
      <c r="A335" s="52"/>
      <c r="B335" s="53"/>
      <c r="C335" s="53"/>
      <c r="D335" s="1"/>
      <c r="E335" s="1"/>
      <c r="F335" s="1"/>
      <c r="G335" s="1"/>
      <c r="H335" s="155"/>
      <c r="I335" s="155"/>
      <c r="J335" s="1"/>
      <c r="K335" s="1"/>
      <c r="L335" s="1"/>
      <c r="M335" s="1"/>
    </row>
    <row r="336" ht="14.25" customHeight="1">
      <c r="A336" s="52"/>
      <c r="B336" s="53"/>
      <c r="C336" s="53"/>
      <c r="D336" s="1"/>
      <c r="E336" s="1"/>
      <c r="F336" s="1"/>
      <c r="G336" s="1"/>
      <c r="H336" s="155"/>
      <c r="I336" s="155"/>
      <c r="J336" s="1"/>
      <c r="K336" s="1"/>
      <c r="L336" s="1"/>
      <c r="M336" s="1"/>
    </row>
    <row r="337" ht="14.25" customHeight="1">
      <c r="A337" s="52"/>
      <c r="B337" s="53"/>
      <c r="C337" s="53"/>
      <c r="D337" s="1"/>
      <c r="E337" s="1"/>
      <c r="F337" s="1"/>
      <c r="G337" s="1"/>
      <c r="H337" s="155"/>
      <c r="I337" s="155"/>
      <c r="J337" s="1"/>
      <c r="K337" s="1"/>
      <c r="L337" s="1"/>
      <c r="M337" s="1"/>
    </row>
    <row r="338" ht="14.25" customHeight="1">
      <c r="A338" s="52"/>
      <c r="B338" s="53"/>
      <c r="C338" s="53"/>
      <c r="D338" s="1"/>
      <c r="E338" s="1"/>
      <c r="F338" s="1"/>
      <c r="G338" s="1"/>
      <c r="H338" s="155"/>
      <c r="I338" s="155"/>
      <c r="J338" s="1"/>
      <c r="K338" s="1"/>
      <c r="L338" s="1"/>
      <c r="M338" s="1"/>
    </row>
    <row r="339" ht="14.25" customHeight="1">
      <c r="A339" s="52"/>
      <c r="B339" s="53"/>
      <c r="C339" s="53"/>
      <c r="D339" s="1"/>
      <c r="E339" s="1"/>
      <c r="F339" s="1"/>
      <c r="G339" s="1"/>
      <c r="H339" s="155"/>
      <c r="I339" s="155"/>
      <c r="J339" s="1"/>
      <c r="K339" s="1"/>
      <c r="L339" s="1"/>
      <c r="M339" s="1"/>
    </row>
    <row r="340" ht="14.25" customHeight="1">
      <c r="A340" s="52"/>
      <c r="B340" s="53"/>
      <c r="C340" s="53"/>
      <c r="D340" s="1"/>
      <c r="E340" s="1"/>
      <c r="F340" s="1"/>
      <c r="G340" s="1"/>
      <c r="H340" s="155"/>
      <c r="I340" s="155"/>
      <c r="J340" s="1"/>
      <c r="K340" s="1"/>
      <c r="L340" s="1"/>
      <c r="M340" s="1"/>
    </row>
    <row r="341" ht="14.25" customHeight="1">
      <c r="A341" s="52"/>
      <c r="B341" s="53"/>
      <c r="C341" s="53"/>
      <c r="D341" s="1"/>
      <c r="E341" s="1"/>
      <c r="F341" s="1"/>
      <c r="G341" s="1"/>
      <c r="H341" s="155"/>
      <c r="I341" s="155"/>
      <c r="J341" s="1"/>
      <c r="K341" s="1"/>
      <c r="L341" s="1"/>
      <c r="M341" s="1"/>
    </row>
    <row r="342" ht="14.25" customHeight="1">
      <c r="A342" s="52"/>
      <c r="B342" s="53"/>
      <c r="C342" s="53"/>
      <c r="D342" s="1"/>
      <c r="E342" s="1"/>
      <c r="F342" s="1"/>
      <c r="G342" s="1"/>
      <c r="H342" s="155"/>
      <c r="I342" s="155"/>
      <c r="J342" s="1"/>
      <c r="K342" s="1"/>
      <c r="L342" s="1"/>
      <c r="M342" s="1"/>
    </row>
    <row r="343" ht="14.25" customHeight="1">
      <c r="A343" s="52"/>
      <c r="B343" s="53"/>
      <c r="C343" s="53"/>
      <c r="D343" s="1"/>
      <c r="E343" s="1"/>
      <c r="F343" s="1"/>
      <c r="G343" s="1"/>
      <c r="H343" s="155"/>
      <c r="I343" s="155"/>
      <c r="J343" s="1"/>
      <c r="K343" s="1"/>
      <c r="L343" s="1"/>
      <c r="M343" s="1"/>
    </row>
    <row r="344" ht="14.25" customHeight="1">
      <c r="A344" s="52"/>
      <c r="B344" s="53"/>
      <c r="C344" s="53"/>
      <c r="D344" s="1"/>
      <c r="E344" s="1"/>
      <c r="F344" s="1"/>
      <c r="G344" s="1"/>
      <c r="H344" s="155"/>
      <c r="I344" s="155"/>
      <c r="J344" s="1"/>
      <c r="K344" s="1"/>
      <c r="L344" s="1"/>
      <c r="M344" s="1"/>
    </row>
    <row r="345" ht="14.25" customHeight="1">
      <c r="A345" s="52"/>
      <c r="B345" s="53"/>
      <c r="C345" s="53"/>
      <c r="D345" s="1"/>
      <c r="E345" s="1"/>
      <c r="F345" s="1"/>
      <c r="G345" s="1"/>
      <c r="H345" s="155"/>
      <c r="I345" s="155"/>
      <c r="J345" s="1"/>
      <c r="K345" s="1"/>
      <c r="L345" s="1"/>
      <c r="M345" s="1"/>
    </row>
    <row r="346" ht="14.25" customHeight="1">
      <c r="A346" s="52"/>
      <c r="B346" s="53"/>
      <c r="C346" s="53"/>
      <c r="D346" s="1"/>
      <c r="E346" s="1"/>
      <c r="F346" s="1"/>
      <c r="G346" s="1"/>
      <c r="H346" s="155"/>
      <c r="I346" s="155"/>
      <c r="J346" s="1"/>
      <c r="K346" s="1"/>
      <c r="L346" s="1"/>
      <c r="M346" s="1"/>
    </row>
    <row r="347" ht="14.25" customHeight="1">
      <c r="A347" s="52"/>
      <c r="B347" s="53"/>
      <c r="C347" s="53"/>
      <c r="D347" s="1"/>
      <c r="E347" s="1"/>
      <c r="F347" s="1"/>
      <c r="G347" s="1"/>
      <c r="H347" s="155"/>
      <c r="I347" s="155"/>
      <c r="J347" s="1"/>
      <c r="K347" s="1"/>
      <c r="L347" s="1"/>
      <c r="M347" s="1"/>
    </row>
    <row r="348" ht="14.25" customHeight="1">
      <c r="A348" s="52"/>
      <c r="B348" s="53"/>
      <c r="C348" s="53"/>
      <c r="D348" s="1"/>
      <c r="E348" s="1"/>
      <c r="F348" s="1"/>
      <c r="G348" s="1"/>
      <c r="H348" s="155"/>
      <c r="I348" s="155"/>
      <c r="J348" s="1"/>
      <c r="K348" s="1"/>
      <c r="L348" s="1"/>
      <c r="M348" s="1"/>
    </row>
    <row r="349" ht="14.25" customHeight="1">
      <c r="A349" s="52"/>
      <c r="B349" s="53"/>
      <c r="C349" s="53"/>
      <c r="D349" s="1"/>
      <c r="E349" s="1"/>
      <c r="F349" s="1"/>
      <c r="G349" s="1"/>
      <c r="H349" s="155"/>
      <c r="I349" s="155"/>
      <c r="J349" s="1"/>
      <c r="K349" s="1"/>
      <c r="L349" s="1"/>
      <c r="M349" s="1"/>
    </row>
    <row r="350" ht="14.25" customHeight="1">
      <c r="A350" s="52"/>
      <c r="B350" s="53"/>
      <c r="C350" s="53"/>
      <c r="D350" s="1"/>
      <c r="E350" s="1"/>
      <c r="F350" s="1"/>
      <c r="G350" s="1"/>
      <c r="H350" s="155"/>
      <c r="I350" s="155"/>
      <c r="J350" s="1"/>
      <c r="K350" s="1"/>
      <c r="L350" s="1"/>
      <c r="M350" s="1"/>
    </row>
    <row r="351" ht="14.25" customHeight="1">
      <c r="A351" s="52"/>
      <c r="B351" s="53"/>
      <c r="C351" s="53"/>
      <c r="D351" s="1"/>
      <c r="E351" s="1"/>
      <c r="F351" s="1"/>
      <c r="G351" s="1"/>
      <c r="H351" s="155"/>
      <c r="I351" s="155"/>
      <c r="J351" s="1"/>
      <c r="K351" s="1"/>
      <c r="L351" s="1"/>
      <c r="M351" s="1"/>
    </row>
    <row r="352" ht="14.25" customHeight="1">
      <c r="A352" s="52"/>
      <c r="B352" s="53"/>
      <c r="C352" s="53"/>
      <c r="D352" s="1"/>
      <c r="E352" s="1"/>
      <c r="F352" s="1"/>
      <c r="G352" s="1"/>
      <c r="H352" s="155"/>
      <c r="I352" s="155"/>
      <c r="J352" s="1"/>
      <c r="K352" s="1"/>
      <c r="L352" s="1"/>
      <c r="M352" s="1"/>
    </row>
    <row r="353" ht="14.25" customHeight="1">
      <c r="A353" s="52"/>
      <c r="B353" s="53"/>
      <c r="C353" s="53"/>
      <c r="D353" s="1"/>
      <c r="E353" s="1"/>
      <c r="F353" s="1"/>
      <c r="G353" s="1"/>
      <c r="H353" s="155"/>
      <c r="I353" s="155"/>
      <c r="J353" s="1"/>
      <c r="K353" s="1"/>
      <c r="L353" s="1"/>
      <c r="M353" s="1"/>
    </row>
    <row r="354" ht="14.25" customHeight="1">
      <c r="A354" s="52"/>
      <c r="B354" s="53"/>
      <c r="C354" s="53"/>
      <c r="D354" s="1"/>
      <c r="E354" s="1"/>
      <c r="F354" s="1"/>
      <c r="G354" s="1"/>
      <c r="H354" s="155"/>
      <c r="I354" s="155"/>
      <c r="J354" s="1"/>
      <c r="K354" s="1"/>
      <c r="L354" s="1"/>
      <c r="M354" s="1"/>
    </row>
    <row r="355" ht="14.25" customHeight="1">
      <c r="A355" s="52"/>
      <c r="B355" s="53"/>
      <c r="C355" s="53"/>
      <c r="D355" s="1"/>
      <c r="E355" s="1"/>
      <c r="F355" s="1"/>
      <c r="G355" s="1"/>
      <c r="H355" s="155"/>
      <c r="I355" s="155"/>
      <c r="J355" s="1"/>
      <c r="K355" s="1"/>
      <c r="L355" s="1"/>
      <c r="M355" s="1"/>
    </row>
    <row r="356" ht="14.25" customHeight="1">
      <c r="A356" s="52"/>
      <c r="B356" s="53"/>
      <c r="C356" s="53"/>
      <c r="D356" s="1"/>
      <c r="E356" s="1"/>
      <c r="F356" s="1"/>
      <c r="G356" s="1"/>
      <c r="H356" s="155"/>
      <c r="I356" s="155"/>
      <c r="J356" s="1"/>
      <c r="K356" s="1"/>
      <c r="L356" s="1"/>
      <c r="M356" s="1"/>
    </row>
    <row r="357" ht="14.25" customHeight="1">
      <c r="A357" s="52"/>
      <c r="B357" s="53"/>
      <c r="C357" s="53"/>
      <c r="D357" s="1"/>
      <c r="E357" s="1"/>
      <c r="F357" s="1"/>
      <c r="G357" s="1"/>
      <c r="H357" s="155"/>
      <c r="I357" s="155"/>
      <c r="J357" s="1"/>
      <c r="K357" s="1"/>
      <c r="L357" s="1"/>
      <c r="M357" s="1"/>
    </row>
    <row r="358" ht="14.25" customHeight="1">
      <c r="A358" s="52"/>
      <c r="B358" s="53"/>
      <c r="C358" s="53"/>
      <c r="D358" s="1"/>
      <c r="E358" s="1"/>
      <c r="F358" s="1"/>
      <c r="G358" s="1"/>
      <c r="H358" s="155"/>
      <c r="I358" s="155"/>
      <c r="J358" s="1"/>
      <c r="K358" s="1"/>
      <c r="L358" s="1"/>
      <c r="M358" s="1"/>
    </row>
    <row r="359" ht="14.25" customHeight="1">
      <c r="A359" s="52"/>
      <c r="B359" s="53"/>
      <c r="C359" s="53"/>
      <c r="D359" s="1"/>
      <c r="E359" s="1"/>
      <c r="F359" s="1"/>
      <c r="G359" s="1"/>
      <c r="H359" s="155"/>
      <c r="I359" s="155"/>
      <c r="J359" s="1"/>
      <c r="K359" s="1"/>
      <c r="L359" s="1"/>
      <c r="M359" s="1"/>
    </row>
    <row r="360" ht="14.25" customHeight="1">
      <c r="A360" s="52"/>
      <c r="B360" s="53"/>
      <c r="C360" s="53"/>
      <c r="D360" s="1"/>
      <c r="E360" s="1"/>
      <c r="F360" s="1"/>
      <c r="G360" s="1"/>
      <c r="H360" s="155"/>
      <c r="I360" s="155"/>
      <c r="J360" s="1"/>
      <c r="K360" s="1"/>
      <c r="L360" s="1"/>
      <c r="M360" s="1"/>
    </row>
    <row r="361" ht="14.25" customHeight="1">
      <c r="A361" s="52"/>
      <c r="B361" s="53"/>
      <c r="C361" s="53"/>
      <c r="D361" s="1"/>
      <c r="E361" s="1"/>
      <c r="F361" s="1"/>
      <c r="G361" s="1"/>
      <c r="H361" s="155"/>
      <c r="I361" s="155"/>
      <c r="J361" s="1"/>
      <c r="K361" s="1"/>
      <c r="L361" s="1"/>
      <c r="M361" s="1"/>
    </row>
    <row r="362" ht="14.25" customHeight="1">
      <c r="A362" s="52"/>
      <c r="B362" s="53"/>
      <c r="C362" s="53"/>
      <c r="D362" s="1"/>
      <c r="E362" s="1"/>
      <c r="F362" s="1"/>
      <c r="G362" s="1"/>
      <c r="H362" s="155"/>
      <c r="I362" s="155"/>
      <c r="J362" s="1"/>
      <c r="K362" s="1"/>
      <c r="L362" s="1"/>
      <c r="M362" s="1"/>
    </row>
    <row r="363" ht="14.25" customHeight="1">
      <c r="A363" s="52"/>
      <c r="B363" s="53"/>
      <c r="C363" s="53"/>
      <c r="D363" s="1"/>
      <c r="E363" s="1"/>
      <c r="F363" s="1"/>
      <c r="G363" s="1"/>
      <c r="H363" s="155"/>
      <c r="I363" s="155"/>
      <c r="J363" s="1"/>
      <c r="K363" s="1"/>
      <c r="L363" s="1"/>
      <c r="M363" s="1"/>
    </row>
    <row r="364" ht="14.25" customHeight="1">
      <c r="A364" s="52"/>
      <c r="B364" s="53"/>
      <c r="C364" s="53"/>
      <c r="D364" s="1"/>
      <c r="E364" s="1"/>
      <c r="F364" s="1"/>
      <c r="G364" s="1"/>
      <c r="H364" s="155"/>
      <c r="I364" s="155"/>
      <c r="J364" s="1"/>
      <c r="K364" s="1"/>
      <c r="L364" s="1"/>
      <c r="M364" s="1"/>
    </row>
    <row r="365" ht="14.25" customHeight="1">
      <c r="A365" s="52"/>
      <c r="B365" s="53"/>
      <c r="C365" s="53"/>
      <c r="D365" s="1"/>
      <c r="E365" s="1"/>
      <c r="F365" s="1"/>
      <c r="G365" s="1"/>
      <c r="H365" s="155"/>
      <c r="I365" s="155"/>
      <c r="J365" s="1"/>
      <c r="K365" s="1"/>
      <c r="L365" s="1"/>
      <c r="M365" s="1"/>
    </row>
    <row r="366" ht="14.25" customHeight="1">
      <c r="A366" s="52"/>
      <c r="B366" s="53"/>
      <c r="C366" s="53"/>
      <c r="D366" s="1"/>
      <c r="E366" s="1"/>
      <c r="F366" s="1"/>
      <c r="G366" s="1"/>
      <c r="H366" s="155"/>
      <c r="I366" s="155"/>
      <c r="J366" s="1"/>
      <c r="K366" s="1"/>
      <c r="L366" s="1"/>
      <c r="M366" s="1"/>
    </row>
    <row r="367" ht="14.25" customHeight="1">
      <c r="A367" s="52"/>
      <c r="B367" s="53"/>
      <c r="C367" s="53"/>
      <c r="D367" s="1"/>
      <c r="E367" s="1"/>
      <c r="F367" s="1"/>
      <c r="G367" s="1"/>
      <c r="H367" s="155"/>
      <c r="I367" s="155"/>
      <c r="J367" s="1"/>
      <c r="K367" s="1"/>
      <c r="L367" s="1"/>
      <c r="M367" s="1"/>
    </row>
    <row r="368" ht="14.25" customHeight="1">
      <c r="A368" s="52"/>
      <c r="B368" s="53"/>
      <c r="C368" s="53"/>
      <c r="D368" s="1"/>
      <c r="E368" s="1"/>
      <c r="F368" s="1"/>
      <c r="G368" s="1"/>
      <c r="H368" s="155"/>
      <c r="I368" s="155"/>
      <c r="J368" s="1"/>
      <c r="K368" s="1"/>
      <c r="L368" s="1"/>
      <c r="M368" s="1"/>
    </row>
    <row r="369" ht="14.25" customHeight="1">
      <c r="A369" s="52"/>
      <c r="B369" s="53"/>
      <c r="C369" s="53"/>
      <c r="D369" s="1"/>
      <c r="E369" s="1"/>
      <c r="F369" s="1"/>
      <c r="G369" s="1"/>
      <c r="H369" s="155"/>
      <c r="I369" s="155"/>
      <c r="J369" s="1"/>
      <c r="K369" s="1"/>
      <c r="L369" s="1"/>
      <c r="M369" s="1"/>
    </row>
    <row r="370" ht="14.25" customHeight="1">
      <c r="A370" s="52"/>
      <c r="B370" s="53"/>
      <c r="C370" s="53"/>
      <c r="D370" s="1"/>
      <c r="E370" s="1"/>
      <c r="F370" s="1"/>
      <c r="G370" s="1"/>
      <c r="H370" s="155"/>
      <c r="I370" s="155"/>
      <c r="J370" s="1"/>
      <c r="K370" s="1"/>
      <c r="L370" s="1"/>
      <c r="M370" s="1"/>
    </row>
    <row r="371" ht="14.25" customHeight="1">
      <c r="A371" s="52"/>
      <c r="B371" s="53"/>
      <c r="C371" s="53"/>
      <c r="D371" s="1"/>
      <c r="E371" s="1"/>
      <c r="F371" s="1"/>
      <c r="G371" s="1"/>
      <c r="H371" s="155"/>
      <c r="I371" s="155"/>
      <c r="J371" s="1"/>
      <c r="K371" s="1"/>
      <c r="L371" s="1"/>
      <c r="M371" s="1"/>
    </row>
    <row r="372" ht="14.25" customHeight="1">
      <c r="A372" s="52"/>
      <c r="B372" s="53"/>
      <c r="C372" s="53"/>
      <c r="D372" s="1"/>
      <c r="E372" s="1"/>
      <c r="F372" s="1"/>
      <c r="G372" s="1"/>
      <c r="H372" s="155"/>
      <c r="I372" s="155"/>
      <c r="J372" s="1"/>
      <c r="K372" s="1"/>
      <c r="L372" s="1"/>
      <c r="M372" s="1"/>
    </row>
    <row r="373" ht="14.25" customHeight="1">
      <c r="A373" s="52"/>
      <c r="B373" s="53"/>
      <c r="C373" s="53"/>
      <c r="D373" s="1"/>
      <c r="E373" s="1"/>
      <c r="F373" s="1"/>
      <c r="G373" s="1"/>
      <c r="H373" s="155"/>
      <c r="I373" s="155"/>
      <c r="J373" s="1"/>
      <c r="K373" s="1"/>
      <c r="L373" s="1"/>
      <c r="M373" s="1"/>
    </row>
    <row r="374" ht="14.25" customHeight="1">
      <c r="A374" s="52"/>
      <c r="B374" s="53"/>
      <c r="C374" s="53"/>
      <c r="D374" s="1"/>
      <c r="E374" s="1"/>
      <c r="F374" s="1"/>
      <c r="G374" s="1"/>
      <c r="H374" s="155"/>
      <c r="I374" s="155"/>
      <c r="J374" s="1"/>
      <c r="K374" s="1"/>
      <c r="L374" s="1"/>
      <c r="M374" s="1"/>
    </row>
    <row r="375" ht="14.25" customHeight="1">
      <c r="A375" s="52"/>
      <c r="B375" s="53"/>
      <c r="C375" s="53"/>
      <c r="D375" s="1"/>
      <c r="E375" s="1"/>
      <c r="F375" s="1"/>
      <c r="G375" s="1"/>
      <c r="H375" s="155"/>
      <c r="I375" s="155"/>
      <c r="J375" s="1"/>
      <c r="K375" s="1"/>
      <c r="L375" s="1"/>
      <c r="M375" s="1"/>
    </row>
    <row r="376" ht="14.25" customHeight="1">
      <c r="A376" s="52"/>
      <c r="B376" s="53"/>
      <c r="C376" s="53"/>
      <c r="D376" s="1"/>
      <c r="E376" s="1"/>
      <c r="F376" s="1"/>
      <c r="G376" s="1"/>
      <c r="H376" s="155"/>
      <c r="I376" s="155"/>
      <c r="J376" s="1"/>
      <c r="K376" s="1"/>
      <c r="L376" s="1"/>
      <c r="M376" s="1"/>
    </row>
    <row r="377" ht="14.25" customHeight="1">
      <c r="A377" s="52"/>
      <c r="B377" s="53"/>
      <c r="C377" s="53"/>
      <c r="D377" s="1"/>
      <c r="E377" s="1"/>
      <c r="F377" s="1"/>
      <c r="G377" s="1"/>
      <c r="H377" s="155"/>
      <c r="I377" s="155"/>
      <c r="J377" s="1"/>
      <c r="K377" s="1"/>
      <c r="L377" s="1"/>
      <c r="M377" s="1"/>
    </row>
    <row r="378" ht="14.25" customHeight="1">
      <c r="A378" s="52"/>
      <c r="B378" s="53"/>
      <c r="C378" s="53"/>
      <c r="D378" s="1"/>
      <c r="E378" s="1"/>
      <c r="F378" s="1"/>
      <c r="G378" s="1"/>
      <c r="H378" s="155"/>
      <c r="I378" s="155"/>
      <c r="J378" s="1"/>
      <c r="K378" s="1"/>
      <c r="L378" s="1"/>
      <c r="M378" s="1"/>
    </row>
    <row r="379" ht="14.25" customHeight="1">
      <c r="A379" s="52"/>
      <c r="B379" s="53"/>
      <c r="C379" s="53"/>
      <c r="D379" s="1"/>
      <c r="E379" s="1"/>
      <c r="F379" s="1"/>
      <c r="G379" s="1"/>
      <c r="H379" s="155"/>
      <c r="I379" s="155"/>
      <c r="J379" s="1"/>
      <c r="K379" s="1"/>
      <c r="L379" s="1"/>
      <c r="M379" s="1"/>
    </row>
    <row r="380" ht="14.25" customHeight="1">
      <c r="A380" s="52"/>
      <c r="B380" s="53"/>
      <c r="C380" s="53"/>
      <c r="D380" s="1"/>
      <c r="E380" s="1"/>
      <c r="F380" s="1"/>
      <c r="G380" s="1"/>
      <c r="H380" s="155"/>
      <c r="I380" s="155"/>
      <c r="J380" s="1"/>
      <c r="K380" s="1"/>
      <c r="L380" s="1"/>
      <c r="M380" s="1"/>
    </row>
    <row r="381" ht="14.25" customHeight="1">
      <c r="A381" s="52"/>
      <c r="B381" s="53"/>
      <c r="C381" s="53"/>
      <c r="D381" s="1"/>
      <c r="E381" s="1"/>
      <c r="F381" s="1"/>
      <c r="G381" s="1"/>
      <c r="H381" s="155"/>
      <c r="I381" s="155"/>
      <c r="J381" s="1"/>
      <c r="K381" s="1"/>
      <c r="L381" s="1"/>
      <c r="M381" s="1"/>
    </row>
    <row r="382" ht="14.25" customHeight="1">
      <c r="A382" s="52"/>
      <c r="B382" s="53"/>
      <c r="C382" s="53"/>
      <c r="D382" s="1"/>
      <c r="E382" s="1"/>
      <c r="F382" s="1"/>
      <c r="G382" s="1"/>
      <c r="H382" s="155"/>
      <c r="I382" s="155"/>
      <c r="J382" s="1"/>
      <c r="K382" s="1"/>
      <c r="L382" s="1"/>
      <c r="M382" s="1"/>
    </row>
    <row r="383" ht="14.25" customHeight="1">
      <c r="A383" s="52"/>
      <c r="B383" s="53"/>
      <c r="C383" s="53"/>
      <c r="D383" s="1"/>
      <c r="E383" s="1"/>
      <c r="F383" s="1"/>
      <c r="G383" s="1"/>
      <c r="H383" s="155"/>
      <c r="I383" s="155"/>
      <c r="J383" s="1"/>
      <c r="K383" s="1"/>
      <c r="L383" s="1"/>
      <c r="M383" s="1"/>
    </row>
    <row r="384" ht="14.25" customHeight="1">
      <c r="A384" s="52"/>
      <c r="B384" s="53"/>
      <c r="C384" s="53"/>
      <c r="D384" s="1"/>
      <c r="E384" s="1"/>
      <c r="F384" s="1"/>
      <c r="G384" s="1"/>
      <c r="H384" s="155"/>
      <c r="I384" s="155"/>
      <c r="J384" s="1"/>
      <c r="K384" s="1"/>
      <c r="L384" s="1"/>
      <c r="M384" s="1"/>
    </row>
    <row r="385" ht="14.25" customHeight="1">
      <c r="A385" s="52"/>
      <c r="B385" s="53"/>
      <c r="C385" s="53"/>
      <c r="D385" s="1"/>
      <c r="E385" s="1"/>
      <c r="F385" s="1"/>
      <c r="G385" s="1"/>
      <c r="H385" s="155"/>
      <c r="I385" s="155"/>
      <c r="J385" s="1"/>
      <c r="K385" s="1"/>
      <c r="L385" s="1"/>
      <c r="M385" s="1"/>
    </row>
    <row r="386" ht="14.25" customHeight="1">
      <c r="A386" s="52"/>
      <c r="B386" s="53"/>
      <c r="C386" s="53"/>
      <c r="D386" s="1"/>
      <c r="E386" s="1"/>
      <c r="F386" s="1"/>
      <c r="G386" s="1"/>
      <c r="H386" s="155"/>
      <c r="I386" s="155"/>
      <c r="J386" s="1"/>
      <c r="K386" s="1"/>
      <c r="L386" s="1"/>
      <c r="M386" s="1"/>
    </row>
    <row r="387" ht="14.25" customHeight="1">
      <c r="A387" s="52"/>
      <c r="B387" s="53"/>
      <c r="C387" s="53"/>
      <c r="D387" s="1"/>
      <c r="E387" s="1"/>
      <c r="F387" s="1"/>
      <c r="G387" s="1"/>
      <c r="H387" s="155"/>
      <c r="I387" s="155"/>
      <c r="J387" s="1"/>
      <c r="K387" s="1"/>
      <c r="L387" s="1"/>
      <c r="M387" s="1"/>
    </row>
    <row r="388" ht="14.25" customHeight="1">
      <c r="A388" s="52"/>
      <c r="B388" s="53"/>
      <c r="C388" s="53"/>
      <c r="D388" s="1"/>
      <c r="E388" s="1"/>
      <c r="F388" s="1"/>
      <c r="G388" s="1"/>
      <c r="H388" s="155"/>
      <c r="I388" s="155"/>
      <c r="J388" s="1"/>
      <c r="K388" s="1"/>
      <c r="L388" s="1"/>
      <c r="M388" s="1"/>
    </row>
    <row r="389" ht="14.25" customHeight="1">
      <c r="A389" s="52"/>
      <c r="B389" s="53"/>
      <c r="C389" s="53"/>
      <c r="D389" s="1"/>
      <c r="E389" s="1"/>
      <c r="F389" s="1"/>
      <c r="G389" s="1"/>
      <c r="H389" s="155"/>
      <c r="I389" s="155"/>
      <c r="J389" s="1"/>
      <c r="K389" s="1"/>
      <c r="L389" s="1"/>
      <c r="M389" s="1"/>
    </row>
    <row r="390" ht="14.25" customHeight="1">
      <c r="A390" s="52"/>
      <c r="B390" s="53"/>
      <c r="C390" s="53"/>
      <c r="D390" s="1"/>
      <c r="E390" s="1"/>
      <c r="F390" s="1"/>
      <c r="G390" s="1"/>
      <c r="H390" s="155"/>
      <c r="I390" s="155"/>
      <c r="J390" s="1"/>
      <c r="K390" s="1"/>
      <c r="L390" s="1"/>
      <c r="M390" s="1"/>
    </row>
    <row r="391" ht="14.25" customHeight="1">
      <c r="A391" s="52"/>
      <c r="B391" s="53"/>
      <c r="C391" s="53"/>
      <c r="D391" s="1"/>
      <c r="E391" s="1"/>
      <c r="F391" s="1"/>
      <c r="G391" s="1"/>
      <c r="H391" s="155"/>
      <c r="I391" s="155"/>
      <c r="J391" s="1"/>
      <c r="K391" s="1"/>
      <c r="L391" s="1"/>
      <c r="M391" s="1"/>
    </row>
    <row r="392" ht="14.25" customHeight="1">
      <c r="A392" s="52"/>
      <c r="B392" s="53"/>
      <c r="C392" s="53"/>
      <c r="D392" s="1"/>
      <c r="E392" s="1"/>
      <c r="F392" s="1"/>
      <c r="G392" s="1"/>
      <c r="H392" s="155"/>
      <c r="I392" s="155"/>
      <c r="J392" s="1"/>
      <c r="K392" s="1"/>
      <c r="L392" s="1"/>
      <c r="M392" s="1"/>
    </row>
    <row r="393" ht="14.25" customHeight="1">
      <c r="A393" s="52"/>
      <c r="B393" s="53"/>
      <c r="C393" s="53"/>
      <c r="D393" s="1"/>
      <c r="E393" s="1"/>
      <c r="F393" s="1"/>
      <c r="G393" s="1"/>
      <c r="H393" s="155"/>
      <c r="I393" s="155"/>
      <c r="J393" s="1"/>
      <c r="K393" s="1"/>
      <c r="L393" s="1"/>
      <c r="M393" s="1"/>
    </row>
    <row r="394" ht="14.25" customHeight="1">
      <c r="A394" s="52"/>
      <c r="B394" s="53"/>
      <c r="C394" s="53"/>
      <c r="D394" s="1"/>
      <c r="E394" s="1"/>
      <c r="F394" s="1"/>
      <c r="G394" s="1"/>
      <c r="H394" s="155"/>
      <c r="I394" s="155"/>
      <c r="J394" s="1"/>
      <c r="K394" s="1"/>
      <c r="L394" s="1"/>
      <c r="M394" s="1"/>
    </row>
    <row r="395" ht="14.25" customHeight="1">
      <c r="A395" s="52"/>
      <c r="B395" s="53"/>
      <c r="C395" s="53"/>
      <c r="D395" s="1"/>
      <c r="E395" s="1"/>
      <c r="F395" s="1"/>
      <c r="G395" s="1"/>
      <c r="H395" s="155"/>
      <c r="I395" s="155"/>
      <c r="J395" s="1"/>
      <c r="K395" s="1"/>
      <c r="L395" s="1"/>
      <c r="M395" s="1"/>
    </row>
    <row r="396" ht="14.25" customHeight="1">
      <c r="A396" s="52"/>
      <c r="B396" s="53"/>
      <c r="C396" s="53"/>
      <c r="D396" s="1"/>
      <c r="E396" s="1"/>
      <c r="F396" s="1"/>
      <c r="G396" s="1"/>
      <c r="H396" s="155"/>
      <c r="I396" s="155"/>
      <c r="J396" s="1"/>
      <c r="K396" s="1"/>
      <c r="L396" s="1"/>
      <c r="M396" s="1"/>
    </row>
    <row r="397" ht="14.25" customHeight="1">
      <c r="A397" s="52"/>
      <c r="B397" s="53"/>
      <c r="C397" s="53"/>
      <c r="D397" s="1"/>
      <c r="E397" s="1"/>
      <c r="F397" s="1"/>
      <c r="G397" s="1"/>
      <c r="H397" s="155"/>
      <c r="I397" s="155"/>
      <c r="J397" s="1"/>
      <c r="K397" s="1"/>
      <c r="L397" s="1"/>
      <c r="M397" s="1"/>
    </row>
    <row r="398" ht="14.25" customHeight="1">
      <c r="A398" s="52"/>
      <c r="B398" s="53"/>
      <c r="C398" s="53"/>
      <c r="D398" s="1"/>
      <c r="E398" s="1"/>
      <c r="F398" s="1"/>
      <c r="G398" s="1"/>
      <c r="H398" s="155"/>
      <c r="I398" s="155"/>
      <c r="J398" s="1"/>
      <c r="K398" s="1"/>
      <c r="L398" s="1"/>
      <c r="M398" s="1"/>
    </row>
    <row r="399" ht="14.25" customHeight="1">
      <c r="A399" s="52"/>
      <c r="B399" s="53"/>
      <c r="C399" s="53"/>
      <c r="D399" s="1"/>
      <c r="E399" s="1"/>
      <c r="F399" s="1"/>
      <c r="G399" s="1"/>
      <c r="H399" s="155"/>
      <c r="I399" s="155"/>
      <c r="J399" s="1"/>
      <c r="K399" s="1"/>
      <c r="L399" s="1"/>
      <c r="M399" s="1"/>
    </row>
    <row r="400" ht="14.25" customHeight="1">
      <c r="A400" s="52"/>
      <c r="B400" s="53"/>
      <c r="C400" s="53"/>
      <c r="D400" s="1"/>
      <c r="E400" s="1"/>
      <c r="F400" s="1"/>
      <c r="G400" s="1"/>
      <c r="H400" s="155"/>
      <c r="I400" s="155"/>
      <c r="J400" s="1"/>
      <c r="K400" s="1"/>
      <c r="L400" s="1"/>
      <c r="M400" s="1"/>
    </row>
    <row r="401" ht="14.25" customHeight="1">
      <c r="A401" s="52"/>
      <c r="B401" s="53"/>
      <c r="C401" s="53"/>
      <c r="D401" s="1"/>
      <c r="E401" s="1"/>
      <c r="F401" s="1"/>
      <c r="G401" s="1"/>
      <c r="H401" s="155"/>
      <c r="I401" s="155"/>
      <c r="J401" s="1"/>
      <c r="K401" s="1"/>
      <c r="L401" s="1"/>
      <c r="M401" s="1"/>
    </row>
    <row r="402" ht="14.25" customHeight="1">
      <c r="A402" s="52"/>
      <c r="B402" s="53"/>
      <c r="C402" s="53"/>
      <c r="D402" s="1"/>
      <c r="E402" s="1"/>
      <c r="F402" s="1"/>
      <c r="G402" s="1"/>
      <c r="H402" s="155"/>
      <c r="I402" s="155"/>
      <c r="J402" s="1"/>
      <c r="K402" s="1"/>
      <c r="L402" s="1"/>
      <c r="M402" s="1"/>
    </row>
    <row r="403" ht="14.25" customHeight="1">
      <c r="A403" s="52"/>
      <c r="B403" s="53"/>
      <c r="C403" s="53"/>
      <c r="D403" s="1"/>
      <c r="E403" s="1"/>
      <c r="F403" s="1"/>
      <c r="G403" s="1"/>
      <c r="H403" s="155"/>
      <c r="I403" s="155"/>
      <c r="J403" s="1"/>
      <c r="K403" s="1"/>
      <c r="L403" s="1"/>
      <c r="M403" s="1"/>
    </row>
    <row r="404" ht="14.25" customHeight="1">
      <c r="A404" s="52"/>
      <c r="B404" s="53"/>
      <c r="C404" s="53"/>
      <c r="D404" s="1"/>
      <c r="E404" s="1"/>
      <c r="F404" s="1"/>
      <c r="G404" s="1"/>
      <c r="H404" s="155"/>
      <c r="I404" s="155"/>
      <c r="J404" s="1"/>
      <c r="K404" s="1"/>
      <c r="L404" s="1"/>
      <c r="M404" s="1"/>
    </row>
    <row r="405" ht="14.25" customHeight="1">
      <c r="A405" s="52"/>
      <c r="B405" s="53"/>
      <c r="C405" s="53"/>
      <c r="D405" s="1"/>
      <c r="E405" s="1"/>
      <c r="F405" s="1"/>
      <c r="G405" s="1"/>
      <c r="H405" s="155"/>
      <c r="I405" s="155"/>
      <c r="J405" s="1"/>
      <c r="K405" s="1"/>
      <c r="L405" s="1"/>
      <c r="M405" s="1"/>
    </row>
    <row r="406" ht="14.25" customHeight="1">
      <c r="A406" s="52"/>
      <c r="B406" s="53"/>
      <c r="C406" s="53"/>
      <c r="D406" s="1"/>
      <c r="E406" s="1"/>
      <c r="F406" s="1"/>
      <c r="G406" s="1"/>
      <c r="H406" s="155"/>
      <c r="I406" s="155"/>
      <c r="J406" s="1"/>
      <c r="K406" s="1"/>
      <c r="L406" s="1"/>
      <c r="M406" s="1"/>
    </row>
    <row r="407" ht="14.25" customHeight="1">
      <c r="A407" s="52"/>
      <c r="B407" s="53"/>
      <c r="C407" s="53"/>
      <c r="D407" s="1"/>
      <c r="E407" s="1"/>
      <c r="F407" s="1"/>
      <c r="G407" s="1"/>
      <c r="H407" s="155"/>
      <c r="I407" s="155"/>
      <c r="J407" s="1"/>
      <c r="K407" s="1"/>
      <c r="L407" s="1"/>
      <c r="M407" s="1"/>
    </row>
    <row r="408" ht="14.25" customHeight="1">
      <c r="A408" s="52"/>
      <c r="B408" s="53"/>
      <c r="C408" s="53"/>
      <c r="D408" s="1"/>
      <c r="E408" s="1"/>
      <c r="F408" s="1"/>
      <c r="G408" s="1"/>
      <c r="H408" s="155"/>
      <c r="I408" s="155"/>
      <c r="J408" s="1"/>
      <c r="K408" s="1"/>
      <c r="L408" s="1"/>
      <c r="M408" s="1"/>
    </row>
    <row r="409" ht="14.25" customHeight="1">
      <c r="A409" s="52"/>
      <c r="B409" s="53"/>
      <c r="C409" s="53"/>
      <c r="D409" s="1"/>
      <c r="E409" s="1"/>
      <c r="F409" s="1"/>
      <c r="G409" s="1"/>
      <c r="H409" s="155"/>
      <c r="I409" s="155"/>
      <c r="J409" s="1"/>
      <c r="K409" s="1"/>
      <c r="L409" s="1"/>
      <c r="M409" s="1"/>
    </row>
    <row r="410" ht="14.25" customHeight="1">
      <c r="A410" s="52"/>
      <c r="B410" s="53"/>
      <c r="C410" s="53"/>
      <c r="D410" s="1"/>
      <c r="E410" s="1"/>
      <c r="F410" s="1"/>
      <c r="G410" s="1"/>
      <c r="H410" s="155"/>
      <c r="I410" s="155"/>
      <c r="J410" s="1"/>
      <c r="K410" s="1"/>
      <c r="L410" s="1"/>
      <c r="M410" s="1"/>
    </row>
    <row r="411" ht="14.25" customHeight="1">
      <c r="A411" s="52"/>
      <c r="B411" s="53"/>
      <c r="C411" s="53"/>
      <c r="D411" s="1"/>
      <c r="E411" s="1"/>
      <c r="F411" s="1"/>
      <c r="G411" s="1"/>
      <c r="H411" s="155"/>
      <c r="I411" s="155"/>
      <c r="J411" s="1"/>
      <c r="K411" s="1"/>
      <c r="L411" s="1"/>
      <c r="M411" s="1"/>
    </row>
    <row r="412" ht="14.25" customHeight="1">
      <c r="A412" s="52"/>
      <c r="B412" s="53"/>
      <c r="C412" s="53"/>
      <c r="D412" s="1"/>
      <c r="E412" s="1"/>
      <c r="F412" s="1"/>
      <c r="G412" s="1"/>
      <c r="H412" s="155"/>
      <c r="I412" s="155"/>
      <c r="J412" s="1"/>
      <c r="K412" s="1"/>
      <c r="L412" s="1"/>
      <c r="M412" s="1"/>
    </row>
    <row r="413" ht="14.25" customHeight="1">
      <c r="A413" s="52"/>
      <c r="B413" s="53"/>
      <c r="C413" s="53"/>
      <c r="D413" s="1"/>
      <c r="E413" s="1"/>
      <c r="F413" s="1"/>
      <c r="G413" s="1"/>
      <c r="H413" s="155"/>
      <c r="I413" s="155"/>
      <c r="J413" s="1"/>
      <c r="K413" s="1"/>
      <c r="L413" s="1"/>
      <c r="M413" s="1"/>
    </row>
    <row r="414" ht="14.25" customHeight="1">
      <c r="A414" s="52"/>
      <c r="B414" s="53"/>
      <c r="C414" s="53"/>
      <c r="D414" s="1"/>
      <c r="E414" s="1"/>
      <c r="F414" s="1"/>
      <c r="G414" s="1"/>
      <c r="H414" s="155"/>
      <c r="I414" s="155"/>
      <c r="J414" s="1"/>
      <c r="K414" s="1"/>
      <c r="L414" s="1"/>
      <c r="M414" s="1"/>
    </row>
    <row r="415" ht="14.25" customHeight="1">
      <c r="A415" s="52"/>
      <c r="B415" s="53"/>
      <c r="C415" s="53"/>
      <c r="D415" s="1"/>
      <c r="E415" s="1"/>
      <c r="F415" s="1"/>
      <c r="G415" s="1"/>
      <c r="H415" s="155"/>
      <c r="I415" s="155"/>
      <c r="J415" s="1"/>
      <c r="K415" s="1"/>
      <c r="L415" s="1"/>
      <c r="M415" s="1"/>
    </row>
    <row r="416" ht="14.25" customHeight="1">
      <c r="A416" s="52"/>
      <c r="B416" s="53"/>
      <c r="C416" s="53"/>
      <c r="D416" s="1"/>
      <c r="E416" s="1"/>
      <c r="F416" s="1"/>
      <c r="G416" s="1"/>
      <c r="H416" s="155"/>
      <c r="I416" s="155"/>
      <c r="J416" s="1"/>
      <c r="K416" s="1"/>
      <c r="L416" s="1"/>
      <c r="M416" s="1"/>
    </row>
    <row r="417" ht="14.25" customHeight="1">
      <c r="A417" s="52"/>
      <c r="B417" s="53"/>
      <c r="C417" s="53"/>
      <c r="D417" s="1"/>
      <c r="E417" s="1"/>
      <c r="F417" s="1"/>
      <c r="G417" s="1"/>
      <c r="H417" s="155"/>
      <c r="I417" s="155"/>
      <c r="J417" s="1"/>
      <c r="K417" s="1"/>
      <c r="L417" s="1"/>
      <c r="M417" s="1"/>
    </row>
    <row r="418" ht="14.25" customHeight="1">
      <c r="A418" s="52"/>
      <c r="B418" s="53"/>
      <c r="C418" s="53"/>
      <c r="D418" s="1"/>
      <c r="E418" s="1"/>
      <c r="F418" s="1"/>
      <c r="G418" s="1"/>
      <c r="H418" s="155"/>
      <c r="I418" s="155"/>
      <c r="J418" s="1"/>
      <c r="K418" s="1"/>
      <c r="L418" s="1"/>
      <c r="M418" s="1"/>
    </row>
    <row r="419" ht="14.25" customHeight="1">
      <c r="A419" s="52"/>
      <c r="B419" s="53"/>
      <c r="C419" s="53"/>
      <c r="D419" s="1"/>
      <c r="E419" s="1"/>
      <c r="F419" s="1"/>
      <c r="G419" s="1"/>
      <c r="H419" s="155"/>
      <c r="I419" s="155"/>
      <c r="J419" s="1"/>
      <c r="K419" s="1"/>
      <c r="L419" s="1"/>
      <c r="M419" s="1"/>
    </row>
    <row r="420" ht="14.25" customHeight="1">
      <c r="A420" s="52"/>
      <c r="B420" s="53"/>
      <c r="C420" s="53"/>
      <c r="D420" s="1"/>
      <c r="E420" s="1"/>
      <c r="F420" s="1"/>
      <c r="G420" s="1"/>
      <c r="H420" s="155"/>
      <c r="I420" s="155"/>
      <c r="J420" s="1"/>
      <c r="K420" s="1"/>
      <c r="L420" s="1"/>
      <c r="M420" s="1"/>
    </row>
    <row r="421" ht="14.25" customHeight="1">
      <c r="A421" s="52"/>
      <c r="B421" s="53"/>
      <c r="C421" s="53"/>
      <c r="D421" s="1"/>
      <c r="E421" s="1"/>
      <c r="F421" s="1"/>
      <c r="G421" s="1"/>
      <c r="H421" s="155"/>
      <c r="I421" s="155"/>
      <c r="J421" s="1"/>
      <c r="K421" s="1"/>
      <c r="L421" s="1"/>
      <c r="M421" s="1"/>
    </row>
    <row r="422" ht="14.25" customHeight="1">
      <c r="A422" s="52"/>
      <c r="B422" s="53"/>
      <c r="C422" s="53"/>
      <c r="D422" s="1"/>
      <c r="E422" s="1"/>
      <c r="F422" s="1"/>
      <c r="G422" s="1"/>
      <c r="H422" s="155"/>
      <c r="I422" s="155"/>
      <c r="J422" s="1"/>
      <c r="K422" s="1"/>
      <c r="L422" s="1"/>
      <c r="M422" s="1"/>
    </row>
    <row r="423" ht="14.25" customHeight="1">
      <c r="A423" s="52"/>
      <c r="B423" s="53"/>
      <c r="C423" s="53"/>
      <c r="D423" s="1"/>
      <c r="E423" s="1"/>
      <c r="F423" s="1"/>
      <c r="G423" s="1"/>
      <c r="H423" s="155"/>
      <c r="I423" s="155"/>
      <c r="J423" s="1"/>
      <c r="K423" s="1"/>
      <c r="L423" s="1"/>
      <c r="M423" s="1"/>
    </row>
    <row r="424" ht="14.25" customHeight="1">
      <c r="A424" s="52"/>
      <c r="B424" s="53"/>
      <c r="C424" s="53"/>
      <c r="D424" s="1"/>
      <c r="E424" s="1"/>
      <c r="F424" s="1"/>
      <c r="G424" s="1"/>
      <c r="H424" s="155"/>
      <c r="I424" s="155"/>
      <c r="J424" s="1"/>
      <c r="K424" s="1"/>
      <c r="L424" s="1"/>
      <c r="M424" s="1"/>
    </row>
    <row r="425" ht="14.25" customHeight="1">
      <c r="A425" s="52"/>
      <c r="B425" s="53"/>
      <c r="C425" s="53"/>
      <c r="D425" s="1"/>
      <c r="E425" s="1"/>
      <c r="F425" s="1"/>
      <c r="G425" s="1"/>
      <c r="H425" s="155"/>
      <c r="I425" s="155"/>
      <c r="J425" s="1"/>
      <c r="K425" s="1"/>
      <c r="L425" s="1"/>
      <c r="M425" s="1"/>
    </row>
    <row r="426" ht="14.25" customHeight="1">
      <c r="A426" s="52"/>
      <c r="B426" s="53"/>
      <c r="C426" s="53"/>
      <c r="D426" s="1"/>
      <c r="E426" s="1"/>
      <c r="F426" s="1"/>
      <c r="G426" s="1"/>
      <c r="H426" s="155"/>
      <c r="I426" s="155"/>
      <c r="J426" s="1"/>
      <c r="K426" s="1"/>
      <c r="L426" s="1"/>
      <c r="M426" s="1"/>
    </row>
    <row r="427" ht="14.25" customHeight="1">
      <c r="A427" s="52"/>
      <c r="B427" s="53"/>
      <c r="C427" s="53"/>
      <c r="D427" s="1"/>
      <c r="E427" s="1"/>
      <c r="F427" s="1"/>
      <c r="G427" s="1"/>
      <c r="H427" s="155"/>
      <c r="I427" s="155"/>
      <c r="J427" s="1"/>
      <c r="K427" s="1"/>
      <c r="L427" s="1"/>
      <c r="M427" s="1"/>
    </row>
    <row r="428" ht="14.25" customHeight="1">
      <c r="A428" s="52"/>
      <c r="B428" s="53"/>
      <c r="C428" s="53"/>
      <c r="D428" s="1"/>
      <c r="E428" s="1"/>
      <c r="F428" s="1"/>
      <c r="G428" s="1"/>
      <c r="H428" s="155"/>
      <c r="I428" s="155"/>
      <c r="J428" s="1"/>
      <c r="K428" s="1"/>
      <c r="L428" s="1"/>
      <c r="M428" s="1"/>
    </row>
    <row r="429" ht="14.25" customHeight="1">
      <c r="A429" s="52"/>
      <c r="B429" s="53"/>
      <c r="C429" s="53"/>
      <c r="D429" s="1"/>
      <c r="E429" s="1"/>
      <c r="F429" s="1"/>
      <c r="G429" s="1"/>
      <c r="H429" s="155"/>
      <c r="I429" s="155"/>
      <c r="J429" s="1"/>
      <c r="K429" s="1"/>
      <c r="L429" s="1"/>
      <c r="M429" s="1"/>
    </row>
    <row r="430" ht="14.25" customHeight="1">
      <c r="A430" s="52"/>
      <c r="B430" s="53"/>
      <c r="C430" s="53"/>
      <c r="D430" s="1"/>
      <c r="E430" s="1"/>
      <c r="F430" s="1"/>
      <c r="G430" s="1"/>
      <c r="H430" s="155"/>
      <c r="I430" s="155"/>
      <c r="J430" s="1"/>
      <c r="K430" s="1"/>
      <c r="L430" s="1"/>
      <c r="M430" s="1"/>
    </row>
    <row r="431" ht="14.25" customHeight="1">
      <c r="A431" s="52"/>
      <c r="B431" s="53"/>
      <c r="C431" s="53"/>
      <c r="D431" s="1"/>
      <c r="E431" s="1"/>
      <c r="F431" s="1"/>
      <c r="G431" s="1"/>
      <c r="H431" s="155"/>
      <c r="I431" s="155"/>
      <c r="J431" s="1"/>
      <c r="K431" s="1"/>
      <c r="L431" s="1"/>
      <c r="M431" s="1"/>
    </row>
    <row r="432" ht="14.25" customHeight="1">
      <c r="A432" s="52"/>
      <c r="B432" s="53"/>
      <c r="C432" s="53"/>
      <c r="D432" s="1"/>
      <c r="E432" s="1"/>
      <c r="F432" s="1"/>
      <c r="G432" s="1"/>
      <c r="H432" s="155"/>
      <c r="I432" s="155"/>
      <c r="J432" s="1"/>
      <c r="K432" s="1"/>
      <c r="L432" s="1"/>
      <c r="M432" s="1"/>
    </row>
    <row r="433" ht="14.25" customHeight="1">
      <c r="A433" s="52"/>
      <c r="B433" s="53"/>
      <c r="C433" s="53"/>
      <c r="D433" s="1"/>
      <c r="E433" s="1"/>
      <c r="F433" s="1"/>
      <c r="G433" s="1"/>
      <c r="H433" s="155"/>
      <c r="I433" s="155"/>
      <c r="J433" s="1"/>
      <c r="K433" s="1"/>
      <c r="L433" s="1"/>
      <c r="M433" s="1"/>
    </row>
    <row r="434" ht="14.25" customHeight="1">
      <c r="A434" s="52"/>
      <c r="B434" s="53"/>
      <c r="C434" s="53"/>
      <c r="D434" s="1"/>
      <c r="E434" s="1"/>
      <c r="F434" s="1"/>
      <c r="G434" s="1"/>
      <c r="H434" s="155"/>
      <c r="I434" s="155"/>
      <c r="J434" s="1"/>
      <c r="K434" s="1"/>
      <c r="L434" s="1"/>
      <c r="M434" s="1"/>
    </row>
    <row r="435" ht="14.25" customHeight="1">
      <c r="A435" s="52"/>
      <c r="B435" s="53"/>
      <c r="C435" s="53"/>
      <c r="D435" s="1"/>
      <c r="E435" s="1"/>
      <c r="F435" s="1"/>
      <c r="G435" s="1"/>
      <c r="H435" s="155"/>
      <c r="I435" s="155"/>
      <c r="J435" s="1"/>
      <c r="K435" s="1"/>
      <c r="L435" s="1"/>
      <c r="M435" s="1"/>
    </row>
    <row r="436" ht="14.25" customHeight="1">
      <c r="A436" s="52"/>
      <c r="B436" s="53"/>
      <c r="C436" s="53"/>
      <c r="D436" s="1"/>
      <c r="E436" s="1"/>
      <c r="F436" s="1"/>
      <c r="G436" s="1"/>
      <c r="H436" s="155"/>
      <c r="I436" s="155"/>
      <c r="J436" s="1"/>
      <c r="K436" s="1"/>
      <c r="L436" s="1"/>
      <c r="M436" s="1"/>
    </row>
    <row r="437" ht="14.25" customHeight="1">
      <c r="A437" s="52"/>
      <c r="B437" s="53"/>
      <c r="C437" s="53"/>
      <c r="D437" s="1"/>
      <c r="E437" s="1"/>
      <c r="F437" s="1"/>
      <c r="G437" s="1"/>
      <c r="H437" s="155"/>
      <c r="I437" s="155"/>
      <c r="J437" s="1"/>
      <c r="K437" s="1"/>
      <c r="L437" s="1"/>
      <c r="M437" s="1"/>
    </row>
    <row r="438" ht="14.25" customHeight="1">
      <c r="A438" s="52"/>
      <c r="B438" s="53"/>
      <c r="C438" s="53"/>
      <c r="D438" s="1"/>
      <c r="E438" s="1"/>
      <c r="F438" s="1"/>
      <c r="G438" s="1"/>
      <c r="H438" s="155"/>
      <c r="I438" s="155"/>
      <c r="J438" s="1"/>
      <c r="K438" s="1"/>
      <c r="L438" s="1"/>
      <c r="M438" s="1"/>
    </row>
    <row r="439" ht="14.25" customHeight="1">
      <c r="A439" s="52"/>
      <c r="B439" s="53"/>
      <c r="C439" s="53"/>
      <c r="D439" s="1"/>
      <c r="E439" s="1"/>
      <c r="F439" s="1"/>
      <c r="G439" s="1"/>
      <c r="H439" s="155"/>
      <c r="I439" s="155"/>
      <c r="J439" s="1"/>
      <c r="K439" s="1"/>
      <c r="L439" s="1"/>
      <c r="M439" s="1"/>
    </row>
    <row r="440" ht="14.25" customHeight="1">
      <c r="A440" s="52"/>
      <c r="B440" s="53"/>
      <c r="C440" s="53"/>
      <c r="D440" s="1"/>
      <c r="E440" s="1"/>
      <c r="F440" s="1"/>
      <c r="G440" s="1"/>
      <c r="H440" s="155"/>
      <c r="I440" s="155"/>
      <c r="J440" s="1"/>
      <c r="K440" s="1"/>
      <c r="L440" s="1"/>
      <c r="M440" s="1"/>
    </row>
    <row r="441" ht="14.25" customHeight="1">
      <c r="A441" s="52"/>
      <c r="B441" s="53"/>
      <c r="C441" s="53"/>
      <c r="D441" s="1"/>
      <c r="E441" s="1"/>
      <c r="F441" s="1"/>
      <c r="G441" s="1"/>
      <c r="H441" s="155"/>
      <c r="I441" s="155"/>
      <c r="J441" s="1"/>
      <c r="K441" s="1"/>
      <c r="L441" s="1"/>
      <c r="M441" s="1"/>
    </row>
    <row r="442" ht="14.25" customHeight="1">
      <c r="A442" s="52"/>
      <c r="B442" s="53"/>
      <c r="C442" s="53"/>
      <c r="D442" s="1"/>
      <c r="E442" s="1"/>
      <c r="F442" s="1"/>
      <c r="G442" s="1"/>
      <c r="H442" s="155"/>
      <c r="I442" s="155"/>
      <c r="J442" s="1"/>
      <c r="K442" s="1"/>
      <c r="L442" s="1"/>
      <c r="M442" s="1"/>
    </row>
    <row r="443" ht="14.25" customHeight="1">
      <c r="A443" s="52"/>
      <c r="B443" s="53"/>
      <c r="C443" s="53"/>
      <c r="D443" s="1"/>
      <c r="E443" s="1"/>
      <c r="F443" s="1"/>
      <c r="G443" s="1"/>
      <c r="H443" s="155"/>
      <c r="I443" s="155"/>
      <c r="J443" s="1"/>
      <c r="K443" s="1"/>
      <c r="L443" s="1"/>
      <c r="M443" s="1"/>
    </row>
    <row r="444" ht="14.25" customHeight="1">
      <c r="A444" s="52"/>
      <c r="B444" s="53"/>
      <c r="C444" s="53"/>
      <c r="D444" s="1"/>
      <c r="E444" s="1"/>
      <c r="F444" s="1"/>
      <c r="G444" s="1"/>
      <c r="H444" s="155"/>
      <c r="I444" s="155"/>
      <c r="J444" s="1"/>
      <c r="K444" s="1"/>
      <c r="L444" s="1"/>
      <c r="M444" s="1"/>
    </row>
    <row r="445" ht="14.25" customHeight="1">
      <c r="A445" s="52"/>
      <c r="B445" s="53"/>
      <c r="C445" s="53"/>
      <c r="D445" s="1"/>
      <c r="E445" s="1"/>
      <c r="F445" s="1"/>
      <c r="G445" s="1"/>
      <c r="H445" s="155"/>
      <c r="I445" s="155"/>
      <c r="J445" s="1"/>
      <c r="K445" s="1"/>
      <c r="L445" s="1"/>
      <c r="M445" s="1"/>
    </row>
    <row r="446" ht="14.25" customHeight="1">
      <c r="A446" s="52"/>
      <c r="B446" s="53"/>
      <c r="C446" s="53"/>
      <c r="D446" s="1"/>
      <c r="E446" s="1"/>
      <c r="F446" s="1"/>
      <c r="G446" s="1"/>
      <c r="H446" s="155"/>
      <c r="I446" s="155"/>
      <c r="J446" s="1"/>
      <c r="K446" s="1"/>
      <c r="L446" s="1"/>
      <c r="M446" s="1"/>
    </row>
    <row r="447" ht="14.25" customHeight="1">
      <c r="A447" s="52"/>
      <c r="B447" s="53"/>
      <c r="C447" s="53"/>
      <c r="D447" s="1"/>
      <c r="E447" s="1"/>
      <c r="F447" s="1"/>
      <c r="G447" s="1"/>
      <c r="H447" s="155"/>
      <c r="I447" s="155"/>
      <c r="J447" s="1"/>
      <c r="K447" s="1"/>
      <c r="L447" s="1"/>
      <c r="M447" s="1"/>
    </row>
    <row r="448" ht="14.25" customHeight="1">
      <c r="A448" s="52"/>
      <c r="B448" s="53"/>
      <c r="C448" s="53"/>
      <c r="D448" s="1"/>
      <c r="E448" s="1"/>
      <c r="F448" s="1"/>
      <c r="G448" s="1"/>
      <c r="H448" s="155"/>
      <c r="I448" s="155"/>
      <c r="J448" s="1"/>
      <c r="K448" s="1"/>
      <c r="L448" s="1"/>
      <c r="M448" s="1"/>
    </row>
    <row r="449" ht="14.25" customHeight="1">
      <c r="A449" s="52"/>
      <c r="B449" s="53"/>
      <c r="C449" s="53"/>
      <c r="D449" s="1"/>
      <c r="E449" s="1"/>
      <c r="F449" s="1"/>
      <c r="G449" s="1"/>
      <c r="H449" s="155"/>
      <c r="I449" s="155"/>
      <c r="J449" s="1"/>
      <c r="K449" s="1"/>
      <c r="L449" s="1"/>
      <c r="M449" s="1"/>
    </row>
    <row r="450" ht="14.25" customHeight="1">
      <c r="A450" s="52"/>
      <c r="B450" s="53"/>
      <c r="C450" s="53"/>
      <c r="D450" s="1"/>
      <c r="E450" s="1"/>
      <c r="F450" s="1"/>
      <c r="G450" s="1"/>
      <c r="H450" s="155"/>
      <c r="I450" s="155"/>
      <c r="J450" s="1"/>
      <c r="K450" s="1"/>
      <c r="L450" s="1"/>
      <c r="M450" s="1"/>
    </row>
    <row r="451" ht="14.25" customHeight="1">
      <c r="A451" s="52"/>
      <c r="B451" s="53"/>
      <c r="C451" s="53"/>
      <c r="D451" s="1"/>
      <c r="E451" s="1"/>
      <c r="F451" s="1"/>
      <c r="G451" s="1"/>
      <c r="H451" s="155"/>
      <c r="I451" s="155"/>
      <c r="J451" s="1"/>
      <c r="K451" s="1"/>
      <c r="L451" s="1"/>
      <c r="M451" s="1"/>
    </row>
    <row r="452" ht="14.25" customHeight="1">
      <c r="A452" s="52"/>
      <c r="B452" s="53"/>
      <c r="C452" s="53"/>
      <c r="D452" s="1"/>
      <c r="E452" s="1"/>
      <c r="F452" s="1"/>
      <c r="G452" s="1"/>
      <c r="H452" s="155"/>
      <c r="I452" s="155"/>
      <c r="J452" s="1"/>
      <c r="K452" s="1"/>
      <c r="L452" s="1"/>
      <c r="M452" s="1"/>
    </row>
    <row r="453" ht="14.25" customHeight="1">
      <c r="A453" s="52"/>
      <c r="B453" s="53"/>
      <c r="C453" s="53"/>
      <c r="D453" s="1"/>
      <c r="E453" s="1"/>
      <c r="F453" s="1"/>
      <c r="G453" s="1"/>
      <c r="H453" s="155"/>
      <c r="I453" s="155"/>
      <c r="J453" s="1"/>
      <c r="K453" s="1"/>
      <c r="L453" s="1"/>
      <c r="M453" s="1"/>
    </row>
    <row r="454" ht="14.25" customHeight="1">
      <c r="A454" s="52"/>
      <c r="B454" s="53"/>
      <c r="C454" s="53"/>
      <c r="D454" s="1"/>
      <c r="E454" s="1"/>
      <c r="F454" s="1"/>
      <c r="G454" s="1"/>
      <c r="H454" s="155"/>
      <c r="I454" s="155"/>
      <c r="J454" s="1"/>
      <c r="K454" s="1"/>
      <c r="L454" s="1"/>
      <c r="M454" s="1"/>
    </row>
    <row r="455" ht="14.25" customHeight="1">
      <c r="A455" s="52"/>
      <c r="B455" s="53"/>
      <c r="C455" s="53"/>
      <c r="D455" s="1"/>
      <c r="E455" s="1"/>
      <c r="F455" s="1"/>
      <c r="G455" s="1"/>
      <c r="H455" s="155"/>
      <c r="I455" s="155"/>
      <c r="J455" s="1"/>
      <c r="K455" s="1"/>
      <c r="L455" s="1"/>
      <c r="M455" s="1"/>
    </row>
    <row r="456" ht="14.25" customHeight="1">
      <c r="A456" s="52"/>
      <c r="B456" s="53"/>
      <c r="C456" s="53"/>
      <c r="D456" s="1"/>
      <c r="E456" s="1"/>
      <c r="F456" s="1"/>
      <c r="G456" s="1"/>
      <c r="H456" s="155"/>
      <c r="I456" s="155"/>
      <c r="J456" s="1"/>
      <c r="K456" s="1"/>
      <c r="L456" s="1"/>
      <c r="M456" s="1"/>
    </row>
    <row r="457" ht="14.25" customHeight="1">
      <c r="A457" s="52"/>
      <c r="B457" s="53"/>
      <c r="C457" s="53"/>
      <c r="D457" s="1"/>
      <c r="E457" s="1"/>
      <c r="F457" s="1"/>
      <c r="G457" s="1"/>
      <c r="H457" s="155"/>
      <c r="I457" s="155"/>
      <c r="J457" s="1"/>
      <c r="K457" s="1"/>
      <c r="L457" s="1"/>
      <c r="M457" s="1"/>
    </row>
    <row r="458" ht="14.25" customHeight="1">
      <c r="A458" s="52"/>
      <c r="B458" s="53"/>
      <c r="C458" s="53"/>
      <c r="D458" s="1"/>
      <c r="E458" s="1"/>
      <c r="F458" s="1"/>
      <c r="G458" s="1"/>
      <c r="H458" s="155"/>
      <c r="I458" s="155"/>
      <c r="J458" s="1"/>
      <c r="K458" s="1"/>
      <c r="L458" s="1"/>
      <c r="M458" s="1"/>
    </row>
    <row r="459" ht="14.25" customHeight="1">
      <c r="A459" s="52"/>
      <c r="B459" s="53"/>
      <c r="C459" s="53"/>
      <c r="D459" s="1"/>
      <c r="E459" s="1"/>
      <c r="F459" s="1"/>
      <c r="G459" s="1"/>
      <c r="H459" s="155"/>
      <c r="I459" s="155"/>
      <c r="J459" s="1"/>
      <c r="K459" s="1"/>
      <c r="L459" s="1"/>
      <c r="M459" s="1"/>
    </row>
    <row r="460" ht="14.25" customHeight="1">
      <c r="A460" s="52"/>
      <c r="B460" s="53"/>
      <c r="C460" s="53"/>
      <c r="D460" s="1"/>
      <c r="E460" s="1"/>
      <c r="F460" s="1"/>
      <c r="G460" s="1"/>
      <c r="H460" s="155"/>
      <c r="I460" s="155"/>
      <c r="J460" s="1"/>
      <c r="K460" s="1"/>
      <c r="L460" s="1"/>
      <c r="M460" s="1"/>
    </row>
    <row r="461" ht="14.25" customHeight="1">
      <c r="A461" s="52"/>
      <c r="B461" s="53"/>
      <c r="C461" s="53"/>
      <c r="D461" s="1"/>
      <c r="E461" s="1"/>
      <c r="F461" s="1"/>
      <c r="G461" s="1"/>
      <c r="H461" s="155"/>
      <c r="I461" s="155"/>
      <c r="J461" s="1"/>
      <c r="K461" s="1"/>
      <c r="L461" s="1"/>
      <c r="M461" s="1"/>
    </row>
    <row r="462" ht="14.25" customHeight="1">
      <c r="A462" s="52"/>
      <c r="B462" s="53"/>
      <c r="C462" s="53"/>
      <c r="D462" s="1"/>
      <c r="E462" s="1"/>
      <c r="F462" s="1"/>
      <c r="G462" s="1"/>
      <c r="H462" s="155"/>
      <c r="I462" s="155"/>
      <c r="J462" s="1"/>
      <c r="K462" s="1"/>
      <c r="L462" s="1"/>
      <c r="M462" s="1"/>
    </row>
    <row r="463" ht="14.25" customHeight="1">
      <c r="A463" s="52"/>
      <c r="B463" s="53"/>
      <c r="C463" s="53"/>
      <c r="D463" s="1"/>
      <c r="E463" s="1"/>
      <c r="F463" s="1"/>
      <c r="G463" s="1"/>
      <c r="H463" s="155"/>
      <c r="I463" s="155"/>
      <c r="J463" s="1"/>
      <c r="K463" s="1"/>
      <c r="L463" s="1"/>
      <c r="M463" s="1"/>
    </row>
    <row r="464" ht="14.25" customHeight="1">
      <c r="A464" s="52"/>
      <c r="B464" s="53"/>
      <c r="C464" s="53"/>
      <c r="D464" s="1"/>
      <c r="E464" s="1"/>
      <c r="F464" s="1"/>
      <c r="G464" s="1"/>
      <c r="H464" s="155"/>
      <c r="I464" s="155"/>
      <c r="J464" s="1"/>
      <c r="K464" s="1"/>
      <c r="L464" s="1"/>
      <c r="M464" s="1"/>
    </row>
    <row r="465" ht="14.25" customHeight="1">
      <c r="A465" s="52"/>
      <c r="B465" s="53"/>
      <c r="C465" s="53"/>
      <c r="D465" s="1"/>
      <c r="E465" s="1"/>
      <c r="F465" s="1"/>
      <c r="G465" s="1"/>
      <c r="H465" s="155"/>
      <c r="I465" s="155"/>
      <c r="J465" s="1"/>
      <c r="K465" s="1"/>
      <c r="L465" s="1"/>
      <c r="M465" s="1"/>
    </row>
    <row r="466" ht="14.25" customHeight="1">
      <c r="A466" s="52"/>
      <c r="B466" s="53"/>
      <c r="C466" s="53"/>
      <c r="D466" s="1"/>
      <c r="E466" s="1"/>
      <c r="F466" s="1"/>
      <c r="G466" s="1"/>
      <c r="H466" s="155"/>
      <c r="I466" s="155"/>
      <c r="J466" s="1"/>
      <c r="K466" s="1"/>
      <c r="L466" s="1"/>
      <c r="M466" s="1"/>
    </row>
    <row r="467" ht="14.25" customHeight="1">
      <c r="A467" s="52"/>
      <c r="B467" s="53"/>
      <c r="C467" s="53"/>
      <c r="D467" s="1"/>
      <c r="E467" s="1"/>
      <c r="F467" s="1"/>
      <c r="G467" s="1"/>
      <c r="H467" s="155"/>
      <c r="I467" s="155"/>
      <c r="J467" s="1"/>
      <c r="K467" s="1"/>
      <c r="L467" s="1"/>
      <c r="M467" s="1"/>
    </row>
    <row r="468" ht="14.25" customHeight="1">
      <c r="A468" s="52"/>
      <c r="B468" s="53"/>
      <c r="C468" s="53"/>
      <c r="D468" s="1"/>
      <c r="E468" s="1"/>
      <c r="F468" s="1"/>
      <c r="G468" s="1"/>
      <c r="H468" s="155"/>
      <c r="I468" s="155"/>
      <c r="J468" s="1"/>
      <c r="K468" s="1"/>
      <c r="L468" s="1"/>
      <c r="M468" s="1"/>
    </row>
    <row r="469" ht="14.25" customHeight="1">
      <c r="A469" s="52"/>
      <c r="B469" s="53"/>
      <c r="C469" s="53"/>
      <c r="D469" s="1"/>
      <c r="E469" s="1"/>
      <c r="F469" s="1"/>
      <c r="G469" s="1"/>
      <c r="H469" s="155"/>
      <c r="I469" s="155"/>
      <c r="J469" s="1"/>
      <c r="K469" s="1"/>
      <c r="L469" s="1"/>
      <c r="M469" s="1"/>
    </row>
    <row r="470" ht="14.25" customHeight="1">
      <c r="A470" s="52"/>
      <c r="B470" s="53"/>
      <c r="C470" s="53"/>
      <c r="D470" s="1"/>
      <c r="E470" s="1"/>
      <c r="F470" s="1"/>
      <c r="G470" s="1"/>
      <c r="H470" s="155"/>
      <c r="I470" s="155"/>
      <c r="J470" s="1"/>
      <c r="K470" s="1"/>
      <c r="L470" s="1"/>
      <c r="M470" s="1"/>
    </row>
    <row r="471" ht="14.25" customHeight="1">
      <c r="A471" s="52"/>
      <c r="B471" s="53"/>
      <c r="C471" s="53"/>
      <c r="D471" s="1"/>
      <c r="E471" s="1"/>
      <c r="F471" s="1"/>
      <c r="G471" s="1"/>
      <c r="H471" s="155"/>
      <c r="I471" s="155"/>
      <c r="J471" s="1"/>
      <c r="K471" s="1"/>
      <c r="L471" s="1"/>
      <c r="M471" s="1"/>
    </row>
    <row r="472" ht="14.25" customHeight="1">
      <c r="A472" s="52"/>
      <c r="B472" s="53"/>
      <c r="C472" s="53"/>
      <c r="D472" s="1"/>
      <c r="E472" s="1"/>
      <c r="F472" s="1"/>
      <c r="G472" s="1"/>
      <c r="H472" s="155"/>
      <c r="I472" s="155"/>
      <c r="J472" s="1"/>
      <c r="K472" s="1"/>
      <c r="L472" s="1"/>
      <c r="M472" s="1"/>
    </row>
    <row r="473" ht="14.25" customHeight="1">
      <c r="A473" s="52"/>
      <c r="B473" s="53"/>
      <c r="C473" s="53"/>
      <c r="D473" s="1"/>
      <c r="E473" s="1"/>
      <c r="F473" s="1"/>
      <c r="G473" s="1"/>
      <c r="H473" s="155"/>
      <c r="I473" s="155"/>
      <c r="J473" s="1"/>
      <c r="K473" s="1"/>
      <c r="L473" s="1"/>
      <c r="M473" s="1"/>
    </row>
    <row r="474" ht="14.25" customHeight="1">
      <c r="A474" s="52"/>
      <c r="B474" s="53"/>
      <c r="C474" s="53"/>
      <c r="D474" s="1"/>
      <c r="E474" s="1"/>
      <c r="F474" s="1"/>
      <c r="G474" s="1"/>
      <c r="H474" s="155"/>
      <c r="I474" s="155"/>
      <c r="J474" s="1"/>
      <c r="K474" s="1"/>
      <c r="L474" s="1"/>
      <c r="M474" s="1"/>
    </row>
    <row r="475" ht="14.25" customHeight="1">
      <c r="A475" s="52"/>
      <c r="B475" s="53"/>
      <c r="C475" s="53"/>
      <c r="D475" s="1"/>
      <c r="E475" s="1"/>
      <c r="F475" s="1"/>
      <c r="G475" s="1"/>
      <c r="H475" s="155"/>
      <c r="I475" s="155"/>
      <c r="J475" s="1"/>
      <c r="K475" s="1"/>
      <c r="L475" s="1"/>
      <c r="M475" s="1"/>
    </row>
    <row r="476" ht="14.25" customHeight="1">
      <c r="A476" s="52"/>
      <c r="B476" s="53"/>
      <c r="C476" s="53"/>
      <c r="D476" s="1"/>
      <c r="E476" s="1"/>
      <c r="F476" s="1"/>
      <c r="G476" s="1"/>
      <c r="H476" s="155"/>
      <c r="I476" s="155"/>
      <c r="J476" s="1"/>
      <c r="K476" s="1"/>
      <c r="L476" s="1"/>
      <c r="M476" s="1"/>
    </row>
    <row r="477" ht="14.25" customHeight="1">
      <c r="A477" s="52"/>
      <c r="B477" s="53"/>
      <c r="C477" s="53"/>
      <c r="D477" s="1"/>
      <c r="E477" s="1"/>
      <c r="F477" s="1"/>
      <c r="G477" s="1"/>
      <c r="H477" s="155"/>
      <c r="I477" s="155"/>
      <c r="J477" s="1"/>
      <c r="K477" s="1"/>
      <c r="L477" s="1"/>
      <c r="M477" s="1"/>
    </row>
    <row r="478" ht="14.25" customHeight="1">
      <c r="A478" s="52"/>
      <c r="B478" s="53"/>
      <c r="C478" s="53"/>
      <c r="D478" s="1"/>
      <c r="E478" s="1"/>
      <c r="F478" s="1"/>
      <c r="G478" s="1"/>
      <c r="H478" s="155"/>
      <c r="I478" s="155"/>
      <c r="J478" s="1"/>
      <c r="K478" s="1"/>
      <c r="L478" s="1"/>
      <c r="M478" s="1"/>
    </row>
    <row r="479" ht="14.25" customHeight="1">
      <c r="A479" s="52"/>
      <c r="B479" s="53"/>
      <c r="C479" s="53"/>
      <c r="D479" s="1"/>
      <c r="E479" s="1"/>
      <c r="F479" s="1"/>
      <c r="G479" s="1"/>
      <c r="H479" s="155"/>
      <c r="I479" s="155"/>
      <c r="J479" s="1"/>
      <c r="K479" s="1"/>
      <c r="L479" s="1"/>
      <c r="M479" s="1"/>
    </row>
    <row r="480" ht="14.25" customHeight="1">
      <c r="A480" s="52"/>
      <c r="B480" s="53"/>
      <c r="C480" s="53"/>
      <c r="D480" s="1"/>
      <c r="E480" s="1"/>
      <c r="F480" s="1"/>
      <c r="G480" s="1"/>
      <c r="H480" s="155"/>
      <c r="I480" s="155"/>
      <c r="J480" s="1"/>
      <c r="K480" s="1"/>
      <c r="L480" s="1"/>
      <c r="M480" s="1"/>
    </row>
    <row r="481" ht="14.25" customHeight="1">
      <c r="A481" s="52"/>
      <c r="B481" s="53"/>
      <c r="C481" s="53"/>
      <c r="D481" s="1"/>
      <c r="E481" s="1"/>
      <c r="F481" s="1"/>
      <c r="G481" s="1"/>
      <c r="H481" s="155"/>
      <c r="I481" s="155"/>
      <c r="J481" s="1"/>
      <c r="K481" s="1"/>
      <c r="L481" s="1"/>
      <c r="M481" s="1"/>
    </row>
    <row r="482" ht="14.25" customHeight="1">
      <c r="A482" s="52"/>
      <c r="B482" s="53"/>
      <c r="C482" s="53"/>
      <c r="D482" s="1"/>
      <c r="E482" s="1"/>
      <c r="F482" s="1"/>
      <c r="G482" s="1"/>
      <c r="H482" s="155"/>
      <c r="I482" s="155"/>
      <c r="J482" s="1"/>
      <c r="K482" s="1"/>
      <c r="L482" s="1"/>
      <c r="M482" s="1"/>
    </row>
    <row r="483" ht="14.25" customHeight="1">
      <c r="A483" s="52"/>
      <c r="B483" s="53"/>
      <c r="C483" s="53"/>
      <c r="D483" s="1"/>
      <c r="E483" s="1"/>
      <c r="F483" s="1"/>
      <c r="G483" s="1"/>
      <c r="H483" s="155"/>
      <c r="I483" s="155"/>
      <c r="J483" s="1"/>
      <c r="K483" s="1"/>
      <c r="L483" s="1"/>
      <c r="M483" s="1"/>
    </row>
    <row r="484" ht="14.25" customHeight="1">
      <c r="A484" s="52"/>
      <c r="B484" s="53"/>
      <c r="C484" s="53"/>
      <c r="D484" s="1"/>
      <c r="E484" s="1"/>
      <c r="F484" s="1"/>
      <c r="G484" s="1"/>
      <c r="H484" s="155"/>
      <c r="I484" s="155"/>
      <c r="J484" s="1"/>
      <c r="K484" s="1"/>
      <c r="L484" s="1"/>
      <c r="M484" s="1"/>
    </row>
    <row r="485" ht="14.25" customHeight="1">
      <c r="A485" s="52"/>
      <c r="B485" s="53"/>
      <c r="C485" s="53"/>
      <c r="D485" s="1"/>
      <c r="E485" s="1"/>
      <c r="F485" s="1"/>
      <c r="G485" s="1"/>
      <c r="H485" s="155"/>
      <c r="I485" s="155"/>
      <c r="J485" s="1"/>
      <c r="K485" s="1"/>
      <c r="L485" s="1"/>
      <c r="M485" s="1"/>
    </row>
    <row r="486" ht="14.25" customHeight="1">
      <c r="A486" s="52"/>
      <c r="B486" s="53"/>
      <c r="C486" s="53"/>
      <c r="D486" s="1"/>
      <c r="E486" s="1"/>
      <c r="F486" s="1"/>
      <c r="G486" s="1"/>
      <c r="H486" s="155"/>
      <c r="I486" s="155"/>
      <c r="J486" s="1"/>
      <c r="K486" s="1"/>
      <c r="L486" s="1"/>
      <c r="M486" s="1"/>
    </row>
    <row r="487" ht="14.25" customHeight="1">
      <c r="A487" s="52"/>
      <c r="B487" s="53"/>
      <c r="C487" s="53"/>
      <c r="D487" s="1"/>
      <c r="E487" s="1"/>
      <c r="F487" s="1"/>
      <c r="G487" s="1"/>
      <c r="H487" s="155"/>
      <c r="I487" s="155"/>
      <c r="J487" s="1"/>
      <c r="K487" s="1"/>
      <c r="L487" s="1"/>
      <c r="M487" s="1"/>
    </row>
    <row r="488" ht="14.25" customHeight="1">
      <c r="A488" s="52"/>
      <c r="B488" s="53"/>
      <c r="C488" s="53"/>
      <c r="D488" s="1"/>
      <c r="E488" s="1"/>
      <c r="F488" s="1"/>
      <c r="G488" s="1"/>
      <c r="H488" s="155"/>
      <c r="I488" s="155"/>
      <c r="J488" s="1"/>
      <c r="K488" s="1"/>
      <c r="L488" s="1"/>
      <c r="M488" s="1"/>
    </row>
    <row r="489" ht="14.25" customHeight="1">
      <c r="A489" s="52"/>
      <c r="B489" s="53"/>
      <c r="C489" s="53"/>
      <c r="D489" s="1"/>
      <c r="E489" s="1"/>
      <c r="F489" s="1"/>
      <c r="G489" s="1"/>
      <c r="H489" s="155"/>
      <c r="I489" s="155"/>
      <c r="J489" s="1"/>
      <c r="K489" s="1"/>
      <c r="L489" s="1"/>
      <c r="M489" s="1"/>
    </row>
    <row r="490" ht="14.25" customHeight="1">
      <c r="A490" s="52"/>
      <c r="B490" s="53"/>
      <c r="C490" s="53"/>
      <c r="D490" s="1"/>
      <c r="E490" s="1"/>
      <c r="F490" s="1"/>
      <c r="G490" s="1"/>
      <c r="H490" s="155"/>
      <c r="I490" s="155"/>
      <c r="J490" s="1"/>
      <c r="K490" s="1"/>
      <c r="L490" s="1"/>
      <c r="M490" s="1"/>
    </row>
    <row r="491" ht="14.25" customHeight="1">
      <c r="A491" s="52"/>
      <c r="B491" s="53"/>
      <c r="C491" s="53"/>
      <c r="D491" s="1"/>
      <c r="E491" s="1"/>
      <c r="F491" s="1"/>
      <c r="G491" s="1"/>
      <c r="H491" s="155"/>
      <c r="I491" s="155"/>
      <c r="J491" s="1"/>
      <c r="K491" s="1"/>
      <c r="L491" s="1"/>
      <c r="M491" s="1"/>
    </row>
    <row r="492" ht="14.25" customHeight="1">
      <c r="A492" s="52"/>
      <c r="B492" s="53"/>
      <c r="C492" s="53"/>
      <c r="D492" s="1"/>
      <c r="E492" s="1"/>
      <c r="F492" s="1"/>
      <c r="G492" s="1"/>
      <c r="H492" s="155"/>
      <c r="I492" s="155"/>
      <c r="J492" s="1"/>
      <c r="K492" s="1"/>
      <c r="L492" s="1"/>
      <c r="M492" s="1"/>
    </row>
    <row r="493" ht="14.25" customHeight="1">
      <c r="A493" s="52"/>
      <c r="B493" s="53"/>
      <c r="C493" s="53"/>
      <c r="D493" s="1"/>
      <c r="E493" s="1"/>
      <c r="F493" s="1"/>
      <c r="G493" s="1"/>
      <c r="H493" s="155"/>
      <c r="I493" s="155"/>
      <c r="J493" s="1"/>
      <c r="K493" s="1"/>
      <c r="L493" s="1"/>
      <c r="M493" s="1"/>
    </row>
    <row r="494" ht="14.25" customHeight="1">
      <c r="A494" s="52"/>
      <c r="B494" s="53"/>
      <c r="C494" s="53"/>
      <c r="D494" s="1"/>
      <c r="E494" s="1"/>
      <c r="F494" s="1"/>
      <c r="G494" s="1"/>
      <c r="H494" s="155"/>
      <c r="I494" s="155"/>
      <c r="J494" s="1"/>
      <c r="K494" s="1"/>
      <c r="L494" s="1"/>
      <c r="M494" s="1"/>
    </row>
    <row r="495" ht="14.25" customHeight="1">
      <c r="A495" s="52"/>
      <c r="B495" s="53"/>
      <c r="C495" s="53"/>
      <c r="D495" s="1"/>
      <c r="E495" s="1"/>
      <c r="F495" s="1"/>
      <c r="G495" s="1"/>
      <c r="H495" s="155"/>
      <c r="I495" s="155"/>
      <c r="J495" s="1"/>
      <c r="K495" s="1"/>
      <c r="L495" s="1"/>
      <c r="M495" s="1"/>
    </row>
    <row r="496" ht="14.25" customHeight="1">
      <c r="A496" s="52"/>
      <c r="B496" s="53"/>
      <c r="C496" s="53"/>
      <c r="D496" s="1"/>
      <c r="E496" s="1"/>
      <c r="F496" s="1"/>
      <c r="G496" s="1"/>
      <c r="H496" s="155"/>
      <c r="I496" s="155"/>
      <c r="J496" s="1"/>
      <c r="K496" s="1"/>
      <c r="L496" s="1"/>
      <c r="M496" s="1"/>
    </row>
    <row r="497" ht="14.25" customHeight="1">
      <c r="A497" s="52"/>
      <c r="B497" s="53"/>
      <c r="C497" s="53"/>
      <c r="D497" s="1"/>
      <c r="E497" s="1"/>
      <c r="F497" s="1"/>
      <c r="G497" s="1"/>
      <c r="H497" s="155"/>
      <c r="I497" s="155"/>
      <c r="J497" s="1"/>
      <c r="K497" s="1"/>
      <c r="L497" s="1"/>
      <c r="M497" s="1"/>
    </row>
    <row r="498" ht="14.25" customHeight="1">
      <c r="A498" s="52"/>
      <c r="B498" s="53"/>
      <c r="C498" s="53"/>
      <c r="D498" s="1"/>
      <c r="E498" s="1"/>
      <c r="F498" s="1"/>
      <c r="G498" s="1"/>
      <c r="H498" s="155"/>
      <c r="I498" s="155"/>
      <c r="J498" s="1"/>
      <c r="K498" s="1"/>
      <c r="L498" s="1"/>
      <c r="M498" s="1"/>
    </row>
    <row r="499" ht="14.25" customHeight="1">
      <c r="A499" s="52"/>
      <c r="B499" s="53"/>
      <c r="C499" s="53"/>
      <c r="D499" s="1"/>
      <c r="E499" s="1"/>
      <c r="F499" s="1"/>
      <c r="G499" s="1"/>
      <c r="H499" s="155"/>
      <c r="I499" s="155"/>
      <c r="J499" s="1"/>
      <c r="K499" s="1"/>
      <c r="L499" s="1"/>
      <c r="M499" s="1"/>
    </row>
    <row r="500" ht="14.25" customHeight="1">
      <c r="A500" s="52"/>
      <c r="B500" s="53"/>
      <c r="C500" s="53"/>
      <c r="D500" s="1"/>
      <c r="E500" s="1"/>
      <c r="F500" s="1"/>
      <c r="G500" s="1"/>
      <c r="H500" s="155"/>
      <c r="I500" s="155"/>
      <c r="J500" s="1"/>
      <c r="K500" s="1"/>
      <c r="L500" s="1"/>
      <c r="M500" s="1"/>
    </row>
    <row r="501" ht="14.25" customHeight="1">
      <c r="A501" s="52"/>
      <c r="B501" s="53"/>
      <c r="C501" s="53"/>
      <c r="D501" s="1"/>
      <c r="E501" s="1"/>
      <c r="F501" s="1"/>
      <c r="G501" s="1"/>
      <c r="H501" s="155"/>
      <c r="I501" s="155"/>
      <c r="J501" s="1"/>
      <c r="K501" s="1"/>
      <c r="L501" s="1"/>
      <c r="M501" s="1"/>
    </row>
    <row r="502" ht="14.25" customHeight="1">
      <c r="A502" s="52"/>
      <c r="B502" s="53"/>
      <c r="C502" s="53"/>
      <c r="D502" s="1"/>
      <c r="E502" s="1"/>
      <c r="F502" s="1"/>
      <c r="G502" s="1"/>
      <c r="H502" s="155"/>
      <c r="I502" s="155"/>
      <c r="J502" s="1"/>
      <c r="K502" s="1"/>
      <c r="L502" s="1"/>
      <c r="M502" s="1"/>
    </row>
    <row r="503" ht="14.25" customHeight="1">
      <c r="A503" s="52"/>
      <c r="B503" s="53"/>
      <c r="C503" s="53"/>
      <c r="D503" s="1"/>
      <c r="E503" s="1"/>
      <c r="F503" s="1"/>
      <c r="G503" s="1"/>
      <c r="H503" s="155"/>
      <c r="I503" s="155"/>
      <c r="J503" s="1"/>
      <c r="K503" s="1"/>
      <c r="L503" s="1"/>
      <c r="M503" s="1"/>
    </row>
    <row r="504" ht="14.25" customHeight="1">
      <c r="A504" s="52"/>
      <c r="B504" s="53"/>
      <c r="C504" s="53"/>
      <c r="D504" s="1"/>
      <c r="E504" s="1"/>
      <c r="F504" s="1"/>
      <c r="G504" s="1"/>
      <c r="H504" s="155"/>
      <c r="I504" s="155"/>
      <c r="J504" s="1"/>
      <c r="K504" s="1"/>
      <c r="L504" s="1"/>
      <c r="M504" s="1"/>
    </row>
    <row r="505" ht="14.25" customHeight="1">
      <c r="A505" s="52"/>
      <c r="B505" s="53"/>
      <c r="C505" s="53"/>
      <c r="D505" s="1"/>
      <c r="E505" s="1"/>
      <c r="F505" s="1"/>
      <c r="G505" s="1"/>
      <c r="H505" s="155"/>
      <c r="I505" s="155"/>
      <c r="J505" s="1"/>
      <c r="K505" s="1"/>
      <c r="L505" s="1"/>
      <c r="M505" s="1"/>
    </row>
    <row r="506" ht="14.25" customHeight="1">
      <c r="A506" s="52"/>
      <c r="B506" s="53"/>
      <c r="C506" s="53"/>
      <c r="D506" s="1"/>
      <c r="E506" s="1"/>
      <c r="F506" s="1"/>
      <c r="G506" s="1"/>
      <c r="H506" s="155"/>
      <c r="I506" s="155"/>
      <c r="J506" s="1"/>
      <c r="K506" s="1"/>
      <c r="L506" s="1"/>
      <c r="M506" s="1"/>
    </row>
    <row r="507" ht="14.25" customHeight="1">
      <c r="A507" s="52"/>
      <c r="B507" s="53"/>
      <c r="C507" s="53"/>
      <c r="D507" s="1"/>
      <c r="E507" s="1"/>
      <c r="F507" s="1"/>
      <c r="G507" s="1"/>
      <c r="H507" s="155"/>
      <c r="I507" s="155"/>
      <c r="J507" s="1"/>
      <c r="K507" s="1"/>
      <c r="L507" s="1"/>
      <c r="M507" s="1"/>
    </row>
    <row r="508" ht="14.25" customHeight="1">
      <c r="A508" s="52"/>
      <c r="B508" s="53"/>
      <c r="C508" s="53"/>
      <c r="D508" s="1"/>
      <c r="E508" s="1"/>
      <c r="F508" s="1"/>
      <c r="G508" s="1"/>
      <c r="H508" s="155"/>
      <c r="I508" s="155"/>
      <c r="J508" s="1"/>
      <c r="K508" s="1"/>
      <c r="L508" s="1"/>
      <c r="M508" s="1"/>
    </row>
    <row r="509" ht="14.25" customHeight="1">
      <c r="A509" s="52"/>
      <c r="B509" s="53"/>
      <c r="C509" s="53"/>
      <c r="D509" s="1"/>
      <c r="E509" s="1"/>
      <c r="F509" s="1"/>
      <c r="G509" s="1"/>
      <c r="H509" s="155"/>
      <c r="I509" s="155"/>
      <c r="J509" s="1"/>
      <c r="K509" s="1"/>
      <c r="L509" s="1"/>
      <c r="M509" s="1"/>
    </row>
    <row r="510" ht="14.25" customHeight="1">
      <c r="A510" s="52"/>
      <c r="B510" s="53"/>
      <c r="C510" s="53"/>
      <c r="D510" s="1"/>
      <c r="E510" s="1"/>
      <c r="F510" s="1"/>
      <c r="G510" s="1"/>
      <c r="H510" s="155"/>
      <c r="I510" s="155"/>
      <c r="J510" s="1"/>
      <c r="K510" s="1"/>
      <c r="L510" s="1"/>
      <c r="M510" s="1"/>
    </row>
    <row r="511" ht="14.25" customHeight="1">
      <c r="A511" s="52"/>
      <c r="B511" s="53"/>
      <c r="C511" s="53"/>
      <c r="D511" s="1"/>
      <c r="E511" s="1"/>
      <c r="F511" s="1"/>
      <c r="G511" s="1"/>
      <c r="H511" s="155"/>
      <c r="I511" s="155"/>
      <c r="J511" s="1"/>
      <c r="K511" s="1"/>
      <c r="L511" s="1"/>
      <c r="M511" s="1"/>
    </row>
    <row r="512" ht="14.25" customHeight="1">
      <c r="A512" s="52"/>
      <c r="B512" s="53"/>
      <c r="C512" s="53"/>
      <c r="D512" s="1"/>
      <c r="E512" s="1"/>
      <c r="F512" s="1"/>
      <c r="G512" s="1"/>
      <c r="H512" s="155"/>
      <c r="I512" s="155"/>
      <c r="J512" s="1"/>
      <c r="K512" s="1"/>
      <c r="L512" s="1"/>
      <c r="M512" s="1"/>
    </row>
    <row r="513" ht="14.25" customHeight="1">
      <c r="A513" s="52"/>
      <c r="B513" s="53"/>
      <c r="C513" s="53"/>
      <c r="D513" s="1"/>
      <c r="E513" s="1"/>
      <c r="F513" s="1"/>
      <c r="G513" s="1"/>
      <c r="H513" s="155"/>
      <c r="I513" s="155"/>
      <c r="J513" s="1"/>
      <c r="K513" s="1"/>
      <c r="L513" s="1"/>
      <c r="M513" s="1"/>
    </row>
    <row r="514" ht="14.25" customHeight="1">
      <c r="A514" s="52"/>
      <c r="B514" s="53"/>
      <c r="C514" s="53"/>
      <c r="D514" s="1"/>
      <c r="E514" s="1"/>
      <c r="F514" s="1"/>
      <c r="G514" s="1"/>
      <c r="H514" s="155"/>
      <c r="I514" s="155"/>
      <c r="J514" s="1"/>
      <c r="K514" s="1"/>
      <c r="L514" s="1"/>
      <c r="M514" s="1"/>
    </row>
    <row r="515" ht="14.25" customHeight="1">
      <c r="A515" s="52"/>
      <c r="B515" s="53"/>
      <c r="C515" s="53"/>
      <c r="D515" s="1"/>
      <c r="E515" s="1"/>
      <c r="F515" s="1"/>
      <c r="G515" s="1"/>
      <c r="H515" s="155"/>
      <c r="I515" s="155"/>
      <c r="J515" s="1"/>
      <c r="K515" s="1"/>
      <c r="L515" s="1"/>
      <c r="M515" s="1"/>
    </row>
    <row r="516" ht="14.25" customHeight="1">
      <c r="A516" s="52"/>
      <c r="B516" s="53"/>
      <c r="C516" s="53"/>
      <c r="D516" s="1"/>
      <c r="E516" s="1"/>
      <c r="F516" s="1"/>
      <c r="G516" s="1"/>
      <c r="H516" s="155"/>
      <c r="I516" s="155"/>
      <c r="J516" s="1"/>
      <c r="K516" s="1"/>
      <c r="L516" s="1"/>
      <c r="M516" s="1"/>
    </row>
    <row r="517" ht="14.25" customHeight="1">
      <c r="A517" s="52"/>
      <c r="B517" s="53"/>
      <c r="C517" s="53"/>
      <c r="D517" s="1"/>
      <c r="E517" s="1"/>
      <c r="F517" s="1"/>
      <c r="G517" s="1"/>
      <c r="H517" s="155"/>
      <c r="I517" s="155"/>
      <c r="J517" s="1"/>
      <c r="K517" s="1"/>
      <c r="L517" s="1"/>
      <c r="M517" s="1"/>
    </row>
    <row r="518" ht="14.25" customHeight="1">
      <c r="A518" s="52"/>
      <c r="B518" s="53"/>
      <c r="C518" s="53"/>
      <c r="D518" s="1"/>
      <c r="E518" s="1"/>
      <c r="F518" s="1"/>
      <c r="G518" s="1"/>
      <c r="H518" s="155"/>
      <c r="I518" s="155"/>
      <c r="J518" s="1"/>
      <c r="K518" s="1"/>
      <c r="L518" s="1"/>
      <c r="M518" s="1"/>
    </row>
    <row r="519" ht="14.25" customHeight="1">
      <c r="A519" s="52"/>
      <c r="B519" s="53"/>
      <c r="C519" s="53"/>
      <c r="D519" s="1"/>
      <c r="E519" s="1"/>
      <c r="F519" s="1"/>
      <c r="G519" s="1"/>
      <c r="H519" s="155"/>
      <c r="I519" s="155"/>
      <c r="J519" s="1"/>
      <c r="K519" s="1"/>
      <c r="L519" s="1"/>
      <c r="M519" s="1"/>
    </row>
    <row r="520" ht="14.25" customHeight="1">
      <c r="A520" s="52"/>
      <c r="B520" s="53"/>
      <c r="C520" s="53"/>
      <c r="D520" s="1"/>
      <c r="E520" s="1"/>
      <c r="F520" s="1"/>
      <c r="G520" s="1"/>
      <c r="H520" s="155"/>
      <c r="I520" s="155"/>
      <c r="J520" s="1"/>
      <c r="K520" s="1"/>
      <c r="L520" s="1"/>
      <c r="M520" s="1"/>
    </row>
    <row r="521" ht="14.25" customHeight="1">
      <c r="A521" s="52"/>
      <c r="B521" s="53"/>
      <c r="C521" s="53"/>
      <c r="D521" s="1"/>
      <c r="E521" s="1"/>
      <c r="F521" s="1"/>
      <c r="G521" s="1"/>
      <c r="H521" s="155"/>
      <c r="I521" s="155"/>
      <c r="J521" s="1"/>
      <c r="K521" s="1"/>
      <c r="L521" s="1"/>
      <c r="M521" s="1"/>
    </row>
    <row r="522" ht="14.25" customHeight="1">
      <c r="A522" s="52"/>
      <c r="B522" s="53"/>
      <c r="C522" s="53"/>
      <c r="D522" s="1"/>
      <c r="E522" s="1"/>
      <c r="F522" s="1"/>
      <c r="G522" s="1"/>
      <c r="H522" s="155"/>
      <c r="I522" s="155"/>
      <c r="J522" s="1"/>
      <c r="K522" s="1"/>
      <c r="L522" s="1"/>
      <c r="M522" s="1"/>
    </row>
    <row r="523" ht="14.25" customHeight="1">
      <c r="A523" s="52"/>
      <c r="B523" s="53"/>
      <c r="C523" s="53"/>
      <c r="D523" s="1"/>
      <c r="E523" s="1"/>
      <c r="F523" s="1"/>
      <c r="G523" s="1"/>
      <c r="H523" s="155"/>
      <c r="I523" s="155"/>
      <c r="J523" s="1"/>
      <c r="K523" s="1"/>
      <c r="L523" s="1"/>
      <c r="M523" s="1"/>
    </row>
    <row r="524" ht="14.25" customHeight="1">
      <c r="A524" s="52"/>
      <c r="B524" s="53"/>
      <c r="C524" s="53"/>
      <c r="D524" s="1"/>
      <c r="E524" s="1"/>
      <c r="F524" s="1"/>
      <c r="G524" s="1"/>
      <c r="H524" s="155"/>
      <c r="I524" s="155"/>
      <c r="J524" s="1"/>
      <c r="K524" s="1"/>
      <c r="L524" s="1"/>
      <c r="M524" s="1"/>
    </row>
    <row r="525" ht="14.25" customHeight="1">
      <c r="A525" s="52"/>
      <c r="B525" s="53"/>
      <c r="C525" s="53"/>
      <c r="D525" s="1"/>
      <c r="E525" s="1"/>
      <c r="F525" s="1"/>
      <c r="G525" s="1"/>
      <c r="H525" s="155"/>
      <c r="I525" s="155"/>
      <c r="J525" s="1"/>
      <c r="K525" s="1"/>
      <c r="L525" s="1"/>
      <c r="M525" s="1"/>
    </row>
    <row r="526" ht="14.25" customHeight="1">
      <c r="A526" s="52"/>
      <c r="B526" s="53"/>
      <c r="C526" s="53"/>
      <c r="D526" s="1"/>
      <c r="E526" s="1"/>
      <c r="F526" s="1"/>
      <c r="G526" s="1"/>
      <c r="H526" s="155"/>
      <c r="I526" s="155"/>
      <c r="J526" s="1"/>
      <c r="K526" s="1"/>
      <c r="L526" s="1"/>
      <c r="M526" s="1"/>
    </row>
    <row r="527" ht="14.25" customHeight="1">
      <c r="A527" s="52"/>
      <c r="B527" s="53"/>
      <c r="C527" s="53"/>
      <c r="D527" s="1"/>
      <c r="E527" s="1"/>
      <c r="F527" s="1"/>
      <c r="G527" s="1"/>
      <c r="H527" s="155"/>
      <c r="I527" s="155"/>
      <c r="J527" s="1"/>
      <c r="K527" s="1"/>
      <c r="L527" s="1"/>
      <c r="M527" s="1"/>
    </row>
    <row r="528" ht="14.25" customHeight="1">
      <c r="A528" s="52"/>
      <c r="B528" s="53"/>
      <c r="C528" s="53"/>
      <c r="D528" s="1"/>
      <c r="E528" s="1"/>
      <c r="F528" s="1"/>
      <c r="G528" s="1"/>
      <c r="H528" s="155"/>
      <c r="I528" s="155"/>
      <c r="J528" s="1"/>
      <c r="K528" s="1"/>
      <c r="L528" s="1"/>
      <c r="M528" s="1"/>
    </row>
    <row r="529" ht="14.25" customHeight="1">
      <c r="A529" s="52"/>
      <c r="B529" s="53"/>
      <c r="C529" s="53"/>
      <c r="D529" s="1"/>
      <c r="E529" s="1"/>
      <c r="F529" s="1"/>
      <c r="G529" s="1"/>
      <c r="H529" s="155"/>
      <c r="I529" s="155"/>
      <c r="J529" s="1"/>
      <c r="K529" s="1"/>
      <c r="L529" s="1"/>
      <c r="M529" s="1"/>
    </row>
    <row r="530" ht="14.25" customHeight="1">
      <c r="A530" s="52"/>
      <c r="B530" s="53"/>
      <c r="C530" s="53"/>
      <c r="D530" s="1"/>
      <c r="E530" s="1"/>
      <c r="F530" s="1"/>
      <c r="G530" s="1"/>
      <c r="H530" s="155"/>
      <c r="I530" s="155"/>
      <c r="J530" s="1"/>
      <c r="K530" s="1"/>
      <c r="L530" s="1"/>
      <c r="M530" s="1"/>
    </row>
    <row r="531" ht="14.25" customHeight="1">
      <c r="A531" s="52"/>
      <c r="B531" s="53"/>
      <c r="C531" s="53"/>
      <c r="D531" s="1"/>
      <c r="E531" s="1"/>
      <c r="F531" s="1"/>
      <c r="G531" s="1"/>
      <c r="H531" s="155"/>
      <c r="I531" s="155"/>
      <c r="J531" s="1"/>
      <c r="K531" s="1"/>
      <c r="L531" s="1"/>
      <c r="M531" s="1"/>
    </row>
    <row r="532" ht="14.25" customHeight="1">
      <c r="A532" s="52"/>
      <c r="B532" s="53"/>
      <c r="C532" s="53"/>
      <c r="D532" s="1"/>
      <c r="E532" s="1"/>
      <c r="F532" s="1"/>
      <c r="G532" s="1"/>
      <c r="H532" s="155"/>
      <c r="I532" s="155"/>
      <c r="J532" s="1"/>
      <c r="K532" s="1"/>
      <c r="L532" s="1"/>
      <c r="M532" s="1"/>
    </row>
    <row r="533" ht="14.25" customHeight="1">
      <c r="A533" s="52"/>
      <c r="B533" s="53"/>
      <c r="C533" s="53"/>
      <c r="D533" s="1"/>
      <c r="E533" s="1"/>
      <c r="F533" s="1"/>
      <c r="G533" s="1"/>
      <c r="H533" s="155"/>
      <c r="I533" s="155"/>
      <c r="J533" s="1"/>
      <c r="K533" s="1"/>
      <c r="L533" s="1"/>
      <c r="M533" s="1"/>
    </row>
    <row r="534" ht="14.25" customHeight="1">
      <c r="A534" s="52"/>
      <c r="B534" s="53"/>
      <c r="C534" s="53"/>
      <c r="D534" s="1"/>
      <c r="E534" s="1"/>
      <c r="F534" s="1"/>
      <c r="G534" s="1"/>
      <c r="H534" s="155"/>
      <c r="I534" s="155"/>
      <c r="J534" s="1"/>
      <c r="K534" s="1"/>
      <c r="L534" s="1"/>
      <c r="M534" s="1"/>
    </row>
    <row r="535" ht="14.25" customHeight="1">
      <c r="A535" s="52"/>
      <c r="B535" s="53"/>
      <c r="C535" s="53"/>
      <c r="D535" s="1"/>
      <c r="E535" s="1"/>
      <c r="F535" s="1"/>
      <c r="G535" s="1"/>
      <c r="H535" s="155"/>
      <c r="I535" s="155"/>
      <c r="J535" s="1"/>
      <c r="K535" s="1"/>
      <c r="L535" s="1"/>
      <c r="M535" s="1"/>
    </row>
    <row r="536" ht="14.25" customHeight="1">
      <c r="A536" s="52"/>
      <c r="B536" s="53"/>
      <c r="C536" s="53"/>
      <c r="D536" s="1"/>
      <c r="E536" s="1"/>
      <c r="F536" s="1"/>
      <c r="G536" s="1"/>
      <c r="H536" s="155"/>
      <c r="I536" s="155"/>
      <c r="J536" s="1"/>
      <c r="K536" s="1"/>
      <c r="L536" s="1"/>
      <c r="M536" s="1"/>
    </row>
    <row r="537" ht="14.25" customHeight="1">
      <c r="A537" s="52"/>
      <c r="B537" s="53"/>
      <c r="C537" s="53"/>
      <c r="D537" s="1"/>
      <c r="E537" s="1"/>
      <c r="F537" s="1"/>
      <c r="G537" s="1"/>
      <c r="H537" s="155"/>
      <c r="I537" s="155"/>
      <c r="J537" s="1"/>
      <c r="K537" s="1"/>
      <c r="L537" s="1"/>
      <c r="M537" s="1"/>
    </row>
    <row r="538" ht="14.25" customHeight="1">
      <c r="A538" s="52"/>
      <c r="B538" s="53"/>
      <c r="C538" s="53"/>
      <c r="D538" s="1"/>
      <c r="E538" s="1"/>
      <c r="F538" s="1"/>
      <c r="G538" s="1"/>
      <c r="H538" s="155"/>
      <c r="I538" s="155"/>
      <c r="J538" s="1"/>
      <c r="K538" s="1"/>
      <c r="L538" s="1"/>
      <c r="M538" s="1"/>
    </row>
    <row r="539" ht="14.25" customHeight="1">
      <c r="A539" s="52"/>
      <c r="B539" s="53"/>
      <c r="C539" s="53"/>
      <c r="D539" s="1"/>
      <c r="E539" s="1"/>
      <c r="F539" s="1"/>
      <c r="G539" s="1"/>
      <c r="H539" s="155"/>
      <c r="I539" s="155"/>
      <c r="J539" s="1"/>
      <c r="K539" s="1"/>
      <c r="L539" s="1"/>
      <c r="M539" s="1"/>
    </row>
    <row r="540" ht="14.25" customHeight="1">
      <c r="A540" s="52"/>
      <c r="B540" s="53"/>
      <c r="C540" s="53"/>
      <c r="D540" s="1"/>
      <c r="E540" s="1"/>
      <c r="F540" s="1"/>
      <c r="G540" s="1"/>
      <c r="H540" s="155"/>
      <c r="I540" s="155"/>
      <c r="J540" s="1"/>
      <c r="K540" s="1"/>
      <c r="L540" s="1"/>
      <c r="M540" s="1"/>
    </row>
    <row r="541" ht="14.25" customHeight="1">
      <c r="A541" s="52"/>
      <c r="B541" s="53"/>
      <c r="C541" s="53"/>
      <c r="D541" s="1"/>
      <c r="E541" s="1"/>
      <c r="F541" s="1"/>
      <c r="G541" s="1"/>
      <c r="H541" s="155"/>
      <c r="I541" s="155"/>
      <c r="J541" s="1"/>
      <c r="K541" s="1"/>
      <c r="L541" s="1"/>
      <c r="M541" s="1"/>
    </row>
    <row r="542" ht="14.25" customHeight="1">
      <c r="A542" s="52"/>
      <c r="B542" s="53"/>
      <c r="C542" s="53"/>
      <c r="D542" s="1"/>
      <c r="E542" s="1"/>
      <c r="F542" s="1"/>
      <c r="G542" s="1"/>
      <c r="H542" s="155"/>
      <c r="I542" s="155"/>
      <c r="J542" s="1"/>
      <c r="K542" s="1"/>
      <c r="L542" s="1"/>
      <c r="M542" s="1"/>
    </row>
    <row r="543" ht="14.25" customHeight="1">
      <c r="A543" s="52"/>
      <c r="B543" s="53"/>
      <c r="C543" s="53"/>
      <c r="D543" s="1"/>
      <c r="E543" s="1"/>
      <c r="F543" s="1"/>
      <c r="G543" s="1"/>
      <c r="H543" s="155"/>
      <c r="I543" s="155"/>
      <c r="J543" s="1"/>
      <c r="K543" s="1"/>
      <c r="L543" s="1"/>
      <c r="M543" s="1"/>
    </row>
    <row r="544" ht="14.25" customHeight="1">
      <c r="A544" s="52"/>
      <c r="B544" s="53"/>
      <c r="C544" s="53"/>
      <c r="D544" s="1"/>
      <c r="E544" s="1"/>
      <c r="F544" s="1"/>
      <c r="G544" s="1"/>
      <c r="H544" s="155"/>
      <c r="I544" s="155"/>
      <c r="J544" s="1"/>
      <c r="K544" s="1"/>
      <c r="L544" s="1"/>
      <c r="M544" s="1"/>
    </row>
    <row r="545" ht="14.25" customHeight="1">
      <c r="A545" s="52"/>
      <c r="B545" s="53"/>
      <c r="C545" s="53"/>
      <c r="D545" s="1"/>
      <c r="E545" s="1"/>
      <c r="F545" s="1"/>
      <c r="G545" s="1"/>
      <c r="H545" s="155"/>
      <c r="I545" s="155"/>
      <c r="J545" s="1"/>
      <c r="K545" s="1"/>
      <c r="L545" s="1"/>
      <c r="M545" s="1"/>
    </row>
    <row r="546" ht="14.25" customHeight="1">
      <c r="A546" s="52"/>
      <c r="B546" s="53"/>
      <c r="C546" s="53"/>
      <c r="D546" s="1"/>
      <c r="E546" s="1"/>
      <c r="F546" s="1"/>
      <c r="G546" s="1"/>
      <c r="H546" s="155"/>
      <c r="I546" s="155"/>
      <c r="J546" s="1"/>
      <c r="K546" s="1"/>
      <c r="L546" s="1"/>
      <c r="M546" s="1"/>
    </row>
    <row r="547" ht="14.25" customHeight="1">
      <c r="A547" s="52"/>
      <c r="B547" s="53"/>
      <c r="C547" s="53"/>
      <c r="D547" s="1"/>
      <c r="E547" s="1"/>
      <c r="F547" s="1"/>
      <c r="G547" s="1"/>
      <c r="H547" s="155"/>
      <c r="I547" s="155"/>
      <c r="J547" s="1"/>
      <c r="K547" s="1"/>
      <c r="L547" s="1"/>
      <c r="M547" s="1"/>
    </row>
    <row r="548" ht="14.25" customHeight="1">
      <c r="A548" s="52"/>
      <c r="B548" s="53"/>
      <c r="C548" s="53"/>
      <c r="D548" s="1"/>
      <c r="E548" s="1"/>
      <c r="F548" s="1"/>
      <c r="G548" s="1"/>
      <c r="H548" s="155"/>
      <c r="I548" s="155"/>
      <c r="J548" s="1"/>
      <c r="K548" s="1"/>
      <c r="L548" s="1"/>
      <c r="M548" s="1"/>
    </row>
    <row r="549" ht="14.25" customHeight="1">
      <c r="A549" s="52"/>
      <c r="B549" s="53"/>
      <c r="C549" s="53"/>
      <c r="D549" s="1"/>
      <c r="E549" s="1"/>
      <c r="F549" s="1"/>
      <c r="G549" s="1"/>
      <c r="H549" s="155"/>
      <c r="I549" s="155"/>
      <c r="J549" s="1"/>
      <c r="K549" s="1"/>
      <c r="L549" s="1"/>
      <c r="M549" s="1"/>
    </row>
    <row r="550" ht="14.25" customHeight="1">
      <c r="A550" s="52"/>
      <c r="B550" s="53"/>
      <c r="C550" s="53"/>
      <c r="D550" s="1"/>
      <c r="E550" s="1"/>
      <c r="F550" s="1"/>
      <c r="G550" s="1"/>
      <c r="H550" s="155"/>
      <c r="I550" s="155"/>
      <c r="J550" s="1"/>
      <c r="K550" s="1"/>
      <c r="L550" s="1"/>
      <c r="M550" s="1"/>
    </row>
    <row r="551" ht="14.25" customHeight="1">
      <c r="A551" s="52"/>
      <c r="B551" s="53"/>
      <c r="C551" s="53"/>
      <c r="D551" s="1"/>
      <c r="E551" s="1"/>
      <c r="F551" s="1"/>
      <c r="G551" s="1"/>
      <c r="H551" s="155"/>
      <c r="I551" s="155"/>
      <c r="J551" s="1"/>
      <c r="K551" s="1"/>
      <c r="L551" s="1"/>
      <c r="M551" s="1"/>
    </row>
    <row r="552" ht="14.25" customHeight="1">
      <c r="A552" s="52"/>
      <c r="B552" s="53"/>
      <c r="C552" s="53"/>
      <c r="D552" s="1"/>
      <c r="E552" s="1"/>
      <c r="F552" s="1"/>
      <c r="G552" s="1"/>
      <c r="H552" s="155"/>
      <c r="I552" s="155"/>
      <c r="J552" s="1"/>
      <c r="K552" s="1"/>
      <c r="L552" s="1"/>
      <c r="M552" s="1"/>
    </row>
    <row r="553" ht="14.25" customHeight="1">
      <c r="A553" s="52"/>
      <c r="B553" s="53"/>
      <c r="C553" s="53"/>
      <c r="D553" s="1"/>
      <c r="E553" s="1"/>
      <c r="F553" s="1"/>
      <c r="G553" s="1"/>
      <c r="H553" s="155"/>
      <c r="I553" s="155"/>
      <c r="J553" s="1"/>
      <c r="K553" s="1"/>
      <c r="L553" s="1"/>
      <c r="M553" s="1"/>
    </row>
    <row r="554" ht="14.25" customHeight="1">
      <c r="A554" s="52"/>
      <c r="B554" s="53"/>
      <c r="C554" s="53"/>
      <c r="D554" s="1"/>
      <c r="E554" s="1"/>
      <c r="F554" s="1"/>
      <c r="G554" s="1"/>
      <c r="H554" s="155"/>
      <c r="I554" s="155"/>
      <c r="J554" s="1"/>
      <c r="K554" s="1"/>
      <c r="L554" s="1"/>
      <c r="M554" s="1"/>
    </row>
    <row r="555" ht="14.25" customHeight="1">
      <c r="A555" s="52"/>
      <c r="B555" s="53"/>
      <c r="C555" s="53"/>
      <c r="D555" s="1"/>
      <c r="E555" s="1"/>
      <c r="F555" s="1"/>
      <c r="G555" s="1"/>
      <c r="H555" s="155"/>
      <c r="I555" s="155"/>
      <c r="J555" s="1"/>
      <c r="K555" s="1"/>
      <c r="L555" s="1"/>
      <c r="M555" s="1"/>
    </row>
    <row r="556" ht="14.25" customHeight="1">
      <c r="A556" s="52"/>
      <c r="B556" s="53"/>
      <c r="C556" s="53"/>
      <c r="D556" s="1"/>
      <c r="E556" s="1"/>
      <c r="F556" s="1"/>
      <c r="G556" s="1"/>
      <c r="H556" s="155"/>
      <c r="I556" s="155"/>
      <c r="J556" s="1"/>
      <c r="K556" s="1"/>
      <c r="L556" s="1"/>
      <c r="M556" s="1"/>
    </row>
    <row r="557" ht="14.25" customHeight="1">
      <c r="A557" s="52"/>
      <c r="B557" s="53"/>
      <c r="C557" s="53"/>
      <c r="D557" s="1"/>
      <c r="E557" s="1"/>
      <c r="F557" s="1"/>
      <c r="G557" s="1"/>
      <c r="H557" s="155"/>
      <c r="I557" s="155"/>
      <c r="J557" s="1"/>
      <c r="K557" s="1"/>
      <c r="L557" s="1"/>
      <c r="M557" s="1"/>
    </row>
    <row r="558" ht="14.25" customHeight="1">
      <c r="A558" s="52"/>
      <c r="B558" s="53"/>
      <c r="C558" s="53"/>
      <c r="D558" s="1"/>
      <c r="E558" s="1"/>
      <c r="F558" s="1"/>
      <c r="G558" s="1"/>
      <c r="H558" s="155"/>
      <c r="I558" s="155"/>
      <c r="J558" s="1"/>
      <c r="K558" s="1"/>
      <c r="L558" s="1"/>
      <c r="M558" s="1"/>
    </row>
    <row r="559" ht="14.25" customHeight="1">
      <c r="A559" s="52"/>
      <c r="B559" s="53"/>
      <c r="C559" s="53"/>
      <c r="D559" s="1"/>
      <c r="E559" s="1"/>
      <c r="F559" s="1"/>
      <c r="G559" s="1"/>
      <c r="H559" s="155"/>
      <c r="I559" s="155"/>
      <c r="J559" s="1"/>
      <c r="K559" s="1"/>
      <c r="L559" s="1"/>
      <c r="M559" s="1"/>
    </row>
    <row r="560" ht="14.25" customHeight="1">
      <c r="A560" s="52"/>
      <c r="B560" s="53"/>
      <c r="C560" s="53"/>
      <c r="D560" s="1"/>
      <c r="E560" s="1"/>
      <c r="F560" s="1"/>
      <c r="G560" s="1"/>
      <c r="H560" s="155"/>
      <c r="I560" s="155"/>
      <c r="J560" s="1"/>
      <c r="K560" s="1"/>
      <c r="L560" s="1"/>
      <c r="M560" s="1"/>
    </row>
    <row r="561" ht="14.25" customHeight="1">
      <c r="A561" s="52"/>
      <c r="B561" s="53"/>
      <c r="C561" s="53"/>
      <c r="D561" s="1"/>
      <c r="E561" s="1"/>
      <c r="F561" s="1"/>
      <c r="G561" s="1"/>
      <c r="H561" s="155"/>
      <c r="I561" s="155"/>
      <c r="J561" s="1"/>
      <c r="K561" s="1"/>
      <c r="L561" s="1"/>
      <c r="M561" s="1"/>
    </row>
    <row r="562" ht="14.25" customHeight="1">
      <c r="A562" s="52"/>
      <c r="B562" s="53"/>
      <c r="C562" s="53"/>
      <c r="D562" s="1"/>
      <c r="E562" s="1"/>
      <c r="F562" s="1"/>
      <c r="G562" s="1"/>
      <c r="H562" s="155"/>
      <c r="I562" s="155"/>
      <c r="J562" s="1"/>
      <c r="K562" s="1"/>
      <c r="L562" s="1"/>
      <c r="M562" s="1"/>
    </row>
    <row r="563" ht="14.25" customHeight="1">
      <c r="A563" s="52"/>
      <c r="B563" s="53"/>
      <c r="C563" s="53"/>
      <c r="D563" s="1"/>
      <c r="E563" s="1"/>
      <c r="F563" s="1"/>
      <c r="G563" s="1"/>
      <c r="H563" s="155"/>
      <c r="I563" s="155"/>
      <c r="J563" s="1"/>
      <c r="K563" s="1"/>
      <c r="L563" s="1"/>
      <c r="M563" s="1"/>
    </row>
    <row r="564" ht="14.25" customHeight="1">
      <c r="A564" s="52"/>
      <c r="B564" s="53"/>
      <c r="C564" s="53"/>
      <c r="D564" s="1"/>
      <c r="E564" s="1"/>
      <c r="F564" s="1"/>
      <c r="G564" s="1"/>
      <c r="H564" s="155"/>
      <c r="I564" s="155"/>
      <c r="J564" s="1"/>
      <c r="K564" s="1"/>
      <c r="L564" s="1"/>
      <c r="M564" s="1"/>
    </row>
    <row r="565" ht="14.25" customHeight="1">
      <c r="A565" s="52"/>
      <c r="B565" s="53"/>
      <c r="C565" s="53"/>
      <c r="D565" s="1"/>
      <c r="E565" s="1"/>
      <c r="F565" s="1"/>
      <c r="G565" s="1"/>
      <c r="H565" s="155"/>
      <c r="I565" s="155"/>
      <c r="J565" s="1"/>
      <c r="K565" s="1"/>
      <c r="L565" s="1"/>
      <c r="M565" s="1"/>
    </row>
    <row r="566" ht="14.25" customHeight="1">
      <c r="A566" s="52"/>
      <c r="B566" s="53"/>
      <c r="C566" s="53"/>
      <c r="D566" s="1"/>
      <c r="E566" s="1"/>
      <c r="F566" s="1"/>
      <c r="G566" s="1"/>
      <c r="H566" s="155"/>
      <c r="I566" s="155"/>
      <c r="J566" s="1"/>
      <c r="K566" s="1"/>
      <c r="L566" s="1"/>
      <c r="M566" s="1"/>
    </row>
    <row r="567" ht="14.25" customHeight="1">
      <c r="A567" s="52"/>
      <c r="B567" s="53"/>
      <c r="C567" s="53"/>
      <c r="D567" s="1"/>
      <c r="E567" s="1"/>
      <c r="F567" s="1"/>
      <c r="G567" s="1"/>
      <c r="H567" s="155"/>
      <c r="I567" s="155"/>
      <c r="J567" s="1"/>
      <c r="K567" s="1"/>
      <c r="L567" s="1"/>
      <c r="M567" s="1"/>
    </row>
    <row r="568" ht="14.25" customHeight="1">
      <c r="A568" s="52"/>
      <c r="B568" s="53"/>
      <c r="C568" s="53"/>
      <c r="D568" s="1"/>
      <c r="E568" s="1"/>
      <c r="F568" s="1"/>
      <c r="G568" s="1"/>
      <c r="H568" s="155"/>
      <c r="I568" s="155"/>
      <c r="J568" s="1"/>
      <c r="K568" s="1"/>
      <c r="L568" s="1"/>
      <c r="M568" s="1"/>
    </row>
    <row r="569" ht="14.25" customHeight="1">
      <c r="A569" s="52"/>
      <c r="B569" s="53"/>
      <c r="C569" s="53"/>
      <c r="D569" s="1"/>
      <c r="E569" s="1"/>
      <c r="F569" s="1"/>
      <c r="G569" s="1"/>
      <c r="H569" s="155"/>
      <c r="I569" s="155"/>
      <c r="J569" s="1"/>
      <c r="K569" s="1"/>
      <c r="L569" s="1"/>
      <c r="M569" s="1"/>
    </row>
    <row r="570" ht="14.25" customHeight="1">
      <c r="A570" s="52"/>
      <c r="B570" s="53"/>
      <c r="C570" s="53"/>
      <c r="D570" s="1"/>
      <c r="E570" s="1"/>
      <c r="F570" s="1"/>
      <c r="G570" s="1"/>
      <c r="H570" s="155"/>
      <c r="I570" s="155"/>
      <c r="J570" s="1"/>
      <c r="K570" s="1"/>
      <c r="L570" s="1"/>
      <c r="M570" s="1"/>
    </row>
    <row r="571" ht="14.25" customHeight="1">
      <c r="A571" s="52"/>
      <c r="B571" s="53"/>
      <c r="C571" s="53"/>
      <c r="D571" s="1"/>
      <c r="E571" s="1"/>
      <c r="F571" s="1"/>
      <c r="G571" s="1"/>
      <c r="H571" s="155"/>
      <c r="I571" s="155"/>
      <c r="J571" s="1"/>
      <c r="K571" s="1"/>
      <c r="L571" s="1"/>
      <c r="M571" s="1"/>
    </row>
    <row r="572" ht="14.25" customHeight="1">
      <c r="A572" s="52"/>
      <c r="B572" s="53"/>
      <c r="C572" s="53"/>
      <c r="D572" s="1"/>
      <c r="E572" s="1"/>
      <c r="F572" s="1"/>
      <c r="G572" s="1"/>
      <c r="H572" s="155"/>
      <c r="I572" s="155"/>
      <c r="J572" s="1"/>
      <c r="K572" s="1"/>
      <c r="L572" s="1"/>
      <c r="M572" s="1"/>
    </row>
    <row r="573" ht="14.25" customHeight="1">
      <c r="A573" s="52"/>
      <c r="B573" s="53"/>
      <c r="C573" s="53"/>
      <c r="D573" s="1"/>
      <c r="E573" s="1"/>
      <c r="F573" s="1"/>
      <c r="G573" s="1"/>
      <c r="H573" s="155"/>
      <c r="I573" s="155"/>
      <c r="J573" s="1"/>
      <c r="K573" s="1"/>
      <c r="L573" s="1"/>
      <c r="M573" s="1"/>
    </row>
    <row r="574" ht="14.25" customHeight="1">
      <c r="A574" s="52"/>
      <c r="B574" s="53"/>
      <c r="C574" s="53"/>
      <c r="D574" s="1"/>
      <c r="E574" s="1"/>
      <c r="F574" s="1"/>
      <c r="G574" s="1"/>
      <c r="H574" s="155"/>
      <c r="I574" s="155"/>
      <c r="J574" s="1"/>
      <c r="K574" s="1"/>
      <c r="L574" s="1"/>
      <c r="M574" s="1"/>
    </row>
    <row r="575" ht="14.25" customHeight="1">
      <c r="A575" s="52"/>
      <c r="B575" s="53"/>
      <c r="C575" s="53"/>
      <c r="D575" s="1"/>
      <c r="E575" s="1"/>
      <c r="F575" s="1"/>
      <c r="G575" s="1"/>
      <c r="H575" s="155"/>
      <c r="I575" s="155"/>
      <c r="J575" s="1"/>
      <c r="K575" s="1"/>
      <c r="L575" s="1"/>
      <c r="M575" s="1"/>
    </row>
    <row r="576" ht="14.25" customHeight="1">
      <c r="A576" s="52"/>
      <c r="B576" s="53"/>
      <c r="C576" s="53"/>
      <c r="D576" s="1"/>
      <c r="E576" s="1"/>
      <c r="F576" s="1"/>
      <c r="G576" s="1"/>
      <c r="H576" s="155"/>
      <c r="I576" s="155"/>
      <c r="J576" s="1"/>
      <c r="K576" s="1"/>
      <c r="L576" s="1"/>
      <c r="M576" s="1"/>
    </row>
    <row r="577" ht="14.25" customHeight="1">
      <c r="A577" s="52"/>
      <c r="B577" s="53"/>
      <c r="C577" s="53"/>
      <c r="D577" s="1"/>
      <c r="E577" s="1"/>
      <c r="F577" s="1"/>
      <c r="G577" s="1"/>
      <c r="H577" s="155"/>
      <c r="I577" s="155"/>
      <c r="J577" s="1"/>
      <c r="K577" s="1"/>
      <c r="L577" s="1"/>
      <c r="M577" s="1"/>
    </row>
    <row r="578" ht="14.25" customHeight="1">
      <c r="A578" s="52"/>
      <c r="B578" s="53"/>
      <c r="C578" s="53"/>
      <c r="D578" s="1"/>
      <c r="E578" s="1"/>
      <c r="F578" s="1"/>
      <c r="G578" s="1"/>
      <c r="H578" s="155"/>
      <c r="I578" s="155"/>
      <c r="J578" s="1"/>
      <c r="K578" s="1"/>
      <c r="L578" s="1"/>
      <c r="M578" s="1"/>
    </row>
    <row r="579" ht="14.25" customHeight="1">
      <c r="A579" s="52"/>
      <c r="B579" s="53"/>
      <c r="C579" s="53"/>
      <c r="D579" s="1"/>
      <c r="E579" s="1"/>
      <c r="F579" s="1"/>
      <c r="G579" s="1"/>
      <c r="H579" s="155"/>
      <c r="I579" s="155"/>
      <c r="J579" s="1"/>
      <c r="K579" s="1"/>
      <c r="L579" s="1"/>
      <c r="M579" s="1"/>
    </row>
    <row r="580" ht="14.25" customHeight="1">
      <c r="A580" s="52"/>
      <c r="B580" s="53"/>
      <c r="C580" s="53"/>
      <c r="D580" s="1"/>
      <c r="E580" s="1"/>
      <c r="F580" s="1"/>
      <c r="G580" s="1"/>
      <c r="H580" s="155"/>
      <c r="I580" s="155"/>
      <c r="J580" s="1"/>
      <c r="K580" s="1"/>
      <c r="L580" s="1"/>
      <c r="M580" s="1"/>
    </row>
    <row r="581" ht="14.25" customHeight="1">
      <c r="A581" s="52"/>
      <c r="B581" s="53"/>
      <c r="C581" s="53"/>
      <c r="D581" s="1"/>
      <c r="E581" s="1"/>
      <c r="F581" s="1"/>
      <c r="G581" s="1"/>
      <c r="H581" s="155"/>
      <c r="I581" s="155"/>
      <c r="J581" s="1"/>
      <c r="K581" s="1"/>
      <c r="L581" s="1"/>
      <c r="M581" s="1"/>
    </row>
    <row r="582" ht="14.25" customHeight="1">
      <c r="A582" s="52"/>
      <c r="B582" s="53"/>
      <c r="C582" s="53"/>
      <c r="D582" s="1"/>
      <c r="E582" s="1"/>
      <c r="F582" s="1"/>
      <c r="G582" s="1"/>
      <c r="H582" s="155"/>
      <c r="I582" s="155"/>
      <c r="J582" s="1"/>
      <c r="K582" s="1"/>
      <c r="L582" s="1"/>
      <c r="M582" s="1"/>
    </row>
    <row r="583" ht="14.25" customHeight="1">
      <c r="A583" s="52"/>
      <c r="B583" s="53"/>
      <c r="C583" s="53"/>
      <c r="D583" s="1"/>
      <c r="E583" s="1"/>
      <c r="F583" s="1"/>
      <c r="G583" s="1"/>
      <c r="H583" s="155"/>
      <c r="I583" s="155"/>
      <c r="J583" s="1"/>
      <c r="K583" s="1"/>
      <c r="L583" s="1"/>
      <c r="M583" s="1"/>
    </row>
    <row r="584" ht="14.25" customHeight="1">
      <c r="A584" s="52"/>
      <c r="B584" s="53"/>
      <c r="C584" s="53"/>
      <c r="D584" s="1"/>
      <c r="E584" s="1"/>
      <c r="F584" s="1"/>
      <c r="G584" s="1"/>
      <c r="H584" s="155"/>
      <c r="I584" s="155"/>
      <c r="J584" s="1"/>
      <c r="K584" s="1"/>
      <c r="L584" s="1"/>
      <c r="M584" s="1"/>
    </row>
    <row r="585" ht="14.25" customHeight="1">
      <c r="A585" s="52"/>
      <c r="B585" s="53"/>
      <c r="C585" s="53"/>
      <c r="D585" s="1"/>
      <c r="E585" s="1"/>
      <c r="F585" s="1"/>
      <c r="G585" s="1"/>
      <c r="H585" s="155"/>
      <c r="I585" s="155"/>
      <c r="J585" s="1"/>
      <c r="K585" s="1"/>
      <c r="L585" s="1"/>
      <c r="M585" s="1"/>
    </row>
    <row r="586" ht="14.25" customHeight="1">
      <c r="A586" s="52"/>
      <c r="B586" s="53"/>
      <c r="C586" s="53"/>
      <c r="D586" s="1"/>
      <c r="E586" s="1"/>
      <c r="F586" s="1"/>
      <c r="G586" s="1"/>
      <c r="H586" s="155"/>
      <c r="I586" s="155"/>
      <c r="J586" s="1"/>
      <c r="K586" s="1"/>
      <c r="L586" s="1"/>
      <c r="M586" s="1"/>
    </row>
    <row r="587" ht="14.25" customHeight="1">
      <c r="A587" s="52"/>
      <c r="B587" s="53"/>
      <c r="C587" s="53"/>
      <c r="D587" s="1"/>
      <c r="E587" s="1"/>
      <c r="F587" s="1"/>
      <c r="G587" s="1"/>
      <c r="H587" s="155"/>
      <c r="I587" s="155"/>
      <c r="J587" s="1"/>
      <c r="K587" s="1"/>
      <c r="L587" s="1"/>
      <c r="M587" s="1"/>
    </row>
    <row r="588" ht="14.25" customHeight="1">
      <c r="A588" s="52"/>
      <c r="B588" s="53"/>
      <c r="C588" s="53"/>
      <c r="D588" s="1"/>
      <c r="E588" s="1"/>
      <c r="F588" s="1"/>
      <c r="G588" s="1"/>
      <c r="H588" s="155"/>
      <c r="I588" s="155"/>
      <c r="J588" s="1"/>
      <c r="K588" s="1"/>
      <c r="L588" s="1"/>
      <c r="M588" s="1"/>
    </row>
    <row r="589" ht="14.25" customHeight="1">
      <c r="A589" s="52"/>
      <c r="B589" s="53"/>
      <c r="C589" s="53"/>
      <c r="D589" s="1"/>
      <c r="E589" s="1"/>
      <c r="F589" s="1"/>
      <c r="G589" s="1"/>
      <c r="H589" s="155"/>
      <c r="I589" s="155"/>
      <c r="J589" s="1"/>
      <c r="K589" s="1"/>
      <c r="L589" s="1"/>
      <c r="M589" s="1"/>
    </row>
    <row r="590" ht="14.25" customHeight="1">
      <c r="A590" s="52"/>
      <c r="B590" s="53"/>
      <c r="C590" s="53"/>
      <c r="D590" s="1"/>
      <c r="E590" s="1"/>
      <c r="F590" s="1"/>
      <c r="G590" s="1"/>
      <c r="H590" s="155"/>
      <c r="I590" s="155"/>
      <c r="J590" s="1"/>
      <c r="K590" s="1"/>
      <c r="L590" s="1"/>
      <c r="M590" s="1"/>
    </row>
    <row r="591" ht="14.25" customHeight="1">
      <c r="A591" s="52"/>
      <c r="B591" s="53"/>
      <c r="C591" s="53"/>
      <c r="D591" s="1"/>
      <c r="E591" s="1"/>
      <c r="F591" s="1"/>
      <c r="G591" s="1"/>
      <c r="H591" s="155"/>
      <c r="I591" s="155"/>
      <c r="J591" s="1"/>
      <c r="K591" s="1"/>
      <c r="L591" s="1"/>
      <c r="M591" s="1"/>
    </row>
    <row r="592" ht="14.25" customHeight="1">
      <c r="A592" s="52"/>
      <c r="B592" s="53"/>
      <c r="C592" s="53"/>
      <c r="D592" s="1"/>
      <c r="E592" s="1"/>
      <c r="F592" s="1"/>
      <c r="G592" s="1"/>
      <c r="H592" s="155"/>
      <c r="I592" s="155"/>
      <c r="J592" s="1"/>
      <c r="K592" s="1"/>
      <c r="L592" s="1"/>
      <c r="M592" s="1"/>
    </row>
    <row r="593" ht="14.25" customHeight="1">
      <c r="A593" s="52"/>
      <c r="B593" s="53"/>
      <c r="C593" s="53"/>
      <c r="D593" s="1"/>
      <c r="E593" s="1"/>
      <c r="F593" s="1"/>
      <c r="G593" s="1"/>
      <c r="H593" s="155"/>
      <c r="I593" s="155"/>
      <c r="J593" s="1"/>
      <c r="K593" s="1"/>
      <c r="L593" s="1"/>
      <c r="M593" s="1"/>
    </row>
    <row r="594" ht="14.25" customHeight="1">
      <c r="A594" s="52"/>
      <c r="B594" s="53"/>
      <c r="C594" s="53"/>
      <c r="D594" s="1"/>
      <c r="E594" s="1"/>
      <c r="F594" s="1"/>
      <c r="G594" s="1"/>
      <c r="H594" s="155"/>
      <c r="I594" s="155"/>
      <c r="J594" s="1"/>
      <c r="K594" s="1"/>
      <c r="L594" s="1"/>
      <c r="M594" s="1"/>
    </row>
    <row r="595" ht="14.25" customHeight="1">
      <c r="A595" s="52"/>
      <c r="B595" s="53"/>
      <c r="C595" s="53"/>
      <c r="D595" s="1"/>
      <c r="E595" s="1"/>
      <c r="F595" s="1"/>
      <c r="G595" s="1"/>
      <c r="H595" s="155"/>
      <c r="I595" s="155"/>
      <c r="J595" s="1"/>
      <c r="K595" s="1"/>
      <c r="L595" s="1"/>
      <c r="M595" s="1"/>
    </row>
    <row r="596" ht="14.25" customHeight="1">
      <c r="A596" s="52"/>
      <c r="B596" s="53"/>
      <c r="C596" s="53"/>
      <c r="D596" s="1"/>
      <c r="E596" s="1"/>
      <c r="F596" s="1"/>
      <c r="G596" s="1"/>
      <c r="H596" s="155"/>
      <c r="I596" s="155"/>
      <c r="J596" s="1"/>
      <c r="K596" s="1"/>
      <c r="L596" s="1"/>
      <c r="M596" s="1"/>
    </row>
    <row r="597" ht="14.25" customHeight="1">
      <c r="A597" s="52"/>
      <c r="B597" s="53"/>
      <c r="C597" s="53"/>
      <c r="D597" s="1"/>
      <c r="E597" s="1"/>
      <c r="F597" s="1"/>
      <c r="G597" s="1"/>
      <c r="H597" s="155"/>
      <c r="I597" s="155"/>
      <c r="J597" s="1"/>
      <c r="K597" s="1"/>
      <c r="L597" s="1"/>
      <c r="M597" s="1"/>
    </row>
    <row r="598" ht="14.25" customHeight="1">
      <c r="A598" s="52"/>
      <c r="B598" s="53"/>
      <c r="C598" s="53"/>
      <c r="D598" s="1"/>
      <c r="E598" s="1"/>
      <c r="F598" s="1"/>
      <c r="G598" s="1"/>
      <c r="H598" s="155"/>
      <c r="I598" s="155"/>
      <c r="J598" s="1"/>
      <c r="K598" s="1"/>
      <c r="L598" s="1"/>
      <c r="M598" s="1"/>
    </row>
    <row r="599" ht="14.25" customHeight="1">
      <c r="A599" s="52"/>
      <c r="B599" s="53"/>
      <c r="C599" s="53"/>
      <c r="D599" s="1"/>
      <c r="E599" s="1"/>
      <c r="F599" s="1"/>
      <c r="G599" s="1"/>
      <c r="H599" s="155"/>
      <c r="I599" s="155"/>
      <c r="J599" s="1"/>
      <c r="K599" s="1"/>
      <c r="L599" s="1"/>
      <c r="M599" s="1"/>
    </row>
    <row r="600" ht="14.25" customHeight="1">
      <c r="A600" s="52"/>
      <c r="B600" s="53"/>
      <c r="C600" s="53"/>
      <c r="D600" s="1"/>
      <c r="E600" s="1"/>
      <c r="F600" s="1"/>
      <c r="G600" s="1"/>
      <c r="H600" s="155"/>
      <c r="I600" s="155"/>
      <c r="J600" s="1"/>
      <c r="K600" s="1"/>
      <c r="L600" s="1"/>
      <c r="M600" s="1"/>
    </row>
    <row r="601" ht="14.25" customHeight="1">
      <c r="A601" s="52"/>
      <c r="B601" s="53"/>
      <c r="C601" s="53"/>
      <c r="D601" s="1"/>
      <c r="E601" s="1"/>
      <c r="F601" s="1"/>
      <c r="G601" s="1"/>
      <c r="H601" s="155"/>
      <c r="I601" s="155"/>
      <c r="J601" s="1"/>
      <c r="K601" s="1"/>
      <c r="L601" s="1"/>
      <c r="M601" s="1"/>
    </row>
    <row r="602" ht="14.25" customHeight="1">
      <c r="A602" s="52"/>
      <c r="B602" s="53"/>
      <c r="C602" s="53"/>
      <c r="D602" s="1"/>
      <c r="E602" s="1"/>
      <c r="F602" s="1"/>
      <c r="G602" s="1"/>
      <c r="H602" s="155"/>
      <c r="I602" s="155"/>
      <c r="J602" s="1"/>
      <c r="K602" s="1"/>
      <c r="L602" s="1"/>
      <c r="M602" s="1"/>
    </row>
    <row r="603" ht="14.25" customHeight="1">
      <c r="A603" s="52"/>
      <c r="B603" s="53"/>
      <c r="C603" s="53"/>
      <c r="D603" s="1"/>
      <c r="E603" s="1"/>
      <c r="F603" s="1"/>
      <c r="G603" s="1"/>
      <c r="H603" s="155"/>
      <c r="I603" s="155"/>
      <c r="J603" s="1"/>
      <c r="K603" s="1"/>
      <c r="L603" s="1"/>
      <c r="M603" s="1"/>
    </row>
    <row r="604" ht="14.25" customHeight="1">
      <c r="A604" s="52"/>
      <c r="B604" s="53"/>
      <c r="C604" s="53"/>
      <c r="D604" s="1"/>
      <c r="E604" s="1"/>
      <c r="F604" s="1"/>
      <c r="G604" s="1"/>
      <c r="H604" s="155"/>
      <c r="I604" s="155"/>
      <c r="J604" s="1"/>
      <c r="K604" s="1"/>
      <c r="L604" s="1"/>
      <c r="M604" s="1"/>
    </row>
    <row r="605" ht="14.25" customHeight="1">
      <c r="A605" s="52"/>
      <c r="B605" s="53"/>
      <c r="C605" s="53"/>
      <c r="D605" s="1"/>
      <c r="E605" s="1"/>
      <c r="F605" s="1"/>
      <c r="G605" s="1"/>
      <c r="H605" s="155"/>
      <c r="I605" s="155"/>
      <c r="J605" s="1"/>
      <c r="K605" s="1"/>
      <c r="L605" s="1"/>
      <c r="M605" s="1"/>
    </row>
    <row r="606" ht="14.25" customHeight="1">
      <c r="A606" s="52"/>
      <c r="B606" s="53"/>
      <c r="C606" s="53"/>
      <c r="D606" s="1"/>
      <c r="E606" s="1"/>
      <c r="F606" s="1"/>
      <c r="G606" s="1"/>
      <c r="H606" s="155"/>
      <c r="I606" s="155"/>
      <c r="J606" s="1"/>
      <c r="K606" s="1"/>
      <c r="L606" s="1"/>
      <c r="M606" s="1"/>
    </row>
    <row r="607" ht="14.25" customHeight="1">
      <c r="A607" s="52"/>
      <c r="B607" s="53"/>
      <c r="C607" s="53"/>
      <c r="D607" s="1"/>
      <c r="E607" s="1"/>
      <c r="F607" s="1"/>
      <c r="G607" s="1"/>
      <c r="H607" s="155"/>
      <c r="I607" s="155"/>
      <c r="J607" s="1"/>
      <c r="K607" s="1"/>
      <c r="L607" s="1"/>
      <c r="M607" s="1"/>
    </row>
    <row r="608" ht="14.25" customHeight="1">
      <c r="A608" s="52"/>
      <c r="B608" s="53"/>
      <c r="C608" s="53"/>
      <c r="D608" s="1"/>
      <c r="E608" s="1"/>
      <c r="F608" s="1"/>
      <c r="G608" s="1"/>
      <c r="H608" s="155"/>
      <c r="I608" s="155"/>
      <c r="J608" s="1"/>
      <c r="K608" s="1"/>
      <c r="L608" s="1"/>
      <c r="M608" s="1"/>
    </row>
    <row r="609" ht="14.25" customHeight="1">
      <c r="A609" s="52"/>
      <c r="B609" s="53"/>
      <c r="C609" s="53"/>
      <c r="D609" s="1"/>
      <c r="E609" s="1"/>
      <c r="F609" s="1"/>
      <c r="G609" s="1"/>
      <c r="H609" s="155"/>
      <c r="I609" s="155"/>
      <c r="J609" s="1"/>
      <c r="K609" s="1"/>
      <c r="L609" s="1"/>
      <c r="M609" s="1"/>
    </row>
    <row r="610" ht="14.25" customHeight="1">
      <c r="A610" s="52"/>
      <c r="B610" s="53"/>
      <c r="C610" s="53"/>
      <c r="D610" s="1"/>
      <c r="E610" s="1"/>
      <c r="F610" s="1"/>
      <c r="G610" s="1"/>
      <c r="H610" s="155"/>
      <c r="I610" s="155"/>
      <c r="J610" s="1"/>
      <c r="K610" s="1"/>
      <c r="L610" s="1"/>
      <c r="M610" s="1"/>
    </row>
    <row r="611" ht="14.25" customHeight="1">
      <c r="A611" s="52"/>
      <c r="B611" s="53"/>
      <c r="C611" s="53"/>
      <c r="D611" s="1"/>
      <c r="E611" s="1"/>
      <c r="F611" s="1"/>
      <c r="G611" s="1"/>
      <c r="H611" s="155"/>
      <c r="I611" s="155"/>
      <c r="J611" s="1"/>
      <c r="K611" s="1"/>
      <c r="L611" s="1"/>
      <c r="M611" s="1"/>
    </row>
    <row r="612" ht="14.25" customHeight="1">
      <c r="A612" s="52"/>
      <c r="B612" s="53"/>
      <c r="C612" s="53"/>
      <c r="D612" s="1"/>
      <c r="E612" s="1"/>
      <c r="F612" s="1"/>
      <c r="G612" s="1"/>
      <c r="H612" s="155"/>
      <c r="I612" s="155"/>
      <c r="J612" s="1"/>
      <c r="K612" s="1"/>
      <c r="L612" s="1"/>
      <c r="M612" s="1"/>
    </row>
    <row r="613" ht="14.25" customHeight="1">
      <c r="A613" s="52"/>
      <c r="B613" s="53"/>
      <c r="C613" s="53"/>
      <c r="D613" s="1"/>
      <c r="E613" s="1"/>
      <c r="F613" s="1"/>
      <c r="G613" s="1"/>
      <c r="H613" s="155"/>
      <c r="I613" s="155"/>
      <c r="J613" s="1"/>
      <c r="K613" s="1"/>
      <c r="L613" s="1"/>
      <c r="M613" s="1"/>
    </row>
    <row r="614" ht="14.25" customHeight="1">
      <c r="A614" s="52"/>
      <c r="B614" s="53"/>
      <c r="C614" s="53"/>
      <c r="D614" s="1"/>
      <c r="E614" s="1"/>
      <c r="F614" s="1"/>
      <c r="G614" s="1"/>
      <c r="H614" s="155"/>
      <c r="I614" s="155"/>
      <c r="J614" s="1"/>
      <c r="K614" s="1"/>
      <c r="L614" s="1"/>
      <c r="M614" s="1"/>
    </row>
    <row r="615" ht="14.25" customHeight="1">
      <c r="A615" s="52"/>
      <c r="B615" s="53"/>
      <c r="C615" s="53"/>
      <c r="D615" s="1"/>
      <c r="E615" s="1"/>
      <c r="F615" s="1"/>
      <c r="G615" s="1"/>
      <c r="H615" s="155"/>
      <c r="I615" s="155"/>
      <c r="J615" s="1"/>
      <c r="K615" s="1"/>
      <c r="L615" s="1"/>
      <c r="M615" s="1"/>
    </row>
    <row r="616" ht="14.25" customHeight="1">
      <c r="A616" s="52"/>
      <c r="B616" s="53"/>
      <c r="C616" s="53"/>
      <c r="D616" s="1"/>
      <c r="E616" s="1"/>
      <c r="F616" s="1"/>
      <c r="G616" s="1"/>
      <c r="H616" s="155"/>
      <c r="I616" s="155"/>
      <c r="J616" s="1"/>
      <c r="K616" s="1"/>
      <c r="L616" s="1"/>
      <c r="M616" s="1"/>
    </row>
    <row r="617" ht="14.25" customHeight="1">
      <c r="A617" s="52"/>
      <c r="B617" s="53"/>
      <c r="C617" s="53"/>
      <c r="D617" s="1"/>
      <c r="E617" s="1"/>
      <c r="F617" s="1"/>
      <c r="G617" s="1"/>
      <c r="H617" s="155"/>
      <c r="I617" s="155"/>
      <c r="J617" s="1"/>
      <c r="K617" s="1"/>
      <c r="L617" s="1"/>
      <c r="M617" s="1"/>
    </row>
    <row r="618" ht="14.25" customHeight="1">
      <c r="A618" s="52"/>
      <c r="B618" s="53"/>
      <c r="C618" s="53"/>
      <c r="D618" s="1"/>
      <c r="E618" s="1"/>
      <c r="F618" s="1"/>
      <c r="G618" s="1"/>
      <c r="H618" s="155"/>
      <c r="I618" s="155"/>
      <c r="J618" s="1"/>
      <c r="K618" s="1"/>
      <c r="L618" s="1"/>
      <c r="M618" s="1"/>
    </row>
    <row r="619" ht="14.25" customHeight="1">
      <c r="A619" s="52"/>
      <c r="B619" s="53"/>
      <c r="C619" s="53"/>
      <c r="D619" s="1"/>
      <c r="E619" s="1"/>
      <c r="F619" s="1"/>
      <c r="G619" s="1"/>
      <c r="H619" s="155"/>
      <c r="I619" s="155"/>
      <c r="J619" s="1"/>
      <c r="K619" s="1"/>
      <c r="L619" s="1"/>
      <c r="M619" s="1"/>
    </row>
    <row r="620" ht="14.25" customHeight="1">
      <c r="A620" s="52"/>
      <c r="B620" s="53"/>
      <c r="C620" s="53"/>
      <c r="D620" s="1"/>
      <c r="E620" s="1"/>
      <c r="F620" s="1"/>
      <c r="G620" s="1"/>
      <c r="H620" s="155"/>
      <c r="I620" s="155"/>
      <c r="J620" s="1"/>
      <c r="K620" s="1"/>
      <c r="L620" s="1"/>
      <c r="M620" s="1"/>
    </row>
    <row r="621" ht="14.25" customHeight="1">
      <c r="A621" s="52"/>
      <c r="B621" s="53"/>
      <c r="C621" s="53"/>
      <c r="D621" s="1"/>
      <c r="E621" s="1"/>
      <c r="F621" s="1"/>
      <c r="G621" s="1"/>
      <c r="H621" s="155"/>
      <c r="I621" s="155"/>
      <c r="J621" s="1"/>
      <c r="K621" s="1"/>
      <c r="L621" s="1"/>
      <c r="M621" s="1"/>
    </row>
    <row r="622" ht="14.25" customHeight="1">
      <c r="A622" s="52"/>
      <c r="B622" s="53"/>
      <c r="C622" s="53"/>
      <c r="D622" s="1"/>
      <c r="E622" s="1"/>
      <c r="F622" s="1"/>
      <c r="G622" s="1"/>
      <c r="H622" s="155"/>
      <c r="I622" s="155"/>
      <c r="J622" s="1"/>
      <c r="K622" s="1"/>
      <c r="L622" s="1"/>
      <c r="M622" s="1"/>
    </row>
    <row r="623" ht="14.25" customHeight="1">
      <c r="A623" s="52"/>
      <c r="B623" s="53"/>
      <c r="C623" s="53"/>
      <c r="D623" s="1"/>
      <c r="E623" s="1"/>
      <c r="F623" s="1"/>
      <c r="G623" s="1"/>
      <c r="H623" s="155"/>
      <c r="I623" s="155"/>
      <c r="J623" s="1"/>
      <c r="K623" s="1"/>
      <c r="L623" s="1"/>
      <c r="M623" s="1"/>
    </row>
    <row r="624" ht="14.25" customHeight="1">
      <c r="A624" s="52"/>
      <c r="B624" s="53"/>
      <c r="C624" s="53"/>
      <c r="D624" s="1"/>
      <c r="E624" s="1"/>
      <c r="F624" s="1"/>
      <c r="G624" s="1"/>
      <c r="H624" s="155"/>
      <c r="I624" s="155"/>
      <c r="J624" s="1"/>
      <c r="K624" s="1"/>
      <c r="L624" s="1"/>
      <c r="M624" s="1"/>
    </row>
    <row r="625" ht="14.25" customHeight="1">
      <c r="A625" s="52"/>
      <c r="B625" s="53"/>
      <c r="C625" s="53"/>
      <c r="D625" s="1"/>
      <c r="E625" s="1"/>
      <c r="F625" s="1"/>
      <c r="G625" s="1"/>
      <c r="H625" s="155"/>
      <c r="I625" s="155"/>
      <c r="J625" s="1"/>
      <c r="K625" s="1"/>
      <c r="L625" s="1"/>
      <c r="M625" s="1"/>
    </row>
    <row r="626" ht="14.25" customHeight="1">
      <c r="A626" s="52"/>
      <c r="B626" s="53"/>
      <c r="C626" s="53"/>
      <c r="D626" s="1"/>
      <c r="E626" s="1"/>
      <c r="F626" s="1"/>
      <c r="G626" s="1"/>
      <c r="H626" s="155"/>
      <c r="I626" s="155"/>
      <c r="J626" s="1"/>
      <c r="K626" s="1"/>
      <c r="L626" s="1"/>
      <c r="M626" s="1"/>
    </row>
    <row r="627" ht="14.25" customHeight="1">
      <c r="A627" s="52"/>
      <c r="B627" s="53"/>
      <c r="C627" s="53"/>
      <c r="D627" s="1"/>
      <c r="E627" s="1"/>
      <c r="F627" s="1"/>
      <c r="G627" s="1"/>
      <c r="H627" s="155"/>
      <c r="I627" s="155"/>
      <c r="J627" s="1"/>
      <c r="K627" s="1"/>
      <c r="L627" s="1"/>
      <c r="M627" s="1"/>
    </row>
    <row r="628" ht="14.25" customHeight="1">
      <c r="A628" s="52"/>
      <c r="B628" s="53"/>
      <c r="C628" s="53"/>
      <c r="D628" s="1"/>
      <c r="E628" s="1"/>
      <c r="F628" s="1"/>
      <c r="G628" s="1"/>
      <c r="H628" s="155"/>
      <c r="I628" s="155"/>
      <c r="J628" s="1"/>
      <c r="K628" s="1"/>
      <c r="L628" s="1"/>
      <c r="M628" s="1"/>
    </row>
    <row r="629" ht="14.25" customHeight="1">
      <c r="A629" s="52"/>
      <c r="B629" s="53"/>
      <c r="C629" s="53"/>
      <c r="D629" s="1"/>
      <c r="E629" s="1"/>
      <c r="F629" s="1"/>
      <c r="G629" s="1"/>
      <c r="H629" s="155"/>
      <c r="I629" s="155"/>
      <c r="J629" s="1"/>
      <c r="K629" s="1"/>
      <c r="L629" s="1"/>
      <c r="M629" s="1"/>
    </row>
    <row r="630" ht="14.25" customHeight="1">
      <c r="A630" s="52"/>
      <c r="B630" s="53"/>
      <c r="C630" s="53"/>
      <c r="D630" s="1"/>
      <c r="E630" s="1"/>
      <c r="F630" s="1"/>
      <c r="G630" s="1"/>
      <c r="H630" s="155"/>
      <c r="I630" s="155"/>
      <c r="J630" s="1"/>
      <c r="K630" s="1"/>
      <c r="L630" s="1"/>
      <c r="M630" s="1"/>
    </row>
    <row r="631" ht="14.25" customHeight="1">
      <c r="A631" s="52"/>
      <c r="B631" s="53"/>
      <c r="C631" s="53"/>
      <c r="D631" s="1"/>
      <c r="E631" s="1"/>
      <c r="F631" s="1"/>
      <c r="G631" s="1"/>
      <c r="H631" s="155"/>
      <c r="I631" s="155"/>
      <c r="J631" s="1"/>
      <c r="K631" s="1"/>
      <c r="L631" s="1"/>
      <c r="M631" s="1"/>
    </row>
    <row r="632" ht="14.25" customHeight="1">
      <c r="A632" s="52"/>
      <c r="B632" s="53"/>
      <c r="C632" s="53"/>
      <c r="D632" s="1"/>
      <c r="E632" s="1"/>
      <c r="F632" s="1"/>
      <c r="G632" s="1"/>
      <c r="H632" s="155"/>
      <c r="I632" s="155"/>
      <c r="J632" s="1"/>
      <c r="K632" s="1"/>
      <c r="L632" s="1"/>
      <c r="M632" s="1"/>
    </row>
    <row r="633" ht="14.25" customHeight="1">
      <c r="A633" s="52"/>
      <c r="B633" s="53"/>
      <c r="C633" s="53"/>
      <c r="D633" s="1"/>
      <c r="E633" s="1"/>
      <c r="F633" s="1"/>
      <c r="G633" s="1"/>
      <c r="H633" s="155"/>
      <c r="I633" s="155"/>
      <c r="J633" s="1"/>
      <c r="K633" s="1"/>
      <c r="L633" s="1"/>
      <c r="M633" s="1"/>
    </row>
    <row r="634" ht="14.25" customHeight="1">
      <c r="A634" s="52"/>
      <c r="B634" s="53"/>
      <c r="C634" s="53"/>
      <c r="D634" s="1"/>
      <c r="E634" s="1"/>
      <c r="F634" s="1"/>
      <c r="G634" s="1"/>
      <c r="H634" s="155"/>
      <c r="I634" s="155"/>
      <c r="J634" s="1"/>
      <c r="K634" s="1"/>
      <c r="L634" s="1"/>
      <c r="M634" s="1"/>
    </row>
    <row r="635" ht="14.25" customHeight="1">
      <c r="A635" s="52"/>
      <c r="B635" s="53"/>
      <c r="C635" s="53"/>
      <c r="D635" s="1"/>
      <c r="E635" s="1"/>
      <c r="F635" s="1"/>
      <c r="G635" s="1"/>
      <c r="H635" s="155"/>
      <c r="I635" s="155"/>
      <c r="J635" s="1"/>
      <c r="K635" s="1"/>
      <c r="L635" s="1"/>
      <c r="M635" s="1"/>
    </row>
    <row r="636" ht="14.25" customHeight="1">
      <c r="A636" s="52"/>
      <c r="B636" s="53"/>
      <c r="C636" s="53"/>
      <c r="D636" s="1"/>
      <c r="E636" s="1"/>
      <c r="F636" s="1"/>
      <c r="G636" s="1"/>
      <c r="H636" s="155"/>
      <c r="I636" s="155"/>
      <c r="J636" s="1"/>
      <c r="K636" s="1"/>
      <c r="L636" s="1"/>
      <c r="M636" s="1"/>
    </row>
    <row r="637" ht="14.25" customHeight="1">
      <c r="A637" s="52"/>
      <c r="B637" s="53"/>
      <c r="C637" s="53"/>
      <c r="D637" s="1"/>
      <c r="E637" s="1"/>
      <c r="F637" s="1"/>
      <c r="G637" s="1"/>
      <c r="H637" s="155"/>
      <c r="I637" s="155"/>
      <c r="J637" s="1"/>
      <c r="K637" s="1"/>
      <c r="L637" s="1"/>
      <c r="M637" s="1"/>
    </row>
    <row r="638" ht="14.25" customHeight="1">
      <c r="A638" s="52"/>
      <c r="B638" s="53"/>
      <c r="C638" s="53"/>
      <c r="D638" s="1"/>
      <c r="E638" s="1"/>
      <c r="F638" s="1"/>
      <c r="G638" s="1"/>
      <c r="H638" s="155"/>
      <c r="I638" s="155"/>
      <c r="J638" s="1"/>
      <c r="K638" s="1"/>
      <c r="L638" s="1"/>
      <c r="M638" s="1"/>
    </row>
    <row r="639" ht="14.25" customHeight="1">
      <c r="A639" s="52"/>
      <c r="B639" s="53"/>
      <c r="C639" s="53"/>
      <c r="D639" s="1"/>
      <c r="E639" s="1"/>
      <c r="F639" s="1"/>
      <c r="G639" s="1"/>
      <c r="H639" s="155"/>
      <c r="I639" s="155"/>
      <c r="J639" s="1"/>
      <c r="K639" s="1"/>
      <c r="L639" s="1"/>
      <c r="M639" s="1"/>
    </row>
    <row r="640" ht="14.25" customHeight="1">
      <c r="A640" s="52"/>
      <c r="B640" s="53"/>
      <c r="C640" s="53"/>
      <c r="D640" s="1"/>
      <c r="E640" s="1"/>
      <c r="F640" s="1"/>
      <c r="G640" s="1"/>
      <c r="H640" s="155"/>
      <c r="I640" s="155"/>
      <c r="J640" s="1"/>
      <c r="K640" s="1"/>
      <c r="L640" s="1"/>
      <c r="M640" s="1"/>
    </row>
    <row r="641" ht="14.25" customHeight="1">
      <c r="A641" s="52"/>
      <c r="B641" s="53"/>
      <c r="C641" s="53"/>
      <c r="D641" s="1"/>
      <c r="E641" s="1"/>
      <c r="F641" s="1"/>
      <c r="G641" s="1"/>
      <c r="H641" s="155"/>
      <c r="I641" s="155"/>
      <c r="J641" s="1"/>
      <c r="K641" s="1"/>
      <c r="L641" s="1"/>
      <c r="M641" s="1"/>
    </row>
    <row r="642" ht="14.25" customHeight="1">
      <c r="A642" s="52"/>
      <c r="B642" s="53"/>
      <c r="C642" s="53"/>
      <c r="D642" s="1"/>
      <c r="E642" s="1"/>
      <c r="F642" s="1"/>
      <c r="G642" s="1"/>
      <c r="H642" s="155"/>
      <c r="I642" s="155"/>
      <c r="J642" s="1"/>
      <c r="K642" s="1"/>
      <c r="L642" s="1"/>
      <c r="M642" s="1"/>
    </row>
    <row r="643" ht="14.25" customHeight="1">
      <c r="A643" s="52"/>
      <c r="B643" s="53"/>
      <c r="C643" s="53"/>
      <c r="D643" s="1"/>
      <c r="E643" s="1"/>
      <c r="F643" s="1"/>
      <c r="G643" s="1"/>
      <c r="H643" s="155"/>
      <c r="I643" s="155"/>
      <c r="J643" s="1"/>
      <c r="K643" s="1"/>
      <c r="L643" s="1"/>
      <c r="M643" s="1"/>
    </row>
    <row r="644" ht="14.25" customHeight="1">
      <c r="A644" s="52"/>
      <c r="B644" s="53"/>
      <c r="C644" s="53"/>
      <c r="D644" s="1"/>
      <c r="E644" s="1"/>
      <c r="F644" s="1"/>
      <c r="G644" s="1"/>
      <c r="H644" s="155"/>
      <c r="I644" s="155"/>
      <c r="J644" s="1"/>
      <c r="K644" s="1"/>
      <c r="L644" s="1"/>
      <c r="M644" s="1"/>
    </row>
    <row r="645" ht="14.25" customHeight="1">
      <c r="A645" s="52"/>
      <c r="B645" s="53"/>
      <c r="C645" s="53"/>
      <c r="D645" s="1"/>
      <c r="E645" s="1"/>
      <c r="F645" s="1"/>
      <c r="G645" s="1"/>
      <c r="H645" s="155"/>
      <c r="I645" s="155"/>
      <c r="J645" s="1"/>
      <c r="K645" s="1"/>
      <c r="L645" s="1"/>
      <c r="M645" s="1"/>
    </row>
    <row r="646" ht="14.25" customHeight="1">
      <c r="A646" s="52"/>
      <c r="B646" s="53"/>
      <c r="C646" s="53"/>
      <c r="D646" s="1"/>
      <c r="E646" s="1"/>
      <c r="F646" s="1"/>
      <c r="G646" s="1"/>
      <c r="H646" s="155"/>
      <c r="I646" s="155"/>
      <c r="J646" s="1"/>
      <c r="K646" s="1"/>
      <c r="L646" s="1"/>
      <c r="M646" s="1"/>
    </row>
    <row r="647" ht="14.25" customHeight="1">
      <c r="A647" s="52"/>
      <c r="B647" s="53"/>
      <c r="C647" s="53"/>
      <c r="D647" s="1"/>
      <c r="E647" s="1"/>
      <c r="F647" s="1"/>
      <c r="G647" s="1"/>
      <c r="H647" s="155"/>
      <c r="I647" s="155"/>
      <c r="J647" s="1"/>
      <c r="K647" s="1"/>
      <c r="L647" s="1"/>
      <c r="M647" s="1"/>
    </row>
    <row r="648" ht="14.25" customHeight="1">
      <c r="A648" s="52"/>
      <c r="B648" s="53"/>
      <c r="C648" s="53"/>
      <c r="D648" s="1"/>
      <c r="E648" s="1"/>
      <c r="F648" s="1"/>
      <c r="G648" s="1"/>
      <c r="H648" s="155"/>
      <c r="I648" s="155"/>
      <c r="J648" s="1"/>
      <c r="K648" s="1"/>
      <c r="L648" s="1"/>
      <c r="M648" s="1"/>
    </row>
    <row r="649" ht="14.25" customHeight="1">
      <c r="A649" s="52"/>
      <c r="B649" s="53"/>
      <c r="C649" s="53"/>
      <c r="D649" s="1"/>
      <c r="E649" s="1"/>
      <c r="F649" s="1"/>
      <c r="G649" s="1"/>
      <c r="H649" s="155"/>
      <c r="I649" s="155"/>
      <c r="J649" s="1"/>
      <c r="K649" s="1"/>
      <c r="L649" s="1"/>
      <c r="M649" s="1"/>
    </row>
    <row r="650" ht="14.25" customHeight="1">
      <c r="A650" s="52"/>
      <c r="B650" s="53"/>
      <c r="C650" s="53"/>
      <c r="D650" s="1"/>
      <c r="E650" s="1"/>
      <c r="F650" s="1"/>
      <c r="G650" s="1"/>
      <c r="H650" s="155"/>
      <c r="I650" s="155"/>
      <c r="J650" s="1"/>
      <c r="K650" s="1"/>
      <c r="L650" s="1"/>
      <c r="M650" s="1"/>
    </row>
    <row r="651" ht="14.25" customHeight="1">
      <c r="A651" s="52"/>
      <c r="B651" s="53"/>
      <c r="C651" s="53"/>
      <c r="D651" s="1"/>
      <c r="E651" s="1"/>
      <c r="F651" s="1"/>
      <c r="G651" s="1"/>
      <c r="H651" s="155"/>
      <c r="I651" s="155"/>
      <c r="J651" s="1"/>
      <c r="K651" s="1"/>
      <c r="L651" s="1"/>
      <c r="M651" s="1"/>
    </row>
    <row r="652" ht="14.25" customHeight="1">
      <c r="A652" s="52"/>
      <c r="B652" s="53"/>
      <c r="C652" s="53"/>
      <c r="D652" s="1"/>
      <c r="E652" s="1"/>
      <c r="F652" s="1"/>
      <c r="G652" s="1"/>
      <c r="H652" s="155"/>
      <c r="I652" s="155"/>
      <c r="J652" s="1"/>
      <c r="K652" s="1"/>
      <c r="L652" s="1"/>
      <c r="M652" s="1"/>
    </row>
    <row r="653" ht="14.25" customHeight="1">
      <c r="A653" s="52"/>
      <c r="B653" s="53"/>
      <c r="C653" s="53"/>
      <c r="D653" s="1"/>
      <c r="E653" s="1"/>
      <c r="F653" s="1"/>
      <c r="G653" s="1"/>
      <c r="H653" s="155"/>
      <c r="I653" s="155"/>
      <c r="J653" s="1"/>
      <c r="K653" s="1"/>
      <c r="L653" s="1"/>
      <c r="M653" s="1"/>
    </row>
    <row r="654" ht="14.25" customHeight="1">
      <c r="A654" s="52"/>
      <c r="B654" s="53"/>
      <c r="C654" s="53"/>
      <c r="D654" s="1"/>
      <c r="E654" s="1"/>
      <c r="F654" s="1"/>
      <c r="G654" s="1"/>
      <c r="H654" s="155"/>
      <c r="I654" s="155"/>
      <c r="J654" s="1"/>
      <c r="K654" s="1"/>
      <c r="L654" s="1"/>
      <c r="M654" s="1"/>
    </row>
    <row r="655" ht="14.25" customHeight="1">
      <c r="A655" s="52"/>
      <c r="B655" s="53"/>
      <c r="C655" s="53"/>
      <c r="D655" s="1"/>
      <c r="E655" s="1"/>
      <c r="F655" s="1"/>
      <c r="G655" s="1"/>
      <c r="H655" s="155"/>
      <c r="I655" s="155"/>
      <c r="J655" s="1"/>
      <c r="K655" s="1"/>
      <c r="L655" s="1"/>
      <c r="M655" s="1"/>
    </row>
    <row r="656" ht="14.25" customHeight="1">
      <c r="A656" s="52"/>
      <c r="B656" s="53"/>
      <c r="C656" s="53"/>
      <c r="D656" s="1"/>
      <c r="E656" s="1"/>
      <c r="F656" s="1"/>
      <c r="G656" s="1"/>
      <c r="H656" s="155"/>
      <c r="I656" s="155"/>
      <c r="J656" s="1"/>
      <c r="K656" s="1"/>
      <c r="L656" s="1"/>
      <c r="M656" s="1"/>
    </row>
    <row r="657" ht="14.25" customHeight="1">
      <c r="A657" s="52"/>
      <c r="B657" s="53"/>
      <c r="C657" s="53"/>
      <c r="D657" s="1"/>
      <c r="E657" s="1"/>
      <c r="F657" s="1"/>
      <c r="G657" s="1"/>
      <c r="H657" s="155"/>
      <c r="I657" s="155"/>
      <c r="J657" s="1"/>
      <c r="K657" s="1"/>
      <c r="L657" s="1"/>
      <c r="M657" s="1"/>
    </row>
    <row r="658" ht="14.25" customHeight="1">
      <c r="A658" s="52"/>
      <c r="B658" s="53"/>
      <c r="C658" s="53"/>
      <c r="D658" s="1"/>
      <c r="E658" s="1"/>
      <c r="F658" s="1"/>
      <c r="G658" s="1"/>
      <c r="H658" s="155"/>
      <c r="I658" s="155"/>
      <c r="J658" s="1"/>
      <c r="K658" s="1"/>
      <c r="L658" s="1"/>
      <c r="M658" s="1"/>
    </row>
    <row r="659" ht="14.25" customHeight="1">
      <c r="A659" s="52"/>
      <c r="B659" s="53"/>
      <c r="C659" s="53"/>
      <c r="D659" s="1"/>
      <c r="E659" s="1"/>
      <c r="F659" s="1"/>
      <c r="G659" s="1"/>
      <c r="H659" s="155"/>
      <c r="I659" s="155"/>
      <c r="J659" s="1"/>
      <c r="K659" s="1"/>
      <c r="L659" s="1"/>
      <c r="M659" s="1"/>
    </row>
    <row r="660" ht="14.25" customHeight="1">
      <c r="A660" s="52"/>
      <c r="B660" s="53"/>
      <c r="C660" s="53"/>
      <c r="D660" s="1"/>
      <c r="E660" s="1"/>
      <c r="F660" s="1"/>
      <c r="G660" s="1"/>
      <c r="H660" s="155"/>
      <c r="I660" s="155"/>
      <c r="J660" s="1"/>
      <c r="K660" s="1"/>
      <c r="L660" s="1"/>
      <c r="M660" s="1"/>
    </row>
    <row r="661" ht="14.25" customHeight="1">
      <c r="A661" s="52"/>
      <c r="B661" s="53"/>
      <c r="C661" s="53"/>
      <c r="D661" s="1"/>
      <c r="E661" s="1"/>
      <c r="F661" s="1"/>
      <c r="G661" s="1"/>
      <c r="H661" s="155"/>
      <c r="I661" s="155"/>
      <c r="J661" s="1"/>
      <c r="K661" s="1"/>
      <c r="L661" s="1"/>
      <c r="M661" s="1"/>
    </row>
    <row r="662" ht="14.25" customHeight="1">
      <c r="A662" s="52"/>
      <c r="B662" s="53"/>
      <c r="C662" s="53"/>
      <c r="D662" s="1"/>
      <c r="E662" s="1"/>
      <c r="F662" s="1"/>
      <c r="G662" s="1"/>
      <c r="H662" s="155"/>
      <c r="I662" s="155"/>
      <c r="J662" s="1"/>
      <c r="K662" s="1"/>
      <c r="L662" s="1"/>
      <c r="M662" s="1"/>
    </row>
    <row r="663" ht="14.25" customHeight="1">
      <c r="A663" s="52"/>
      <c r="B663" s="53"/>
      <c r="C663" s="53"/>
      <c r="D663" s="1"/>
      <c r="E663" s="1"/>
      <c r="F663" s="1"/>
      <c r="G663" s="1"/>
      <c r="H663" s="155"/>
      <c r="I663" s="155"/>
      <c r="J663" s="1"/>
      <c r="K663" s="1"/>
      <c r="L663" s="1"/>
      <c r="M663" s="1"/>
    </row>
    <row r="664" ht="14.25" customHeight="1">
      <c r="A664" s="52"/>
      <c r="B664" s="53"/>
      <c r="C664" s="53"/>
      <c r="D664" s="1"/>
      <c r="E664" s="1"/>
      <c r="F664" s="1"/>
      <c r="G664" s="1"/>
      <c r="H664" s="155"/>
      <c r="I664" s="155"/>
      <c r="J664" s="1"/>
      <c r="K664" s="1"/>
      <c r="L664" s="1"/>
      <c r="M664" s="1"/>
    </row>
    <row r="665" ht="14.25" customHeight="1">
      <c r="A665" s="52"/>
      <c r="B665" s="53"/>
      <c r="C665" s="53"/>
      <c r="D665" s="1"/>
      <c r="E665" s="1"/>
      <c r="F665" s="1"/>
      <c r="G665" s="1"/>
      <c r="H665" s="155"/>
      <c r="I665" s="155"/>
      <c r="J665" s="1"/>
      <c r="K665" s="1"/>
      <c r="L665" s="1"/>
      <c r="M665" s="1"/>
    </row>
    <row r="666" ht="14.25" customHeight="1">
      <c r="A666" s="52"/>
      <c r="B666" s="53"/>
      <c r="C666" s="53"/>
      <c r="D666" s="1"/>
      <c r="E666" s="1"/>
      <c r="F666" s="1"/>
      <c r="G666" s="1"/>
      <c r="H666" s="155"/>
      <c r="I666" s="155"/>
      <c r="J666" s="1"/>
      <c r="K666" s="1"/>
      <c r="L666" s="1"/>
      <c r="M666" s="1"/>
    </row>
    <row r="667" ht="14.25" customHeight="1">
      <c r="A667" s="52"/>
      <c r="B667" s="53"/>
      <c r="C667" s="53"/>
      <c r="D667" s="1"/>
      <c r="E667" s="1"/>
      <c r="F667" s="1"/>
      <c r="G667" s="1"/>
      <c r="H667" s="155"/>
      <c r="I667" s="155"/>
      <c r="J667" s="1"/>
      <c r="K667" s="1"/>
      <c r="L667" s="1"/>
      <c r="M667" s="1"/>
    </row>
    <row r="668" ht="14.25" customHeight="1">
      <c r="A668" s="52"/>
      <c r="B668" s="53"/>
      <c r="C668" s="53"/>
      <c r="D668" s="1"/>
      <c r="E668" s="1"/>
      <c r="F668" s="1"/>
      <c r="G668" s="1"/>
      <c r="H668" s="155"/>
      <c r="I668" s="155"/>
      <c r="J668" s="1"/>
      <c r="K668" s="1"/>
      <c r="L668" s="1"/>
      <c r="M668" s="1"/>
    </row>
    <row r="669" ht="14.25" customHeight="1">
      <c r="A669" s="52"/>
      <c r="B669" s="53"/>
      <c r="C669" s="53"/>
      <c r="D669" s="1"/>
      <c r="E669" s="1"/>
      <c r="F669" s="1"/>
      <c r="G669" s="1"/>
      <c r="H669" s="155"/>
      <c r="I669" s="155"/>
      <c r="J669" s="1"/>
      <c r="K669" s="1"/>
      <c r="L669" s="1"/>
      <c r="M669" s="1"/>
    </row>
    <row r="670" ht="14.25" customHeight="1">
      <c r="A670" s="52"/>
      <c r="B670" s="53"/>
      <c r="C670" s="53"/>
      <c r="D670" s="1"/>
      <c r="E670" s="1"/>
      <c r="F670" s="1"/>
      <c r="G670" s="1"/>
      <c r="H670" s="155"/>
      <c r="I670" s="155"/>
      <c r="J670" s="1"/>
      <c r="K670" s="1"/>
      <c r="L670" s="1"/>
      <c r="M670" s="1"/>
    </row>
    <row r="671" ht="14.25" customHeight="1">
      <c r="A671" s="52"/>
      <c r="B671" s="53"/>
      <c r="C671" s="53"/>
      <c r="D671" s="1"/>
      <c r="E671" s="1"/>
      <c r="F671" s="1"/>
      <c r="G671" s="1"/>
      <c r="H671" s="155"/>
      <c r="I671" s="155"/>
      <c r="J671" s="1"/>
      <c r="K671" s="1"/>
      <c r="L671" s="1"/>
      <c r="M671" s="1"/>
    </row>
    <row r="672" ht="14.25" customHeight="1">
      <c r="A672" s="52"/>
      <c r="B672" s="53"/>
      <c r="C672" s="53"/>
      <c r="D672" s="1"/>
      <c r="E672" s="1"/>
      <c r="F672" s="1"/>
      <c r="G672" s="1"/>
      <c r="H672" s="155"/>
      <c r="I672" s="155"/>
      <c r="J672" s="1"/>
      <c r="K672" s="1"/>
      <c r="L672" s="1"/>
      <c r="M672" s="1"/>
    </row>
    <row r="673" ht="14.25" customHeight="1">
      <c r="A673" s="52"/>
      <c r="B673" s="53"/>
      <c r="C673" s="53"/>
      <c r="D673" s="1"/>
      <c r="E673" s="1"/>
      <c r="F673" s="1"/>
      <c r="G673" s="1"/>
      <c r="H673" s="155"/>
      <c r="I673" s="155"/>
      <c r="J673" s="1"/>
      <c r="K673" s="1"/>
      <c r="L673" s="1"/>
      <c r="M673" s="1"/>
    </row>
    <row r="674" ht="14.25" customHeight="1">
      <c r="A674" s="52"/>
      <c r="B674" s="53"/>
      <c r="C674" s="53"/>
      <c r="D674" s="1"/>
      <c r="E674" s="1"/>
      <c r="F674" s="1"/>
      <c r="G674" s="1"/>
      <c r="H674" s="155"/>
      <c r="I674" s="155"/>
      <c r="J674" s="1"/>
      <c r="K674" s="1"/>
      <c r="L674" s="1"/>
      <c r="M674" s="1"/>
    </row>
    <row r="675" ht="14.25" customHeight="1">
      <c r="A675" s="52"/>
      <c r="B675" s="53"/>
      <c r="C675" s="53"/>
      <c r="D675" s="1"/>
      <c r="E675" s="1"/>
      <c r="F675" s="1"/>
      <c r="G675" s="1"/>
      <c r="H675" s="155"/>
      <c r="I675" s="155"/>
      <c r="J675" s="1"/>
      <c r="K675" s="1"/>
      <c r="L675" s="1"/>
      <c r="M675" s="1"/>
    </row>
    <row r="676" ht="14.25" customHeight="1">
      <c r="A676" s="52"/>
      <c r="B676" s="53"/>
      <c r="C676" s="53"/>
      <c r="D676" s="1"/>
      <c r="E676" s="1"/>
      <c r="F676" s="1"/>
      <c r="G676" s="1"/>
      <c r="H676" s="155"/>
      <c r="I676" s="155"/>
      <c r="J676" s="1"/>
      <c r="K676" s="1"/>
      <c r="L676" s="1"/>
      <c r="M676" s="1"/>
    </row>
    <row r="677" ht="14.25" customHeight="1">
      <c r="A677" s="52"/>
      <c r="B677" s="53"/>
      <c r="C677" s="53"/>
      <c r="D677" s="1"/>
      <c r="E677" s="1"/>
      <c r="F677" s="1"/>
      <c r="G677" s="1"/>
      <c r="H677" s="155"/>
      <c r="I677" s="155"/>
      <c r="J677" s="1"/>
      <c r="K677" s="1"/>
      <c r="L677" s="1"/>
      <c r="M677" s="1"/>
    </row>
    <row r="678" ht="14.25" customHeight="1">
      <c r="A678" s="52"/>
      <c r="B678" s="53"/>
      <c r="C678" s="53"/>
      <c r="D678" s="1"/>
      <c r="E678" s="1"/>
      <c r="F678" s="1"/>
      <c r="G678" s="1"/>
      <c r="H678" s="155"/>
      <c r="I678" s="155"/>
      <c r="J678" s="1"/>
      <c r="K678" s="1"/>
      <c r="L678" s="1"/>
      <c r="M678" s="1"/>
    </row>
    <row r="679" ht="14.25" customHeight="1">
      <c r="A679" s="52"/>
      <c r="B679" s="53"/>
      <c r="C679" s="53"/>
      <c r="D679" s="1"/>
      <c r="E679" s="1"/>
      <c r="F679" s="1"/>
      <c r="G679" s="1"/>
      <c r="H679" s="155"/>
      <c r="I679" s="155"/>
      <c r="J679" s="1"/>
      <c r="K679" s="1"/>
      <c r="L679" s="1"/>
      <c r="M679" s="1"/>
    </row>
    <row r="680" ht="14.25" customHeight="1">
      <c r="A680" s="52"/>
      <c r="B680" s="53"/>
      <c r="C680" s="53"/>
      <c r="D680" s="1"/>
      <c r="E680" s="1"/>
      <c r="F680" s="1"/>
      <c r="G680" s="1"/>
      <c r="H680" s="155"/>
      <c r="I680" s="155"/>
      <c r="J680" s="1"/>
      <c r="K680" s="1"/>
      <c r="L680" s="1"/>
      <c r="M680" s="1"/>
    </row>
    <row r="681" ht="14.25" customHeight="1">
      <c r="A681" s="52"/>
      <c r="B681" s="53"/>
      <c r="C681" s="53"/>
      <c r="D681" s="1"/>
      <c r="E681" s="1"/>
      <c r="F681" s="1"/>
      <c r="G681" s="1"/>
      <c r="H681" s="155"/>
      <c r="I681" s="155"/>
      <c r="J681" s="1"/>
      <c r="K681" s="1"/>
      <c r="L681" s="1"/>
      <c r="M681" s="1"/>
    </row>
    <row r="682" ht="14.25" customHeight="1">
      <c r="A682" s="52"/>
      <c r="B682" s="53"/>
      <c r="C682" s="53"/>
      <c r="D682" s="1"/>
      <c r="E682" s="1"/>
      <c r="F682" s="1"/>
      <c r="G682" s="1"/>
      <c r="H682" s="155"/>
      <c r="I682" s="155"/>
      <c r="J682" s="1"/>
      <c r="K682" s="1"/>
      <c r="L682" s="1"/>
      <c r="M682" s="1"/>
    </row>
    <row r="683" ht="14.25" customHeight="1">
      <c r="A683" s="52"/>
      <c r="B683" s="53"/>
      <c r="C683" s="53"/>
      <c r="D683" s="1"/>
      <c r="E683" s="1"/>
      <c r="F683" s="1"/>
      <c r="G683" s="1"/>
      <c r="H683" s="155"/>
      <c r="I683" s="155"/>
      <c r="J683" s="1"/>
      <c r="K683" s="1"/>
      <c r="L683" s="1"/>
      <c r="M683" s="1"/>
    </row>
    <row r="684" ht="14.25" customHeight="1">
      <c r="A684" s="52"/>
      <c r="B684" s="53"/>
      <c r="C684" s="53"/>
      <c r="D684" s="1"/>
      <c r="E684" s="1"/>
      <c r="F684" s="1"/>
      <c r="G684" s="1"/>
      <c r="H684" s="155"/>
      <c r="I684" s="155"/>
      <c r="J684" s="1"/>
      <c r="K684" s="1"/>
      <c r="L684" s="1"/>
      <c r="M684" s="1"/>
    </row>
    <row r="685" ht="14.25" customHeight="1">
      <c r="A685" s="52"/>
      <c r="B685" s="53"/>
      <c r="C685" s="53"/>
      <c r="D685" s="1"/>
      <c r="E685" s="1"/>
      <c r="F685" s="1"/>
      <c r="G685" s="1"/>
      <c r="H685" s="155"/>
      <c r="I685" s="155"/>
      <c r="J685" s="1"/>
      <c r="K685" s="1"/>
      <c r="L685" s="1"/>
      <c r="M685" s="1"/>
    </row>
    <row r="686" ht="14.25" customHeight="1">
      <c r="A686" s="52"/>
      <c r="B686" s="53"/>
      <c r="C686" s="53"/>
      <c r="D686" s="1"/>
      <c r="E686" s="1"/>
      <c r="F686" s="1"/>
      <c r="G686" s="1"/>
      <c r="H686" s="155"/>
      <c r="I686" s="155"/>
      <c r="J686" s="1"/>
      <c r="K686" s="1"/>
      <c r="L686" s="1"/>
      <c r="M686" s="1"/>
    </row>
    <row r="687" ht="14.25" customHeight="1">
      <c r="A687" s="52"/>
      <c r="B687" s="53"/>
      <c r="C687" s="53"/>
      <c r="D687" s="1"/>
      <c r="E687" s="1"/>
      <c r="F687" s="1"/>
      <c r="G687" s="1"/>
      <c r="H687" s="155"/>
      <c r="I687" s="155"/>
      <c r="J687" s="1"/>
      <c r="K687" s="1"/>
      <c r="L687" s="1"/>
      <c r="M687" s="1"/>
    </row>
    <row r="688" ht="14.25" customHeight="1">
      <c r="A688" s="52"/>
      <c r="B688" s="53"/>
      <c r="C688" s="53"/>
      <c r="D688" s="1"/>
      <c r="E688" s="1"/>
      <c r="F688" s="1"/>
      <c r="G688" s="1"/>
      <c r="H688" s="155"/>
      <c r="I688" s="155"/>
      <c r="J688" s="1"/>
      <c r="K688" s="1"/>
      <c r="L688" s="1"/>
      <c r="M688" s="1"/>
    </row>
    <row r="689" ht="14.25" customHeight="1">
      <c r="A689" s="52"/>
      <c r="B689" s="53"/>
      <c r="C689" s="53"/>
      <c r="D689" s="1"/>
      <c r="E689" s="1"/>
      <c r="F689" s="1"/>
      <c r="G689" s="1"/>
      <c r="H689" s="155"/>
      <c r="I689" s="155"/>
      <c r="J689" s="1"/>
      <c r="K689" s="1"/>
      <c r="L689" s="1"/>
      <c r="M689" s="1"/>
    </row>
    <row r="690" ht="14.25" customHeight="1">
      <c r="A690" s="52"/>
      <c r="B690" s="53"/>
      <c r="C690" s="53"/>
      <c r="D690" s="1"/>
      <c r="E690" s="1"/>
      <c r="F690" s="1"/>
      <c r="G690" s="1"/>
      <c r="H690" s="155"/>
      <c r="I690" s="155"/>
      <c r="J690" s="1"/>
      <c r="K690" s="1"/>
      <c r="L690" s="1"/>
      <c r="M690" s="1"/>
    </row>
    <row r="691" ht="14.25" customHeight="1">
      <c r="A691" s="52"/>
      <c r="B691" s="53"/>
      <c r="C691" s="53"/>
      <c r="D691" s="1"/>
      <c r="E691" s="1"/>
      <c r="F691" s="1"/>
      <c r="G691" s="1"/>
      <c r="H691" s="155"/>
      <c r="I691" s="155"/>
      <c r="J691" s="1"/>
      <c r="K691" s="1"/>
      <c r="L691" s="1"/>
      <c r="M691" s="1"/>
    </row>
    <row r="692" ht="14.25" customHeight="1">
      <c r="A692" s="52"/>
      <c r="B692" s="53"/>
      <c r="C692" s="53"/>
      <c r="D692" s="1"/>
      <c r="E692" s="1"/>
      <c r="F692" s="1"/>
      <c r="G692" s="1"/>
      <c r="H692" s="155"/>
      <c r="I692" s="155"/>
      <c r="J692" s="1"/>
      <c r="K692" s="1"/>
      <c r="L692" s="1"/>
      <c r="M692" s="1"/>
    </row>
    <row r="693" ht="14.25" customHeight="1">
      <c r="A693" s="52"/>
      <c r="B693" s="53"/>
      <c r="C693" s="53"/>
      <c r="D693" s="1"/>
      <c r="E693" s="1"/>
      <c r="F693" s="1"/>
      <c r="G693" s="1"/>
      <c r="H693" s="155"/>
      <c r="I693" s="155"/>
      <c r="J693" s="1"/>
      <c r="K693" s="1"/>
      <c r="L693" s="1"/>
      <c r="M693" s="1"/>
    </row>
    <row r="694" ht="14.25" customHeight="1">
      <c r="A694" s="52"/>
      <c r="B694" s="53"/>
      <c r="C694" s="53"/>
      <c r="D694" s="1"/>
      <c r="E694" s="1"/>
      <c r="F694" s="1"/>
      <c r="G694" s="1"/>
      <c r="H694" s="155"/>
      <c r="I694" s="155"/>
      <c r="J694" s="1"/>
      <c r="K694" s="1"/>
      <c r="L694" s="1"/>
      <c r="M694" s="1"/>
    </row>
    <row r="695" ht="14.25" customHeight="1">
      <c r="A695" s="52"/>
      <c r="B695" s="53"/>
      <c r="C695" s="53"/>
      <c r="D695" s="1"/>
      <c r="E695" s="1"/>
      <c r="F695" s="1"/>
      <c r="G695" s="1"/>
      <c r="H695" s="155"/>
      <c r="I695" s="155"/>
      <c r="J695" s="1"/>
      <c r="K695" s="1"/>
      <c r="L695" s="1"/>
      <c r="M695" s="1"/>
    </row>
    <row r="696" ht="14.25" customHeight="1">
      <c r="A696" s="52"/>
      <c r="B696" s="53"/>
      <c r="C696" s="53"/>
      <c r="D696" s="1"/>
      <c r="E696" s="1"/>
      <c r="F696" s="1"/>
      <c r="G696" s="1"/>
      <c r="H696" s="155"/>
      <c r="I696" s="155"/>
      <c r="J696" s="1"/>
      <c r="K696" s="1"/>
      <c r="L696" s="1"/>
      <c r="M696" s="1"/>
    </row>
    <row r="697" ht="14.25" customHeight="1">
      <c r="A697" s="52"/>
      <c r="B697" s="53"/>
      <c r="C697" s="53"/>
      <c r="D697" s="1"/>
      <c r="E697" s="1"/>
      <c r="F697" s="1"/>
      <c r="G697" s="1"/>
      <c r="H697" s="155"/>
      <c r="I697" s="155"/>
      <c r="J697" s="1"/>
      <c r="K697" s="1"/>
      <c r="L697" s="1"/>
      <c r="M697" s="1"/>
    </row>
    <row r="698" ht="14.25" customHeight="1">
      <c r="A698" s="52"/>
      <c r="B698" s="53"/>
      <c r="C698" s="53"/>
      <c r="D698" s="1"/>
      <c r="E698" s="1"/>
      <c r="F698" s="1"/>
      <c r="G698" s="1"/>
      <c r="H698" s="155"/>
      <c r="I698" s="155"/>
      <c r="J698" s="1"/>
      <c r="K698" s="1"/>
      <c r="L698" s="1"/>
      <c r="M698" s="1"/>
    </row>
    <row r="699" ht="14.25" customHeight="1">
      <c r="A699" s="52"/>
      <c r="B699" s="53"/>
      <c r="C699" s="53"/>
      <c r="D699" s="1"/>
      <c r="E699" s="1"/>
      <c r="F699" s="1"/>
      <c r="G699" s="1"/>
      <c r="H699" s="155"/>
      <c r="I699" s="155"/>
      <c r="J699" s="1"/>
      <c r="K699" s="1"/>
      <c r="L699" s="1"/>
      <c r="M699" s="1"/>
    </row>
    <row r="700" ht="14.25" customHeight="1">
      <c r="A700" s="52"/>
      <c r="B700" s="53"/>
      <c r="C700" s="53"/>
      <c r="D700" s="1"/>
      <c r="E700" s="1"/>
      <c r="F700" s="1"/>
      <c r="G700" s="1"/>
      <c r="H700" s="155"/>
      <c r="I700" s="155"/>
      <c r="J700" s="1"/>
      <c r="K700" s="1"/>
      <c r="L700" s="1"/>
      <c r="M700" s="1"/>
    </row>
    <row r="701" ht="14.25" customHeight="1">
      <c r="A701" s="52"/>
      <c r="B701" s="53"/>
      <c r="C701" s="53"/>
      <c r="D701" s="1"/>
      <c r="E701" s="1"/>
      <c r="F701" s="1"/>
      <c r="G701" s="1"/>
      <c r="H701" s="155"/>
      <c r="I701" s="155"/>
      <c r="J701" s="1"/>
      <c r="K701" s="1"/>
      <c r="L701" s="1"/>
      <c r="M701" s="1"/>
    </row>
    <row r="702" ht="14.25" customHeight="1">
      <c r="A702" s="52"/>
      <c r="B702" s="53"/>
      <c r="C702" s="53"/>
      <c r="D702" s="1"/>
      <c r="E702" s="1"/>
      <c r="F702" s="1"/>
      <c r="G702" s="1"/>
      <c r="H702" s="155"/>
      <c r="I702" s="155"/>
      <c r="J702" s="1"/>
      <c r="K702" s="1"/>
      <c r="L702" s="1"/>
      <c r="M702" s="1"/>
    </row>
    <row r="703" ht="14.25" customHeight="1">
      <c r="A703" s="52"/>
      <c r="B703" s="53"/>
      <c r="C703" s="53"/>
      <c r="D703" s="1"/>
      <c r="E703" s="1"/>
      <c r="F703" s="1"/>
      <c r="G703" s="1"/>
      <c r="H703" s="155"/>
      <c r="I703" s="155"/>
      <c r="J703" s="1"/>
      <c r="K703" s="1"/>
      <c r="L703" s="1"/>
      <c r="M703" s="1"/>
    </row>
    <row r="704" ht="14.25" customHeight="1">
      <c r="A704" s="52"/>
      <c r="B704" s="53"/>
      <c r="C704" s="53"/>
      <c r="D704" s="1"/>
      <c r="E704" s="1"/>
      <c r="F704" s="1"/>
      <c r="G704" s="1"/>
      <c r="H704" s="155"/>
      <c r="I704" s="155"/>
      <c r="J704" s="1"/>
      <c r="K704" s="1"/>
      <c r="L704" s="1"/>
      <c r="M704" s="1"/>
    </row>
    <row r="705" ht="14.25" customHeight="1">
      <c r="A705" s="52"/>
      <c r="B705" s="53"/>
      <c r="C705" s="53"/>
      <c r="D705" s="1"/>
      <c r="E705" s="1"/>
      <c r="F705" s="1"/>
      <c r="G705" s="1"/>
      <c r="H705" s="155"/>
      <c r="I705" s="155"/>
      <c r="J705" s="1"/>
      <c r="K705" s="1"/>
      <c r="L705" s="1"/>
      <c r="M705" s="1"/>
    </row>
    <row r="706" ht="14.25" customHeight="1">
      <c r="A706" s="52"/>
      <c r="B706" s="53"/>
      <c r="C706" s="53"/>
      <c r="D706" s="1"/>
      <c r="E706" s="1"/>
      <c r="F706" s="1"/>
      <c r="G706" s="1"/>
      <c r="H706" s="155"/>
      <c r="I706" s="155"/>
      <c r="J706" s="1"/>
      <c r="K706" s="1"/>
      <c r="L706" s="1"/>
      <c r="M706" s="1"/>
    </row>
    <row r="707" ht="14.25" customHeight="1">
      <c r="A707" s="52"/>
      <c r="B707" s="53"/>
      <c r="C707" s="53"/>
      <c r="D707" s="1"/>
      <c r="E707" s="1"/>
      <c r="F707" s="1"/>
      <c r="G707" s="1"/>
      <c r="H707" s="155"/>
      <c r="I707" s="155"/>
      <c r="J707" s="1"/>
      <c r="K707" s="1"/>
      <c r="L707" s="1"/>
      <c r="M707" s="1"/>
    </row>
    <row r="708" ht="14.25" customHeight="1">
      <c r="A708" s="52"/>
      <c r="B708" s="53"/>
      <c r="C708" s="53"/>
      <c r="D708" s="1"/>
      <c r="E708" s="1"/>
      <c r="F708" s="1"/>
      <c r="G708" s="1"/>
      <c r="H708" s="155"/>
      <c r="I708" s="155"/>
      <c r="J708" s="1"/>
      <c r="K708" s="1"/>
      <c r="L708" s="1"/>
      <c r="M708" s="1"/>
    </row>
    <row r="709" ht="14.25" customHeight="1">
      <c r="A709" s="52"/>
      <c r="B709" s="53"/>
      <c r="C709" s="53"/>
      <c r="D709" s="1"/>
      <c r="E709" s="1"/>
      <c r="F709" s="1"/>
      <c r="G709" s="1"/>
      <c r="H709" s="155"/>
      <c r="I709" s="155"/>
      <c r="J709" s="1"/>
      <c r="K709" s="1"/>
      <c r="L709" s="1"/>
      <c r="M709" s="1"/>
    </row>
    <row r="710" ht="14.25" customHeight="1">
      <c r="A710" s="52"/>
      <c r="B710" s="53"/>
      <c r="C710" s="53"/>
      <c r="D710" s="1"/>
      <c r="E710" s="1"/>
      <c r="F710" s="1"/>
      <c r="G710" s="1"/>
      <c r="H710" s="155"/>
      <c r="I710" s="155"/>
      <c r="J710" s="1"/>
      <c r="K710" s="1"/>
      <c r="L710" s="1"/>
      <c r="M710" s="1"/>
    </row>
    <row r="711" ht="14.25" customHeight="1">
      <c r="A711" s="52"/>
      <c r="B711" s="53"/>
      <c r="C711" s="53"/>
      <c r="D711" s="1"/>
      <c r="E711" s="1"/>
      <c r="F711" s="1"/>
      <c r="G711" s="1"/>
      <c r="H711" s="155"/>
      <c r="I711" s="155"/>
      <c r="J711" s="1"/>
      <c r="K711" s="1"/>
      <c r="L711" s="1"/>
      <c r="M711" s="1"/>
    </row>
    <row r="712" ht="14.25" customHeight="1">
      <c r="A712" s="52"/>
      <c r="B712" s="53"/>
      <c r="C712" s="53"/>
      <c r="D712" s="1"/>
      <c r="E712" s="1"/>
      <c r="F712" s="1"/>
      <c r="G712" s="1"/>
      <c r="H712" s="155"/>
      <c r="I712" s="155"/>
      <c r="J712" s="1"/>
      <c r="K712" s="1"/>
      <c r="L712" s="1"/>
      <c r="M712" s="1"/>
    </row>
    <row r="713" ht="14.25" customHeight="1">
      <c r="A713" s="52"/>
      <c r="B713" s="53"/>
      <c r="C713" s="53"/>
      <c r="D713" s="1"/>
      <c r="E713" s="1"/>
      <c r="F713" s="1"/>
      <c r="G713" s="1"/>
      <c r="H713" s="155"/>
      <c r="I713" s="155"/>
      <c r="J713" s="1"/>
      <c r="K713" s="1"/>
      <c r="L713" s="1"/>
      <c r="M713" s="1"/>
    </row>
    <row r="714" ht="14.25" customHeight="1">
      <c r="A714" s="52"/>
      <c r="B714" s="53"/>
      <c r="C714" s="53"/>
      <c r="D714" s="1"/>
      <c r="E714" s="1"/>
      <c r="F714" s="1"/>
      <c r="G714" s="1"/>
      <c r="H714" s="155"/>
      <c r="I714" s="155"/>
      <c r="J714" s="1"/>
      <c r="K714" s="1"/>
      <c r="L714" s="1"/>
      <c r="M714" s="1"/>
    </row>
    <row r="715" ht="14.25" customHeight="1">
      <c r="A715" s="52"/>
      <c r="B715" s="53"/>
      <c r="C715" s="53"/>
      <c r="D715" s="1"/>
      <c r="E715" s="1"/>
      <c r="F715" s="1"/>
      <c r="G715" s="1"/>
      <c r="H715" s="155"/>
      <c r="I715" s="155"/>
      <c r="J715" s="1"/>
      <c r="K715" s="1"/>
      <c r="L715" s="1"/>
      <c r="M715" s="1"/>
    </row>
    <row r="716" ht="14.25" customHeight="1">
      <c r="A716" s="52"/>
      <c r="B716" s="53"/>
      <c r="C716" s="53"/>
      <c r="D716" s="1"/>
      <c r="E716" s="1"/>
      <c r="F716" s="1"/>
      <c r="G716" s="1"/>
      <c r="H716" s="155"/>
      <c r="I716" s="155"/>
      <c r="J716" s="1"/>
      <c r="K716" s="1"/>
      <c r="L716" s="1"/>
      <c r="M716" s="1"/>
    </row>
    <row r="717" ht="14.25" customHeight="1">
      <c r="A717" s="52"/>
      <c r="B717" s="53"/>
      <c r="C717" s="53"/>
      <c r="D717" s="1"/>
      <c r="E717" s="1"/>
      <c r="F717" s="1"/>
      <c r="G717" s="1"/>
      <c r="H717" s="155"/>
      <c r="I717" s="155"/>
      <c r="J717" s="1"/>
      <c r="K717" s="1"/>
      <c r="L717" s="1"/>
      <c r="M717" s="1"/>
    </row>
    <row r="718" ht="14.25" customHeight="1">
      <c r="A718" s="52"/>
      <c r="B718" s="53"/>
      <c r="C718" s="53"/>
      <c r="D718" s="1"/>
      <c r="E718" s="1"/>
      <c r="F718" s="1"/>
      <c r="G718" s="1"/>
      <c r="H718" s="155"/>
      <c r="I718" s="155"/>
      <c r="J718" s="1"/>
      <c r="K718" s="1"/>
      <c r="L718" s="1"/>
      <c r="M718" s="1"/>
    </row>
    <row r="719" ht="14.25" customHeight="1">
      <c r="A719" s="52"/>
      <c r="B719" s="53"/>
      <c r="C719" s="53"/>
      <c r="D719" s="1"/>
      <c r="E719" s="1"/>
      <c r="F719" s="1"/>
      <c r="G719" s="1"/>
      <c r="H719" s="155"/>
      <c r="I719" s="155"/>
      <c r="J719" s="1"/>
      <c r="K719" s="1"/>
      <c r="L719" s="1"/>
      <c r="M719" s="1"/>
    </row>
    <row r="720" ht="14.25" customHeight="1">
      <c r="A720" s="52"/>
      <c r="B720" s="53"/>
      <c r="C720" s="53"/>
      <c r="D720" s="1"/>
      <c r="E720" s="1"/>
      <c r="F720" s="1"/>
      <c r="G720" s="1"/>
      <c r="H720" s="155"/>
      <c r="I720" s="155"/>
      <c r="J720" s="1"/>
      <c r="K720" s="1"/>
      <c r="L720" s="1"/>
      <c r="M720" s="1"/>
    </row>
    <row r="721" ht="14.25" customHeight="1">
      <c r="A721" s="52"/>
      <c r="B721" s="53"/>
      <c r="C721" s="53"/>
      <c r="D721" s="1"/>
      <c r="E721" s="1"/>
      <c r="F721" s="1"/>
      <c r="G721" s="1"/>
      <c r="H721" s="155"/>
      <c r="I721" s="155"/>
      <c r="J721" s="1"/>
      <c r="K721" s="1"/>
      <c r="L721" s="1"/>
      <c r="M721" s="1"/>
    </row>
    <row r="722" ht="14.25" customHeight="1">
      <c r="A722" s="52"/>
      <c r="B722" s="53"/>
      <c r="C722" s="53"/>
      <c r="D722" s="1"/>
      <c r="E722" s="1"/>
      <c r="F722" s="1"/>
      <c r="G722" s="1"/>
      <c r="H722" s="155"/>
      <c r="I722" s="155"/>
      <c r="J722" s="1"/>
      <c r="K722" s="1"/>
      <c r="L722" s="1"/>
      <c r="M722" s="1"/>
    </row>
    <row r="723" ht="14.25" customHeight="1">
      <c r="A723" s="52"/>
      <c r="B723" s="53"/>
      <c r="C723" s="53"/>
      <c r="D723" s="1"/>
      <c r="E723" s="1"/>
      <c r="F723" s="1"/>
      <c r="G723" s="1"/>
      <c r="H723" s="155"/>
      <c r="I723" s="155"/>
      <c r="J723" s="1"/>
      <c r="K723" s="1"/>
      <c r="L723" s="1"/>
      <c r="M723" s="1"/>
    </row>
    <row r="724" ht="14.25" customHeight="1">
      <c r="A724" s="52"/>
      <c r="B724" s="53"/>
      <c r="C724" s="53"/>
      <c r="D724" s="1"/>
      <c r="E724" s="1"/>
      <c r="F724" s="1"/>
      <c r="G724" s="1"/>
      <c r="H724" s="155"/>
      <c r="I724" s="155"/>
      <c r="J724" s="1"/>
      <c r="K724" s="1"/>
      <c r="L724" s="1"/>
      <c r="M724" s="1"/>
    </row>
    <row r="725" ht="14.25" customHeight="1">
      <c r="A725" s="52"/>
      <c r="B725" s="53"/>
      <c r="C725" s="53"/>
      <c r="D725" s="1"/>
      <c r="E725" s="1"/>
      <c r="F725" s="1"/>
      <c r="G725" s="1"/>
      <c r="H725" s="155"/>
      <c r="I725" s="155"/>
      <c r="J725" s="1"/>
      <c r="K725" s="1"/>
      <c r="L725" s="1"/>
      <c r="M725" s="1"/>
    </row>
    <row r="726" ht="14.25" customHeight="1">
      <c r="A726" s="52"/>
      <c r="B726" s="53"/>
      <c r="C726" s="53"/>
      <c r="D726" s="1"/>
      <c r="E726" s="1"/>
      <c r="F726" s="1"/>
      <c r="G726" s="1"/>
      <c r="H726" s="155"/>
      <c r="I726" s="155"/>
      <c r="J726" s="1"/>
      <c r="K726" s="1"/>
      <c r="L726" s="1"/>
      <c r="M726" s="1"/>
    </row>
    <row r="727" ht="14.25" customHeight="1">
      <c r="A727" s="52"/>
      <c r="B727" s="53"/>
      <c r="C727" s="53"/>
      <c r="D727" s="1"/>
      <c r="E727" s="1"/>
      <c r="F727" s="1"/>
      <c r="G727" s="1"/>
      <c r="H727" s="155"/>
      <c r="I727" s="155"/>
      <c r="J727" s="1"/>
      <c r="K727" s="1"/>
      <c r="L727" s="1"/>
      <c r="M727" s="1"/>
    </row>
    <row r="728" ht="14.25" customHeight="1">
      <c r="A728" s="52"/>
      <c r="B728" s="53"/>
      <c r="C728" s="53"/>
      <c r="D728" s="1"/>
      <c r="E728" s="1"/>
      <c r="F728" s="1"/>
      <c r="G728" s="1"/>
      <c r="H728" s="155"/>
      <c r="I728" s="155"/>
      <c r="J728" s="1"/>
      <c r="K728" s="1"/>
      <c r="L728" s="1"/>
      <c r="M728" s="1"/>
    </row>
    <row r="729" ht="14.25" customHeight="1">
      <c r="A729" s="52"/>
      <c r="B729" s="53"/>
      <c r="C729" s="53"/>
      <c r="D729" s="1"/>
      <c r="E729" s="1"/>
      <c r="F729" s="1"/>
      <c r="G729" s="1"/>
      <c r="H729" s="155"/>
      <c r="I729" s="155"/>
      <c r="J729" s="1"/>
      <c r="K729" s="1"/>
      <c r="L729" s="1"/>
      <c r="M729" s="1"/>
    </row>
    <row r="730" ht="14.25" customHeight="1">
      <c r="A730" s="52"/>
      <c r="B730" s="53"/>
      <c r="C730" s="53"/>
      <c r="D730" s="1"/>
      <c r="E730" s="1"/>
      <c r="F730" s="1"/>
      <c r="G730" s="1"/>
      <c r="H730" s="155"/>
      <c r="I730" s="155"/>
      <c r="J730" s="1"/>
      <c r="K730" s="1"/>
      <c r="L730" s="1"/>
      <c r="M730" s="1"/>
    </row>
    <row r="731" ht="14.25" customHeight="1">
      <c r="A731" s="52"/>
      <c r="B731" s="53"/>
      <c r="C731" s="53"/>
      <c r="D731" s="1"/>
      <c r="E731" s="1"/>
      <c r="F731" s="1"/>
      <c r="G731" s="1"/>
      <c r="H731" s="155"/>
      <c r="I731" s="155"/>
      <c r="J731" s="1"/>
      <c r="K731" s="1"/>
      <c r="L731" s="1"/>
      <c r="M731" s="1"/>
    </row>
    <row r="732" ht="14.25" customHeight="1">
      <c r="A732" s="52"/>
      <c r="B732" s="53"/>
      <c r="C732" s="53"/>
      <c r="D732" s="1"/>
      <c r="E732" s="1"/>
      <c r="F732" s="1"/>
      <c r="G732" s="1"/>
      <c r="H732" s="155"/>
      <c r="I732" s="155"/>
      <c r="J732" s="1"/>
      <c r="K732" s="1"/>
      <c r="L732" s="1"/>
      <c r="M732" s="1"/>
    </row>
    <row r="733" ht="14.25" customHeight="1">
      <c r="A733" s="52"/>
      <c r="B733" s="53"/>
      <c r="C733" s="53"/>
      <c r="D733" s="1"/>
      <c r="E733" s="1"/>
      <c r="F733" s="1"/>
      <c r="G733" s="1"/>
      <c r="H733" s="155"/>
      <c r="I733" s="155"/>
      <c r="J733" s="1"/>
      <c r="K733" s="1"/>
      <c r="L733" s="1"/>
      <c r="M733" s="1"/>
    </row>
    <row r="734" ht="14.25" customHeight="1">
      <c r="A734" s="52"/>
      <c r="B734" s="53"/>
      <c r="C734" s="53"/>
      <c r="D734" s="1"/>
      <c r="E734" s="1"/>
      <c r="F734" s="1"/>
      <c r="G734" s="1"/>
      <c r="H734" s="155"/>
      <c r="I734" s="155"/>
      <c r="J734" s="1"/>
      <c r="K734" s="1"/>
      <c r="L734" s="1"/>
      <c r="M734" s="1"/>
    </row>
    <row r="735" ht="14.25" customHeight="1">
      <c r="A735" s="52"/>
      <c r="B735" s="53"/>
      <c r="C735" s="53"/>
      <c r="D735" s="1"/>
      <c r="E735" s="1"/>
      <c r="F735" s="1"/>
      <c r="G735" s="1"/>
      <c r="H735" s="155"/>
      <c r="I735" s="155"/>
      <c r="J735" s="1"/>
      <c r="K735" s="1"/>
      <c r="L735" s="1"/>
      <c r="M735" s="1"/>
    </row>
    <row r="736" ht="14.25" customHeight="1">
      <c r="A736" s="52"/>
      <c r="B736" s="53"/>
      <c r="C736" s="53"/>
      <c r="D736" s="1"/>
      <c r="E736" s="1"/>
      <c r="F736" s="1"/>
      <c r="G736" s="1"/>
      <c r="H736" s="155"/>
      <c r="I736" s="155"/>
      <c r="J736" s="1"/>
      <c r="K736" s="1"/>
      <c r="L736" s="1"/>
      <c r="M736" s="1"/>
    </row>
    <row r="737" ht="14.25" customHeight="1">
      <c r="A737" s="52"/>
      <c r="B737" s="53"/>
      <c r="C737" s="53"/>
      <c r="D737" s="1"/>
      <c r="E737" s="1"/>
      <c r="F737" s="1"/>
      <c r="G737" s="1"/>
      <c r="H737" s="155"/>
      <c r="I737" s="155"/>
      <c r="J737" s="1"/>
      <c r="K737" s="1"/>
      <c r="L737" s="1"/>
      <c r="M737" s="1"/>
    </row>
    <row r="738" ht="14.25" customHeight="1">
      <c r="A738" s="52"/>
      <c r="B738" s="53"/>
      <c r="C738" s="53"/>
      <c r="D738" s="1"/>
      <c r="E738" s="1"/>
      <c r="F738" s="1"/>
      <c r="G738" s="1"/>
      <c r="H738" s="155"/>
      <c r="I738" s="155"/>
      <c r="J738" s="1"/>
      <c r="K738" s="1"/>
      <c r="L738" s="1"/>
      <c r="M738" s="1"/>
    </row>
    <row r="739" ht="14.25" customHeight="1">
      <c r="A739" s="52"/>
      <c r="B739" s="53"/>
      <c r="C739" s="53"/>
      <c r="D739" s="1"/>
      <c r="E739" s="1"/>
      <c r="F739" s="1"/>
      <c r="G739" s="1"/>
      <c r="H739" s="155"/>
      <c r="I739" s="155"/>
      <c r="J739" s="1"/>
      <c r="K739" s="1"/>
      <c r="L739" s="1"/>
      <c r="M739" s="1"/>
    </row>
    <row r="740" ht="14.25" customHeight="1">
      <c r="A740" s="52"/>
      <c r="B740" s="53"/>
      <c r="C740" s="53"/>
      <c r="D740" s="1"/>
      <c r="E740" s="1"/>
      <c r="F740" s="1"/>
      <c r="G740" s="1"/>
      <c r="H740" s="155"/>
      <c r="I740" s="155"/>
      <c r="J740" s="1"/>
      <c r="K740" s="1"/>
      <c r="L740" s="1"/>
      <c r="M740" s="1"/>
    </row>
    <row r="741" ht="14.25" customHeight="1">
      <c r="A741" s="52"/>
      <c r="B741" s="53"/>
      <c r="C741" s="53"/>
      <c r="D741" s="1"/>
      <c r="E741" s="1"/>
      <c r="F741" s="1"/>
      <c r="G741" s="1"/>
      <c r="H741" s="155"/>
      <c r="I741" s="155"/>
      <c r="J741" s="1"/>
      <c r="K741" s="1"/>
      <c r="L741" s="1"/>
      <c r="M741" s="1"/>
    </row>
    <row r="742" ht="14.25" customHeight="1">
      <c r="A742" s="52"/>
      <c r="B742" s="53"/>
      <c r="C742" s="53"/>
      <c r="D742" s="1"/>
      <c r="E742" s="1"/>
      <c r="F742" s="1"/>
      <c r="G742" s="1"/>
      <c r="H742" s="155"/>
      <c r="I742" s="155"/>
      <c r="J742" s="1"/>
      <c r="K742" s="1"/>
      <c r="L742" s="1"/>
      <c r="M742" s="1"/>
    </row>
    <row r="743" ht="14.25" customHeight="1">
      <c r="A743" s="52"/>
      <c r="B743" s="53"/>
      <c r="C743" s="53"/>
      <c r="D743" s="1"/>
      <c r="E743" s="1"/>
      <c r="F743" s="1"/>
      <c r="G743" s="1"/>
      <c r="H743" s="155"/>
      <c r="I743" s="155"/>
      <c r="J743" s="1"/>
      <c r="K743" s="1"/>
      <c r="L743" s="1"/>
      <c r="M743" s="1"/>
    </row>
    <row r="744" ht="14.25" customHeight="1">
      <c r="A744" s="52"/>
      <c r="B744" s="53"/>
      <c r="C744" s="53"/>
      <c r="D744" s="1"/>
      <c r="E744" s="1"/>
      <c r="F744" s="1"/>
      <c r="G744" s="1"/>
      <c r="H744" s="155"/>
      <c r="I744" s="155"/>
      <c r="J744" s="1"/>
      <c r="K744" s="1"/>
      <c r="L744" s="1"/>
      <c r="M744" s="1"/>
    </row>
    <row r="745" ht="14.25" customHeight="1">
      <c r="A745" s="52"/>
      <c r="B745" s="53"/>
      <c r="C745" s="53"/>
      <c r="D745" s="1"/>
      <c r="E745" s="1"/>
      <c r="F745" s="1"/>
      <c r="G745" s="1"/>
      <c r="H745" s="155"/>
      <c r="I745" s="155"/>
      <c r="J745" s="1"/>
      <c r="K745" s="1"/>
      <c r="L745" s="1"/>
      <c r="M745" s="1"/>
    </row>
    <row r="746" ht="14.25" customHeight="1">
      <c r="A746" s="52"/>
      <c r="B746" s="53"/>
      <c r="C746" s="53"/>
      <c r="D746" s="1"/>
      <c r="E746" s="1"/>
      <c r="F746" s="1"/>
      <c r="G746" s="1"/>
      <c r="H746" s="155"/>
      <c r="I746" s="155"/>
      <c r="J746" s="1"/>
      <c r="K746" s="1"/>
      <c r="L746" s="1"/>
      <c r="M746" s="1"/>
    </row>
    <row r="747" ht="14.25" customHeight="1">
      <c r="A747" s="52"/>
      <c r="B747" s="53"/>
      <c r="C747" s="53"/>
      <c r="D747" s="1"/>
      <c r="E747" s="1"/>
      <c r="F747" s="1"/>
      <c r="G747" s="1"/>
      <c r="H747" s="155"/>
      <c r="I747" s="155"/>
      <c r="J747" s="1"/>
      <c r="K747" s="1"/>
      <c r="L747" s="1"/>
      <c r="M747" s="1"/>
    </row>
    <row r="748" ht="14.25" customHeight="1">
      <c r="A748" s="52"/>
      <c r="B748" s="53"/>
      <c r="C748" s="53"/>
      <c r="D748" s="1"/>
      <c r="E748" s="1"/>
      <c r="F748" s="1"/>
      <c r="G748" s="1"/>
      <c r="H748" s="155"/>
      <c r="I748" s="155"/>
      <c r="J748" s="1"/>
      <c r="K748" s="1"/>
      <c r="L748" s="1"/>
      <c r="M748" s="1"/>
    </row>
    <row r="749" ht="14.25" customHeight="1">
      <c r="A749" s="52"/>
      <c r="B749" s="53"/>
      <c r="C749" s="53"/>
      <c r="D749" s="1"/>
      <c r="E749" s="1"/>
      <c r="F749" s="1"/>
      <c r="G749" s="1"/>
      <c r="H749" s="155"/>
      <c r="I749" s="155"/>
      <c r="J749" s="1"/>
      <c r="K749" s="1"/>
      <c r="L749" s="1"/>
      <c r="M749" s="1"/>
    </row>
    <row r="750" ht="14.25" customHeight="1">
      <c r="A750" s="52"/>
      <c r="B750" s="53"/>
      <c r="C750" s="53"/>
      <c r="D750" s="1"/>
      <c r="E750" s="1"/>
      <c r="F750" s="1"/>
      <c r="G750" s="1"/>
      <c r="H750" s="155"/>
      <c r="I750" s="155"/>
      <c r="J750" s="1"/>
      <c r="K750" s="1"/>
      <c r="L750" s="1"/>
      <c r="M750" s="1"/>
    </row>
    <row r="751" ht="14.25" customHeight="1">
      <c r="A751" s="52"/>
      <c r="B751" s="53"/>
      <c r="C751" s="53"/>
      <c r="D751" s="1"/>
      <c r="E751" s="1"/>
      <c r="F751" s="1"/>
      <c r="G751" s="1"/>
      <c r="H751" s="155"/>
      <c r="I751" s="155"/>
      <c r="J751" s="1"/>
      <c r="K751" s="1"/>
      <c r="L751" s="1"/>
      <c r="M751" s="1"/>
    </row>
    <row r="752" ht="14.25" customHeight="1">
      <c r="A752" s="52"/>
      <c r="B752" s="53"/>
      <c r="C752" s="53"/>
      <c r="D752" s="1"/>
      <c r="E752" s="1"/>
      <c r="F752" s="1"/>
      <c r="G752" s="1"/>
      <c r="H752" s="155"/>
      <c r="I752" s="155"/>
      <c r="J752" s="1"/>
      <c r="K752" s="1"/>
      <c r="L752" s="1"/>
      <c r="M752" s="1"/>
    </row>
    <row r="753" ht="14.25" customHeight="1">
      <c r="A753" s="52"/>
      <c r="B753" s="53"/>
      <c r="C753" s="53"/>
      <c r="D753" s="1"/>
      <c r="E753" s="1"/>
      <c r="F753" s="1"/>
      <c r="G753" s="1"/>
      <c r="H753" s="155"/>
      <c r="I753" s="155"/>
      <c r="J753" s="1"/>
      <c r="K753" s="1"/>
      <c r="L753" s="1"/>
      <c r="M753" s="1"/>
    </row>
    <row r="754" ht="14.25" customHeight="1">
      <c r="A754" s="52"/>
      <c r="B754" s="53"/>
      <c r="C754" s="53"/>
      <c r="D754" s="1"/>
      <c r="E754" s="1"/>
      <c r="F754" s="1"/>
      <c r="G754" s="1"/>
      <c r="H754" s="155"/>
      <c r="I754" s="155"/>
      <c r="J754" s="1"/>
      <c r="K754" s="1"/>
      <c r="L754" s="1"/>
      <c r="M754" s="1"/>
    </row>
    <row r="755" ht="14.25" customHeight="1">
      <c r="A755" s="52"/>
      <c r="B755" s="53"/>
      <c r="C755" s="53"/>
      <c r="D755" s="1"/>
      <c r="E755" s="1"/>
      <c r="F755" s="1"/>
      <c r="G755" s="1"/>
      <c r="H755" s="155"/>
      <c r="I755" s="155"/>
      <c r="J755" s="1"/>
      <c r="K755" s="1"/>
      <c r="L755" s="1"/>
      <c r="M755" s="1"/>
    </row>
    <row r="756" ht="14.25" customHeight="1">
      <c r="A756" s="52"/>
      <c r="B756" s="53"/>
      <c r="C756" s="53"/>
      <c r="D756" s="1"/>
      <c r="E756" s="1"/>
      <c r="F756" s="1"/>
      <c r="G756" s="1"/>
      <c r="H756" s="155"/>
      <c r="I756" s="155"/>
      <c r="J756" s="1"/>
      <c r="K756" s="1"/>
      <c r="L756" s="1"/>
      <c r="M756" s="1"/>
    </row>
    <row r="757" ht="14.25" customHeight="1">
      <c r="A757" s="52"/>
      <c r="B757" s="53"/>
      <c r="C757" s="53"/>
      <c r="D757" s="1"/>
      <c r="E757" s="1"/>
      <c r="F757" s="1"/>
      <c r="G757" s="1"/>
      <c r="H757" s="155"/>
      <c r="I757" s="155"/>
      <c r="J757" s="1"/>
      <c r="K757" s="1"/>
      <c r="L757" s="1"/>
      <c r="M757" s="1"/>
    </row>
    <row r="758" ht="14.25" customHeight="1">
      <c r="A758" s="52"/>
      <c r="B758" s="53"/>
      <c r="C758" s="53"/>
      <c r="D758" s="1"/>
      <c r="E758" s="1"/>
      <c r="F758" s="1"/>
      <c r="G758" s="1"/>
      <c r="H758" s="155"/>
      <c r="I758" s="155"/>
      <c r="J758" s="1"/>
      <c r="K758" s="1"/>
      <c r="L758" s="1"/>
      <c r="M758" s="1"/>
    </row>
    <row r="759" ht="14.25" customHeight="1">
      <c r="A759" s="52"/>
      <c r="B759" s="53"/>
      <c r="C759" s="53"/>
      <c r="D759" s="1"/>
      <c r="E759" s="1"/>
      <c r="F759" s="1"/>
      <c r="G759" s="1"/>
      <c r="H759" s="155"/>
      <c r="I759" s="155"/>
      <c r="J759" s="1"/>
      <c r="K759" s="1"/>
      <c r="L759" s="1"/>
      <c r="M759" s="1"/>
    </row>
    <row r="760" ht="14.25" customHeight="1">
      <c r="A760" s="52"/>
      <c r="B760" s="53"/>
      <c r="C760" s="53"/>
      <c r="D760" s="1"/>
      <c r="E760" s="1"/>
      <c r="F760" s="1"/>
      <c r="G760" s="1"/>
      <c r="H760" s="155"/>
      <c r="I760" s="155"/>
      <c r="J760" s="1"/>
      <c r="K760" s="1"/>
      <c r="L760" s="1"/>
      <c r="M760" s="1"/>
    </row>
    <row r="761" ht="14.25" customHeight="1">
      <c r="A761" s="52"/>
      <c r="B761" s="53"/>
      <c r="C761" s="53"/>
      <c r="D761" s="1"/>
      <c r="E761" s="1"/>
      <c r="F761" s="1"/>
      <c r="G761" s="1"/>
      <c r="H761" s="155"/>
      <c r="I761" s="155"/>
      <c r="J761" s="1"/>
      <c r="K761" s="1"/>
      <c r="L761" s="1"/>
      <c r="M761" s="1"/>
    </row>
    <row r="762" ht="14.25" customHeight="1">
      <c r="A762" s="52"/>
      <c r="B762" s="53"/>
      <c r="C762" s="53"/>
      <c r="D762" s="1"/>
      <c r="E762" s="1"/>
      <c r="F762" s="1"/>
      <c r="G762" s="1"/>
      <c r="H762" s="155"/>
      <c r="I762" s="155"/>
      <c r="J762" s="1"/>
      <c r="K762" s="1"/>
      <c r="L762" s="1"/>
      <c r="M762" s="1"/>
    </row>
    <row r="763" ht="14.25" customHeight="1">
      <c r="A763" s="52"/>
      <c r="B763" s="53"/>
      <c r="C763" s="53"/>
      <c r="D763" s="1"/>
      <c r="E763" s="1"/>
      <c r="F763" s="1"/>
      <c r="G763" s="1"/>
      <c r="H763" s="155"/>
      <c r="I763" s="155"/>
      <c r="J763" s="1"/>
      <c r="K763" s="1"/>
      <c r="L763" s="1"/>
      <c r="M763" s="1"/>
    </row>
    <row r="764" ht="14.25" customHeight="1">
      <c r="A764" s="52"/>
      <c r="B764" s="53"/>
      <c r="C764" s="53"/>
      <c r="D764" s="1"/>
      <c r="E764" s="1"/>
      <c r="F764" s="1"/>
      <c r="G764" s="1"/>
      <c r="H764" s="155"/>
      <c r="I764" s="155"/>
      <c r="J764" s="1"/>
      <c r="K764" s="1"/>
      <c r="L764" s="1"/>
      <c r="M764" s="1"/>
    </row>
    <row r="765" ht="14.25" customHeight="1">
      <c r="A765" s="52"/>
      <c r="B765" s="53"/>
      <c r="C765" s="53"/>
      <c r="D765" s="1"/>
      <c r="E765" s="1"/>
      <c r="F765" s="1"/>
      <c r="G765" s="1"/>
      <c r="H765" s="155"/>
      <c r="I765" s="155"/>
      <c r="J765" s="1"/>
      <c r="K765" s="1"/>
      <c r="L765" s="1"/>
      <c r="M765" s="1"/>
    </row>
    <row r="766" ht="14.25" customHeight="1">
      <c r="A766" s="52"/>
      <c r="B766" s="53"/>
      <c r="C766" s="53"/>
      <c r="D766" s="1"/>
      <c r="E766" s="1"/>
      <c r="F766" s="1"/>
      <c r="G766" s="1"/>
      <c r="H766" s="155"/>
      <c r="I766" s="155"/>
      <c r="J766" s="1"/>
      <c r="K766" s="1"/>
      <c r="L766" s="1"/>
      <c r="M766" s="1"/>
    </row>
    <row r="767" ht="14.25" customHeight="1">
      <c r="A767" s="52"/>
      <c r="B767" s="53"/>
      <c r="C767" s="53"/>
      <c r="D767" s="1"/>
      <c r="E767" s="1"/>
      <c r="F767" s="1"/>
      <c r="G767" s="1"/>
      <c r="H767" s="155"/>
      <c r="I767" s="155"/>
      <c r="J767" s="1"/>
      <c r="K767" s="1"/>
      <c r="L767" s="1"/>
      <c r="M767" s="1"/>
    </row>
    <row r="768" ht="14.25" customHeight="1">
      <c r="A768" s="52"/>
      <c r="B768" s="53"/>
      <c r="C768" s="53"/>
      <c r="D768" s="1"/>
      <c r="E768" s="1"/>
      <c r="F768" s="1"/>
      <c r="G768" s="1"/>
      <c r="H768" s="155"/>
      <c r="I768" s="155"/>
      <c r="J768" s="1"/>
      <c r="K768" s="1"/>
      <c r="L768" s="1"/>
      <c r="M768" s="1"/>
    </row>
    <row r="769" ht="14.25" customHeight="1">
      <c r="A769" s="52"/>
      <c r="B769" s="53"/>
      <c r="C769" s="53"/>
      <c r="D769" s="1"/>
      <c r="E769" s="1"/>
      <c r="F769" s="1"/>
      <c r="G769" s="1"/>
      <c r="H769" s="155"/>
      <c r="I769" s="155"/>
      <c r="J769" s="1"/>
      <c r="K769" s="1"/>
      <c r="L769" s="1"/>
      <c r="M769" s="1"/>
    </row>
    <row r="770" ht="14.25" customHeight="1">
      <c r="A770" s="52"/>
      <c r="B770" s="53"/>
      <c r="C770" s="53"/>
      <c r="D770" s="1"/>
      <c r="E770" s="1"/>
      <c r="F770" s="1"/>
      <c r="G770" s="1"/>
      <c r="H770" s="155"/>
      <c r="I770" s="155"/>
      <c r="J770" s="1"/>
      <c r="K770" s="1"/>
      <c r="L770" s="1"/>
      <c r="M770" s="1"/>
    </row>
    <row r="771" ht="14.25" customHeight="1">
      <c r="A771" s="52"/>
      <c r="B771" s="53"/>
      <c r="C771" s="53"/>
      <c r="D771" s="1"/>
      <c r="E771" s="1"/>
      <c r="F771" s="1"/>
      <c r="G771" s="1"/>
      <c r="H771" s="155"/>
      <c r="I771" s="155"/>
      <c r="J771" s="1"/>
      <c r="K771" s="1"/>
      <c r="L771" s="1"/>
      <c r="M771" s="1"/>
    </row>
    <row r="772" ht="14.25" customHeight="1">
      <c r="A772" s="52"/>
      <c r="B772" s="53"/>
      <c r="C772" s="53"/>
      <c r="D772" s="1"/>
      <c r="E772" s="1"/>
      <c r="F772" s="1"/>
      <c r="G772" s="1"/>
      <c r="H772" s="155"/>
      <c r="I772" s="155"/>
      <c r="J772" s="1"/>
      <c r="K772" s="1"/>
      <c r="L772" s="1"/>
      <c r="M772" s="1"/>
    </row>
    <row r="773" ht="14.25" customHeight="1">
      <c r="A773" s="52"/>
      <c r="B773" s="53"/>
      <c r="C773" s="53"/>
      <c r="D773" s="1"/>
      <c r="E773" s="1"/>
      <c r="F773" s="1"/>
      <c r="G773" s="1"/>
      <c r="H773" s="155"/>
      <c r="I773" s="155"/>
      <c r="J773" s="1"/>
      <c r="K773" s="1"/>
      <c r="L773" s="1"/>
      <c r="M773" s="1"/>
    </row>
    <row r="774" ht="14.25" customHeight="1">
      <c r="A774" s="52"/>
      <c r="B774" s="53"/>
      <c r="C774" s="53"/>
      <c r="D774" s="1"/>
      <c r="E774" s="1"/>
      <c r="F774" s="1"/>
      <c r="G774" s="1"/>
      <c r="H774" s="155"/>
      <c r="I774" s="155"/>
      <c r="J774" s="1"/>
      <c r="K774" s="1"/>
      <c r="L774" s="1"/>
      <c r="M774" s="1"/>
    </row>
    <row r="775" ht="14.25" customHeight="1">
      <c r="A775" s="52"/>
      <c r="B775" s="53"/>
      <c r="C775" s="53"/>
      <c r="D775" s="1"/>
      <c r="E775" s="1"/>
      <c r="F775" s="1"/>
      <c r="G775" s="1"/>
      <c r="H775" s="155"/>
      <c r="I775" s="155"/>
      <c r="J775" s="1"/>
      <c r="K775" s="1"/>
      <c r="L775" s="1"/>
      <c r="M775" s="1"/>
    </row>
    <row r="776" ht="14.25" customHeight="1">
      <c r="A776" s="52"/>
      <c r="B776" s="53"/>
      <c r="C776" s="53"/>
      <c r="D776" s="1"/>
      <c r="E776" s="1"/>
      <c r="F776" s="1"/>
      <c r="G776" s="1"/>
      <c r="H776" s="155"/>
      <c r="I776" s="155"/>
      <c r="J776" s="1"/>
      <c r="K776" s="1"/>
      <c r="L776" s="1"/>
      <c r="M776" s="1"/>
    </row>
    <row r="777" ht="14.25" customHeight="1">
      <c r="A777" s="52"/>
      <c r="B777" s="53"/>
      <c r="C777" s="53"/>
      <c r="D777" s="1"/>
      <c r="E777" s="1"/>
      <c r="F777" s="1"/>
      <c r="G777" s="1"/>
      <c r="H777" s="155"/>
      <c r="I777" s="155"/>
      <c r="J777" s="1"/>
      <c r="K777" s="1"/>
      <c r="L777" s="1"/>
      <c r="M777" s="1"/>
    </row>
    <row r="778" ht="14.25" customHeight="1">
      <c r="A778" s="52"/>
      <c r="B778" s="53"/>
      <c r="C778" s="53"/>
      <c r="D778" s="1"/>
      <c r="E778" s="1"/>
      <c r="F778" s="1"/>
      <c r="G778" s="1"/>
      <c r="H778" s="155"/>
      <c r="I778" s="155"/>
      <c r="J778" s="1"/>
      <c r="K778" s="1"/>
      <c r="L778" s="1"/>
      <c r="M778" s="1"/>
    </row>
    <row r="779" ht="14.25" customHeight="1">
      <c r="A779" s="52"/>
      <c r="B779" s="53"/>
      <c r="C779" s="53"/>
      <c r="D779" s="1"/>
      <c r="E779" s="1"/>
      <c r="F779" s="1"/>
      <c r="G779" s="1"/>
      <c r="H779" s="155"/>
      <c r="I779" s="155"/>
      <c r="J779" s="1"/>
      <c r="K779" s="1"/>
      <c r="L779" s="1"/>
      <c r="M779" s="1"/>
    </row>
    <row r="780" ht="14.25" customHeight="1">
      <c r="A780" s="52"/>
      <c r="B780" s="53"/>
      <c r="C780" s="53"/>
      <c r="D780" s="1"/>
      <c r="E780" s="1"/>
      <c r="F780" s="1"/>
      <c r="G780" s="1"/>
      <c r="H780" s="155"/>
      <c r="I780" s="155"/>
      <c r="J780" s="1"/>
      <c r="K780" s="1"/>
      <c r="L780" s="1"/>
      <c r="M780" s="1"/>
    </row>
    <row r="781" ht="14.25" customHeight="1">
      <c r="A781" s="52"/>
      <c r="B781" s="53"/>
      <c r="C781" s="53"/>
      <c r="D781" s="1"/>
      <c r="E781" s="1"/>
      <c r="F781" s="1"/>
      <c r="G781" s="1"/>
      <c r="H781" s="155"/>
      <c r="I781" s="155"/>
      <c r="J781" s="1"/>
      <c r="K781" s="1"/>
      <c r="L781" s="1"/>
      <c r="M781" s="1"/>
    </row>
    <row r="782" ht="14.25" customHeight="1">
      <c r="A782" s="52"/>
      <c r="B782" s="53"/>
      <c r="C782" s="53"/>
      <c r="D782" s="1"/>
      <c r="E782" s="1"/>
      <c r="F782" s="1"/>
      <c r="G782" s="1"/>
      <c r="H782" s="155"/>
      <c r="I782" s="155"/>
      <c r="J782" s="1"/>
      <c r="K782" s="1"/>
      <c r="L782" s="1"/>
      <c r="M782" s="1"/>
    </row>
    <row r="783" ht="14.25" customHeight="1">
      <c r="A783" s="52"/>
      <c r="B783" s="53"/>
      <c r="C783" s="53"/>
      <c r="D783" s="1"/>
      <c r="E783" s="1"/>
      <c r="F783" s="1"/>
      <c r="G783" s="1"/>
      <c r="H783" s="155"/>
      <c r="I783" s="155"/>
      <c r="J783" s="1"/>
      <c r="K783" s="1"/>
      <c r="L783" s="1"/>
      <c r="M783" s="1"/>
    </row>
    <row r="784" ht="14.25" customHeight="1">
      <c r="A784" s="52"/>
      <c r="B784" s="53"/>
      <c r="C784" s="53"/>
      <c r="D784" s="1"/>
      <c r="E784" s="1"/>
      <c r="F784" s="1"/>
      <c r="G784" s="1"/>
      <c r="H784" s="155"/>
      <c r="I784" s="155"/>
      <c r="J784" s="1"/>
      <c r="K784" s="1"/>
      <c r="L784" s="1"/>
      <c r="M784" s="1"/>
    </row>
    <row r="785" ht="14.25" customHeight="1">
      <c r="A785" s="52"/>
      <c r="B785" s="53"/>
      <c r="C785" s="53"/>
      <c r="D785" s="1"/>
      <c r="E785" s="1"/>
      <c r="F785" s="1"/>
      <c r="G785" s="1"/>
      <c r="H785" s="155"/>
      <c r="I785" s="155"/>
      <c r="J785" s="1"/>
      <c r="K785" s="1"/>
      <c r="L785" s="1"/>
      <c r="M785" s="1"/>
    </row>
    <row r="786" ht="14.25" customHeight="1">
      <c r="A786" s="52"/>
      <c r="B786" s="53"/>
      <c r="C786" s="53"/>
      <c r="D786" s="1"/>
      <c r="E786" s="1"/>
      <c r="F786" s="1"/>
      <c r="G786" s="1"/>
      <c r="H786" s="155"/>
      <c r="I786" s="155"/>
      <c r="J786" s="1"/>
      <c r="K786" s="1"/>
      <c r="L786" s="1"/>
      <c r="M786" s="1"/>
    </row>
    <row r="787" ht="14.25" customHeight="1">
      <c r="A787" s="52"/>
      <c r="B787" s="53"/>
      <c r="C787" s="53"/>
      <c r="D787" s="1"/>
      <c r="E787" s="1"/>
      <c r="F787" s="1"/>
      <c r="G787" s="1"/>
      <c r="H787" s="155"/>
      <c r="I787" s="155"/>
      <c r="J787" s="1"/>
      <c r="K787" s="1"/>
      <c r="L787" s="1"/>
      <c r="M787" s="1"/>
    </row>
    <row r="788" ht="14.25" customHeight="1">
      <c r="A788" s="52"/>
      <c r="B788" s="53"/>
      <c r="C788" s="53"/>
      <c r="D788" s="1"/>
      <c r="E788" s="1"/>
      <c r="F788" s="1"/>
      <c r="G788" s="1"/>
      <c r="H788" s="155"/>
      <c r="I788" s="155"/>
      <c r="J788" s="1"/>
      <c r="K788" s="1"/>
      <c r="L788" s="1"/>
      <c r="M788" s="1"/>
    </row>
    <row r="789" ht="14.25" customHeight="1">
      <c r="A789" s="52"/>
      <c r="B789" s="53"/>
      <c r="C789" s="53"/>
      <c r="D789" s="1"/>
      <c r="E789" s="1"/>
      <c r="F789" s="1"/>
      <c r="G789" s="1"/>
      <c r="H789" s="155"/>
      <c r="I789" s="155"/>
      <c r="J789" s="1"/>
      <c r="K789" s="1"/>
      <c r="L789" s="1"/>
      <c r="M789" s="1"/>
    </row>
    <row r="790" ht="14.25" customHeight="1">
      <c r="A790" s="52"/>
      <c r="B790" s="53"/>
      <c r="C790" s="53"/>
      <c r="D790" s="1"/>
      <c r="E790" s="1"/>
      <c r="F790" s="1"/>
      <c r="G790" s="1"/>
      <c r="H790" s="155"/>
      <c r="I790" s="155"/>
      <c r="J790" s="1"/>
      <c r="K790" s="1"/>
      <c r="L790" s="1"/>
      <c r="M790" s="1"/>
    </row>
    <row r="791" ht="14.25" customHeight="1">
      <c r="A791" s="52"/>
      <c r="B791" s="53"/>
      <c r="C791" s="53"/>
      <c r="D791" s="1"/>
      <c r="E791" s="1"/>
      <c r="F791" s="1"/>
      <c r="G791" s="1"/>
      <c r="H791" s="155"/>
      <c r="I791" s="155"/>
      <c r="J791" s="1"/>
      <c r="K791" s="1"/>
      <c r="L791" s="1"/>
      <c r="M791" s="1"/>
    </row>
    <row r="792" ht="14.25" customHeight="1">
      <c r="A792" s="52"/>
      <c r="B792" s="53"/>
      <c r="C792" s="53"/>
      <c r="D792" s="1"/>
      <c r="E792" s="1"/>
      <c r="F792" s="1"/>
      <c r="G792" s="1"/>
      <c r="H792" s="155"/>
      <c r="I792" s="155"/>
      <c r="J792" s="1"/>
      <c r="K792" s="1"/>
      <c r="L792" s="1"/>
      <c r="M792" s="1"/>
    </row>
    <row r="793" ht="14.25" customHeight="1">
      <c r="A793" s="52"/>
      <c r="B793" s="53"/>
      <c r="C793" s="53"/>
      <c r="D793" s="1"/>
      <c r="E793" s="1"/>
      <c r="F793" s="1"/>
      <c r="G793" s="1"/>
      <c r="H793" s="155"/>
      <c r="I793" s="155"/>
      <c r="J793" s="1"/>
      <c r="K793" s="1"/>
      <c r="L793" s="1"/>
      <c r="M793" s="1"/>
    </row>
    <row r="794" ht="14.25" customHeight="1">
      <c r="A794" s="52"/>
      <c r="B794" s="53"/>
      <c r="C794" s="53"/>
      <c r="D794" s="1"/>
      <c r="E794" s="1"/>
      <c r="F794" s="1"/>
      <c r="G794" s="1"/>
      <c r="H794" s="155"/>
      <c r="I794" s="155"/>
      <c r="J794" s="1"/>
      <c r="K794" s="1"/>
      <c r="L794" s="1"/>
      <c r="M794" s="1"/>
    </row>
    <row r="795" ht="14.25" customHeight="1">
      <c r="A795" s="52"/>
      <c r="B795" s="53"/>
      <c r="C795" s="53"/>
      <c r="D795" s="1"/>
      <c r="E795" s="1"/>
      <c r="F795" s="1"/>
      <c r="G795" s="1"/>
      <c r="H795" s="155"/>
      <c r="I795" s="155"/>
      <c r="J795" s="1"/>
      <c r="K795" s="1"/>
      <c r="L795" s="1"/>
      <c r="M795" s="1"/>
    </row>
    <row r="796" ht="14.25" customHeight="1">
      <c r="A796" s="52"/>
      <c r="B796" s="53"/>
      <c r="C796" s="53"/>
      <c r="D796" s="1"/>
      <c r="E796" s="1"/>
      <c r="F796" s="1"/>
      <c r="G796" s="1"/>
      <c r="H796" s="155"/>
      <c r="I796" s="155"/>
      <c r="J796" s="1"/>
      <c r="K796" s="1"/>
      <c r="L796" s="1"/>
      <c r="M796" s="1"/>
    </row>
    <row r="797" ht="14.25" customHeight="1">
      <c r="A797" s="52"/>
      <c r="B797" s="53"/>
      <c r="C797" s="53"/>
      <c r="D797" s="1"/>
      <c r="E797" s="1"/>
      <c r="F797" s="1"/>
      <c r="G797" s="1"/>
      <c r="H797" s="155"/>
      <c r="I797" s="155"/>
      <c r="J797" s="1"/>
      <c r="K797" s="1"/>
      <c r="L797" s="1"/>
      <c r="M797" s="1"/>
    </row>
    <row r="798" ht="14.25" customHeight="1">
      <c r="A798" s="52"/>
      <c r="B798" s="53"/>
      <c r="C798" s="53"/>
      <c r="D798" s="1"/>
      <c r="E798" s="1"/>
      <c r="F798" s="1"/>
      <c r="G798" s="1"/>
      <c r="H798" s="155"/>
      <c r="I798" s="155"/>
      <c r="J798" s="1"/>
      <c r="K798" s="1"/>
      <c r="L798" s="1"/>
      <c r="M798" s="1"/>
    </row>
    <row r="799" ht="14.25" customHeight="1">
      <c r="A799" s="52"/>
      <c r="B799" s="53"/>
      <c r="C799" s="53"/>
      <c r="D799" s="1"/>
      <c r="E799" s="1"/>
      <c r="F799" s="1"/>
      <c r="G799" s="1"/>
      <c r="H799" s="155"/>
      <c r="I799" s="155"/>
      <c r="J799" s="1"/>
      <c r="K799" s="1"/>
      <c r="L799" s="1"/>
      <c r="M799" s="1"/>
    </row>
    <row r="800" ht="14.25" customHeight="1">
      <c r="A800" s="52"/>
      <c r="B800" s="53"/>
      <c r="C800" s="53"/>
      <c r="D800" s="1"/>
      <c r="E800" s="1"/>
      <c r="F800" s="1"/>
      <c r="G800" s="1"/>
      <c r="H800" s="155"/>
      <c r="I800" s="155"/>
      <c r="J800" s="1"/>
      <c r="K800" s="1"/>
      <c r="L800" s="1"/>
      <c r="M800" s="1"/>
    </row>
    <row r="801" ht="14.25" customHeight="1">
      <c r="A801" s="52"/>
      <c r="B801" s="53"/>
      <c r="C801" s="53"/>
      <c r="D801" s="1"/>
      <c r="E801" s="1"/>
      <c r="F801" s="1"/>
      <c r="G801" s="1"/>
      <c r="H801" s="155"/>
      <c r="I801" s="155"/>
      <c r="J801" s="1"/>
      <c r="K801" s="1"/>
      <c r="L801" s="1"/>
      <c r="M801" s="1"/>
    </row>
    <row r="802" ht="14.25" customHeight="1">
      <c r="A802" s="52"/>
      <c r="B802" s="53"/>
      <c r="C802" s="53"/>
      <c r="D802" s="1"/>
      <c r="E802" s="1"/>
      <c r="F802" s="1"/>
      <c r="G802" s="1"/>
      <c r="H802" s="155"/>
      <c r="I802" s="155"/>
      <c r="J802" s="1"/>
      <c r="K802" s="1"/>
      <c r="L802" s="1"/>
      <c r="M802" s="1"/>
    </row>
    <row r="803" ht="14.25" customHeight="1">
      <c r="A803" s="52"/>
      <c r="B803" s="53"/>
      <c r="C803" s="53"/>
      <c r="D803" s="1"/>
      <c r="E803" s="1"/>
      <c r="F803" s="1"/>
      <c r="G803" s="1"/>
      <c r="H803" s="155"/>
      <c r="I803" s="155"/>
      <c r="J803" s="1"/>
      <c r="K803" s="1"/>
      <c r="L803" s="1"/>
      <c r="M803" s="1"/>
    </row>
    <row r="804" ht="14.25" customHeight="1">
      <c r="A804" s="52"/>
      <c r="B804" s="53"/>
      <c r="C804" s="53"/>
      <c r="D804" s="1"/>
      <c r="E804" s="1"/>
      <c r="F804" s="1"/>
      <c r="G804" s="1"/>
      <c r="H804" s="155"/>
      <c r="I804" s="155"/>
      <c r="J804" s="1"/>
      <c r="K804" s="1"/>
      <c r="L804" s="1"/>
      <c r="M804" s="1"/>
    </row>
    <row r="805" ht="14.25" customHeight="1">
      <c r="A805" s="52"/>
      <c r="B805" s="53"/>
      <c r="C805" s="53"/>
      <c r="D805" s="1"/>
      <c r="E805" s="1"/>
      <c r="F805" s="1"/>
      <c r="G805" s="1"/>
      <c r="H805" s="155"/>
      <c r="I805" s="155"/>
      <c r="J805" s="1"/>
      <c r="K805" s="1"/>
      <c r="L805" s="1"/>
      <c r="M805" s="1"/>
    </row>
    <row r="806" ht="14.25" customHeight="1">
      <c r="A806" s="52"/>
      <c r="B806" s="53"/>
      <c r="C806" s="53"/>
      <c r="D806" s="1"/>
      <c r="E806" s="1"/>
      <c r="F806" s="1"/>
      <c r="G806" s="1"/>
      <c r="H806" s="155"/>
      <c r="I806" s="155"/>
      <c r="J806" s="1"/>
      <c r="K806" s="1"/>
      <c r="L806" s="1"/>
      <c r="M806" s="1"/>
    </row>
    <row r="807" ht="14.25" customHeight="1">
      <c r="A807" s="52"/>
      <c r="B807" s="53"/>
      <c r="C807" s="53"/>
      <c r="D807" s="1"/>
      <c r="E807" s="1"/>
      <c r="F807" s="1"/>
      <c r="G807" s="1"/>
      <c r="H807" s="155"/>
      <c r="I807" s="155"/>
      <c r="J807" s="1"/>
      <c r="K807" s="1"/>
      <c r="L807" s="1"/>
      <c r="M807" s="1"/>
    </row>
    <row r="808" ht="14.25" customHeight="1">
      <c r="A808" s="52"/>
      <c r="B808" s="53"/>
      <c r="C808" s="53"/>
      <c r="D808" s="1"/>
      <c r="E808" s="1"/>
      <c r="F808" s="1"/>
      <c r="G808" s="1"/>
      <c r="H808" s="155"/>
      <c r="I808" s="155"/>
      <c r="J808" s="1"/>
      <c r="K808" s="1"/>
      <c r="L808" s="1"/>
      <c r="M808" s="1"/>
    </row>
    <row r="809" ht="14.25" customHeight="1">
      <c r="A809" s="52"/>
      <c r="B809" s="53"/>
      <c r="C809" s="53"/>
      <c r="D809" s="1"/>
      <c r="E809" s="1"/>
      <c r="F809" s="1"/>
      <c r="G809" s="1"/>
      <c r="H809" s="155"/>
      <c r="I809" s="155"/>
      <c r="J809" s="1"/>
      <c r="K809" s="1"/>
      <c r="L809" s="1"/>
      <c r="M809" s="1"/>
    </row>
    <row r="810" ht="14.25" customHeight="1">
      <c r="A810" s="52"/>
      <c r="B810" s="53"/>
      <c r="C810" s="53"/>
      <c r="D810" s="1"/>
      <c r="E810" s="1"/>
      <c r="F810" s="1"/>
      <c r="G810" s="1"/>
      <c r="H810" s="155"/>
      <c r="I810" s="155"/>
      <c r="J810" s="1"/>
      <c r="K810" s="1"/>
      <c r="L810" s="1"/>
      <c r="M810" s="1"/>
    </row>
    <row r="811" ht="14.25" customHeight="1">
      <c r="A811" s="52"/>
      <c r="B811" s="53"/>
      <c r="C811" s="53"/>
      <c r="D811" s="1"/>
      <c r="E811" s="1"/>
      <c r="F811" s="1"/>
      <c r="G811" s="1"/>
      <c r="H811" s="155"/>
      <c r="I811" s="155"/>
      <c r="J811" s="1"/>
      <c r="K811" s="1"/>
      <c r="L811" s="1"/>
      <c r="M811" s="1"/>
    </row>
    <row r="812" ht="14.25" customHeight="1">
      <c r="A812" s="52"/>
      <c r="B812" s="53"/>
      <c r="C812" s="53"/>
      <c r="D812" s="1"/>
      <c r="E812" s="1"/>
      <c r="F812" s="1"/>
      <c r="G812" s="1"/>
      <c r="H812" s="155"/>
      <c r="I812" s="155"/>
      <c r="J812" s="1"/>
      <c r="K812" s="1"/>
      <c r="L812" s="1"/>
      <c r="M812" s="1"/>
    </row>
    <row r="813" ht="14.25" customHeight="1">
      <c r="A813" s="52"/>
      <c r="B813" s="53"/>
      <c r="C813" s="53"/>
      <c r="D813" s="1"/>
      <c r="E813" s="1"/>
      <c r="F813" s="1"/>
      <c r="G813" s="1"/>
      <c r="H813" s="155"/>
      <c r="I813" s="155"/>
      <c r="J813" s="1"/>
      <c r="K813" s="1"/>
      <c r="L813" s="1"/>
      <c r="M813" s="1"/>
    </row>
    <row r="814" ht="14.25" customHeight="1">
      <c r="A814" s="52"/>
      <c r="B814" s="53"/>
      <c r="C814" s="53"/>
      <c r="D814" s="1"/>
      <c r="E814" s="1"/>
      <c r="F814" s="1"/>
      <c r="G814" s="1"/>
      <c r="H814" s="155"/>
      <c r="I814" s="155"/>
      <c r="J814" s="1"/>
      <c r="K814" s="1"/>
      <c r="L814" s="1"/>
      <c r="M814" s="1"/>
    </row>
    <row r="815" ht="14.25" customHeight="1">
      <c r="A815" s="52"/>
      <c r="B815" s="53"/>
      <c r="C815" s="53"/>
      <c r="D815" s="1"/>
      <c r="E815" s="1"/>
      <c r="F815" s="1"/>
      <c r="G815" s="1"/>
      <c r="H815" s="155"/>
      <c r="I815" s="155"/>
      <c r="J815" s="1"/>
      <c r="K815" s="1"/>
      <c r="L815" s="1"/>
      <c r="M815" s="1"/>
    </row>
    <row r="816" ht="14.25" customHeight="1">
      <c r="A816" s="52"/>
      <c r="B816" s="53"/>
      <c r="C816" s="53"/>
      <c r="D816" s="1"/>
      <c r="E816" s="1"/>
      <c r="F816" s="1"/>
      <c r="G816" s="1"/>
      <c r="H816" s="155"/>
      <c r="I816" s="155"/>
      <c r="J816" s="1"/>
      <c r="K816" s="1"/>
      <c r="L816" s="1"/>
      <c r="M816" s="1"/>
    </row>
    <row r="817" ht="14.25" customHeight="1">
      <c r="A817" s="52"/>
      <c r="B817" s="53"/>
      <c r="C817" s="53"/>
      <c r="D817" s="1"/>
      <c r="E817" s="1"/>
      <c r="F817" s="1"/>
      <c r="G817" s="1"/>
      <c r="H817" s="155"/>
      <c r="I817" s="155"/>
      <c r="J817" s="1"/>
      <c r="K817" s="1"/>
      <c r="L817" s="1"/>
      <c r="M817" s="1"/>
    </row>
    <row r="818" ht="14.25" customHeight="1">
      <c r="A818" s="52"/>
      <c r="B818" s="53"/>
      <c r="C818" s="53"/>
      <c r="D818" s="1"/>
      <c r="E818" s="1"/>
      <c r="F818" s="1"/>
      <c r="G818" s="1"/>
      <c r="H818" s="155"/>
      <c r="I818" s="155"/>
      <c r="J818" s="1"/>
      <c r="K818" s="1"/>
      <c r="L818" s="1"/>
      <c r="M818" s="1"/>
    </row>
    <row r="819" ht="14.25" customHeight="1">
      <c r="A819" s="52"/>
      <c r="B819" s="53"/>
      <c r="C819" s="53"/>
      <c r="D819" s="1"/>
      <c r="E819" s="1"/>
      <c r="F819" s="1"/>
      <c r="G819" s="1"/>
      <c r="H819" s="155"/>
      <c r="I819" s="155"/>
      <c r="J819" s="1"/>
      <c r="K819" s="1"/>
      <c r="L819" s="1"/>
      <c r="M819" s="1"/>
    </row>
    <row r="820" ht="14.25" customHeight="1">
      <c r="A820" s="52"/>
      <c r="B820" s="53"/>
      <c r="C820" s="53"/>
      <c r="D820" s="1"/>
      <c r="E820" s="1"/>
      <c r="F820" s="1"/>
      <c r="G820" s="1"/>
      <c r="H820" s="155"/>
      <c r="I820" s="155"/>
      <c r="J820" s="1"/>
      <c r="K820" s="1"/>
      <c r="L820" s="1"/>
      <c r="M820" s="1"/>
    </row>
    <row r="821" ht="14.25" customHeight="1">
      <c r="A821" s="52"/>
      <c r="B821" s="53"/>
      <c r="C821" s="53"/>
      <c r="D821" s="1"/>
      <c r="E821" s="1"/>
      <c r="F821" s="1"/>
      <c r="G821" s="1"/>
      <c r="H821" s="155"/>
      <c r="I821" s="155"/>
      <c r="J821" s="1"/>
      <c r="K821" s="1"/>
      <c r="L821" s="1"/>
      <c r="M821" s="1"/>
    </row>
    <row r="822" ht="14.25" customHeight="1">
      <c r="A822" s="52"/>
      <c r="B822" s="53"/>
      <c r="C822" s="53"/>
      <c r="D822" s="1"/>
      <c r="E822" s="1"/>
      <c r="F822" s="1"/>
      <c r="G822" s="1"/>
      <c r="H822" s="155"/>
      <c r="I822" s="155"/>
      <c r="J822" s="1"/>
      <c r="K822" s="1"/>
      <c r="L822" s="1"/>
      <c r="M822" s="1"/>
    </row>
    <row r="823" ht="14.25" customHeight="1">
      <c r="A823" s="52"/>
      <c r="B823" s="53"/>
      <c r="C823" s="53"/>
      <c r="D823" s="1"/>
      <c r="E823" s="1"/>
      <c r="F823" s="1"/>
      <c r="G823" s="1"/>
      <c r="H823" s="155"/>
      <c r="I823" s="155"/>
      <c r="J823" s="1"/>
      <c r="K823" s="1"/>
      <c r="L823" s="1"/>
      <c r="M823" s="1"/>
    </row>
    <row r="824" ht="14.25" customHeight="1">
      <c r="A824" s="52"/>
      <c r="B824" s="53"/>
      <c r="C824" s="53"/>
      <c r="D824" s="1"/>
      <c r="E824" s="1"/>
      <c r="F824" s="1"/>
      <c r="G824" s="1"/>
      <c r="H824" s="155"/>
      <c r="I824" s="155"/>
      <c r="J824" s="1"/>
      <c r="K824" s="1"/>
      <c r="L824" s="1"/>
      <c r="M824" s="1"/>
    </row>
    <row r="825" ht="14.25" customHeight="1">
      <c r="A825" s="52"/>
      <c r="B825" s="53"/>
      <c r="C825" s="53"/>
      <c r="D825" s="1"/>
      <c r="E825" s="1"/>
      <c r="F825" s="1"/>
      <c r="G825" s="1"/>
      <c r="H825" s="155"/>
      <c r="I825" s="155"/>
      <c r="J825" s="1"/>
      <c r="K825" s="1"/>
      <c r="L825" s="1"/>
      <c r="M825" s="1"/>
    </row>
    <row r="826" ht="14.25" customHeight="1">
      <c r="A826" s="52"/>
      <c r="B826" s="53"/>
      <c r="C826" s="53"/>
      <c r="D826" s="1"/>
      <c r="E826" s="1"/>
      <c r="F826" s="1"/>
      <c r="G826" s="1"/>
      <c r="H826" s="155"/>
      <c r="I826" s="155"/>
      <c r="J826" s="1"/>
      <c r="K826" s="1"/>
      <c r="L826" s="1"/>
      <c r="M826" s="1"/>
    </row>
    <row r="827" ht="14.25" customHeight="1">
      <c r="A827" s="52"/>
      <c r="B827" s="53"/>
      <c r="C827" s="53"/>
      <c r="D827" s="1"/>
      <c r="E827" s="1"/>
      <c r="F827" s="1"/>
      <c r="G827" s="1"/>
      <c r="H827" s="155"/>
      <c r="I827" s="155"/>
      <c r="J827" s="1"/>
      <c r="K827" s="1"/>
      <c r="L827" s="1"/>
      <c r="M827" s="1"/>
    </row>
    <row r="828" ht="14.25" customHeight="1">
      <c r="A828" s="52"/>
      <c r="B828" s="53"/>
      <c r="C828" s="53"/>
      <c r="D828" s="1"/>
      <c r="E828" s="1"/>
      <c r="F828" s="1"/>
      <c r="G828" s="1"/>
      <c r="H828" s="155"/>
      <c r="I828" s="155"/>
      <c r="J828" s="1"/>
      <c r="K828" s="1"/>
      <c r="L828" s="1"/>
      <c r="M828" s="1"/>
    </row>
    <row r="829" ht="14.25" customHeight="1">
      <c r="A829" s="52"/>
      <c r="B829" s="53"/>
      <c r="C829" s="53"/>
      <c r="D829" s="1"/>
      <c r="E829" s="1"/>
      <c r="F829" s="1"/>
      <c r="G829" s="1"/>
      <c r="H829" s="155"/>
      <c r="I829" s="155"/>
      <c r="J829" s="1"/>
      <c r="K829" s="1"/>
      <c r="L829" s="1"/>
      <c r="M829" s="1"/>
    </row>
    <row r="830" ht="14.25" customHeight="1">
      <c r="A830" s="52"/>
      <c r="B830" s="53"/>
      <c r="C830" s="53"/>
      <c r="D830" s="1"/>
      <c r="E830" s="1"/>
      <c r="F830" s="1"/>
      <c r="G830" s="1"/>
      <c r="H830" s="155"/>
      <c r="I830" s="155"/>
      <c r="J830" s="1"/>
      <c r="K830" s="1"/>
      <c r="L830" s="1"/>
      <c r="M830" s="1"/>
    </row>
    <row r="831" ht="14.25" customHeight="1">
      <c r="A831" s="52"/>
      <c r="B831" s="53"/>
      <c r="C831" s="53"/>
      <c r="D831" s="1"/>
      <c r="E831" s="1"/>
      <c r="F831" s="1"/>
      <c r="G831" s="1"/>
      <c r="H831" s="155"/>
      <c r="I831" s="155"/>
      <c r="J831" s="1"/>
      <c r="K831" s="1"/>
      <c r="L831" s="1"/>
      <c r="M831" s="1"/>
    </row>
    <row r="832" ht="14.25" customHeight="1">
      <c r="A832" s="52"/>
      <c r="B832" s="53"/>
      <c r="C832" s="53"/>
      <c r="D832" s="1"/>
      <c r="E832" s="1"/>
      <c r="F832" s="1"/>
      <c r="G832" s="1"/>
      <c r="H832" s="155"/>
      <c r="I832" s="155"/>
      <c r="J832" s="1"/>
      <c r="K832" s="1"/>
      <c r="L832" s="1"/>
      <c r="M832" s="1"/>
    </row>
    <row r="833" ht="14.25" customHeight="1">
      <c r="A833" s="52"/>
      <c r="B833" s="53"/>
      <c r="C833" s="53"/>
      <c r="D833" s="1"/>
      <c r="E833" s="1"/>
      <c r="F833" s="1"/>
      <c r="G833" s="1"/>
      <c r="H833" s="155"/>
      <c r="I833" s="155"/>
      <c r="J833" s="1"/>
      <c r="K833" s="1"/>
      <c r="L833" s="1"/>
      <c r="M833" s="1"/>
    </row>
    <row r="834" ht="14.25" customHeight="1">
      <c r="A834" s="52"/>
      <c r="B834" s="53"/>
      <c r="C834" s="53"/>
      <c r="D834" s="1"/>
      <c r="E834" s="1"/>
      <c r="F834" s="1"/>
      <c r="G834" s="1"/>
      <c r="H834" s="155"/>
      <c r="I834" s="155"/>
      <c r="J834" s="1"/>
      <c r="K834" s="1"/>
      <c r="L834" s="1"/>
      <c r="M834" s="1"/>
    </row>
    <row r="835" ht="14.25" customHeight="1">
      <c r="A835" s="52"/>
      <c r="B835" s="53"/>
      <c r="C835" s="53"/>
      <c r="D835" s="1"/>
      <c r="E835" s="1"/>
      <c r="F835" s="1"/>
      <c r="G835" s="1"/>
      <c r="H835" s="155"/>
      <c r="I835" s="155"/>
      <c r="J835" s="1"/>
      <c r="K835" s="1"/>
      <c r="L835" s="1"/>
      <c r="M835" s="1"/>
    </row>
    <row r="836" ht="14.25" customHeight="1">
      <c r="A836" s="52"/>
      <c r="B836" s="53"/>
      <c r="C836" s="53"/>
      <c r="D836" s="1"/>
      <c r="E836" s="1"/>
      <c r="F836" s="1"/>
      <c r="G836" s="1"/>
      <c r="H836" s="155"/>
      <c r="I836" s="155"/>
      <c r="J836" s="1"/>
      <c r="K836" s="1"/>
      <c r="L836" s="1"/>
      <c r="M836" s="1"/>
    </row>
    <row r="837" ht="14.25" customHeight="1">
      <c r="A837" s="52"/>
      <c r="B837" s="53"/>
      <c r="C837" s="53"/>
      <c r="D837" s="1"/>
      <c r="E837" s="1"/>
      <c r="F837" s="1"/>
      <c r="G837" s="1"/>
      <c r="H837" s="155"/>
      <c r="I837" s="155"/>
      <c r="J837" s="1"/>
      <c r="K837" s="1"/>
      <c r="L837" s="1"/>
      <c r="M837" s="1"/>
    </row>
    <row r="838" ht="14.25" customHeight="1">
      <c r="A838" s="52"/>
      <c r="B838" s="53"/>
      <c r="C838" s="53"/>
      <c r="D838" s="1"/>
      <c r="E838" s="1"/>
      <c r="F838" s="1"/>
      <c r="G838" s="1"/>
      <c r="H838" s="155"/>
      <c r="I838" s="155"/>
      <c r="J838" s="1"/>
      <c r="K838" s="1"/>
      <c r="L838" s="1"/>
      <c r="M838" s="1"/>
    </row>
    <row r="839" ht="14.25" customHeight="1">
      <c r="A839" s="52"/>
      <c r="B839" s="53"/>
      <c r="C839" s="53"/>
      <c r="D839" s="1"/>
      <c r="E839" s="1"/>
      <c r="F839" s="1"/>
      <c r="G839" s="1"/>
      <c r="H839" s="155"/>
      <c r="I839" s="155"/>
      <c r="J839" s="1"/>
      <c r="K839" s="1"/>
      <c r="L839" s="1"/>
      <c r="M839" s="1"/>
    </row>
    <row r="840" ht="14.25" customHeight="1">
      <c r="A840" s="52"/>
      <c r="B840" s="53"/>
      <c r="C840" s="53"/>
      <c r="D840" s="1"/>
      <c r="E840" s="1"/>
      <c r="F840" s="1"/>
      <c r="G840" s="1"/>
      <c r="H840" s="155"/>
      <c r="I840" s="155"/>
      <c r="J840" s="1"/>
      <c r="K840" s="1"/>
      <c r="L840" s="1"/>
      <c r="M840" s="1"/>
    </row>
    <row r="841" ht="14.25" customHeight="1">
      <c r="A841" s="52"/>
      <c r="B841" s="53"/>
      <c r="C841" s="53"/>
      <c r="D841" s="1"/>
      <c r="E841" s="1"/>
      <c r="F841" s="1"/>
      <c r="G841" s="1"/>
      <c r="H841" s="155"/>
      <c r="I841" s="155"/>
      <c r="J841" s="1"/>
      <c r="K841" s="1"/>
      <c r="L841" s="1"/>
      <c r="M841" s="1"/>
    </row>
    <row r="842" ht="14.25" customHeight="1">
      <c r="A842" s="52"/>
      <c r="B842" s="53"/>
      <c r="C842" s="53"/>
      <c r="D842" s="1"/>
      <c r="E842" s="1"/>
      <c r="F842" s="1"/>
      <c r="G842" s="1"/>
      <c r="H842" s="155"/>
      <c r="I842" s="155"/>
      <c r="J842" s="1"/>
      <c r="K842" s="1"/>
      <c r="L842" s="1"/>
      <c r="M842" s="1"/>
    </row>
    <row r="843" ht="14.25" customHeight="1">
      <c r="A843" s="52"/>
      <c r="B843" s="53"/>
      <c r="C843" s="53"/>
      <c r="D843" s="1"/>
      <c r="E843" s="1"/>
      <c r="F843" s="1"/>
      <c r="G843" s="1"/>
      <c r="H843" s="155"/>
      <c r="I843" s="155"/>
      <c r="J843" s="1"/>
      <c r="K843" s="1"/>
      <c r="L843" s="1"/>
      <c r="M843" s="1"/>
    </row>
    <row r="844" ht="14.25" customHeight="1">
      <c r="A844" s="52"/>
      <c r="B844" s="53"/>
      <c r="C844" s="53"/>
      <c r="D844" s="1"/>
      <c r="E844" s="1"/>
      <c r="F844" s="1"/>
      <c r="G844" s="1"/>
      <c r="H844" s="155"/>
      <c r="I844" s="155"/>
      <c r="J844" s="1"/>
      <c r="K844" s="1"/>
      <c r="L844" s="1"/>
      <c r="M844" s="1"/>
    </row>
    <row r="845" ht="14.25" customHeight="1">
      <c r="A845" s="52"/>
      <c r="B845" s="53"/>
      <c r="C845" s="53"/>
      <c r="D845" s="1"/>
      <c r="E845" s="1"/>
      <c r="F845" s="1"/>
      <c r="G845" s="1"/>
      <c r="H845" s="155"/>
      <c r="I845" s="155"/>
      <c r="J845" s="1"/>
      <c r="K845" s="1"/>
      <c r="L845" s="1"/>
      <c r="M845" s="1"/>
    </row>
    <row r="846" ht="14.25" customHeight="1">
      <c r="A846" s="52"/>
      <c r="B846" s="53"/>
      <c r="C846" s="53"/>
      <c r="D846" s="1"/>
      <c r="E846" s="1"/>
      <c r="F846" s="1"/>
      <c r="G846" s="1"/>
      <c r="H846" s="155"/>
      <c r="I846" s="155"/>
      <c r="J846" s="1"/>
      <c r="K846" s="1"/>
      <c r="L846" s="1"/>
      <c r="M846" s="1"/>
    </row>
    <row r="847" ht="14.25" customHeight="1">
      <c r="A847" s="52"/>
      <c r="B847" s="53"/>
      <c r="C847" s="53"/>
      <c r="D847" s="1"/>
      <c r="E847" s="1"/>
      <c r="F847" s="1"/>
      <c r="G847" s="1"/>
      <c r="H847" s="155"/>
      <c r="I847" s="155"/>
      <c r="J847" s="1"/>
      <c r="K847" s="1"/>
      <c r="L847" s="1"/>
      <c r="M847" s="1"/>
    </row>
    <row r="848" ht="14.25" customHeight="1">
      <c r="A848" s="52"/>
      <c r="B848" s="53"/>
      <c r="C848" s="53"/>
      <c r="D848" s="1"/>
      <c r="E848" s="1"/>
      <c r="F848" s="1"/>
      <c r="G848" s="1"/>
      <c r="H848" s="155"/>
      <c r="I848" s="155"/>
      <c r="J848" s="1"/>
      <c r="K848" s="1"/>
      <c r="L848" s="1"/>
      <c r="M848" s="1"/>
    </row>
    <row r="849" ht="14.25" customHeight="1">
      <c r="A849" s="52"/>
      <c r="B849" s="53"/>
      <c r="C849" s="53"/>
      <c r="D849" s="1"/>
      <c r="E849" s="1"/>
      <c r="F849" s="1"/>
      <c r="G849" s="1"/>
      <c r="H849" s="155"/>
      <c r="I849" s="155"/>
      <c r="J849" s="1"/>
      <c r="K849" s="1"/>
      <c r="L849" s="1"/>
      <c r="M849" s="1"/>
    </row>
    <row r="850" ht="14.25" customHeight="1">
      <c r="A850" s="52"/>
      <c r="B850" s="53"/>
      <c r="C850" s="53"/>
      <c r="D850" s="1"/>
      <c r="E850" s="1"/>
      <c r="F850" s="1"/>
      <c r="G850" s="1"/>
      <c r="H850" s="155"/>
      <c r="I850" s="155"/>
      <c r="J850" s="1"/>
      <c r="K850" s="1"/>
      <c r="L850" s="1"/>
      <c r="M850" s="1"/>
    </row>
    <row r="851" ht="14.25" customHeight="1">
      <c r="A851" s="52"/>
      <c r="B851" s="53"/>
      <c r="C851" s="53"/>
      <c r="D851" s="1"/>
      <c r="E851" s="1"/>
      <c r="F851" s="1"/>
      <c r="G851" s="1"/>
      <c r="H851" s="155"/>
      <c r="I851" s="155"/>
      <c r="J851" s="1"/>
      <c r="K851" s="1"/>
      <c r="L851" s="1"/>
      <c r="M851" s="1"/>
    </row>
    <row r="852" ht="14.25" customHeight="1">
      <c r="A852" s="52"/>
      <c r="B852" s="53"/>
      <c r="C852" s="53"/>
      <c r="D852" s="1"/>
      <c r="E852" s="1"/>
      <c r="F852" s="1"/>
      <c r="G852" s="1"/>
      <c r="H852" s="155"/>
      <c r="I852" s="155"/>
      <c r="J852" s="1"/>
      <c r="K852" s="1"/>
      <c r="L852" s="1"/>
      <c r="M852" s="1"/>
    </row>
    <row r="853" ht="14.25" customHeight="1">
      <c r="A853" s="52"/>
      <c r="B853" s="53"/>
      <c r="C853" s="53"/>
      <c r="D853" s="1"/>
      <c r="E853" s="1"/>
      <c r="F853" s="1"/>
      <c r="G853" s="1"/>
      <c r="H853" s="155"/>
      <c r="I853" s="155"/>
      <c r="J853" s="1"/>
      <c r="K853" s="1"/>
      <c r="L853" s="1"/>
      <c r="M853" s="1"/>
    </row>
    <row r="854" ht="14.25" customHeight="1">
      <c r="A854" s="52"/>
      <c r="B854" s="53"/>
      <c r="C854" s="53"/>
      <c r="D854" s="1"/>
      <c r="E854" s="1"/>
      <c r="F854" s="1"/>
      <c r="G854" s="1"/>
      <c r="H854" s="155"/>
      <c r="I854" s="155"/>
      <c r="J854" s="1"/>
      <c r="K854" s="1"/>
      <c r="L854" s="1"/>
      <c r="M854" s="1"/>
    </row>
    <row r="855" ht="14.25" customHeight="1">
      <c r="A855" s="52"/>
      <c r="B855" s="53"/>
      <c r="C855" s="53"/>
      <c r="D855" s="1"/>
      <c r="E855" s="1"/>
      <c r="F855" s="1"/>
      <c r="G855" s="1"/>
      <c r="H855" s="155"/>
      <c r="I855" s="155"/>
      <c r="J855" s="1"/>
      <c r="K855" s="1"/>
      <c r="L855" s="1"/>
      <c r="M855" s="1"/>
    </row>
    <row r="856" ht="14.25" customHeight="1">
      <c r="A856" s="52"/>
      <c r="B856" s="53"/>
      <c r="C856" s="53"/>
      <c r="D856" s="1"/>
      <c r="E856" s="1"/>
      <c r="F856" s="1"/>
      <c r="G856" s="1"/>
      <c r="H856" s="155"/>
      <c r="I856" s="155"/>
      <c r="J856" s="1"/>
      <c r="K856" s="1"/>
      <c r="L856" s="1"/>
      <c r="M856" s="1"/>
    </row>
    <row r="857" ht="14.25" customHeight="1">
      <c r="A857" s="52"/>
      <c r="B857" s="53"/>
      <c r="C857" s="53"/>
      <c r="D857" s="1"/>
      <c r="E857" s="1"/>
      <c r="F857" s="1"/>
      <c r="G857" s="1"/>
      <c r="H857" s="155"/>
      <c r="I857" s="155"/>
      <c r="J857" s="1"/>
      <c r="K857" s="1"/>
      <c r="L857" s="1"/>
      <c r="M857" s="1"/>
    </row>
    <row r="858" ht="14.25" customHeight="1">
      <c r="A858" s="52"/>
      <c r="B858" s="53"/>
      <c r="C858" s="53"/>
      <c r="D858" s="1"/>
      <c r="E858" s="1"/>
      <c r="F858" s="1"/>
      <c r="G858" s="1"/>
      <c r="H858" s="155"/>
      <c r="I858" s="155"/>
      <c r="J858" s="1"/>
      <c r="K858" s="1"/>
      <c r="L858" s="1"/>
      <c r="M858" s="1"/>
    </row>
    <row r="859" ht="14.25" customHeight="1">
      <c r="A859" s="52"/>
      <c r="B859" s="53"/>
      <c r="C859" s="53"/>
      <c r="D859" s="1"/>
      <c r="E859" s="1"/>
      <c r="F859" s="1"/>
      <c r="G859" s="1"/>
      <c r="H859" s="155"/>
      <c r="I859" s="155"/>
      <c r="J859" s="1"/>
      <c r="K859" s="1"/>
      <c r="L859" s="1"/>
      <c r="M859" s="1"/>
    </row>
    <row r="860" ht="14.25" customHeight="1">
      <c r="A860" s="52"/>
      <c r="B860" s="53"/>
      <c r="C860" s="53"/>
      <c r="D860" s="1"/>
      <c r="E860" s="1"/>
      <c r="F860" s="1"/>
      <c r="G860" s="1"/>
      <c r="H860" s="155"/>
      <c r="I860" s="155"/>
      <c r="J860" s="1"/>
      <c r="K860" s="1"/>
      <c r="L860" s="1"/>
      <c r="M860" s="1"/>
    </row>
    <row r="861" ht="14.25" customHeight="1">
      <c r="A861" s="52"/>
      <c r="B861" s="53"/>
      <c r="C861" s="53"/>
      <c r="D861" s="1"/>
      <c r="E861" s="1"/>
      <c r="F861" s="1"/>
      <c r="G861" s="1"/>
      <c r="H861" s="155"/>
      <c r="I861" s="155"/>
      <c r="J861" s="1"/>
      <c r="K861" s="1"/>
      <c r="L861" s="1"/>
      <c r="M861" s="1"/>
    </row>
    <row r="862" ht="14.25" customHeight="1">
      <c r="A862" s="52"/>
      <c r="B862" s="53"/>
      <c r="C862" s="53"/>
      <c r="D862" s="1"/>
      <c r="E862" s="1"/>
      <c r="F862" s="1"/>
      <c r="G862" s="1"/>
      <c r="H862" s="155"/>
      <c r="I862" s="155"/>
      <c r="J862" s="1"/>
      <c r="K862" s="1"/>
      <c r="L862" s="1"/>
      <c r="M862" s="1"/>
    </row>
    <row r="863" ht="14.25" customHeight="1">
      <c r="A863" s="52"/>
      <c r="B863" s="53"/>
      <c r="C863" s="53"/>
      <c r="D863" s="1"/>
      <c r="E863" s="1"/>
      <c r="F863" s="1"/>
      <c r="G863" s="1"/>
      <c r="H863" s="155"/>
      <c r="I863" s="155"/>
      <c r="J863" s="1"/>
      <c r="K863" s="1"/>
      <c r="L863" s="1"/>
      <c r="M863" s="1"/>
    </row>
    <row r="864" ht="14.25" customHeight="1">
      <c r="A864" s="52"/>
      <c r="B864" s="53"/>
      <c r="C864" s="53"/>
      <c r="D864" s="1"/>
      <c r="E864" s="1"/>
      <c r="F864" s="1"/>
      <c r="G864" s="1"/>
      <c r="H864" s="155"/>
      <c r="I864" s="155"/>
      <c r="J864" s="1"/>
      <c r="K864" s="1"/>
      <c r="L864" s="1"/>
      <c r="M864" s="1"/>
    </row>
    <row r="865" ht="14.25" customHeight="1">
      <c r="A865" s="52"/>
      <c r="B865" s="53"/>
      <c r="C865" s="53"/>
      <c r="D865" s="1"/>
      <c r="E865" s="1"/>
      <c r="F865" s="1"/>
      <c r="G865" s="1"/>
      <c r="H865" s="155"/>
      <c r="I865" s="155"/>
      <c r="J865" s="1"/>
      <c r="K865" s="1"/>
      <c r="L865" s="1"/>
      <c r="M865" s="1"/>
    </row>
    <row r="866" ht="14.25" customHeight="1">
      <c r="A866" s="52"/>
      <c r="B866" s="53"/>
      <c r="C866" s="53"/>
      <c r="D866" s="1"/>
      <c r="E866" s="1"/>
      <c r="F866" s="1"/>
      <c r="G866" s="1"/>
      <c r="H866" s="155"/>
      <c r="I866" s="155"/>
      <c r="J866" s="1"/>
      <c r="K866" s="1"/>
      <c r="L866" s="1"/>
      <c r="M866" s="1"/>
    </row>
    <row r="867" ht="14.25" customHeight="1">
      <c r="A867" s="52"/>
      <c r="B867" s="53"/>
      <c r="C867" s="53"/>
      <c r="D867" s="1"/>
      <c r="E867" s="1"/>
      <c r="F867" s="1"/>
      <c r="G867" s="1"/>
      <c r="H867" s="155"/>
      <c r="I867" s="155"/>
      <c r="J867" s="1"/>
      <c r="K867" s="1"/>
      <c r="L867" s="1"/>
      <c r="M867" s="1"/>
    </row>
    <row r="868" ht="14.25" customHeight="1">
      <c r="A868" s="52"/>
      <c r="B868" s="53"/>
      <c r="C868" s="53"/>
      <c r="D868" s="1"/>
      <c r="E868" s="1"/>
      <c r="F868" s="1"/>
      <c r="G868" s="1"/>
      <c r="H868" s="155"/>
      <c r="I868" s="155"/>
      <c r="J868" s="1"/>
      <c r="K868" s="1"/>
      <c r="L868" s="1"/>
      <c r="M868" s="1"/>
    </row>
    <row r="869" ht="14.25" customHeight="1">
      <c r="A869" s="52"/>
      <c r="B869" s="53"/>
      <c r="C869" s="53"/>
      <c r="D869" s="1"/>
      <c r="E869" s="1"/>
      <c r="F869" s="1"/>
      <c r="G869" s="1"/>
      <c r="H869" s="155"/>
      <c r="I869" s="155"/>
      <c r="J869" s="1"/>
      <c r="K869" s="1"/>
      <c r="L869" s="1"/>
      <c r="M869" s="1"/>
    </row>
    <row r="870" ht="14.25" customHeight="1">
      <c r="A870" s="52"/>
      <c r="B870" s="53"/>
      <c r="C870" s="53"/>
      <c r="D870" s="1"/>
      <c r="E870" s="1"/>
      <c r="F870" s="1"/>
      <c r="G870" s="1"/>
      <c r="H870" s="155"/>
      <c r="I870" s="155"/>
      <c r="J870" s="1"/>
      <c r="K870" s="1"/>
      <c r="L870" s="1"/>
      <c r="M870" s="1"/>
    </row>
    <row r="871" ht="14.25" customHeight="1">
      <c r="A871" s="52"/>
      <c r="B871" s="53"/>
      <c r="C871" s="53"/>
      <c r="D871" s="1"/>
      <c r="E871" s="1"/>
      <c r="F871" s="1"/>
      <c r="G871" s="1"/>
      <c r="H871" s="155"/>
      <c r="I871" s="155"/>
      <c r="J871" s="1"/>
      <c r="K871" s="1"/>
      <c r="L871" s="1"/>
      <c r="M871" s="1"/>
    </row>
    <row r="872" ht="14.25" customHeight="1">
      <c r="A872" s="52"/>
      <c r="B872" s="53"/>
      <c r="C872" s="53"/>
      <c r="D872" s="1"/>
      <c r="E872" s="1"/>
      <c r="F872" s="1"/>
      <c r="G872" s="1"/>
      <c r="H872" s="155"/>
      <c r="I872" s="155"/>
      <c r="J872" s="1"/>
      <c r="K872" s="1"/>
      <c r="L872" s="1"/>
      <c r="M872" s="1"/>
    </row>
    <row r="873" ht="14.25" customHeight="1">
      <c r="A873" s="52"/>
      <c r="B873" s="53"/>
      <c r="C873" s="53"/>
      <c r="D873" s="1"/>
      <c r="E873" s="1"/>
      <c r="F873" s="1"/>
      <c r="G873" s="1"/>
      <c r="H873" s="155"/>
      <c r="I873" s="155"/>
      <c r="J873" s="1"/>
      <c r="K873" s="1"/>
      <c r="L873" s="1"/>
      <c r="M873" s="1"/>
    </row>
    <row r="874" ht="14.25" customHeight="1">
      <c r="A874" s="52"/>
      <c r="B874" s="53"/>
      <c r="C874" s="53"/>
      <c r="D874" s="1"/>
      <c r="E874" s="1"/>
      <c r="F874" s="1"/>
      <c r="G874" s="1"/>
      <c r="H874" s="155"/>
      <c r="I874" s="155"/>
      <c r="J874" s="1"/>
      <c r="K874" s="1"/>
      <c r="L874" s="1"/>
      <c r="M874" s="1"/>
    </row>
    <row r="875" ht="14.25" customHeight="1">
      <c r="A875" s="52"/>
      <c r="B875" s="53"/>
      <c r="C875" s="53"/>
      <c r="D875" s="1"/>
      <c r="E875" s="1"/>
      <c r="F875" s="1"/>
      <c r="G875" s="1"/>
      <c r="H875" s="155"/>
      <c r="I875" s="155"/>
      <c r="J875" s="1"/>
      <c r="K875" s="1"/>
      <c r="L875" s="1"/>
      <c r="M875" s="1"/>
    </row>
    <row r="876" ht="14.25" customHeight="1">
      <c r="A876" s="52"/>
      <c r="B876" s="53"/>
      <c r="C876" s="53"/>
      <c r="D876" s="1"/>
      <c r="E876" s="1"/>
      <c r="F876" s="1"/>
      <c r="G876" s="1"/>
      <c r="H876" s="155"/>
      <c r="I876" s="155"/>
      <c r="J876" s="1"/>
      <c r="K876" s="1"/>
      <c r="L876" s="1"/>
      <c r="M876" s="1"/>
    </row>
    <row r="877" ht="14.25" customHeight="1">
      <c r="A877" s="52"/>
      <c r="B877" s="53"/>
      <c r="C877" s="53"/>
      <c r="D877" s="1"/>
      <c r="E877" s="1"/>
      <c r="F877" s="1"/>
      <c r="G877" s="1"/>
      <c r="H877" s="155"/>
      <c r="I877" s="155"/>
      <c r="J877" s="1"/>
      <c r="K877" s="1"/>
      <c r="L877" s="1"/>
      <c r="M877" s="1"/>
    </row>
    <row r="878" ht="14.25" customHeight="1">
      <c r="A878" s="52"/>
      <c r="B878" s="53"/>
      <c r="C878" s="53"/>
      <c r="D878" s="1"/>
      <c r="E878" s="1"/>
      <c r="F878" s="1"/>
      <c r="G878" s="1"/>
      <c r="H878" s="155"/>
      <c r="I878" s="155"/>
      <c r="J878" s="1"/>
      <c r="K878" s="1"/>
      <c r="L878" s="1"/>
      <c r="M878" s="1"/>
    </row>
    <row r="879" ht="14.25" customHeight="1">
      <c r="A879" s="52"/>
      <c r="B879" s="53"/>
      <c r="C879" s="53"/>
      <c r="D879" s="1"/>
      <c r="E879" s="1"/>
      <c r="F879" s="1"/>
      <c r="G879" s="1"/>
      <c r="H879" s="155"/>
      <c r="I879" s="155"/>
      <c r="J879" s="1"/>
      <c r="K879" s="1"/>
      <c r="L879" s="1"/>
      <c r="M879" s="1"/>
    </row>
    <row r="880" ht="14.25" customHeight="1">
      <c r="A880" s="52"/>
      <c r="B880" s="53"/>
      <c r="C880" s="53"/>
      <c r="D880" s="1"/>
      <c r="E880" s="1"/>
      <c r="F880" s="1"/>
      <c r="G880" s="1"/>
      <c r="H880" s="155"/>
      <c r="I880" s="155"/>
      <c r="J880" s="1"/>
      <c r="K880" s="1"/>
      <c r="L880" s="1"/>
      <c r="M880" s="1"/>
    </row>
    <row r="881" ht="14.25" customHeight="1">
      <c r="A881" s="52"/>
      <c r="B881" s="53"/>
      <c r="C881" s="53"/>
      <c r="D881" s="1"/>
      <c r="E881" s="1"/>
      <c r="F881" s="1"/>
      <c r="G881" s="1"/>
      <c r="H881" s="155"/>
      <c r="I881" s="155"/>
      <c r="J881" s="1"/>
      <c r="K881" s="1"/>
      <c r="L881" s="1"/>
      <c r="M881" s="1"/>
    </row>
    <row r="882" ht="14.25" customHeight="1">
      <c r="A882" s="52"/>
      <c r="B882" s="53"/>
      <c r="C882" s="53"/>
      <c r="D882" s="1"/>
      <c r="E882" s="1"/>
      <c r="F882" s="1"/>
      <c r="G882" s="1"/>
      <c r="H882" s="155"/>
      <c r="I882" s="155"/>
      <c r="J882" s="1"/>
      <c r="K882" s="1"/>
      <c r="L882" s="1"/>
      <c r="M882" s="1"/>
    </row>
    <row r="883" ht="14.25" customHeight="1">
      <c r="A883" s="52"/>
      <c r="B883" s="53"/>
      <c r="C883" s="53"/>
      <c r="D883" s="1"/>
      <c r="E883" s="1"/>
      <c r="F883" s="1"/>
      <c r="G883" s="1"/>
      <c r="H883" s="155"/>
      <c r="I883" s="155"/>
      <c r="J883" s="1"/>
      <c r="K883" s="1"/>
      <c r="L883" s="1"/>
      <c r="M883" s="1"/>
    </row>
    <row r="884" ht="14.25" customHeight="1">
      <c r="A884" s="52"/>
      <c r="B884" s="53"/>
      <c r="C884" s="53"/>
      <c r="D884" s="1"/>
      <c r="E884" s="1"/>
      <c r="F884" s="1"/>
      <c r="G884" s="1"/>
      <c r="H884" s="155"/>
      <c r="I884" s="155"/>
      <c r="J884" s="1"/>
      <c r="K884" s="1"/>
      <c r="L884" s="1"/>
      <c r="M884" s="1"/>
    </row>
    <row r="885" ht="14.25" customHeight="1">
      <c r="A885" s="52"/>
      <c r="B885" s="53"/>
      <c r="C885" s="53"/>
      <c r="D885" s="1"/>
      <c r="E885" s="1"/>
      <c r="F885" s="1"/>
      <c r="G885" s="1"/>
      <c r="H885" s="155"/>
      <c r="I885" s="155"/>
      <c r="J885" s="1"/>
      <c r="K885" s="1"/>
      <c r="L885" s="1"/>
      <c r="M885" s="1"/>
    </row>
    <row r="886" ht="14.25" customHeight="1">
      <c r="A886" s="52"/>
      <c r="B886" s="53"/>
      <c r="C886" s="53"/>
      <c r="D886" s="1"/>
      <c r="E886" s="1"/>
      <c r="F886" s="1"/>
      <c r="G886" s="1"/>
      <c r="H886" s="155"/>
      <c r="I886" s="155"/>
      <c r="J886" s="1"/>
      <c r="K886" s="1"/>
      <c r="L886" s="1"/>
      <c r="M886" s="1"/>
    </row>
    <row r="887" ht="14.25" customHeight="1">
      <c r="A887" s="52"/>
      <c r="B887" s="53"/>
      <c r="C887" s="53"/>
      <c r="D887" s="1"/>
      <c r="E887" s="1"/>
      <c r="F887" s="1"/>
      <c r="G887" s="1"/>
      <c r="H887" s="155"/>
      <c r="I887" s="155"/>
      <c r="J887" s="1"/>
      <c r="K887" s="1"/>
      <c r="L887" s="1"/>
      <c r="M887" s="1"/>
    </row>
    <row r="888" ht="14.25" customHeight="1">
      <c r="A888" s="52"/>
      <c r="B888" s="53"/>
      <c r="C888" s="53"/>
      <c r="D888" s="1"/>
      <c r="E888" s="1"/>
      <c r="F888" s="1"/>
      <c r="G888" s="1"/>
      <c r="H888" s="155"/>
      <c r="I888" s="155"/>
      <c r="J888" s="1"/>
      <c r="K888" s="1"/>
      <c r="L888" s="1"/>
      <c r="M888" s="1"/>
    </row>
    <row r="889" ht="14.25" customHeight="1">
      <c r="A889" s="52"/>
      <c r="B889" s="53"/>
      <c r="C889" s="53"/>
      <c r="D889" s="1"/>
      <c r="E889" s="1"/>
      <c r="F889" s="1"/>
      <c r="G889" s="1"/>
      <c r="H889" s="155"/>
      <c r="I889" s="155"/>
      <c r="J889" s="1"/>
      <c r="K889" s="1"/>
      <c r="L889" s="1"/>
      <c r="M889" s="1"/>
    </row>
    <row r="890" ht="14.25" customHeight="1">
      <c r="A890" s="52"/>
      <c r="B890" s="53"/>
      <c r="C890" s="53"/>
      <c r="D890" s="1"/>
      <c r="E890" s="1"/>
      <c r="F890" s="1"/>
      <c r="G890" s="1"/>
      <c r="H890" s="155"/>
      <c r="I890" s="155"/>
      <c r="J890" s="1"/>
      <c r="K890" s="1"/>
      <c r="L890" s="1"/>
      <c r="M890" s="1"/>
    </row>
    <row r="891" ht="14.25" customHeight="1">
      <c r="A891" s="52"/>
      <c r="B891" s="53"/>
      <c r="C891" s="53"/>
      <c r="D891" s="1"/>
      <c r="E891" s="1"/>
      <c r="F891" s="1"/>
      <c r="G891" s="1"/>
      <c r="H891" s="155"/>
      <c r="I891" s="155"/>
      <c r="J891" s="1"/>
      <c r="K891" s="1"/>
      <c r="L891" s="1"/>
      <c r="M891" s="1"/>
    </row>
    <row r="892" ht="14.25" customHeight="1">
      <c r="A892" s="52"/>
      <c r="B892" s="53"/>
      <c r="C892" s="53"/>
      <c r="D892" s="1"/>
      <c r="E892" s="1"/>
      <c r="F892" s="1"/>
      <c r="G892" s="1"/>
      <c r="H892" s="155"/>
      <c r="I892" s="155"/>
      <c r="J892" s="1"/>
      <c r="K892" s="1"/>
      <c r="L892" s="1"/>
      <c r="M892" s="1"/>
    </row>
    <row r="893" ht="14.25" customHeight="1">
      <c r="A893" s="52"/>
      <c r="B893" s="53"/>
      <c r="C893" s="53"/>
      <c r="D893" s="1"/>
      <c r="E893" s="1"/>
      <c r="F893" s="1"/>
      <c r="G893" s="1"/>
      <c r="H893" s="155"/>
      <c r="I893" s="155"/>
      <c r="J893" s="1"/>
      <c r="K893" s="1"/>
      <c r="L893" s="1"/>
      <c r="M893" s="1"/>
    </row>
    <row r="894" ht="14.25" customHeight="1">
      <c r="A894" s="52"/>
      <c r="B894" s="53"/>
      <c r="C894" s="53"/>
      <c r="D894" s="1"/>
      <c r="E894" s="1"/>
      <c r="F894" s="1"/>
      <c r="G894" s="1"/>
      <c r="H894" s="155"/>
      <c r="I894" s="155"/>
      <c r="J894" s="1"/>
      <c r="K894" s="1"/>
      <c r="L894" s="1"/>
      <c r="M894" s="1"/>
    </row>
    <row r="895" ht="14.25" customHeight="1">
      <c r="A895" s="52"/>
      <c r="B895" s="53"/>
      <c r="C895" s="53"/>
      <c r="D895" s="1"/>
      <c r="E895" s="1"/>
      <c r="F895" s="1"/>
      <c r="G895" s="1"/>
      <c r="H895" s="155"/>
      <c r="I895" s="155"/>
      <c r="J895" s="1"/>
      <c r="K895" s="1"/>
      <c r="L895" s="1"/>
      <c r="M895" s="1"/>
    </row>
    <row r="896" ht="14.25" customHeight="1">
      <c r="A896" s="52"/>
      <c r="B896" s="53"/>
      <c r="C896" s="53"/>
      <c r="D896" s="1"/>
      <c r="E896" s="1"/>
      <c r="F896" s="1"/>
      <c r="G896" s="1"/>
      <c r="H896" s="155"/>
      <c r="I896" s="155"/>
      <c r="J896" s="1"/>
      <c r="K896" s="1"/>
      <c r="L896" s="1"/>
      <c r="M896" s="1"/>
    </row>
    <row r="897" ht="14.25" customHeight="1">
      <c r="A897" s="52"/>
      <c r="B897" s="53"/>
      <c r="C897" s="53"/>
      <c r="D897" s="1"/>
      <c r="E897" s="1"/>
      <c r="F897" s="1"/>
      <c r="G897" s="1"/>
      <c r="H897" s="155"/>
      <c r="I897" s="155"/>
      <c r="J897" s="1"/>
      <c r="K897" s="1"/>
      <c r="L897" s="1"/>
      <c r="M897" s="1"/>
    </row>
    <row r="898" ht="14.25" customHeight="1">
      <c r="A898" s="52"/>
      <c r="B898" s="53"/>
      <c r="C898" s="53"/>
      <c r="D898" s="1"/>
      <c r="E898" s="1"/>
      <c r="F898" s="1"/>
      <c r="G898" s="1"/>
      <c r="H898" s="155"/>
      <c r="I898" s="155"/>
      <c r="J898" s="1"/>
      <c r="K898" s="1"/>
      <c r="L898" s="1"/>
      <c r="M898" s="1"/>
    </row>
    <row r="899" ht="14.25" customHeight="1">
      <c r="A899" s="52"/>
      <c r="B899" s="53"/>
      <c r="C899" s="53"/>
      <c r="D899" s="1"/>
      <c r="E899" s="1"/>
      <c r="F899" s="1"/>
      <c r="G899" s="1"/>
      <c r="H899" s="155"/>
      <c r="I899" s="155"/>
      <c r="J899" s="1"/>
      <c r="K899" s="1"/>
      <c r="L899" s="1"/>
      <c r="M899" s="1"/>
    </row>
    <row r="900" ht="14.25" customHeight="1">
      <c r="A900" s="52"/>
      <c r="B900" s="53"/>
      <c r="C900" s="53"/>
      <c r="D900" s="1"/>
      <c r="E900" s="1"/>
      <c r="F900" s="1"/>
      <c r="G900" s="1"/>
      <c r="H900" s="155"/>
      <c r="I900" s="155"/>
      <c r="J900" s="1"/>
      <c r="K900" s="1"/>
      <c r="L900" s="1"/>
      <c r="M900" s="1"/>
    </row>
    <row r="901" ht="14.25" customHeight="1">
      <c r="A901" s="52"/>
      <c r="B901" s="53"/>
      <c r="C901" s="53"/>
      <c r="D901" s="1"/>
      <c r="E901" s="1"/>
      <c r="F901" s="1"/>
      <c r="G901" s="1"/>
      <c r="H901" s="155"/>
      <c r="I901" s="155"/>
      <c r="J901" s="1"/>
      <c r="K901" s="1"/>
      <c r="L901" s="1"/>
      <c r="M901" s="1"/>
    </row>
    <row r="902" ht="14.25" customHeight="1">
      <c r="A902" s="52"/>
      <c r="B902" s="53"/>
      <c r="C902" s="53"/>
      <c r="D902" s="1"/>
      <c r="E902" s="1"/>
      <c r="F902" s="1"/>
      <c r="G902" s="1"/>
      <c r="H902" s="155"/>
      <c r="I902" s="155"/>
      <c r="J902" s="1"/>
      <c r="K902" s="1"/>
      <c r="L902" s="1"/>
      <c r="M902" s="1"/>
    </row>
    <row r="903" ht="14.25" customHeight="1">
      <c r="A903" s="52"/>
      <c r="B903" s="53"/>
      <c r="C903" s="53"/>
      <c r="D903" s="1"/>
      <c r="E903" s="1"/>
      <c r="F903" s="1"/>
      <c r="G903" s="1"/>
      <c r="H903" s="155"/>
      <c r="I903" s="155"/>
      <c r="J903" s="1"/>
      <c r="K903" s="1"/>
      <c r="L903" s="1"/>
      <c r="M903" s="1"/>
    </row>
    <row r="904" ht="14.25" customHeight="1">
      <c r="A904" s="52"/>
      <c r="B904" s="53"/>
      <c r="C904" s="53"/>
      <c r="D904" s="1"/>
      <c r="E904" s="1"/>
      <c r="F904" s="1"/>
      <c r="G904" s="1"/>
      <c r="H904" s="155"/>
      <c r="I904" s="155"/>
      <c r="J904" s="1"/>
      <c r="K904" s="1"/>
      <c r="L904" s="1"/>
      <c r="M904" s="1"/>
    </row>
    <row r="905" ht="14.25" customHeight="1">
      <c r="A905" s="52"/>
      <c r="B905" s="53"/>
      <c r="C905" s="53"/>
      <c r="D905" s="1"/>
      <c r="E905" s="1"/>
      <c r="F905" s="1"/>
      <c r="G905" s="1"/>
      <c r="H905" s="155"/>
      <c r="I905" s="155"/>
      <c r="J905" s="1"/>
      <c r="K905" s="1"/>
      <c r="L905" s="1"/>
      <c r="M905" s="1"/>
    </row>
    <row r="906" ht="14.25" customHeight="1">
      <c r="A906" s="52"/>
      <c r="B906" s="53"/>
      <c r="C906" s="53"/>
      <c r="D906" s="1"/>
      <c r="E906" s="1"/>
      <c r="F906" s="1"/>
      <c r="G906" s="1"/>
      <c r="H906" s="155"/>
      <c r="I906" s="155"/>
      <c r="J906" s="1"/>
      <c r="K906" s="1"/>
      <c r="L906" s="1"/>
      <c r="M906" s="1"/>
    </row>
    <row r="907" ht="14.25" customHeight="1">
      <c r="A907" s="52"/>
      <c r="B907" s="53"/>
      <c r="C907" s="53"/>
      <c r="D907" s="1"/>
      <c r="E907" s="1"/>
      <c r="F907" s="1"/>
      <c r="G907" s="1"/>
      <c r="H907" s="155"/>
      <c r="I907" s="155"/>
      <c r="J907" s="1"/>
      <c r="K907" s="1"/>
      <c r="L907" s="1"/>
      <c r="M907" s="1"/>
    </row>
    <row r="908" ht="14.25" customHeight="1">
      <c r="A908" s="52"/>
      <c r="B908" s="53"/>
      <c r="C908" s="53"/>
      <c r="D908" s="1"/>
      <c r="E908" s="1"/>
      <c r="F908" s="1"/>
      <c r="G908" s="1"/>
      <c r="H908" s="155"/>
      <c r="I908" s="155"/>
      <c r="J908" s="1"/>
      <c r="K908" s="1"/>
      <c r="L908" s="1"/>
      <c r="M908" s="1"/>
    </row>
    <row r="909" ht="14.25" customHeight="1">
      <c r="A909" s="52"/>
      <c r="B909" s="53"/>
      <c r="C909" s="53"/>
      <c r="D909" s="1"/>
      <c r="E909" s="1"/>
      <c r="F909" s="1"/>
      <c r="G909" s="1"/>
      <c r="H909" s="155"/>
      <c r="I909" s="155"/>
      <c r="J909" s="1"/>
      <c r="K909" s="1"/>
      <c r="L909" s="1"/>
      <c r="M909" s="1"/>
    </row>
    <row r="910" ht="14.25" customHeight="1">
      <c r="A910" s="52"/>
      <c r="B910" s="53"/>
      <c r="C910" s="53"/>
      <c r="D910" s="1"/>
      <c r="E910" s="1"/>
      <c r="F910" s="1"/>
      <c r="G910" s="1"/>
      <c r="H910" s="155"/>
      <c r="I910" s="155"/>
      <c r="J910" s="1"/>
      <c r="K910" s="1"/>
      <c r="L910" s="1"/>
      <c r="M910" s="1"/>
    </row>
    <row r="911" ht="14.25" customHeight="1">
      <c r="A911" s="52"/>
      <c r="B911" s="53"/>
      <c r="C911" s="53"/>
      <c r="D911" s="1"/>
      <c r="E911" s="1"/>
      <c r="F911" s="1"/>
      <c r="G911" s="1"/>
      <c r="H911" s="155"/>
      <c r="I911" s="155"/>
      <c r="J911" s="1"/>
      <c r="K911" s="1"/>
      <c r="L911" s="1"/>
      <c r="M911" s="1"/>
    </row>
    <row r="912" ht="14.25" customHeight="1">
      <c r="A912" s="52"/>
      <c r="B912" s="53"/>
      <c r="C912" s="53"/>
      <c r="D912" s="1"/>
      <c r="E912" s="1"/>
      <c r="F912" s="1"/>
      <c r="G912" s="1"/>
      <c r="H912" s="155"/>
      <c r="I912" s="155"/>
      <c r="J912" s="1"/>
      <c r="K912" s="1"/>
      <c r="L912" s="1"/>
      <c r="M912" s="1"/>
    </row>
    <row r="913" ht="14.25" customHeight="1">
      <c r="A913" s="52"/>
      <c r="B913" s="53"/>
      <c r="C913" s="53"/>
      <c r="D913" s="1"/>
      <c r="E913" s="1"/>
      <c r="F913" s="1"/>
      <c r="G913" s="1"/>
      <c r="H913" s="155"/>
      <c r="I913" s="155"/>
      <c r="J913" s="1"/>
      <c r="K913" s="1"/>
      <c r="L913" s="1"/>
      <c r="M913" s="1"/>
    </row>
    <row r="914" ht="14.25" customHeight="1">
      <c r="A914" s="52"/>
      <c r="B914" s="53"/>
      <c r="C914" s="53"/>
      <c r="D914" s="1"/>
      <c r="E914" s="1"/>
      <c r="F914" s="1"/>
      <c r="G914" s="1"/>
      <c r="H914" s="155"/>
      <c r="I914" s="155"/>
      <c r="J914" s="1"/>
      <c r="K914" s="1"/>
      <c r="L914" s="1"/>
      <c r="M914" s="1"/>
    </row>
    <row r="915" ht="14.25" customHeight="1">
      <c r="A915" s="52"/>
      <c r="B915" s="53"/>
      <c r="C915" s="53"/>
      <c r="D915" s="1"/>
      <c r="E915" s="1"/>
      <c r="F915" s="1"/>
      <c r="G915" s="1"/>
      <c r="H915" s="155"/>
      <c r="I915" s="155"/>
      <c r="J915" s="1"/>
      <c r="K915" s="1"/>
      <c r="L915" s="1"/>
      <c r="M915" s="1"/>
    </row>
    <row r="916" ht="14.25" customHeight="1">
      <c r="A916" s="52"/>
      <c r="B916" s="53"/>
      <c r="C916" s="53"/>
      <c r="D916" s="1"/>
      <c r="E916" s="1"/>
      <c r="F916" s="1"/>
      <c r="G916" s="1"/>
      <c r="H916" s="155"/>
      <c r="I916" s="155"/>
      <c r="J916" s="1"/>
      <c r="K916" s="1"/>
      <c r="L916" s="1"/>
      <c r="M916" s="1"/>
    </row>
    <row r="917" ht="14.25" customHeight="1">
      <c r="A917" s="52"/>
      <c r="B917" s="53"/>
      <c r="C917" s="53"/>
      <c r="D917" s="1"/>
      <c r="E917" s="1"/>
      <c r="F917" s="1"/>
      <c r="G917" s="1"/>
      <c r="H917" s="155"/>
      <c r="I917" s="155"/>
      <c r="J917" s="1"/>
      <c r="K917" s="1"/>
      <c r="L917" s="1"/>
      <c r="M917" s="1"/>
    </row>
    <row r="918" ht="14.25" customHeight="1">
      <c r="A918" s="52"/>
      <c r="B918" s="53"/>
      <c r="C918" s="53"/>
      <c r="D918" s="1"/>
      <c r="E918" s="1"/>
      <c r="F918" s="1"/>
      <c r="G918" s="1"/>
      <c r="H918" s="155"/>
      <c r="I918" s="155"/>
      <c r="J918" s="1"/>
      <c r="K918" s="1"/>
      <c r="L918" s="1"/>
      <c r="M918" s="1"/>
    </row>
    <row r="919" ht="14.25" customHeight="1">
      <c r="A919" s="52"/>
      <c r="B919" s="53"/>
      <c r="C919" s="53"/>
      <c r="D919" s="1"/>
      <c r="E919" s="1"/>
      <c r="F919" s="1"/>
      <c r="G919" s="1"/>
      <c r="H919" s="155"/>
      <c r="I919" s="155"/>
      <c r="J919" s="1"/>
      <c r="K919" s="1"/>
      <c r="L919" s="1"/>
      <c r="M919" s="1"/>
    </row>
    <row r="920" ht="14.25" customHeight="1">
      <c r="A920" s="52"/>
      <c r="B920" s="53"/>
      <c r="C920" s="53"/>
      <c r="D920" s="1"/>
      <c r="E920" s="1"/>
      <c r="F920" s="1"/>
      <c r="G920" s="1"/>
      <c r="H920" s="155"/>
      <c r="I920" s="155"/>
      <c r="J920" s="1"/>
      <c r="K920" s="1"/>
      <c r="L920" s="1"/>
      <c r="M920" s="1"/>
    </row>
    <row r="921" ht="14.25" customHeight="1">
      <c r="A921" s="52"/>
      <c r="B921" s="53"/>
      <c r="C921" s="53"/>
      <c r="D921" s="1"/>
      <c r="E921" s="1"/>
      <c r="F921" s="1"/>
      <c r="G921" s="1"/>
      <c r="H921" s="155"/>
      <c r="I921" s="155"/>
      <c r="J921" s="1"/>
      <c r="K921" s="1"/>
      <c r="L921" s="1"/>
      <c r="M921" s="1"/>
    </row>
    <row r="922" ht="14.25" customHeight="1">
      <c r="A922" s="52"/>
      <c r="B922" s="53"/>
      <c r="C922" s="53"/>
      <c r="D922" s="1"/>
      <c r="E922" s="1"/>
      <c r="F922" s="1"/>
      <c r="G922" s="1"/>
      <c r="H922" s="155"/>
      <c r="I922" s="155"/>
      <c r="J922" s="1"/>
      <c r="K922" s="1"/>
      <c r="L922" s="1"/>
      <c r="M922" s="1"/>
    </row>
    <row r="923" ht="14.25" customHeight="1">
      <c r="A923" s="52"/>
      <c r="B923" s="53"/>
      <c r="C923" s="53"/>
      <c r="D923" s="1"/>
      <c r="E923" s="1"/>
      <c r="F923" s="1"/>
      <c r="G923" s="1"/>
      <c r="H923" s="155"/>
      <c r="I923" s="155"/>
      <c r="J923" s="1"/>
      <c r="K923" s="1"/>
      <c r="L923" s="1"/>
      <c r="M923" s="1"/>
    </row>
    <row r="924" ht="14.25" customHeight="1">
      <c r="A924" s="52"/>
      <c r="B924" s="53"/>
      <c r="C924" s="53"/>
      <c r="D924" s="1"/>
      <c r="E924" s="1"/>
      <c r="F924" s="1"/>
      <c r="G924" s="1"/>
      <c r="H924" s="155"/>
      <c r="I924" s="155"/>
      <c r="J924" s="1"/>
      <c r="K924" s="1"/>
      <c r="L924" s="1"/>
      <c r="M924" s="1"/>
    </row>
    <row r="925" ht="14.25" customHeight="1">
      <c r="A925" s="52"/>
      <c r="B925" s="53"/>
      <c r="C925" s="53"/>
      <c r="D925" s="1"/>
      <c r="E925" s="1"/>
      <c r="F925" s="1"/>
      <c r="G925" s="1"/>
      <c r="H925" s="155"/>
      <c r="I925" s="155"/>
      <c r="J925" s="1"/>
      <c r="K925" s="1"/>
      <c r="L925" s="1"/>
      <c r="M925" s="1"/>
    </row>
    <row r="926" ht="14.25" customHeight="1">
      <c r="A926" s="52"/>
      <c r="B926" s="53"/>
      <c r="C926" s="53"/>
      <c r="D926" s="1"/>
      <c r="E926" s="1"/>
      <c r="F926" s="1"/>
      <c r="G926" s="1"/>
      <c r="H926" s="155"/>
      <c r="I926" s="155"/>
      <c r="J926" s="1"/>
      <c r="K926" s="1"/>
      <c r="L926" s="1"/>
      <c r="M926" s="1"/>
    </row>
    <row r="927" ht="14.25" customHeight="1">
      <c r="A927" s="52"/>
      <c r="B927" s="53"/>
      <c r="C927" s="53"/>
      <c r="D927" s="1"/>
      <c r="E927" s="1"/>
      <c r="F927" s="1"/>
      <c r="G927" s="1"/>
      <c r="H927" s="155"/>
      <c r="I927" s="155"/>
      <c r="J927" s="1"/>
      <c r="K927" s="1"/>
      <c r="L927" s="1"/>
      <c r="M927" s="1"/>
    </row>
    <row r="928" ht="14.25" customHeight="1">
      <c r="A928" s="52"/>
      <c r="B928" s="53"/>
      <c r="C928" s="53"/>
      <c r="D928" s="1"/>
      <c r="E928" s="1"/>
      <c r="F928" s="1"/>
      <c r="G928" s="1"/>
      <c r="H928" s="155"/>
      <c r="I928" s="155"/>
      <c r="J928" s="1"/>
      <c r="K928" s="1"/>
      <c r="L928" s="1"/>
      <c r="M928" s="1"/>
    </row>
    <row r="929" ht="14.25" customHeight="1">
      <c r="A929" s="52"/>
      <c r="B929" s="53"/>
      <c r="C929" s="53"/>
      <c r="D929" s="1"/>
      <c r="E929" s="1"/>
      <c r="F929" s="1"/>
      <c r="G929" s="1"/>
      <c r="H929" s="155"/>
      <c r="I929" s="155"/>
      <c r="J929" s="1"/>
      <c r="K929" s="1"/>
      <c r="L929" s="1"/>
      <c r="M929" s="1"/>
    </row>
    <row r="930" ht="14.25" customHeight="1">
      <c r="A930" s="52"/>
      <c r="B930" s="53"/>
      <c r="C930" s="53"/>
      <c r="D930" s="1"/>
      <c r="E930" s="1"/>
      <c r="F930" s="1"/>
      <c r="G930" s="1"/>
      <c r="H930" s="155"/>
      <c r="I930" s="155"/>
      <c r="J930" s="1"/>
      <c r="K930" s="1"/>
      <c r="L930" s="1"/>
      <c r="M930" s="1"/>
    </row>
    <row r="931" ht="14.25" customHeight="1">
      <c r="A931" s="52"/>
      <c r="B931" s="53"/>
      <c r="C931" s="53"/>
      <c r="D931" s="1"/>
      <c r="E931" s="1"/>
      <c r="F931" s="1"/>
      <c r="G931" s="1"/>
      <c r="H931" s="155"/>
      <c r="I931" s="155"/>
      <c r="J931" s="1"/>
      <c r="K931" s="1"/>
      <c r="L931" s="1"/>
      <c r="M931" s="1"/>
    </row>
    <row r="932" ht="14.25" customHeight="1">
      <c r="A932" s="52"/>
      <c r="B932" s="53"/>
      <c r="C932" s="53"/>
      <c r="D932" s="1"/>
      <c r="E932" s="1"/>
      <c r="F932" s="1"/>
      <c r="G932" s="1"/>
      <c r="H932" s="155"/>
      <c r="I932" s="155"/>
      <c r="J932" s="1"/>
      <c r="K932" s="1"/>
      <c r="L932" s="1"/>
      <c r="M932" s="1"/>
    </row>
    <row r="933" ht="14.25" customHeight="1">
      <c r="A933" s="52"/>
      <c r="B933" s="53"/>
      <c r="C933" s="53"/>
      <c r="D933" s="1"/>
      <c r="E933" s="1"/>
      <c r="F933" s="1"/>
      <c r="G933" s="1"/>
      <c r="H933" s="155"/>
      <c r="I933" s="155"/>
      <c r="J933" s="1"/>
      <c r="K933" s="1"/>
      <c r="L933" s="1"/>
      <c r="M933" s="1"/>
    </row>
    <row r="934" ht="14.25" customHeight="1">
      <c r="A934" s="52"/>
      <c r="B934" s="53"/>
      <c r="C934" s="53"/>
      <c r="D934" s="1"/>
      <c r="E934" s="1"/>
      <c r="F934" s="1"/>
      <c r="G934" s="1"/>
      <c r="H934" s="155"/>
      <c r="I934" s="155"/>
      <c r="J934" s="1"/>
      <c r="K934" s="1"/>
      <c r="L934" s="1"/>
      <c r="M934" s="1"/>
    </row>
    <row r="935" ht="14.25" customHeight="1">
      <c r="A935" s="52"/>
      <c r="B935" s="53"/>
      <c r="C935" s="53"/>
      <c r="D935" s="1"/>
      <c r="E935" s="1"/>
      <c r="F935" s="1"/>
      <c r="G935" s="1"/>
      <c r="H935" s="155"/>
      <c r="I935" s="155"/>
      <c r="J935" s="1"/>
      <c r="K935" s="1"/>
      <c r="L935" s="1"/>
      <c r="M935" s="1"/>
    </row>
    <row r="936" ht="14.25" customHeight="1">
      <c r="A936" s="52"/>
      <c r="B936" s="53"/>
      <c r="C936" s="53"/>
      <c r="D936" s="1"/>
      <c r="E936" s="1"/>
      <c r="F936" s="1"/>
      <c r="G936" s="1"/>
      <c r="H936" s="155"/>
      <c r="I936" s="155"/>
      <c r="J936" s="1"/>
      <c r="K936" s="1"/>
      <c r="L936" s="1"/>
      <c r="M936" s="1"/>
    </row>
    <row r="937" ht="14.25" customHeight="1">
      <c r="A937" s="52"/>
      <c r="B937" s="53"/>
      <c r="C937" s="53"/>
      <c r="D937" s="1"/>
      <c r="E937" s="1"/>
      <c r="F937" s="1"/>
      <c r="G937" s="1"/>
      <c r="H937" s="155"/>
      <c r="I937" s="155"/>
      <c r="J937" s="1"/>
      <c r="K937" s="1"/>
      <c r="L937" s="1"/>
      <c r="M937" s="1"/>
    </row>
    <row r="938" ht="14.25" customHeight="1">
      <c r="A938" s="52"/>
      <c r="B938" s="53"/>
      <c r="C938" s="53"/>
      <c r="D938" s="1"/>
      <c r="E938" s="1"/>
      <c r="F938" s="1"/>
      <c r="G938" s="1"/>
      <c r="H938" s="155"/>
      <c r="I938" s="155"/>
      <c r="J938" s="1"/>
      <c r="K938" s="1"/>
      <c r="L938" s="1"/>
      <c r="M938" s="1"/>
    </row>
    <row r="939" ht="14.25" customHeight="1">
      <c r="A939" s="52"/>
      <c r="B939" s="53"/>
      <c r="C939" s="53"/>
      <c r="D939" s="1"/>
      <c r="E939" s="1"/>
      <c r="F939" s="1"/>
      <c r="G939" s="1"/>
      <c r="H939" s="155"/>
      <c r="I939" s="155"/>
      <c r="J939" s="1"/>
      <c r="K939" s="1"/>
      <c r="L939" s="1"/>
      <c r="M939" s="1"/>
    </row>
    <row r="940" ht="14.25" customHeight="1">
      <c r="A940" s="52"/>
      <c r="B940" s="53"/>
      <c r="C940" s="53"/>
      <c r="D940" s="1"/>
      <c r="E940" s="1"/>
      <c r="F940" s="1"/>
      <c r="G940" s="1"/>
      <c r="H940" s="155"/>
      <c r="I940" s="155"/>
      <c r="J940" s="1"/>
      <c r="K940" s="1"/>
      <c r="L940" s="1"/>
      <c r="M940" s="1"/>
    </row>
    <row r="941" ht="14.25" customHeight="1">
      <c r="A941" s="52"/>
      <c r="B941" s="53"/>
      <c r="C941" s="53"/>
      <c r="D941" s="1"/>
      <c r="E941" s="1"/>
      <c r="F941" s="1"/>
      <c r="G941" s="1"/>
      <c r="H941" s="155"/>
      <c r="I941" s="155"/>
      <c r="J941" s="1"/>
      <c r="K941" s="1"/>
      <c r="L941" s="1"/>
      <c r="M941" s="1"/>
    </row>
    <row r="942" ht="14.25" customHeight="1">
      <c r="A942" s="52"/>
      <c r="B942" s="53"/>
      <c r="C942" s="53"/>
      <c r="D942" s="1"/>
      <c r="E942" s="1"/>
      <c r="F942" s="1"/>
      <c r="G942" s="1"/>
      <c r="H942" s="155"/>
      <c r="I942" s="155"/>
      <c r="J942" s="1"/>
      <c r="K942" s="1"/>
      <c r="L942" s="1"/>
      <c r="M942" s="1"/>
    </row>
    <row r="943" ht="14.25" customHeight="1">
      <c r="A943" s="52"/>
      <c r="B943" s="53"/>
      <c r="C943" s="53"/>
      <c r="D943" s="1"/>
      <c r="E943" s="1"/>
      <c r="F943" s="1"/>
      <c r="G943" s="1"/>
      <c r="H943" s="155"/>
      <c r="I943" s="155"/>
      <c r="J943" s="1"/>
      <c r="K943" s="1"/>
      <c r="L943" s="1"/>
      <c r="M943" s="1"/>
    </row>
    <row r="944" ht="14.25" customHeight="1">
      <c r="A944" s="52"/>
      <c r="B944" s="53"/>
      <c r="C944" s="53"/>
      <c r="D944" s="1"/>
      <c r="E944" s="1"/>
      <c r="F944" s="1"/>
      <c r="G944" s="1"/>
      <c r="H944" s="155"/>
      <c r="I944" s="155"/>
      <c r="J944" s="1"/>
      <c r="K944" s="1"/>
      <c r="L944" s="1"/>
      <c r="M944" s="1"/>
    </row>
    <row r="945" ht="14.25" customHeight="1">
      <c r="A945" s="52"/>
      <c r="B945" s="53"/>
      <c r="C945" s="53"/>
      <c r="D945" s="1"/>
      <c r="E945" s="1"/>
      <c r="F945" s="1"/>
      <c r="G945" s="1"/>
      <c r="H945" s="155"/>
      <c r="I945" s="155"/>
      <c r="J945" s="1"/>
      <c r="K945" s="1"/>
      <c r="L945" s="1"/>
      <c r="M945" s="1"/>
    </row>
    <row r="946" ht="14.25" customHeight="1">
      <c r="A946" s="52"/>
      <c r="B946" s="53"/>
      <c r="C946" s="53"/>
      <c r="D946" s="1"/>
      <c r="E946" s="1"/>
      <c r="F946" s="1"/>
      <c r="G946" s="1"/>
      <c r="H946" s="155"/>
      <c r="I946" s="155"/>
      <c r="J946" s="1"/>
      <c r="K946" s="1"/>
      <c r="L946" s="1"/>
      <c r="M946" s="1"/>
    </row>
    <row r="947" ht="14.25" customHeight="1">
      <c r="A947" s="52"/>
      <c r="B947" s="53"/>
      <c r="C947" s="53"/>
      <c r="D947" s="1"/>
      <c r="E947" s="1"/>
      <c r="F947" s="1"/>
      <c r="G947" s="1"/>
      <c r="H947" s="155"/>
      <c r="I947" s="155"/>
      <c r="J947" s="1"/>
      <c r="K947" s="1"/>
      <c r="L947" s="1"/>
      <c r="M947" s="1"/>
    </row>
    <row r="948" ht="14.25" customHeight="1">
      <c r="A948" s="52"/>
      <c r="B948" s="53"/>
      <c r="C948" s="53"/>
      <c r="D948" s="1"/>
      <c r="E948" s="1"/>
      <c r="F948" s="1"/>
      <c r="G948" s="1"/>
      <c r="H948" s="155"/>
      <c r="I948" s="155"/>
      <c r="J948" s="1"/>
      <c r="K948" s="1"/>
      <c r="L948" s="1"/>
      <c r="M948" s="1"/>
    </row>
    <row r="949" ht="14.25" customHeight="1">
      <c r="A949" s="52"/>
      <c r="B949" s="53"/>
      <c r="C949" s="53"/>
      <c r="D949" s="1"/>
      <c r="E949" s="1"/>
      <c r="F949" s="1"/>
      <c r="G949" s="1"/>
      <c r="H949" s="155"/>
      <c r="I949" s="155"/>
      <c r="J949" s="1"/>
      <c r="K949" s="1"/>
      <c r="L949" s="1"/>
      <c r="M949" s="1"/>
    </row>
    <row r="950" ht="14.25" customHeight="1">
      <c r="A950" s="52"/>
      <c r="B950" s="53"/>
      <c r="C950" s="53"/>
      <c r="D950" s="1"/>
      <c r="E950" s="1"/>
      <c r="F950" s="1"/>
      <c r="G950" s="1"/>
      <c r="H950" s="155"/>
      <c r="I950" s="155"/>
      <c r="J950" s="1"/>
      <c r="K950" s="1"/>
      <c r="L950" s="1"/>
      <c r="M950" s="1"/>
    </row>
    <row r="951" ht="14.25" customHeight="1">
      <c r="A951" s="52"/>
      <c r="B951" s="53"/>
      <c r="C951" s="53"/>
      <c r="D951" s="1"/>
      <c r="E951" s="1"/>
      <c r="F951" s="1"/>
      <c r="G951" s="1"/>
      <c r="H951" s="155"/>
      <c r="I951" s="155"/>
      <c r="J951" s="1"/>
      <c r="K951" s="1"/>
      <c r="L951" s="1"/>
      <c r="M951" s="1"/>
    </row>
    <row r="952" ht="14.25" customHeight="1">
      <c r="A952" s="52"/>
      <c r="B952" s="53"/>
      <c r="C952" s="53"/>
      <c r="D952" s="1"/>
      <c r="E952" s="1"/>
      <c r="F952" s="1"/>
      <c r="G952" s="1"/>
      <c r="H952" s="155"/>
      <c r="I952" s="155"/>
      <c r="J952" s="1"/>
      <c r="K952" s="1"/>
      <c r="L952" s="1"/>
      <c r="M952" s="1"/>
    </row>
    <row r="953" ht="14.25" customHeight="1">
      <c r="A953" s="52"/>
      <c r="B953" s="53"/>
      <c r="C953" s="53"/>
      <c r="D953" s="1"/>
      <c r="E953" s="1"/>
      <c r="F953" s="1"/>
      <c r="G953" s="1"/>
      <c r="H953" s="155"/>
      <c r="I953" s="155"/>
      <c r="J953" s="1"/>
      <c r="K953" s="1"/>
      <c r="L953" s="1"/>
      <c r="M953" s="1"/>
    </row>
    <row r="954" ht="14.25" customHeight="1">
      <c r="A954" s="52"/>
      <c r="B954" s="53"/>
      <c r="C954" s="53"/>
      <c r="D954" s="1"/>
      <c r="E954" s="1"/>
      <c r="F954" s="1"/>
      <c r="G954" s="1"/>
      <c r="H954" s="155"/>
      <c r="I954" s="155"/>
      <c r="J954" s="1"/>
      <c r="K954" s="1"/>
      <c r="L954" s="1"/>
      <c r="M954" s="1"/>
    </row>
    <row r="955" ht="14.25" customHeight="1">
      <c r="A955" s="52"/>
      <c r="B955" s="53"/>
      <c r="C955" s="53"/>
      <c r="D955" s="1"/>
      <c r="E955" s="1"/>
      <c r="F955" s="1"/>
      <c r="G955" s="1"/>
      <c r="H955" s="155"/>
      <c r="I955" s="155"/>
      <c r="J955" s="1"/>
      <c r="K955" s="1"/>
      <c r="L955" s="1"/>
      <c r="M955" s="1"/>
    </row>
    <row r="956" ht="14.25" customHeight="1">
      <c r="A956" s="52"/>
      <c r="B956" s="53"/>
      <c r="C956" s="53"/>
      <c r="D956" s="1"/>
      <c r="E956" s="1"/>
      <c r="F956" s="1"/>
      <c r="G956" s="1"/>
      <c r="H956" s="155"/>
      <c r="I956" s="155"/>
      <c r="J956" s="1"/>
      <c r="K956" s="1"/>
      <c r="L956" s="1"/>
      <c r="M956" s="1"/>
    </row>
    <row r="957" ht="14.25" customHeight="1">
      <c r="A957" s="52"/>
      <c r="B957" s="53"/>
      <c r="C957" s="53"/>
      <c r="D957" s="1"/>
      <c r="E957" s="1"/>
      <c r="F957" s="1"/>
      <c r="G957" s="1"/>
      <c r="H957" s="155"/>
      <c r="I957" s="155"/>
      <c r="J957" s="1"/>
      <c r="K957" s="1"/>
      <c r="L957" s="1"/>
      <c r="M957" s="1"/>
    </row>
    <row r="958" ht="14.25" customHeight="1">
      <c r="A958" s="52"/>
      <c r="B958" s="53"/>
      <c r="C958" s="53"/>
      <c r="D958" s="1"/>
      <c r="E958" s="1"/>
      <c r="F958" s="1"/>
      <c r="G958" s="1"/>
      <c r="H958" s="155"/>
      <c r="I958" s="155"/>
      <c r="J958" s="1"/>
      <c r="K958" s="1"/>
      <c r="L958" s="1"/>
      <c r="M958" s="1"/>
    </row>
    <row r="959" ht="14.25" customHeight="1">
      <c r="A959" s="52"/>
      <c r="B959" s="53"/>
      <c r="C959" s="53"/>
      <c r="D959" s="1"/>
      <c r="E959" s="1"/>
      <c r="F959" s="1"/>
      <c r="G959" s="1"/>
      <c r="H959" s="155"/>
      <c r="I959" s="155"/>
      <c r="J959" s="1"/>
      <c r="K959" s="1"/>
      <c r="L959" s="1"/>
      <c r="M959" s="1"/>
    </row>
    <row r="960" ht="14.25" customHeight="1">
      <c r="A960" s="52"/>
      <c r="B960" s="53"/>
      <c r="C960" s="53"/>
      <c r="D960" s="1"/>
      <c r="E960" s="1"/>
      <c r="F960" s="1"/>
      <c r="G960" s="1"/>
      <c r="H960" s="155"/>
      <c r="I960" s="155"/>
      <c r="J960" s="1"/>
      <c r="K960" s="1"/>
      <c r="L960" s="1"/>
      <c r="M960" s="1"/>
    </row>
    <row r="961" ht="14.25" customHeight="1">
      <c r="A961" s="52"/>
      <c r="B961" s="53"/>
      <c r="C961" s="53"/>
      <c r="D961" s="1"/>
      <c r="E961" s="1"/>
      <c r="F961" s="1"/>
      <c r="G961" s="1"/>
      <c r="H961" s="155"/>
      <c r="I961" s="155"/>
      <c r="J961" s="1"/>
      <c r="K961" s="1"/>
      <c r="L961" s="1"/>
      <c r="M961" s="1"/>
    </row>
    <row r="962" ht="14.25" customHeight="1">
      <c r="A962" s="52"/>
      <c r="B962" s="53"/>
      <c r="C962" s="53"/>
      <c r="D962" s="1"/>
      <c r="E962" s="1"/>
      <c r="F962" s="1"/>
      <c r="G962" s="1"/>
      <c r="H962" s="155"/>
      <c r="I962" s="155"/>
      <c r="J962" s="1"/>
      <c r="K962" s="1"/>
      <c r="L962" s="1"/>
      <c r="M962" s="1"/>
    </row>
    <row r="963" ht="14.25" customHeight="1">
      <c r="A963" s="52"/>
      <c r="B963" s="53"/>
      <c r="C963" s="53"/>
      <c r="D963" s="1"/>
      <c r="E963" s="1"/>
      <c r="F963" s="1"/>
      <c r="G963" s="1"/>
      <c r="H963" s="155"/>
      <c r="I963" s="155"/>
      <c r="J963" s="1"/>
      <c r="K963" s="1"/>
      <c r="L963" s="1"/>
      <c r="M963" s="1"/>
    </row>
    <row r="964" ht="14.25" customHeight="1">
      <c r="A964" s="52"/>
      <c r="B964" s="53"/>
      <c r="C964" s="53"/>
      <c r="D964" s="1"/>
      <c r="E964" s="1"/>
      <c r="F964" s="1"/>
      <c r="G964" s="1"/>
      <c r="H964" s="155"/>
      <c r="I964" s="155"/>
      <c r="J964" s="1"/>
      <c r="K964" s="1"/>
      <c r="L964" s="1"/>
      <c r="M964" s="1"/>
    </row>
    <row r="965" ht="14.25" customHeight="1">
      <c r="A965" s="52"/>
      <c r="B965" s="53"/>
      <c r="C965" s="53"/>
      <c r="D965" s="1"/>
      <c r="E965" s="1"/>
      <c r="F965" s="1"/>
      <c r="G965" s="1"/>
      <c r="H965" s="155"/>
      <c r="I965" s="155"/>
      <c r="J965" s="1"/>
      <c r="K965" s="1"/>
      <c r="L965" s="1"/>
      <c r="M965" s="1"/>
    </row>
    <row r="966" ht="14.25" customHeight="1">
      <c r="A966" s="52"/>
      <c r="B966" s="53"/>
      <c r="C966" s="53"/>
      <c r="D966" s="1"/>
      <c r="E966" s="1"/>
      <c r="F966" s="1"/>
      <c r="G966" s="1"/>
      <c r="H966" s="155"/>
      <c r="I966" s="155"/>
      <c r="J966" s="1"/>
      <c r="K966" s="1"/>
      <c r="L966" s="1"/>
      <c r="M966" s="1"/>
    </row>
    <row r="967" ht="14.25" customHeight="1">
      <c r="A967" s="52"/>
      <c r="B967" s="53"/>
      <c r="C967" s="53"/>
      <c r="D967" s="1"/>
      <c r="E967" s="1"/>
      <c r="F967" s="1"/>
      <c r="G967" s="1"/>
      <c r="H967" s="155"/>
      <c r="I967" s="155"/>
      <c r="J967" s="1"/>
      <c r="K967" s="1"/>
      <c r="L967" s="1"/>
      <c r="M967" s="1"/>
    </row>
    <row r="968" ht="14.25" customHeight="1">
      <c r="A968" s="52"/>
      <c r="B968" s="53"/>
      <c r="C968" s="53"/>
      <c r="D968" s="1"/>
      <c r="E968" s="1"/>
      <c r="F968" s="1"/>
      <c r="G968" s="1"/>
      <c r="H968" s="155"/>
      <c r="I968" s="155"/>
      <c r="J968" s="1"/>
      <c r="K968" s="1"/>
      <c r="L968" s="1"/>
      <c r="M968" s="1"/>
    </row>
    <row r="969" ht="14.25" customHeight="1">
      <c r="A969" s="52"/>
      <c r="B969" s="53"/>
      <c r="C969" s="53"/>
      <c r="D969" s="1"/>
      <c r="E969" s="1"/>
      <c r="F969" s="1"/>
      <c r="G969" s="1"/>
      <c r="H969" s="155"/>
      <c r="I969" s="155"/>
      <c r="J969" s="1"/>
      <c r="K969" s="1"/>
      <c r="L969" s="1"/>
      <c r="M969" s="1"/>
    </row>
    <row r="970" ht="14.25" customHeight="1">
      <c r="A970" s="52"/>
      <c r="B970" s="53"/>
      <c r="C970" s="53"/>
      <c r="D970" s="1"/>
      <c r="E970" s="1"/>
      <c r="F970" s="1"/>
      <c r="G970" s="1"/>
      <c r="H970" s="155"/>
      <c r="I970" s="155"/>
      <c r="J970" s="1"/>
      <c r="K970" s="1"/>
      <c r="L970" s="1"/>
      <c r="M970" s="1"/>
    </row>
    <row r="971" ht="14.25" customHeight="1">
      <c r="A971" s="52"/>
      <c r="B971" s="53"/>
      <c r="C971" s="53"/>
      <c r="D971" s="1"/>
      <c r="E971" s="1"/>
      <c r="F971" s="1"/>
      <c r="G971" s="1"/>
      <c r="H971" s="155"/>
      <c r="I971" s="155"/>
      <c r="J971" s="1"/>
      <c r="K971" s="1"/>
      <c r="L971" s="1"/>
      <c r="M971" s="1"/>
    </row>
    <row r="972" ht="14.25" customHeight="1">
      <c r="A972" s="52"/>
      <c r="B972" s="53"/>
      <c r="C972" s="53"/>
      <c r="D972" s="1"/>
      <c r="E972" s="1"/>
      <c r="F972" s="1"/>
      <c r="G972" s="1"/>
      <c r="H972" s="155"/>
      <c r="I972" s="155"/>
      <c r="J972" s="1"/>
      <c r="K972" s="1"/>
      <c r="L972" s="1"/>
      <c r="M972" s="1"/>
    </row>
    <row r="973" ht="14.25" customHeight="1">
      <c r="A973" s="52"/>
      <c r="B973" s="53"/>
      <c r="C973" s="53"/>
      <c r="D973" s="1"/>
      <c r="E973" s="1"/>
      <c r="F973" s="1"/>
      <c r="G973" s="1"/>
      <c r="H973" s="155"/>
      <c r="I973" s="155"/>
      <c r="J973" s="1"/>
      <c r="K973" s="1"/>
      <c r="L973" s="1"/>
      <c r="M973" s="1"/>
    </row>
    <row r="974" ht="14.25" customHeight="1">
      <c r="A974" s="52"/>
      <c r="B974" s="53"/>
      <c r="C974" s="53"/>
      <c r="D974" s="1"/>
      <c r="E974" s="1"/>
      <c r="F974" s="1"/>
      <c r="G974" s="1"/>
      <c r="H974" s="155"/>
      <c r="I974" s="155"/>
      <c r="J974" s="1"/>
      <c r="K974" s="1"/>
      <c r="L974" s="1"/>
      <c r="M974" s="1"/>
    </row>
    <row r="975" ht="14.25" customHeight="1">
      <c r="A975" s="52"/>
      <c r="B975" s="53"/>
      <c r="C975" s="53"/>
      <c r="D975" s="1"/>
      <c r="E975" s="1"/>
      <c r="F975" s="1"/>
      <c r="G975" s="1"/>
      <c r="H975" s="155"/>
      <c r="I975" s="155"/>
      <c r="J975" s="1"/>
      <c r="K975" s="1"/>
      <c r="L975" s="1"/>
      <c r="M975" s="1"/>
    </row>
    <row r="976" ht="14.25" customHeight="1">
      <c r="A976" s="52"/>
      <c r="B976" s="53"/>
      <c r="C976" s="53"/>
      <c r="D976" s="1"/>
      <c r="E976" s="1"/>
      <c r="F976" s="1"/>
      <c r="G976" s="1"/>
      <c r="H976" s="155"/>
      <c r="I976" s="155"/>
      <c r="J976" s="1"/>
      <c r="K976" s="1"/>
      <c r="L976" s="1"/>
      <c r="M976" s="1"/>
    </row>
    <row r="977" ht="14.25" customHeight="1">
      <c r="A977" s="52"/>
      <c r="B977" s="53"/>
      <c r="C977" s="53"/>
      <c r="D977" s="1"/>
      <c r="E977" s="1"/>
      <c r="F977" s="1"/>
      <c r="G977" s="1"/>
      <c r="H977" s="155"/>
      <c r="I977" s="155"/>
      <c r="J977" s="1"/>
      <c r="K977" s="1"/>
      <c r="L977" s="1"/>
      <c r="M977" s="1"/>
    </row>
    <row r="978" ht="14.25" customHeight="1">
      <c r="A978" s="52"/>
      <c r="B978" s="53"/>
      <c r="C978" s="53"/>
      <c r="D978" s="1"/>
      <c r="E978" s="1"/>
      <c r="F978" s="1"/>
      <c r="G978" s="1"/>
      <c r="H978" s="155"/>
      <c r="I978" s="155"/>
      <c r="J978" s="1"/>
      <c r="K978" s="1"/>
      <c r="L978" s="1"/>
      <c r="M978" s="1"/>
    </row>
    <row r="979" ht="14.25" customHeight="1">
      <c r="A979" s="52"/>
      <c r="B979" s="53"/>
      <c r="C979" s="53"/>
      <c r="D979" s="1"/>
      <c r="E979" s="1"/>
      <c r="F979" s="1"/>
      <c r="G979" s="1"/>
      <c r="H979" s="155"/>
      <c r="I979" s="155"/>
      <c r="J979" s="1"/>
      <c r="K979" s="1"/>
      <c r="L979" s="1"/>
      <c r="M979" s="1"/>
    </row>
    <row r="980" ht="14.25" customHeight="1">
      <c r="A980" s="52"/>
      <c r="B980" s="53"/>
      <c r="C980" s="53"/>
      <c r="D980" s="1"/>
      <c r="E980" s="1"/>
      <c r="F980" s="1"/>
      <c r="G980" s="1"/>
      <c r="H980" s="155"/>
      <c r="I980" s="155"/>
      <c r="J980" s="1"/>
      <c r="K980" s="1"/>
      <c r="L980" s="1"/>
      <c r="M980" s="1"/>
    </row>
    <row r="981" ht="14.25" customHeight="1">
      <c r="A981" s="52"/>
      <c r="B981" s="53"/>
      <c r="C981" s="53"/>
      <c r="D981" s="1"/>
      <c r="E981" s="1"/>
      <c r="F981" s="1"/>
      <c r="G981" s="1"/>
      <c r="H981" s="155"/>
      <c r="I981" s="155"/>
      <c r="J981" s="1"/>
      <c r="K981" s="1"/>
      <c r="L981" s="1"/>
      <c r="M981" s="1"/>
    </row>
    <row r="982" ht="14.25" customHeight="1">
      <c r="A982" s="52"/>
      <c r="B982" s="53"/>
      <c r="C982" s="53"/>
      <c r="D982" s="1"/>
      <c r="E982" s="1"/>
      <c r="F982" s="1"/>
      <c r="G982" s="1"/>
      <c r="H982" s="155"/>
      <c r="I982" s="155"/>
      <c r="J982" s="1"/>
      <c r="K982" s="1"/>
      <c r="L982" s="1"/>
      <c r="M982" s="1"/>
    </row>
    <row r="983" ht="14.25" customHeight="1">
      <c r="A983" s="52"/>
      <c r="B983" s="53"/>
      <c r="C983" s="53"/>
      <c r="D983" s="1"/>
      <c r="E983" s="1"/>
      <c r="F983" s="1"/>
      <c r="G983" s="1"/>
      <c r="H983" s="155"/>
      <c r="I983" s="155"/>
      <c r="J983" s="1"/>
      <c r="K983" s="1"/>
      <c r="L983" s="1"/>
      <c r="M983" s="1"/>
    </row>
    <row r="984" ht="14.25" customHeight="1">
      <c r="A984" s="52"/>
      <c r="B984" s="53"/>
      <c r="C984" s="53"/>
      <c r="D984" s="1"/>
      <c r="E984" s="1"/>
      <c r="F984" s="1"/>
      <c r="G984" s="1"/>
      <c r="H984" s="155"/>
      <c r="I984" s="155"/>
      <c r="J984" s="1"/>
      <c r="K984" s="1"/>
      <c r="L984" s="1"/>
      <c r="M984" s="1"/>
    </row>
    <row r="985" ht="14.25" customHeight="1">
      <c r="A985" s="52"/>
      <c r="B985" s="53"/>
      <c r="C985" s="53"/>
      <c r="D985" s="1"/>
      <c r="E985" s="1"/>
      <c r="F985" s="1"/>
      <c r="G985" s="1"/>
      <c r="H985" s="155"/>
      <c r="I985" s="155"/>
      <c r="J985" s="1"/>
      <c r="K985" s="1"/>
      <c r="L985" s="1"/>
      <c r="M985" s="1"/>
    </row>
    <row r="986" ht="14.25" customHeight="1">
      <c r="A986" s="52"/>
      <c r="B986" s="53"/>
      <c r="C986" s="53"/>
      <c r="D986" s="1"/>
      <c r="E986" s="1"/>
      <c r="F986" s="1"/>
      <c r="G986" s="1"/>
      <c r="H986" s="155"/>
      <c r="I986" s="155"/>
      <c r="J986" s="1"/>
      <c r="K986" s="1"/>
      <c r="L986" s="1"/>
      <c r="M986" s="1"/>
    </row>
    <row r="987" ht="14.25" customHeight="1">
      <c r="A987" s="52"/>
      <c r="B987" s="53"/>
      <c r="C987" s="53"/>
      <c r="D987" s="1"/>
      <c r="E987" s="1"/>
      <c r="F987" s="1"/>
      <c r="G987" s="1"/>
      <c r="H987" s="155"/>
      <c r="I987" s="155"/>
      <c r="J987" s="1"/>
      <c r="K987" s="1"/>
      <c r="L987" s="1"/>
      <c r="M987" s="1"/>
    </row>
    <row r="988" ht="14.25" customHeight="1">
      <c r="A988" s="52"/>
      <c r="B988" s="53"/>
      <c r="C988" s="53"/>
      <c r="D988" s="1"/>
      <c r="E988" s="1"/>
      <c r="F988" s="1"/>
      <c r="G988" s="1"/>
      <c r="H988" s="155"/>
      <c r="I988" s="155"/>
      <c r="J988" s="1"/>
      <c r="K988" s="1"/>
      <c r="L988" s="1"/>
      <c r="M988" s="1"/>
    </row>
    <row r="989" ht="14.25" customHeight="1">
      <c r="A989" s="52"/>
      <c r="B989" s="53"/>
      <c r="C989" s="53"/>
      <c r="D989" s="1"/>
      <c r="E989" s="1"/>
      <c r="F989" s="1"/>
      <c r="G989" s="1"/>
      <c r="H989" s="155"/>
      <c r="I989" s="155"/>
      <c r="J989" s="1"/>
      <c r="K989" s="1"/>
      <c r="L989" s="1"/>
      <c r="M989" s="1"/>
    </row>
    <row r="990" ht="14.25" customHeight="1">
      <c r="A990" s="52"/>
      <c r="B990" s="53"/>
      <c r="C990" s="53"/>
      <c r="D990" s="1"/>
      <c r="E990" s="1"/>
      <c r="F990" s="1"/>
      <c r="G990" s="1"/>
      <c r="H990" s="155"/>
      <c r="I990" s="155"/>
      <c r="J990" s="1"/>
      <c r="K990" s="1"/>
      <c r="L990" s="1"/>
      <c r="M990" s="1"/>
    </row>
    <row r="991" ht="14.25" customHeight="1">
      <c r="A991" s="52"/>
      <c r="B991" s="53"/>
      <c r="C991" s="53"/>
      <c r="D991" s="1"/>
      <c r="E991" s="1"/>
      <c r="F991" s="1"/>
      <c r="G991" s="1"/>
      <c r="H991" s="155"/>
      <c r="I991" s="155"/>
      <c r="J991" s="1"/>
      <c r="K991" s="1"/>
      <c r="L991" s="1"/>
      <c r="M991" s="1"/>
    </row>
    <row r="992" ht="14.25" customHeight="1">
      <c r="A992" s="52"/>
      <c r="B992" s="53"/>
      <c r="C992" s="53"/>
      <c r="D992" s="1"/>
      <c r="E992" s="1"/>
      <c r="F992" s="1"/>
      <c r="G992" s="1"/>
      <c r="H992" s="155"/>
      <c r="I992" s="155"/>
      <c r="J992" s="1"/>
      <c r="K992" s="1"/>
      <c r="L992" s="1"/>
      <c r="M992" s="1"/>
    </row>
    <row r="993" ht="14.25" customHeight="1">
      <c r="A993" s="52"/>
      <c r="B993" s="53"/>
      <c r="C993" s="53"/>
      <c r="D993" s="1"/>
      <c r="E993" s="1"/>
      <c r="F993" s="1"/>
      <c r="G993" s="1"/>
      <c r="H993" s="155"/>
      <c r="I993" s="155"/>
      <c r="J993" s="1"/>
      <c r="K993" s="1"/>
      <c r="L993" s="1"/>
      <c r="M993" s="1"/>
    </row>
    <row r="994" ht="14.25" customHeight="1">
      <c r="A994" s="52"/>
      <c r="B994" s="53"/>
      <c r="C994" s="53"/>
      <c r="D994" s="1"/>
      <c r="E994" s="1"/>
      <c r="F994" s="1"/>
      <c r="G994" s="1"/>
      <c r="H994" s="155"/>
      <c r="I994" s="155"/>
      <c r="J994" s="1"/>
      <c r="K994" s="1"/>
      <c r="L994" s="1"/>
      <c r="M994" s="1"/>
    </row>
    <row r="995" ht="14.25" customHeight="1">
      <c r="A995" s="52"/>
      <c r="B995" s="53"/>
      <c r="C995" s="53"/>
      <c r="D995" s="1"/>
      <c r="E995" s="1"/>
      <c r="F995" s="1"/>
      <c r="G995" s="1"/>
      <c r="H995" s="155"/>
      <c r="I995" s="155"/>
      <c r="J995" s="1"/>
      <c r="K995" s="1"/>
      <c r="L995" s="1"/>
      <c r="M995" s="1"/>
    </row>
    <row r="996" ht="14.25" customHeight="1">
      <c r="A996" s="52"/>
      <c r="B996" s="53"/>
      <c r="C996" s="53"/>
      <c r="D996" s="1"/>
      <c r="E996" s="1"/>
      <c r="F996" s="1"/>
      <c r="G996" s="1"/>
      <c r="H996" s="155"/>
      <c r="I996" s="155"/>
      <c r="J996" s="1"/>
      <c r="K996" s="1"/>
      <c r="L996" s="1"/>
      <c r="M996" s="1"/>
    </row>
    <row r="997" ht="14.25" customHeight="1">
      <c r="A997" s="52"/>
      <c r="B997" s="53"/>
      <c r="C997" s="53"/>
      <c r="D997" s="1"/>
      <c r="E997" s="1"/>
      <c r="F997" s="1"/>
      <c r="G997" s="1"/>
      <c r="H997" s="155"/>
      <c r="I997" s="155"/>
      <c r="J997" s="1"/>
      <c r="K997" s="1"/>
      <c r="L997" s="1"/>
      <c r="M997" s="1"/>
    </row>
    <row r="998" ht="14.25" customHeight="1">
      <c r="A998" s="52"/>
      <c r="B998" s="53"/>
      <c r="C998" s="53"/>
      <c r="D998" s="1"/>
      <c r="E998" s="1"/>
      <c r="F998" s="1"/>
      <c r="G998" s="1"/>
      <c r="H998" s="155"/>
      <c r="I998" s="155"/>
      <c r="J998" s="1"/>
      <c r="K998" s="1"/>
      <c r="L998" s="1"/>
      <c r="M998" s="1"/>
    </row>
    <row r="999" ht="14.25" customHeight="1">
      <c r="A999" s="52"/>
      <c r="B999" s="53"/>
      <c r="C999" s="53"/>
      <c r="D999" s="1"/>
      <c r="E999" s="1"/>
      <c r="F999" s="1"/>
      <c r="G999" s="1"/>
      <c r="H999" s="155"/>
      <c r="I999" s="155"/>
      <c r="J999" s="1"/>
      <c r="K999" s="1"/>
      <c r="L999" s="1"/>
      <c r="M999" s="1"/>
    </row>
    <row r="1000" ht="14.25" customHeight="1">
      <c r="A1000" s="52"/>
      <c r="B1000" s="53"/>
      <c r="C1000" s="53"/>
      <c r="D1000" s="1"/>
      <c r="E1000" s="1"/>
      <c r="F1000" s="1"/>
      <c r="G1000" s="1"/>
      <c r="H1000" s="155"/>
      <c r="I1000" s="155"/>
      <c r="J1000" s="1"/>
      <c r="K1000" s="1"/>
      <c r="L1000" s="1"/>
      <c r="M1000" s="1"/>
    </row>
  </sheetData>
  <mergeCells count="6">
    <mergeCell ref="A2:M2"/>
    <mergeCell ref="A4:M4"/>
    <mergeCell ref="A5:M5"/>
    <mergeCell ref="A6:M6"/>
    <mergeCell ref="A7:M7"/>
    <mergeCell ref="A26:M26"/>
  </mergeCells>
  <hyperlinks>
    <hyperlink r:id="rId1" ref="J10"/>
    <hyperlink r:id="rId2" ref="J11"/>
    <hyperlink r:id="rId3" ref="J12"/>
    <hyperlink r:id="rId4" ref="J13"/>
    <hyperlink r:id="rId5" ref="J14"/>
    <hyperlink r:id="rId6" ref="J15"/>
    <hyperlink r:id="rId7" ref="J16"/>
    <hyperlink r:id="rId8" ref="H17"/>
    <hyperlink r:id="rId9" ref="I17"/>
    <hyperlink r:id="rId10" ref="J17"/>
  </hyperlinks>
  <printOptions/>
  <pageMargins bottom="0.75" footer="0.0" header="0.0" left="0.7" right="0.7" top="0.75"/>
  <pageSetup orientation="landscape"/>
  <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29"/>
    <col customWidth="1" min="2" max="2" width="9.71"/>
    <col customWidth="1" min="3" max="3" width="10.71"/>
    <col customWidth="1" min="4" max="4" width="12.43"/>
    <col customWidth="1" min="5" max="5" width="7.0"/>
    <col customWidth="1" min="6" max="6" width="7.14"/>
    <col customWidth="1" min="7" max="7" width="9.14"/>
    <col customWidth="1" min="8" max="8" width="8.71"/>
    <col customWidth="1" min="9" max="9" width="9.14"/>
    <col customWidth="1" min="10" max="10" width="12.71"/>
    <col customWidth="1" min="11" max="11" width="15.0"/>
    <col customWidth="1" min="12" max="13" width="8.71"/>
    <col customWidth="1" min="14" max="14" width="20.86"/>
    <col customWidth="1" min="15" max="26" width="10.0"/>
  </cols>
  <sheetData>
    <row r="1" ht="14.25" customHeight="1">
      <c r="A1" s="188"/>
      <c r="B1" s="189"/>
      <c r="C1" s="131"/>
      <c r="D1" s="155"/>
      <c r="E1" s="190"/>
      <c r="F1" s="190"/>
      <c r="G1" s="190"/>
      <c r="H1" s="155"/>
      <c r="I1" s="190"/>
      <c r="J1" s="155"/>
      <c r="K1" s="155"/>
      <c r="L1" s="155"/>
      <c r="M1" s="155"/>
    </row>
    <row r="2" ht="15.0" customHeight="1">
      <c r="A2" s="191" t="s">
        <v>709</v>
      </c>
      <c r="B2" s="55"/>
      <c r="C2" s="55"/>
      <c r="D2" s="55"/>
      <c r="E2" s="55"/>
      <c r="F2" s="55"/>
      <c r="G2" s="55"/>
      <c r="H2" s="55"/>
      <c r="I2" s="55"/>
      <c r="J2" s="55"/>
      <c r="K2" s="55"/>
      <c r="L2" s="55"/>
      <c r="M2" s="56"/>
      <c r="N2" s="58"/>
      <c r="O2" s="58"/>
      <c r="P2" s="58"/>
      <c r="Q2" s="58"/>
      <c r="R2" s="58"/>
      <c r="S2" s="58"/>
      <c r="T2" s="58"/>
      <c r="U2" s="58"/>
      <c r="V2" s="58"/>
      <c r="W2" s="58"/>
      <c r="X2" s="58"/>
      <c r="Y2" s="58"/>
      <c r="Z2" s="58"/>
    </row>
    <row r="3" ht="15.0" customHeight="1">
      <c r="A3" s="192"/>
      <c r="B3" s="192"/>
      <c r="C3" s="157"/>
      <c r="D3" s="157"/>
      <c r="E3" s="193"/>
      <c r="F3" s="193"/>
      <c r="G3" s="193"/>
      <c r="H3" s="157"/>
      <c r="I3" s="193"/>
      <c r="J3" s="157"/>
      <c r="K3" s="157"/>
      <c r="L3" s="157"/>
      <c r="M3" s="157"/>
      <c r="N3" s="58"/>
      <c r="O3" s="58"/>
      <c r="P3" s="58"/>
      <c r="Q3" s="58"/>
      <c r="R3" s="58"/>
      <c r="S3" s="58"/>
      <c r="T3" s="58"/>
      <c r="U3" s="58"/>
      <c r="V3" s="58"/>
      <c r="W3" s="58"/>
      <c r="X3" s="58"/>
      <c r="Y3" s="58"/>
      <c r="Z3" s="58"/>
    </row>
    <row r="4" ht="15.0" customHeight="1">
      <c r="A4" s="59" t="s">
        <v>710</v>
      </c>
      <c r="B4" s="55"/>
      <c r="C4" s="55"/>
      <c r="D4" s="55"/>
      <c r="E4" s="55"/>
      <c r="F4" s="55"/>
      <c r="G4" s="55"/>
      <c r="H4" s="55"/>
      <c r="I4" s="55"/>
      <c r="J4" s="55"/>
      <c r="K4" s="55"/>
      <c r="L4" s="55"/>
      <c r="M4" s="56"/>
      <c r="N4" s="58"/>
      <c r="O4" s="58"/>
      <c r="P4" s="58"/>
      <c r="Q4" s="58"/>
      <c r="R4" s="58"/>
      <c r="S4" s="58"/>
      <c r="T4" s="58"/>
      <c r="U4" s="58"/>
      <c r="V4" s="58"/>
      <c r="W4" s="58"/>
      <c r="X4" s="58"/>
      <c r="Y4" s="58"/>
      <c r="Z4" s="58"/>
    </row>
    <row r="5" ht="15.0" customHeight="1">
      <c r="A5" s="59" t="s">
        <v>711</v>
      </c>
      <c r="B5" s="55"/>
      <c r="C5" s="55"/>
      <c r="D5" s="55"/>
      <c r="E5" s="55"/>
      <c r="F5" s="55"/>
      <c r="G5" s="55"/>
      <c r="H5" s="55"/>
      <c r="I5" s="55"/>
      <c r="J5" s="55"/>
      <c r="K5" s="55"/>
      <c r="L5" s="55"/>
      <c r="M5" s="56"/>
      <c r="N5" s="58"/>
      <c r="O5" s="58"/>
      <c r="P5" s="58"/>
      <c r="Q5" s="58"/>
      <c r="R5" s="58"/>
      <c r="S5" s="58"/>
      <c r="T5" s="58"/>
      <c r="U5" s="58"/>
      <c r="V5" s="58"/>
      <c r="W5" s="58"/>
      <c r="X5" s="58"/>
      <c r="Y5" s="58"/>
      <c r="Z5" s="58"/>
    </row>
    <row r="6" ht="15.0" customHeight="1">
      <c r="A6" s="59" t="s">
        <v>712</v>
      </c>
      <c r="B6" s="55"/>
      <c r="C6" s="55"/>
      <c r="D6" s="55"/>
      <c r="E6" s="55"/>
      <c r="F6" s="55"/>
      <c r="G6" s="55"/>
      <c r="H6" s="55"/>
      <c r="I6" s="55"/>
      <c r="J6" s="55"/>
      <c r="K6" s="55"/>
      <c r="L6" s="55"/>
      <c r="M6" s="56"/>
      <c r="N6" s="58"/>
      <c r="O6" s="58"/>
      <c r="P6" s="58"/>
      <c r="Q6" s="58"/>
      <c r="R6" s="58"/>
      <c r="S6" s="58"/>
      <c r="T6" s="58"/>
      <c r="U6" s="58"/>
      <c r="V6" s="58"/>
      <c r="W6" s="58"/>
      <c r="X6" s="58"/>
      <c r="Y6" s="58"/>
      <c r="Z6" s="58"/>
    </row>
    <row r="7" ht="72.0" customHeight="1">
      <c r="A7" s="60" t="s">
        <v>713</v>
      </c>
      <c r="B7" s="55"/>
      <c r="C7" s="55"/>
      <c r="D7" s="55"/>
      <c r="E7" s="55"/>
      <c r="F7" s="55"/>
      <c r="G7" s="55"/>
      <c r="H7" s="55"/>
      <c r="I7" s="55"/>
      <c r="J7" s="55"/>
      <c r="K7" s="55"/>
      <c r="L7" s="55"/>
      <c r="M7" s="56"/>
      <c r="N7" s="58"/>
      <c r="O7" s="58"/>
      <c r="P7" s="58"/>
      <c r="Q7" s="58"/>
      <c r="R7" s="58"/>
      <c r="S7" s="58"/>
      <c r="T7" s="58"/>
      <c r="U7" s="58"/>
      <c r="V7" s="58"/>
      <c r="W7" s="58"/>
      <c r="X7" s="58"/>
      <c r="Y7" s="58"/>
      <c r="Z7" s="58"/>
    </row>
    <row r="8" ht="14.25" customHeight="1">
      <c r="A8" s="194"/>
      <c r="B8" s="195"/>
      <c r="C8" s="196"/>
      <c r="D8" s="197"/>
      <c r="E8" s="198"/>
      <c r="F8" s="198"/>
      <c r="G8" s="198"/>
      <c r="H8" s="197"/>
      <c r="I8" s="199"/>
      <c r="J8" s="200"/>
      <c r="K8" s="200"/>
      <c r="L8" s="200"/>
      <c r="M8" s="200"/>
      <c r="N8" s="58"/>
      <c r="O8" s="58"/>
      <c r="P8" s="58"/>
      <c r="Q8" s="58"/>
      <c r="R8" s="58"/>
      <c r="S8" s="58"/>
      <c r="T8" s="58"/>
      <c r="U8" s="58"/>
      <c r="V8" s="58"/>
      <c r="W8" s="58"/>
      <c r="X8" s="58"/>
      <c r="Y8" s="58"/>
      <c r="Z8" s="58"/>
    </row>
    <row r="9" ht="54.75" customHeight="1">
      <c r="A9" s="201" t="s">
        <v>194</v>
      </c>
      <c r="B9" s="63" t="s">
        <v>195</v>
      </c>
      <c r="C9" s="119" t="s">
        <v>9</v>
      </c>
      <c r="D9" s="64" t="s">
        <v>197</v>
      </c>
      <c r="E9" s="202" t="s">
        <v>714</v>
      </c>
      <c r="F9" s="202" t="s">
        <v>715</v>
      </c>
      <c r="G9" s="203" t="s">
        <v>645</v>
      </c>
      <c r="H9" s="119" t="s">
        <v>205</v>
      </c>
      <c r="I9" s="202" t="s">
        <v>204</v>
      </c>
      <c r="J9" s="204" t="s">
        <v>716</v>
      </c>
      <c r="K9" s="119" t="s">
        <v>717</v>
      </c>
      <c r="L9" s="63" t="s">
        <v>208</v>
      </c>
      <c r="M9" s="63" t="s">
        <v>209</v>
      </c>
      <c r="N9" s="65" t="s">
        <v>210</v>
      </c>
    </row>
    <row r="10" ht="172.5" customHeight="1">
      <c r="A10" s="141" t="s">
        <v>718</v>
      </c>
      <c r="B10" s="141" t="s">
        <v>719</v>
      </c>
      <c r="C10" s="121" t="s">
        <v>38</v>
      </c>
      <c r="D10" s="73" t="s">
        <v>720</v>
      </c>
      <c r="E10" s="121" t="s">
        <v>721</v>
      </c>
      <c r="F10" s="121"/>
      <c r="G10" s="143" t="s">
        <v>722</v>
      </c>
      <c r="H10" s="121">
        <v>2020.0</v>
      </c>
      <c r="I10" s="123" t="s">
        <v>723</v>
      </c>
      <c r="J10" s="100" t="s">
        <v>724</v>
      </c>
      <c r="K10" s="101" t="s">
        <v>725</v>
      </c>
      <c r="L10" s="76">
        <v>70.0</v>
      </c>
      <c r="M10" s="144">
        <v>70.0</v>
      </c>
      <c r="N10" s="77" t="s">
        <v>49</v>
      </c>
    </row>
    <row r="11" ht="86.25" customHeight="1">
      <c r="A11" s="141" t="s">
        <v>726</v>
      </c>
      <c r="B11" s="141" t="s">
        <v>449</v>
      </c>
      <c r="C11" s="121" t="s">
        <v>38</v>
      </c>
      <c r="D11" s="73" t="s">
        <v>727</v>
      </c>
      <c r="E11" s="121">
        <v>30.0</v>
      </c>
      <c r="F11" s="121">
        <v>2.0</v>
      </c>
      <c r="G11" s="143" t="s">
        <v>728</v>
      </c>
      <c r="H11" s="121">
        <v>2020.0</v>
      </c>
      <c r="I11" s="123" t="s">
        <v>729</v>
      </c>
      <c r="J11" s="101" t="s">
        <v>730</v>
      </c>
      <c r="K11" s="100" t="s">
        <v>731</v>
      </c>
      <c r="L11" s="76">
        <v>70.0</v>
      </c>
      <c r="M11" s="144">
        <v>70.0</v>
      </c>
      <c r="N11" s="77" t="s">
        <v>51</v>
      </c>
    </row>
    <row r="12" ht="57.0" customHeight="1">
      <c r="A12" s="141" t="s">
        <v>732</v>
      </c>
      <c r="B12" s="141" t="s">
        <v>449</v>
      </c>
      <c r="C12" s="121" t="s">
        <v>38</v>
      </c>
      <c r="D12" s="73" t="s">
        <v>733</v>
      </c>
      <c r="E12" s="121" t="s">
        <v>734</v>
      </c>
      <c r="F12" s="121"/>
      <c r="G12" s="143" t="s">
        <v>735</v>
      </c>
      <c r="H12" s="121">
        <v>2020.0</v>
      </c>
      <c r="I12" s="123" t="s">
        <v>736</v>
      </c>
      <c r="J12" s="101" t="s">
        <v>737</v>
      </c>
      <c r="K12" s="100" t="s">
        <v>738</v>
      </c>
      <c r="L12" s="205">
        <v>70.0</v>
      </c>
      <c r="M12" s="144">
        <v>70.0</v>
      </c>
      <c r="N12" s="77" t="s">
        <v>51</v>
      </c>
    </row>
    <row r="13" ht="114.75" customHeight="1">
      <c r="A13" s="206" t="s">
        <v>739</v>
      </c>
      <c r="B13" s="206" t="s">
        <v>740</v>
      </c>
      <c r="C13" s="69" t="s">
        <v>38</v>
      </c>
      <c r="D13" s="68" t="s">
        <v>741</v>
      </c>
      <c r="E13" s="69" t="s">
        <v>742</v>
      </c>
      <c r="F13" s="69">
        <v>1.0</v>
      </c>
      <c r="G13" s="207" t="s">
        <v>743</v>
      </c>
      <c r="H13" s="69">
        <v>2020.0</v>
      </c>
      <c r="I13" s="102" t="s">
        <v>744</v>
      </c>
      <c r="J13" s="101" t="s">
        <v>745</v>
      </c>
      <c r="K13" s="100" t="s">
        <v>746</v>
      </c>
      <c r="L13" s="208">
        <v>70.0</v>
      </c>
      <c r="M13" s="77">
        <v>70.0</v>
      </c>
      <c r="N13" s="77" t="s">
        <v>58</v>
      </c>
    </row>
    <row r="14" ht="248.25" customHeight="1">
      <c r="A14" s="206" t="s">
        <v>747</v>
      </c>
      <c r="B14" s="206" t="s">
        <v>748</v>
      </c>
      <c r="C14" s="69" t="s">
        <v>38</v>
      </c>
      <c r="D14" s="68" t="s">
        <v>741</v>
      </c>
      <c r="E14" s="69" t="s">
        <v>742</v>
      </c>
      <c r="F14" s="69">
        <v>1.0</v>
      </c>
      <c r="G14" s="207" t="s">
        <v>743</v>
      </c>
      <c r="H14" s="69">
        <v>2020.0</v>
      </c>
      <c r="I14" s="102" t="s">
        <v>749</v>
      </c>
      <c r="J14" s="101" t="s">
        <v>745</v>
      </c>
      <c r="K14" s="100" t="s">
        <v>750</v>
      </c>
      <c r="L14" s="208">
        <v>70.0</v>
      </c>
      <c r="M14" s="77">
        <v>7.0</v>
      </c>
      <c r="N14" s="77" t="s">
        <v>58</v>
      </c>
    </row>
    <row r="15" ht="248.25" customHeight="1">
      <c r="A15" s="206" t="s">
        <v>751</v>
      </c>
      <c r="B15" s="206" t="s">
        <v>752</v>
      </c>
      <c r="C15" s="69" t="s">
        <v>38</v>
      </c>
      <c r="D15" s="68" t="s">
        <v>753</v>
      </c>
      <c r="E15" s="69" t="s">
        <v>754</v>
      </c>
      <c r="F15" s="69">
        <v>1.0</v>
      </c>
      <c r="G15" s="207" t="s">
        <v>755</v>
      </c>
      <c r="H15" s="69">
        <v>2020.0</v>
      </c>
      <c r="I15" s="102" t="s">
        <v>756</v>
      </c>
      <c r="J15" s="101" t="s">
        <v>757</v>
      </c>
      <c r="K15" s="100" t="s">
        <v>758</v>
      </c>
      <c r="L15" s="209">
        <v>70.0</v>
      </c>
      <c r="M15" s="130">
        <v>7.0</v>
      </c>
      <c r="N15" s="77" t="s">
        <v>58</v>
      </c>
    </row>
    <row r="16" ht="72.0" customHeight="1">
      <c r="A16" s="141" t="s">
        <v>759</v>
      </c>
      <c r="B16" s="141" t="s">
        <v>760</v>
      </c>
      <c r="C16" s="121" t="s">
        <v>38</v>
      </c>
      <c r="D16" s="73" t="s">
        <v>761</v>
      </c>
      <c r="E16" s="121" t="s">
        <v>762</v>
      </c>
      <c r="F16" s="121"/>
      <c r="G16" s="143" t="s">
        <v>763</v>
      </c>
      <c r="H16" s="121">
        <v>2017.0</v>
      </c>
      <c r="I16" s="123" t="s">
        <v>764</v>
      </c>
      <c r="J16" s="101" t="s">
        <v>765</v>
      </c>
      <c r="K16" s="100" t="s">
        <v>766</v>
      </c>
      <c r="L16" s="76">
        <v>70.0</v>
      </c>
      <c r="M16" s="144">
        <v>70.0</v>
      </c>
      <c r="N16" s="77" t="s">
        <v>61</v>
      </c>
    </row>
    <row r="17" ht="138.0" customHeight="1">
      <c r="A17" s="141" t="s">
        <v>767</v>
      </c>
      <c r="B17" s="141" t="s">
        <v>522</v>
      </c>
      <c r="C17" s="121" t="s">
        <v>38</v>
      </c>
      <c r="D17" s="73" t="s">
        <v>768</v>
      </c>
      <c r="E17" s="121">
        <v>6.0</v>
      </c>
      <c r="F17" s="121">
        <v>6.0</v>
      </c>
      <c r="G17" s="143" t="s">
        <v>769</v>
      </c>
      <c r="H17" s="121">
        <v>2020.0</v>
      </c>
      <c r="I17" s="123" t="s">
        <v>770</v>
      </c>
      <c r="J17" s="101" t="s">
        <v>771</v>
      </c>
      <c r="K17" s="100" t="s">
        <v>772</v>
      </c>
      <c r="L17" s="76">
        <v>70.0</v>
      </c>
      <c r="M17" s="144">
        <v>70.0</v>
      </c>
      <c r="N17" s="77" t="s">
        <v>63</v>
      </c>
    </row>
    <row r="18" ht="27.0" customHeight="1">
      <c r="A18" s="210" t="s">
        <v>773</v>
      </c>
      <c r="B18" s="141" t="s">
        <v>774</v>
      </c>
      <c r="C18" s="121" t="s">
        <v>213</v>
      </c>
      <c r="D18" s="73" t="s">
        <v>727</v>
      </c>
      <c r="E18" s="121">
        <v>30.0</v>
      </c>
      <c r="F18" s="121" t="s">
        <v>775</v>
      </c>
      <c r="G18" s="143" t="s">
        <v>776</v>
      </c>
      <c r="H18" s="121">
        <v>2020.0</v>
      </c>
      <c r="I18" s="123" t="s">
        <v>777</v>
      </c>
      <c r="J18" s="101" t="s">
        <v>778</v>
      </c>
      <c r="K18" s="100"/>
      <c r="L18" s="76">
        <v>70.0</v>
      </c>
      <c r="M18" s="144">
        <v>70.0</v>
      </c>
      <c r="N18" s="77" t="s">
        <v>65</v>
      </c>
    </row>
    <row r="19" ht="41.25" customHeight="1">
      <c r="A19" s="141" t="s">
        <v>779</v>
      </c>
      <c r="B19" s="141" t="s">
        <v>774</v>
      </c>
      <c r="C19" s="121" t="s">
        <v>213</v>
      </c>
      <c r="D19" s="73" t="s">
        <v>780</v>
      </c>
      <c r="E19" s="121">
        <v>6.0</v>
      </c>
      <c r="F19" s="121"/>
      <c r="G19" s="143" t="s">
        <v>781</v>
      </c>
      <c r="H19" s="121">
        <v>2020.0</v>
      </c>
      <c r="I19" s="123" t="s">
        <v>782</v>
      </c>
      <c r="J19" s="101" t="s">
        <v>778</v>
      </c>
      <c r="K19" s="101"/>
      <c r="L19" s="211">
        <v>70.0</v>
      </c>
      <c r="M19" s="144">
        <v>70.0</v>
      </c>
      <c r="N19" s="77" t="s">
        <v>65</v>
      </c>
    </row>
    <row r="20" ht="96.0" customHeight="1">
      <c r="A20" s="212" t="s">
        <v>783</v>
      </c>
      <c r="B20" s="212" t="s">
        <v>528</v>
      </c>
      <c r="C20" s="136" t="s">
        <v>38</v>
      </c>
      <c r="D20" s="213" t="s">
        <v>784</v>
      </c>
      <c r="E20" s="136" t="s">
        <v>734</v>
      </c>
      <c r="F20" s="136"/>
      <c r="G20" s="214" t="s">
        <v>785</v>
      </c>
      <c r="H20" s="136">
        <v>2020.0</v>
      </c>
      <c r="I20" s="138" t="s">
        <v>786</v>
      </c>
      <c r="J20" s="215" t="s">
        <v>787</v>
      </c>
      <c r="K20" s="215" t="s">
        <v>788</v>
      </c>
      <c r="L20" s="216">
        <v>25.0</v>
      </c>
      <c r="M20" s="217">
        <v>25.0</v>
      </c>
      <c r="N20" s="77" t="s">
        <v>66</v>
      </c>
    </row>
    <row r="21" ht="41.25" customHeight="1">
      <c r="A21" s="131" t="s">
        <v>789</v>
      </c>
      <c r="B21" s="141" t="s">
        <v>790</v>
      </c>
      <c r="C21" s="121" t="s">
        <v>38</v>
      </c>
      <c r="D21" s="73" t="s">
        <v>791</v>
      </c>
      <c r="E21" s="121">
        <v>12.0</v>
      </c>
      <c r="F21" s="121">
        <v>2.0</v>
      </c>
      <c r="G21" s="218" t="s">
        <v>792</v>
      </c>
      <c r="H21" s="121">
        <v>2020.0</v>
      </c>
      <c r="I21" s="123" t="s">
        <v>793</v>
      </c>
      <c r="J21" s="101" t="s">
        <v>794</v>
      </c>
      <c r="K21" s="101" t="s">
        <v>795</v>
      </c>
      <c r="L21" s="76">
        <v>70.0</v>
      </c>
      <c r="M21" s="144">
        <v>70.0</v>
      </c>
      <c r="N21" s="77" t="s">
        <v>67</v>
      </c>
    </row>
    <row r="22" ht="69.0" customHeight="1">
      <c r="A22" s="131" t="s">
        <v>796</v>
      </c>
      <c r="B22" s="141" t="s">
        <v>790</v>
      </c>
      <c r="C22" s="121" t="s">
        <v>38</v>
      </c>
      <c r="D22" s="73" t="s">
        <v>797</v>
      </c>
      <c r="E22" s="121">
        <v>71.0</v>
      </c>
      <c r="F22" s="121">
        <v>4.0</v>
      </c>
      <c r="G22" s="218" t="s">
        <v>798</v>
      </c>
      <c r="H22" s="121">
        <v>2020.0</v>
      </c>
      <c r="I22" s="123" t="s">
        <v>799</v>
      </c>
      <c r="J22" s="101" t="s">
        <v>800</v>
      </c>
      <c r="K22" s="101" t="s">
        <v>801</v>
      </c>
      <c r="L22" s="211">
        <v>70.0</v>
      </c>
      <c r="M22" s="144">
        <v>70.0</v>
      </c>
      <c r="N22" s="77" t="s">
        <v>67</v>
      </c>
    </row>
    <row r="23" ht="69.0" customHeight="1">
      <c r="A23" s="219" t="s">
        <v>802</v>
      </c>
      <c r="B23" s="141" t="s">
        <v>803</v>
      </c>
      <c r="C23" s="121" t="s">
        <v>38</v>
      </c>
      <c r="D23" s="73" t="s">
        <v>804</v>
      </c>
      <c r="E23" s="121" t="s">
        <v>397</v>
      </c>
      <c r="F23" s="121">
        <v>5.0</v>
      </c>
      <c r="G23" s="219" t="s">
        <v>456</v>
      </c>
      <c r="H23" s="121">
        <v>2020.0</v>
      </c>
      <c r="I23" s="123" t="s">
        <v>805</v>
      </c>
      <c r="J23" s="101" t="s">
        <v>806</v>
      </c>
      <c r="K23" s="123" t="s">
        <v>440</v>
      </c>
      <c r="L23" s="76">
        <v>70.0</v>
      </c>
      <c r="M23" s="144">
        <v>70.0</v>
      </c>
      <c r="N23" s="77" t="s">
        <v>68</v>
      </c>
    </row>
    <row r="24" ht="54.75" customHeight="1">
      <c r="A24" s="220" t="s">
        <v>807</v>
      </c>
      <c r="B24" s="141" t="s">
        <v>803</v>
      </c>
      <c r="C24" s="221" t="s">
        <v>38</v>
      </c>
      <c r="D24" s="220" t="s">
        <v>741</v>
      </c>
      <c r="E24" s="221"/>
      <c r="F24" s="221">
        <v>19.0</v>
      </c>
      <c r="G24" s="143" t="s">
        <v>808</v>
      </c>
      <c r="H24" s="221">
        <v>2020.0</v>
      </c>
      <c r="I24" s="222" t="s">
        <v>809</v>
      </c>
      <c r="J24" s="99" t="s">
        <v>810</v>
      </c>
      <c r="K24" s="99" t="s">
        <v>811</v>
      </c>
      <c r="L24" s="223">
        <v>70.0</v>
      </c>
      <c r="M24" s="224">
        <v>70.0</v>
      </c>
      <c r="N24" s="77" t="s">
        <v>68</v>
      </c>
    </row>
    <row r="25" ht="54.75" customHeight="1">
      <c r="A25" s="141" t="s">
        <v>812</v>
      </c>
      <c r="B25" s="141" t="s">
        <v>813</v>
      </c>
      <c r="C25" s="121" t="s">
        <v>38</v>
      </c>
      <c r="D25" s="73" t="s">
        <v>814</v>
      </c>
      <c r="E25" s="121"/>
      <c r="F25" s="121">
        <v>27.0</v>
      </c>
      <c r="G25" s="143" t="s">
        <v>815</v>
      </c>
      <c r="H25" s="121">
        <v>2020.0</v>
      </c>
      <c r="I25" s="123" t="s">
        <v>816</v>
      </c>
      <c r="J25" s="101" t="s">
        <v>817</v>
      </c>
      <c r="K25" s="101" t="s">
        <v>818</v>
      </c>
      <c r="L25" s="76">
        <v>70.0</v>
      </c>
      <c r="M25" s="144">
        <v>70.0</v>
      </c>
      <c r="N25" s="77" t="s">
        <v>819</v>
      </c>
    </row>
    <row r="26" ht="69.0" customHeight="1">
      <c r="A26" s="141" t="s">
        <v>820</v>
      </c>
      <c r="B26" s="141" t="s">
        <v>813</v>
      </c>
      <c r="C26" s="121" t="s">
        <v>38</v>
      </c>
      <c r="D26" s="73" t="s">
        <v>814</v>
      </c>
      <c r="E26" s="121"/>
      <c r="F26" s="121">
        <v>27.0</v>
      </c>
      <c r="G26" s="143" t="s">
        <v>815</v>
      </c>
      <c r="H26" s="121">
        <v>2020.0</v>
      </c>
      <c r="I26" s="123" t="s">
        <v>821</v>
      </c>
      <c r="J26" s="101" t="s">
        <v>817</v>
      </c>
      <c r="K26" s="101" t="s">
        <v>822</v>
      </c>
      <c r="L26" s="205"/>
      <c r="M26" s="144">
        <v>25.0</v>
      </c>
      <c r="N26" s="77" t="s">
        <v>819</v>
      </c>
    </row>
    <row r="27" ht="54.75" customHeight="1">
      <c r="A27" s="141" t="s">
        <v>823</v>
      </c>
      <c r="B27" s="141" t="s">
        <v>813</v>
      </c>
      <c r="C27" s="121"/>
      <c r="D27" s="73" t="s">
        <v>814</v>
      </c>
      <c r="E27" s="121"/>
      <c r="F27" s="121">
        <v>27.0</v>
      </c>
      <c r="G27" s="143" t="s">
        <v>815</v>
      </c>
      <c r="H27" s="121">
        <v>2020.0</v>
      </c>
      <c r="I27" s="123" t="s">
        <v>824</v>
      </c>
      <c r="J27" s="101" t="s">
        <v>817</v>
      </c>
      <c r="K27" s="101" t="s">
        <v>822</v>
      </c>
      <c r="L27" s="205"/>
      <c r="M27" s="144">
        <v>25.0</v>
      </c>
      <c r="N27" s="77" t="s">
        <v>819</v>
      </c>
    </row>
    <row r="28" ht="158.25" customHeight="1">
      <c r="A28" s="141" t="s">
        <v>825</v>
      </c>
      <c r="B28" s="141" t="s">
        <v>826</v>
      </c>
      <c r="C28" s="121" t="s">
        <v>38</v>
      </c>
      <c r="D28" s="73" t="s">
        <v>761</v>
      </c>
      <c r="E28" s="121"/>
      <c r="F28" s="121" t="s">
        <v>827</v>
      </c>
      <c r="G28" s="143" t="s">
        <v>828</v>
      </c>
      <c r="H28" s="121">
        <v>2020.0</v>
      </c>
      <c r="I28" s="123" t="s">
        <v>829</v>
      </c>
      <c r="J28" s="101" t="s">
        <v>830</v>
      </c>
      <c r="K28" s="100" t="s">
        <v>831</v>
      </c>
      <c r="L28" s="76">
        <v>70.0</v>
      </c>
      <c r="M28" s="144">
        <v>70.0</v>
      </c>
      <c r="N28" s="77" t="s">
        <v>71</v>
      </c>
    </row>
    <row r="29" ht="168.0" customHeight="1">
      <c r="A29" s="145" t="s">
        <v>832</v>
      </c>
      <c r="B29" s="225" t="s">
        <v>833</v>
      </c>
      <c r="C29" s="226" t="s">
        <v>651</v>
      </c>
      <c r="D29" s="227" t="s">
        <v>834</v>
      </c>
      <c r="E29" s="226" t="s">
        <v>835</v>
      </c>
      <c r="F29" s="228">
        <v>43831.0</v>
      </c>
      <c r="G29" s="229" t="s">
        <v>836</v>
      </c>
      <c r="H29" s="226">
        <v>2020.0</v>
      </c>
      <c r="I29" s="230" t="s">
        <v>837</v>
      </c>
      <c r="J29" s="231" t="s">
        <v>838</v>
      </c>
      <c r="K29" s="149" t="s">
        <v>839</v>
      </c>
      <c r="L29" s="232">
        <v>70.0</v>
      </c>
      <c r="M29" s="233">
        <v>70.0</v>
      </c>
      <c r="N29" s="154" t="s">
        <v>72</v>
      </c>
    </row>
    <row r="30" ht="48.0" customHeight="1">
      <c r="A30" s="225" t="s">
        <v>840</v>
      </c>
      <c r="B30" s="225" t="s">
        <v>657</v>
      </c>
      <c r="C30" s="226" t="s">
        <v>73</v>
      </c>
      <c r="D30" s="227" t="s">
        <v>841</v>
      </c>
      <c r="E30" s="226"/>
      <c r="F30" s="226" t="s">
        <v>842</v>
      </c>
      <c r="G30" s="229" t="s">
        <v>843</v>
      </c>
      <c r="H30" s="226">
        <v>2020.0</v>
      </c>
      <c r="I30" s="230" t="s">
        <v>844</v>
      </c>
      <c r="J30" s="170" t="s">
        <v>845</v>
      </c>
      <c r="K30" s="149" t="s">
        <v>846</v>
      </c>
      <c r="L30" s="232">
        <v>70.0</v>
      </c>
      <c r="M30" s="233">
        <v>70.0</v>
      </c>
      <c r="N30" s="154" t="s">
        <v>75</v>
      </c>
    </row>
    <row r="31" ht="78.75" customHeight="1">
      <c r="A31" s="225" t="s">
        <v>847</v>
      </c>
      <c r="B31" s="225" t="s">
        <v>681</v>
      </c>
      <c r="C31" s="226" t="s">
        <v>73</v>
      </c>
      <c r="D31" s="227" t="s">
        <v>848</v>
      </c>
      <c r="E31" s="226">
        <v>20.0</v>
      </c>
      <c r="F31" s="226" t="s">
        <v>849</v>
      </c>
      <c r="G31" s="229" t="s">
        <v>850</v>
      </c>
      <c r="H31" s="226">
        <v>2020.0</v>
      </c>
      <c r="I31" s="230" t="s">
        <v>851</v>
      </c>
      <c r="J31" s="170" t="s">
        <v>852</v>
      </c>
      <c r="K31" s="149" t="s">
        <v>853</v>
      </c>
      <c r="L31" s="232">
        <v>70.0</v>
      </c>
      <c r="M31" s="233">
        <v>70.0</v>
      </c>
      <c r="N31" s="154" t="s">
        <v>76</v>
      </c>
    </row>
    <row r="32" ht="78.75" customHeight="1">
      <c r="A32" s="225" t="s">
        <v>854</v>
      </c>
      <c r="B32" s="225" t="s">
        <v>681</v>
      </c>
      <c r="C32" s="226" t="s">
        <v>73</v>
      </c>
      <c r="D32" s="227" t="s">
        <v>848</v>
      </c>
      <c r="E32" s="226">
        <v>21.0</v>
      </c>
      <c r="F32" s="226" t="s">
        <v>855</v>
      </c>
      <c r="G32" s="229" t="s">
        <v>850</v>
      </c>
      <c r="H32" s="226">
        <v>2020.0</v>
      </c>
      <c r="I32" s="230" t="s">
        <v>856</v>
      </c>
      <c r="J32" s="170" t="s">
        <v>852</v>
      </c>
      <c r="K32" s="149" t="s">
        <v>857</v>
      </c>
      <c r="L32" s="234">
        <v>70.0</v>
      </c>
      <c r="M32" s="233">
        <v>70.0</v>
      </c>
      <c r="N32" s="154" t="s">
        <v>76</v>
      </c>
    </row>
    <row r="33" ht="78.75" customHeight="1">
      <c r="A33" s="225" t="s">
        <v>680</v>
      </c>
      <c r="B33" s="225" t="s">
        <v>681</v>
      </c>
      <c r="C33" s="226" t="s">
        <v>73</v>
      </c>
      <c r="D33" s="227" t="s">
        <v>848</v>
      </c>
      <c r="E33" s="226">
        <v>21.0</v>
      </c>
      <c r="F33" s="226" t="s">
        <v>855</v>
      </c>
      <c r="G33" s="229" t="s">
        <v>850</v>
      </c>
      <c r="H33" s="226">
        <v>2020.0</v>
      </c>
      <c r="I33" s="230" t="s">
        <v>858</v>
      </c>
      <c r="J33" s="170" t="s">
        <v>852</v>
      </c>
      <c r="K33" s="149" t="s">
        <v>857</v>
      </c>
      <c r="L33" s="235">
        <v>70.0</v>
      </c>
      <c r="M33" s="154">
        <v>70.0</v>
      </c>
      <c r="N33" s="154" t="s">
        <v>76</v>
      </c>
    </row>
    <row r="34" ht="78.75" customHeight="1">
      <c r="A34" s="225" t="s">
        <v>859</v>
      </c>
      <c r="B34" s="225" t="s">
        <v>681</v>
      </c>
      <c r="C34" s="226" t="s">
        <v>73</v>
      </c>
      <c r="D34" s="227" t="s">
        <v>848</v>
      </c>
      <c r="E34" s="226">
        <v>22.0</v>
      </c>
      <c r="F34" s="226" t="s">
        <v>860</v>
      </c>
      <c r="G34" s="229" t="s">
        <v>850</v>
      </c>
      <c r="H34" s="226">
        <v>2020.0</v>
      </c>
      <c r="I34" s="230" t="s">
        <v>861</v>
      </c>
      <c r="J34" s="170" t="s">
        <v>852</v>
      </c>
      <c r="K34" s="149" t="s">
        <v>862</v>
      </c>
      <c r="L34" s="235">
        <v>70.0</v>
      </c>
      <c r="M34" s="154">
        <v>70.0</v>
      </c>
      <c r="N34" s="154" t="s">
        <v>76</v>
      </c>
    </row>
    <row r="35" ht="78.75" customHeight="1">
      <c r="A35" s="225" t="s">
        <v>863</v>
      </c>
      <c r="B35" s="225" t="s">
        <v>681</v>
      </c>
      <c r="C35" s="226" t="s">
        <v>73</v>
      </c>
      <c r="D35" s="227" t="s">
        <v>848</v>
      </c>
      <c r="E35" s="226">
        <v>22.0</v>
      </c>
      <c r="F35" s="226" t="s">
        <v>860</v>
      </c>
      <c r="G35" s="229" t="s">
        <v>850</v>
      </c>
      <c r="H35" s="226">
        <v>2020.0</v>
      </c>
      <c r="I35" s="230" t="s">
        <v>864</v>
      </c>
      <c r="J35" s="170" t="s">
        <v>852</v>
      </c>
      <c r="K35" s="149" t="s">
        <v>862</v>
      </c>
      <c r="L35" s="235">
        <v>70.0</v>
      </c>
      <c r="M35" s="154">
        <v>70.0</v>
      </c>
      <c r="N35" s="154" t="s">
        <v>76</v>
      </c>
    </row>
    <row r="36" ht="110.25" customHeight="1">
      <c r="A36" s="141" t="s">
        <v>865</v>
      </c>
      <c r="B36" s="141" t="s">
        <v>681</v>
      </c>
      <c r="C36" s="121" t="s">
        <v>73</v>
      </c>
      <c r="D36" s="73" t="s">
        <v>848</v>
      </c>
      <c r="E36" s="121">
        <v>23.0</v>
      </c>
      <c r="F36" s="121" t="s">
        <v>866</v>
      </c>
      <c r="G36" s="143" t="s">
        <v>850</v>
      </c>
      <c r="H36" s="121">
        <v>2020.0</v>
      </c>
      <c r="I36" s="123" t="s">
        <v>867</v>
      </c>
      <c r="J36" s="101" t="s">
        <v>852</v>
      </c>
      <c r="K36" s="100" t="s">
        <v>868</v>
      </c>
      <c r="L36" s="209">
        <v>70.0</v>
      </c>
      <c r="M36" s="77">
        <v>70.0</v>
      </c>
      <c r="N36" s="77" t="s">
        <v>76</v>
      </c>
    </row>
    <row r="37" ht="110.25" customHeight="1">
      <c r="A37" s="141" t="s">
        <v>869</v>
      </c>
      <c r="B37" s="141" t="s">
        <v>681</v>
      </c>
      <c r="C37" s="121" t="s">
        <v>73</v>
      </c>
      <c r="D37" s="73" t="s">
        <v>870</v>
      </c>
      <c r="E37" s="121">
        <v>1.0</v>
      </c>
      <c r="F37" s="236">
        <v>43831.0</v>
      </c>
      <c r="G37" s="143" t="s">
        <v>871</v>
      </c>
      <c r="H37" s="121">
        <v>2020.0</v>
      </c>
      <c r="I37" s="123" t="s">
        <v>872</v>
      </c>
      <c r="J37" s="101" t="s">
        <v>852</v>
      </c>
      <c r="K37" s="100" t="s">
        <v>873</v>
      </c>
      <c r="L37" s="209">
        <v>70.0</v>
      </c>
      <c r="M37" s="77">
        <v>70.0</v>
      </c>
      <c r="N37" s="77" t="s">
        <v>76</v>
      </c>
    </row>
    <row r="38" ht="78.75" customHeight="1">
      <c r="A38" s="225" t="s">
        <v>874</v>
      </c>
      <c r="B38" s="225" t="s">
        <v>681</v>
      </c>
      <c r="C38" s="226" t="s">
        <v>73</v>
      </c>
      <c r="D38" s="227" t="s">
        <v>870</v>
      </c>
      <c r="E38" s="226">
        <v>2.0</v>
      </c>
      <c r="F38" s="228">
        <v>43862.0</v>
      </c>
      <c r="G38" s="229" t="s">
        <v>871</v>
      </c>
      <c r="H38" s="226">
        <v>2020.0</v>
      </c>
      <c r="I38" s="230" t="s">
        <v>875</v>
      </c>
      <c r="J38" s="170" t="s">
        <v>852</v>
      </c>
      <c r="K38" s="149" t="s">
        <v>873</v>
      </c>
      <c r="L38" s="235">
        <v>70.0</v>
      </c>
      <c r="M38" s="154">
        <v>70.0</v>
      </c>
      <c r="N38" s="154" t="s">
        <v>76</v>
      </c>
    </row>
    <row r="39" ht="118.5" customHeight="1">
      <c r="A39" s="237" t="s">
        <v>876</v>
      </c>
      <c r="B39" s="238" t="s">
        <v>877</v>
      </c>
      <c r="C39" s="239" t="s">
        <v>73</v>
      </c>
      <c r="D39" s="170" t="s">
        <v>878</v>
      </c>
      <c r="E39" s="239">
        <v>27.0</v>
      </c>
      <c r="F39" s="239">
        <v>2.0</v>
      </c>
      <c r="G39" s="239" t="s">
        <v>879</v>
      </c>
      <c r="H39" s="239">
        <v>2020.0</v>
      </c>
      <c r="I39" s="240" t="s">
        <v>880</v>
      </c>
      <c r="J39" s="241" t="s">
        <v>838</v>
      </c>
      <c r="K39" s="242" t="s">
        <v>881</v>
      </c>
      <c r="L39" s="232">
        <v>70.0</v>
      </c>
      <c r="M39" s="154">
        <v>70.0</v>
      </c>
      <c r="N39" s="154" t="s">
        <v>882</v>
      </c>
    </row>
    <row r="40" ht="276.75" customHeight="1">
      <c r="A40" s="243" t="s">
        <v>883</v>
      </c>
      <c r="B40" s="238" t="s">
        <v>80</v>
      </c>
      <c r="C40" s="239" t="s">
        <v>73</v>
      </c>
      <c r="D40" s="244" t="s">
        <v>884</v>
      </c>
      <c r="E40" s="245">
        <v>24.0</v>
      </c>
      <c r="F40" s="239">
        <v>2.0</v>
      </c>
      <c r="G40" s="150" t="s">
        <v>885</v>
      </c>
      <c r="H40" s="239">
        <v>2020.0</v>
      </c>
      <c r="I40" s="240" t="s">
        <v>886</v>
      </c>
      <c r="J40" s="246" t="s">
        <v>887</v>
      </c>
      <c r="K40" s="242" t="s">
        <v>888</v>
      </c>
      <c r="L40" s="235">
        <v>70.0</v>
      </c>
      <c r="M40" s="154">
        <v>70.0</v>
      </c>
      <c r="N40" s="154" t="s">
        <v>882</v>
      </c>
    </row>
    <row r="41" ht="52.5" customHeight="1">
      <c r="A41" s="238" t="s">
        <v>889</v>
      </c>
      <c r="B41" s="238" t="s">
        <v>877</v>
      </c>
      <c r="C41" s="239" t="s">
        <v>73</v>
      </c>
      <c r="D41" s="170" t="s">
        <v>890</v>
      </c>
      <c r="E41" s="239">
        <v>17.0</v>
      </c>
      <c r="F41" s="239"/>
      <c r="G41" s="247" t="s">
        <v>891</v>
      </c>
      <c r="H41" s="239">
        <v>2020.0</v>
      </c>
      <c r="I41" s="240" t="s">
        <v>892</v>
      </c>
      <c r="J41" s="170" t="s">
        <v>893</v>
      </c>
      <c r="K41" s="170" t="s">
        <v>894</v>
      </c>
      <c r="L41" s="235"/>
      <c r="M41" s="154">
        <v>70.0</v>
      </c>
      <c r="N41" s="154" t="s">
        <v>882</v>
      </c>
    </row>
    <row r="42" ht="52.5" customHeight="1">
      <c r="A42" s="247" t="s">
        <v>895</v>
      </c>
      <c r="B42" s="238" t="s">
        <v>877</v>
      </c>
      <c r="C42" s="239" t="s">
        <v>73</v>
      </c>
      <c r="D42" s="170" t="s">
        <v>890</v>
      </c>
      <c r="E42" s="239">
        <v>17.0</v>
      </c>
      <c r="F42" s="239"/>
      <c r="G42" s="247" t="s">
        <v>891</v>
      </c>
      <c r="H42" s="239">
        <v>2020.0</v>
      </c>
      <c r="I42" s="240" t="s">
        <v>896</v>
      </c>
      <c r="J42" s="170" t="s">
        <v>893</v>
      </c>
      <c r="K42" s="170" t="s">
        <v>894</v>
      </c>
      <c r="L42" s="235">
        <v>70.0</v>
      </c>
      <c r="M42" s="154">
        <v>70.0</v>
      </c>
      <c r="N42" s="154" t="s">
        <v>882</v>
      </c>
    </row>
    <row r="43" ht="92.25" customHeight="1">
      <c r="A43" s="248" t="s">
        <v>897</v>
      </c>
      <c r="B43" s="238" t="s">
        <v>877</v>
      </c>
      <c r="C43" s="239" t="s">
        <v>73</v>
      </c>
      <c r="D43" s="146"/>
      <c r="E43" s="147" t="s">
        <v>898</v>
      </c>
      <c r="F43" s="147">
        <v>4.0</v>
      </c>
      <c r="G43" s="245" t="s">
        <v>899</v>
      </c>
      <c r="H43" s="147"/>
      <c r="I43" s="151" t="s">
        <v>900</v>
      </c>
      <c r="J43" s="245" t="s">
        <v>901</v>
      </c>
      <c r="K43" s="170" t="s">
        <v>902</v>
      </c>
      <c r="L43" s="249">
        <v>70.0</v>
      </c>
      <c r="M43" s="154">
        <v>70.0</v>
      </c>
      <c r="N43" s="154" t="s">
        <v>882</v>
      </c>
    </row>
    <row r="44" ht="92.25" customHeight="1">
      <c r="A44" s="242" t="s">
        <v>903</v>
      </c>
      <c r="B44" s="238" t="s">
        <v>877</v>
      </c>
      <c r="C44" s="239" t="s">
        <v>73</v>
      </c>
      <c r="D44" s="250" t="s">
        <v>904</v>
      </c>
      <c r="E44" s="147" t="s">
        <v>898</v>
      </c>
      <c r="F44" s="147">
        <v>4.0</v>
      </c>
      <c r="G44" s="245" t="s">
        <v>899</v>
      </c>
      <c r="H44" s="147">
        <v>2020.0</v>
      </c>
      <c r="I44" s="151" t="s">
        <v>905</v>
      </c>
      <c r="J44" s="245" t="s">
        <v>901</v>
      </c>
      <c r="K44" s="170" t="s">
        <v>902</v>
      </c>
      <c r="L44" s="251">
        <v>70.0</v>
      </c>
      <c r="M44" s="154">
        <v>70.0</v>
      </c>
      <c r="N44" s="154" t="s">
        <v>882</v>
      </c>
    </row>
    <row r="45" ht="118.5" customHeight="1">
      <c r="A45" s="252" t="s">
        <v>906</v>
      </c>
      <c r="B45" s="170" t="s">
        <v>94</v>
      </c>
      <c r="C45" s="170" t="s">
        <v>73</v>
      </c>
      <c r="D45" s="253" t="s">
        <v>907</v>
      </c>
      <c r="E45" s="254">
        <v>11.0</v>
      </c>
      <c r="F45" s="255">
        <v>10.0</v>
      </c>
      <c r="G45" s="254" t="s">
        <v>908</v>
      </c>
      <c r="H45" s="256">
        <v>2020.0</v>
      </c>
      <c r="I45" s="254" t="s">
        <v>909</v>
      </c>
      <c r="J45" s="253" t="s">
        <v>910</v>
      </c>
      <c r="K45" s="257" t="s">
        <v>911</v>
      </c>
      <c r="L45" s="256">
        <v>70.0</v>
      </c>
      <c r="M45" s="168">
        <v>70.0</v>
      </c>
      <c r="N45" s="154" t="s">
        <v>94</v>
      </c>
    </row>
    <row r="46" ht="110.25" customHeight="1">
      <c r="A46" s="141" t="s">
        <v>912</v>
      </c>
      <c r="B46" s="141" t="s">
        <v>913</v>
      </c>
      <c r="C46" s="121" t="s">
        <v>73</v>
      </c>
      <c r="D46" s="73" t="s">
        <v>914</v>
      </c>
      <c r="E46" s="121"/>
      <c r="F46" s="121">
        <v>20.0</v>
      </c>
      <c r="G46" s="143" t="s">
        <v>915</v>
      </c>
      <c r="H46" s="121">
        <v>2020.0</v>
      </c>
      <c r="I46" s="123" t="s">
        <v>916</v>
      </c>
      <c r="J46" s="101" t="s">
        <v>917</v>
      </c>
      <c r="K46" s="101" t="s">
        <v>918</v>
      </c>
      <c r="L46" s="76"/>
      <c r="M46" s="144">
        <v>70.0</v>
      </c>
      <c r="N46" s="77" t="s">
        <v>919</v>
      </c>
    </row>
    <row r="47" ht="66.0" customHeight="1">
      <c r="A47" s="225" t="s">
        <v>920</v>
      </c>
      <c r="B47" s="225" t="s">
        <v>913</v>
      </c>
      <c r="C47" s="226" t="s">
        <v>142</v>
      </c>
      <c r="D47" s="227" t="s">
        <v>921</v>
      </c>
      <c r="E47" s="226">
        <v>2.0</v>
      </c>
      <c r="F47" s="226">
        <v>21.0</v>
      </c>
      <c r="G47" s="229" t="s">
        <v>922</v>
      </c>
      <c r="H47" s="226">
        <v>2020.0</v>
      </c>
      <c r="I47" s="230" t="s">
        <v>923</v>
      </c>
      <c r="J47" s="170" t="s">
        <v>924</v>
      </c>
      <c r="K47" s="170" t="s">
        <v>925</v>
      </c>
      <c r="L47" s="235"/>
      <c r="M47" s="154">
        <v>70.0</v>
      </c>
      <c r="N47" s="154" t="s">
        <v>919</v>
      </c>
    </row>
    <row r="48" ht="66.0" customHeight="1">
      <c r="A48" s="225" t="s">
        <v>926</v>
      </c>
      <c r="B48" s="225" t="s">
        <v>913</v>
      </c>
      <c r="C48" s="226" t="s">
        <v>142</v>
      </c>
      <c r="D48" s="227" t="s">
        <v>921</v>
      </c>
      <c r="E48" s="226">
        <v>1.0</v>
      </c>
      <c r="F48" s="226">
        <v>21.0</v>
      </c>
      <c r="G48" s="229" t="s">
        <v>922</v>
      </c>
      <c r="H48" s="226">
        <v>2020.0</v>
      </c>
      <c r="I48" s="230" t="s">
        <v>927</v>
      </c>
      <c r="J48" s="170" t="s">
        <v>924</v>
      </c>
      <c r="K48" s="170" t="s">
        <v>928</v>
      </c>
      <c r="L48" s="235"/>
      <c r="M48" s="154">
        <v>70.0</v>
      </c>
      <c r="N48" s="154" t="s">
        <v>919</v>
      </c>
    </row>
    <row r="49" ht="92.25" customHeight="1">
      <c r="A49" s="225" t="s">
        <v>929</v>
      </c>
      <c r="B49" s="225" t="s">
        <v>913</v>
      </c>
      <c r="C49" s="226" t="s">
        <v>73</v>
      </c>
      <c r="D49" s="227" t="s">
        <v>914</v>
      </c>
      <c r="E49" s="226"/>
      <c r="F49" s="226">
        <v>23.0</v>
      </c>
      <c r="G49" s="229" t="s">
        <v>915</v>
      </c>
      <c r="H49" s="226">
        <v>2020.0</v>
      </c>
      <c r="I49" s="230" t="s">
        <v>930</v>
      </c>
      <c r="J49" s="170" t="s">
        <v>917</v>
      </c>
      <c r="K49" s="170" t="s">
        <v>868</v>
      </c>
      <c r="L49" s="232"/>
      <c r="M49" s="233">
        <v>70.0</v>
      </c>
      <c r="N49" s="154" t="s">
        <v>919</v>
      </c>
    </row>
    <row r="50" ht="92.25" customHeight="1">
      <c r="A50" s="258" t="s">
        <v>931</v>
      </c>
      <c r="B50" s="225" t="s">
        <v>913</v>
      </c>
      <c r="C50" s="226" t="s">
        <v>73</v>
      </c>
      <c r="D50" s="227" t="s">
        <v>914</v>
      </c>
      <c r="E50" s="226"/>
      <c r="F50" s="226">
        <v>23.0</v>
      </c>
      <c r="G50" s="229" t="s">
        <v>915</v>
      </c>
      <c r="H50" s="226">
        <v>2020.0</v>
      </c>
      <c r="I50" s="151" t="s">
        <v>932</v>
      </c>
      <c r="J50" s="170" t="s">
        <v>917</v>
      </c>
      <c r="K50" s="170" t="s">
        <v>868</v>
      </c>
      <c r="L50" s="259"/>
      <c r="M50" s="153">
        <v>70.0</v>
      </c>
      <c r="N50" s="154" t="s">
        <v>919</v>
      </c>
    </row>
    <row r="51" ht="156.0" customHeight="1">
      <c r="A51" s="225" t="s">
        <v>933</v>
      </c>
      <c r="B51" s="225" t="s">
        <v>934</v>
      </c>
      <c r="C51" s="226" t="s">
        <v>73</v>
      </c>
      <c r="D51" s="227" t="s">
        <v>878</v>
      </c>
      <c r="E51" s="226" t="s">
        <v>935</v>
      </c>
      <c r="F51" s="226" t="s">
        <v>253</v>
      </c>
      <c r="G51" s="260" t="s">
        <v>879</v>
      </c>
      <c r="H51" s="226">
        <v>2020.0</v>
      </c>
      <c r="I51" s="230" t="s">
        <v>936</v>
      </c>
      <c r="J51" s="261" t="s">
        <v>838</v>
      </c>
      <c r="K51" s="262" t="s">
        <v>937</v>
      </c>
      <c r="L51" s="232">
        <v>70.0</v>
      </c>
      <c r="M51" s="233">
        <v>70.0</v>
      </c>
      <c r="N51" s="154" t="s">
        <v>938</v>
      </c>
    </row>
    <row r="52" ht="52.5" customHeight="1">
      <c r="A52" s="258" t="s">
        <v>939</v>
      </c>
      <c r="B52" s="225" t="s">
        <v>934</v>
      </c>
      <c r="C52" s="226" t="s">
        <v>142</v>
      </c>
      <c r="D52" s="170" t="s">
        <v>890</v>
      </c>
      <c r="E52" s="239" t="s">
        <v>253</v>
      </c>
      <c r="F52" s="147">
        <v>17.0</v>
      </c>
      <c r="G52" s="263" t="s">
        <v>891</v>
      </c>
      <c r="H52" s="147">
        <v>2020.0</v>
      </c>
      <c r="I52" s="151" t="s">
        <v>940</v>
      </c>
      <c r="J52" s="170" t="s">
        <v>893</v>
      </c>
      <c r="K52" s="264" t="s">
        <v>894</v>
      </c>
      <c r="L52" s="259">
        <v>70.0</v>
      </c>
      <c r="M52" s="153">
        <v>70.0</v>
      </c>
      <c r="N52" s="154" t="s">
        <v>98</v>
      </c>
    </row>
    <row r="53" ht="184.5" customHeight="1">
      <c r="A53" s="265" t="s">
        <v>941</v>
      </c>
      <c r="B53" s="265" t="s">
        <v>942</v>
      </c>
      <c r="C53" s="266" t="s">
        <v>100</v>
      </c>
      <c r="D53" s="267" t="s">
        <v>943</v>
      </c>
      <c r="E53" s="266">
        <v>8.0</v>
      </c>
      <c r="F53" s="266" t="s">
        <v>944</v>
      </c>
      <c r="G53" s="268" t="s">
        <v>945</v>
      </c>
      <c r="H53" s="266">
        <v>2020.0</v>
      </c>
      <c r="I53" s="269" t="s">
        <v>946</v>
      </c>
      <c r="J53" s="87" t="s">
        <v>947</v>
      </c>
      <c r="K53" s="270" t="s">
        <v>948</v>
      </c>
      <c r="L53" s="91">
        <v>70.0</v>
      </c>
      <c r="M53" s="271">
        <v>70.0</v>
      </c>
      <c r="N53" s="92" t="s">
        <v>949</v>
      </c>
    </row>
    <row r="54" ht="184.5" customHeight="1">
      <c r="A54" s="265" t="s">
        <v>950</v>
      </c>
      <c r="B54" s="265" t="s">
        <v>942</v>
      </c>
      <c r="C54" s="266" t="s">
        <v>100</v>
      </c>
      <c r="D54" s="267" t="s">
        <v>951</v>
      </c>
      <c r="E54" s="266">
        <v>22.0</v>
      </c>
      <c r="F54" s="266">
        <v>44.0</v>
      </c>
      <c r="G54" s="268" t="s">
        <v>952</v>
      </c>
      <c r="H54" s="266">
        <v>2020.0</v>
      </c>
      <c r="I54" s="269" t="s">
        <v>512</v>
      </c>
      <c r="J54" s="87" t="s">
        <v>947</v>
      </c>
      <c r="K54" s="270" t="s">
        <v>953</v>
      </c>
      <c r="L54" s="272">
        <v>70.0</v>
      </c>
      <c r="M54" s="271">
        <v>70.0</v>
      </c>
      <c r="N54" s="92" t="s">
        <v>949</v>
      </c>
    </row>
    <row r="55" ht="184.5" customHeight="1">
      <c r="A55" s="265" t="s">
        <v>954</v>
      </c>
      <c r="B55" s="265" t="s">
        <v>942</v>
      </c>
      <c r="C55" s="266" t="s">
        <v>100</v>
      </c>
      <c r="D55" s="267" t="s">
        <v>951</v>
      </c>
      <c r="E55" s="266">
        <v>22.0</v>
      </c>
      <c r="F55" s="266">
        <v>45.0</v>
      </c>
      <c r="G55" s="268" t="s">
        <v>952</v>
      </c>
      <c r="H55" s="266">
        <v>2020.0</v>
      </c>
      <c r="I55" s="269" t="s">
        <v>955</v>
      </c>
      <c r="J55" s="87" t="s">
        <v>947</v>
      </c>
      <c r="K55" s="270" t="s">
        <v>953</v>
      </c>
      <c r="L55" s="273">
        <v>70.0</v>
      </c>
      <c r="M55" s="271">
        <v>70.0</v>
      </c>
      <c r="N55" s="92" t="s">
        <v>949</v>
      </c>
    </row>
    <row r="56" ht="79.5" customHeight="1">
      <c r="A56" s="265" t="s">
        <v>956</v>
      </c>
      <c r="B56" s="274" t="s">
        <v>957</v>
      </c>
      <c r="C56" s="266" t="s">
        <v>100</v>
      </c>
      <c r="D56" s="267" t="s">
        <v>958</v>
      </c>
      <c r="E56" s="266">
        <v>100.0</v>
      </c>
      <c r="F56" s="266">
        <v>4.0</v>
      </c>
      <c r="G56" s="268"/>
      <c r="H56" s="266">
        <v>2020.0</v>
      </c>
      <c r="I56" s="269" t="s">
        <v>959</v>
      </c>
      <c r="J56" s="275" t="s">
        <v>960</v>
      </c>
      <c r="K56" s="87" t="s">
        <v>961</v>
      </c>
      <c r="L56" s="91">
        <v>70.0</v>
      </c>
      <c r="M56" s="91">
        <v>70.0</v>
      </c>
      <c r="N56" s="92" t="s">
        <v>120</v>
      </c>
    </row>
    <row r="57" ht="82.5" customHeight="1">
      <c r="A57" s="276" t="s">
        <v>962</v>
      </c>
      <c r="B57" s="277" t="s">
        <v>963</v>
      </c>
      <c r="C57" s="278" t="s">
        <v>964</v>
      </c>
      <c r="D57" s="279" t="s">
        <v>965</v>
      </c>
      <c r="E57" s="280">
        <v>5.0</v>
      </c>
      <c r="F57" s="278">
        <v>1.0</v>
      </c>
      <c r="G57" s="281" t="s">
        <v>966</v>
      </c>
      <c r="H57" s="280">
        <v>2020.0</v>
      </c>
      <c r="I57" s="282" t="s">
        <v>967</v>
      </c>
      <c r="J57" s="283" t="s">
        <v>968</v>
      </c>
      <c r="K57" s="284" t="s">
        <v>969</v>
      </c>
      <c r="L57" s="285">
        <v>70.0</v>
      </c>
      <c r="M57" s="286">
        <v>70.0</v>
      </c>
      <c r="N57" s="92" t="s">
        <v>115</v>
      </c>
    </row>
    <row r="58" ht="123.75" customHeight="1">
      <c r="A58" s="287" t="s">
        <v>970</v>
      </c>
      <c r="B58" s="288" t="s">
        <v>971</v>
      </c>
      <c r="C58" s="289" t="s">
        <v>100</v>
      </c>
      <c r="D58" s="283" t="s">
        <v>972</v>
      </c>
      <c r="E58" s="289">
        <v>25.0</v>
      </c>
      <c r="F58" s="289">
        <v>4.0</v>
      </c>
      <c r="G58" s="290" t="s">
        <v>973</v>
      </c>
      <c r="H58" s="289">
        <v>2020.0</v>
      </c>
      <c r="I58" s="291" t="s">
        <v>974</v>
      </c>
      <c r="J58" s="283" t="s">
        <v>975</v>
      </c>
      <c r="K58" s="284" t="s">
        <v>976</v>
      </c>
      <c r="L58" s="292">
        <v>70.0</v>
      </c>
      <c r="M58" s="286">
        <v>70.0</v>
      </c>
      <c r="N58" s="92" t="s">
        <v>971</v>
      </c>
    </row>
    <row r="59" ht="69.0" customHeight="1">
      <c r="A59" s="288" t="s">
        <v>977</v>
      </c>
      <c r="B59" s="288" t="s">
        <v>971</v>
      </c>
      <c r="C59" s="289" t="s">
        <v>100</v>
      </c>
      <c r="D59" s="283" t="s">
        <v>978</v>
      </c>
      <c r="E59" s="289">
        <v>72.0</v>
      </c>
      <c r="F59" s="289">
        <v>3.0</v>
      </c>
      <c r="G59" s="290" t="s">
        <v>979</v>
      </c>
      <c r="H59" s="289">
        <v>2020.0</v>
      </c>
      <c r="I59" s="291" t="s">
        <v>980</v>
      </c>
      <c r="J59" s="283" t="s">
        <v>981</v>
      </c>
      <c r="K59" s="284" t="s">
        <v>982</v>
      </c>
      <c r="L59" s="293">
        <v>70.0</v>
      </c>
      <c r="M59" s="286">
        <v>70.0</v>
      </c>
      <c r="N59" s="92" t="s">
        <v>983</v>
      </c>
    </row>
    <row r="60" ht="151.5" customHeight="1">
      <c r="A60" s="141" t="s">
        <v>984</v>
      </c>
      <c r="B60" s="141" t="s">
        <v>985</v>
      </c>
      <c r="C60" s="121" t="s">
        <v>100</v>
      </c>
      <c r="D60" s="73" t="s">
        <v>986</v>
      </c>
      <c r="E60" s="121">
        <v>3.0</v>
      </c>
      <c r="F60" s="121" t="s">
        <v>987</v>
      </c>
      <c r="G60" s="143" t="s">
        <v>988</v>
      </c>
      <c r="H60" s="121">
        <v>2020.0</v>
      </c>
      <c r="I60" s="123" t="s">
        <v>989</v>
      </c>
      <c r="J60" s="101" t="s">
        <v>990</v>
      </c>
      <c r="K60" s="101" t="s">
        <v>991</v>
      </c>
      <c r="L60" s="76">
        <v>70.0</v>
      </c>
      <c r="M60" s="144">
        <v>35.0</v>
      </c>
      <c r="N60" s="77" t="s">
        <v>105</v>
      </c>
    </row>
    <row r="61" ht="66.0" customHeight="1">
      <c r="A61" s="294" t="s">
        <v>992</v>
      </c>
      <c r="B61" s="225" t="s">
        <v>993</v>
      </c>
      <c r="C61" s="226" t="s">
        <v>123</v>
      </c>
      <c r="D61" s="227" t="s">
        <v>994</v>
      </c>
      <c r="E61" s="226" t="s">
        <v>995</v>
      </c>
      <c r="F61" s="295">
        <v>8.0</v>
      </c>
      <c r="G61" s="296" t="s">
        <v>996</v>
      </c>
      <c r="H61" s="295">
        <v>2020.0</v>
      </c>
      <c r="I61" s="297" t="s">
        <v>997</v>
      </c>
      <c r="J61" s="170" t="s">
        <v>998</v>
      </c>
      <c r="K61" s="264" t="s">
        <v>999</v>
      </c>
      <c r="L61" s="298">
        <v>70.0</v>
      </c>
      <c r="M61" s="299">
        <v>70.0</v>
      </c>
      <c r="N61" s="154" t="s">
        <v>122</v>
      </c>
    </row>
    <row r="62" ht="118.5" customHeight="1">
      <c r="A62" s="294" t="s">
        <v>1000</v>
      </c>
      <c r="B62" s="225" t="s">
        <v>1001</v>
      </c>
      <c r="C62" s="226" t="s">
        <v>123</v>
      </c>
      <c r="D62" s="227" t="s">
        <v>1002</v>
      </c>
      <c r="E62" s="226" t="s">
        <v>1003</v>
      </c>
      <c r="F62" s="295">
        <v>2.0</v>
      </c>
      <c r="G62" s="296" t="s">
        <v>1004</v>
      </c>
      <c r="H62" s="295">
        <v>2020.0</v>
      </c>
      <c r="I62" s="297" t="s">
        <v>1005</v>
      </c>
      <c r="J62" s="170" t="s">
        <v>1006</v>
      </c>
      <c r="K62" s="264" t="s">
        <v>1007</v>
      </c>
      <c r="L62" s="298">
        <v>70.0</v>
      </c>
      <c r="M62" s="299">
        <v>70.0</v>
      </c>
      <c r="N62" s="154" t="s">
        <v>126</v>
      </c>
    </row>
    <row r="63" ht="52.5" customHeight="1">
      <c r="A63" s="294" t="s">
        <v>1008</v>
      </c>
      <c r="B63" s="225" t="s">
        <v>1009</v>
      </c>
      <c r="C63" s="226" t="s">
        <v>123</v>
      </c>
      <c r="D63" s="227" t="s">
        <v>1010</v>
      </c>
      <c r="E63" s="226">
        <v>2.0</v>
      </c>
      <c r="F63" s="295">
        <v>183.0</v>
      </c>
      <c r="G63" s="296" t="s">
        <v>1011</v>
      </c>
      <c r="H63" s="295">
        <v>2020.0</v>
      </c>
      <c r="I63" s="297" t="s">
        <v>1012</v>
      </c>
      <c r="J63" s="170" t="s">
        <v>1013</v>
      </c>
      <c r="K63" s="264" t="s">
        <v>1014</v>
      </c>
      <c r="L63" s="298">
        <v>70.0</v>
      </c>
      <c r="M63" s="299">
        <v>70.0</v>
      </c>
      <c r="N63" s="154" t="s">
        <v>128</v>
      </c>
    </row>
    <row r="64" ht="52.5" customHeight="1">
      <c r="A64" s="294" t="s">
        <v>1015</v>
      </c>
      <c r="B64" s="225" t="s">
        <v>1009</v>
      </c>
      <c r="C64" s="226" t="s">
        <v>123</v>
      </c>
      <c r="D64" s="227" t="s">
        <v>1016</v>
      </c>
      <c r="E64" s="226">
        <v>1.0</v>
      </c>
      <c r="F64" s="295">
        <v>1.0</v>
      </c>
      <c r="G64" s="296" t="s">
        <v>1017</v>
      </c>
      <c r="H64" s="295">
        <v>2020.0</v>
      </c>
      <c r="I64" s="297" t="s">
        <v>1018</v>
      </c>
      <c r="J64" s="170" t="s">
        <v>1019</v>
      </c>
      <c r="K64" s="264" t="s">
        <v>1020</v>
      </c>
      <c r="L64" s="298">
        <v>70.0</v>
      </c>
      <c r="M64" s="299">
        <v>70.0</v>
      </c>
      <c r="N64" s="154" t="s">
        <v>128</v>
      </c>
    </row>
    <row r="65" ht="39.0" customHeight="1">
      <c r="A65" s="294" t="s">
        <v>1021</v>
      </c>
      <c r="B65" s="225" t="s">
        <v>1009</v>
      </c>
      <c r="C65" s="226" t="s">
        <v>123</v>
      </c>
      <c r="D65" s="227" t="s">
        <v>1022</v>
      </c>
      <c r="E65" s="226">
        <v>2.0</v>
      </c>
      <c r="F65" s="295">
        <v>2.0</v>
      </c>
      <c r="G65" s="296" t="s">
        <v>1023</v>
      </c>
      <c r="H65" s="295">
        <v>2020.0</v>
      </c>
      <c r="I65" s="297" t="s">
        <v>782</v>
      </c>
      <c r="J65" s="170" t="s">
        <v>1024</v>
      </c>
      <c r="K65" s="264" t="s">
        <v>1025</v>
      </c>
      <c r="L65" s="298">
        <v>70.0</v>
      </c>
      <c r="M65" s="299">
        <v>70.0</v>
      </c>
      <c r="N65" s="154" t="s">
        <v>128</v>
      </c>
    </row>
    <row r="66" ht="52.5" customHeight="1">
      <c r="A66" s="294" t="s">
        <v>1026</v>
      </c>
      <c r="B66" s="225" t="s">
        <v>1027</v>
      </c>
      <c r="C66" s="226" t="s">
        <v>123</v>
      </c>
      <c r="D66" s="227" t="s">
        <v>1028</v>
      </c>
      <c r="E66" s="226">
        <v>0.0</v>
      </c>
      <c r="F66" s="295" t="s">
        <v>1029</v>
      </c>
      <c r="G66" s="296">
        <v>1.2219762E7</v>
      </c>
      <c r="H66" s="295">
        <v>2020.0</v>
      </c>
      <c r="I66" s="297" t="s">
        <v>1030</v>
      </c>
      <c r="J66" s="170" t="s">
        <v>1031</v>
      </c>
      <c r="K66" s="264" t="s">
        <v>1032</v>
      </c>
      <c r="L66" s="298">
        <v>25.0</v>
      </c>
      <c r="M66" s="299">
        <v>25.0</v>
      </c>
      <c r="N66" s="154" t="s">
        <v>131</v>
      </c>
    </row>
    <row r="67" ht="78.75" customHeight="1">
      <c r="A67" s="294" t="s">
        <v>1033</v>
      </c>
      <c r="B67" s="225" t="s">
        <v>1034</v>
      </c>
      <c r="C67" s="226" t="s">
        <v>123</v>
      </c>
      <c r="D67" s="227" t="s">
        <v>1028</v>
      </c>
      <c r="E67" s="226">
        <v>0.0</v>
      </c>
      <c r="F67" s="295" t="s">
        <v>1035</v>
      </c>
      <c r="G67" s="296">
        <v>1.2219762E7</v>
      </c>
      <c r="H67" s="295">
        <v>2020.0</v>
      </c>
      <c r="I67" s="297" t="s">
        <v>1036</v>
      </c>
      <c r="J67" s="170" t="s">
        <v>1031</v>
      </c>
      <c r="K67" s="264" t="s">
        <v>1037</v>
      </c>
      <c r="L67" s="298">
        <v>25.0</v>
      </c>
      <c r="M67" s="299">
        <v>12.5</v>
      </c>
      <c r="N67" s="154" t="s">
        <v>131</v>
      </c>
    </row>
    <row r="68" ht="66.0" customHeight="1">
      <c r="A68" s="294" t="s">
        <v>1038</v>
      </c>
      <c r="B68" s="225" t="s">
        <v>1039</v>
      </c>
      <c r="C68" s="226" t="s">
        <v>123</v>
      </c>
      <c r="D68" s="227" t="s">
        <v>1040</v>
      </c>
      <c r="E68" s="226">
        <v>9.0</v>
      </c>
      <c r="F68" s="295">
        <v>2.0</v>
      </c>
      <c r="G68" s="296" t="s">
        <v>1041</v>
      </c>
      <c r="H68" s="295">
        <v>2020.0</v>
      </c>
      <c r="I68" s="297" t="s">
        <v>1042</v>
      </c>
      <c r="J68" s="170" t="s">
        <v>1043</v>
      </c>
      <c r="K68" s="264" t="s">
        <v>1044</v>
      </c>
      <c r="L68" s="298">
        <v>70.0</v>
      </c>
      <c r="M68" s="299">
        <v>35.0</v>
      </c>
      <c r="N68" s="154" t="s">
        <v>132</v>
      </c>
    </row>
    <row r="69" ht="118.5" customHeight="1">
      <c r="A69" s="294" t="s">
        <v>1045</v>
      </c>
      <c r="B69" s="225" t="s">
        <v>1046</v>
      </c>
      <c r="C69" s="226" t="s">
        <v>123</v>
      </c>
      <c r="D69" s="227" t="s">
        <v>1002</v>
      </c>
      <c r="E69" s="226" t="s">
        <v>1003</v>
      </c>
      <c r="F69" s="295">
        <v>1.0</v>
      </c>
      <c r="G69" s="296" t="s">
        <v>1004</v>
      </c>
      <c r="H69" s="295">
        <v>2020.0</v>
      </c>
      <c r="I69" s="297" t="s">
        <v>1047</v>
      </c>
      <c r="J69" s="170" t="s">
        <v>1006</v>
      </c>
      <c r="K69" s="264" t="s">
        <v>1048</v>
      </c>
      <c r="L69" s="298">
        <v>25.0</v>
      </c>
      <c r="M69" s="299">
        <v>25.0</v>
      </c>
      <c r="N69" s="154" t="s">
        <v>132</v>
      </c>
    </row>
    <row r="70" ht="66.0" customHeight="1">
      <c r="A70" s="294" t="s">
        <v>1049</v>
      </c>
      <c r="B70" s="225" t="s">
        <v>1050</v>
      </c>
      <c r="C70" s="226" t="s">
        <v>123</v>
      </c>
      <c r="D70" s="227" t="s">
        <v>1051</v>
      </c>
      <c r="E70" s="226" t="s">
        <v>1052</v>
      </c>
      <c r="F70" s="295">
        <v>1.0</v>
      </c>
      <c r="G70" s="296" t="s">
        <v>1053</v>
      </c>
      <c r="H70" s="295">
        <v>2020.0</v>
      </c>
      <c r="I70" s="297" t="s">
        <v>1054</v>
      </c>
      <c r="J70" s="170" t="s">
        <v>1055</v>
      </c>
      <c r="K70" s="264" t="s">
        <v>1056</v>
      </c>
      <c r="L70" s="298">
        <v>70.0</v>
      </c>
      <c r="M70" s="299">
        <v>70.0</v>
      </c>
      <c r="N70" s="154" t="s">
        <v>134</v>
      </c>
    </row>
    <row r="71" ht="66.0" customHeight="1">
      <c r="A71" s="294" t="s">
        <v>1057</v>
      </c>
      <c r="B71" s="225" t="s">
        <v>1058</v>
      </c>
      <c r="C71" s="226" t="s">
        <v>123</v>
      </c>
      <c r="D71" s="227" t="s">
        <v>1051</v>
      </c>
      <c r="E71" s="226" t="s">
        <v>1052</v>
      </c>
      <c r="F71" s="295">
        <v>1.0</v>
      </c>
      <c r="G71" s="296" t="s">
        <v>1053</v>
      </c>
      <c r="H71" s="295">
        <v>2020.0</v>
      </c>
      <c r="I71" s="297" t="s">
        <v>1059</v>
      </c>
      <c r="J71" s="170" t="s">
        <v>1055</v>
      </c>
      <c r="K71" s="264" t="s">
        <v>1056</v>
      </c>
      <c r="L71" s="298">
        <v>70.0</v>
      </c>
      <c r="M71" s="299">
        <v>35.0</v>
      </c>
      <c r="N71" s="154" t="s">
        <v>134</v>
      </c>
    </row>
    <row r="72" ht="52.5" customHeight="1">
      <c r="A72" s="294" t="s">
        <v>1060</v>
      </c>
      <c r="B72" s="225" t="s">
        <v>1061</v>
      </c>
      <c r="C72" s="226" t="s">
        <v>123</v>
      </c>
      <c r="D72" s="227" t="s">
        <v>1062</v>
      </c>
      <c r="E72" s="226" t="s">
        <v>1063</v>
      </c>
      <c r="F72" s="295" t="s">
        <v>1064</v>
      </c>
      <c r="G72" s="296" t="s">
        <v>1065</v>
      </c>
      <c r="H72" s="295">
        <v>2020.0</v>
      </c>
      <c r="I72" s="297" t="s">
        <v>1066</v>
      </c>
      <c r="J72" s="170" t="s">
        <v>1067</v>
      </c>
      <c r="K72" s="264" t="s">
        <v>1068</v>
      </c>
      <c r="L72" s="298">
        <v>70.0</v>
      </c>
      <c r="M72" s="299">
        <v>70.0</v>
      </c>
      <c r="N72" s="154" t="s">
        <v>135</v>
      </c>
    </row>
    <row r="73" ht="158.25" customHeight="1">
      <c r="A73" s="294" t="s">
        <v>1069</v>
      </c>
      <c r="B73" s="225" t="s">
        <v>1061</v>
      </c>
      <c r="C73" s="226" t="s">
        <v>123</v>
      </c>
      <c r="D73" s="227" t="s">
        <v>1070</v>
      </c>
      <c r="E73" s="226" t="s">
        <v>1003</v>
      </c>
      <c r="F73" s="295" t="s">
        <v>1071</v>
      </c>
      <c r="G73" s="296" t="s">
        <v>1072</v>
      </c>
      <c r="H73" s="295">
        <v>2020.0</v>
      </c>
      <c r="I73" s="297" t="s">
        <v>1073</v>
      </c>
      <c r="J73" s="170" t="s">
        <v>1074</v>
      </c>
      <c r="K73" s="264" t="s">
        <v>1007</v>
      </c>
      <c r="L73" s="298">
        <v>70.0</v>
      </c>
      <c r="M73" s="299">
        <v>70.0</v>
      </c>
      <c r="N73" s="154" t="s">
        <v>135</v>
      </c>
    </row>
    <row r="74" ht="290.25" customHeight="1">
      <c r="A74" s="294" t="s">
        <v>1075</v>
      </c>
      <c r="B74" s="225" t="s">
        <v>1076</v>
      </c>
      <c r="C74" s="226" t="s">
        <v>123</v>
      </c>
      <c r="D74" s="227" t="s">
        <v>1077</v>
      </c>
      <c r="E74" s="226" t="s">
        <v>1078</v>
      </c>
      <c r="F74" s="295" t="s">
        <v>1079</v>
      </c>
      <c r="G74" s="296" t="s">
        <v>1080</v>
      </c>
      <c r="H74" s="295">
        <v>2020.0</v>
      </c>
      <c r="I74" s="297" t="s">
        <v>1081</v>
      </c>
      <c r="J74" s="170" t="s">
        <v>1082</v>
      </c>
      <c r="K74" s="264" t="s">
        <v>1083</v>
      </c>
      <c r="L74" s="298">
        <v>70.0</v>
      </c>
      <c r="M74" s="299">
        <v>70.0</v>
      </c>
      <c r="N74" s="154" t="s">
        <v>138</v>
      </c>
    </row>
    <row r="75" ht="290.25" customHeight="1">
      <c r="A75" s="294" t="s">
        <v>1084</v>
      </c>
      <c r="B75" s="225" t="s">
        <v>1076</v>
      </c>
      <c r="C75" s="226" t="s">
        <v>123</v>
      </c>
      <c r="D75" s="227" t="s">
        <v>1085</v>
      </c>
      <c r="E75" s="226" t="s">
        <v>1078</v>
      </c>
      <c r="F75" s="295" t="s">
        <v>1086</v>
      </c>
      <c r="G75" s="296" t="s">
        <v>1080</v>
      </c>
      <c r="H75" s="295">
        <v>2020.0</v>
      </c>
      <c r="I75" s="297" t="s">
        <v>1087</v>
      </c>
      <c r="J75" s="170" t="s">
        <v>1082</v>
      </c>
      <c r="K75" s="264" t="s">
        <v>1088</v>
      </c>
      <c r="L75" s="298">
        <v>70.0</v>
      </c>
      <c r="M75" s="299">
        <v>70.0</v>
      </c>
      <c r="N75" s="154" t="s">
        <v>138</v>
      </c>
    </row>
    <row r="76" ht="409.5" customHeight="1">
      <c r="A76" s="294" t="s">
        <v>1089</v>
      </c>
      <c r="B76" s="225" t="s">
        <v>1090</v>
      </c>
      <c r="C76" s="226" t="s">
        <v>123</v>
      </c>
      <c r="D76" s="227" t="s">
        <v>1091</v>
      </c>
      <c r="E76" s="226" t="s">
        <v>1092</v>
      </c>
      <c r="F76" s="295" t="s">
        <v>1093</v>
      </c>
      <c r="G76" s="296" t="s">
        <v>1094</v>
      </c>
      <c r="H76" s="295">
        <v>2020.0</v>
      </c>
      <c r="I76" s="297" t="s">
        <v>1095</v>
      </c>
      <c r="J76" s="170" t="s">
        <v>1096</v>
      </c>
      <c r="K76" s="264" t="s">
        <v>1097</v>
      </c>
      <c r="L76" s="298">
        <v>70.0</v>
      </c>
      <c r="M76" s="299">
        <v>25.0</v>
      </c>
      <c r="N76" s="154" t="s">
        <v>138</v>
      </c>
    </row>
    <row r="77" ht="82.5" customHeight="1">
      <c r="A77" s="141" t="s">
        <v>1098</v>
      </c>
      <c r="B77" s="141" t="s">
        <v>147</v>
      </c>
      <c r="C77" s="121" t="s">
        <v>142</v>
      </c>
      <c r="D77" s="73" t="s">
        <v>1099</v>
      </c>
      <c r="E77" s="121" t="s">
        <v>1100</v>
      </c>
      <c r="F77" s="121">
        <v>2.0</v>
      </c>
      <c r="G77" s="143" t="s">
        <v>1101</v>
      </c>
      <c r="H77" s="121">
        <v>2020.0</v>
      </c>
      <c r="I77" s="123" t="s">
        <v>1102</v>
      </c>
      <c r="J77" s="101" t="s">
        <v>1103</v>
      </c>
      <c r="K77" s="101" t="s">
        <v>1104</v>
      </c>
      <c r="L77" s="76">
        <v>70.0</v>
      </c>
      <c r="M77" s="144">
        <v>70.0</v>
      </c>
      <c r="N77" s="77" t="s">
        <v>147</v>
      </c>
    </row>
    <row r="78" ht="123.75" customHeight="1">
      <c r="A78" s="141" t="s">
        <v>1105</v>
      </c>
      <c r="B78" s="141" t="s">
        <v>147</v>
      </c>
      <c r="C78" s="121" t="s">
        <v>142</v>
      </c>
      <c r="D78" s="73" t="s">
        <v>1106</v>
      </c>
      <c r="E78" s="121" t="s">
        <v>1100</v>
      </c>
      <c r="F78" s="121">
        <v>2.0</v>
      </c>
      <c r="G78" s="143" t="s">
        <v>1101</v>
      </c>
      <c r="H78" s="121">
        <v>2020.0</v>
      </c>
      <c r="I78" s="123" t="s">
        <v>1107</v>
      </c>
      <c r="J78" s="101" t="s">
        <v>1103</v>
      </c>
      <c r="K78" s="101" t="s">
        <v>1104</v>
      </c>
      <c r="L78" s="205">
        <v>70.0</v>
      </c>
      <c r="M78" s="144">
        <v>70.0</v>
      </c>
      <c r="N78" s="77" t="s">
        <v>147</v>
      </c>
    </row>
    <row r="79" ht="234.0" customHeight="1">
      <c r="A79" s="141" t="s">
        <v>1108</v>
      </c>
      <c r="B79" s="141" t="s">
        <v>149</v>
      </c>
      <c r="C79" s="121" t="s">
        <v>1109</v>
      </c>
      <c r="D79" s="73" t="s">
        <v>1110</v>
      </c>
      <c r="E79" s="121">
        <v>13.0</v>
      </c>
      <c r="F79" s="121" t="s">
        <v>1111</v>
      </c>
      <c r="G79" s="143" t="s">
        <v>1112</v>
      </c>
      <c r="H79" s="121">
        <v>2020.0</v>
      </c>
      <c r="I79" s="123" t="s">
        <v>1113</v>
      </c>
      <c r="J79" s="101" t="s">
        <v>1114</v>
      </c>
      <c r="K79" s="101" t="s">
        <v>1115</v>
      </c>
      <c r="L79" s="205">
        <v>70.0</v>
      </c>
      <c r="M79" s="144">
        <v>70.0</v>
      </c>
      <c r="N79" s="77" t="s">
        <v>149</v>
      </c>
    </row>
    <row r="80" ht="54.75" customHeight="1">
      <c r="A80" s="141" t="s">
        <v>1116</v>
      </c>
      <c r="B80" s="141" t="s">
        <v>150</v>
      </c>
      <c r="C80" s="121" t="s">
        <v>142</v>
      </c>
      <c r="D80" s="73" t="s">
        <v>1117</v>
      </c>
      <c r="E80" s="121">
        <v>16.0</v>
      </c>
      <c r="F80" s="121" t="s">
        <v>1118</v>
      </c>
      <c r="G80" s="143" t="s">
        <v>1119</v>
      </c>
      <c r="H80" s="121">
        <v>2020.0</v>
      </c>
      <c r="I80" s="123" t="s">
        <v>1120</v>
      </c>
      <c r="J80" s="101" t="s">
        <v>1121</v>
      </c>
      <c r="K80" s="101" t="s">
        <v>1122</v>
      </c>
      <c r="L80" s="205">
        <v>70.0</v>
      </c>
      <c r="M80" s="144">
        <v>70.0</v>
      </c>
      <c r="N80" s="77" t="s">
        <v>150</v>
      </c>
    </row>
    <row r="81" ht="54.75" customHeight="1">
      <c r="A81" s="141" t="s">
        <v>1123</v>
      </c>
      <c r="B81" s="141" t="s">
        <v>1124</v>
      </c>
      <c r="C81" s="121" t="s">
        <v>142</v>
      </c>
      <c r="D81" s="73" t="s">
        <v>1117</v>
      </c>
      <c r="E81" s="121">
        <v>16.0</v>
      </c>
      <c r="F81" s="121" t="s">
        <v>1118</v>
      </c>
      <c r="G81" s="143" t="s">
        <v>1119</v>
      </c>
      <c r="H81" s="121">
        <v>2020.0</v>
      </c>
      <c r="I81" s="123" t="s">
        <v>1125</v>
      </c>
      <c r="J81" s="101" t="s">
        <v>1121</v>
      </c>
      <c r="K81" s="101" t="s">
        <v>1126</v>
      </c>
      <c r="L81" s="205">
        <v>70.0</v>
      </c>
      <c r="M81" s="144">
        <v>35.0</v>
      </c>
      <c r="N81" s="77" t="s">
        <v>150</v>
      </c>
    </row>
    <row r="82" ht="41.25" customHeight="1">
      <c r="A82" s="141" t="s">
        <v>1127</v>
      </c>
      <c r="B82" s="141" t="s">
        <v>1128</v>
      </c>
      <c r="C82" s="121" t="s">
        <v>142</v>
      </c>
      <c r="D82" s="73" t="s">
        <v>1129</v>
      </c>
      <c r="E82" s="121" t="s">
        <v>721</v>
      </c>
      <c r="F82" s="121"/>
      <c r="G82" s="143" t="s">
        <v>1130</v>
      </c>
      <c r="H82" s="121">
        <v>2020.0</v>
      </c>
      <c r="I82" s="123" t="s">
        <v>1131</v>
      </c>
      <c r="J82" s="101" t="s">
        <v>1132</v>
      </c>
      <c r="K82" s="101" t="s">
        <v>1133</v>
      </c>
      <c r="L82" s="205">
        <v>70.0</v>
      </c>
      <c r="M82" s="144">
        <v>70.0</v>
      </c>
      <c r="N82" s="77" t="s">
        <v>151</v>
      </c>
    </row>
    <row r="83" ht="151.5" customHeight="1">
      <c r="A83" s="141" t="s">
        <v>1134</v>
      </c>
      <c r="B83" s="141" t="s">
        <v>1128</v>
      </c>
      <c r="C83" s="121" t="s">
        <v>142</v>
      </c>
      <c r="D83" s="73" t="s">
        <v>1099</v>
      </c>
      <c r="E83" s="121" t="s">
        <v>1135</v>
      </c>
      <c r="F83" s="121" t="s">
        <v>1136</v>
      </c>
      <c r="G83" s="143" t="s">
        <v>1137</v>
      </c>
      <c r="H83" s="121">
        <v>2020.0</v>
      </c>
      <c r="I83" s="123" t="s">
        <v>1138</v>
      </c>
      <c r="J83" s="101" t="s">
        <v>1139</v>
      </c>
      <c r="K83" s="101" t="s">
        <v>1140</v>
      </c>
      <c r="L83" s="205">
        <v>70.0</v>
      </c>
      <c r="M83" s="144">
        <v>70.0</v>
      </c>
      <c r="N83" s="77" t="s">
        <v>151</v>
      </c>
    </row>
    <row r="84" ht="220.5" customHeight="1">
      <c r="A84" s="141" t="s">
        <v>1141</v>
      </c>
      <c r="B84" s="141" t="s">
        <v>1142</v>
      </c>
      <c r="C84" s="121" t="s">
        <v>142</v>
      </c>
      <c r="D84" s="73" t="s">
        <v>1143</v>
      </c>
      <c r="E84" s="121" t="s">
        <v>1144</v>
      </c>
      <c r="F84" s="121" t="s">
        <v>1145</v>
      </c>
      <c r="G84" s="143" t="s">
        <v>1119</v>
      </c>
      <c r="H84" s="121" t="s">
        <v>1146</v>
      </c>
      <c r="I84" s="123" t="s">
        <v>1147</v>
      </c>
      <c r="J84" s="101" t="s">
        <v>1148</v>
      </c>
      <c r="K84" s="101" t="s">
        <v>1149</v>
      </c>
      <c r="L84" s="205">
        <v>70.0</v>
      </c>
      <c r="M84" s="144">
        <v>35.0</v>
      </c>
      <c r="N84" s="77" t="s">
        <v>153</v>
      </c>
    </row>
    <row r="85" ht="82.5" customHeight="1">
      <c r="A85" s="141" t="s">
        <v>1150</v>
      </c>
      <c r="B85" s="141" t="s">
        <v>1151</v>
      </c>
      <c r="C85" s="121" t="s">
        <v>1152</v>
      </c>
      <c r="D85" s="73" t="s">
        <v>1099</v>
      </c>
      <c r="E85" s="121" t="s">
        <v>1153</v>
      </c>
      <c r="F85" s="121" t="s">
        <v>1154</v>
      </c>
      <c r="G85" s="143" t="s">
        <v>1155</v>
      </c>
      <c r="H85" s="121">
        <v>2020.0</v>
      </c>
      <c r="I85" s="123" t="s">
        <v>1156</v>
      </c>
      <c r="J85" s="101" t="s">
        <v>1157</v>
      </c>
      <c r="K85" s="101" t="s">
        <v>1158</v>
      </c>
      <c r="L85" s="205">
        <v>70.0</v>
      </c>
      <c r="M85" s="144">
        <v>70.0</v>
      </c>
      <c r="N85" s="77" t="s">
        <v>154</v>
      </c>
    </row>
    <row r="86" ht="82.5" customHeight="1">
      <c r="A86" s="141" t="s">
        <v>1159</v>
      </c>
      <c r="B86" s="141" t="s">
        <v>1160</v>
      </c>
      <c r="C86" s="121"/>
      <c r="D86" s="73" t="s">
        <v>1161</v>
      </c>
      <c r="E86" s="121"/>
      <c r="F86" s="121" t="s">
        <v>1162</v>
      </c>
      <c r="G86" s="143" t="s">
        <v>1163</v>
      </c>
      <c r="H86" s="121">
        <v>2020.0</v>
      </c>
      <c r="I86" s="123" t="s">
        <v>1164</v>
      </c>
      <c r="J86" s="101" t="s">
        <v>1165</v>
      </c>
      <c r="K86" s="101" t="s">
        <v>1166</v>
      </c>
      <c r="L86" s="205">
        <v>70.0</v>
      </c>
      <c r="M86" s="144">
        <v>70.0</v>
      </c>
      <c r="N86" s="77" t="s">
        <v>155</v>
      </c>
    </row>
    <row r="87" ht="41.25" customHeight="1">
      <c r="A87" s="141" t="s">
        <v>1167</v>
      </c>
      <c r="B87" s="141" t="s">
        <v>157</v>
      </c>
      <c r="C87" s="121" t="s">
        <v>964</v>
      </c>
      <c r="D87" s="73" t="s">
        <v>1099</v>
      </c>
      <c r="E87" s="121"/>
      <c r="F87" s="121">
        <v>49.0</v>
      </c>
      <c r="G87" s="143" t="s">
        <v>1137</v>
      </c>
      <c r="H87" s="121">
        <v>2020.0</v>
      </c>
      <c r="I87" s="123" t="s">
        <v>1168</v>
      </c>
      <c r="J87" s="101" t="s">
        <v>1169</v>
      </c>
      <c r="K87" s="101" t="s">
        <v>1170</v>
      </c>
      <c r="L87" s="205">
        <v>25.0</v>
      </c>
      <c r="M87" s="144">
        <v>25.0</v>
      </c>
      <c r="N87" s="77" t="s">
        <v>157</v>
      </c>
    </row>
    <row r="88" ht="96.0" customHeight="1">
      <c r="A88" s="141" t="s">
        <v>1171</v>
      </c>
      <c r="B88" s="141" t="s">
        <v>157</v>
      </c>
      <c r="C88" s="121" t="s">
        <v>964</v>
      </c>
      <c r="D88" s="73" t="s">
        <v>1172</v>
      </c>
      <c r="E88" s="121"/>
      <c r="F88" s="121">
        <v>25.0</v>
      </c>
      <c r="G88" s="143" t="s">
        <v>1173</v>
      </c>
      <c r="H88" s="121">
        <v>2020.0</v>
      </c>
      <c r="I88" s="123" t="s">
        <v>1174</v>
      </c>
      <c r="J88" s="101" t="s">
        <v>1169</v>
      </c>
      <c r="K88" s="101" t="s">
        <v>1175</v>
      </c>
      <c r="L88" s="205">
        <v>25.0</v>
      </c>
      <c r="M88" s="144">
        <v>25.0</v>
      </c>
      <c r="N88" s="77" t="s">
        <v>157</v>
      </c>
    </row>
    <row r="89" ht="54.75" customHeight="1">
      <c r="A89" s="141" t="s">
        <v>1176</v>
      </c>
      <c r="B89" s="141" t="s">
        <v>159</v>
      </c>
      <c r="C89" s="121" t="s">
        <v>142</v>
      </c>
      <c r="D89" s="73" t="s">
        <v>1099</v>
      </c>
      <c r="E89" s="121">
        <v>50.0</v>
      </c>
      <c r="F89" s="121">
        <v>2.0</v>
      </c>
      <c r="G89" s="143" t="s">
        <v>1155</v>
      </c>
      <c r="H89" s="121"/>
      <c r="I89" s="123" t="s">
        <v>1177</v>
      </c>
      <c r="J89" s="101" t="s">
        <v>1178</v>
      </c>
      <c r="K89" s="101" t="s">
        <v>1179</v>
      </c>
      <c r="L89" s="205">
        <v>70.0</v>
      </c>
      <c r="M89" s="144">
        <v>70.0</v>
      </c>
      <c r="N89" s="77" t="s">
        <v>159</v>
      </c>
    </row>
    <row r="90" ht="110.25" customHeight="1">
      <c r="A90" s="141" t="s">
        <v>1180</v>
      </c>
      <c r="B90" s="141" t="s">
        <v>160</v>
      </c>
      <c r="C90" s="121" t="s">
        <v>142</v>
      </c>
      <c r="D90" s="73" t="s">
        <v>1181</v>
      </c>
      <c r="E90" s="121">
        <v>9.0</v>
      </c>
      <c r="F90" s="121">
        <v>4.0</v>
      </c>
      <c r="G90" s="143" t="s">
        <v>1182</v>
      </c>
      <c r="H90" s="121">
        <v>2020.0</v>
      </c>
      <c r="I90" s="123" t="s">
        <v>1183</v>
      </c>
      <c r="J90" s="101" t="s">
        <v>1184</v>
      </c>
      <c r="K90" s="101" t="s">
        <v>1185</v>
      </c>
      <c r="L90" s="205">
        <v>70.0</v>
      </c>
      <c r="M90" s="144">
        <v>70.0</v>
      </c>
      <c r="N90" s="77" t="s">
        <v>160</v>
      </c>
    </row>
    <row r="91" ht="96.0" customHeight="1">
      <c r="A91" s="141" t="s">
        <v>1186</v>
      </c>
      <c r="B91" s="141" t="s">
        <v>160</v>
      </c>
      <c r="C91" s="121" t="s">
        <v>142</v>
      </c>
      <c r="D91" s="73" t="s">
        <v>1187</v>
      </c>
      <c r="E91" s="121">
        <v>17.0</v>
      </c>
      <c r="F91" s="121">
        <v>4.0</v>
      </c>
      <c r="G91" s="143" t="s">
        <v>1188</v>
      </c>
      <c r="H91" s="121">
        <v>2020.0</v>
      </c>
      <c r="I91" s="123" t="s">
        <v>1189</v>
      </c>
      <c r="J91" s="101" t="s">
        <v>1190</v>
      </c>
      <c r="K91" s="101" t="s">
        <v>1191</v>
      </c>
      <c r="L91" s="205">
        <v>70.0</v>
      </c>
      <c r="M91" s="144">
        <v>70.0</v>
      </c>
      <c r="N91" s="77" t="s">
        <v>160</v>
      </c>
    </row>
    <row r="92" ht="123.75" customHeight="1">
      <c r="A92" s="141" t="s">
        <v>1192</v>
      </c>
      <c r="B92" s="141" t="s">
        <v>1193</v>
      </c>
      <c r="C92" s="121" t="s">
        <v>142</v>
      </c>
      <c r="D92" s="73" t="s">
        <v>1194</v>
      </c>
      <c r="E92" s="121">
        <v>2.0</v>
      </c>
      <c r="F92" s="121"/>
      <c r="G92" s="143" t="s">
        <v>1195</v>
      </c>
      <c r="H92" s="121">
        <v>2020.0</v>
      </c>
      <c r="I92" s="123" t="s">
        <v>1196</v>
      </c>
      <c r="J92" s="101" t="s">
        <v>1197</v>
      </c>
      <c r="K92" s="101" t="s">
        <v>1198</v>
      </c>
      <c r="L92" s="205">
        <v>25.0</v>
      </c>
      <c r="M92" s="144">
        <v>25.0</v>
      </c>
      <c r="N92" s="77" t="s">
        <v>161</v>
      </c>
    </row>
    <row r="93" ht="69.0" customHeight="1">
      <c r="A93" s="141" t="s">
        <v>1199</v>
      </c>
      <c r="B93" s="141" t="s">
        <v>165</v>
      </c>
      <c r="C93" s="121" t="s">
        <v>142</v>
      </c>
      <c r="D93" s="73" t="s">
        <v>1200</v>
      </c>
      <c r="E93" s="121"/>
      <c r="F93" s="121" t="s">
        <v>1201</v>
      </c>
      <c r="G93" s="143" t="s">
        <v>1137</v>
      </c>
      <c r="H93" s="121">
        <v>2020.0</v>
      </c>
      <c r="I93" s="123" t="s">
        <v>1202</v>
      </c>
      <c r="J93" s="101" t="s">
        <v>1121</v>
      </c>
      <c r="K93" s="101" t="s">
        <v>1203</v>
      </c>
      <c r="L93" s="205">
        <v>70.0</v>
      </c>
      <c r="M93" s="144">
        <v>70.0</v>
      </c>
      <c r="N93" s="77" t="s">
        <v>165</v>
      </c>
    </row>
    <row r="94" ht="123.75" customHeight="1">
      <c r="A94" s="141" t="s">
        <v>1204</v>
      </c>
      <c r="B94" s="141" t="s">
        <v>1205</v>
      </c>
      <c r="C94" s="121" t="s">
        <v>142</v>
      </c>
      <c r="D94" s="73" t="s">
        <v>1206</v>
      </c>
      <c r="E94" s="121" t="s">
        <v>1207</v>
      </c>
      <c r="F94" s="121" t="s">
        <v>1208</v>
      </c>
      <c r="G94" s="143" t="s">
        <v>1209</v>
      </c>
      <c r="H94" s="121">
        <v>2020.0</v>
      </c>
      <c r="I94" s="123" t="s">
        <v>1210</v>
      </c>
      <c r="J94" s="101" t="s">
        <v>1211</v>
      </c>
      <c r="K94" s="101" t="s">
        <v>1212</v>
      </c>
      <c r="L94" s="205">
        <v>70.0</v>
      </c>
      <c r="M94" s="144">
        <v>35.0</v>
      </c>
      <c r="N94" s="77" t="s">
        <v>168</v>
      </c>
    </row>
    <row r="95" ht="358.5" customHeight="1">
      <c r="A95" s="141" t="s">
        <v>1213</v>
      </c>
      <c r="B95" s="141" t="s">
        <v>168</v>
      </c>
      <c r="C95" s="121" t="s">
        <v>142</v>
      </c>
      <c r="D95" s="73" t="s">
        <v>1214</v>
      </c>
      <c r="E95" s="121">
        <v>4.0</v>
      </c>
      <c r="F95" s="121" t="s">
        <v>775</v>
      </c>
      <c r="G95" s="143" t="s">
        <v>1215</v>
      </c>
      <c r="H95" s="121">
        <v>2020.0</v>
      </c>
      <c r="I95" s="123" t="s">
        <v>1216</v>
      </c>
      <c r="J95" s="101" t="s">
        <v>1217</v>
      </c>
      <c r="K95" s="101" t="s">
        <v>1218</v>
      </c>
      <c r="L95" s="205">
        <v>70.0</v>
      </c>
      <c r="M95" s="144">
        <v>70.0</v>
      </c>
      <c r="N95" s="77" t="s">
        <v>168</v>
      </c>
    </row>
    <row r="96" ht="123.75" customHeight="1">
      <c r="A96" s="141" t="s">
        <v>1219</v>
      </c>
      <c r="B96" s="141" t="s">
        <v>1220</v>
      </c>
      <c r="C96" s="121" t="s">
        <v>142</v>
      </c>
      <c r="D96" s="73" t="s">
        <v>1206</v>
      </c>
      <c r="E96" s="121" t="s">
        <v>1221</v>
      </c>
      <c r="F96" s="121" t="s">
        <v>775</v>
      </c>
      <c r="G96" s="143" t="s">
        <v>1209</v>
      </c>
      <c r="H96" s="121">
        <v>2020.0</v>
      </c>
      <c r="I96" s="123" t="s">
        <v>1222</v>
      </c>
      <c r="J96" s="101" t="s">
        <v>1211</v>
      </c>
      <c r="K96" s="101" t="s">
        <v>1223</v>
      </c>
      <c r="L96" s="205">
        <v>70.0</v>
      </c>
      <c r="M96" s="144">
        <v>35.0</v>
      </c>
      <c r="N96" s="77" t="s">
        <v>168</v>
      </c>
    </row>
    <row r="97" ht="151.5" customHeight="1">
      <c r="A97" s="141" t="s">
        <v>1224</v>
      </c>
      <c r="B97" s="141" t="s">
        <v>1205</v>
      </c>
      <c r="C97" s="121" t="s">
        <v>142</v>
      </c>
      <c r="D97" s="73" t="s">
        <v>1225</v>
      </c>
      <c r="E97" s="121" t="s">
        <v>1226</v>
      </c>
      <c r="F97" s="121" t="s">
        <v>775</v>
      </c>
      <c r="G97" s="143" t="s">
        <v>1227</v>
      </c>
      <c r="H97" s="121">
        <v>2020.0</v>
      </c>
      <c r="I97" s="123" t="s">
        <v>1228</v>
      </c>
      <c r="J97" s="101" t="s">
        <v>1229</v>
      </c>
      <c r="K97" s="101" t="s">
        <v>1230</v>
      </c>
      <c r="L97" s="205">
        <v>70.0</v>
      </c>
      <c r="M97" s="144">
        <v>35.0</v>
      </c>
      <c r="N97" s="77" t="s">
        <v>168</v>
      </c>
    </row>
    <row r="98" ht="82.5" customHeight="1">
      <c r="A98" s="141" t="s">
        <v>1231</v>
      </c>
      <c r="B98" s="141" t="s">
        <v>1232</v>
      </c>
      <c r="C98" s="121" t="s">
        <v>142</v>
      </c>
      <c r="D98" s="73" t="s">
        <v>1233</v>
      </c>
      <c r="E98" s="121">
        <v>13.0</v>
      </c>
      <c r="F98" s="121">
        <v>2.0</v>
      </c>
      <c r="G98" s="143" t="s">
        <v>1234</v>
      </c>
      <c r="H98" s="121">
        <v>2020.0</v>
      </c>
      <c r="I98" s="123" t="s">
        <v>1222</v>
      </c>
      <c r="J98" s="101" t="s">
        <v>1235</v>
      </c>
      <c r="K98" s="101" t="s">
        <v>1236</v>
      </c>
      <c r="L98" s="205">
        <v>70.0</v>
      </c>
      <c r="M98" s="144">
        <v>35.0</v>
      </c>
      <c r="N98" s="77" t="s">
        <v>170</v>
      </c>
    </row>
    <row r="99" ht="123.75" customHeight="1">
      <c r="A99" s="141" t="s">
        <v>1237</v>
      </c>
      <c r="B99" s="141" t="s">
        <v>1232</v>
      </c>
      <c r="C99" s="121" t="s">
        <v>142</v>
      </c>
      <c r="D99" s="73" t="s">
        <v>1238</v>
      </c>
      <c r="E99" s="121">
        <v>16.0</v>
      </c>
      <c r="F99" s="121">
        <v>2.0</v>
      </c>
      <c r="G99" s="143" t="s">
        <v>1239</v>
      </c>
      <c r="H99" s="121">
        <v>2020.0</v>
      </c>
      <c r="I99" s="123" t="s">
        <v>1228</v>
      </c>
      <c r="J99" s="101" t="s">
        <v>1235</v>
      </c>
      <c r="K99" s="101" t="s">
        <v>1230</v>
      </c>
      <c r="L99" s="205">
        <v>70.0</v>
      </c>
      <c r="M99" s="144">
        <v>35.0</v>
      </c>
      <c r="N99" s="77" t="s">
        <v>170</v>
      </c>
    </row>
    <row r="100" ht="82.5" customHeight="1">
      <c r="A100" s="141" t="s">
        <v>1240</v>
      </c>
      <c r="B100" s="141" t="s">
        <v>1232</v>
      </c>
      <c r="C100" s="121" t="s">
        <v>142</v>
      </c>
      <c r="D100" s="73" t="s">
        <v>1233</v>
      </c>
      <c r="E100" s="121">
        <v>13.0</v>
      </c>
      <c r="F100" s="121">
        <v>1.0</v>
      </c>
      <c r="G100" s="143" t="s">
        <v>1234</v>
      </c>
      <c r="H100" s="121">
        <v>2020.0</v>
      </c>
      <c r="I100" s="123" t="s">
        <v>1210</v>
      </c>
      <c r="J100" s="101" t="s">
        <v>1235</v>
      </c>
      <c r="K100" s="101" t="s">
        <v>1241</v>
      </c>
      <c r="L100" s="205">
        <v>70.0</v>
      </c>
      <c r="M100" s="144">
        <v>35.0</v>
      </c>
      <c r="N100" s="77" t="s">
        <v>170</v>
      </c>
    </row>
    <row r="101" ht="96.0" customHeight="1">
      <c r="A101" s="141" t="s">
        <v>1242</v>
      </c>
      <c r="B101" s="141" t="s">
        <v>1243</v>
      </c>
      <c r="C101" s="121" t="s">
        <v>142</v>
      </c>
      <c r="D101" s="73" t="s">
        <v>1244</v>
      </c>
      <c r="E101" s="121">
        <v>18.0</v>
      </c>
      <c r="F101" s="121">
        <v>1.0</v>
      </c>
      <c r="G101" s="143" t="s">
        <v>1245</v>
      </c>
      <c r="H101" s="121">
        <v>2020.0</v>
      </c>
      <c r="I101" s="123" t="s">
        <v>1246</v>
      </c>
      <c r="J101" s="101" t="s">
        <v>1247</v>
      </c>
      <c r="K101" s="101" t="s">
        <v>1248</v>
      </c>
      <c r="L101" s="205">
        <v>25.0</v>
      </c>
      <c r="M101" s="144">
        <v>25.0</v>
      </c>
      <c r="N101" s="77" t="s">
        <v>172</v>
      </c>
    </row>
    <row r="102" ht="54.75" customHeight="1">
      <c r="A102" s="141" t="s">
        <v>1249</v>
      </c>
      <c r="B102" s="141" t="s">
        <v>311</v>
      </c>
      <c r="C102" s="121" t="s">
        <v>142</v>
      </c>
      <c r="D102" s="73" t="s">
        <v>1143</v>
      </c>
      <c r="E102" s="121">
        <v>18.0</v>
      </c>
      <c r="F102" s="121">
        <v>1.0</v>
      </c>
      <c r="G102" s="143" t="s">
        <v>1119</v>
      </c>
      <c r="H102" s="121">
        <v>2020.0</v>
      </c>
      <c r="I102" s="123" t="s">
        <v>1250</v>
      </c>
      <c r="J102" s="101" t="s">
        <v>924</v>
      </c>
      <c r="K102" s="101" t="s">
        <v>1251</v>
      </c>
      <c r="L102" s="205">
        <v>70.0</v>
      </c>
      <c r="M102" s="144">
        <v>70.0</v>
      </c>
      <c r="N102" s="77" t="s">
        <v>173</v>
      </c>
    </row>
    <row r="103" ht="69.0" customHeight="1">
      <c r="A103" s="141" t="s">
        <v>1252</v>
      </c>
      <c r="B103" s="141" t="s">
        <v>174</v>
      </c>
      <c r="C103" s="121" t="s">
        <v>142</v>
      </c>
      <c r="D103" s="73" t="s">
        <v>1253</v>
      </c>
      <c r="E103" s="121"/>
      <c r="F103" s="121">
        <v>2.0</v>
      </c>
      <c r="G103" s="143" t="s">
        <v>1137</v>
      </c>
      <c r="H103" s="121">
        <v>2020.0</v>
      </c>
      <c r="I103" s="123" t="s">
        <v>1254</v>
      </c>
      <c r="J103" s="101" t="s">
        <v>1255</v>
      </c>
      <c r="K103" s="101" t="s">
        <v>1256</v>
      </c>
      <c r="L103" s="205">
        <v>70.0</v>
      </c>
      <c r="M103" s="144">
        <v>70.0</v>
      </c>
      <c r="N103" s="77" t="s">
        <v>174</v>
      </c>
    </row>
    <row r="104" ht="54.75" customHeight="1">
      <c r="A104" s="141" t="s">
        <v>1257</v>
      </c>
      <c r="B104" s="141" t="s">
        <v>1258</v>
      </c>
      <c r="C104" s="121" t="s">
        <v>1259</v>
      </c>
      <c r="D104" s="73" t="s">
        <v>1099</v>
      </c>
      <c r="E104" s="121">
        <v>50.0</v>
      </c>
      <c r="F104" s="121">
        <v>2.0</v>
      </c>
      <c r="G104" s="143" t="s">
        <v>1260</v>
      </c>
      <c r="H104" s="121">
        <v>2020.0</v>
      </c>
      <c r="I104" s="123" t="s">
        <v>1261</v>
      </c>
      <c r="J104" s="101" t="s">
        <v>1262</v>
      </c>
      <c r="K104" s="101" t="s">
        <v>1263</v>
      </c>
      <c r="L104" s="205">
        <v>70.0</v>
      </c>
      <c r="M104" s="144">
        <v>70.0</v>
      </c>
      <c r="N104" s="77" t="s">
        <v>175</v>
      </c>
    </row>
    <row r="105" ht="54.75" customHeight="1">
      <c r="A105" s="141" t="s">
        <v>1264</v>
      </c>
      <c r="B105" s="141" t="s">
        <v>1265</v>
      </c>
      <c r="C105" s="121" t="s">
        <v>142</v>
      </c>
      <c r="D105" s="73" t="s">
        <v>1099</v>
      </c>
      <c r="E105" s="121">
        <v>1.0</v>
      </c>
      <c r="F105" s="121" t="s">
        <v>1266</v>
      </c>
      <c r="G105" s="143" t="s">
        <v>1267</v>
      </c>
      <c r="H105" s="121">
        <v>2020.0</v>
      </c>
      <c r="I105" s="123" t="s">
        <v>1268</v>
      </c>
      <c r="J105" s="101" t="s">
        <v>1269</v>
      </c>
      <c r="K105" s="101" t="s">
        <v>1270</v>
      </c>
      <c r="L105" s="205">
        <v>70.0</v>
      </c>
      <c r="M105" s="144">
        <v>70.0</v>
      </c>
      <c r="N105" s="77" t="s">
        <v>177</v>
      </c>
    </row>
    <row r="106" ht="54.75" customHeight="1">
      <c r="A106" s="141" t="s">
        <v>1271</v>
      </c>
      <c r="B106" s="141" t="s">
        <v>1265</v>
      </c>
      <c r="C106" s="121" t="s">
        <v>142</v>
      </c>
      <c r="D106" s="73" t="s">
        <v>1099</v>
      </c>
      <c r="E106" s="121">
        <v>1.0</v>
      </c>
      <c r="F106" s="121" t="s">
        <v>1266</v>
      </c>
      <c r="G106" s="143" t="s">
        <v>1267</v>
      </c>
      <c r="H106" s="121">
        <v>2020.0</v>
      </c>
      <c r="I106" s="123" t="s">
        <v>1272</v>
      </c>
      <c r="J106" s="101" t="s">
        <v>1269</v>
      </c>
      <c r="K106" s="101" t="s">
        <v>1273</v>
      </c>
      <c r="L106" s="205">
        <v>70.0</v>
      </c>
      <c r="M106" s="144">
        <v>70.0</v>
      </c>
      <c r="N106" s="77" t="s">
        <v>177</v>
      </c>
    </row>
    <row r="107" ht="54.75" customHeight="1">
      <c r="A107" s="141" t="s">
        <v>1274</v>
      </c>
      <c r="B107" s="141" t="s">
        <v>1265</v>
      </c>
      <c r="C107" s="121" t="s">
        <v>142</v>
      </c>
      <c r="D107" s="73" t="s">
        <v>1099</v>
      </c>
      <c r="E107" s="121">
        <v>1.0</v>
      </c>
      <c r="F107" s="121" t="s">
        <v>1162</v>
      </c>
      <c r="G107" s="143" t="s">
        <v>1267</v>
      </c>
      <c r="H107" s="121">
        <v>2020.0</v>
      </c>
      <c r="I107" s="123"/>
      <c r="J107" s="101" t="s">
        <v>1269</v>
      </c>
      <c r="K107" s="101" t="s">
        <v>1275</v>
      </c>
      <c r="L107" s="205">
        <v>70.0</v>
      </c>
      <c r="M107" s="144">
        <v>70.0</v>
      </c>
      <c r="N107" s="77" t="s">
        <v>177</v>
      </c>
    </row>
    <row r="108" ht="220.5" customHeight="1">
      <c r="A108" s="300" t="s">
        <v>1276</v>
      </c>
      <c r="B108" s="141" t="s">
        <v>1277</v>
      </c>
      <c r="C108" s="121" t="s">
        <v>142</v>
      </c>
      <c r="D108" s="73" t="s">
        <v>1278</v>
      </c>
      <c r="E108" s="121">
        <v>18.0</v>
      </c>
      <c r="F108" s="121">
        <v>1.0</v>
      </c>
      <c r="G108" s="143" t="s">
        <v>1279</v>
      </c>
      <c r="H108" s="121">
        <v>2020.0</v>
      </c>
      <c r="I108" s="123" t="s">
        <v>1280</v>
      </c>
      <c r="J108" s="101" t="s">
        <v>1281</v>
      </c>
      <c r="K108" s="101" t="s">
        <v>1282</v>
      </c>
      <c r="L108" s="205">
        <v>25.0</v>
      </c>
      <c r="M108" s="144">
        <v>25.0</v>
      </c>
      <c r="N108" s="77" t="s">
        <v>178</v>
      </c>
    </row>
    <row r="109" ht="82.5" customHeight="1">
      <c r="A109" s="141" t="s">
        <v>1038</v>
      </c>
      <c r="B109" s="141" t="s">
        <v>1039</v>
      </c>
      <c r="C109" s="301" t="s">
        <v>123</v>
      </c>
      <c r="D109" s="73" t="s">
        <v>1040</v>
      </c>
      <c r="E109" s="71">
        <v>9.0</v>
      </c>
      <c r="F109" s="71">
        <v>2.0</v>
      </c>
      <c r="G109" s="143" t="s">
        <v>1041</v>
      </c>
      <c r="H109" s="71">
        <v>2020.0</v>
      </c>
      <c r="I109" s="74" t="s">
        <v>1042</v>
      </c>
      <c r="J109" s="101" t="s">
        <v>1043</v>
      </c>
      <c r="K109" s="302" t="s">
        <v>1044</v>
      </c>
      <c r="L109" s="76">
        <v>70.0</v>
      </c>
      <c r="M109" s="144">
        <v>35.0</v>
      </c>
      <c r="N109" s="154" t="s">
        <v>179</v>
      </c>
    </row>
    <row r="110" ht="14.25" customHeight="1">
      <c r="A110" s="294"/>
      <c r="B110" s="225"/>
      <c r="C110" s="226"/>
      <c r="D110" s="227"/>
      <c r="E110" s="226"/>
      <c r="F110" s="295"/>
      <c r="G110" s="296"/>
      <c r="H110" s="295"/>
      <c r="I110" s="297"/>
      <c r="J110" s="170"/>
      <c r="K110" s="264"/>
      <c r="L110" s="298"/>
      <c r="M110" s="299"/>
      <c r="N110" s="154"/>
    </row>
    <row r="111" ht="14.25" customHeight="1">
      <c r="A111" s="206"/>
      <c r="B111" s="206"/>
      <c r="C111" s="69"/>
      <c r="D111" s="68"/>
      <c r="E111" s="69"/>
      <c r="F111" s="69"/>
      <c r="G111" s="207"/>
      <c r="H111" s="69"/>
      <c r="I111" s="102"/>
      <c r="J111" s="101"/>
      <c r="K111" s="101"/>
      <c r="L111" s="303"/>
      <c r="M111" s="130"/>
      <c r="N111" s="77"/>
    </row>
    <row r="112" ht="14.25" customHeight="1">
      <c r="A112" s="206"/>
      <c r="B112" s="206"/>
      <c r="C112" s="69"/>
      <c r="D112" s="68"/>
      <c r="E112" s="69"/>
      <c r="F112" s="69"/>
      <c r="G112" s="207"/>
      <c r="H112" s="69"/>
      <c r="I112" s="102"/>
      <c r="J112" s="101"/>
      <c r="K112" s="101"/>
      <c r="L112" s="304"/>
      <c r="M112" s="130"/>
      <c r="N112" s="77"/>
    </row>
    <row r="113" ht="14.25" customHeight="1">
      <c r="A113" s="305" t="s">
        <v>180</v>
      </c>
      <c r="B113" s="189"/>
      <c r="C113" s="131"/>
      <c r="D113" s="131"/>
      <c r="E113" s="306"/>
      <c r="F113" s="306"/>
      <c r="G113" s="306"/>
      <c r="H113" s="155"/>
      <c r="I113" s="190"/>
      <c r="J113" s="155"/>
      <c r="K113" s="155"/>
      <c r="L113" s="200"/>
      <c r="M113" s="307">
        <f>SUM(M10:M112)</f>
        <v>5901.5</v>
      </c>
    </row>
    <row r="114" ht="14.25" customHeight="1">
      <c r="A114" s="188"/>
      <c r="B114" s="189"/>
      <c r="C114" s="131"/>
      <c r="D114" s="155"/>
      <c r="E114" s="190"/>
      <c r="F114" s="190"/>
      <c r="G114" s="190"/>
      <c r="H114" s="155"/>
      <c r="I114" s="190"/>
      <c r="J114" s="155"/>
      <c r="K114" s="155"/>
      <c r="L114" s="155"/>
      <c r="M114" s="155"/>
    </row>
    <row r="115" ht="14.25" customHeight="1">
      <c r="A115" s="106" t="s">
        <v>330</v>
      </c>
      <c r="B115" s="107"/>
      <c r="C115" s="107"/>
      <c r="D115" s="107"/>
      <c r="E115" s="107"/>
      <c r="F115" s="107"/>
      <c r="G115" s="107"/>
      <c r="H115" s="107"/>
      <c r="I115" s="107"/>
      <c r="J115" s="107"/>
      <c r="K115" s="107"/>
      <c r="L115" s="107"/>
      <c r="M115" s="108"/>
    </row>
    <row r="116" ht="14.25" customHeight="1">
      <c r="A116" s="188"/>
      <c r="B116" s="189"/>
      <c r="C116" s="131"/>
      <c r="D116" s="155"/>
      <c r="E116" s="190"/>
      <c r="F116" s="190"/>
      <c r="G116" s="190"/>
      <c r="H116" s="155"/>
      <c r="I116" s="190"/>
      <c r="J116" s="155"/>
      <c r="K116" s="155"/>
      <c r="L116" s="155"/>
      <c r="M116" s="155"/>
    </row>
    <row r="117" ht="14.25" customHeight="1">
      <c r="A117" s="188"/>
      <c r="B117" s="189"/>
      <c r="C117" s="131"/>
      <c r="D117" s="155"/>
      <c r="E117" s="190"/>
      <c r="F117" s="190"/>
      <c r="G117" s="190"/>
      <c r="H117" s="155"/>
      <c r="I117" s="190"/>
      <c r="J117" s="155"/>
      <c r="K117" s="155"/>
      <c r="L117" s="155"/>
      <c r="M117" s="155"/>
    </row>
    <row r="118" ht="14.25" customHeight="1">
      <c r="A118" s="188"/>
      <c r="B118" s="189"/>
      <c r="C118" s="131"/>
      <c r="D118" s="155"/>
      <c r="E118" s="190"/>
      <c r="F118" s="190"/>
      <c r="G118" s="190"/>
      <c r="H118" s="155"/>
      <c r="I118" s="190"/>
      <c r="J118" s="155"/>
      <c r="K118" s="155"/>
      <c r="L118" s="155"/>
      <c r="M118" s="155"/>
    </row>
    <row r="119" ht="14.25" customHeight="1">
      <c r="A119" s="188"/>
      <c r="B119" s="189"/>
      <c r="C119" s="131"/>
      <c r="D119" s="155"/>
      <c r="E119" s="190"/>
      <c r="F119" s="190"/>
      <c r="G119" s="190"/>
      <c r="H119" s="155"/>
      <c r="I119" s="190"/>
      <c r="J119" s="155"/>
      <c r="K119" s="155"/>
      <c r="L119" s="155"/>
      <c r="M119" s="155"/>
    </row>
    <row r="120" ht="14.25" customHeight="1">
      <c r="A120" s="188"/>
      <c r="B120" s="189"/>
      <c r="C120" s="131"/>
      <c r="D120" s="155"/>
      <c r="E120" s="190"/>
      <c r="F120" s="190"/>
      <c r="G120" s="190"/>
      <c r="H120" s="155"/>
      <c r="I120" s="190"/>
      <c r="J120" s="155"/>
      <c r="K120" s="155"/>
      <c r="L120" s="155"/>
      <c r="M120" s="155"/>
    </row>
    <row r="121" ht="14.25" customHeight="1">
      <c r="A121" s="188"/>
      <c r="B121" s="189"/>
      <c r="C121" s="131"/>
      <c r="D121" s="155"/>
      <c r="E121" s="190"/>
      <c r="F121" s="190"/>
      <c r="G121" s="190"/>
      <c r="H121" s="155"/>
      <c r="I121" s="190"/>
      <c r="J121" s="155"/>
      <c r="K121" s="155"/>
      <c r="L121" s="155"/>
      <c r="M121" s="155"/>
    </row>
    <row r="122" ht="14.25" customHeight="1">
      <c r="A122" s="188"/>
      <c r="B122" s="189"/>
      <c r="C122" s="131"/>
      <c r="D122" s="155"/>
      <c r="E122" s="190"/>
      <c r="F122" s="190"/>
      <c r="G122" s="190"/>
      <c r="H122" s="155"/>
      <c r="I122" s="190"/>
      <c r="J122" s="155"/>
      <c r="K122" s="155"/>
      <c r="L122" s="155"/>
      <c r="M122" s="155"/>
    </row>
    <row r="123" ht="14.25" customHeight="1">
      <c r="A123" s="188"/>
      <c r="B123" s="189"/>
      <c r="C123" s="131"/>
      <c r="D123" s="155"/>
      <c r="E123" s="190"/>
      <c r="F123" s="190"/>
      <c r="G123" s="190"/>
      <c r="H123" s="155"/>
      <c r="I123" s="190"/>
      <c r="J123" s="155"/>
      <c r="K123" s="155"/>
      <c r="L123" s="155"/>
      <c r="M123" s="155"/>
    </row>
    <row r="124" ht="14.25" customHeight="1">
      <c r="A124" s="188"/>
      <c r="B124" s="189"/>
      <c r="C124" s="131"/>
      <c r="D124" s="155"/>
      <c r="E124" s="190"/>
      <c r="F124" s="190"/>
      <c r="G124" s="190"/>
      <c r="H124" s="155"/>
      <c r="I124" s="190"/>
      <c r="J124" s="155"/>
      <c r="K124" s="155"/>
      <c r="L124" s="155"/>
      <c r="M124" s="155"/>
    </row>
    <row r="125" ht="14.25" customHeight="1">
      <c r="A125" s="188"/>
      <c r="B125" s="189"/>
      <c r="C125" s="131"/>
      <c r="D125" s="155"/>
      <c r="E125" s="190"/>
      <c r="F125" s="190"/>
      <c r="G125" s="190"/>
      <c r="H125" s="155"/>
      <c r="I125" s="190"/>
      <c r="J125" s="155"/>
      <c r="K125" s="155"/>
      <c r="L125" s="155"/>
      <c r="M125" s="155"/>
    </row>
    <row r="126" ht="14.25" customHeight="1">
      <c r="A126" s="188"/>
      <c r="B126" s="189"/>
      <c r="C126" s="131"/>
      <c r="D126" s="155"/>
      <c r="E126" s="190"/>
      <c r="F126" s="190"/>
      <c r="G126" s="190"/>
      <c r="H126" s="155"/>
      <c r="I126" s="190"/>
      <c r="J126" s="155"/>
      <c r="K126" s="155"/>
      <c r="L126" s="155"/>
      <c r="M126" s="155"/>
    </row>
    <row r="127" ht="14.25" customHeight="1">
      <c r="A127" s="188"/>
      <c r="B127" s="189"/>
      <c r="C127" s="131"/>
      <c r="D127" s="155"/>
      <c r="E127" s="190"/>
      <c r="F127" s="190"/>
      <c r="G127" s="190"/>
      <c r="H127" s="155"/>
      <c r="I127" s="190"/>
      <c r="J127" s="155"/>
      <c r="K127" s="155"/>
      <c r="L127" s="155"/>
      <c r="M127" s="155"/>
    </row>
    <row r="128" ht="14.25" customHeight="1">
      <c r="A128" s="188"/>
      <c r="B128" s="189"/>
      <c r="C128" s="131"/>
      <c r="D128" s="155"/>
      <c r="E128" s="190"/>
      <c r="F128" s="190"/>
      <c r="G128" s="190"/>
      <c r="H128" s="155"/>
      <c r="I128" s="190"/>
      <c r="J128" s="155"/>
      <c r="K128" s="155"/>
      <c r="L128" s="155"/>
      <c r="M128" s="155"/>
    </row>
    <row r="129" ht="14.25" customHeight="1">
      <c r="A129" s="188"/>
      <c r="B129" s="189"/>
      <c r="C129" s="131"/>
      <c r="D129" s="155"/>
      <c r="E129" s="190"/>
      <c r="F129" s="190"/>
      <c r="G129" s="190"/>
      <c r="H129" s="155"/>
      <c r="I129" s="190"/>
      <c r="J129" s="155"/>
      <c r="K129" s="155"/>
      <c r="L129" s="155"/>
      <c r="M129" s="155"/>
    </row>
    <row r="130" ht="14.25" customHeight="1">
      <c r="A130" s="188"/>
      <c r="B130" s="189"/>
      <c r="C130" s="131"/>
      <c r="D130" s="155"/>
      <c r="E130" s="190"/>
      <c r="F130" s="190"/>
      <c r="G130" s="190"/>
      <c r="H130" s="155"/>
      <c r="I130" s="190"/>
      <c r="J130" s="155"/>
      <c r="K130" s="155"/>
      <c r="L130" s="155"/>
      <c r="M130" s="155"/>
    </row>
    <row r="131" ht="14.25" customHeight="1">
      <c r="A131" s="188"/>
      <c r="B131" s="189"/>
      <c r="C131" s="131"/>
      <c r="D131" s="155"/>
      <c r="E131" s="190"/>
      <c r="F131" s="190"/>
      <c r="G131" s="190"/>
      <c r="H131" s="155"/>
      <c r="I131" s="190"/>
      <c r="J131" s="155"/>
      <c r="K131" s="155"/>
      <c r="L131" s="155"/>
      <c r="M131" s="155"/>
    </row>
    <row r="132" ht="14.25" customHeight="1">
      <c r="A132" s="188"/>
      <c r="B132" s="189"/>
      <c r="C132" s="131"/>
      <c r="D132" s="155"/>
      <c r="E132" s="190"/>
      <c r="F132" s="190"/>
      <c r="G132" s="190"/>
      <c r="H132" s="155"/>
      <c r="I132" s="190"/>
      <c r="J132" s="155"/>
      <c r="K132" s="155"/>
      <c r="L132" s="155"/>
      <c r="M132" s="155"/>
    </row>
    <row r="133" ht="14.25" customHeight="1">
      <c r="A133" s="188"/>
      <c r="B133" s="189"/>
      <c r="C133" s="131"/>
      <c r="D133" s="155"/>
      <c r="E133" s="190"/>
      <c r="F133" s="190"/>
      <c r="G133" s="190"/>
      <c r="H133" s="155"/>
      <c r="I133" s="190"/>
      <c r="J133" s="155"/>
      <c r="K133" s="155"/>
      <c r="L133" s="155"/>
      <c r="M133" s="155"/>
    </row>
    <row r="134" ht="14.25" customHeight="1">
      <c r="A134" s="188"/>
      <c r="B134" s="189"/>
      <c r="C134" s="131"/>
      <c r="D134" s="155"/>
      <c r="E134" s="190"/>
      <c r="F134" s="190"/>
      <c r="G134" s="190"/>
      <c r="H134" s="155"/>
      <c r="I134" s="190"/>
      <c r="J134" s="155"/>
      <c r="K134" s="155"/>
      <c r="L134" s="155"/>
      <c r="M134" s="155"/>
    </row>
    <row r="135" ht="14.25" customHeight="1">
      <c r="A135" s="188"/>
      <c r="B135" s="189"/>
      <c r="C135" s="131"/>
      <c r="D135" s="155"/>
      <c r="E135" s="190"/>
      <c r="F135" s="190"/>
      <c r="G135" s="190"/>
      <c r="H135" s="155"/>
      <c r="I135" s="190"/>
      <c r="J135" s="155"/>
      <c r="K135" s="155"/>
      <c r="L135" s="155"/>
      <c r="M135" s="155"/>
    </row>
    <row r="136" ht="14.25" customHeight="1">
      <c r="A136" s="188"/>
      <c r="B136" s="189"/>
      <c r="C136" s="131"/>
      <c r="D136" s="155"/>
      <c r="E136" s="190"/>
      <c r="F136" s="190"/>
      <c r="G136" s="190"/>
      <c r="H136" s="155"/>
      <c r="I136" s="190"/>
      <c r="J136" s="155"/>
      <c r="K136" s="155"/>
      <c r="L136" s="155"/>
      <c r="M136" s="155"/>
    </row>
    <row r="137" ht="14.25" customHeight="1">
      <c r="A137" s="188"/>
      <c r="B137" s="189"/>
      <c r="C137" s="131"/>
      <c r="D137" s="155"/>
      <c r="E137" s="190"/>
      <c r="F137" s="190"/>
      <c r="G137" s="190"/>
      <c r="H137" s="155"/>
      <c r="I137" s="190"/>
      <c r="J137" s="155"/>
      <c r="K137" s="155"/>
      <c r="L137" s="155"/>
      <c r="M137" s="155"/>
    </row>
    <row r="138" ht="14.25" customHeight="1">
      <c r="A138" s="188"/>
      <c r="B138" s="189"/>
      <c r="C138" s="131"/>
      <c r="D138" s="155"/>
      <c r="E138" s="190"/>
      <c r="F138" s="190"/>
      <c r="G138" s="190"/>
      <c r="H138" s="155"/>
      <c r="I138" s="190"/>
      <c r="J138" s="155"/>
      <c r="K138" s="155"/>
      <c r="L138" s="155"/>
      <c r="M138" s="155"/>
    </row>
    <row r="139" ht="14.25" customHeight="1">
      <c r="A139" s="188"/>
      <c r="B139" s="189"/>
      <c r="C139" s="131"/>
      <c r="D139" s="155"/>
      <c r="E139" s="190"/>
      <c r="F139" s="190"/>
      <c r="G139" s="190"/>
      <c r="H139" s="155"/>
      <c r="I139" s="190"/>
      <c r="J139" s="155"/>
      <c r="K139" s="155"/>
      <c r="L139" s="155"/>
      <c r="M139" s="155"/>
    </row>
    <row r="140" ht="14.25" customHeight="1">
      <c r="A140" s="188"/>
      <c r="B140" s="189"/>
      <c r="C140" s="131"/>
      <c r="D140" s="155"/>
      <c r="E140" s="190"/>
      <c r="F140" s="190"/>
      <c r="G140" s="190"/>
      <c r="H140" s="155"/>
      <c r="I140" s="190"/>
      <c r="J140" s="155"/>
      <c r="K140" s="155"/>
      <c r="L140" s="155"/>
      <c r="M140" s="155"/>
    </row>
    <row r="141" ht="14.25" customHeight="1">
      <c r="A141" s="188"/>
      <c r="B141" s="189"/>
      <c r="C141" s="131"/>
      <c r="D141" s="155"/>
      <c r="E141" s="190"/>
      <c r="F141" s="190"/>
      <c r="G141" s="190"/>
      <c r="H141" s="155"/>
      <c r="I141" s="190"/>
      <c r="J141" s="155"/>
      <c r="K141" s="155"/>
      <c r="L141" s="155"/>
      <c r="M141" s="155"/>
    </row>
    <row r="142" ht="14.25" customHeight="1">
      <c r="A142" s="188"/>
      <c r="B142" s="189"/>
      <c r="C142" s="131"/>
      <c r="D142" s="155"/>
      <c r="E142" s="190"/>
      <c r="F142" s="190"/>
      <c r="G142" s="190"/>
      <c r="H142" s="155"/>
      <c r="I142" s="190"/>
      <c r="J142" s="155"/>
      <c r="K142" s="155"/>
      <c r="L142" s="155"/>
      <c r="M142" s="155"/>
    </row>
    <row r="143" ht="14.25" customHeight="1">
      <c r="A143" s="188"/>
      <c r="B143" s="189"/>
      <c r="C143" s="131"/>
      <c r="D143" s="155"/>
      <c r="E143" s="190"/>
      <c r="F143" s="190"/>
      <c r="G143" s="190"/>
      <c r="H143" s="155"/>
      <c r="I143" s="190"/>
      <c r="J143" s="155"/>
      <c r="K143" s="155"/>
      <c r="L143" s="155"/>
      <c r="M143" s="155"/>
    </row>
    <row r="144" ht="14.25" customHeight="1">
      <c r="A144" s="188"/>
      <c r="B144" s="189"/>
      <c r="C144" s="131"/>
      <c r="D144" s="155"/>
      <c r="E144" s="190"/>
      <c r="F144" s="190"/>
      <c r="G144" s="190"/>
      <c r="H144" s="155"/>
      <c r="I144" s="190"/>
      <c r="J144" s="155"/>
      <c r="K144" s="155"/>
      <c r="L144" s="155"/>
      <c r="M144" s="155"/>
    </row>
    <row r="145" ht="14.25" customHeight="1">
      <c r="A145" s="188"/>
      <c r="B145" s="189"/>
      <c r="C145" s="131"/>
      <c r="D145" s="155"/>
      <c r="E145" s="190"/>
      <c r="F145" s="190"/>
      <c r="G145" s="190"/>
      <c r="H145" s="155"/>
      <c r="I145" s="190"/>
      <c r="J145" s="155"/>
      <c r="K145" s="155"/>
      <c r="L145" s="155"/>
      <c r="M145" s="155"/>
    </row>
    <row r="146" ht="14.25" customHeight="1">
      <c r="A146" s="188"/>
      <c r="B146" s="189"/>
      <c r="C146" s="131"/>
      <c r="D146" s="155"/>
      <c r="E146" s="190"/>
      <c r="F146" s="190"/>
      <c r="G146" s="190"/>
      <c r="H146" s="155"/>
      <c r="I146" s="190"/>
      <c r="J146" s="155"/>
      <c r="K146" s="155"/>
      <c r="L146" s="155"/>
      <c r="M146" s="155"/>
    </row>
    <row r="147" ht="14.25" customHeight="1">
      <c r="A147" s="188"/>
      <c r="B147" s="189"/>
      <c r="C147" s="131"/>
      <c r="D147" s="155"/>
      <c r="E147" s="190"/>
      <c r="F147" s="190"/>
      <c r="G147" s="190"/>
      <c r="H147" s="155"/>
      <c r="I147" s="190"/>
      <c r="J147" s="155"/>
      <c r="K147" s="155"/>
      <c r="L147" s="155"/>
      <c r="M147" s="155"/>
    </row>
    <row r="148" ht="14.25" customHeight="1">
      <c r="A148" s="188"/>
      <c r="B148" s="189"/>
      <c r="C148" s="131"/>
      <c r="D148" s="155"/>
      <c r="E148" s="190"/>
      <c r="F148" s="190"/>
      <c r="G148" s="190"/>
      <c r="H148" s="155"/>
      <c r="I148" s="190"/>
      <c r="J148" s="155"/>
      <c r="K148" s="155"/>
      <c r="L148" s="155"/>
      <c r="M148" s="155"/>
    </row>
    <row r="149" ht="14.25" customHeight="1">
      <c r="A149" s="188"/>
      <c r="B149" s="189"/>
      <c r="C149" s="131"/>
      <c r="D149" s="155"/>
      <c r="E149" s="190"/>
      <c r="F149" s="190"/>
      <c r="G149" s="190"/>
      <c r="H149" s="155"/>
      <c r="I149" s="190"/>
      <c r="J149" s="155"/>
      <c r="K149" s="155"/>
      <c r="L149" s="155"/>
      <c r="M149" s="155"/>
    </row>
    <row r="150" ht="14.25" customHeight="1">
      <c r="A150" s="188"/>
      <c r="B150" s="189"/>
      <c r="C150" s="131"/>
      <c r="D150" s="155"/>
      <c r="E150" s="190"/>
      <c r="F150" s="190"/>
      <c r="G150" s="190"/>
      <c r="H150" s="155"/>
      <c r="I150" s="190"/>
      <c r="J150" s="155"/>
      <c r="K150" s="155"/>
      <c r="L150" s="155"/>
      <c r="M150" s="155"/>
    </row>
    <row r="151" ht="14.25" customHeight="1">
      <c r="A151" s="188"/>
      <c r="B151" s="189"/>
      <c r="C151" s="131"/>
      <c r="D151" s="155"/>
      <c r="E151" s="190"/>
      <c r="F151" s="190"/>
      <c r="G151" s="190"/>
      <c r="H151" s="155"/>
      <c r="I151" s="190"/>
      <c r="J151" s="155"/>
      <c r="K151" s="155"/>
      <c r="L151" s="155"/>
      <c r="M151" s="155"/>
    </row>
    <row r="152" ht="14.25" customHeight="1">
      <c r="A152" s="188"/>
      <c r="B152" s="189"/>
      <c r="C152" s="131"/>
      <c r="D152" s="155"/>
      <c r="E152" s="190"/>
      <c r="F152" s="190"/>
      <c r="G152" s="190"/>
      <c r="H152" s="155"/>
      <c r="I152" s="190"/>
      <c r="J152" s="155"/>
      <c r="K152" s="155"/>
      <c r="L152" s="155"/>
      <c r="M152" s="155"/>
    </row>
    <row r="153" ht="14.25" customHeight="1">
      <c r="A153" s="188"/>
      <c r="B153" s="189"/>
      <c r="C153" s="131"/>
      <c r="D153" s="155"/>
      <c r="E153" s="190"/>
      <c r="F153" s="190"/>
      <c r="G153" s="190"/>
      <c r="H153" s="155"/>
      <c r="I153" s="190"/>
      <c r="J153" s="155"/>
      <c r="K153" s="155"/>
      <c r="L153" s="155"/>
      <c r="M153" s="155"/>
    </row>
    <row r="154" ht="14.25" customHeight="1">
      <c r="A154" s="188"/>
      <c r="B154" s="189"/>
      <c r="C154" s="131"/>
      <c r="D154" s="155"/>
      <c r="E154" s="190"/>
      <c r="F154" s="190"/>
      <c r="G154" s="190"/>
      <c r="H154" s="155"/>
      <c r="I154" s="190"/>
      <c r="J154" s="155"/>
      <c r="K154" s="155"/>
      <c r="L154" s="155"/>
      <c r="M154" s="155"/>
    </row>
    <row r="155" ht="14.25" customHeight="1">
      <c r="A155" s="188"/>
      <c r="B155" s="189"/>
      <c r="C155" s="131"/>
      <c r="D155" s="155"/>
      <c r="E155" s="190"/>
      <c r="F155" s="190"/>
      <c r="G155" s="190"/>
      <c r="H155" s="155"/>
      <c r="I155" s="190"/>
      <c r="J155" s="155"/>
      <c r="K155" s="155"/>
      <c r="L155" s="155"/>
      <c r="M155" s="155"/>
    </row>
    <row r="156" ht="14.25" customHeight="1">
      <c r="A156" s="188"/>
      <c r="B156" s="189"/>
      <c r="C156" s="131"/>
      <c r="D156" s="155"/>
      <c r="E156" s="190"/>
      <c r="F156" s="190"/>
      <c r="G156" s="190"/>
      <c r="H156" s="155"/>
      <c r="I156" s="190"/>
      <c r="J156" s="155"/>
      <c r="K156" s="155"/>
      <c r="L156" s="155"/>
      <c r="M156" s="155"/>
    </row>
    <row r="157" ht="14.25" customHeight="1">
      <c r="A157" s="188"/>
      <c r="B157" s="189"/>
      <c r="C157" s="131"/>
      <c r="D157" s="155"/>
      <c r="E157" s="190"/>
      <c r="F157" s="190"/>
      <c r="G157" s="190"/>
      <c r="H157" s="155"/>
      <c r="I157" s="190"/>
      <c r="J157" s="155"/>
      <c r="K157" s="155"/>
      <c r="L157" s="155"/>
      <c r="M157" s="155"/>
    </row>
    <row r="158" ht="14.25" customHeight="1">
      <c r="A158" s="188"/>
      <c r="B158" s="189"/>
      <c r="C158" s="131"/>
      <c r="D158" s="155"/>
      <c r="E158" s="190"/>
      <c r="F158" s="190"/>
      <c r="G158" s="190"/>
      <c r="H158" s="155"/>
      <c r="I158" s="190"/>
      <c r="J158" s="155"/>
      <c r="K158" s="155"/>
      <c r="L158" s="155"/>
      <c r="M158" s="155"/>
    </row>
    <row r="159" ht="14.25" customHeight="1">
      <c r="A159" s="188"/>
      <c r="B159" s="189"/>
      <c r="C159" s="131"/>
      <c r="D159" s="155"/>
      <c r="E159" s="190"/>
      <c r="F159" s="190"/>
      <c r="G159" s="190"/>
      <c r="H159" s="155"/>
      <c r="I159" s="190"/>
      <c r="J159" s="155"/>
      <c r="K159" s="155"/>
      <c r="L159" s="155"/>
      <c r="M159" s="155"/>
    </row>
    <row r="160" ht="14.25" customHeight="1">
      <c r="A160" s="188"/>
      <c r="B160" s="189"/>
      <c r="C160" s="131"/>
      <c r="D160" s="155"/>
      <c r="E160" s="190"/>
      <c r="F160" s="190"/>
      <c r="G160" s="190"/>
      <c r="H160" s="155"/>
      <c r="I160" s="190"/>
      <c r="J160" s="155"/>
      <c r="K160" s="155"/>
      <c r="L160" s="155"/>
      <c r="M160" s="155"/>
    </row>
    <row r="161" ht="14.25" customHeight="1">
      <c r="A161" s="188"/>
      <c r="B161" s="189"/>
      <c r="C161" s="131"/>
      <c r="D161" s="155"/>
      <c r="E161" s="190"/>
      <c r="F161" s="190"/>
      <c r="G161" s="190"/>
      <c r="H161" s="155"/>
      <c r="I161" s="190"/>
      <c r="J161" s="155"/>
      <c r="K161" s="155"/>
      <c r="L161" s="155"/>
      <c r="M161" s="155"/>
    </row>
    <row r="162" ht="14.25" customHeight="1">
      <c r="A162" s="188"/>
      <c r="B162" s="189"/>
      <c r="C162" s="131"/>
      <c r="D162" s="155"/>
      <c r="E162" s="190"/>
      <c r="F162" s="190"/>
      <c r="G162" s="190"/>
      <c r="H162" s="155"/>
      <c r="I162" s="190"/>
      <c r="J162" s="155"/>
      <c r="K162" s="155"/>
      <c r="L162" s="155"/>
      <c r="M162" s="155"/>
    </row>
    <row r="163" ht="14.25" customHeight="1">
      <c r="A163" s="188"/>
      <c r="B163" s="189"/>
      <c r="C163" s="131"/>
      <c r="D163" s="155"/>
      <c r="E163" s="190"/>
      <c r="F163" s="190"/>
      <c r="G163" s="190"/>
      <c r="H163" s="155"/>
      <c r="I163" s="190"/>
      <c r="J163" s="155"/>
      <c r="K163" s="155"/>
      <c r="L163" s="155"/>
      <c r="M163" s="155"/>
    </row>
    <row r="164" ht="14.25" customHeight="1">
      <c r="A164" s="188"/>
      <c r="B164" s="189"/>
      <c r="C164" s="131"/>
      <c r="D164" s="155"/>
      <c r="E164" s="190"/>
      <c r="F164" s="190"/>
      <c r="G164" s="190"/>
      <c r="H164" s="155"/>
      <c r="I164" s="190"/>
      <c r="J164" s="155"/>
      <c r="K164" s="155"/>
      <c r="L164" s="155"/>
      <c r="M164" s="155"/>
    </row>
    <row r="165" ht="14.25" customHeight="1">
      <c r="A165" s="188"/>
      <c r="B165" s="189"/>
      <c r="C165" s="131"/>
      <c r="D165" s="155"/>
      <c r="E165" s="190"/>
      <c r="F165" s="190"/>
      <c r="G165" s="190"/>
      <c r="H165" s="155"/>
      <c r="I165" s="190"/>
      <c r="J165" s="155"/>
      <c r="K165" s="155"/>
      <c r="L165" s="155"/>
      <c r="M165" s="155"/>
    </row>
    <row r="166" ht="14.25" customHeight="1">
      <c r="A166" s="188"/>
      <c r="B166" s="189"/>
      <c r="C166" s="131"/>
      <c r="D166" s="155"/>
      <c r="E166" s="190"/>
      <c r="F166" s="190"/>
      <c r="G166" s="190"/>
      <c r="H166" s="155"/>
      <c r="I166" s="190"/>
      <c r="J166" s="155"/>
      <c r="K166" s="155"/>
      <c r="L166" s="155"/>
      <c r="M166" s="155"/>
    </row>
    <row r="167" ht="14.25" customHeight="1">
      <c r="A167" s="188"/>
      <c r="B167" s="189"/>
      <c r="C167" s="131"/>
      <c r="D167" s="155"/>
      <c r="E167" s="190"/>
      <c r="F167" s="190"/>
      <c r="G167" s="190"/>
      <c r="H167" s="155"/>
      <c r="I167" s="190"/>
      <c r="J167" s="155"/>
      <c r="K167" s="155"/>
      <c r="L167" s="155"/>
      <c r="M167" s="155"/>
    </row>
    <row r="168" ht="14.25" customHeight="1">
      <c r="A168" s="188"/>
      <c r="B168" s="189"/>
      <c r="C168" s="131"/>
      <c r="D168" s="155"/>
      <c r="E168" s="190"/>
      <c r="F168" s="190"/>
      <c r="G168" s="190"/>
      <c r="H168" s="155"/>
      <c r="I168" s="190"/>
      <c r="J168" s="155"/>
      <c r="K168" s="155"/>
      <c r="L168" s="155"/>
      <c r="M168" s="155"/>
    </row>
    <row r="169" ht="14.25" customHeight="1">
      <c r="A169" s="188"/>
      <c r="B169" s="189"/>
      <c r="C169" s="131"/>
      <c r="D169" s="155"/>
      <c r="E169" s="190"/>
      <c r="F169" s="190"/>
      <c r="G169" s="190"/>
      <c r="H169" s="155"/>
      <c r="I169" s="190"/>
      <c r="J169" s="155"/>
      <c r="K169" s="155"/>
      <c r="L169" s="155"/>
      <c r="M169" s="155"/>
    </row>
    <row r="170" ht="14.25" customHeight="1">
      <c r="A170" s="188"/>
      <c r="B170" s="189"/>
      <c r="C170" s="131"/>
      <c r="D170" s="155"/>
      <c r="E170" s="190"/>
      <c r="F170" s="190"/>
      <c r="G170" s="190"/>
      <c r="H170" s="155"/>
      <c r="I170" s="190"/>
      <c r="J170" s="155"/>
      <c r="K170" s="155"/>
      <c r="L170" s="155"/>
      <c r="M170" s="155"/>
    </row>
    <row r="171" ht="14.25" customHeight="1">
      <c r="A171" s="188"/>
      <c r="B171" s="189"/>
      <c r="C171" s="131"/>
      <c r="D171" s="155"/>
      <c r="E171" s="190"/>
      <c r="F171" s="190"/>
      <c r="G171" s="190"/>
      <c r="H171" s="155"/>
      <c r="I171" s="190"/>
      <c r="J171" s="155"/>
      <c r="K171" s="155"/>
      <c r="L171" s="155"/>
      <c r="M171" s="155"/>
    </row>
    <row r="172" ht="14.25" customHeight="1">
      <c r="A172" s="188"/>
      <c r="B172" s="189"/>
      <c r="C172" s="131"/>
      <c r="D172" s="155"/>
      <c r="E172" s="190"/>
      <c r="F172" s="190"/>
      <c r="G172" s="190"/>
      <c r="H172" s="155"/>
      <c r="I172" s="190"/>
      <c r="J172" s="155"/>
      <c r="K172" s="155"/>
      <c r="L172" s="155"/>
      <c r="M172" s="155"/>
    </row>
    <row r="173" ht="14.25" customHeight="1">
      <c r="A173" s="188"/>
      <c r="B173" s="189"/>
      <c r="C173" s="131"/>
      <c r="D173" s="155"/>
      <c r="E173" s="190"/>
      <c r="F173" s="190"/>
      <c r="G173" s="190"/>
      <c r="H173" s="155"/>
      <c r="I173" s="190"/>
      <c r="J173" s="155"/>
      <c r="K173" s="155"/>
      <c r="L173" s="155"/>
      <c r="M173" s="155"/>
    </row>
    <row r="174" ht="14.25" customHeight="1">
      <c r="A174" s="188"/>
      <c r="B174" s="189"/>
      <c r="C174" s="131"/>
      <c r="D174" s="155"/>
      <c r="E174" s="190"/>
      <c r="F174" s="190"/>
      <c r="G174" s="190"/>
      <c r="H174" s="155"/>
      <c r="I174" s="190"/>
      <c r="J174" s="155"/>
      <c r="K174" s="155"/>
      <c r="L174" s="155"/>
      <c r="M174" s="155"/>
    </row>
    <row r="175" ht="14.25" customHeight="1">
      <c r="A175" s="188"/>
      <c r="B175" s="189"/>
      <c r="C175" s="131"/>
      <c r="D175" s="155"/>
      <c r="E175" s="190"/>
      <c r="F175" s="190"/>
      <c r="G175" s="190"/>
      <c r="H175" s="155"/>
      <c r="I175" s="190"/>
      <c r="J175" s="155"/>
      <c r="K175" s="155"/>
      <c r="L175" s="155"/>
      <c r="M175" s="155"/>
    </row>
    <row r="176" ht="14.25" customHeight="1">
      <c r="A176" s="188"/>
      <c r="B176" s="189"/>
      <c r="C176" s="131"/>
      <c r="D176" s="155"/>
      <c r="E176" s="190"/>
      <c r="F176" s="190"/>
      <c r="G176" s="190"/>
      <c r="H176" s="155"/>
      <c r="I176" s="190"/>
      <c r="J176" s="155"/>
      <c r="K176" s="155"/>
      <c r="L176" s="155"/>
      <c r="M176" s="155"/>
    </row>
    <row r="177" ht="14.25" customHeight="1">
      <c r="A177" s="188"/>
      <c r="B177" s="189"/>
      <c r="C177" s="131"/>
      <c r="D177" s="155"/>
      <c r="E177" s="190"/>
      <c r="F177" s="190"/>
      <c r="G177" s="190"/>
      <c r="H177" s="155"/>
      <c r="I177" s="190"/>
      <c r="J177" s="155"/>
      <c r="K177" s="155"/>
      <c r="L177" s="155"/>
      <c r="M177" s="155"/>
    </row>
    <row r="178" ht="14.25" customHeight="1">
      <c r="A178" s="188"/>
      <c r="B178" s="189"/>
      <c r="C178" s="131"/>
      <c r="D178" s="155"/>
      <c r="E178" s="190"/>
      <c r="F178" s="190"/>
      <c r="G178" s="190"/>
      <c r="H178" s="155"/>
      <c r="I178" s="190"/>
      <c r="J178" s="155"/>
      <c r="K178" s="155"/>
      <c r="L178" s="155"/>
      <c r="M178" s="155"/>
    </row>
    <row r="179" ht="14.25" customHeight="1">
      <c r="A179" s="188"/>
      <c r="B179" s="189"/>
      <c r="C179" s="131"/>
      <c r="D179" s="155"/>
      <c r="E179" s="190"/>
      <c r="F179" s="190"/>
      <c r="G179" s="190"/>
      <c r="H179" s="155"/>
      <c r="I179" s="190"/>
      <c r="J179" s="155"/>
      <c r="K179" s="155"/>
      <c r="L179" s="155"/>
      <c r="M179" s="155"/>
    </row>
    <row r="180" ht="14.25" customHeight="1">
      <c r="A180" s="188"/>
      <c r="B180" s="189"/>
      <c r="C180" s="131"/>
      <c r="D180" s="155"/>
      <c r="E180" s="190"/>
      <c r="F180" s="190"/>
      <c r="G180" s="190"/>
      <c r="H180" s="155"/>
      <c r="I180" s="190"/>
      <c r="J180" s="155"/>
      <c r="K180" s="155"/>
      <c r="L180" s="155"/>
      <c r="M180" s="155"/>
    </row>
    <row r="181" ht="14.25" customHeight="1">
      <c r="A181" s="188"/>
      <c r="B181" s="189"/>
      <c r="C181" s="131"/>
      <c r="D181" s="155"/>
      <c r="E181" s="190"/>
      <c r="F181" s="190"/>
      <c r="G181" s="190"/>
      <c r="H181" s="155"/>
      <c r="I181" s="190"/>
      <c r="J181" s="155"/>
      <c r="K181" s="155"/>
      <c r="L181" s="155"/>
      <c r="M181" s="155"/>
    </row>
    <row r="182" ht="14.25" customHeight="1">
      <c r="A182" s="188"/>
      <c r="B182" s="189"/>
      <c r="C182" s="131"/>
      <c r="D182" s="155"/>
      <c r="E182" s="190"/>
      <c r="F182" s="190"/>
      <c r="G182" s="190"/>
      <c r="H182" s="155"/>
      <c r="I182" s="190"/>
      <c r="J182" s="155"/>
      <c r="K182" s="155"/>
      <c r="L182" s="155"/>
      <c r="M182" s="155"/>
    </row>
    <row r="183" ht="14.25" customHeight="1">
      <c r="A183" s="188"/>
      <c r="B183" s="189"/>
      <c r="C183" s="131"/>
      <c r="D183" s="155"/>
      <c r="E183" s="190"/>
      <c r="F183" s="190"/>
      <c r="G183" s="190"/>
      <c r="H183" s="155"/>
      <c r="I183" s="190"/>
      <c r="J183" s="155"/>
      <c r="K183" s="155"/>
      <c r="L183" s="155"/>
      <c r="M183" s="155"/>
    </row>
    <row r="184" ht="14.25" customHeight="1">
      <c r="A184" s="188"/>
      <c r="B184" s="189"/>
      <c r="C184" s="131"/>
      <c r="D184" s="155"/>
      <c r="E184" s="190"/>
      <c r="F184" s="190"/>
      <c r="G184" s="190"/>
      <c r="H184" s="155"/>
      <c r="I184" s="190"/>
      <c r="J184" s="155"/>
      <c r="K184" s="155"/>
      <c r="L184" s="155"/>
      <c r="M184" s="155"/>
    </row>
    <row r="185" ht="14.25" customHeight="1">
      <c r="A185" s="188"/>
      <c r="B185" s="189"/>
      <c r="C185" s="131"/>
      <c r="D185" s="155"/>
      <c r="E185" s="190"/>
      <c r="F185" s="190"/>
      <c r="G185" s="190"/>
      <c r="H185" s="155"/>
      <c r="I185" s="190"/>
      <c r="J185" s="155"/>
      <c r="K185" s="155"/>
      <c r="L185" s="155"/>
      <c r="M185" s="155"/>
    </row>
    <row r="186" ht="14.25" customHeight="1">
      <c r="A186" s="188"/>
      <c r="B186" s="189"/>
      <c r="C186" s="131"/>
      <c r="D186" s="155"/>
      <c r="E186" s="190"/>
      <c r="F186" s="190"/>
      <c r="G186" s="190"/>
      <c r="H186" s="155"/>
      <c r="I186" s="190"/>
      <c r="J186" s="155"/>
      <c r="K186" s="155"/>
      <c r="L186" s="155"/>
      <c r="M186" s="155"/>
    </row>
    <row r="187" ht="14.25" customHeight="1">
      <c r="A187" s="188"/>
      <c r="B187" s="189"/>
      <c r="C187" s="131"/>
      <c r="D187" s="155"/>
      <c r="E187" s="190"/>
      <c r="F187" s="190"/>
      <c r="G187" s="190"/>
      <c r="H187" s="155"/>
      <c r="I187" s="190"/>
      <c r="J187" s="155"/>
      <c r="K187" s="155"/>
      <c r="L187" s="155"/>
      <c r="M187" s="155"/>
    </row>
    <row r="188" ht="14.25" customHeight="1">
      <c r="A188" s="188"/>
      <c r="B188" s="189"/>
      <c r="C188" s="131"/>
      <c r="D188" s="155"/>
      <c r="E188" s="190"/>
      <c r="F188" s="190"/>
      <c r="G188" s="190"/>
      <c r="H188" s="155"/>
      <c r="I188" s="190"/>
      <c r="J188" s="155"/>
      <c r="K188" s="155"/>
      <c r="L188" s="155"/>
      <c r="M188" s="155"/>
    </row>
    <row r="189" ht="14.25" customHeight="1">
      <c r="A189" s="188"/>
      <c r="B189" s="189"/>
      <c r="C189" s="131"/>
      <c r="D189" s="155"/>
      <c r="E189" s="190"/>
      <c r="F189" s="190"/>
      <c r="G189" s="190"/>
      <c r="H189" s="155"/>
      <c r="I189" s="190"/>
      <c r="J189" s="155"/>
      <c r="K189" s="155"/>
      <c r="L189" s="155"/>
      <c r="M189" s="155"/>
    </row>
    <row r="190" ht="14.25" customHeight="1">
      <c r="A190" s="188"/>
      <c r="B190" s="189"/>
      <c r="C190" s="131"/>
      <c r="D190" s="155"/>
      <c r="E190" s="190"/>
      <c r="F190" s="190"/>
      <c r="G190" s="190"/>
      <c r="H190" s="155"/>
      <c r="I190" s="190"/>
      <c r="J190" s="155"/>
      <c r="K190" s="155"/>
      <c r="L190" s="155"/>
      <c r="M190" s="155"/>
    </row>
    <row r="191" ht="14.25" customHeight="1">
      <c r="A191" s="188"/>
      <c r="B191" s="189"/>
      <c r="C191" s="131"/>
      <c r="D191" s="155"/>
      <c r="E191" s="190"/>
      <c r="F191" s="190"/>
      <c r="G191" s="190"/>
      <c r="H191" s="155"/>
      <c r="I191" s="190"/>
      <c r="J191" s="155"/>
      <c r="K191" s="155"/>
      <c r="L191" s="155"/>
      <c r="M191" s="155"/>
    </row>
    <row r="192" ht="14.25" customHeight="1">
      <c r="A192" s="188"/>
      <c r="B192" s="189"/>
      <c r="C192" s="131"/>
      <c r="D192" s="155"/>
      <c r="E192" s="190"/>
      <c r="F192" s="190"/>
      <c r="G192" s="190"/>
      <c r="H192" s="155"/>
      <c r="I192" s="190"/>
      <c r="J192" s="155"/>
      <c r="K192" s="155"/>
      <c r="L192" s="155"/>
      <c r="M192" s="155"/>
    </row>
    <row r="193" ht="14.25" customHeight="1">
      <c r="A193" s="188"/>
      <c r="B193" s="189"/>
      <c r="C193" s="131"/>
      <c r="D193" s="155"/>
      <c r="E193" s="190"/>
      <c r="F193" s="190"/>
      <c r="G193" s="190"/>
      <c r="H193" s="155"/>
      <c r="I193" s="190"/>
      <c r="J193" s="155"/>
      <c r="K193" s="155"/>
      <c r="L193" s="155"/>
      <c r="M193" s="155"/>
    </row>
    <row r="194" ht="14.25" customHeight="1">
      <c r="A194" s="188"/>
      <c r="B194" s="189"/>
      <c r="C194" s="131"/>
      <c r="D194" s="155"/>
      <c r="E194" s="190"/>
      <c r="F194" s="190"/>
      <c r="G194" s="190"/>
      <c r="H194" s="155"/>
      <c r="I194" s="190"/>
      <c r="J194" s="155"/>
      <c r="K194" s="155"/>
      <c r="L194" s="155"/>
      <c r="M194" s="155"/>
    </row>
    <row r="195" ht="14.25" customHeight="1">
      <c r="A195" s="188"/>
      <c r="B195" s="189"/>
      <c r="C195" s="131"/>
      <c r="D195" s="155"/>
      <c r="E195" s="190"/>
      <c r="F195" s="190"/>
      <c r="G195" s="190"/>
      <c r="H195" s="155"/>
      <c r="I195" s="190"/>
      <c r="J195" s="155"/>
      <c r="K195" s="155"/>
      <c r="L195" s="155"/>
      <c r="M195" s="155"/>
    </row>
    <row r="196" ht="14.25" customHeight="1">
      <c r="A196" s="188"/>
      <c r="B196" s="189"/>
      <c r="C196" s="131"/>
      <c r="D196" s="155"/>
      <c r="E196" s="190"/>
      <c r="F196" s="190"/>
      <c r="G196" s="190"/>
      <c r="H196" s="155"/>
      <c r="I196" s="190"/>
      <c r="J196" s="155"/>
      <c r="K196" s="155"/>
      <c r="L196" s="155"/>
      <c r="M196" s="155"/>
    </row>
    <row r="197" ht="14.25" customHeight="1">
      <c r="A197" s="188"/>
      <c r="B197" s="189"/>
      <c r="C197" s="131"/>
      <c r="D197" s="155"/>
      <c r="E197" s="190"/>
      <c r="F197" s="190"/>
      <c r="G197" s="190"/>
      <c r="H197" s="155"/>
      <c r="I197" s="190"/>
      <c r="J197" s="155"/>
      <c r="K197" s="155"/>
      <c r="L197" s="155"/>
      <c r="M197" s="155"/>
    </row>
    <row r="198" ht="14.25" customHeight="1">
      <c r="A198" s="188"/>
      <c r="B198" s="189"/>
      <c r="C198" s="131"/>
      <c r="D198" s="155"/>
      <c r="E198" s="190"/>
      <c r="F198" s="190"/>
      <c r="G198" s="190"/>
      <c r="H198" s="155"/>
      <c r="I198" s="190"/>
      <c r="J198" s="155"/>
      <c r="K198" s="155"/>
      <c r="L198" s="155"/>
      <c r="M198" s="155"/>
    </row>
    <row r="199" ht="14.25" customHeight="1">
      <c r="A199" s="188"/>
      <c r="B199" s="189"/>
      <c r="C199" s="131"/>
      <c r="D199" s="155"/>
      <c r="E199" s="190"/>
      <c r="F199" s="190"/>
      <c r="G199" s="190"/>
      <c r="H199" s="155"/>
      <c r="I199" s="190"/>
      <c r="J199" s="155"/>
      <c r="K199" s="155"/>
      <c r="L199" s="155"/>
      <c r="M199" s="155"/>
    </row>
    <row r="200" ht="14.25" customHeight="1">
      <c r="A200" s="188"/>
      <c r="B200" s="189"/>
      <c r="C200" s="131"/>
      <c r="D200" s="155"/>
      <c r="E200" s="190"/>
      <c r="F200" s="190"/>
      <c r="G200" s="190"/>
      <c r="H200" s="155"/>
      <c r="I200" s="190"/>
      <c r="J200" s="155"/>
      <c r="K200" s="155"/>
      <c r="L200" s="155"/>
      <c r="M200" s="155"/>
    </row>
    <row r="201" ht="14.25" customHeight="1">
      <c r="A201" s="188"/>
      <c r="B201" s="189"/>
      <c r="C201" s="131"/>
      <c r="D201" s="155"/>
      <c r="E201" s="190"/>
      <c r="F201" s="190"/>
      <c r="G201" s="190"/>
      <c r="H201" s="155"/>
      <c r="I201" s="190"/>
      <c r="J201" s="155"/>
      <c r="K201" s="155"/>
      <c r="L201" s="155"/>
      <c r="M201" s="155"/>
    </row>
    <row r="202" ht="14.25" customHeight="1">
      <c r="A202" s="188"/>
      <c r="B202" s="189"/>
      <c r="C202" s="131"/>
      <c r="D202" s="155"/>
      <c r="E202" s="190"/>
      <c r="F202" s="190"/>
      <c r="G202" s="190"/>
      <c r="H202" s="155"/>
      <c r="I202" s="190"/>
      <c r="J202" s="155"/>
      <c r="K202" s="155"/>
      <c r="L202" s="155"/>
      <c r="M202" s="155"/>
    </row>
    <row r="203" ht="14.25" customHeight="1">
      <c r="A203" s="188"/>
      <c r="B203" s="189"/>
      <c r="C203" s="131"/>
      <c r="D203" s="155"/>
      <c r="E203" s="190"/>
      <c r="F203" s="190"/>
      <c r="G203" s="190"/>
      <c r="H203" s="155"/>
      <c r="I203" s="190"/>
      <c r="J203" s="155"/>
      <c r="K203" s="155"/>
      <c r="L203" s="155"/>
      <c r="M203" s="155"/>
    </row>
    <row r="204" ht="14.25" customHeight="1">
      <c r="A204" s="188"/>
      <c r="B204" s="189"/>
      <c r="C204" s="131"/>
      <c r="D204" s="155"/>
      <c r="E204" s="190"/>
      <c r="F204" s="190"/>
      <c r="G204" s="190"/>
      <c r="H204" s="155"/>
      <c r="I204" s="190"/>
      <c r="J204" s="155"/>
      <c r="K204" s="155"/>
      <c r="L204" s="155"/>
      <c r="M204" s="155"/>
    </row>
    <row r="205" ht="14.25" customHeight="1">
      <c r="A205" s="188"/>
      <c r="B205" s="189"/>
      <c r="C205" s="131"/>
      <c r="D205" s="155"/>
      <c r="E205" s="190"/>
      <c r="F205" s="190"/>
      <c r="G205" s="190"/>
      <c r="H205" s="155"/>
      <c r="I205" s="190"/>
      <c r="J205" s="155"/>
      <c r="K205" s="155"/>
      <c r="L205" s="155"/>
      <c r="M205" s="155"/>
    </row>
    <row r="206" ht="14.25" customHeight="1">
      <c r="A206" s="188"/>
      <c r="B206" s="189"/>
      <c r="C206" s="131"/>
      <c r="D206" s="155"/>
      <c r="E206" s="190"/>
      <c r="F206" s="190"/>
      <c r="G206" s="190"/>
      <c r="H206" s="155"/>
      <c r="I206" s="190"/>
      <c r="J206" s="155"/>
      <c r="K206" s="155"/>
      <c r="L206" s="155"/>
      <c r="M206" s="155"/>
    </row>
    <row r="207" ht="14.25" customHeight="1">
      <c r="A207" s="188"/>
      <c r="B207" s="189"/>
      <c r="C207" s="131"/>
      <c r="D207" s="155"/>
      <c r="E207" s="190"/>
      <c r="F207" s="190"/>
      <c r="G207" s="190"/>
      <c r="H207" s="155"/>
      <c r="I207" s="190"/>
      <c r="J207" s="155"/>
      <c r="K207" s="155"/>
      <c r="L207" s="155"/>
      <c r="M207" s="155"/>
    </row>
    <row r="208" ht="14.25" customHeight="1">
      <c r="A208" s="188"/>
      <c r="B208" s="189"/>
      <c r="C208" s="131"/>
      <c r="D208" s="155"/>
      <c r="E208" s="190"/>
      <c r="F208" s="190"/>
      <c r="G208" s="190"/>
      <c r="H208" s="155"/>
      <c r="I208" s="190"/>
      <c r="J208" s="155"/>
      <c r="K208" s="155"/>
      <c r="L208" s="155"/>
      <c r="M208" s="155"/>
    </row>
    <row r="209" ht="14.25" customHeight="1">
      <c r="A209" s="188"/>
      <c r="B209" s="189"/>
      <c r="C209" s="131"/>
      <c r="D209" s="155"/>
      <c r="E209" s="190"/>
      <c r="F209" s="190"/>
      <c r="G209" s="190"/>
      <c r="H209" s="155"/>
      <c r="I209" s="190"/>
      <c r="J209" s="155"/>
      <c r="K209" s="155"/>
      <c r="L209" s="155"/>
      <c r="M209" s="155"/>
    </row>
    <row r="210" ht="14.25" customHeight="1">
      <c r="A210" s="188"/>
      <c r="B210" s="189"/>
      <c r="C210" s="131"/>
      <c r="D210" s="155"/>
      <c r="E210" s="190"/>
      <c r="F210" s="190"/>
      <c r="G210" s="190"/>
      <c r="H210" s="155"/>
      <c r="I210" s="190"/>
      <c r="J210" s="155"/>
      <c r="K210" s="155"/>
      <c r="L210" s="155"/>
      <c r="M210" s="155"/>
    </row>
    <row r="211" ht="14.25" customHeight="1">
      <c r="A211" s="188"/>
      <c r="B211" s="189"/>
      <c r="C211" s="131"/>
      <c r="D211" s="155"/>
      <c r="E211" s="190"/>
      <c r="F211" s="190"/>
      <c r="G211" s="190"/>
      <c r="H211" s="155"/>
      <c r="I211" s="190"/>
      <c r="J211" s="155"/>
      <c r="K211" s="155"/>
      <c r="L211" s="155"/>
      <c r="M211" s="155"/>
    </row>
    <row r="212" ht="14.25" customHeight="1">
      <c r="A212" s="188"/>
      <c r="B212" s="189"/>
      <c r="C212" s="131"/>
      <c r="D212" s="155"/>
      <c r="E212" s="190"/>
      <c r="F212" s="190"/>
      <c r="G212" s="190"/>
      <c r="H212" s="155"/>
      <c r="I212" s="190"/>
      <c r="J212" s="155"/>
      <c r="K212" s="155"/>
      <c r="L212" s="155"/>
      <c r="M212" s="155"/>
    </row>
    <row r="213" ht="14.25" customHeight="1">
      <c r="A213" s="188"/>
      <c r="B213" s="189"/>
      <c r="C213" s="131"/>
      <c r="D213" s="155"/>
      <c r="E213" s="190"/>
      <c r="F213" s="190"/>
      <c r="G213" s="190"/>
      <c r="H213" s="155"/>
      <c r="I213" s="190"/>
      <c r="J213" s="155"/>
      <c r="K213" s="155"/>
      <c r="L213" s="155"/>
      <c r="M213" s="155"/>
    </row>
    <row r="214" ht="14.25" customHeight="1">
      <c r="A214" s="188"/>
      <c r="B214" s="189"/>
      <c r="C214" s="131"/>
      <c r="D214" s="155"/>
      <c r="E214" s="190"/>
      <c r="F214" s="190"/>
      <c r="G214" s="190"/>
      <c r="H214" s="155"/>
      <c r="I214" s="190"/>
      <c r="J214" s="155"/>
      <c r="K214" s="155"/>
      <c r="L214" s="155"/>
      <c r="M214" s="155"/>
    </row>
    <row r="215" ht="14.25" customHeight="1">
      <c r="A215" s="188"/>
      <c r="B215" s="189"/>
      <c r="C215" s="131"/>
      <c r="D215" s="155"/>
      <c r="E215" s="190"/>
      <c r="F215" s="190"/>
      <c r="G215" s="190"/>
      <c r="H215" s="155"/>
      <c r="I215" s="190"/>
      <c r="J215" s="155"/>
      <c r="K215" s="155"/>
      <c r="L215" s="155"/>
      <c r="M215" s="155"/>
    </row>
    <row r="216" ht="14.25" customHeight="1">
      <c r="A216" s="188"/>
      <c r="B216" s="189"/>
      <c r="C216" s="131"/>
      <c r="D216" s="155"/>
      <c r="E216" s="190"/>
      <c r="F216" s="190"/>
      <c r="G216" s="190"/>
      <c r="H216" s="155"/>
      <c r="I216" s="190"/>
      <c r="J216" s="155"/>
      <c r="K216" s="155"/>
      <c r="L216" s="155"/>
      <c r="M216" s="155"/>
    </row>
    <row r="217" ht="14.25" customHeight="1">
      <c r="A217" s="188"/>
      <c r="B217" s="189"/>
      <c r="C217" s="131"/>
      <c r="D217" s="155"/>
      <c r="E217" s="190"/>
      <c r="F217" s="190"/>
      <c r="G217" s="190"/>
      <c r="H217" s="155"/>
      <c r="I217" s="190"/>
      <c r="J217" s="155"/>
      <c r="K217" s="155"/>
      <c r="L217" s="155"/>
      <c r="M217" s="155"/>
    </row>
    <row r="218" ht="14.25" customHeight="1">
      <c r="A218" s="188"/>
      <c r="B218" s="189"/>
      <c r="C218" s="131"/>
      <c r="D218" s="155"/>
      <c r="E218" s="190"/>
      <c r="F218" s="190"/>
      <c r="G218" s="190"/>
      <c r="H218" s="155"/>
      <c r="I218" s="190"/>
      <c r="J218" s="155"/>
      <c r="K218" s="155"/>
      <c r="L218" s="155"/>
      <c r="M218" s="155"/>
    </row>
    <row r="219" ht="14.25" customHeight="1">
      <c r="A219" s="188"/>
      <c r="B219" s="189"/>
      <c r="C219" s="131"/>
      <c r="D219" s="155"/>
      <c r="E219" s="190"/>
      <c r="F219" s="190"/>
      <c r="G219" s="190"/>
      <c r="H219" s="155"/>
      <c r="I219" s="190"/>
      <c r="J219" s="155"/>
      <c r="K219" s="155"/>
      <c r="L219" s="155"/>
      <c r="M219" s="155"/>
    </row>
    <row r="220" ht="14.25" customHeight="1">
      <c r="A220" s="188"/>
      <c r="B220" s="189"/>
      <c r="C220" s="131"/>
      <c r="D220" s="155"/>
      <c r="E220" s="190"/>
      <c r="F220" s="190"/>
      <c r="G220" s="190"/>
      <c r="H220" s="155"/>
      <c r="I220" s="190"/>
      <c r="J220" s="155"/>
      <c r="K220" s="155"/>
      <c r="L220" s="155"/>
      <c r="M220" s="155"/>
    </row>
    <row r="221" ht="14.25" customHeight="1">
      <c r="A221" s="188"/>
      <c r="B221" s="189"/>
      <c r="C221" s="131"/>
      <c r="D221" s="155"/>
      <c r="E221" s="190"/>
      <c r="F221" s="190"/>
      <c r="G221" s="190"/>
      <c r="H221" s="155"/>
      <c r="I221" s="190"/>
      <c r="J221" s="155"/>
      <c r="K221" s="155"/>
      <c r="L221" s="155"/>
      <c r="M221" s="155"/>
    </row>
    <row r="222" ht="14.25" customHeight="1">
      <c r="A222" s="188"/>
      <c r="B222" s="189"/>
      <c r="C222" s="131"/>
      <c r="D222" s="155"/>
      <c r="E222" s="190"/>
      <c r="F222" s="190"/>
      <c r="G222" s="190"/>
      <c r="H222" s="155"/>
      <c r="I222" s="190"/>
      <c r="J222" s="155"/>
      <c r="K222" s="155"/>
      <c r="L222" s="155"/>
      <c r="M222" s="155"/>
    </row>
    <row r="223" ht="14.25" customHeight="1">
      <c r="A223" s="188"/>
      <c r="B223" s="189"/>
      <c r="C223" s="131"/>
      <c r="D223" s="155"/>
      <c r="E223" s="190"/>
      <c r="F223" s="190"/>
      <c r="G223" s="190"/>
      <c r="H223" s="155"/>
      <c r="I223" s="190"/>
      <c r="J223" s="155"/>
      <c r="K223" s="155"/>
      <c r="L223" s="155"/>
      <c r="M223" s="155"/>
    </row>
    <row r="224" ht="14.25" customHeight="1">
      <c r="A224" s="188"/>
      <c r="B224" s="189"/>
      <c r="C224" s="131"/>
      <c r="D224" s="155"/>
      <c r="E224" s="190"/>
      <c r="F224" s="190"/>
      <c r="G224" s="190"/>
      <c r="H224" s="155"/>
      <c r="I224" s="190"/>
      <c r="J224" s="155"/>
      <c r="K224" s="155"/>
      <c r="L224" s="155"/>
      <c r="M224" s="155"/>
    </row>
    <row r="225" ht="14.25" customHeight="1">
      <c r="A225" s="188"/>
      <c r="B225" s="189"/>
      <c r="C225" s="131"/>
      <c r="D225" s="155"/>
      <c r="E225" s="190"/>
      <c r="F225" s="190"/>
      <c r="G225" s="190"/>
      <c r="H225" s="155"/>
      <c r="I225" s="190"/>
      <c r="J225" s="155"/>
      <c r="K225" s="155"/>
      <c r="L225" s="155"/>
      <c r="M225" s="155"/>
    </row>
    <row r="226" ht="14.25" customHeight="1">
      <c r="A226" s="188"/>
      <c r="B226" s="189"/>
      <c r="C226" s="131"/>
      <c r="D226" s="155"/>
      <c r="E226" s="190"/>
      <c r="F226" s="190"/>
      <c r="G226" s="190"/>
      <c r="H226" s="155"/>
      <c r="I226" s="190"/>
      <c r="J226" s="155"/>
      <c r="K226" s="155"/>
      <c r="L226" s="155"/>
      <c r="M226" s="155"/>
    </row>
    <row r="227" ht="14.25" customHeight="1">
      <c r="A227" s="188"/>
      <c r="B227" s="189"/>
      <c r="C227" s="131"/>
      <c r="D227" s="155"/>
      <c r="E227" s="190"/>
      <c r="F227" s="190"/>
      <c r="G227" s="190"/>
      <c r="H227" s="155"/>
      <c r="I227" s="190"/>
      <c r="J227" s="155"/>
      <c r="K227" s="155"/>
      <c r="L227" s="155"/>
      <c r="M227" s="155"/>
    </row>
    <row r="228" ht="14.25" customHeight="1">
      <c r="A228" s="188"/>
      <c r="B228" s="189"/>
      <c r="C228" s="131"/>
      <c r="D228" s="155"/>
      <c r="E228" s="190"/>
      <c r="F228" s="190"/>
      <c r="G228" s="190"/>
      <c r="H228" s="155"/>
      <c r="I228" s="190"/>
      <c r="J228" s="155"/>
      <c r="K228" s="155"/>
      <c r="L228" s="155"/>
      <c r="M228" s="155"/>
    </row>
    <row r="229" ht="14.25" customHeight="1">
      <c r="A229" s="188"/>
      <c r="B229" s="189"/>
      <c r="C229" s="131"/>
      <c r="D229" s="155"/>
      <c r="E229" s="190"/>
      <c r="F229" s="190"/>
      <c r="G229" s="190"/>
      <c r="H229" s="155"/>
      <c r="I229" s="190"/>
      <c r="J229" s="155"/>
      <c r="K229" s="155"/>
      <c r="L229" s="155"/>
      <c r="M229" s="155"/>
    </row>
    <row r="230" ht="14.25" customHeight="1">
      <c r="A230" s="188"/>
      <c r="B230" s="189"/>
      <c r="C230" s="131"/>
      <c r="D230" s="155"/>
      <c r="E230" s="190"/>
      <c r="F230" s="190"/>
      <c r="G230" s="190"/>
      <c r="H230" s="155"/>
      <c r="I230" s="190"/>
      <c r="J230" s="155"/>
      <c r="K230" s="155"/>
      <c r="L230" s="155"/>
      <c r="M230" s="155"/>
    </row>
    <row r="231" ht="14.25" customHeight="1">
      <c r="A231" s="188"/>
      <c r="B231" s="189"/>
      <c r="C231" s="131"/>
      <c r="D231" s="155"/>
      <c r="E231" s="190"/>
      <c r="F231" s="190"/>
      <c r="G231" s="190"/>
      <c r="H231" s="155"/>
      <c r="I231" s="190"/>
      <c r="J231" s="155"/>
      <c r="K231" s="155"/>
      <c r="L231" s="155"/>
      <c r="M231" s="155"/>
    </row>
    <row r="232" ht="14.25" customHeight="1">
      <c r="A232" s="188"/>
      <c r="B232" s="189"/>
      <c r="C232" s="131"/>
      <c r="D232" s="155"/>
      <c r="E232" s="190"/>
      <c r="F232" s="190"/>
      <c r="G232" s="190"/>
      <c r="H232" s="155"/>
      <c r="I232" s="190"/>
      <c r="J232" s="155"/>
      <c r="K232" s="155"/>
      <c r="L232" s="155"/>
      <c r="M232" s="155"/>
    </row>
    <row r="233" ht="14.25" customHeight="1">
      <c r="A233" s="188"/>
      <c r="B233" s="189"/>
      <c r="C233" s="131"/>
      <c r="D233" s="155"/>
      <c r="E233" s="190"/>
      <c r="F233" s="190"/>
      <c r="G233" s="190"/>
      <c r="H233" s="155"/>
      <c r="I233" s="190"/>
      <c r="J233" s="155"/>
      <c r="K233" s="155"/>
      <c r="L233" s="155"/>
      <c r="M233" s="155"/>
    </row>
    <row r="234" ht="14.25" customHeight="1">
      <c r="A234" s="188"/>
      <c r="B234" s="189"/>
      <c r="C234" s="131"/>
      <c r="D234" s="155"/>
      <c r="E234" s="190"/>
      <c r="F234" s="190"/>
      <c r="G234" s="190"/>
      <c r="H234" s="155"/>
      <c r="I234" s="190"/>
      <c r="J234" s="155"/>
      <c r="K234" s="155"/>
      <c r="L234" s="155"/>
      <c r="M234" s="155"/>
    </row>
    <row r="235" ht="14.25" customHeight="1">
      <c r="A235" s="188"/>
      <c r="B235" s="189"/>
      <c r="C235" s="131"/>
      <c r="D235" s="155"/>
      <c r="E235" s="190"/>
      <c r="F235" s="190"/>
      <c r="G235" s="190"/>
      <c r="H235" s="155"/>
      <c r="I235" s="190"/>
      <c r="J235" s="155"/>
      <c r="K235" s="155"/>
      <c r="L235" s="155"/>
      <c r="M235" s="155"/>
    </row>
    <row r="236" ht="14.25" customHeight="1">
      <c r="A236" s="188"/>
      <c r="B236" s="189"/>
      <c r="C236" s="131"/>
      <c r="D236" s="155"/>
      <c r="E236" s="190"/>
      <c r="F236" s="190"/>
      <c r="G236" s="190"/>
      <c r="H236" s="155"/>
      <c r="I236" s="190"/>
      <c r="J236" s="155"/>
      <c r="K236" s="155"/>
      <c r="L236" s="155"/>
      <c r="M236" s="155"/>
    </row>
    <row r="237" ht="14.25" customHeight="1">
      <c r="A237" s="188"/>
      <c r="B237" s="189"/>
      <c r="C237" s="131"/>
      <c r="D237" s="155"/>
      <c r="E237" s="190"/>
      <c r="F237" s="190"/>
      <c r="G237" s="190"/>
      <c r="H237" s="155"/>
      <c r="I237" s="190"/>
      <c r="J237" s="155"/>
      <c r="K237" s="155"/>
      <c r="L237" s="155"/>
      <c r="M237" s="155"/>
    </row>
    <row r="238" ht="14.25" customHeight="1">
      <c r="A238" s="188"/>
      <c r="B238" s="189"/>
      <c r="C238" s="131"/>
      <c r="D238" s="155"/>
      <c r="E238" s="190"/>
      <c r="F238" s="190"/>
      <c r="G238" s="190"/>
      <c r="H238" s="155"/>
      <c r="I238" s="190"/>
      <c r="J238" s="155"/>
      <c r="K238" s="155"/>
      <c r="L238" s="155"/>
      <c r="M238" s="155"/>
    </row>
    <row r="239" ht="14.25" customHeight="1">
      <c r="A239" s="188"/>
      <c r="B239" s="189"/>
      <c r="C239" s="131"/>
      <c r="D239" s="155"/>
      <c r="E239" s="190"/>
      <c r="F239" s="190"/>
      <c r="G239" s="190"/>
      <c r="H239" s="155"/>
      <c r="I239" s="190"/>
      <c r="J239" s="155"/>
      <c r="K239" s="155"/>
      <c r="L239" s="155"/>
      <c r="M239" s="155"/>
    </row>
    <row r="240" ht="14.25" customHeight="1">
      <c r="A240" s="188"/>
      <c r="B240" s="189"/>
      <c r="C240" s="131"/>
      <c r="D240" s="155"/>
      <c r="E240" s="190"/>
      <c r="F240" s="190"/>
      <c r="G240" s="190"/>
      <c r="H240" s="155"/>
      <c r="I240" s="190"/>
      <c r="J240" s="155"/>
      <c r="K240" s="155"/>
      <c r="L240" s="155"/>
      <c r="M240" s="155"/>
    </row>
    <row r="241" ht="14.25" customHeight="1">
      <c r="A241" s="188"/>
      <c r="B241" s="189"/>
      <c r="C241" s="131"/>
      <c r="D241" s="155"/>
      <c r="E241" s="190"/>
      <c r="F241" s="190"/>
      <c r="G241" s="190"/>
      <c r="H241" s="155"/>
      <c r="I241" s="190"/>
      <c r="J241" s="155"/>
      <c r="K241" s="155"/>
      <c r="L241" s="155"/>
      <c r="M241" s="155"/>
    </row>
    <row r="242" ht="14.25" customHeight="1">
      <c r="A242" s="188"/>
      <c r="B242" s="189"/>
      <c r="C242" s="131"/>
      <c r="D242" s="155"/>
      <c r="E242" s="190"/>
      <c r="F242" s="190"/>
      <c r="G242" s="190"/>
      <c r="H242" s="155"/>
      <c r="I242" s="190"/>
      <c r="J242" s="155"/>
      <c r="K242" s="155"/>
      <c r="L242" s="155"/>
      <c r="M242" s="155"/>
    </row>
    <row r="243" ht="14.25" customHeight="1">
      <c r="A243" s="188"/>
      <c r="B243" s="189"/>
      <c r="C243" s="131"/>
      <c r="D243" s="155"/>
      <c r="E243" s="190"/>
      <c r="F243" s="190"/>
      <c r="G243" s="190"/>
      <c r="H243" s="155"/>
      <c r="I243" s="190"/>
      <c r="J243" s="155"/>
      <c r="K243" s="155"/>
      <c r="L243" s="155"/>
      <c r="M243" s="155"/>
    </row>
    <row r="244" ht="14.25" customHeight="1">
      <c r="A244" s="188"/>
      <c r="B244" s="189"/>
      <c r="C244" s="131"/>
      <c r="D244" s="155"/>
      <c r="E244" s="190"/>
      <c r="F244" s="190"/>
      <c r="G244" s="190"/>
      <c r="H244" s="155"/>
      <c r="I244" s="190"/>
      <c r="J244" s="155"/>
      <c r="K244" s="155"/>
      <c r="L244" s="155"/>
      <c r="M244" s="155"/>
    </row>
    <row r="245" ht="14.25" customHeight="1">
      <c r="A245" s="188"/>
      <c r="B245" s="189"/>
      <c r="C245" s="131"/>
      <c r="D245" s="155"/>
      <c r="E245" s="190"/>
      <c r="F245" s="190"/>
      <c r="G245" s="190"/>
      <c r="H245" s="155"/>
      <c r="I245" s="190"/>
      <c r="J245" s="155"/>
      <c r="K245" s="155"/>
      <c r="L245" s="155"/>
      <c r="M245" s="155"/>
    </row>
    <row r="246" ht="14.25" customHeight="1">
      <c r="A246" s="188"/>
      <c r="B246" s="189"/>
      <c r="C246" s="131"/>
      <c r="D246" s="155"/>
      <c r="E246" s="190"/>
      <c r="F246" s="190"/>
      <c r="G246" s="190"/>
      <c r="H246" s="155"/>
      <c r="I246" s="190"/>
      <c r="J246" s="155"/>
      <c r="K246" s="155"/>
      <c r="L246" s="155"/>
      <c r="M246" s="155"/>
    </row>
    <row r="247" ht="14.25" customHeight="1">
      <c r="A247" s="188"/>
      <c r="B247" s="189"/>
      <c r="C247" s="131"/>
      <c r="D247" s="155"/>
      <c r="E247" s="190"/>
      <c r="F247" s="190"/>
      <c r="G247" s="190"/>
      <c r="H247" s="155"/>
      <c r="I247" s="190"/>
      <c r="J247" s="155"/>
      <c r="K247" s="155"/>
      <c r="L247" s="155"/>
      <c r="M247" s="155"/>
    </row>
    <row r="248" ht="14.25" customHeight="1">
      <c r="A248" s="188"/>
      <c r="B248" s="189"/>
      <c r="C248" s="131"/>
      <c r="D248" s="155"/>
      <c r="E248" s="190"/>
      <c r="F248" s="190"/>
      <c r="G248" s="190"/>
      <c r="H248" s="155"/>
      <c r="I248" s="190"/>
      <c r="J248" s="155"/>
      <c r="K248" s="155"/>
      <c r="L248" s="155"/>
      <c r="M248" s="155"/>
    </row>
    <row r="249" ht="14.25" customHeight="1">
      <c r="A249" s="188"/>
      <c r="B249" s="189"/>
      <c r="C249" s="131"/>
      <c r="D249" s="155"/>
      <c r="E249" s="190"/>
      <c r="F249" s="190"/>
      <c r="G249" s="190"/>
      <c r="H249" s="155"/>
      <c r="I249" s="190"/>
      <c r="J249" s="155"/>
      <c r="K249" s="155"/>
      <c r="L249" s="155"/>
      <c r="M249" s="155"/>
    </row>
    <row r="250" ht="14.25" customHeight="1">
      <c r="A250" s="188"/>
      <c r="B250" s="189"/>
      <c r="C250" s="131"/>
      <c r="D250" s="155"/>
      <c r="E250" s="190"/>
      <c r="F250" s="190"/>
      <c r="G250" s="190"/>
      <c r="H250" s="155"/>
      <c r="I250" s="190"/>
      <c r="J250" s="155"/>
      <c r="K250" s="155"/>
      <c r="L250" s="155"/>
      <c r="M250" s="155"/>
    </row>
    <row r="251" ht="14.25" customHeight="1">
      <c r="A251" s="188"/>
      <c r="B251" s="189"/>
      <c r="C251" s="131"/>
      <c r="D251" s="155"/>
      <c r="E251" s="190"/>
      <c r="F251" s="190"/>
      <c r="G251" s="190"/>
      <c r="H251" s="155"/>
      <c r="I251" s="190"/>
      <c r="J251" s="155"/>
      <c r="K251" s="155"/>
      <c r="L251" s="155"/>
      <c r="M251" s="155"/>
    </row>
    <row r="252" ht="14.25" customHeight="1">
      <c r="A252" s="188"/>
      <c r="B252" s="189"/>
      <c r="C252" s="131"/>
      <c r="D252" s="155"/>
      <c r="E252" s="190"/>
      <c r="F252" s="190"/>
      <c r="G252" s="190"/>
      <c r="H252" s="155"/>
      <c r="I252" s="190"/>
      <c r="J252" s="155"/>
      <c r="K252" s="155"/>
      <c r="L252" s="155"/>
      <c r="M252" s="155"/>
    </row>
    <row r="253" ht="14.25" customHeight="1">
      <c r="A253" s="188"/>
      <c r="B253" s="189"/>
      <c r="C253" s="131"/>
      <c r="D253" s="155"/>
      <c r="E253" s="190"/>
      <c r="F253" s="190"/>
      <c r="G253" s="190"/>
      <c r="H253" s="155"/>
      <c r="I253" s="190"/>
      <c r="J253" s="155"/>
      <c r="K253" s="155"/>
      <c r="L253" s="155"/>
      <c r="M253" s="155"/>
    </row>
    <row r="254" ht="14.25" customHeight="1">
      <c r="A254" s="188"/>
      <c r="B254" s="189"/>
      <c r="C254" s="131"/>
      <c r="D254" s="155"/>
      <c r="E254" s="190"/>
      <c r="F254" s="190"/>
      <c r="G254" s="190"/>
      <c r="H254" s="155"/>
      <c r="I254" s="190"/>
      <c r="J254" s="155"/>
      <c r="K254" s="155"/>
      <c r="L254" s="155"/>
      <c r="M254" s="155"/>
    </row>
    <row r="255" ht="14.25" customHeight="1">
      <c r="A255" s="188"/>
      <c r="B255" s="189"/>
      <c r="C255" s="131"/>
      <c r="D255" s="155"/>
      <c r="E255" s="190"/>
      <c r="F255" s="190"/>
      <c r="G255" s="190"/>
      <c r="H255" s="155"/>
      <c r="I255" s="190"/>
      <c r="J255" s="155"/>
      <c r="K255" s="155"/>
      <c r="L255" s="155"/>
      <c r="M255" s="155"/>
    </row>
    <row r="256" ht="14.25" customHeight="1">
      <c r="A256" s="188"/>
      <c r="B256" s="189"/>
      <c r="C256" s="131"/>
      <c r="D256" s="155"/>
      <c r="E256" s="190"/>
      <c r="F256" s="190"/>
      <c r="G256" s="190"/>
      <c r="H256" s="155"/>
      <c r="I256" s="190"/>
      <c r="J256" s="155"/>
      <c r="K256" s="155"/>
      <c r="L256" s="155"/>
      <c r="M256" s="155"/>
    </row>
    <row r="257" ht="14.25" customHeight="1">
      <c r="A257" s="188"/>
      <c r="B257" s="189"/>
      <c r="C257" s="131"/>
      <c r="D257" s="155"/>
      <c r="E257" s="190"/>
      <c r="F257" s="190"/>
      <c r="G257" s="190"/>
      <c r="H257" s="155"/>
      <c r="I257" s="190"/>
      <c r="J257" s="155"/>
      <c r="K257" s="155"/>
      <c r="L257" s="155"/>
      <c r="M257" s="155"/>
    </row>
    <row r="258" ht="14.25" customHeight="1">
      <c r="A258" s="188"/>
      <c r="B258" s="189"/>
      <c r="C258" s="131"/>
      <c r="D258" s="155"/>
      <c r="E258" s="190"/>
      <c r="F258" s="190"/>
      <c r="G258" s="190"/>
      <c r="H258" s="155"/>
      <c r="I258" s="190"/>
      <c r="J258" s="155"/>
      <c r="K258" s="155"/>
      <c r="L258" s="155"/>
      <c r="M258" s="155"/>
    </row>
    <row r="259" ht="14.25" customHeight="1">
      <c r="A259" s="188"/>
      <c r="B259" s="189"/>
      <c r="C259" s="131"/>
      <c r="D259" s="155"/>
      <c r="E259" s="190"/>
      <c r="F259" s="190"/>
      <c r="G259" s="190"/>
      <c r="H259" s="155"/>
      <c r="I259" s="190"/>
      <c r="J259" s="155"/>
      <c r="K259" s="155"/>
      <c r="L259" s="155"/>
      <c r="M259" s="155"/>
    </row>
    <row r="260" ht="14.25" customHeight="1">
      <c r="A260" s="188"/>
      <c r="B260" s="189"/>
      <c r="C260" s="131"/>
      <c r="D260" s="155"/>
      <c r="E260" s="190"/>
      <c r="F260" s="190"/>
      <c r="G260" s="190"/>
      <c r="H260" s="155"/>
      <c r="I260" s="190"/>
      <c r="J260" s="155"/>
      <c r="K260" s="155"/>
      <c r="L260" s="155"/>
      <c r="M260" s="155"/>
    </row>
    <row r="261" ht="14.25" customHeight="1">
      <c r="A261" s="188"/>
      <c r="B261" s="189"/>
      <c r="C261" s="131"/>
      <c r="D261" s="155"/>
      <c r="E261" s="190"/>
      <c r="F261" s="190"/>
      <c r="G261" s="190"/>
      <c r="H261" s="155"/>
      <c r="I261" s="190"/>
      <c r="J261" s="155"/>
      <c r="K261" s="155"/>
      <c r="L261" s="155"/>
      <c r="M261" s="155"/>
    </row>
    <row r="262" ht="14.25" customHeight="1">
      <c r="A262" s="188"/>
      <c r="B262" s="189"/>
      <c r="C262" s="131"/>
      <c r="D262" s="155"/>
      <c r="E262" s="190"/>
      <c r="F262" s="190"/>
      <c r="G262" s="190"/>
      <c r="H262" s="155"/>
      <c r="I262" s="190"/>
      <c r="J262" s="155"/>
      <c r="K262" s="155"/>
      <c r="L262" s="155"/>
      <c r="M262" s="155"/>
    </row>
    <row r="263" ht="14.25" customHeight="1">
      <c r="A263" s="188"/>
      <c r="B263" s="189"/>
      <c r="C263" s="131"/>
      <c r="D263" s="155"/>
      <c r="E263" s="190"/>
      <c r="F263" s="190"/>
      <c r="G263" s="190"/>
      <c r="H263" s="155"/>
      <c r="I263" s="190"/>
      <c r="J263" s="155"/>
      <c r="K263" s="155"/>
      <c r="L263" s="155"/>
      <c r="M263" s="155"/>
    </row>
    <row r="264" ht="14.25" customHeight="1">
      <c r="A264" s="188"/>
      <c r="B264" s="189"/>
      <c r="C264" s="131"/>
      <c r="D264" s="155"/>
      <c r="E264" s="190"/>
      <c r="F264" s="190"/>
      <c r="G264" s="190"/>
      <c r="H264" s="155"/>
      <c r="I264" s="190"/>
      <c r="J264" s="155"/>
      <c r="K264" s="155"/>
      <c r="L264" s="155"/>
      <c r="M264" s="155"/>
    </row>
    <row r="265" ht="14.25" customHeight="1">
      <c r="A265" s="188"/>
      <c r="B265" s="189"/>
      <c r="C265" s="131"/>
      <c r="D265" s="155"/>
      <c r="E265" s="190"/>
      <c r="F265" s="190"/>
      <c r="G265" s="190"/>
      <c r="H265" s="155"/>
      <c r="I265" s="190"/>
      <c r="J265" s="155"/>
      <c r="K265" s="155"/>
      <c r="L265" s="155"/>
      <c r="M265" s="155"/>
    </row>
    <row r="266" ht="14.25" customHeight="1">
      <c r="A266" s="188"/>
      <c r="B266" s="189"/>
      <c r="C266" s="131"/>
      <c r="D266" s="155"/>
      <c r="E266" s="190"/>
      <c r="F266" s="190"/>
      <c r="G266" s="190"/>
      <c r="H266" s="155"/>
      <c r="I266" s="190"/>
      <c r="J266" s="155"/>
      <c r="K266" s="155"/>
      <c r="L266" s="155"/>
      <c r="M266" s="155"/>
    </row>
    <row r="267" ht="14.25" customHeight="1">
      <c r="A267" s="188"/>
      <c r="B267" s="189"/>
      <c r="C267" s="131"/>
      <c r="D267" s="155"/>
      <c r="E267" s="190"/>
      <c r="F267" s="190"/>
      <c r="G267" s="190"/>
      <c r="H267" s="155"/>
      <c r="I267" s="190"/>
      <c r="J267" s="155"/>
      <c r="K267" s="155"/>
      <c r="L267" s="155"/>
      <c r="M267" s="155"/>
    </row>
    <row r="268" ht="14.25" customHeight="1">
      <c r="A268" s="188"/>
      <c r="B268" s="189"/>
      <c r="C268" s="131"/>
      <c r="D268" s="155"/>
      <c r="E268" s="190"/>
      <c r="F268" s="190"/>
      <c r="G268" s="190"/>
      <c r="H268" s="155"/>
      <c r="I268" s="190"/>
      <c r="J268" s="155"/>
      <c r="K268" s="155"/>
      <c r="L268" s="155"/>
      <c r="M268" s="155"/>
    </row>
    <row r="269" ht="14.25" customHeight="1">
      <c r="A269" s="188"/>
      <c r="B269" s="189"/>
      <c r="C269" s="131"/>
      <c r="D269" s="155"/>
      <c r="E269" s="190"/>
      <c r="F269" s="190"/>
      <c r="G269" s="190"/>
      <c r="H269" s="155"/>
      <c r="I269" s="190"/>
      <c r="J269" s="155"/>
      <c r="K269" s="155"/>
      <c r="L269" s="155"/>
      <c r="M269" s="155"/>
    </row>
    <row r="270" ht="14.25" customHeight="1">
      <c r="A270" s="188"/>
      <c r="B270" s="189"/>
      <c r="C270" s="131"/>
      <c r="D270" s="155"/>
      <c r="E270" s="190"/>
      <c r="F270" s="190"/>
      <c r="G270" s="190"/>
      <c r="H270" s="155"/>
      <c r="I270" s="190"/>
      <c r="J270" s="155"/>
      <c r="K270" s="155"/>
      <c r="L270" s="155"/>
      <c r="M270" s="155"/>
    </row>
    <row r="271" ht="14.25" customHeight="1">
      <c r="A271" s="188"/>
      <c r="B271" s="189"/>
      <c r="C271" s="131"/>
      <c r="D271" s="155"/>
      <c r="E271" s="190"/>
      <c r="F271" s="190"/>
      <c r="G271" s="190"/>
      <c r="H271" s="155"/>
      <c r="I271" s="190"/>
      <c r="J271" s="155"/>
      <c r="K271" s="155"/>
      <c r="L271" s="155"/>
      <c r="M271" s="155"/>
    </row>
    <row r="272" ht="14.25" customHeight="1">
      <c r="A272" s="188"/>
      <c r="B272" s="189"/>
      <c r="C272" s="131"/>
      <c r="D272" s="155"/>
      <c r="E272" s="190"/>
      <c r="F272" s="190"/>
      <c r="G272" s="190"/>
      <c r="H272" s="155"/>
      <c r="I272" s="190"/>
      <c r="J272" s="155"/>
      <c r="K272" s="155"/>
      <c r="L272" s="155"/>
      <c r="M272" s="155"/>
    </row>
    <row r="273" ht="14.25" customHeight="1">
      <c r="A273" s="188"/>
      <c r="B273" s="189"/>
      <c r="C273" s="131"/>
      <c r="D273" s="155"/>
      <c r="E273" s="190"/>
      <c r="F273" s="190"/>
      <c r="G273" s="190"/>
      <c r="H273" s="155"/>
      <c r="I273" s="190"/>
      <c r="J273" s="155"/>
      <c r="K273" s="155"/>
      <c r="L273" s="155"/>
      <c r="M273" s="155"/>
    </row>
    <row r="274" ht="14.25" customHeight="1">
      <c r="A274" s="188"/>
      <c r="B274" s="189"/>
      <c r="C274" s="131"/>
      <c r="D274" s="155"/>
      <c r="E274" s="190"/>
      <c r="F274" s="190"/>
      <c r="G274" s="190"/>
      <c r="H274" s="155"/>
      <c r="I274" s="190"/>
      <c r="J274" s="155"/>
      <c r="K274" s="155"/>
      <c r="L274" s="155"/>
      <c r="M274" s="155"/>
    </row>
    <row r="275" ht="14.25" customHeight="1">
      <c r="A275" s="188"/>
      <c r="B275" s="189"/>
      <c r="C275" s="131"/>
      <c r="D275" s="155"/>
      <c r="E275" s="190"/>
      <c r="F275" s="190"/>
      <c r="G275" s="190"/>
      <c r="H275" s="155"/>
      <c r="I275" s="190"/>
      <c r="J275" s="155"/>
      <c r="K275" s="155"/>
      <c r="L275" s="155"/>
      <c r="M275" s="155"/>
    </row>
    <row r="276" ht="14.25" customHeight="1">
      <c r="A276" s="188"/>
      <c r="B276" s="189"/>
      <c r="C276" s="131"/>
      <c r="D276" s="155"/>
      <c r="E276" s="190"/>
      <c r="F276" s="190"/>
      <c r="G276" s="190"/>
      <c r="H276" s="155"/>
      <c r="I276" s="190"/>
      <c r="J276" s="155"/>
      <c r="K276" s="155"/>
      <c r="L276" s="155"/>
      <c r="M276" s="155"/>
    </row>
    <row r="277" ht="14.25" customHeight="1">
      <c r="A277" s="188"/>
      <c r="B277" s="189"/>
      <c r="C277" s="131"/>
      <c r="D277" s="155"/>
      <c r="E277" s="190"/>
      <c r="F277" s="190"/>
      <c r="G277" s="190"/>
      <c r="H277" s="155"/>
      <c r="I277" s="190"/>
      <c r="J277" s="155"/>
      <c r="K277" s="155"/>
      <c r="L277" s="155"/>
      <c r="M277" s="155"/>
    </row>
    <row r="278" ht="14.25" customHeight="1">
      <c r="A278" s="188"/>
      <c r="B278" s="189"/>
      <c r="C278" s="131"/>
      <c r="D278" s="155"/>
      <c r="E278" s="190"/>
      <c r="F278" s="190"/>
      <c r="G278" s="190"/>
      <c r="H278" s="155"/>
      <c r="I278" s="190"/>
      <c r="J278" s="155"/>
      <c r="K278" s="155"/>
      <c r="L278" s="155"/>
      <c r="M278" s="155"/>
    </row>
    <row r="279" ht="14.25" customHeight="1">
      <c r="A279" s="188"/>
      <c r="B279" s="189"/>
      <c r="C279" s="131"/>
      <c r="D279" s="155"/>
      <c r="E279" s="190"/>
      <c r="F279" s="190"/>
      <c r="G279" s="190"/>
      <c r="H279" s="155"/>
      <c r="I279" s="190"/>
      <c r="J279" s="155"/>
      <c r="K279" s="155"/>
      <c r="L279" s="155"/>
      <c r="M279" s="155"/>
    </row>
    <row r="280" ht="14.25" customHeight="1">
      <c r="A280" s="188"/>
      <c r="B280" s="189"/>
      <c r="C280" s="131"/>
      <c r="D280" s="155"/>
      <c r="E280" s="190"/>
      <c r="F280" s="190"/>
      <c r="G280" s="190"/>
      <c r="H280" s="155"/>
      <c r="I280" s="190"/>
      <c r="J280" s="155"/>
      <c r="K280" s="155"/>
      <c r="L280" s="155"/>
      <c r="M280" s="155"/>
    </row>
    <row r="281" ht="14.25" customHeight="1">
      <c r="A281" s="188"/>
      <c r="B281" s="189"/>
      <c r="C281" s="131"/>
      <c r="D281" s="155"/>
      <c r="E281" s="190"/>
      <c r="F281" s="190"/>
      <c r="G281" s="190"/>
      <c r="H281" s="155"/>
      <c r="I281" s="190"/>
      <c r="J281" s="155"/>
      <c r="K281" s="155"/>
      <c r="L281" s="155"/>
      <c r="M281" s="155"/>
    </row>
    <row r="282" ht="14.25" customHeight="1">
      <c r="A282" s="188"/>
      <c r="B282" s="189"/>
      <c r="C282" s="131"/>
      <c r="D282" s="155"/>
      <c r="E282" s="190"/>
      <c r="F282" s="190"/>
      <c r="G282" s="190"/>
      <c r="H282" s="155"/>
      <c r="I282" s="190"/>
      <c r="J282" s="155"/>
      <c r="K282" s="155"/>
      <c r="L282" s="155"/>
      <c r="M282" s="155"/>
    </row>
    <row r="283" ht="14.25" customHeight="1">
      <c r="A283" s="188"/>
      <c r="B283" s="189"/>
      <c r="C283" s="131"/>
      <c r="D283" s="155"/>
      <c r="E283" s="190"/>
      <c r="F283" s="190"/>
      <c r="G283" s="190"/>
      <c r="H283" s="155"/>
      <c r="I283" s="190"/>
      <c r="J283" s="155"/>
      <c r="K283" s="155"/>
      <c r="L283" s="155"/>
      <c r="M283" s="155"/>
    </row>
    <row r="284" ht="14.25" customHeight="1">
      <c r="A284" s="188"/>
      <c r="B284" s="189"/>
      <c r="C284" s="131"/>
      <c r="D284" s="155"/>
      <c r="E284" s="190"/>
      <c r="F284" s="190"/>
      <c r="G284" s="190"/>
      <c r="H284" s="155"/>
      <c r="I284" s="190"/>
      <c r="J284" s="155"/>
      <c r="K284" s="155"/>
      <c r="L284" s="155"/>
      <c r="M284" s="155"/>
    </row>
    <row r="285" ht="14.25" customHeight="1">
      <c r="A285" s="188"/>
      <c r="B285" s="189"/>
      <c r="C285" s="131"/>
      <c r="D285" s="155"/>
      <c r="E285" s="190"/>
      <c r="F285" s="190"/>
      <c r="G285" s="190"/>
      <c r="H285" s="155"/>
      <c r="I285" s="190"/>
      <c r="J285" s="155"/>
      <c r="K285" s="155"/>
      <c r="L285" s="155"/>
      <c r="M285" s="155"/>
    </row>
    <row r="286" ht="14.25" customHeight="1">
      <c r="A286" s="188"/>
      <c r="B286" s="189"/>
      <c r="C286" s="131"/>
      <c r="D286" s="155"/>
      <c r="E286" s="190"/>
      <c r="F286" s="190"/>
      <c r="G286" s="190"/>
      <c r="H286" s="155"/>
      <c r="I286" s="190"/>
      <c r="J286" s="155"/>
      <c r="K286" s="155"/>
      <c r="L286" s="155"/>
      <c r="M286" s="155"/>
    </row>
    <row r="287" ht="14.25" customHeight="1">
      <c r="A287" s="188"/>
      <c r="B287" s="189"/>
      <c r="C287" s="131"/>
      <c r="D287" s="155"/>
      <c r="E287" s="190"/>
      <c r="F287" s="190"/>
      <c r="G287" s="190"/>
      <c r="H287" s="155"/>
      <c r="I287" s="190"/>
      <c r="J287" s="155"/>
      <c r="K287" s="155"/>
      <c r="L287" s="155"/>
      <c r="M287" s="155"/>
    </row>
    <row r="288" ht="14.25" customHeight="1">
      <c r="A288" s="188"/>
      <c r="B288" s="189"/>
      <c r="C288" s="131"/>
      <c r="D288" s="155"/>
      <c r="E288" s="190"/>
      <c r="F288" s="190"/>
      <c r="G288" s="190"/>
      <c r="H288" s="155"/>
      <c r="I288" s="190"/>
      <c r="J288" s="155"/>
      <c r="K288" s="155"/>
      <c r="L288" s="155"/>
      <c r="M288" s="155"/>
    </row>
    <row r="289" ht="14.25" customHeight="1">
      <c r="A289" s="188"/>
      <c r="B289" s="189"/>
      <c r="C289" s="131"/>
      <c r="D289" s="155"/>
      <c r="E289" s="190"/>
      <c r="F289" s="190"/>
      <c r="G289" s="190"/>
      <c r="H289" s="155"/>
      <c r="I289" s="190"/>
      <c r="J289" s="155"/>
      <c r="K289" s="155"/>
      <c r="L289" s="155"/>
      <c r="M289" s="155"/>
    </row>
    <row r="290" ht="14.25" customHeight="1">
      <c r="A290" s="188"/>
      <c r="B290" s="189"/>
      <c r="C290" s="131"/>
      <c r="D290" s="155"/>
      <c r="E290" s="190"/>
      <c r="F290" s="190"/>
      <c r="G290" s="190"/>
      <c r="H290" s="155"/>
      <c r="I290" s="190"/>
      <c r="J290" s="155"/>
      <c r="K290" s="155"/>
      <c r="L290" s="155"/>
      <c r="M290" s="155"/>
    </row>
    <row r="291" ht="14.25" customHeight="1">
      <c r="A291" s="188"/>
      <c r="B291" s="189"/>
      <c r="C291" s="131"/>
      <c r="D291" s="155"/>
      <c r="E291" s="190"/>
      <c r="F291" s="190"/>
      <c r="G291" s="190"/>
      <c r="H291" s="155"/>
      <c r="I291" s="190"/>
      <c r="J291" s="155"/>
      <c r="K291" s="155"/>
      <c r="L291" s="155"/>
      <c r="M291" s="155"/>
    </row>
    <row r="292" ht="14.25" customHeight="1">
      <c r="A292" s="188"/>
      <c r="B292" s="189"/>
      <c r="C292" s="131"/>
      <c r="D292" s="155"/>
      <c r="E292" s="190"/>
      <c r="F292" s="190"/>
      <c r="G292" s="190"/>
      <c r="H292" s="155"/>
      <c r="I292" s="190"/>
      <c r="J292" s="155"/>
      <c r="K292" s="155"/>
      <c r="L292" s="155"/>
      <c r="M292" s="155"/>
    </row>
    <row r="293" ht="14.25" customHeight="1">
      <c r="A293" s="188"/>
      <c r="B293" s="189"/>
      <c r="C293" s="131"/>
      <c r="D293" s="155"/>
      <c r="E293" s="190"/>
      <c r="F293" s="190"/>
      <c r="G293" s="190"/>
      <c r="H293" s="155"/>
      <c r="I293" s="190"/>
      <c r="J293" s="155"/>
      <c r="K293" s="155"/>
      <c r="L293" s="155"/>
      <c r="M293" s="155"/>
    </row>
    <row r="294" ht="14.25" customHeight="1">
      <c r="A294" s="188"/>
      <c r="B294" s="189"/>
      <c r="C294" s="131"/>
      <c r="D294" s="155"/>
      <c r="E294" s="190"/>
      <c r="F294" s="190"/>
      <c r="G294" s="190"/>
      <c r="H294" s="155"/>
      <c r="I294" s="190"/>
      <c r="J294" s="155"/>
      <c r="K294" s="155"/>
      <c r="L294" s="155"/>
      <c r="M294" s="155"/>
    </row>
    <row r="295" ht="14.25" customHeight="1">
      <c r="A295" s="188"/>
      <c r="B295" s="189"/>
      <c r="C295" s="131"/>
      <c r="D295" s="155"/>
      <c r="E295" s="190"/>
      <c r="F295" s="190"/>
      <c r="G295" s="190"/>
      <c r="H295" s="155"/>
      <c r="I295" s="190"/>
      <c r="J295" s="155"/>
      <c r="K295" s="155"/>
      <c r="L295" s="155"/>
      <c r="M295" s="155"/>
    </row>
    <row r="296" ht="14.25" customHeight="1">
      <c r="A296" s="188"/>
      <c r="B296" s="189"/>
      <c r="C296" s="131"/>
      <c r="D296" s="155"/>
      <c r="E296" s="190"/>
      <c r="F296" s="190"/>
      <c r="G296" s="190"/>
      <c r="H296" s="155"/>
      <c r="I296" s="190"/>
      <c r="J296" s="155"/>
      <c r="K296" s="155"/>
      <c r="L296" s="155"/>
      <c r="M296" s="155"/>
    </row>
    <row r="297" ht="14.25" customHeight="1">
      <c r="A297" s="188"/>
      <c r="B297" s="189"/>
      <c r="C297" s="131"/>
      <c r="D297" s="155"/>
      <c r="E297" s="190"/>
      <c r="F297" s="190"/>
      <c r="G297" s="190"/>
      <c r="H297" s="155"/>
      <c r="I297" s="190"/>
      <c r="J297" s="155"/>
      <c r="K297" s="155"/>
      <c r="L297" s="155"/>
      <c r="M297" s="155"/>
    </row>
    <row r="298" ht="14.25" customHeight="1">
      <c r="A298" s="188"/>
      <c r="B298" s="189"/>
      <c r="C298" s="131"/>
      <c r="D298" s="155"/>
      <c r="E298" s="190"/>
      <c r="F298" s="190"/>
      <c r="G298" s="190"/>
      <c r="H298" s="155"/>
      <c r="I298" s="190"/>
      <c r="J298" s="155"/>
      <c r="K298" s="155"/>
      <c r="L298" s="155"/>
      <c r="M298" s="155"/>
    </row>
    <row r="299" ht="14.25" customHeight="1">
      <c r="A299" s="188"/>
      <c r="B299" s="189"/>
      <c r="C299" s="131"/>
      <c r="D299" s="155"/>
      <c r="E299" s="190"/>
      <c r="F299" s="190"/>
      <c r="G299" s="190"/>
      <c r="H299" s="155"/>
      <c r="I299" s="190"/>
      <c r="J299" s="155"/>
      <c r="K299" s="155"/>
      <c r="L299" s="155"/>
      <c r="M299" s="155"/>
    </row>
    <row r="300" ht="14.25" customHeight="1">
      <c r="A300" s="188"/>
      <c r="B300" s="189"/>
      <c r="C300" s="131"/>
      <c r="D300" s="155"/>
      <c r="E300" s="190"/>
      <c r="F300" s="190"/>
      <c r="G300" s="190"/>
      <c r="H300" s="155"/>
      <c r="I300" s="190"/>
      <c r="J300" s="155"/>
      <c r="K300" s="155"/>
      <c r="L300" s="155"/>
      <c r="M300" s="155"/>
    </row>
    <row r="301" ht="14.25" customHeight="1">
      <c r="A301" s="188"/>
      <c r="B301" s="189"/>
      <c r="C301" s="131"/>
      <c r="D301" s="155"/>
      <c r="E301" s="190"/>
      <c r="F301" s="190"/>
      <c r="G301" s="190"/>
      <c r="H301" s="155"/>
      <c r="I301" s="190"/>
      <c r="J301" s="155"/>
      <c r="K301" s="155"/>
      <c r="L301" s="155"/>
      <c r="M301" s="155"/>
    </row>
    <row r="302" ht="14.25" customHeight="1">
      <c r="A302" s="188"/>
      <c r="B302" s="189"/>
      <c r="C302" s="131"/>
      <c r="D302" s="155"/>
      <c r="E302" s="190"/>
      <c r="F302" s="190"/>
      <c r="G302" s="190"/>
      <c r="H302" s="155"/>
      <c r="I302" s="190"/>
      <c r="J302" s="155"/>
      <c r="K302" s="155"/>
      <c r="L302" s="155"/>
      <c r="M302" s="155"/>
    </row>
    <row r="303" ht="14.25" customHeight="1">
      <c r="A303" s="188"/>
      <c r="B303" s="189"/>
      <c r="C303" s="131"/>
      <c r="D303" s="155"/>
      <c r="E303" s="190"/>
      <c r="F303" s="190"/>
      <c r="G303" s="190"/>
      <c r="H303" s="155"/>
      <c r="I303" s="190"/>
      <c r="J303" s="155"/>
      <c r="K303" s="155"/>
      <c r="L303" s="155"/>
      <c r="M303" s="155"/>
    </row>
    <row r="304" ht="14.25" customHeight="1">
      <c r="A304" s="188"/>
      <c r="B304" s="189"/>
      <c r="C304" s="131"/>
      <c r="D304" s="155"/>
      <c r="E304" s="190"/>
      <c r="F304" s="190"/>
      <c r="G304" s="190"/>
      <c r="H304" s="155"/>
      <c r="I304" s="190"/>
      <c r="J304" s="155"/>
      <c r="K304" s="155"/>
      <c r="L304" s="155"/>
      <c r="M304" s="155"/>
    </row>
    <row r="305" ht="14.25" customHeight="1">
      <c r="A305" s="188"/>
      <c r="B305" s="189"/>
      <c r="C305" s="131"/>
      <c r="D305" s="155"/>
      <c r="E305" s="190"/>
      <c r="F305" s="190"/>
      <c r="G305" s="190"/>
      <c r="H305" s="155"/>
      <c r="I305" s="190"/>
      <c r="J305" s="155"/>
      <c r="K305" s="155"/>
      <c r="L305" s="155"/>
      <c r="M305" s="155"/>
    </row>
    <row r="306" ht="14.25" customHeight="1">
      <c r="A306" s="188"/>
      <c r="B306" s="189"/>
      <c r="C306" s="131"/>
      <c r="D306" s="155"/>
      <c r="E306" s="190"/>
      <c r="F306" s="190"/>
      <c r="G306" s="190"/>
      <c r="H306" s="155"/>
      <c r="I306" s="190"/>
      <c r="J306" s="155"/>
      <c r="K306" s="155"/>
      <c r="L306" s="155"/>
      <c r="M306" s="155"/>
    </row>
    <row r="307" ht="14.25" customHeight="1">
      <c r="A307" s="188"/>
      <c r="B307" s="189"/>
      <c r="C307" s="131"/>
      <c r="D307" s="155"/>
      <c r="E307" s="190"/>
      <c r="F307" s="190"/>
      <c r="G307" s="190"/>
      <c r="H307" s="155"/>
      <c r="I307" s="190"/>
      <c r="J307" s="155"/>
      <c r="K307" s="155"/>
      <c r="L307" s="155"/>
      <c r="M307" s="155"/>
    </row>
    <row r="308" ht="14.25" customHeight="1">
      <c r="A308" s="188"/>
      <c r="B308" s="189"/>
      <c r="C308" s="131"/>
      <c r="D308" s="155"/>
      <c r="E308" s="190"/>
      <c r="F308" s="190"/>
      <c r="G308" s="190"/>
      <c r="H308" s="155"/>
      <c r="I308" s="190"/>
      <c r="J308" s="155"/>
      <c r="K308" s="155"/>
      <c r="L308" s="155"/>
      <c r="M308" s="155"/>
    </row>
    <row r="309" ht="14.25" customHeight="1">
      <c r="A309" s="188"/>
      <c r="B309" s="189"/>
      <c r="C309" s="131"/>
      <c r="D309" s="155"/>
      <c r="E309" s="190"/>
      <c r="F309" s="190"/>
      <c r="G309" s="190"/>
      <c r="H309" s="155"/>
      <c r="I309" s="190"/>
      <c r="J309" s="155"/>
      <c r="K309" s="155"/>
      <c r="L309" s="155"/>
      <c r="M309" s="155"/>
    </row>
    <row r="310" ht="14.25" customHeight="1">
      <c r="A310" s="188"/>
      <c r="B310" s="189"/>
      <c r="C310" s="131"/>
      <c r="D310" s="155"/>
      <c r="E310" s="190"/>
      <c r="F310" s="190"/>
      <c r="G310" s="190"/>
      <c r="H310" s="155"/>
      <c r="I310" s="190"/>
      <c r="J310" s="155"/>
      <c r="K310" s="155"/>
      <c r="L310" s="155"/>
      <c r="M310" s="155"/>
    </row>
    <row r="311" ht="14.25" customHeight="1">
      <c r="A311" s="188"/>
      <c r="B311" s="189"/>
      <c r="C311" s="131"/>
      <c r="D311" s="155"/>
      <c r="E311" s="190"/>
      <c r="F311" s="190"/>
      <c r="G311" s="190"/>
      <c r="H311" s="155"/>
      <c r="I311" s="190"/>
      <c r="J311" s="155"/>
      <c r="K311" s="155"/>
      <c r="L311" s="155"/>
      <c r="M311" s="155"/>
    </row>
    <row r="312" ht="14.25" customHeight="1">
      <c r="A312" s="188"/>
      <c r="B312" s="189"/>
      <c r="C312" s="131"/>
      <c r="D312" s="155"/>
      <c r="E312" s="190"/>
      <c r="F312" s="190"/>
      <c r="G312" s="190"/>
      <c r="H312" s="155"/>
      <c r="I312" s="190"/>
      <c r="J312" s="155"/>
      <c r="K312" s="155"/>
      <c r="L312" s="155"/>
      <c r="M312" s="155"/>
    </row>
    <row r="313" ht="14.25" customHeight="1">
      <c r="A313" s="188"/>
      <c r="B313" s="189"/>
      <c r="C313" s="131"/>
      <c r="D313" s="155"/>
      <c r="E313" s="190"/>
      <c r="F313" s="190"/>
      <c r="G313" s="190"/>
      <c r="H313" s="155"/>
      <c r="I313" s="190"/>
      <c r="J313" s="155"/>
      <c r="K313" s="155"/>
      <c r="L313" s="155"/>
      <c r="M313" s="155"/>
    </row>
    <row r="314" ht="14.25" customHeight="1">
      <c r="A314" s="188"/>
      <c r="B314" s="189"/>
      <c r="C314" s="131"/>
      <c r="D314" s="155"/>
      <c r="E314" s="190"/>
      <c r="F314" s="190"/>
      <c r="G314" s="190"/>
      <c r="H314" s="155"/>
      <c r="I314" s="190"/>
      <c r="J314" s="155"/>
      <c r="K314" s="155"/>
      <c r="L314" s="155"/>
      <c r="M314" s="155"/>
    </row>
    <row r="315" ht="14.25" customHeight="1">
      <c r="A315" s="188"/>
      <c r="B315" s="189"/>
      <c r="C315" s="131"/>
      <c r="D315" s="155"/>
      <c r="E315" s="190"/>
      <c r="F315" s="190"/>
      <c r="G315" s="190"/>
      <c r="H315" s="155"/>
      <c r="I315" s="190"/>
      <c r="J315" s="155"/>
      <c r="K315" s="155"/>
      <c r="L315" s="155"/>
      <c r="M315" s="155"/>
    </row>
    <row r="316" ht="14.25" customHeight="1">
      <c r="A316" s="188"/>
      <c r="B316" s="189"/>
      <c r="C316" s="131"/>
      <c r="D316" s="155"/>
      <c r="E316" s="190"/>
      <c r="F316" s="190"/>
      <c r="G316" s="190"/>
      <c r="H316" s="155"/>
      <c r="I316" s="190"/>
      <c r="J316" s="155"/>
      <c r="K316" s="155"/>
      <c r="L316" s="155"/>
      <c r="M316" s="155"/>
    </row>
    <row r="317" ht="14.25" customHeight="1">
      <c r="A317" s="188"/>
      <c r="B317" s="189"/>
      <c r="C317" s="131"/>
      <c r="D317" s="155"/>
      <c r="E317" s="190"/>
      <c r="F317" s="190"/>
      <c r="G317" s="190"/>
      <c r="H317" s="155"/>
      <c r="I317" s="190"/>
      <c r="J317" s="155"/>
      <c r="K317" s="155"/>
      <c r="L317" s="155"/>
      <c r="M317" s="155"/>
    </row>
    <row r="318" ht="14.25" customHeight="1">
      <c r="A318" s="188"/>
      <c r="B318" s="189"/>
      <c r="C318" s="131"/>
      <c r="D318" s="155"/>
      <c r="E318" s="190"/>
      <c r="F318" s="190"/>
      <c r="G318" s="190"/>
      <c r="H318" s="155"/>
      <c r="I318" s="190"/>
      <c r="J318" s="155"/>
      <c r="K318" s="155"/>
      <c r="L318" s="155"/>
      <c r="M318" s="155"/>
    </row>
    <row r="319" ht="14.25" customHeight="1">
      <c r="A319" s="188"/>
      <c r="B319" s="189"/>
      <c r="C319" s="131"/>
      <c r="D319" s="155"/>
      <c r="E319" s="190"/>
      <c r="F319" s="190"/>
      <c r="G319" s="190"/>
      <c r="H319" s="155"/>
      <c r="I319" s="190"/>
      <c r="J319" s="155"/>
      <c r="K319" s="155"/>
      <c r="L319" s="155"/>
      <c r="M319" s="155"/>
    </row>
    <row r="320" ht="14.25" customHeight="1">
      <c r="A320" s="188"/>
      <c r="B320" s="189"/>
      <c r="C320" s="131"/>
      <c r="D320" s="155"/>
      <c r="E320" s="190"/>
      <c r="F320" s="190"/>
      <c r="G320" s="190"/>
      <c r="H320" s="155"/>
      <c r="I320" s="190"/>
      <c r="J320" s="155"/>
      <c r="K320" s="155"/>
      <c r="L320" s="155"/>
      <c r="M320" s="155"/>
    </row>
    <row r="321" ht="14.25" customHeight="1">
      <c r="A321" s="188"/>
      <c r="B321" s="189"/>
      <c r="C321" s="131"/>
      <c r="D321" s="155"/>
      <c r="E321" s="190"/>
      <c r="F321" s="190"/>
      <c r="G321" s="190"/>
      <c r="H321" s="155"/>
      <c r="I321" s="190"/>
      <c r="J321" s="155"/>
      <c r="K321" s="155"/>
      <c r="L321" s="155"/>
      <c r="M321" s="155"/>
    </row>
    <row r="322" ht="14.25" customHeight="1">
      <c r="A322" s="188"/>
      <c r="B322" s="189"/>
      <c r="C322" s="131"/>
      <c r="D322" s="155"/>
      <c r="E322" s="190"/>
      <c r="F322" s="190"/>
      <c r="G322" s="190"/>
      <c r="H322" s="155"/>
      <c r="I322" s="190"/>
      <c r="J322" s="155"/>
      <c r="K322" s="155"/>
      <c r="L322" s="155"/>
      <c r="M322" s="155"/>
    </row>
    <row r="323" ht="14.25" customHeight="1">
      <c r="A323" s="188"/>
      <c r="B323" s="189"/>
      <c r="C323" s="131"/>
      <c r="D323" s="155"/>
      <c r="E323" s="190"/>
      <c r="F323" s="190"/>
      <c r="G323" s="190"/>
      <c r="H323" s="155"/>
      <c r="I323" s="190"/>
      <c r="J323" s="155"/>
      <c r="K323" s="155"/>
      <c r="L323" s="155"/>
      <c r="M323" s="155"/>
    </row>
    <row r="324" ht="14.25" customHeight="1">
      <c r="A324" s="188"/>
      <c r="B324" s="189"/>
      <c r="C324" s="131"/>
      <c r="D324" s="155"/>
      <c r="E324" s="190"/>
      <c r="F324" s="190"/>
      <c r="G324" s="190"/>
      <c r="H324" s="155"/>
      <c r="I324" s="190"/>
      <c r="J324" s="155"/>
      <c r="K324" s="155"/>
      <c r="L324" s="155"/>
      <c r="M324" s="155"/>
    </row>
    <row r="325" ht="14.25" customHeight="1">
      <c r="A325" s="188"/>
      <c r="B325" s="189"/>
      <c r="C325" s="131"/>
      <c r="D325" s="155"/>
      <c r="E325" s="190"/>
      <c r="F325" s="190"/>
      <c r="G325" s="190"/>
      <c r="H325" s="155"/>
      <c r="I325" s="190"/>
      <c r="J325" s="155"/>
      <c r="K325" s="155"/>
      <c r="L325" s="155"/>
      <c r="M325" s="155"/>
    </row>
    <row r="326" ht="14.25" customHeight="1">
      <c r="A326" s="188"/>
      <c r="B326" s="189"/>
      <c r="C326" s="131"/>
      <c r="D326" s="155"/>
      <c r="E326" s="190"/>
      <c r="F326" s="190"/>
      <c r="G326" s="190"/>
      <c r="H326" s="155"/>
      <c r="I326" s="190"/>
      <c r="J326" s="155"/>
      <c r="K326" s="155"/>
      <c r="L326" s="155"/>
      <c r="M326" s="155"/>
    </row>
    <row r="327" ht="14.25" customHeight="1">
      <c r="A327" s="188"/>
      <c r="B327" s="189"/>
      <c r="C327" s="131"/>
      <c r="D327" s="155"/>
      <c r="E327" s="190"/>
      <c r="F327" s="190"/>
      <c r="G327" s="190"/>
      <c r="H327" s="155"/>
      <c r="I327" s="190"/>
      <c r="J327" s="155"/>
      <c r="K327" s="155"/>
      <c r="L327" s="155"/>
      <c r="M327" s="155"/>
    </row>
    <row r="328" ht="14.25" customHeight="1">
      <c r="A328" s="188"/>
      <c r="B328" s="189"/>
      <c r="C328" s="131"/>
      <c r="D328" s="155"/>
      <c r="E328" s="190"/>
      <c r="F328" s="190"/>
      <c r="G328" s="190"/>
      <c r="H328" s="155"/>
      <c r="I328" s="190"/>
      <c r="J328" s="155"/>
      <c r="K328" s="155"/>
      <c r="L328" s="155"/>
      <c r="M328" s="155"/>
    </row>
    <row r="329" ht="14.25" customHeight="1">
      <c r="A329" s="188"/>
      <c r="B329" s="189"/>
      <c r="C329" s="131"/>
      <c r="D329" s="155"/>
      <c r="E329" s="190"/>
      <c r="F329" s="190"/>
      <c r="G329" s="190"/>
      <c r="H329" s="155"/>
      <c r="I329" s="190"/>
      <c r="J329" s="155"/>
      <c r="K329" s="155"/>
      <c r="L329" s="155"/>
      <c r="M329" s="155"/>
    </row>
    <row r="330" ht="14.25" customHeight="1">
      <c r="A330" s="188"/>
      <c r="B330" s="189"/>
      <c r="C330" s="131"/>
      <c r="D330" s="155"/>
      <c r="E330" s="190"/>
      <c r="F330" s="190"/>
      <c r="G330" s="190"/>
      <c r="H330" s="155"/>
      <c r="I330" s="190"/>
      <c r="J330" s="155"/>
      <c r="K330" s="155"/>
      <c r="L330" s="155"/>
      <c r="M330" s="155"/>
    </row>
    <row r="331" ht="14.25" customHeight="1">
      <c r="A331" s="188"/>
      <c r="B331" s="189"/>
      <c r="C331" s="131"/>
      <c r="D331" s="155"/>
      <c r="E331" s="190"/>
      <c r="F331" s="190"/>
      <c r="G331" s="190"/>
      <c r="H331" s="155"/>
      <c r="I331" s="190"/>
      <c r="J331" s="155"/>
      <c r="K331" s="155"/>
      <c r="L331" s="155"/>
      <c r="M331" s="155"/>
    </row>
    <row r="332" ht="14.25" customHeight="1">
      <c r="A332" s="188"/>
      <c r="B332" s="189"/>
      <c r="C332" s="131"/>
      <c r="D332" s="155"/>
      <c r="E332" s="190"/>
      <c r="F332" s="190"/>
      <c r="G332" s="190"/>
      <c r="H332" s="155"/>
      <c r="I332" s="190"/>
      <c r="J332" s="155"/>
      <c r="K332" s="155"/>
      <c r="L332" s="155"/>
      <c r="M332" s="155"/>
    </row>
    <row r="333" ht="14.25" customHeight="1">
      <c r="A333" s="188"/>
      <c r="B333" s="189"/>
      <c r="C333" s="131"/>
      <c r="D333" s="155"/>
      <c r="E333" s="190"/>
      <c r="F333" s="190"/>
      <c r="G333" s="190"/>
      <c r="H333" s="155"/>
      <c r="I333" s="190"/>
      <c r="J333" s="155"/>
      <c r="K333" s="155"/>
      <c r="L333" s="155"/>
      <c r="M333" s="155"/>
    </row>
    <row r="334" ht="14.25" customHeight="1">
      <c r="A334" s="188"/>
      <c r="B334" s="189"/>
      <c r="C334" s="131"/>
      <c r="D334" s="155"/>
      <c r="E334" s="190"/>
      <c r="F334" s="190"/>
      <c r="G334" s="190"/>
      <c r="H334" s="155"/>
      <c r="I334" s="190"/>
      <c r="J334" s="155"/>
      <c r="K334" s="155"/>
      <c r="L334" s="155"/>
      <c r="M334" s="155"/>
    </row>
    <row r="335" ht="14.25" customHeight="1">
      <c r="A335" s="188"/>
      <c r="B335" s="189"/>
      <c r="C335" s="131"/>
      <c r="D335" s="155"/>
      <c r="E335" s="190"/>
      <c r="F335" s="190"/>
      <c r="G335" s="190"/>
      <c r="H335" s="155"/>
      <c r="I335" s="190"/>
      <c r="J335" s="155"/>
      <c r="K335" s="155"/>
      <c r="L335" s="155"/>
      <c r="M335" s="155"/>
    </row>
    <row r="336" ht="14.25" customHeight="1">
      <c r="A336" s="188"/>
      <c r="B336" s="189"/>
      <c r="C336" s="131"/>
      <c r="D336" s="155"/>
      <c r="E336" s="190"/>
      <c r="F336" s="190"/>
      <c r="G336" s="190"/>
      <c r="H336" s="155"/>
      <c r="I336" s="190"/>
      <c r="J336" s="155"/>
      <c r="K336" s="155"/>
      <c r="L336" s="155"/>
      <c r="M336" s="155"/>
    </row>
    <row r="337" ht="14.25" customHeight="1">
      <c r="A337" s="188"/>
      <c r="B337" s="189"/>
      <c r="C337" s="131"/>
      <c r="D337" s="155"/>
      <c r="E337" s="190"/>
      <c r="F337" s="190"/>
      <c r="G337" s="190"/>
      <c r="H337" s="155"/>
      <c r="I337" s="190"/>
      <c r="J337" s="155"/>
      <c r="K337" s="155"/>
      <c r="L337" s="155"/>
      <c r="M337" s="155"/>
    </row>
    <row r="338" ht="14.25" customHeight="1">
      <c r="A338" s="188"/>
      <c r="B338" s="189"/>
      <c r="C338" s="131"/>
      <c r="D338" s="155"/>
      <c r="E338" s="190"/>
      <c r="F338" s="190"/>
      <c r="G338" s="190"/>
      <c r="H338" s="155"/>
      <c r="I338" s="190"/>
      <c r="J338" s="155"/>
      <c r="K338" s="155"/>
      <c r="L338" s="155"/>
      <c r="M338" s="155"/>
    </row>
    <row r="339" ht="14.25" customHeight="1">
      <c r="A339" s="188"/>
      <c r="B339" s="189"/>
      <c r="C339" s="131"/>
      <c r="D339" s="155"/>
      <c r="E339" s="190"/>
      <c r="F339" s="190"/>
      <c r="G339" s="190"/>
      <c r="H339" s="155"/>
      <c r="I339" s="190"/>
      <c r="J339" s="155"/>
      <c r="K339" s="155"/>
      <c r="L339" s="155"/>
      <c r="M339" s="155"/>
    </row>
    <row r="340" ht="14.25" customHeight="1">
      <c r="A340" s="188"/>
      <c r="B340" s="189"/>
      <c r="C340" s="131"/>
      <c r="D340" s="155"/>
      <c r="E340" s="190"/>
      <c r="F340" s="190"/>
      <c r="G340" s="190"/>
      <c r="H340" s="155"/>
      <c r="I340" s="190"/>
      <c r="J340" s="155"/>
      <c r="K340" s="155"/>
      <c r="L340" s="155"/>
      <c r="M340" s="155"/>
    </row>
    <row r="341" ht="14.25" customHeight="1">
      <c r="A341" s="188"/>
      <c r="B341" s="189"/>
      <c r="C341" s="131"/>
      <c r="D341" s="155"/>
      <c r="E341" s="190"/>
      <c r="F341" s="190"/>
      <c r="G341" s="190"/>
      <c r="H341" s="155"/>
      <c r="I341" s="190"/>
      <c r="J341" s="155"/>
      <c r="K341" s="155"/>
      <c r="L341" s="155"/>
      <c r="M341" s="155"/>
    </row>
    <row r="342" ht="14.25" customHeight="1">
      <c r="A342" s="188"/>
      <c r="B342" s="189"/>
      <c r="C342" s="131"/>
      <c r="D342" s="155"/>
      <c r="E342" s="190"/>
      <c r="F342" s="190"/>
      <c r="G342" s="190"/>
      <c r="H342" s="155"/>
      <c r="I342" s="190"/>
      <c r="J342" s="155"/>
      <c r="K342" s="155"/>
      <c r="L342" s="155"/>
      <c r="M342" s="155"/>
    </row>
    <row r="343" ht="14.25" customHeight="1">
      <c r="A343" s="188"/>
      <c r="B343" s="189"/>
      <c r="C343" s="131"/>
      <c r="D343" s="155"/>
      <c r="E343" s="190"/>
      <c r="F343" s="190"/>
      <c r="G343" s="190"/>
      <c r="H343" s="155"/>
      <c r="I343" s="190"/>
      <c r="J343" s="155"/>
      <c r="K343" s="155"/>
      <c r="L343" s="155"/>
      <c r="M343" s="155"/>
    </row>
    <row r="344" ht="14.25" customHeight="1">
      <c r="A344" s="188"/>
      <c r="B344" s="189"/>
      <c r="C344" s="131"/>
      <c r="D344" s="155"/>
      <c r="E344" s="190"/>
      <c r="F344" s="190"/>
      <c r="G344" s="190"/>
      <c r="H344" s="155"/>
      <c r="I344" s="190"/>
      <c r="J344" s="155"/>
      <c r="K344" s="155"/>
      <c r="L344" s="155"/>
      <c r="M344" s="155"/>
    </row>
    <row r="345" ht="14.25" customHeight="1">
      <c r="A345" s="188"/>
      <c r="B345" s="189"/>
      <c r="C345" s="131"/>
      <c r="D345" s="155"/>
      <c r="E345" s="190"/>
      <c r="F345" s="190"/>
      <c r="G345" s="190"/>
      <c r="H345" s="155"/>
      <c r="I345" s="190"/>
      <c r="J345" s="155"/>
      <c r="K345" s="155"/>
      <c r="L345" s="155"/>
      <c r="M345" s="155"/>
    </row>
    <row r="346" ht="14.25" customHeight="1">
      <c r="A346" s="188"/>
      <c r="B346" s="189"/>
      <c r="C346" s="131"/>
      <c r="D346" s="155"/>
      <c r="E346" s="190"/>
      <c r="F346" s="190"/>
      <c r="G346" s="190"/>
      <c r="H346" s="155"/>
      <c r="I346" s="190"/>
      <c r="J346" s="155"/>
      <c r="K346" s="155"/>
      <c r="L346" s="155"/>
      <c r="M346" s="155"/>
    </row>
    <row r="347" ht="14.25" customHeight="1">
      <c r="A347" s="188"/>
      <c r="B347" s="189"/>
      <c r="C347" s="131"/>
      <c r="D347" s="155"/>
      <c r="E347" s="190"/>
      <c r="F347" s="190"/>
      <c r="G347" s="190"/>
      <c r="H347" s="155"/>
      <c r="I347" s="190"/>
      <c r="J347" s="155"/>
      <c r="K347" s="155"/>
      <c r="L347" s="155"/>
      <c r="M347" s="155"/>
    </row>
    <row r="348" ht="14.25" customHeight="1">
      <c r="A348" s="188"/>
      <c r="B348" s="189"/>
      <c r="C348" s="131"/>
      <c r="D348" s="155"/>
      <c r="E348" s="190"/>
      <c r="F348" s="190"/>
      <c r="G348" s="190"/>
      <c r="H348" s="155"/>
      <c r="I348" s="190"/>
      <c r="J348" s="155"/>
      <c r="K348" s="155"/>
      <c r="L348" s="155"/>
      <c r="M348" s="155"/>
    </row>
    <row r="349" ht="14.25" customHeight="1">
      <c r="A349" s="188"/>
      <c r="B349" s="189"/>
      <c r="C349" s="131"/>
      <c r="D349" s="155"/>
      <c r="E349" s="190"/>
      <c r="F349" s="190"/>
      <c r="G349" s="190"/>
      <c r="H349" s="155"/>
      <c r="I349" s="190"/>
      <c r="J349" s="155"/>
      <c r="K349" s="155"/>
      <c r="L349" s="155"/>
      <c r="M349" s="155"/>
    </row>
    <row r="350" ht="14.25" customHeight="1">
      <c r="A350" s="188"/>
      <c r="B350" s="189"/>
      <c r="C350" s="131"/>
      <c r="D350" s="155"/>
      <c r="E350" s="190"/>
      <c r="F350" s="190"/>
      <c r="G350" s="190"/>
      <c r="H350" s="155"/>
      <c r="I350" s="190"/>
      <c r="J350" s="155"/>
      <c r="K350" s="155"/>
      <c r="L350" s="155"/>
      <c r="M350" s="155"/>
    </row>
    <row r="351" ht="14.25" customHeight="1">
      <c r="A351" s="188"/>
      <c r="B351" s="189"/>
      <c r="C351" s="131"/>
      <c r="D351" s="155"/>
      <c r="E351" s="190"/>
      <c r="F351" s="190"/>
      <c r="G351" s="190"/>
      <c r="H351" s="155"/>
      <c r="I351" s="190"/>
      <c r="J351" s="155"/>
      <c r="K351" s="155"/>
      <c r="L351" s="155"/>
      <c r="M351" s="155"/>
    </row>
    <row r="352" ht="14.25" customHeight="1">
      <c r="A352" s="188"/>
      <c r="B352" s="189"/>
      <c r="C352" s="131"/>
      <c r="D352" s="155"/>
      <c r="E352" s="190"/>
      <c r="F352" s="190"/>
      <c r="G352" s="190"/>
      <c r="H352" s="155"/>
      <c r="I352" s="190"/>
      <c r="J352" s="155"/>
      <c r="K352" s="155"/>
      <c r="L352" s="155"/>
      <c r="M352" s="155"/>
    </row>
    <row r="353" ht="14.25" customHeight="1">
      <c r="A353" s="188"/>
      <c r="B353" s="189"/>
      <c r="C353" s="131"/>
      <c r="D353" s="155"/>
      <c r="E353" s="190"/>
      <c r="F353" s="190"/>
      <c r="G353" s="190"/>
      <c r="H353" s="155"/>
      <c r="I353" s="190"/>
      <c r="J353" s="155"/>
      <c r="K353" s="155"/>
      <c r="L353" s="155"/>
      <c r="M353" s="155"/>
    </row>
    <row r="354" ht="14.25" customHeight="1">
      <c r="A354" s="188"/>
      <c r="B354" s="189"/>
      <c r="C354" s="131"/>
      <c r="D354" s="155"/>
      <c r="E354" s="190"/>
      <c r="F354" s="190"/>
      <c r="G354" s="190"/>
      <c r="H354" s="155"/>
      <c r="I354" s="190"/>
      <c r="J354" s="155"/>
      <c r="K354" s="155"/>
      <c r="L354" s="155"/>
      <c r="M354" s="155"/>
    </row>
    <row r="355" ht="14.25" customHeight="1">
      <c r="A355" s="188"/>
      <c r="B355" s="189"/>
      <c r="C355" s="131"/>
      <c r="D355" s="155"/>
      <c r="E355" s="190"/>
      <c r="F355" s="190"/>
      <c r="G355" s="190"/>
      <c r="H355" s="155"/>
      <c r="I355" s="190"/>
      <c r="J355" s="155"/>
      <c r="K355" s="155"/>
      <c r="L355" s="155"/>
      <c r="M355" s="155"/>
    </row>
    <row r="356" ht="14.25" customHeight="1">
      <c r="A356" s="188"/>
      <c r="B356" s="189"/>
      <c r="C356" s="131"/>
      <c r="D356" s="155"/>
      <c r="E356" s="190"/>
      <c r="F356" s="190"/>
      <c r="G356" s="190"/>
      <c r="H356" s="155"/>
      <c r="I356" s="190"/>
      <c r="J356" s="155"/>
      <c r="K356" s="155"/>
      <c r="L356" s="155"/>
      <c r="M356" s="155"/>
    </row>
    <row r="357" ht="14.25" customHeight="1">
      <c r="A357" s="188"/>
      <c r="B357" s="189"/>
      <c r="C357" s="131"/>
      <c r="D357" s="155"/>
      <c r="E357" s="190"/>
      <c r="F357" s="190"/>
      <c r="G357" s="190"/>
      <c r="H357" s="155"/>
      <c r="I357" s="190"/>
      <c r="J357" s="155"/>
      <c r="K357" s="155"/>
      <c r="L357" s="155"/>
      <c r="M357" s="155"/>
    </row>
    <row r="358" ht="14.25" customHeight="1">
      <c r="A358" s="188"/>
      <c r="B358" s="189"/>
      <c r="C358" s="131"/>
      <c r="D358" s="155"/>
      <c r="E358" s="190"/>
      <c r="F358" s="190"/>
      <c r="G358" s="190"/>
      <c r="H358" s="155"/>
      <c r="I358" s="190"/>
      <c r="J358" s="155"/>
      <c r="K358" s="155"/>
      <c r="L358" s="155"/>
      <c r="M358" s="155"/>
    </row>
    <row r="359" ht="14.25" customHeight="1">
      <c r="A359" s="188"/>
      <c r="B359" s="189"/>
      <c r="C359" s="131"/>
      <c r="D359" s="155"/>
      <c r="E359" s="190"/>
      <c r="F359" s="190"/>
      <c r="G359" s="190"/>
      <c r="H359" s="155"/>
      <c r="I359" s="190"/>
      <c r="J359" s="155"/>
      <c r="K359" s="155"/>
      <c r="L359" s="155"/>
      <c r="M359" s="155"/>
    </row>
    <row r="360" ht="14.25" customHeight="1">
      <c r="A360" s="188"/>
      <c r="B360" s="189"/>
      <c r="C360" s="131"/>
      <c r="D360" s="155"/>
      <c r="E360" s="190"/>
      <c r="F360" s="190"/>
      <c r="G360" s="190"/>
      <c r="H360" s="155"/>
      <c r="I360" s="190"/>
      <c r="J360" s="155"/>
      <c r="K360" s="155"/>
      <c r="L360" s="155"/>
      <c r="M360" s="155"/>
    </row>
    <row r="361" ht="14.25" customHeight="1">
      <c r="A361" s="188"/>
      <c r="B361" s="189"/>
      <c r="C361" s="131"/>
      <c r="D361" s="155"/>
      <c r="E361" s="190"/>
      <c r="F361" s="190"/>
      <c r="G361" s="190"/>
      <c r="H361" s="155"/>
      <c r="I361" s="190"/>
      <c r="J361" s="155"/>
      <c r="K361" s="155"/>
      <c r="L361" s="155"/>
      <c r="M361" s="155"/>
    </row>
    <row r="362" ht="14.25" customHeight="1">
      <c r="A362" s="188"/>
      <c r="B362" s="189"/>
      <c r="C362" s="131"/>
      <c r="D362" s="155"/>
      <c r="E362" s="190"/>
      <c r="F362" s="190"/>
      <c r="G362" s="190"/>
      <c r="H362" s="155"/>
      <c r="I362" s="190"/>
      <c r="J362" s="155"/>
      <c r="K362" s="155"/>
      <c r="L362" s="155"/>
      <c r="M362" s="155"/>
    </row>
    <row r="363" ht="14.25" customHeight="1">
      <c r="A363" s="188"/>
      <c r="B363" s="189"/>
      <c r="C363" s="131"/>
      <c r="D363" s="155"/>
      <c r="E363" s="190"/>
      <c r="F363" s="190"/>
      <c r="G363" s="190"/>
      <c r="H363" s="155"/>
      <c r="I363" s="190"/>
      <c r="J363" s="155"/>
      <c r="K363" s="155"/>
      <c r="L363" s="155"/>
      <c r="M363" s="155"/>
    </row>
    <row r="364" ht="14.25" customHeight="1">
      <c r="A364" s="188"/>
      <c r="B364" s="189"/>
      <c r="C364" s="131"/>
      <c r="D364" s="155"/>
      <c r="E364" s="190"/>
      <c r="F364" s="190"/>
      <c r="G364" s="190"/>
      <c r="H364" s="155"/>
      <c r="I364" s="190"/>
      <c r="J364" s="155"/>
      <c r="K364" s="155"/>
      <c r="L364" s="155"/>
      <c r="M364" s="155"/>
    </row>
    <row r="365" ht="14.25" customHeight="1">
      <c r="A365" s="188"/>
      <c r="B365" s="189"/>
      <c r="C365" s="131"/>
      <c r="D365" s="155"/>
      <c r="E365" s="190"/>
      <c r="F365" s="190"/>
      <c r="G365" s="190"/>
      <c r="H365" s="155"/>
      <c r="I365" s="190"/>
      <c r="J365" s="155"/>
      <c r="K365" s="155"/>
      <c r="L365" s="155"/>
      <c r="M365" s="155"/>
    </row>
    <row r="366" ht="14.25" customHeight="1">
      <c r="A366" s="188"/>
      <c r="B366" s="189"/>
      <c r="C366" s="131"/>
      <c r="D366" s="155"/>
      <c r="E366" s="190"/>
      <c r="F366" s="190"/>
      <c r="G366" s="190"/>
      <c r="H366" s="155"/>
      <c r="I366" s="190"/>
      <c r="J366" s="155"/>
      <c r="K366" s="155"/>
      <c r="L366" s="155"/>
      <c r="M366" s="155"/>
    </row>
    <row r="367" ht="14.25" customHeight="1">
      <c r="A367" s="188"/>
      <c r="B367" s="189"/>
      <c r="C367" s="131"/>
      <c r="D367" s="155"/>
      <c r="E367" s="190"/>
      <c r="F367" s="190"/>
      <c r="G367" s="190"/>
      <c r="H367" s="155"/>
      <c r="I367" s="190"/>
      <c r="J367" s="155"/>
      <c r="K367" s="155"/>
      <c r="L367" s="155"/>
      <c r="M367" s="155"/>
    </row>
    <row r="368" ht="14.25" customHeight="1">
      <c r="A368" s="188"/>
      <c r="B368" s="189"/>
      <c r="C368" s="131"/>
      <c r="D368" s="155"/>
      <c r="E368" s="190"/>
      <c r="F368" s="190"/>
      <c r="G368" s="190"/>
      <c r="H368" s="155"/>
      <c r="I368" s="190"/>
      <c r="J368" s="155"/>
      <c r="K368" s="155"/>
      <c r="L368" s="155"/>
      <c r="M368" s="155"/>
    </row>
    <row r="369" ht="14.25" customHeight="1">
      <c r="A369" s="188"/>
      <c r="B369" s="189"/>
      <c r="C369" s="131"/>
      <c r="D369" s="155"/>
      <c r="E369" s="190"/>
      <c r="F369" s="190"/>
      <c r="G369" s="190"/>
      <c r="H369" s="155"/>
      <c r="I369" s="190"/>
      <c r="J369" s="155"/>
      <c r="K369" s="155"/>
      <c r="L369" s="155"/>
      <c r="M369" s="155"/>
    </row>
    <row r="370" ht="14.25" customHeight="1">
      <c r="A370" s="188"/>
      <c r="B370" s="189"/>
      <c r="C370" s="131"/>
      <c r="D370" s="155"/>
      <c r="E370" s="190"/>
      <c r="F370" s="190"/>
      <c r="G370" s="190"/>
      <c r="H370" s="155"/>
      <c r="I370" s="190"/>
      <c r="J370" s="155"/>
      <c r="K370" s="155"/>
      <c r="L370" s="155"/>
      <c r="M370" s="155"/>
    </row>
    <row r="371" ht="14.25" customHeight="1">
      <c r="A371" s="188"/>
      <c r="B371" s="189"/>
      <c r="C371" s="131"/>
      <c r="D371" s="155"/>
      <c r="E371" s="190"/>
      <c r="F371" s="190"/>
      <c r="G371" s="190"/>
      <c r="H371" s="155"/>
      <c r="I371" s="190"/>
      <c r="J371" s="155"/>
      <c r="K371" s="155"/>
      <c r="L371" s="155"/>
      <c r="M371" s="155"/>
    </row>
    <row r="372" ht="14.25" customHeight="1">
      <c r="A372" s="188"/>
      <c r="B372" s="189"/>
      <c r="C372" s="131"/>
      <c r="D372" s="155"/>
      <c r="E372" s="190"/>
      <c r="F372" s="190"/>
      <c r="G372" s="190"/>
      <c r="H372" s="155"/>
      <c r="I372" s="190"/>
      <c r="J372" s="155"/>
      <c r="K372" s="155"/>
      <c r="L372" s="155"/>
      <c r="M372" s="155"/>
    </row>
    <row r="373" ht="14.25" customHeight="1">
      <c r="A373" s="188"/>
      <c r="B373" s="189"/>
      <c r="C373" s="131"/>
      <c r="D373" s="155"/>
      <c r="E373" s="190"/>
      <c r="F373" s="190"/>
      <c r="G373" s="190"/>
      <c r="H373" s="155"/>
      <c r="I373" s="190"/>
      <c r="J373" s="155"/>
      <c r="K373" s="155"/>
      <c r="L373" s="155"/>
      <c r="M373" s="155"/>
    </row>
    <row r="374" ht="14.25" customHeight="1">
      <c r="A374" s="188"/>
      <c r="B374" s="189"/>
      <c r="C374" s="131"/>
      <c r="D374" s="155"/>
      <c r="E374" s="190"/>
      <c r="F374" s="190"/>
      <c r="G374" s="190"/>
      <c r="H374" s="155"/>
      <c r="I374" s="190"/>
      <c r="J374" s="155"/>
      <c r="K374" s="155"/>
      <c r="L374" s="155"/>
      <c r="M374" s="155"/>
    </row>
    <row r="375" ht="14.25" customHeight="1">
      <c r="A375" s="188"/>
      <c r="B375" s="189"/>
      <c r="C375" s="131"/>
      <c r="D375" s="155"/>
      <c r="E375" s="190"/>
      <c r="F375" s="190"/>
      <c r="G375" s="190"/>
      <c r="H375" s="155"/>
      <c r="I375" s="190"/>
      <c r="J375" s="155"/>
      <c r="K375" s="155"/>
      <c r="L375" s="155"/>
      <c r="M375" s="155"/>
    </row>
    <row r="376" ht="14.25" customHeight="1">
      <c r="A376" s="188"/>
      <c r="B376" s="189"/>
      <c r="C376" s="131"/>
      <c r="D376" s="155"/>
      <c r="E376" s="190"/>
      <c r="F376" s="190"/>
      <c r="G376" s="190"/>
      <c r="H376" s="155"/>
      <c r="I376" s="190"/>
      <c r="J376" s="155"/>
      <c r="K376" s="155"/>
      <c r="L376" s="155"/>
      <c r="M376" s="155"/>
    </row>
    <row r="377" ht="14.25" customHeight="1">
      <c r="A377" s="188"/>
      <c r="B377" s="189"/>
      <c r="C377" s="131"/>
      <c r="D377" s="155"/>
      <c r="E377" s="190"/>
      <c r="F377" s="190"/>
      <c r="G377" s="190"/>
      <c r="H377" s="155"/>
      <c r="I377" s="190"/>
      <c r="J377" s="155"/>
      <c r="K377" s="155"/>
      <c r="L377" s="155"/>
      <c r="M377" s="155"/>
    </row>
    <row r="378" ht="14.25" customHeight="1">
      <c r="A378" s="188"/>
      <c r="B378" s="189"/>
      <c r="C378" s="131"/>
      <c r="D378" s="155"/>
      <c r="E378" s="190"/>
      <c r="F378" s="190"/>
      <c r="G378" s="190"/>
      <c r="H378" s="155"/>
      <c r="I378" s="190"/>
      <c r="J378" s="155"/>
      <c r="K378" s="155"/>
      <c r="L378" s="155"/>
      <c r="M378" s="155"/>
    </row>
    <row r="379" ht="14.25" customHeight="1">
      <c r="A379" s="188"/>
      <c r="B379" s="189"/>
      <c r="C379" s="131"/>
      <c r="D379" s="155"/>
      <c r="E379" s="190"/>
      <c r="F379" s="190"/>
      <c r="G379" s="190"/>
      <c r="H379" s="155"/>
      <c r="I379" s="190"/>
      <c r="J379" s="155"/>
      <c r="K379" s="155"/>
      <c r="L379" s="155"/>
      <c r="M379" s="155"/>
    </row>
    <row r="380" ht="14.25" customHeight="1">
      <c r="A380" s="188"/>
      <c r="B380" s="189"/>
      <c r="C380" s="131"/>
      <c r="D380" s="155"/>
      <c r="E380" s="190"/>
      <c r="F380" s="190"/>
      <c r="G380" s="190"/>
      <c r="H380" s="155"/>
      <c r="I380" s="190"/>
      <c r="J380" s="155"/>
      <c r="K380" s="155"/>
      <c r="L380" s="155"/>
      <c r="M380" s="155"/>
    </row>
    <row r="381" ht="14.25" customHeight="1">
      <c r="A381" s="188"/>
      <c r="B381" s="189"/>
      <c r="C381" s="131"/>
      <c r="D381" s="155"/>
      <c r="E381" s="190"/>
      <c r="F381" s="190"/>
      <c r="G381" s="190"/>
      <c r="H381" s="155"/>
      <c r="I381" s="190"/>
      <c r="J381" s="155"/>
      <c r="K381" s="155"/>
      <c r="L381" s="155"/>
      <c r="M381" s="155"/>
    </row>
    <row r="382" ht="14.25" customHeight="1">
      <c r="A382" s="188"/>
      <c r="B382" s="189"/>
      <c r="C382" s="131"/>
      <c r="D382" s="155"/>
      <c r="E382" s="190"/>
      <c r="F382" s="190"/>
      <c r="G382" s="190"/>
      <c r="H382" s="155"/>
      <c r="I382" s="190"/>
      <c r="J382" s="155"/>
      <c r="K382" s="155"/>
      <c r="L382" s="155"/>
      <c r="M382" s="155"/>
    </row>
    <row r="383" ht="14.25" customHeight="1">
      <c r="A383" s="188"/>
      <c r="B383" s="189"/>
      <c r="C383" s="131"/>
      <c r="D383" s="155"/>
      <c r="E383" s="190"/>
      <c r="F383" s="190"/>
      <c r="G383" s="190"/>
      <c r="H383" s="155"/>
      <c r="I383" s="190"/>
      <c r="J383" s="155"/>
      <c r="K383" s="155"/>
      <c r="L383" s="155"/>
      <c r="M383" s="155"/>
    </row>
    <row r="384" ht="14.25" customHeight="1">
      <c r="A384" s="188"/>
      <c r="B384" s="189"/>
      <c r="C384" s="131"/>
      <c r="D384" s="155"/>
      <c r="E384" s="190"/>
      <c r="F384" s="190"/>
      <c r="G384" s="190"/>
      <c r="H384" s="155"/>
      <c r="I384" s="190"/>
      <c r="J384" s="155"/>
      <c r="K384" s="155"/>
      <c r="L384" s="155"/>
      <c r="M384" s="155"/>
    </row>
    <row r="385" ht="14.25" customHeight="1">
      <c r="A385" s="188"/>
      <c r="B385" s="189"/>
      <c r="C385" s="131"/>
      <c r="D385" s="155"/>
      <c r="E385" s="190"/>
      <c r="F385" s="190"/>
      <c r="G385" s="190"/>
      <c r="H385" s="155"/>
      <c r="I385" s="190"/>
      <c r="J385" s="155"/>
      <c r="K385" s="155"/>
      <c r="L385" s="155"/>
      <c r="M385" s="155"/>
    </row>
    <row r="386" ht="14.25" customHeight="1">
      <c r="A386" s="188"/>
      <c r="B386" s="189"/>
      <c r="C386" s="131"/>
      <c r="D386" s="155"/>
      <c r="E386" s="190"/>
      <c r="F386" s="190"/>
      <c r="G386" s="190"/>
      <c r="H386" s="155"/>
      <c r="I386" s="190"/>
      <c r="J386" s="155"/>
      <c r="K386" s="155"/>
      <c r="L386" s="155"/>
      <c r="M386" s="155"/>
    </row>
    <row r="387" ht="14.25" customHeight="1">
      <c r="A387" s="188"/>
      <c r="B387" s="189"/>
      <c r="C387" s="131"/>
      <c r="D387" s="155"/>
      <c r="E387" s="190"/>
      <c r="F387" s="190"/>
      <c r="G387" s="190"/>
      <c r="H387" s="155"/>
      <c r="I387" s="190"/>
      <c r="J387" s="155"/>
      <c r="K387" s="155"/>
      <c r="L387" s="155"/>
      <c r="M387" s="155"/>
    </row>
    <row r="388" ht="14.25" customHeight="1">
      <c r="A388" s="188"/>
      <c r="B388" s="189"/>
      <c r="C388" s="131"/>
      <c r="D388" s="155"/>
      <c r="E388" s="190"/>
      <c r="F388" s="190"/>
      <c r="G388" s="190"/>
      <c r="H388" s="155"/>
      <c r="I388" s="190"/>
      <c r="J388" s="155"/>
      <c r="K388" s="155"/>
      <c r="L388" s="155"/>
      <c r="M388" s="155"/>
    </row>
    <row r="389" ht="14.25" customHeight="1">
      <c r="A389" s="188"/>
      <c r="B389" s="189"/>
      <c r="C389" s="131"/>
      <c r="D389" s="155"/>
      <c r="E389" s="190"/>
      <c r="F389" s="190"/>
      <c r="G389" s="190"/>
      <c r="H389" s="155"/>
      <c r="I389" s="190"/>
      <c r="J389" s="155"/>
      <c r="K389" s="155"/>
      <c r="L389" s="155"/>
      <c r="M389" s="155"/>
    </row>
    <row r="390" ht="14.25" customHeight="1">
      <c r="A390" s="188"/>
      <c r="B390" s="189"/>
      <c r="C390" s="131"/>
      <c r="D390" s="155"/>
      <c r="E390" s="190"/>
      <c r="F390" s="190"/>
      <c r="G390" s="190"/>
      <c r="H390" s="155"/>
      <c r="I390" s="190"/>
      <c r="J390" s="155"/>
      <c r="K390" s="155"/>
      <c r="L390" s="155"/>
      <c r="M390" s="155"/>
    </row>
    <row r="391" ht="14.25" customHeight="1">
      <c r="A391" s="188"/>
      <c r="B391" s="189"/>
      <c r="C391" s="131"/>
      <c r="D391" s="155"/>
      <c r="E391" s="190"/>
      <c r="F391" s="190"/>
      <c r="G391" s="190"/>
      <c r="H391" s="155"/>
      <c r="I391" s="190"/>
      <c r="J391" s="155"/>
      <c r="K391" s="155"/>
      <c r="L391" s="155"/>
      <c r="M391" s="155"/>
    </row>
    <row r="392" ht="14.25" customHeight="1">
      <c r="A392" s="188"/>
      <c r="B392" s="189"/>
      <c r="C392" s="131"/>
      <c r="D392" s="155"/>
      <c r="E392" s="190"/>
      <c r="F392" s="190"/>
      <c r="G392" s="190"/>
      <c r="H392" s="155"/>
      <c r="I392" s="190"/>
      <c r="J392" s="155"/>
      <c r="K392" s="155"/>
      <c r="L392" s="155"/>
      <c r="M392" s="155"/>
    </row>
    <row r="393" ht="14.25" customHeight="1">
      <c r="A393" s="188"/>
      <c r="B393" s="189"/>
      <c r="C393" s="131"/>
      <c r="D393" s="155"/>
      <c r="E393" s="190"/>
      <c r="F393" s="190"/>
      <c r="G393" s="190"/>
      <c r="H393" s="155"/>
      <c r="I393" s="190"/>
      <c r="J393" s="155"/>
      <c r="K393" s="155"/>
      <c r="L393" s="155"/>
      <c r="M393" s="155"/>
    </row>
    <row r="394" ht="14.25" customHeight="1">
      <c r="A394" s="188"/>
      <c r="B394" s="189"/>
      <c r="C394" s="131"/>
      <c r="D394" s="155"/>
      <c r="E394" s="190"/>
      <c r="F394" s="190"/>
      <c r="G394" s="190"/>
      <c r="H394" s="155"/>
      <c r="I394" s="190"/>
      <c r="J394" s="155"/>
      <c r="K394" s="155"/>
      <c r="L394" s="155"/>
      <c r="M394" s="155"/>
    </row>
    <row r="395" ht="14.25" customHeight="1">
      <c r="A395" s="188"/>
      <c r="B395" s="189"/>
      <c r="C395" s="131"/>
      <c r="D395" s="155"/>
      <c r="E395" s="190"/>
      <c r="F395" s="190"/>
      <c r="G395" s="190"/>
      <c r="H395" s="155"/>
      <c r="I395" s="190"/>
      <c r="J395" s="155"/>
      <c r="K395" s="155"/>
      <c r="L395" s="155"/>
      <c r="M395" s="155"/>
    </row>
    <row r="396" ht="14.25" customHeight="1">
      <c r="A396" s="188"/>
      <c r="B396" s="189"/>
      <c r="C396" s="131"/>
      <c r="D396" s="155"/>
      <c r="E396" s="190"/>
      <c r="F396" s="190"/>
      <c r="G396" s="190"/>
      <c r="H396" s="155"/>
      <c r="I396" s="190"/>
      <c r="J396" s="155"/>
      <c r="K396" s="155"/>
      <c r="L396" s="155"/>
      <c r="M396" s="155"/>
    </row>
    <row r="397" ht="14.25" customHeight="1">
      <c r="A397" s="188"/>
      <c r="B397" s="189"/>
      <c r="C397" s="131"/>
      <c r="D397" s="155"/>
      <c r="E397" s="190"/>
      <c r="F397" s="190"/>
      <c r="G397" s="190"/>
      <c r="H397" s="155"/>
      <c r="I397" s="190"/>
      <c r="J397" s="155"/>
      <c r="K397" s="155"/>
      <c r="L397" s="155"/>
      <c r="M397" s="155"/>
    </row>
    <row r="398" ht="14.25" customHeight="1">
      <c r="A398" s="188"/>
      <c r="B398" s="189"/>
      <c r="C398" s="131"/>
      <c r="D398" s="155"/>
      <c r="E398" s="190"/>
      <c r="F398" s="190"/>
      <c r="G398" s="190"/>
      <c r="H398" s="155"/>
      <c r="I398" s="190"/>
      <c r="J398" s="155"/>
      <c r="K398" s="155"/>
      <c r="L398" s="155"/>
      <c r="M398" s="155"/>
    </row>
    <row r="399" ht="14.25" customHeight="1">
      <c r="A399" s="188"/>
      <c r="B399" s="189"/>
      <c r="C399" s="131"/>
      <c r="D399" s="155"/>
      <c r="E399" s="190"/>
      <c r="F399" s="190"/>
      <c r="G399" s="190"/>
      <c r="H399" s="155"/>
      <c r="I399" s="190"/>
      <c r="J399" s="155"/>
      <c r="K399" s="155"/>
      <c r="L399" s="155"/>
      <c r="M399" s="155"/>
    </row>
    <row r="400" ht="14.25" customHeight="1">
      <c r="A400" s="188"/>
      <c r="B400" s="189"/>
      <c r="C400" s="131"/>
      <c r="D400" s="155"/>
      <c r="E400" s="190"/>
      <c r="F400" s="190"/>
      <c r="G400" s="190"/>
      <c r="H400" s="155"/>
      <c r="I400" s="190"/>
      <c r="J400" s="155"/>
      <c r="K400" s="155"/>
      <c r="L400" s="155"/>
      <c r="M400" s="155"/>
    </row>
    <row r="401" ht="14.25" customHeight="1">
      <c r="A401" s="188"/>
      <c r="B401" s="189"/>
      <c r="C401" s="131"/>
      <c r="D401" s="155"/>
      <c r="E401" s="190"/>
      <c r="F401" s="190"/>
      <c r="G401" s="190"/>
      <c r="H401" s="155"/>
      <c r="I401" s="190"/>
      <c r="J401" s="155"/>
      <c r="K401" s="155"/>
      <c r="L401" s="155"/>
      <c r="M401" s="155"/>
    </row>
    <row r="402" ht="14.25" customHeight="1">
      <c r="A402" s="188"/>
      <c r="B402" s="189"/>
      <c r="C402" s="131"/>
      <c r="D402" s="155"/>
      <c r="E402" s="190"/>
      <c r="F402" s="190"/>
      <c r="G402" s="190"/>
      <c r="H402" s="155"/>
      <c r="I402" s="190"/>
      <c r="J402" s="155"/>
      <c r="K402" s="155"/>
      <c r="L402" s="155"/>
      <c r="M402" s="155"/>
    </row>
    <row r="403" ht="14.25" customHeight="1">
      <c r="A403" s="188"/>
      <c r="B403" s="189"/>
      <c r="C403" s="131"/>
      <c r="D403" s="155"/>
      <c r="E403" s="190"/>
      <c r="F403" s="190"/>
      <c r="G403" s="190"/>
      <c r="H403" s="155"/>
      <c r="I403" s="190"/>
      <c r="J403" s="155"/>
      <c r="K403" s="155"/>
      <c r="L403" s="155"/>
      <c r="M403" s="155"/>
    </row>
    <row r="404" ht="14.25" customHeight="1">
      <c r="A404" s="188"/>
      <c r="B404" s="189"/>
      <c r="C404" s="131"/>
      <c r="D404" s="155"/>
      <c r="E404" s="190"/>
      <c r="F404" s="190"/>
      <c r="G404" s="190"/>
      <c r="H404" s="155"/>
      <c r="I404" s="190"/>
      <c r="J404" s="155"/>
      <c r="K404" s="155"/>
      <c r="L404" s="155"/>
      <c r="M404" s="155"/>
    </row>
    <row r="405" ht="14.25" customHeight="1">
      <c r="A405" s="188"/>
      <c r="B405" s="189"/>
      <c r="C405" s="131"/>
      <c r="D405" s="155"/>
      <c r="E405" s="190"/>
      <c r="F405" s="190"/>
      <c r="G405" s="190"/>
      <c r="H405" s="155"/>
      <c r="I405" s="190"/>
      <c r="J405" s="155"/>
      <c r="K405" s="155"/>
      <c r="L405" s="155"/>
      <c r="M405" s="155"/>
    </row>
    <row r="406" ht="14.25" customHeight="1">
      <c r="A406" s="188"/>
      <c r="B406" s="189"/>
      <c r="C406" s="131"/>
      <c r="D406" s="155"/>
      <c r="E406" s="190"/>
      <c r="F406" s="190"/>
      <c r="G406" s="190"/>
      <c r="H406" s="155"/>
      <c r="I406" s="190"/>
      <c r="J406" s="155"/>
      <c r="K406" s="155"/>
      <c r="L406" s="155"/>
      <c r="M406" s="155"/>
    </row>
    <row r="407" ht="14.25" customHeight="1">
      <c r="A407" s="188"/>
      <c r="B407" s="189"/>
      <c r="C407" s="131"/>
      <c r="D407" s="155"/>
      <c r="E407" s="190"/>
      <c r="F407" s="190"/>
      <c r="G407" s="190"/>
      <c r="H407" s="155"/>
      <c r="I407" s="190"/>
      <c r="J407" s="155"/>
      <c r="K407" s="155"/>
      <c r="L407" s="155"/>
      <c r="M407" s="155"/>
    </row>
    <row r="408" ht="14.25" customHeight="1">
      <c r="A408" s="188"/>
      <c r="B408" s="189"/>
      <c r="C408" s="131"/>
      <c r="D408" s="155"/>
      <c r="E408" s="190"/>
      <c r="F408" s="190"/>
      <c r="G408" s="190"/>
      <c r="H408" s="155"/>
      <c r="I408" s="190"/>
      <c r="J408" s="155"/>
      <c r="K408" s="155"/>
      <c r="L408" s="155"/>
      <c r="M408" s="155"/>
    </row>
    <row r="409" ht="14.25" customHeight="1">
      <c r="A409" s="188"/>
      <c r="B409" s="189"/>
      <c r="C409" s="131"/>
      <c r="D409" s="155"/>
      <c r="E409" s="190"/>
      <c r="F409" s="190"/>
      <c r="G409" s="190"/>
      <c r="H409" s="155"/>
      <c r="I409" s="190"/>
      <c r="J409" s="155"/>
      <c r="K409" s="155"/>
      <c r="L409" s="155"/>
      <c r="M409" s="155"/>
    </row>
    <row r="410" ht="14.25" customHeight="1">
      <c r="A410" s="188"/>
      <c r="B410" s="189"/>
      <c r="C410" s="131"/>
      <c r="D410" s="155"/>
      <c r="E410" s="190"/>
      <c r="F410" s="190"/>
      <c r="G410" s="190"/>
      <c r="H410" s="155"/>
      <c r="I410" s="190"/>
      <c r="J410" s="155"/>
      <c r="K410" s="155"/>
      <c r="L410" s="155"/>
      <c r="M410" s="155"/>
    </row>
    <row r="411" ht="14.25" customHeight="1">
      <c r="A411" s="188"/>
      <c r="B411" s="189"/>
      <c r="C411" s="131"/>
      <c r="D411" s="155"/>
      <c r="E411" s="190"/>
      <c r="F411" s="190"/>
      <c r="G411" s="190"/>
      <c r="H411" s="155"/>
      <c r="I411" s="190"/>
      <c r="J411" s="155"/>
      <c r="K411" s="155"/>
      <c r="L411" s="155"/>
      <c r="M411" s="155"/>
    </row>
    <row r="412" ht="14.25" customHeight="1">
      <c r="A412" s="188"/>
      <c r="B412" s="189"/>
      <c r="C412" s="131"/>
      <c r="D412" s="155"/>
      <c r="E412" s="190"/>
      <c r="F412" s="190"/>
      <c r="G412" s="190"/>
      <c r="H412" s="155"/>
      <c r="I412" s="190"/>
      <c r="J412" s="155"/>
      <c r="K412" s="155"/>
      <c r="L412" s="155"/>
      <c r="M412" s="155"/>
    </row>
    <row r="413" ht="14.25" customHeight="1">
      <c r="A413" s="188"/>
      <c r="B413" s="189"/>
      <c r="C413" s="131"/>
      <c r="D413" s="155"/>
      <c r="E413" s="190"/>
      <c r="F413" s="190"/>
      <c r="G413" s="190"/>
      <c r="H413" s="155"/>
      <c r="I413" s="190"/>
      <c r="J413" s="155"/>
      <c r="K413" s="155"/>
      <c r="L413" s="155"/>
      <c r="M413" s="155"/>
    </row>
    <row r="414" ht="14.25" customHeight="1">
      <c r="A414" s="188"/>
      <c r="B414" s="189"/>
      <c r="C414" s="131"/>
      <c r="D414" s="155"/>
      <c r="E414" s="190"/>
      <c r="F414" s="190"/>
      <c r="G414" s="190"/>
      <c r="H414" s="155"/>
      <c r="I414" s="190"/>
      <c r="J414" s="155"/>
      <c r="K414" s="155"/>
      <c r="L414" s="155"/>
      <c r="M414" s="155"/>
    </row>
    <row r="415" ht="14.25" customHeight="1">
      <c r="A415" s="188"/>
      <c r="B415" s="189"/>
      <c r="C415" s="131"/>
      <c r="D415" s="155"/>
      <c r="E415" s="190"/>
      <c r="F415" s="190"/>
      <c r="G415" s="190"/>
      <c r="H415" s="155"/>
      <c r="I415" s="190"/>
      <c r="J415" s="155"/>
      <c r="K415" s="155"/>
      <c r="L415" s="155"/>
      <c r="M415" s="155"/>
    </row>
    <row r="416" ht="14.25" customHeight="1">
      <c r="A416" s="188"/>
      <c r="B416" s="189"/>
      <c r="C416" s="131"/>
      <c r="D416" s="155"/>
      <c r="E416" s="190"/>
      <c r="F416" s="190"/>
      <c r="G416" s="190"/>
      <c r="H416" s="155"/>
      <c r="I416" s="190"/>
      <c r="J416" s="155"/>
      <c r="K416" s="155"/>
      <c r="L416" s="155"/>
      <c r="M416" s="155"/>
    </row>
    <row r="417" ht="14.25" customHeight="1">
      <c r="A417" s="188"/>
      <c r="B417" s="189"/>
      <c r="C417" s="131"/>
      <c r="D417" s="155"/>
      <c r="E417" s="190"/>
      <c r="F417" s="190"/>
      <c r="G417" s="190"/>
      <c r="H417" s="155"/>
      <c r="I417" s="190"/>
      <c r="J417" s="155"/>
      <c r="K417" s="155"/>
      <c r="L417" s="155"/>
      <c r="M417" s="155"/>
    </row>
    <row r="418" ht="14.25" customHeight="1">
      <c r="A418" s="188"/>
      <c r="B418" s="189"/>
      <c r="C418" s="131"/>
      <c r="D418" s="155"/>
      <c r="E418" s="190"/>
      <c r="F418" s="190"/>
      <c r="G418" s="190"/>
      <c r="H418" s="155"/>
      <c r="I418" s="190"/>
      <c r="J418" s="155"/>
      <c r="K418" s="155"/>
      <c r="L418" s="155"/>
      <c r="M418" s="155"/>
    </row>
    <row r="419" ht="14.25" customHeight="1">
      <c r="A419" s="188"/>
      <c r="B419" s="189"/>
      <c r="C419" s="131"/>
      <c r="D419" s="155"/>
      <c r="E419" s="190"/>
      <c r="F419" s="190"/>
      <c r="G419" s="190"/>
      <c r="H419" s="155"/>
      <c r="I419" s="190"/>
      <c r="J419" s="155"/>
      <c r="K419" s="155"/>
      <c r="L419" s="155"/>
      <c r="M419" s="155"/>
    </row>
    <row r="420" ht="14.25" customHeight="1">
      <c r="A420" s="188"/>
      <c r="B420" s="189"/>
      <c r="C420" s="131"/>
      <c r="D420" s="155"/>
      <c r="E420" s="190"/>
      <c r="F420" s="190"/>
      <c r="G420" s="190"/>
      <c r="H420" s="155"/>
      <c r="I420" s="190"/>
      <c r="J420" s="155"/>
      <c r="K420" s="155"/>
      <c r="L420" s="155"/>
      <c r="M420" s="155"/>
    </row>
    <row r="421" ht="14.25" customHeight="1">
      <c r="A421" s="188"/>
      <c r="B421" s="189"/>
      <c r="C421" s="131"/>
      <c r="D421" s="155"/>
      <c r="E421" s="190"/>
      <c r="F421" s="190"/>
      <c r="G421" s="190"/>
      <c r="H421" s="155"/>
      <c r="I421" s="190"/>
      <c r="J421" s="155"/>
      <c r="K421" s="155"/>
      <c r="L421" s="155"/>
      <c r="M421" s="155"/>
    </row>
    <row r="422" ht="14.25" customHeight="1">
      <c r="A422" s="188"/>
      <c r="B422" s="189"/>
      <c r="C422" s="131"/>
      <c r="D422" s="155"/>
      <c r="E422" s="190"/>
      <c r="F422" s="190"/>
      <c r="G422" s="190"/>
      <c r="H422" s="155"/>
      <c r="I422" s="190"/>
      <c r="J422" s="155"/>
      <c r="K422" s="155"/>
      <c r="L422" s="155"/>
      <c r="M422" s="155"/>
    </row>
    <row r="423" ht="14.25" customHeight="1">
      <c r="A423" s="188"/>
      <c r="B423" s="189"/>
      <c r="C423" s="131"/>
      <c r="D423" s="155"/>
      <c r="E423" s="190"/>
      <c r="F423" s="190"/>
      <c r="G423" s="190"/>
      <c r="H423" s="155"/>
      <c r="I423" s="190"/>
      <c r="J423" s="155"/>
      <c r="K423" s="155"/>
      <c r="L423" s="155"/>
      <c r="M423" s="155"/>
    </row>
    <row r="424" ht="14.25" customHeight="1">
      <c r="A424" s="188"/>
      <c r="B424" s="189"/>
      <c r="C424" s="131"/>
      <c r="D424" s="155"/>
      <c r="E424" s="190"/>
      <c r="F424" s="190"/>
      <c r="G424" s="190"/>
      <c r="H424" s="155"/>
      <c r="I424" s="190"/>
      <c r="J424" s="155"/>
      <c r="K424" s="155"/>
      <c r="L424" s="155"/>
      <c r="M424" s="155"/>
    </row>
    <row r="425" ht="14.25" customHeight="1">
      <c r="A425" s="188"/>
      <c r="B425" s="189"/>
      <c r="C425" s="131"/>
      <c r="D425" s="155"/>
      <c r="E425" s="190"/>
      <c r="F425" s="190"/>
      <c r="G425" s="190"/>
      <c r="H425" s="155"/>
      <c r="I425" s="190"/>
      <c r="J425" s="155"/>
      <c r="K425" s="155"/>
      <c r="L425" s="155"/>
      <c r="M425" s="155"/>
    </row>
    <row r="426" ht="14.25" customHeight="1">
      <c r="A426" s="188"/>
      <c r="B426" s="189"/>
      <c r="C426" s="131"/>
      <c r="D426" s="155"/>
      <c r="E426" s="190"/>
      <c r="F426" s="190"/>
      <c r="G426" s="190"/>
      <c r="H426" s="155"/>
      <c r="I426" s="190"/>
      <c r="J426" s="155"/>
      <c r="K426" s="155"/>
      <c r="L426" s="155"/>
      <c r="M426" s="155"/>
    </row>
    <row r="427" ht="14.25" customHeight="1">
      <c r="A427" s="188"/>
      <c r="B427" s="189"/>
      <c r="C427" s="131"/>
      <c r="D427" s="155"/>
      <c r="E427" s="190"/>
      <c r="F427" s="190"/>
      <c r="G427" s="190"/>
      <c r="H427" s="155"/>
      <c r="I427" s="190"/>
      <c r="J427" s="155"/>
      <c r="K427" s="155"/>
      <c r="L427" s="155"/>
      <c r="M427" s="155"/>
    </row>
    <row r="428" ht="14.25" customHeight="1">
      <c r="A428" s="188"/>
      <c r="B428" s="189"/>
      <c r="C428" s="131"/>
      <c r="D428" s="155"/>
      <c r="E428" s="190"/>
      <c r="F428" s="190"/>
      <c r="G428" s="190"/>
      <c r="H428" s="155"/>
      <c r="I428" s="190"/>
      <c r="J428" s="155"/>
      <c r="K428" s="155"/>
      <c r="L428" s="155"/>
      <c r="M428" s="155"/>
    </row>
    <row r="429" ht="14.25" customHeight="1">
      <c r="A429" s="188"/>
      <c r="B429" s="189"/>
      <c r="C429" s="131"/>
      <c r="D429" s="155"/>
      <c r="E429" s="190"/>
      <c r="F429" s="190"/>
      <c r="G429" s="190"/>
      <c r="H429" s="155"/>
      <c r="I429" s="190"/>
      <c r="J429" s="155"/>
      <c r="K429" s="155"/>
      <c r="L429" s="155"/>
      <c r="M429" s="155"/>
    </row>
    <row r="430" ht="14.25" customHeight="1">
      <c r="A430" s="188"/>
      <c r="B430" s="189"/>
      <c r="C430" s="131"/>
      <c r="D430" s="155"/>
      <c r="E430" s="190"/>
      <c r="F430" s="190"/>
      <c r="G430" s="190"/>
      <c r="H430" s="155"/>
      <c r="I430" s="190"/>
      <c r="J430" s="155"/>
      <c r="K430" s="155"/>
      <c r="L430" s="155"/>
      <c r="M430" s="155"/>
    </row>
    <row r="431" ht="14.25" customHeight="1">
      <c r="A431" s="188"/>
      <c r="B431" s="189"/>
      <c r="C431" s="131"/>
      <c r="D431" s="155"/>
      <c r="E431" s="190"/>
      <c r="F431" s="190"/>
      <c r="G431" s="190"/>
      <c r="H431" s="155"/>
      <c r="I431" s="190"/>
      <c r="J431" s="155"/>
      <c r="K431" s="155"/>
      <c r="L431" s="155"/>
      <c r="M431" s="155"/>
    </row>
    <row r="432" ht="14.25" customHeight="1">
      <c r="A432" s="188"/>
      <c r="B432" s="189"/>
      <c r="C432" s="131"/>
      <c r="D432" s="155"/>
      <c r="E432" s="190"/>
      <c r="F432" s="190"/>
      <c r="G432" s="190"/>
      <c r="H432" s="155"/>
      <c r="I432" s="190"/>
      <c r="J432" s="155"/>
      <c r="K432" s="155"/>
      <c r="L432" s="155"/>
      <c r="M432" s="155"/>
    </row>
    <row r="433" ht="14.25" customHeight="1">
      <c r="A433" s="188"/>
      <c r="B433" s="189"/>
      <c r="C433" s="131"/>
      <c r="D433" s="155"/>
      <c r="E433" s="190"/>
      <c r="F433" s="190"/>
      <c r="G433" s="190"/>
      <c r="H433" s="155"/>
      <c r="I433" s="190"/>
      <c r="J433" s="155"/>
      <c r="K433" s="155"/>
      <c r="L433" s="155"/>
      <c r="M433" s="155"/>
    </row>
    <row r="434" ht="14.25" customHeight="1">
      <c r="A434" s="188"/>
      <c r="B434" s="189"/>
      <c r="C434" s="131"/>
      <c r="D434" s="155"/>
      <c r="E434" s="190"/>
      <c r="F434" s="190"/>
      <c r="G434" s="190"/>
      <c r="H434" s="155"/>
      <c r="I434" s="190"/>
      <c r="J434" s="155"/>
      <c r="K434" s="155"/>
      <c r="L434" s="155"/>
      <c r="M434" s="155"/>
    </row>
    <row r="435" ht="14.25" customHeight="1">
      <c r="A435" s="188"/>
      <c r="B435" s="189"/>
      <c r="C435" s="131"/>
      <c r="D435" s="155"/>
      <c r="E435" s="190"/>
      <c r="F435" s="190"/>
      <c r="G435" s="190"/>
      <c r="H435" s="155"/>
      <c r="I435" s="190"/>
      <c r="J435" s="155"/>
      <c r="K435" s="155"/>
      <c r="L435" s="155"/>
      <c r="M435" s="155"/>
    </row>
    <row r="436" ht="14.25" customHeight="1">
      <c r="A436" s="188"/>
      <c r="B436" s="189"/>
      <c r="C436" s="131"/>
      <c r="D436" s="155"/>
      <c r="E436" s="190"/>
      <c r="F436" s="190"/>
      <c r="G436" s="190"/>
      <c r="H436" s="155"/>
      <c r="I436" s="190"/>
      <c r="J436" s="155"/>
      <c r="K436" s="155"/>
      <c r="L436" s="155"/>
      <c r="M436" s="155"/>
    </row>
    <row r="437" ht="14.25" customHeight="1">
      <c r="A437" s="188"/>
      <c r="B437" s="189"/>
      <c r="C437" s="131"/>
      <c r="D437" s="155"/>
      <c r="E437" s="190"/>
      <c r="F437" s="190"/>
      <c r="G437" s="190"/>
      <c r="H437" s="155"/>
      <c r="I437" s="190"/>
      <c r="J437" s="155"/>
      <c r="K437" s="155"/>
      <c r="L437" s="155"/>
      <c r="M437" s="155"/>
    </row>
    <row r="438" ht="14.25" customHeight="1">
      <c r="A438" s="188"/>
      <c r="B438" s="189"/>
      <c r="C438" s="131"/>
      <c r="D438" s="155"/>
      <c r="E438" s="190"/>
      <c r="F438" s="190"/>
      <c r="G438" s="190"/>
      <c r="H438" s="155"/>
      <c r="I438" s="190"/>
      <c r="J438" s="155"/>
      <c r="K438" s="155"/>
      <c r="L438" s="155"/>
      <c r="M438" s="155"/>
    </row>
    <row r="439" ht="14.25" customHeight="1">
      <c r="A439" s="188"/>
      <c r="B439" s="189"/>
      <c r="C439" s="131"/>
      <c r="D439" s="155"/>
      <c r="E439" s="190"/>
      <c r="F439" s="190"/>
      <c r="G439" s="190"/>
      <c r="H439" s="155"/>
      <c r="I439" s="190"/>
      <c r="J439" s="155"/>
      <c r="K439" s="155"/>
      <c r="L439" s="155"/>
      <c r="M439" s="155"/>
    </row>
    <row r="440" ht="14.25" customHeight="1">
      <c r="A440" s="188"/>
      <c r="B440" s="189"/>
      <c r="C440" s="131"/>
      <c r="D440" s="155"/>
      <c r="E440" s="190"/>
      <c r="F440" s="190"/>
      <c r="G440" s="190"/>
      <c r="H440" s="155"/>
      <c r="I440" s="190"/>
      <c r="J440" s="155"/>
      <c r="K440" s="155"/>
      <c r="L440" s="155"/>
      <c r="M440" s="155"/>
    </row>
    <row r="441" ht="14.25" customHeight="1">
      <c r="A441" s="188"/>
      <c r="B441" s="189"/>
      <c r="C441" s="131"/>
      <c r="D441" s="155"/>
      <c r="E441" s="190"/>
      <c r="F441" s="190"/>
      <c r="G441" s="190"/>
      <c r="H441" s="155"/>
      <c r="I441" s="190"/>
      <c r="J441" s="155"/>
      <c r="K441" s="155"/>
      <c r="L441" s="155"/>
      <c r="M441" s="155"/>
    </row>
    <row r="442" ht="14.25" customHeight="1">
      <c r="A442" s="188"/>
      <c r="B442" s="189"/>
      <c r="C442" s="131"/>
      <c r="D442" s="155"/>
      <c r="E442" s="190"/>
      <c r="F442" s="190"/>
      <c r="G442" s="190"/>
      <c r="H442" s="155"/>
      <c r="I442" s="190"/>
      <c r="J442" s="155"/>
      <c r="K442" s="155"/>
      <c r="L442" s="155"/>
      <c r="M442" s="155"/>
    </row>
    <row r="443" ht="14.25" customHeight="1">
      <c r="A443" s="188"/>
      <c r="B443" s="189"/>
      <c r="C443" s="131"/>
      <c r="D443" s="155"/>
      <c r="E443" s="190"/>
      <c r="F443" s="190"/>
      <c r="G443" s="190"/>
      <c r="H443" s="155"/>
      <c r="I443" s="190"/>
      <c r="J443" s="155"/>
      <c r="K443" s="155"/>
      <c r="L443" s="155"/>
      <c r="M443" s="155"/>
    </row>
    <row r="444" ht="14.25" customHeight="1">
      <c r="A444" s="188"/>
      <c r="B444" s="189"/>
      <c r="C444" s="131"/>
      <c r="D444" s="155"/>
      <c r="E444" s="190"/>
      <c r="F444" s="190"/>
      <c r="G444" s="190"/>
      <c r="H444" s="155"/>
      <c r="I444" s="190"/>
      <c r="J444" s="155"/>
      <c r="K444" s="155"/>
      <c r="L444" s="155"/>
      <c r="M444" s="155"/>
    </row>
    <row r="445" ht="14.25" customHeight="1">
      <c r="A445" s="188"/>
      <c r="B445" s="189"/>
      <c r="C445" s="131"/>
      <c r="D445" s="155"/>
      <c r="E445" s="190"/>
      <c r="F445" s="190"/>
      <c r="G445" s="190"/>
      <c r="H445" s="155"/>
      <c r="I445" s="190"/>
      <c r="J445" s="155"/>
      <c r="K445" s="155"/>
      <c r="L445" s="155"/>
      <c r="M445" s="155"/>
    </row>
    <row r="446" ht="14.25" customHeight="1">
      <c r="A446" s="188"/>
      <c r="B446" s="189"/>
      <c r="C446" s="131"/>
      <c r="D446" s="155"/>
      <c r="E446" s="190"/>
      <c r="F446" s="190"/>
      <c r="G446" s="190"/>
      <c r="H446" s="155"/>
      <c r="I446" s="190"/>
      <c r="J446" s="155"/>
      <c r="K446" s="155"/>
      <c r="L446" s="155"/>
      <c r="M446" s="155"/>
    </row>
    <row r="447" ht="14.25" customHeight="1">
      <c r="A447" s="188"/>
      <c r="B447" s="189"/>
      <c r="C447" s="131"/>
      <c r="D447" s="155"/>
      <c r="E447" s="190"/>
      <c r="F447" s="190"/>
      <c r="G447" s="190"/>
      <c r="H447" s="155"/>
      <c r="I447" s="190"/>
      <c r="J447" s="155"/>
      <c r="K447" s="155"/>
      <c r="L447" s="155"/>
      <c r="M447" s="155"/>
    </row>
    <row r="448" ht="14.25" customHeight="1">
      <c r="A448" s="188"/>
      <c r="B448" s="189"/>
      <c r="C448" s="131"/>
      <c r="D448" s="155"/>
      <c r="E448" s="190"/>
      <c r="F448" s="190"/>
      <c r="G448" s="190"/>
      <c r="H448" s="155"/>
      <c r="I448" s="190"/>
      <c r="J448" s="155"/>
      <c r="K448" s="155"/>
      <c r="L448" s="155"/>
      <c r="M448" s="155"/>
    </row>
    <row r="449" ht="14.25" customHeight="1">
      <c r="A449" s="188"/>
      <c r="B449" s="189"/>
      <c r="C449" s="131"/>
      <c r="D449" s="155"/>
      <c r="E449" s="190"/>
      <c r="F449" s="190"/>
      <c r="G449" s="190"/>
      <c r="H449" s="155"/>
      <c r="I449" s="190"/>
      <c r="J449" s="155"/>
      <c r="K449" s="155"/>
      <c r="L449" s="155"/>
      <c r="M449" s="155"/>
    </row>
    <row r="450" ht="14.25" customHeight="1">
      <c r="A450" s="188"/>
      <c r="B450" s="189"/>
      <c r="C450" s="131"/>
      <c r="D450" s="155"/>
      <c r="E450" s="190"/>
      <c r="F450" s="190"/>
      <c r="G450" s="190"/>
      <c r="H450" s="155"/>
      <c r="I450" s="190"/>
      <c r="J450" s="155"/>
      <c r="K450" s="155"/>
      <c r="L450" s="155"/>
      <c r="M450" s="155"/>
    </row>
    <row r="451" ht="14.25" customHeight="1">
      <c r="A451" s="188"/>
      <c r="B451" s="189"/>
      <c r="C451" s="131"/>
      <c r="D451" s="155"/>
      <c r="E451" s="190"/>
      <c r="F451" s="190"/>
      <c r="G451" s="190"/>
      <c r="H451" s="155"/>
      <c r="I451" s="190"/>
      <c r="J451" s="155"/>
      <c r="K451" s="155"/>
      <c r="L451" s="155"/>
      <c r="M451" s="155"/>
    </row>
    <row r="452" ht="14.25" customHeight="1">
      <c r="A452" s="188"/>
      <c r="B452" s="189"/>
      <c r="C452" s="131"/>
      <c r="D452" s="155"/>
      <c r="E452" s="190"/>
      <c r="F452" s="190"/>
      <c r="G452" s="190"/>
      <c r="H452" s="155"/>
      <c r="I452" s="190"/>
      <c r="J452" s="155"/>
      <c r="K452" s="155"/>
      <c r="L452" s="155"/>
      <c r="M452" s="155"/>
    </row>
    <row r="453" ht="14.25" customHeight="1">
      <c r="A453" s="188"/>
      <c r="B453" s="189"/>
      <c r="C453" s="131"/>
      <c r="D453" s="155"/>
      <c r="E453" s="190"/>
      <c r="F453" s="190"/>
      <c r="G453" s="190"/>
      <c r="H453" s="155"/>
      <c r="I453" s="190"/>
      <c r="J453" s="155"/>
      <c r="K453" s="155"/>
      <c r="L453" s="155"/>
      <c r="M453" s="155"/>
    </row>
    <row r="454" ht="14.25" customHeight="1">
      <c r="A454" s="188"/>
      <c r="B454" s="189"/>
      <c r="C454" s="131"/>
      <c r="D454" s="155"/>
      <c r="E454" s="190"/>
      <c r="F454" s="190"/>
      <c r="G454" s="190"/>
      <c r="H454" s="155"/>
      <c r="I454" s="190"/>
      <c r="J454" s="155"/>
      <c r="K454" s="155"/>
      <c r="L454" s="155"/>
      <c r="M454" s="155"/>
    </row>
    <row r="455" ht="14.25" customHeight="1">
      <c r="A455" s="188"/>
      <c r="B455" s="189"/>
      <c r="C455" s="131"/>
      <c r="D455" s="155"/>
      <c r="E455" s="190"/>
      <c r="F455" s="190"/>
      <c r="G455" s="190"/>
      <c r="H455" s="155"/>
      <c r="I455" s="190"/>
      <c r="J455" s="155"/>
      <c r="K455" s="155"/>
      <c r="L455" s="155"/>
      <c r="M455" s="155"/>
    </row>
    <row r="456" ht="14.25" customHeight="1">
      <c r="A456" s="188"/>
      <c r="B456" s="189"/>
      <c r="C456" s="131"/>
      <c r="D456" s="155"/>
      <c r="E456" s="190"/>
      <c r="F456" s="190"/>
      <c r="G456" s="190"/>
      <c r="H456" s="155"/>
      <c r="I456" s="190"/>
      <c r="J456" s="155"/>
      <c r="K456" s="155"/>
      <c r="L456" s="155"/>
      <c r="M456" s="155"/>
    </row>
    <row r="457" ht="14.25" customHeight="1">
      <c r="A457" s="188"/>
      <c r="B457" s="189"/>
      <c r="C457" s="131"/>
      <c r="D457" s="155"/>
      <c r="E457" s="190"/>
      <c r="F457" s="190"/>
      <c r="G457" s="190"/>
      <c r="H457" s="155"/>
      <c r="I457" s="190"/>
      <c r="J457" s="155"/>
      <c r="K457" s="155"/>
      <c r="L457" s="155"/>
      <c r="M457" s="155"/>
    </row>
    <row r="458" ht="14.25" customHeight="1">
      <c r="A458" s="188"/>
      <c r="B458" s="189"/>
      <c r="C458" s="131"/>
      <c r="D458" s="155"/>
      <c r="E458" s="190"/>
      <c r="F458" s="190"/>
      <c r="G458" s="190"/>
      <c r="H458" s="155"/>
      <c r="I458" s="190"/>
      <c r="J458" s="155"/>
      <c r="K458" s="155"/>
      <c r="L458" s="155"/>
      <c r="M458" s="155"/>
    </row>
    <row r="459" ht="14.25" customHeight="1">
      <c r="A459" s="188"/>
      <c r="B459" s="189"/>
      <c r="C459" s="131"/>
      <c r="D459" s="155"/>
      <c r="E459" s="190"/>
      <c r="F459" s="190"/>
      <c r="G459" s="190"/>
      <c r="H459" s="155"/>
      <c r="I459" s="190"/>
      <c r="J459" s="155"/>
      <c r="K459" s="155"/>
      <c r="L459" s="155"/>
      <c r="M459" s="155"/>
    </row>
    <row r="460" ht="14.25" customHeight="1">
      <c r="A460" s="188"/>
      <c r="B460" s="189"/>
      <c r="C460" s="131"/>
      <c r="D460" s="155"/>
      <c r="E460" s="190"/>
      <c r="F460" s="190"/>
      <c r="G460" s="190"/>
      <c r="H460" s="155"/>
      <c r="I460" s="190"/>
      <c r="J460" s="155"/>
      <c r="K460" s="155"/>
      <c r="L460" s="155"/>
      <c r="M460" s="155"/>
    </row>
    <row r="461" ht="14.25" customHeight="1">
      <c r="A461" s="188"/>
      <c r="B461" s="189"/>
      <c r="C461" s="131"/>
      <c r="D461" s="155"/>
      <c r="E461" s="190"/>
      <c r="F461" s="190"/>
      <c r="G461" s="190"/>
      <c r="H461" s="155"/>
      <c r="I461" s="190"/>
      <c r="J461" s="155"/>
      <c r="K461" s="155"/>
      <c r="L461" s="155"/>
      <c r="M461" s="155"/>
    </row>
    <row r="462" ht="14.25" customHeight="1">
      <c r="A462" s="188"/>
      <c r="B462" s="189"/>
      <c r="C462" s="131"/>
      <c r="D462" s="155"/>
      <c r="E462" s="190"/>
      <c r="F462" s="190"/>
      <c r="G462" s="190"/>
      <c r="H462" s="155"/>
      <c r="I462" s="190"/>
      <c r="J462" s="155"/>
      <c r="K462" s="155"/>
      <c r="L462" s="155"/>
      <c r="M462" s="155"/>
    </row>
    <row r="463" ht="14.25" customHeight="1">
      <c r="A463" s="188"/>
      <c r="B463" s="189"/>
      <c r="C463" s="131"/>
      <c r="D463" s="155"/>
      <c r="E463" s="190"/>
      <c r="F463" s="190"/>
      <c r="G463" s="190"/>
      <c r="H463" s="155"/>
      <c r="I463" s="190"/>
      <c r="J463" s="155"/>
      <c r="K463" s="155"/>
      <c r="L463" s="155"/>
      <c r="M463" s="155"/>
    </row>
    <row r="464" ht="14.25" customHeight="1">
      <c r="A464" s="188"/>
      <c r="B464" s="189"/>
      <c r="C464" s="131"/>
      <c r="D464" s="155"/>
      <c r="E464" s="190"/>
      <c r="F464" s="190"/>
      <c r="G464" s="190"/>
      <c r="H464" s="155"/>
      <c r="I464" s="190"/>
      <c r="J464" s="155"/>
      <c r="K464" s="155"/>
      <c r="L464" s="155"/>
      <c r="M464" s="155"/>
    </row>
    <row r="465" ht="14.25" customHeight="1">
      <c r="A465" s="188"/>
      <c r="B465" s="189"/>
      <c r="C465" s="131"/>
      <c r="D465" s="155"/>
      <c r="E465" s="190"/>
      <c r="F465" s="190"/>
      <c r="G465" s="190"/>
      <c r="H465" s="155"/>
      <c r="I465" s="190"/>
      <c r="J465" s="155"/>
      <c r="K465" s="155"/>
      <c r="L465" s="155"/>
      <c r="M465" s="155"/>
    </row>
    <row r="466" ht="14.25" customHeight="1">
      <c r="A466" s="188"/>
      <c r="B466" s="189"/>
      <c r="C466" s="131"/>
      <c r="D466" s="155"/>
      <c r="E466" s="190"/>
      <c r="F466" s="190"/>
      <c r="G466" s="190"/>
      <c r="H466" s="155"/>
      <c r="I466" s="190"/>
      <c r="J466" s="155"/>
      <c r="K466" s="155"/>
      <c r="L466" s="155"/>
      <c r="M466" s="155"/>
    </row>
    <row r="467" ht="14.25" customHeight="1">
      <c r="A467" s="188"/>
      <c r="B467" s="189"/>
      <c r="C467" s="131"/>
      <c r="D467" s="155"/>
      <c r="E467" s="190"/>
      <c r="F467" s="190"/>
      <c r="G467" s="190"/>
      <c r="H467" s="155"/>
      <c r="I467" s="190"/>
      <c r="J467" s="155"/>
      <c r="K467" s="155"/>
      <c r="L467" s="155"/>
      <c r="M467" s="155"/>
    </row>
    <row r="468" ht="14.25" customHeight="1">
      <c r="A468" s="188"/>
      <c r="B468" s="189"/>
      <c r="C468" s="131"/>
      <c r="D468" s="155"/>
      <c r="E468" s="190"/>
      <c r="F468" s="190"/>
      <c r="G468" s="190"/>
      <c r="H468" s="155"/>
      <c r="I468" s="190"/>
      <c r="J468" s="155"/>
      <c r="K468" s="155"/>
      <c r="L468" s="155"/>
      <c r="M468" s="155"/>
    </row>
    <row r="469" ht="14.25" customHeight="1">
      <c r="A469" s="188"/>
      <c r="B469" s="189"/>
      <c r="C469" s="131"/>
      <c r="D469" s="155"/>
      <c r="E469" s="190"/>
      <c r="F469" s="190"/>
      <c r="G469" s="190"/>
      <c r="H469" s="155"/>
      <c r="I469" s="190"/>
      <c r="J469" s="155"/>
      <c r="K469" s="155"/>
      <c r="L469" s="155"/>
      <c r="M469" s="155"/>
    </row>
    <row r="470" ht="14.25" customHeight="1">
      <c r="A470" s="188"/>
      <c r="B470" s="189"/>
      <c r="C470" s="131"/>
      <c r="D470" s="155"/>
      <c r="E470" s="190"/>
      <c r="F470" s="190"/>
      <c r="G470" s="190"/>
      <c r="H470" s="155"/>
      <c r="I470" s="190"/>
      <c r="J470" s="155"/>
      <c r="K470" s="155"/>
      <c r="L470" s="155"/>
      <c r="M470" s="155"/>
    </row>
    <row r="471" ht="14.25" customHeight="1">
      <c r="A471" s="188"/>
      <c r="B471" s="189"/>
      <c r="C471" s="131"/>
      <c r="D471" s="155"/>
      <c r="E471" s="190"/>
      <c r="F471" s="190"/>
      <c r="G471" s="190"/>
      <c r="H471" s="155"/>
      <c r="I471" s="190"/>
      <c r="J471" s="155"/>
      <c r="K471" s="155"/>
      <c r="L471" s="155"/>
      <c r="M471" s="155"/>
    </row>
    <row r="472" ht="14.25" customHeight="1">
      <c r="A472" s="188"/>
      <c r="B472" s="189"/>
      <c r="C472" s="131"/>
      <c r="D472" s="155"/>
      <c r="E472" s="190"/>
      <c r="F472" s="190"/>
      <c r="G472" s="190"/>
      <c r="H472" s="155"/>
      <c r="I472" s="190"/>
      <c r="J472" s="155"/>
      <c r="K472" s="155"/>
      <c r="L472" s="155"/>
      <c r="M472" s="155"/>
    </row>
    <row r="473" ht="14.25" customHeight="1">
      <c r="A473" s="188"/>
      <c r="B473" s="189"/>
      <c r="C473" s="131"/>
      <c r="D473" s="155"/>
      <c r="E473" s="190"/>
      <c r="F473" s="190"/>
      <c r="G473" s="190"/>
      <c r="H473" s="155"/>
      <c r="I473" s="190"/>
      <c r="J473" s="155"/>
      <c r="K473" s="155"/>
      <c r="L473" s="155"/>
      <c r="M473" s="155"/>
    </row>
    <row r="474" ht="14.25" customHeight="1">
      <c r="A474" s="188"/>
      <c r="B474" s="189"/>
      <c r="C474" s="131"/>
      <c r="D474" s="155"/>
      <c r="E474" s="190"/>
      <c r="F474" s="190"/>
      <c r="G474" s="190"/>
      <c r="H474" s="155"/>
      <c r="I474" s="190"/>
      <c r="J474" s="155"/>
      <c r="K474" s="155"/>
      <c r="L474" s="155"/>
      <c r="M474" s="155"/>
    </row>
    <row r="475" ht="14.25" customHeight="1">
      <c r="A475" s="188"/>
      <c r="B475" s="189"/>
      <c r="C475" s="131"/>
      <c r="D475" s="155"/>
      <c r="E475" s="190"/>
      <c r="F475" s="190"/>
      <c r="G475" s="190"/>
      <c r="H475" s="155"/>
      <c r="I475" s="190"/>
      <c r="J475" s="155"/>
      <c r="K475" s="155"/>
      <c r="L475" s="155"/>
      <c r="M475" s="155"/>
    </row>
    <row r="476" ht="14.25" customHeight="1">
      <c r="A476" s="188"/>
      <c r="B476" s="189"/>
      <c r="C476" s="131"/>
      <c r="D476" s="155"/>
      <c r="E476" s="190"/>
      <c r="F476" s="190"/>
      <c r="G476" s="190"/>
      <c r="H476" s="155"/>
      <c r="I476" s="190"/>
      <c r="J476" s="155"/>
      <c r="K476" s="155"/>
      <c r="L476" s="155"/>
      <c r="M476" s="155"/>
    </row>
    <row r="477" ht="14.25" customHeight="1">
      <c r="A477" s="188"/>
      <c r="B477" s="189"/>
      <c r="C477" s="131"/>
      <c r="D477" s="155"/>
      <c r="E477" s="190"/>
      <c r="F477" s="190"/>
      <c r="G477" s="190"/>
      <c r="H477" s="155"/>
      <c r="I477" s="190"/>
      <c r="J477" s="155"/>
      <c r="K477" s="155"/>
      <c r="L477" s="155"/>
      <c r="M477" s="155"/>
    </row>
    <row r="478" ht="14.25" customHeight="1">
      <c r="A478" s="188"/>
      <c r="B478" s="189"/>
      <c r="C478" s="131"/>
      <c r="D478" s="155"/>
      <c r="E478" s="190"/>
      <c r="F478" s="190"/>
      <c r="G478" s="190"/>
      <c r="H478" s="155"/>
      <c r="I478" s="190"/>
      <c r="J478" s="155"/>
      <c r="K478" s="155"/>
      <c r="L478" s="155"/>
      <c r="M478" s="155"/>
    </row>
    <row r="479" ht="14.25" customHeight="1">
      <c r="A479" s="188"/>
      <c r="B479" s="189"/>
      <c r="C479" s="131"/>
      <c r="D479" s="155"/>
      <c r="E479" s="190"/>
      <c r="F479" s="190"/>
      <c r="G479" s="190"/>
      <c r="H479" s="155"/>
      <c r="I479" s="190"/>
      <c r="J479" s="155"/>
      <c r="K479" s="155"/>
      <c r="L479" s="155"/>
      <c r="M479" s="155"/>
    </row>
    <row r="480" ht="14.25" customHeight="1">
      <c r="A480" s="188"/>
      <c r="B480" s="189"/>
      <c r="C480" s="131"/>
      <c r="D480" s="155"/>
      <c r="E480" s="190"/>
      <c r="F480" s="190"/>
      <c r="G480" s="190"/>
      <c r="H480" s="155"/>
      <c r="I480" s="190"/>
      <c r="J480" s="155"/>
      <c r="K480" s="155"/>
      <c r="L480" s="155"/>
      <c r="M480" s="155"/>
    </row>
    <row r="481" ht="14.25" customHeight="1">
      <c r="A481" s="188"/>
      <c r="B481" s="189"/>
      <c r="C481" s="131"/>
      <c r="D481" s="155"/>
      <c r="E481" s="190"/>
      <c r="F481" s="190"/>
      <c r="G481" s="190"/>
      <c r="H481" s="155"/>
      <c r="I481" s="190"/>
      <c r="J481" s="155"/>
      <c r="K481" s="155"/>
      <c r="L481" s="155"/>
      <c r="M481" s="155"/>
    </row>
    <row r="482" ht="14.25" customHeight="1">
      <c r="A482" s="188"/>
      <c r="B482" s="189"/>
      <c r="C482" s="131"/>
      <c r="D482" s="155"/>
      <c r="E482" s="190"/>
      <c r="F482" s="190"/>
      <c r="G482" s="190"/>
      <c r="H482" s="155"/>
      <c r="I482" s="190"/>
      <c r="J482" s="155"/>
      <c r="K482" s="155"/>
      <c r="L482" s="155"/>
      <c r="M482" s="155"/>
    </row>
    <row r="483" ht="14.25" customHeight="1">
      <c r="A483" s="188"/>
      <c r="B483" s="189"/>
      <c r="C483" s="131"/>
      <c r="D483" s="155"/>
      <c r="E483" s="190"/>
      <c r="F483" s="190"/>
      <c r="G483" s="190"/>
      <c r="H483" s="155"/>
      <c r="I483" s="190"/>
      <c r="J483" s="155"/>
      <c r="K483" s="155"/>
      <c r="L483" s="155"/>
      <c r="M483" s="155"/>
    </row>
    <row r="484" ht="14.25" customHeight="1">
      <c r="A484" s="188"/>
      <c r="B484" s="189"/>
      <c r="C484" s="131"/>
      <c r="D484" s="155"/>
      <c r="E484" s="190"/>
      <c r="F484" s="190"/>
      <c r="G484" s="190"/>
      <c r="H484" s="155"/>
      <c r="I484" s="190"/>
      <c r="J484" s="155"/>
      <c r="K484" s="155"/>
      <c r="L484" s="155"/>
      <c r="M484" s="155"/>
    </row>
    <row r="485" ht="14.25" customHeight="1">
      <c r="A485" s="188"/>
      <c r="B485" s="189"/>
      <c r="C485" s="131"/>
      <c r="D485" s="155"/>
      <c r="E485" s="190"/>
      <c r="F485" s="190"/>
      <c r="G485" s="190"/>
      <c r="H485" s="155"/>
      <c r="I485" s="190"/>
      <c r="J485" s="155"/>
      <c r="K485" s="155"/>
      <c r="L485" s="155"/>
      <c r="M485" s="155"/>
    </row>
    <row r="486" ht="14.25" customHeight="1">
      <c r="A486" s="188"/>
      <c r="B486" s="189"/>
      <c r="C486" s="131"/>
      <c r="D486" s="155"/>
      <c r="E486" s="190"/>
      <c r="F486" s="190"/>
      <c r="G486" s="190"/>
      <c r="H486" s="155"/>
      <c r="I486" s="190"/>
      <c r="J486" s="155"/>
      <c r="K486" s="155"/>
      <c r="L486" s="155"/>
      <c r="M486" s="155"/>
    </row>
    <row r="487" ht="14.25" customHeight="1">
      <c r="A487" s="188"/>
      <c r="B487" s="189"/>
      <c r="C487" s="131"/>
      <c r="D487" s="155"/>
      <c r="E487" s="190"/>
      <c r="F487" s="190"/>
      <c r="G487" s="190"/>
      <c r="H487" s="155"/>
      <c r="I487" s="190"/>
      <c r="J487" s="155"/>
      <c r="K487" s="155"/>
      <c r="L487" s="155"/>
      <c r="M487" s="155"/>
    </row>
    <row r="488" ht="14.25" customHeight="1">
      <c r="A488" s="188"/>
      <c r="B488" s="189"/>
      <c r="C488" s="131"/>
      <c r="D488" s="155"/>
      <c r="E488" s="190"/>
      <c r="F488" s="190"/>
      <c r="G488" s="190"/>
      <c r="H488" s="155"/>
      <c r="I488" s="190"/>
      <c r="J488" s="155"/>
      <c r="K488" s="155"/>
      <c r="L488" s="155"/>
      <c r="M488" s="155"/>
    </row>
    <row r="489" ht="14.25" customHeight="1">
      <c r="A489" s="188"/>
      <c r="B489" s="189"/>
      <c r="C489" s="131"/>
      <c r="D489" s="155"/>
      <c r="E489" s="190"/>
      <c r="F489" s="190"/>
      <c r="G489" s="190"/>
      <c r="H489" s="155"/>
      <c r="I489" s="190"/>
      <c r="J489" s="155"/>
      <c r="K489" s="155"/>
      <c r="L489" s="155"/>
      <c r="M489" s="155"/>
    </row>
    <row r="490" ht="14.25" customHeight="1">
      <c r="A490" s="188"/>
      <c r="B490" s="189"/>
      <c r="C490" s="131"/>
      <c r="D490" s="155"/>
      <c r="E490" s="190"/>
      <c r="F490" s="190"/>
      <c r="G490" s="190"/>
      <c r="H490" s="155"/>
      <c r="I490" s="190"/>
      <c r="J490" s="155"/>
      <c r="K490" s="155"/>
      <c r="L490" s="155"/>
      <c r="M490" s="155"/>
    </row>
    <row r="491" ht="14.25" customHeight="1">
      <c r="A491" s="188"/>
      <c r="B491" s="189"/>
      <c r="C491" s="131"/>
      <c r="D491" s="155"/>
      <c r="E491" s="190"/>
      <c r="F491" s="190"/>
      <c r="G491" s="190"/>
      <c r="H491" s="155"/>
      <c r="I491" s="190"/>
      <c r="J491" s="155"/>
      <c r="K491" s="155"/>
      <c r="L491" s="155"/>
      <c r="M491" s="155"/>
    </row>
    <row r="492" ht="14.25" customHeight="1">
      <c r="A492" s="188"/>
      <c r="B492" s="189"/>
      <c r="C492" s="131"/>
      <c r="D492" s="155"/>
      <c r="E492" s="190"/>
      <c r="F492" s="190"/>
      <c r="G492" s="190"/>
      <c r="H492" s="155"/>
      <c r="I492" s="190"/>
      <c r="J492" s="155"/>
      <c r="K492" s="155"/>
      <c r="L492" s="155"/>
      <c r="M492" s="155"/>
    </row>
    <row r="493" ht="14.25" customHeight="1">
      <c r="A493" s="188"/>
      <c r="B493" s="189"/>
      <c r="C493" s="131"/>
      <c r="D493" s="155"/>
      <c r="E493" s="190"/>
      <c r="F493" s="190"/>
      <c r="G493" s="190"/>
      <c r="H493" s="155"/>
      <c r="I493" s="190"/>
      <c r="J493" s="155"/>
      <c r="K493" s="155"/>
      <c r="L493" s="155"/>
      <c r="M493" s="155"/>
    </row>
    <row r="494" ht="14.25" customHeight="1">
      <c r="A494" s="188"/>
      <c r="B494" s="189"/>
      <c r="C494" s="131"/>
      <c r="D494" s="155"/>
      <c r="E494" s="190"/>
      <c r="F494" s="190"/>
      <c r="G494" s="190"/>
      <c r="H494" s="155"/>
      <c r="I494" s="190"/>
      <c r="J494" s="155"/>
      <c r="K494" s="155"/>
      <c r="L494" s="155"/>
      <c r="M494" s="155"/>
    </row>
    <row r="495" ht="14.25" customHeight="1">
      <c r="A495" s="188"/>
      <c r="B495" s="189"/>
      <c r="C495" s="131"/>
      <c r="D495" s="155"/>
      <c r="E495" s="190"/>
      <c r="F495" s="190"/>
      <c r="G495" s="190"/>
      <c r="H495" s="155"/>
      <c r="I495" s="190"/>
      <c r="J495" s="155"/>
      <c r="K495" s="155"/>
      <c r="L495" s="155"/>
      <c r="M495" s="155"/>
    </row>
    <row r="496" ht="14.25" customHeight="1">
      <c r="A496" s="188"/>
      <c r="B496" s="189"/>
      <c r="C496" s="131"/>
      <c r="D496" s="155"/>
      <c r="E496" s="190"/>
      <c r="F496" s="190"/>
      <c r="G496" s="190"/>
      <c r="H496" s="155"/>
      <c r="I496" s="190"/>
      <c r="J496" s="155"/>
      <c r="K496" s="155"/>
      <c r="L496" s="155"/>
      <c r="M496" s="155"/>
    </row>
    <row r="497" ht="14.25" customHeight="1">
      <c r="A497" s="188"/>
      <c r="B497" s="189"/>
      <c r="C497" s="131"/>
      <c r="D497" s="155"/>
      <c r="E497" s="190"/>
      <c r="F497" s="190"/>
      <c r="G497" s="190"/>
      <c r="H497" s="155"/>
      <c r="I497" s="190"/>
      <c r="J497" s="155"/>
      <c r="K497" s="155"/>
      <c r="L497" s="155"/>
      <c r="M497" s="155"/>
    </row>
    <row r="498" ht="14.25" customHeight="1">
      <c r="A498" s="188"/>
      <c r="B498" s="189"/>
      <c r="C498" s="131"/>
      <c r="D498" s="155"/>
      <c r="E498" s="190"/>
      <c r="F498" s="190"/>
      <c r="G498" s="190"/>
      <c r="H498" s="155"/>
      <c r="I498" s="190"/>
      <c r="J498" s="155"/>
      <c r="K498" s="155"/>
      <c r="L498" s="155"/>
      <c r="M498" s="155"/>
    </row>
    <row r="499" ht="14.25" customHeight="1">
      <c r="A499" s="188"/>
      <c r="B499" s="189"/>
      <c r="C499" s="131"/>
      <c r="D499" s="155"/>
      <c r="E499" s="190"/>
      <c r="F499" s="190"/>
      <c r="G499" s="190"/>
      <c r="H499" s="155"/>
      <c r="I499" s="190"/>
      <c r="J499" s="155"/>
      <c r="K499" s="155"/>
      <c r="L499" s="155"/>
      <c r="M499" s="155"/>
    </row>
    <row r="500" ht="14.25" customHeight="1">
      <c r="A500" s="188"/>
      <c r="B500" s="189"/>
      <c r="C500" s="131"/>
      <c r="D500" s="155"/>
      <c r="E500" s="190"/>
      <c r="F500" s="190"/>
      <c r="G500" s="190"/>
      <c r="H500" s="155"/>
      <c r="I500" s="190"/>
      <c r="J500" s="155"/>
      <c r="K500" s="155"/>
      <c r="L500" s="155"/>
      <c r="M500" s="155"/>
    </row>
    <row r="501" ht="14.25" customHeight="1">
      <c r="A501" s="188"/>
      <c r="B501" s="189"/>
      <c r="C501" s="131"/>
      <c r="D501" s="155"/>
      <c r="E501" s="190"/>
      <c r="F501" s="190"/>
      <c r="G501" s="190"/>
      <c r="H501" s="155"/>
      <c r="I501" s="190"/>
      <c r="J501" s="155"/>
      <c r="K501" s="155"/>
      <c r="L501" s="155"/>
      <c r="M501" s="155"/>
    </row>
    <row r="502" ht="14.25" customHeight="1">
      <c r="A502" s="188"/>
      <c r="B502" s="189"/>
      <c r="C502" s="131"/>
      <c r="D502" s="155"/>
      <c r="E502" s="190"/>
      <c r="F502" s="190"/>
      <c r="G502" s="190"/>
      <c r="H502" s="155"/>
      <c r="I502" s="190"/>
      <c r="J502" s="155"/>
      <c r="K502" s="155"/>
      <c r="L502" s="155"/>
      <c r="M502" s="155"/>
    </row>
    <row r="503" ht="14.25" customHeight="1">
      <c r="A503" s="188"/>
      <c r="B503" s="189"/>
      <c r="C503" s="131"/>
      <c r="D503" s="155"/>
      <c r="E503" s="190"/>
      <c r="F503" s="190"/>
      <c r="G503" s="190"/>
      <c r="H503" s="155"/>
      <c r="I503" s="190"/>
      <c r="J503" s="155"/>
      <c r="K503" s="155"/>
      <c r="L503" s="155"/>
      <c r="M503" s="155"/>
    </row>
    <row r="504" ht="14.25" customHeight="1">
      <c r="A504" s="188"/>
      <c r="B504" s="189"/>
      <c r="C504" s="131"/>
      <c r="D504" s="155"/>
      <c r="E504" s="190"/>
      <c r="F504" s="190"/>
      <c r="G504" s="190"/>
      <c r="H504" s="155"/>
      <c r="I504" s="190"/>
      <c r="J504" s="155"/>
      <c r="K504" s="155"/>
      <c r="L504" s="155"/>
      <c r="M504" s="155"/>
    </row>
    <row r="505" ht="14.25" customHeight="1">
      <c r="A505" s="188"/>
      <c r="B505" s="189"/>
      <c r="C505" s="131"/>
      <c r="D505" s="155"/>
      <c r="E505" s="190"/>
      <c r="F505" s="190"/>
      <c r="G505" s="190"/>
      <c r="H505" s="155"/>
      <c r="I505" s="190"/>
      <c r="J505" s="155"/>
      <c r="K505" s="155"/>
      <c r="L505" s="155"/>
      <c r="M505" s="155"/>
    </row>
    <row r="506" ht="14.25" customHeight="1">
      <c r="A506" s="188"/>
      <c r="B506" s="189"/>
      <c r="C506" s="131"/>
      <c r="D506" s="155"/>
      <c r="E506" s="190"/>
      <c r="F506" s="190"/>
      <c r="G506" s="190"/>
      <c r="H506" s="155"/>
      <c r="I506" s="190"/>
      <c r="J506" s="155"/>
      <c r="K506" s="155"/>
      <c r="L506" s="155"/>
      <c r="M506" s="155"/>
    </row>
    <row r="507" ht="14.25" customHeight="1">
      <c r="A507" s="188"/>
      <c r="B507" s="189"/>
      <c r="C507" s="131"/>
      <c r="D507" s="155"/>
      <c r="E507" s="190"/>
      <c r="F507" s="190"/>
      <c r="G507" s="190"/>
      <c r="H507" s="155"/>
      <c r="I507" s="190"/>
      <c r="J507" s="155"/>
      <c r="K507" s="155"/>
      <c r="L507" s="155"/>
      <c r="M507" s="155"/>
    </row>
    <row r="508" ht="14.25" customHeight="1">
      <c r="A508" s="188"/>
      <c r="B508" s="189"/>
      <c r="C508" s="131"/>
      <c r="D508" s="155"/>
      <c r="E508" s="190"/>
      <c r="F508" s="190"/>
      <c r="G508" s="190"/>
      <c r="H508" s="155"/>
      <c r="I508" s="190"/>
      <c r="J508" s="155"/>
      <c r="K508" s="155"/>
      <c r="L508" s="155"/>
      <c r="M508" s="155"/>
    </row>
    <row r="509" ht="14.25" customHeight="1">
      <c r="A509" s="188"/>
      <c r="B509" s="189"/>
      <c r="C509" s="131"/>
      <c r="D509" s="155"/>
      <c r="E509" s="190"/>
      <c r="F509" s="190"/>
      <c r="G509" s="190"/>
      <c r="H509" s="155"/>
      <c r="I509" s="190"/>
      <c r="J509" s="155"/>
      <c r="K509" s="155"/>
      <c r="L509" s="155"/>
      <c r="M509" s="155"/>
    </row>
    <row r="510" ht="14.25" customHeight="1">
      <c r="A510" s="188"/>
      <c r="B510" s="189"/>
      <c r="C510" s="131"/>
      <c r="D510" s="155"/>
      <c r="E510" s="190"/>
      <c r="F510" s="190"/>
      <c r="G510" s="190"/>
      <c r="H510" s="155"/>
      <c r="I510" s="190"/>
      <c r="J510" s="155"/>
      <c r="K510" s="155"/>
      <c r="L510" s="155"/>
      <c r="M510" s="155"/>
    </row>
    <row r="511" ht="14.25" customHeight="1">
      <c r="A511" s="188"/>
      <c r="B511" s="189"/>
      <c r="C511" s="131"/>
      <c r="D511" s="155"/>
      <c r="E511" s="190"/>
      <c r="F511" s="190"/>
      <c r="G511" s="190"/>
      <c r="H511" s="155"/>
      <c r="I511" s="190"/>
      <c r="J511" s="155"/>
      <c r="K511" s="155"/>
      <c r="L511" s="155"/>
      <c r="M511" s="155"/>
    </row>
    <row r="512" ht="14.25" customHeight="1">
      <c r="A512" s="188"/>
      <c r="B512" s="189"/>
      <c r="C512" s="131"/>
      <c r="D512" s="155"/>
      <c r="E512" s="190"/>
      <c r="F512" s="190"/>
      <c r="G512" s="190"/>
      <c r="H512" s="155"/>
      <c r="I512" s="190"/>
      <c r="J512" s="155"/>
      <c r="K512" s="155"/>
      <c r="L512" s="155"/>
      <c r="M512" s="155"/>
    </row>
    <row r="513" ht="14.25" customHeight="1">
      <c r="A513" s="188"/>
      <c r="B513" s="189"/>
      <c r="C513" s="131"/>
      <c r="D513" s="155"/>
      <c r="E513" s="190"/>
      <c r="F513" s="190"/>
      <c r="G513" s="190"/>
      <c r="H513" s="155"/>
      <c r="I513" s="190"/>
      <c r="J513" s="155"/>
      <c r="K513" s="155"/>
      <c r="L513" s="155"/>
      <c r="M513" s="155"/>
    </row>
    <row r="514" ht="14.25" customHeight="1">
      <c r="A514" s="188"/>
      <c r="B514" s="189"/>
      <c r="C514" s="131"/>
      <c r="D514" s="155"/>
      <c r="E514" s="190"/>
      <c r="F514" s="190"/>
      <c r="G514" s="190"/>
      <c r="H514" s="155"/>
      <c r="I514" s="190"/>
      <c r="J514" s="155"/>
      <c r="K514" s="155"/>
      <c r="L514" s="155"/>
      <c r="M514" s="155"/>
    </row>
    <row r="515" ht="14.25" customHeight="1">
      <c r="A515" s="188"/>
      <c r="B515" s="189"/>
      <c r="C515" s="131"/>
      <c r="D515" s="155"/>
      <c r="E515" s="190"/>
      <c r="F515" s="190"/>
      <c r="G515" s="190"/>
      <c r="H515" s="155"/>
      <c r="I515" s="190"/>
      <c r="J515" s="155"/>
      <c r="K515" s="155"/>
      <c r="L515" s="155"/>
      <c r="M515" s="155"/>
    </row>
    <row r="516" ht="14.25" customHeight="1">
      <c r="A516" s="188"/>
      <c r="B516" s="189"/>
      <c r="C516" s="131"/>
      <c r="D516" s="155"/>
      <c r="E516" s="190"/>
      <c r="F516" s="190"/>
      <c r="G516" s="190"/>
      <c r="H516" s="155"/>
      <c r="I516" s="190"/>
      <c r="J516" s="155"/>
      <c r="K516" s="155"/>
      <c r="L516" s="155"/>
      <c r="M516" s="155"/>
    </row>
    <row r="517" ht="14.25" customHeight="1">
      <c r="A517" s="188"/>
      <c r="B517" s="189"/>
      <c r="C517" s="131"/>
      <c r="D517" s="155"/>
      <c r="E517" s="190"/>
      <c r="F517" s="190"/>
      <c r="G517" s="190"/>
      <c r="H517" s="155"/>
      <c r="I517" s="190"/>
      <c r="J517" s="155"/>
      <c r="K517" s="155"/>
      <c r="L517" s="155"/>
      <c r="M517" s="155"/>
    </row>
    <row r="518" ht="14.25" customHeight="1">
      <c r="A518" s="188"/>
      <c r="B518" s="189"/>
      <c r="C518" s="131"/>
      <c r="D518" s="155"/>
      <c r="E518" s="190"/>
      <c r="F518" s="190"/>
      <c r="G518" s="190"/>
      <c r="H518" s="155"/>
      <c r="I518" s="190"/>
      <c r="J518" s="155"/>
      <c r="K518" s="155"/>
      <c r="L518" s="155"/>
      <c r="M518" s="155"/>
    </row>
    <row r="519" ht="14.25" customHeight="1">
      <c r="A519" s="188"/>
      <c r="B519" s="189"/>
      <c r="C519" s="131"/>
      <c r="D519" s="155"/>
      <c r="E519" s="190"/>
      <c r="F519" s="190"/>
      <c r="G519" s="190"/>
      <c r="H519" s="155"/>
      <c r="I519" s="190"/>
      <c r="J519" s="155"/>
      <c r="K519" s="155"/>
      <c r="L519" s="155"/>
      <c r="M519" s="155"/>
    </row>
    <row r="520" ht="14.25" customHeight="1">
      <c r="A520" s="188"/>
      <c r="B520" s="189"/>
      <c r="C520" s="131"/>
      <c r="D520" s="155"/>
      <c r="E520" s="190"/>
      <c r="F520" s="190"/>
      <c r="G520" s="190"/>
      <c r="H520" s="155"/>
      <c r="I520" s="190"/>
      <c r="J520" s="155"/>
      <c r="K520" s="155"/>
      <c r="L520" s="155"/>
      <c r="M520" s="155"/>
    </row>
    <row r="521" ht="14.25" customHeight="1">
      <c r="A521" s="188"/>
      <c r="B521" s="189"/>
      <c r="C521" s="131"/>
      <c r="D521" s="155"/>
      <c r="E521" s="190"/>
      <c r="F521" s="190"/>
      <c r="G521" s="190"/>
      <c r="H521" s="155"/>
      <c r="I521" s="190"/>
      <c r="J521" s="155"/>
      <c r="K521" s="155"/>
      <c r="L521" s="155"/>
      <c r="M521" s="155"/>
    </row>
    <row r="522" ht="14.25" customHeight="1">
      <c r="A522" s="188"/>
      <c r="B522" s="189"/>
      <c r="C522" s="131"/>
      <c r="D522" s="155"/>
      <c r="E522" s="190"/>
      <c r="F522" s="190"/>
      <c r="G522" s="190"/>
      <c r="H522" s="155"/>
      <c r="I522" s="190"/>
      <c r="J522" s="155"/>
      <c r="K522" s="155"/>
      <c r="L522" s="155"/>
      <c r="M522" s="155"/>
    </row>
    <row r="523" ht="14.25" customHeight="1">
      <c r="A523" s="188"/>
      <c r="B523" s="189"/>
      <c r="C523" s="131"/>
      <c r="D523" s="155"/>
      <c r="E523" s="190"/>
      <c r="F523" s="190"/>
      <c r="G523" s="190"/>
      <c r="H523" s="155"/>
      <c r="I523" s="190"/>
      <c r="J523" s="155"/>
      <c r="K523" s="155"/>
      <c r="L523" s="155"/>
      <c r="M523" s="155"/>
    </row>
    <row r="524" ht="14.25" customHeight="1">
      <c r="A524" s="188"/>
      <c r="B524" s="189"/>
      <c r="C524" s="131"/>
      <c r="D524" s="155"/>
      <c r="E524" s="190"/>
      <c r="F524" s="190"/>
      <c r="G524" s="190"/>
      <c r="H524" s="155"/>
      <c r="I524" s="190"/>
      <c r="J524" s="155"/>
      <c r="K524" s="155"/>
      <c r="L524" s="155"/>
      <c r="M524" s="155"/>
    </row>
    <row r="525" ht="14.25" customHeight="1">
      <c r="A525" s="188"/>
      <c r="B525" s="189"/>
      <c r="C525" s="131"/>
      <c r="D525" s="155"/>
      <c r="E525" s="190"/>
      <c r="F525" s="190"/>
      <c r="G525" s="190"/>
      <c r="H525" s="155"/>
      <c r="I525" s="190"/>
      <c r="J525" s="155"/>
      <c r="K525" s="155"/>
      <c r="L525" s="155"/>
      <c r="M525" s="155"/>
    </row>
    <row r="526" ht="14.25" customHeight="1">
      <c r="A526" s="188"/>
      <c r="B526" s="189"/>
      <c r="C526" s="131"/>
      <c r="D526" s="155"/>
      <c r="E526" s="190"/>
      <c r="F526" s="190"/>
      <c r="G526" s="190"/>
      <c r="H526" s="155"/>
      <c r="I526" s="190"/>
      <c r="J526" s="155"/>
      <c r="K526" s="155"/>
      <c r="L526" s="155"/>
      <c r="M526" s="155"/>
    </row>
    <row r="527" ht="14.25" customHeight="1">
      <c r="A527" s="188"/>
      <c r="B527" s="189"/>
      <c r="C527" s="131"/>
      <c r="D527" s="155"/>
      <c r="E527" s="190"/>
      <c r="F527" s="190"/>
      <c r="G527" s="190"/>
      <c r="H527" s="155"/>
      <c r="I527" s="190"/>
      <c r="J527" s="155"/>
      <c r="K527" s="155"/>
      <c r="L527" s="155"/>
      <c r="M527" s="155"/>
    </row>
    <row r="528" ht="14.25" customHeight="1">
      <c r="A528" s="188"/>
      <c r="B528" s="189"/>
      <c r="C528" s="131"/>
      <c r="D528" s="155"/>
      <c r="E528" s="190"/>
      <c r="F528" s="190"/>
      <c r="G528" s="190"/>
      <c r="H528" s="155"/>
      <c r="I528" s="190"/>
      <c r="J528" s="155"/>
      <c r="K528" s="155"/>
      <c r="L528" s="155"/>
      <c r="M528" s="155"/>
    </row>
    <row r="529" ht="14.25" customHeight="1">
      <c r="A529" s="188"/>
      <c r="B529" s="189"/>
      <c r="C529" s="131"/>
      <c r="D529" s="155"/>
      <c r="E529" s="190"/>
      <c r="F529" s="190"/>
      <c r="G529" s="190"/>
      <c r="H529" s="155"/>
      <c r="I529" s="190"/>
      <c r="J529" s="155"/>
      <c r="K529" s="155"/>
      <c r="L529" s="155"/>
      <c r="M529" s="155"/>
    </row>
    <row r="530" ht="14.25" customHeight="1">
      <c r="A530" s="188"/>
      <c r="B530" s="189"/>
      <c r="C530" s="131"/>
      <c r="D530" s="155"/>
      <c r="E530" s="190"/>
      <c r="F530" s="190"/>
      <c r="G530" s="190"/>
      <c r="H530" s="155"/>
      <c r="I530" s="190"/>
      <c r="J530" s="155"/>
      <c r="K530" s="155"/>
      <c r="L530" s="155"/>
      <c r="M530" s="155"/>
    </row>
    <row r="531" ht="14.25" customHeight="1">
      <c r="A531" s="188"/>
      <c r="B531" s="189"/>
      <c r="C531" s="131"/>
      <c r="D531" s="155"/>
      <c r="E531" s="190"/>
      <c r="F531" s="190"/>
      <c r="G531" s="190"/>
      <c r="H531" s="155"/>
      <c r="I531" s="190"/>
      <c r="J531" s="155"/>
      <c r="K531" s="155"/>
      <c r="L531" s="155"/>
      <c r="M531" s="155"/>
    </row>
    <row r="532" ht="14.25" customHeight="1">
      <c r="A532" s="188"/>
      <c r="B532" s="189"/>
      <c r="C532" s="131"/>
      <c r="D532" s="155"/>
      <c r="E532" s="190"/>
      <c r="F532" s="190"/>
      <c r="G532" s="190"/>
      <c r="H532" s="155"/>
      <c r="I532" s="190"/>
      <c r="J532" s="155"/>
      <c r="K532" s="155"/>
      <c r="L532" s="155"/>
      <c r="M532" s="155"/>
    </row>
    <row r="533" ht="14.25" customHeight="1">
      <c r="A533" s="188"/>
      <c r="B533" s="189"/>
      <c r="C533" s="131"/>
      <c r="D533" s="155"/>
      <c r="E533" s="190"/>
      <c r="F533" s="190"/>
      <c r="G533" s="190"/>
      <c r="H533" s="155"/>
      <c r="I533" s="190"/>
      <c r="J533" s="155"/>
      <c r="K533" s="155"/>
      <c r="L533" s="155"/>
      <c r="M533" s="155"/>
    </row>
    <row r="534" ht="14.25" customHeight="1">
      <c r="A534" s="188"/>
      <c r="B534" s="189"/>
      <c r="C534" s="131"/>
      <c r="D534" s="155"/>
      <c r="E534" s="190"/>
      <c r="F534" s="190"/>
      <c r="G534" s="190"/>
      <c r="H534" s="155"/>
      <c r="I534" s="190"/>
      <c r="J534" s="155"/>
      <c r="K534" s="155"/>
      <c r="L534" s="155"/>
      <c r="M534" s="155"/>
    </row>
    <row r="535" ht="14.25" customHeight="1">
      <c r="A535" s="188"/>
      <c r="B535" s="189"/>
      <c r="C535" s="131"/>
      <c r="D535" s="155"/>
      <c r="E535" s="190"/>
      <c r="F535" s="190"/>
      <c r="G535" s="190"/>
      <c r="H535" s="155"/>
      <c r="I535" s="190"/>
      <c r="J535" s="155"/>
      <c r="K535" s="155"/>
      <c r="L535" s="155"/>
      <c r="M535" s="155"/>
    </row>
    <row r="536" ht="14.25" customHeight="1">
      <c r="A536" s="188"/>
      <c r="B536" s="189"/>
      <c r="C536" s="131"/>
      <c r="D536" s="155"/>
      <c r="E536" s="190"/>
      <c r="F536" s="190"/>
      <c r="G536" s="190"/>
      <c r="H536" s="155"/>
      <c r="I536" s="190"/>
      <c r="J536" s="155"/>
      <c r="K536" s="155"/>
      <c r="L536" s="155"/>
      <c r="M536" s="155"/>
    </row>
    <row r="537" ht="14.25" customHeight="1">
      <c r="A537" s="188"/>
      <c r="B537" s="189"/>
      <c r="C537" s="131"/>
      <c r="D537" s="155"/>
      <c r="E537" s="190"/>
      <c r="F537" s="190"/>
      <c r="G537" s="190"/>
      <c r="H537" s="155"/>
      <c r="I537" s="190"/>
      <c r="J537" s="155"/>
      <c r="K537" s="155"/>
      <c r="L537" s="155"/>
      <c r="M537" s="155"/>
    </row>
    <row r="538" ht="14.25" customHeight="1">
      <c r="A538" s="188"/>
      <c r="B538" s="189"/>
      <c r="C538" s="131"/>
      <c r="D538" s="155"/>
      <c r="E538" s="190"/>
      <c r="F538" s="190"/>
      <c r="G538" s="190"/>
      <c r="H538" s="155"/>
      <c r="I538" s="190"/>
      <c r="J538" s="155"/>
      <c r="K538" s="155"/>
      <c r="L538" s="155"/>
      <c r="M538" s="155"/>
    </row>
    <row r="539" ht="14.25" customHeight="1">
      <c r="A539" s="188"/>
      <c r="B539" s="189"/>
      <c r="C539" s="131"/>
      <c r="D539" s="155"/>
      <c r="E539" s="190"/>
      <c r="F539" s="190"/>
      <c r="G539" s="190"/>
      <c r="H539" s="155"/>
      <c r="I539" s="190"/>
      <c r="J539" s="155"/>
      <c r="K539" s="155"/>
      <c r="L539" s="155"/>
      <c r="M539" s="155"/>
    </row>
    <row r="540" ht="14.25" customHeight="1">
      <c r="A540" s="188"/>
      <c r="B540" s="189"/>
      <c r="C540" s="131"/>
      <c r="D540" s="155"/>
      <c r="E540" s="190"/>
      <c r="F540" s="190"/>
      <c r="G540" s="190"/>
      <c r="H540" s="155"/>
      <c r="I540" s="190"/>
      <c r="J540" s="155"/>
      <c r="K540" s="155"/>
      <c r="L540" s="155"/>
      <c r="M540" s="155"/>
    </row>
    <row r="541" ht="14.25" customHeight="1">
      <c r="A541" s="188"/>
      <c r="B541" s="189"/>
      <c r="C541" s="131"/>
      <c r="D541" s="155"/>
      <c r="E541" s="190"/>
      <c r="F541" s="190"/>
      <c r="G541" s="190"/>
      <c r="H541" s="155"/>
      <c r="I541" s="190"/>
      <c r="J541" s="155"/>
      <c r="K541" s="155"/>
      <c r="L541" s="155"/>
      <c r="M541" s="155"/>
    </row>
    <row r="542" ht="14.25" customHeight="1">
      <c r="A542" s="188"/>
      <c r="B542" s="189"/>
      <c r="C542" s="131"/>
      <c r="D542" s="155"/>
      <c r="E542" s="190"/>
      <c r="F542" s="190"/>
      <c r="G542" s="190"/>
      <c r="H542" s="155"/>
      <c r="I542" s="190"/>
      <c r="J542" s="155"/>
      <c r="K542" s="155"/>
      <c r="L542" s="155"/>
      <c r="M542" s="155"/>
    </row>
    <row r="543" ht="14.25" customHeight="1">
      <c r="A543" s="188"/>
      <c r="B543" s="189"/>
      <c r="C543" s="131"/>
      <c r="D543" s="155"/>
      <c r="E543" s="190"/>
      <c r="F543" s="190"/>
      <c r="G543" s="190"/>
      <c r="H543" s="155"/>
      <c r="I543" s="190"/>
      <c r="J543" s="155"/>
      <c r="K543" s="155"/>
      <c r="L543" s="155"/>
      <c r="M543" s="155"/>
    </row>
    <row r="544" ht="14.25" customHeight="1">
      <c r="A544" s="188"/>
      <c r="B544" s="189"/>
      <c r="C544" s="131"/>
      <c r="D544" s="155"/>
      <c r="E544" s="190"/>
      <c r="F544" s="190"/>
      <c r="G544" s="190"/>
      <c r="H544" s="155"/>
      <c r="I544" s="190"/>
      <c r="J544" s="155"/>
      <c r="K544" s="155"/>
      <c r="L544" s="155"/>
      <c r="M544" s="155"/>
    </row>
    <row r="545" ht="14.25" customHeight="1">
      <c r="A545" s="188"/>
      <c r="B545" s="189"/>
      <c r="C545" s="131"/>
      <c r="D545" s="155"/>
      <c r="E545" s="190"/>
      <c r="F545" s="190"/>
      <c r="G545" s="190"/>
      <c r="H545" s="155"/>
      <c r="I545" s="190"/>
      <c r="J545" s="155"/>
      <c r="K545" s="155"/>
      <c r="L545" s="155"/>
      <c r="M545" s="155"/>
    </row>
    <row r="546" ht="14.25" customHeight="1">
      <c r="A546" s="188"/>
      <c r="B546" s="189"/>
      <c r="C546" s="131"/>
      <c r="D546" s="155"/>
      <c r="E546" s="190"/>
      <c r="F546" s="190"/>
      <c r="G546" s="190"/>
      <c r="H546" s="155"/>
      <c r="I546" s="190"/>
      <c r="J546" s="155"/>
      <c r="K546" s="155"/>
      <c r="L546" s="155"/>
      <c r="M546" s="155"/>
    </row>
    <row r="547" ht="14.25" customHeight="1">
      <c r="A547" s="188"/>
      <c r="B547" s="189"/>
      <c r="C547" s="131"/>
      <c r="D547" s="155"/>
      <c r="E547" s="190"/>
      <c r="F547" s="190"/>
      <c r="G547" s="190"/>
      <c r="H547" s="155"/>
      <c r="I547" s="190"/>
      <c r="J547" s="155"/>
      <c r="K547" s="155"/>
      <c r="L547" s="155"/>
      <c r="M547" s="155"/>
    </row>
    <row r="548" ht="14.25" customHeight="1">
      <c r="A548" s="188"/>
      <c r="B548" s="189"/>
      <c r="C548" s="131"/>
      <c r="D548" s="155"/>
      <c r="E548" s="190"/>
      <c r="F548" s="190"/>
      <c r="G548" s="190"/>
      <c r="H548" s="155"/>
      <c r="I548" s="190"/>
      <c r="J548" s="155"/>
      <c r="K548" s="155"/>
      <c r="L548" s="155"/>
      <c r="M548" s="155"/>
    </row>
    <row r="549" ht="14.25" customHeight="1">
      <c r="A549" s="188"/>
      <c r="B549" s="189"/>
      <c r="C549" s="131"/>
      <c r="D549" s="155"/>
      <c r="E549" s="190"/>
      <c r="F549" s="190"/>
      <c r="G549" s="190"/>
      <c r="H549" s="155"/>
      <c r="I549" s="190"/>
      <c r="J549" s="155"/>
      <c r="K549" s="155"/>
      <c r="L549" s="155"/>
      <c r="M549" s="155"/>
    </row>
    <row r="550" ht="14.25" customHeight="1">
      <c r="A550" s="188"/>
      <c r="B550" s="189"/>
      <c r="C550" s="131"/>
      <c r="D550" s="155"/>
      <c r="E550" s="190"/>
      <c r="F550" s="190"/>
      <c r="G550" s="190"/>
      <c r="H550" s="155"/>
      <c r="I550" s="190"/>
      <c r="J550" s="155"/>
      <c r="K550" s="155"/>
      <c r="L550" s="155"/>
      <c r="M550" s="155"/>
    </row>
    <row r="551" ht="14.25" customHeight="1">
      <c r="A551" s="188"/>
      <c r="B551" s="189"/>
      <c r="C551" s="131"/>
      <c r="D551" s="155"/>
      <c r="E551" s="190"/>
      <c r="F551" s="190"/>
      <c r="G551" s="190"/>
      <c r="H551" s="155"/>
      <c r="I551" s="190"/>
      <c r="J551" s="155"/>
      <c r="K551" s="155"/>
      <c r="L551" s="155"/>
      <c r="M551" s="155"/>
    </row>
    <row r="552" ht="14.25" customHeight="1">
      <c r="A552" s="188"/>
      <c r="B552" s="189"/>
      <c r="C552" s="131"/>
      <c r="D552" s="155"/>
      <c r="E552" s="190"/>
      <c r="F552" s="190"/>
      <c r="G552" s="190"/>
      <c r="H552" s="155"/>
      <c r="I552" s="190"/>
      <c r="J552" s="155"/>
      <c r="K552" s="155"/>
      <c r="L552" s="155"/>
      <c r="M552" s="155"/>
    </row>
    <row r="553" ht="14.25" customHeight="1">
      <c r="A553" s="188"/>
      <c r="B553" s="189"/>
      <c r="C553" s="131"/>
      <c r="D553" s="155"/>
      <c r="E553" s="190"/>
      <c r="F553" s="190"/>
      <c r="G553" s="190"/>
      <c r="H553" s="155"/>
      <c r="I553" s="190"/>
      <c r="J553" s="155"/>
      <c r="K553" s="155"/>
      <c r="L553" s="155"/>
      <c r="M553" s="155"/>
    </row>
    <row r="554" ht="14.25" customHeight="1">
      <c r="A554" s="188"/>
      <c r="B554" s="189"/>
      <c r="C554" s="131"/>
      <c r="D554" s="155"/>
      <c r="E554" s="190"/>
      <c r="F554" s="190"/>
      <c r="G554" s="190"/>
      <c r="H554" s="155"/>
      <c r="I554" s="190"/>
      <c r="J554" s="155"/>
      <c r="K554" s="155"/>
      <c r="L554" s="155"/>
      <c r="M554" s="155"/>
    </row>
    <row r="555" ht="14.25" customHeight="1">
      <c r="A555" s="188"/>
      <c r="B555" s="189"/>
      <c r="C555" s="131"/>
      <c r="D555" s="155"/>
      <c r="E555" s="190"/>
      <c r="F555" s="190"/>
      <c r="G555" s="190"/>
      <c r="H555" s="155"/>
      <c r="I555" s="190"/>
      <c r="J555" s="155"/>
      <c r="K555" s="155"/>
      <c r="L555" s="155"/>
      <c r="M555" s="155"/>
    </row>
    <row r="556" ht="14.25" customHeight="1">
      <c r="A556" s="188"/>
      <c r="B556" s="189"/>
      <c r="C556" s="131"/>
      <c r="D556" s="155"/>
      <c r="E556" s="190"/>
      <c r="F556" s="190"/>
      <c r="G556" s="190"/>
      <c r="H556" s="155"/>
      <c r="I556" s="190"/>
      <c r="J556" s="155"/>
      <c r="K556" s="155"/>
      <c r="L556" s="155"/>
      <c r="M556" s="155"/>
    </row>
    <row r="557" ht="14.25" customHeight="1">
      <c r="A557" s="188"/>
      <c r="B557" s="189"/>
      <c r="C557" s="131"/>
      <c r="D557" s="155"/>
      <c r="E557" s="190"/>
      <c r="F557" s="190"/>
      <c r="G557" s="190"/>
      <c r="H557" s="155"/>
      <c r="I557" s="190"/>
      <c r="J557" s="155"/>
      <c r="K557" s="155"/>
      <c r="L557" s="155"/>
      <c r="M557" s="155"/>
    </row>
    <row r="558" ht="14.25" customHeight="1">
      <c r="A558" s="188"/>
      <c r="B558" s="189"/>
      <c r="C558" s="131"/>
      <c r="D558" s="155"/>
      <c r="E558" s="190"/>
      <c r="F558" s="190"/>
      <c r="G558" s="190"/>
      <c r="H558" s="155"/>
      <c r="I558" s="190"/>
      <c r="J558" s="155"/>
      <c r="K558" s="155"/>
      <c r="L558" s="155"/>
      <c r="M558" s="155"/>
    </row>
    <row r="559" ht="14.25" customHeight="1">
      <c r="A559" s="188"/>
      <c r="B559" s="189"/>
      <c r="C559" s="131"/>
      <c r="D559" s="155"/>
      <c r="E559" s="190"/>
      <c r="F559" s="190"/>
      <c r="G559" s="190"/>
      <c r="H559" s="155"/>
      <c r="I559" s="190"/>
      <c r="J559" s="155"/>
      <c r="K559" s="155"/>
      <c r="L559" s="155"/>
      <c r="M559" s="155"/>
    </row>
    <row r="560" ht="14.25" customHeight="1">
      <c r="A560" s="188"/>
      <c r="B560" s="189"/>
      <c r="C560" s="131"/>
      <c r="D560" s="155"/>
      <c r="E560" s="190"/>
      <c r="F560" s="190"/>
      <c r="G560" s="190"/>
      <c r="H560" s="155"/>
      <c r="I560" s="190"/>
      <c r="J560" s="155"/>
      <c r="K560" s="155"/>
      <c r="L560" s="155"/>
      <c r="M560" s="155"/>
    </row>
    <row r="561" ht="14.25" customHeight="1">
      <c r="A561" s="188"/>
      <c r="B561" s="189"/>
      <c r="C561" s="131"/>
      <c r="D561" s="155"/>
      <c r="E561" s="190"/>
      <c r="F561" s="190"/>
      <c r="G561" s="190"/>
      <c r="H561" s="155"/>
      <c r="I561" s="190"/>
      <c r="J561" s="155"/>
      <c r="K561" s="155"/>
      <c r="L561" s="155"/>
      <c r="M561" s="155"/>
    </row>
    <row r="562" ht="14.25" customHeight="1">
      <c r="A562" s="188"/>
      <c r="B562" s="189"/>
      <c r="C562" s="131"/>
      <c r="D562" s="155"/>
      <c r="E562" s="190"/>
      <c r="F562" s="190"/>
      <c r="G562" s="190"/>
      <c r="H562" s="155"/>
      <c r="I562" s="190"/>
      <c r="J562" s="155"/>
      <c r="K562" s="155"/>
      <c r="L562" s="155"/>
      <c r="M562" s="155"/>
    </row>
    <row r="563" ht="14.25" customHeight="1">
      <c r="A563" s="188"/>
      <c r="B563" s="189"/>
      <c r="C563" s="131"/>
      <c r="D563" s="155"/>
      <c r="E563" s="190"/>
      <c r="F563" s="190"/>
      <c r="G563" s="190"/>
      <c r="H563" s="155"/>
      <c r="I563" s="190"/>
      <c r="J563" s="155"/>
      <c r="K563" s="155"/>
      <c r="L563" s="155"/>
      <c r="M563" s="155"/>
    </row>
    <row r="564" ht="14.25" customHeight="1">
      <c r="A564" s="188"/>
      <c r="B564" s="189"/>
      <c r="C564" s="131"/>
      <c r="D564" s="155"/>
      <c r="E564" s="190"/>
      <c r="F564" s="190"/>
      <c r="G564" s="190"/>
      <c r="H564" s="155"/>
      <c r="I564" s="190"/>
      <c r="J564" s="155"/>
      <c r="K564" s="155"/>
      <c r="L564" s="155"/>
      <c r="M564" s="155"/>
    </row>
    <row r="565" ht="14.25" customHeight="1">
      <c r="A565" s="188"/>
      <c r="B565" s="189"/>
      <c r="C565" s="131"/>
      <c r="D565" s="155"/>
      <c r="E565" s="190"/>
      <c r="F565" s="190"/>
      <c r="G565" s="190"/>
      <c r="H565" s="155"/>
      <c r="I565" s="190"/>
      <c r="J565" s="155"/>
      <c r="K565" s="155"/>
      <c r="L565" s="155"/>
      <c r="M565" s="155"/>
    </row>
    <row r="566" ht="14.25" customHeight="1">
      <c r="A566" s="188"/>
      <c r="B566" s="189"/>
      <c r="C566" s="131"/>
      <c r="D566" s="155"/>
      <c r="E566" s="190"/>
      <c r="F566" s="190"/>
      <c r="G566" s="190"/>
      <c r="H566" s="155"/>
      <c r="I566" s="190"/>
      <c r="J566" s="155"/>
      <c r="K566" s="155"/>
      <c r="L566" s="155"/>
      <c r="M566" s="155"/>
    </row>
    <row r="567" ht="14.25" customHeight="1">
      <c r="A567" s="188"/>
      <c r="B567" s="189"/>
      <c r="C567" s="131"/>
      <c r="D567" s="155"/>
      <c r="E567" s="190"/>
      <c r="F567" s="190"/>
      <c r="G567" s="190"/>
      <c r="H567" s="155"/>
      <c r="I567" s="190"/>
      <c r="J567" s="155"/>
      <c r="K567" s="155"/>
      <c r="L567" s="155"/>
      <c r="M567" s="155"/>
    </row>
    <row r="568" ht="14.25" customHeight="1">
      <c r="A568" s="188"/>
      <c r="B568" s="189"/>
      <c r="C568" s="131"/>
      <c r="D568" s="155"/>
      <c r="E568" s="190"/>
      <c r="F568" s="190"/>
      <c r="G568" s="190"/>
      <c r="H568" s="155"/>
      <c r="I568" s="190"/>
      <c r="J568" s="155"/>
      <c r="K568" s="155"/>
      <c r="L568" s="155"/>
      <c r="M568" s="155"/>
    </row>
    <row r="569" ht="14.25" customHeight="1">
      <c r="A569" s="188"/>
      <c r="B569" s="189"/>
      <c r="C569" s="131"/>
      <c r="D569" s="155"/>
      <c r="E569" s="190"/>
      <c r="F569" s="190"/>
      <c r="G569" s="190"/>
      <c r="H569" s="155"/>
      <c r="I569" s="190"/>
      <c r="J569" s="155"/>
      <c r="K569" s="155"/>
      <c r="L569" s="155"/>
      <c r="M569" s="155"/>
    </row>
    <row r="570" ht="14.25" customHeight="1">
      <c r="A570" s="188"/>
      <c r="B570" s="189"/>
      <c r="C570" s="131"/>
      <c r="D570" s="155"/>
      <c r="E570" s="190"/>
      <c r="F570" s="190"/>
      <c r="G570" s="190"/>
      <c r="H570" s="155"/>
      <c r="I570" s="190"/>
      <c r="J570" s="155"/>
      <c r="K570" s="155"/>
      <c r="L570" s="155"/>
      <c r="M570" s="155"/>
    </row>
    <row r="571" ht="14.25" customHeight="1">
      <c r="A571" s="188"/>
      <c r="B571" s="189"/>
      <c r="C571" s="131"/>
      <c r="D571" s="155"/>
      <c r="E571" s="190"/>
      <c r="F571" s="190"/>
      <c r="G571" s="190"/>
      <c r="H571" s="155"/>
      <c r="I571" s="190"/>
      <c r="J571" s="155"/>
      <c r="K571" s="155"/>
      <c r="L571" s="155"/>
      <c r="M571" s="155"/>
    </row>
    <row r="572" ht="14.25" customHeight="1">
      <c r="A572" s="188"/>
      <c r="B572" s="189"/>
      <c r="C572" s="131"/>
      <c r="D572" s="155"/>
      <c r="E572" s="190"/>
      <c r="F572" s="190"/>
      <c r="G572" s="190"/>
      <c r="H572" s="155"/>
      <c r="I572" s="190"/>
      <c r="J572" s="155"/>
      <c r="K572" s="155"/>
      <c r="L572" s="155"/>
      <c r="M572" s="155"/>
    </row>
    <row r="573" ht="14.25" customHeight="1">
      <c r="A573" s="188"/>
      <c r="B573" s="189"/>
      <c r="C573" s="131"/>
      <c r="D573" s="155"/>
      <c r="E573" s="190"/>
      <c r="F573" s="190"/>
      <c r="G573" s="190"/>
      <c r="H573" s="155"/>
      <c r="I573" s="190"/>
      <c r="J573" s="155"/>
      <c r="K573" s="155"/>
      <c r="L573" s="155"/>
      <c r="M573" s="155"/>
    </row>
    <row r="574" ht="14.25" customHeight="1">
      <c r="A574" s="188"/>
      <c r="B574" s="189"/>
      <c r="C574" s="131"/>
      <c r="D574" s="155"/>
      <c r="E574" s="190"/>
      <c r="F574" s="190"/>
      <c r="G574" s="190"/>
      <c r="H574" s="155"/>
      <c r="I574" s="190"/>
      <c r="J574" s="155"/>
      <c r="K574" s="155"/>
      <c r="L574" s="155"/>
      <c r="M574" s="155"/>
    </row>
    <row r="575" ht="14.25" customHeight="1">
      <c r="A575" s="188"/>
      <c r="B575" s="189"/>
      <c r="C575" s="131"/>
      <c r="D575" s="155"/>
      <c r="E575" s="190"/>
      <c r="F575" s="190"/>
      <c r="G575" s="190"/>
      <c r="H575" s="155"/>
      <c r="I575" s="190"/>
      <c r="J575" s="155"/>
      <c r="K575" s="155"/>
      <c r="L575" s="155"/>
      <c r="M575" s="155"/>
    </row>
    <row r="576" ht="14.25" customHeight="1">
      <c r="A576" s="188"/>
      <c r="B576" s="189"/>
      <c r="C576" s="131"/>
      <c r="D576" s="155"/>
      <c r="E576" s="190"/>
      <c r="F576" s="190"/>
      <c r="G576" s="190"/>
      <c r="H576" s="155"/>
      <c r="I576" s="190"/>
      <c r="J576" s="155"/>
      <c r="K576" s="155"/>
      <c r="L576" s="155"/>
      <c r="M576" s="155"/>
    </row>
    <row r="577" ht="14.25" customHeight="1">
      <c r="A577" s="188"/>
      <c r="B577" s="189"/>
      <c r="C577" s="131"/>
      <c r="D577" s="155"/>
      <c r="E577" s="190"/>
      <c r="F577" s="190"/>
      <c r="G577" s="190"/>
      <c r="H577" s="155"/>
      <c r="I577" s="190"/>
      <c r="J577" s="155"/>
      <c r="K577" s="155"/>
      <c r="L577" s="155"/>
      <c r="M577" s="155"/>
    </row>
    <row r="578" ht="14.25" customHeight="1">
      <c r="A578" s="188"/>
      <c r="B578" s="189"/>
      <c r="C578" s="131"/>
      <c r="D578" s="155"/>
      <c r="E578" s="190"/>
      <c r="F578" s="190"/>
      <c r="G578" s="190"/>
      <c r="H578" s="155"/>
      <c r="I578" s="190"/>
      <c r="J578" s="155"/>
      <c r="K578" s="155"/>
      <c r="L578" s="155"/>
      <c r="M578" s="155"/>
    </row>
    <row r="579" ht="14.25" customHeight="1">
      <c r="A579" s="188"/>
      <c r="B579" s="189"/>
      <c r="C579" s="131"/>
      <c r="D579" s="155"/>
      <c r="E579" s="190"/>
      <c r="F579" s="190"/>
      <c r="G579" s="190"/>
      <c r="H579" s="155"/>
      <c r="I579" s="190"/>
      <c r="J579" s="155"/>
      <c r="K579" s="155"/>
      <c r="L579" s="155"/>
      <c r="M579" s="155"/>
    </row>
    <row r="580" ht="14.25" customHeight="1">
      <c r="A580" s="188"/>
      <c r="B580" s="189"/>
      <c r="C580" s="131"/>
      <c r="D580" s="155"/>
      <c r="E580" s="190"/>
      <c r="F580" s="190"/>
      <c r="G580" s="190"/>
      <c r="H580" s="155"/>
      <c r="I580" s="190"/>
      <c r="J580" s="155"/>
      <c r="K580" s="155"/>
      <c r="L580" s="155"/>
      <c r="M580" s="155"/>
    </row>
    <row r="581" ht="14.25" customHeight="1">
      <c r="A581" s="188"/>
      <c r="B581" s="189"/>
      <c r="C581" s="131"/>
      <c r="D581" s="155"/>
      <c r="E581" s="190"/>
      <c r="F581" s="190"/>
      <c r="G581" s="190"/>
      <c r="H581" s="155"/>
      <c r="I581" s="190"/>
      <c r="J581" s="155"/>
      <c r="K581" s="155"/>
      <c r="L581" s="155"/>
      <c r="M581" s="155"/>
    </row>
    <row r="582" ht="14.25" customHeight="1">
      <c r="A582" s="188"/>
      <c r="B582" s="189"/>
      <c r="C582" s="131"/>
      <c r="D582" s="155"/>
      <c r="E582" s="190"/>
      <c r="F582" s="190"/>
      <c r="G582" s="190"/>
      <c r="H582" s="155"/>
      <c r="I582" s="190"/>
      <c r="J582" s="155"/>
      <c r="K582" s="155"/>
      <c r="L582" s="155"/>
      <c r="M582" s="155"/>
    </row>
    <row r="583" ht="14.25" customHeight="1">
      <c r="A583" s="188"/>
      <c r="B583" s="189"/>
      <c r="C583" s="131"/>
      <c r="D583" s="155"/>
      <c r="E583" s="190"/>
      <c r="F583" s="190"/>
      <c r="G583" s="190"/>
      <c r="H583" s="155"/>
      <c r="I583" s="190"/>
      <c r="J583" s="155"/>
      <c r="K583" s="155"/>
      <c r="L583" s="155"/>
      <c r="M583" s="155"/>
    </row>
    <row r="584" ht="14.25" customHeight="1">
      <c r="A584" s="188"/>
      <c r="B584" s="189"/>
      <c r="C584" s="131"/>
      <c r="D584" s="155"/>
      <c r="E584" s="190"/>
      <c r="F584" s="190"/>
      <c r="G584" s="190"/>
      <c r="H584" s="155"/>
      <c r="I584" s="190"/>
      <c r="J584" s="155"/>
      <c r="K584" s="155"/>
      <c r="L584" s="155"/>
      <c r="M584" s="155"/>
    </row>
    <row r="585" ht="14.25" customHeight="1">
      <c r="A585" s="188"/>
      <c r="B585" s="189"/>
      <c r="C585" s="131"/>
      <c r="D585" s="155"/>
      <c r="E585" s="190"/>
      <c r="F585" s="190"/>
      <c r="G585" s="190"/>
      <c r="H585" s="155"/>
      <c r="I585" s="190"/>
      <c r="J585" s="155"/>
      <c r="K585" s="155"/>
      <c r="L585" s="155"/>
      <c r="M585" s="155"/>
    </row>
    <row r="586" ht="14.25" customHeight="1">
      <c r="A586" s="188"/>
      <c r="B586" s="189"/>
      <c r="C586" s="131"/>
      <c r="D586" s="155"/>
      <c r="E586" s="190"/>
      <c r="F586" s="190"/>
      <c r="G586" s="190"/>
      <c r="H586" s="155"/>
      <c r="I586" s="190"/>
      <c r="J586" s="155"/>
      <c r="K586" s="155"/>
      <c r="L586" s="155"/>
      <c r="M586" s="155"/>
    </row>
    <row r="587" ht="14.25" customHeight="1">
      <c r="A587" s="188"/>
      <c r="B587" s="189"/>
      <c r="C587" s="131"/>
      <c r="D587" s="155"/>
      <c r="E587" s="190"/>
      <c r="F587" s="190"/>
      <c r="G587" s="190"/>
      <c r="H587" s="155"/>
      <c r="I587" s="190"/>
      <c r="J587" s="155"/>
      <c r="K587" s="155"/>
      <c r="L587" s="155"/>
      <c r="M587" s="155"/>
    </row>
    <row r="588" ht="14.25" customHeight="1">
      <c r="A588" s="188"/>
      <c r="B588" s="189"/>
      <c r="C588" s="131"/>
      <c r="D588" s="155"/>
      <c r="E588" s="190"/>
      <c r="F588" s="190"/>
      <c r="G588" s="190"/>
      <c r="H588" s="155"/>
      <c r="I588" s="190"/>
      <c r="J588" s="155"/>
      <c r="K588" s="155"/>
      <c r="L588" s="155"/>
      <c r="M588" s="155"/>
    </row>
    <row r="589" ht="14.25" customHeight="1">
      <c r="A589" s="188"/>
      <c r="B589" s="189"/>
      <c r="C589" s="131"/>
      <c r="D589" s="155"/>
      <c r="E589" s="190"/>
      <c r="F589" s="190"/>
      <c r="G589" s="190"/>
      <c r="H589" s="155"/>
      <c r="I589" s="190"/>
      <c r="J589" s="155"/>
      <c r="K589" s="155"/>
      <c r="L589" s="155"/>
      <c r="M589" s="155"/>
    </row>
    <row r="590" ht="14.25" customHeight="1">
      <c r="A590" s="188"/>
      <c r="B590" s="189"/>
      <c r="C590" s="131"/>
      <c r="D590" s="155"/>
      <c r="E590" s="190"/>
      <c r="F590" s="190"/>
      <c r="G590" s="190"/>
      <c r="H590" s="155"/>
      <c r="I590" s="190"/>
      <c r="J590" s="155"/>
      <c r="K590" s="155"/>
      <c r="L590" s="155"/>
      <c r="M590" s="155"/>
    </row>
    <row r="591" ht="14.25" customHeight="1">
      <c r="A591" s="188"/>
      <c r="B591" s="189"/>
      <c r="C591" s="131"/>
      <c r="D591" s="155"/>
      <c r="E591" s="190"/>
      <c r="F591" s="190"/>
      <c r="G591" s="190"/>
      <c r="H591" s="155"/>
      <c r="I591" s="190"/>
      <c r="J591" s="155"/>
      <c r="K591" s="155"/>
      <c r="L591" s="155"/>
      <c r="M591" s="155"/>
    </row>
    <row r="592" ht="14.25" customHeight="1">
      <c r="A592" s="188"/>
      <c r="B592" s="189"/>
      <c r="C592" s="131"/>
      <c r="D592" s="155"/>
      <c r="E592" s="190"/>
      <c r="F592" s="190"/>
      <c r="G592" s="190"/>
      <c r="H592" s="155"/>
      <c r="I592" s="190"/>
      <c r="J592" s="155"/>
      <c r="K592" s="155"/>
      <c r="L592" s="155"/>
      <c r="M592" s="155"/>
    </row>
    <row r="593" ht="14.25" customHeight="1">
      <c r="A593" s="188"/>
      <c r="B593" s="189"/>
      <c r="C593" s="131"/>
      <c r="D593" s="155"/>
      <c r="E593" s="190"/>
      <c r="F593" s="190"/>
      <c r="G593" s="190"/>
      <c r="H593" s="155"/>
      <c r="I593" s="190"/>
      <c r="J593" s="155"/>
      <c r="K593" s="155"/>
      <c r="L593" s="155"/>
      <c r="M593" s="155"/>
    </row>
    <row r="594" ht="14.25" customHeight="1">
      <c r="A594" s="188"/>
      <c r="B594" s="189"/>
      <c r="C594" s="131"/>
      <c r="D594" s="155"/>
      <c r="E594" s="190"/>
      <c r="F594" s="190"/>
      <c r="G594" s="190"/>
      <c r="H594" s="155"/>
      <c r="I594" s="190"/>
      <c r="J594" s="155"/>
      <c r="K594" s="155"/>
      <c r="L594" s="155"/>
      <c r="M594" s="155"/>
    </row>
    <row r="595" ht="14.25" customHeight="1">
      <c r="A595" s="188"/>
      <c r="B595" s="189"/>
      <c r="C595" s="131"/>
      <c r="D595" s="155"/>
      <c r="E595" s="190"/>
      <c r="F595" s="190"/>
      <c r="G595" s="190"/>
      <c r="H595" s="155"/>
      <c r="I595" s="190"/>
      <c r="J595" s="155"/>
      <c r="K595" s="155"/>
      <c r="L595" s="155"/>
      <c r="M595" s="155"/>
    </row>
    <row r="596" ht="14.25" customHeight="1">
      <c r="A596" s="188"/>
      <c r="B596" s="189"/>
      <c r="C596" s="131"/>
      <c r="D596" s="155"/>
      <c r="E596" s="190"/>
      <c r="F596" s="190"/>
      <c r="G596" s="190"/>
      <c r="H596" s="155"/>
      <c r="I596" s="190"/>
      <c r="J596" s="155"/>
      <c r="K596" s="155"/>
      <c r="L596" s="155"/>
      <c r="M596" s="155"/>
    </row>
    <row r="597" ht="14.25" customHeight="1">
      <c r="A597" s="188"/>
      <c r="B597" s="189"/>
      <c r="C597" s="131"/>
      <c r="D597" s="155"/>
      <c r="E597" s="190"/>
      <c r="F597" s="190"/>
      <c r="G597" s="190"/>
      <c r="H597" s="155"/>
      <c r="I597" s="190"/>
      <c r="J597" s="155"/>
      <c r="K597" s="155"/>
      <c r="L597" s="155"/>
      <c r="M597" s="155"/>
    </row>
    <row r="598" ht="14.25" customHeight="1">
      <c r="A598" s="188"/>
      <c r="B598" s="189"/>
      <c r="C598" s="131"/>
      <c r="D598" s="155"/>
      <c r="E598" s="190"/>
      <c r="F598" s="190"/>
      <c r="G598" s="190"/>
      <c r="H598" s="155"/>
      <c r="I598" s="190"/>
      <c r="J598" s="155"/>
      <c r="K598" s="155"/>
      <c r="L598" s="155"/>
      <c r="M598" s="155"/>
    </row>
    <row r="599" ht="14.25" customHeight="1">
      <c r="A599" s="188"/>
      <c r="B599" s="189"/>
      <c r="C599" s="131"/>
      <c r="D599" s="155"/>
      <c r="E599" s="190"/>
      <c r="F599" s="190"/>
      <c r="G599" s="190"/>
      <c r="H599" s="155"/>
      <c r="I599" s="190"/>
      <c r="J599" s="155"/>
      <c r="K599" s="155"/>
      <c r="L599" s="155"/>
      <c r="M599" s="155"/>
    </row>
    <row r="600" ht="14.25" customHeight="1">
      <c r="A600" s="188"/>
      <c r="B600" s="189"/>
      <c r="C600" s="131"/>
      <c r="D600" s="155"/>
      <c r="E600" s="190"/>
      <c r="F600" s="190"/>
      <c r="G600" s="190"/>
      <c r="H600" s="155"/>
      <c r="I600" s="190"/>
      <c r="J600" s="155"/>
      <c r="K600" s="155"/>
      <c r="L600" s="155"/>
      <c r="M600" s="155"/>
    </row>
    <row r="601" ht="14.25" customHeight="1">
      <c r="A601" s="188"/>
      <c r="B601" s="189"/>
      <c r="C601" s="131"/>
      <c r="D601" s="155"/>
      <c r="E601" s="190"/>
      <c r="F601" s="190"/>
      <c r="G601" s="190"/>
      <c r="H601" s="155"/>
      <c r="I601" s="190"/>
      <c r="J601" s="155"/>
      <c r="K601" s="155"/>
      <c r="L601" s="155"/>
      <c r="M601" s="155"/>
    </row>
    <row r="602" ht="14.25" customHeight="1">
      <c r="A602" s="188"/>
      <c r="B602" s="189"/>
      <c r="C602" s="131"/>
      <c r="D602" s="155"/>
      <c r="E602" s="190"/>
      <c r="F602" s="190"/>
      <c r="G602" s="190"/>
      <c r="H602" s="155"/>
      <c r="I602" s="190"/>
      <c r="J602" s="155"/>
      <c r="K602" s="155"/>
      <c r="L602" s="155"/>
      <c r="M602" s="155"/>
    </row>
    <row r="603" ht="14.25" customHeight="1">
      <c r="A603" s="188"/>
      <c r="B603" s="189"/>
      <c r="C603" s="131"/>
      <c r="D603" s="155"/>
      <c r="E603" s="190"/>
      <c r="F603" s="190"/>
      <c r="G603" s="190"/>
      <c r="H603" s="155"/>
      <c r="I603" s="190"/>
      <c r="J603" s="155"/>
      <c r="K603" s="155"/>
      <c r="L603" s="155"/>
      <c r="M603" s="155"/>
    </row>
    <row r="604" ht="14.25" customHeight="1">
      <c r="A604" s="188"/>
      <c r="B604" s="189"/>
      <c r="C604" s="131"/>
      <c r="D604" s="155"/>
      <c r="E604" s="190"/>
      <c r="F604" s="190"/>
      <c r="G604" s="190"/>
      <c r="H604" s="155"/>
      <c r="I604" s="190"/>
      <c r="J604" s="155"/>
      <c r="K604" s="155"/>
      <c r="L604" s="155"/>
      <c r="M604" s="155"/>
    </row>
    <row r="605" ht="14.25" customHeight="1">
      <c r="A605" s="188"/>
      <c r="B605" s="189"/>
      <c r="C605" s="131"/>
      <c r="D605" s="155"/>
      <c r="E605" s="190"/>
      <c r="F605" s="190"/>
      <c r="G605" s="190"/>
      <c r="H605" s="155"/>
      <c r="I605" s="190"/>
      <c r="J605" s="155"/>
      <c r="K605" s="155"/>
      <c r="L605" s="155"/>
      <c r="M605" s="155"/>
    </row>
    <row r="606" ht="14.25" customHeight="1">
      <c r="A606" s="188"/>
      <c r="B606" s="189"/>
      <c r="C606" s="131"/>
      <c r="D606" s="155"/>
      <c r="E606" s="190"/>
      <c r="F606" s="190"/>
      <c r="G606" s="190"/>
      <c r="H606" s="155"/>
      <c r="I606" s="190"/>
      <c r="J606" s="155"/>
      <c r="K606" s="155"/>
      <c r="L606" s="155"/>
      <c r="M606" s="155"/>
    </row>
    <row r="607" ht="14.25" customHeight="1">
      <c r="A607" s="188"/>
      <c r="B607" s="189"/>
      <c r="C607" s="131"/>
      <c r="D607" s="155"/>
      <c r="E607" s="190"/>
      <c r="F607" s="190"/>
      <c r="G607" s="190"/>
      <c r="H607" s="155"/>
      <c r="I607" s="190"/>
      <c r="J607" s="155"/>
      <c r="K607" s="155"/>
      <c r="L607" s="155"/>
      <c r="M607" s="155"/>
    </row>
    <row r="608" ht="14.25" customHeight="1">
      <c r="A608" s="188"/>
      <c r="B608" s="189"/>
      <c r="C608" s="131"/>
      <c r="D608" s="155"/>
      <c r="E608" s="190"/>
      <c r="F608" s="190"/>
      <c r="G608" s="190"/>
      <c r="H608" s="155"/>
      <c r="I608" s="190"/>
      <c r="J608" s="155"/>
      <c r="K608" s="155"/>
      <c r="L608" s="155"/>
      <c r="M608" s="155"/>
    </row>
    <row r="609" ht="14.25" customHeight="1">
      <c r="A609" s="188"/>
      <c r="B609" s="189"/>
      <c r="C609" s="131"/>
      <c r="D609" s="155"/>
      <c r="E609" s="190"/>
      <c r="F609" s="190"/>
      <c r="G609" s="190"/>
      <c r="H609" s="155"/>
      <c r="I609" s="190"/>
      <c r="J609" s="155"/>
      <c r="K609" s="155"/>
      <c r="L609" s="155"/>
      <c r="M609" s="155"/>
    </row>
    <row r="610" ht="14.25" customHeight="1">
      <c r="A610" s="188"/>
      <c r="B610" s="189"/>
      <c r="C610" s="131"/>
      <c r="D610" s="155"/>
      <c r="E610" s="190"/>
      <c r="F610" s="190"/>
      <c r="G610" s="190"/>
      <c r="H610" s="155"/>
      <c r="I610" s="190"/>
      <c r="J610" s="155"/>
      <c r="K610" s="155"/>
      <c r="L610" s="155"/>
      <c r="M610" s="155"/>
    </row>
    <row r="611" ht="14.25" customHeight="1">
      <c r="A611" s="188"/>
      <c r="B611" s="189"/>
      <c r="C611" s="131"/>
      <c r="D611" s="155"/>
      <c r="E611" s="190"/>
      <c r="F611" s="190"/>
      <c r="G611" s="190"/>
      <c r="H611" s="155"/>
      <c r="I611" s="190"/>
      <c r="J611" s="155"/>
      <c r="K611" s="155"/>
      <c r="L611" s="155"/>
      <c r="M611" s="155"/>
    </row>
    <row r="612" ht="14.25" customHeight="1">
      <c r="A612" s="188"/>
      <c r="B612" s="189"/>
      <c r="C612" s="131"/>
      <c r="D612" s="155"/>
      <c r="E612" s="190"/>
      <c r="F612" s="190"/>
      <c r="G612" s="190"/>
      <c r="H612" s="155"/>
      <c r="I612" s="190"/>
      <c r="J612" s="155"/>
      <c r="K612" s="155"/>
      <c r="L612" s="155"/>
      <c r="M612" s="155"/>
    </row>
    <row r="613" ht="14.25" customHeight="1">
      <c r="A613" s="188"/>
      <c r="B613" s="189"/>
      <c r="C613" s="131"/>
      <c r="D613" s="155"/>
      <c r="E613" s="190"/>
      <c r="F613" s="190"/>
      <c r="G613" s="190"/>
      <c r="H613" s="155"/>
      <c r="I613" s="190"/>
      <c r="J613" s="155"/>
      <c r="K613" s="155"/>
      <c r="L613" s="155"/>
      <c r="M613" s="155"/>
    </row>
    <row r="614" ht="14.25" customHeight="1">
      <c r="A614" s="188"/>
      <c r="B614" s="189"/>
      <c r="C614" s="131"/>
      <c r="D614" s="155"/>
      <c r="E614" s="190"/>
      <c r="F614" s="190"/>
      <c r="G614" s="190"/>
      <c r="H614" s="155"/>
      <c r="I614" s="190"/>
      <c r="J614" s="155"/>
      <c r="K614" s="155"/>
      <c r="L614" s="155"/>
      <c r="M614" s="155"/>
    </row>
    <row r="615" ht="14.25" customHeight="1">
      <c r="A615" s="188"/>
      <c r="B615" s="189"/>
      <c r="C615" s="131"/>
      <c r="D615" s="155"/>
      <c r="E615" s="190"/>
      <c r="F615" s="190"/>
      <c r="G615" s="190"/>
      <c r="H615" s="155"/>
      <c r="I615" s="190"/>
      <c r="J615" s="155"/>
      <c r="K615" s="155"/>
      <c r="L615" s="155"/>
      <c r="M615" s="155"/>
    </row>
    <row r="616" ht="14.25" customHeight="1">
      <c r="A616" s="188"/>
      <c r="B616" s="189"/>
      <c r="C616" s="131"/>
      <c r="D616" s="155"/>
      <c r="E616" s="190"/>
      <c r="F616" s="190"/>
      <c r="G616" s="190"/>
      <c r="H616" s="155"/>
      <c r="I616" s="190"/>
      <c r="J616" s="155"/>
      <c r="K616" s="155"/>
      <c r="L616" s="155"/>
      <c r="M616" s="155"/>
    </row>
    <row r="617" ht="14.25" customHeight="1">
      <c r="A617" s="188"/>
      <c r="B617" s="189"/>
      <c r="C617" s="131"/>
      <c r="D617" s="155"/>
      <c r="E617" s="190"/>
      <c r="F617" s="190"/>
      <c r="G617" s="190"/>
      <c r="H617" s="155"/>
      <c r="I617" s="190"/>
      <c r="J617" s="155"/>
      <c r="K617" s="155"/>
      <c r="L617" s="155"/>
      <c r="M617" s="155"/>
    </row>
    <row r="618" ht="14.25" customHeight="1">
      <c r="A618" s="188"/>
      <c r="B618" s="189"/>
      <c r="C618" s="131"/>
      <c r="D618" s="155"/>
      <c r="E618" s="190"/>
      <c r="F618" s="190"/>
      <c r="G618" s="190"/>
      <c r="H618" s="155"/>
      <c r="I618" s="190"/>
      <c r="J618" s="155"/>
      <c r="K618" s="155"/>
      <c r="L618" s="155"/>
      <c r="M618" s="155"/>
    </row>
    <row r="619" ht="14.25" customHeight="1">
      <c r="A619" s="188"/>
      <c r="B619" s="189"/>
      <c r="C619" s="131"/>
      <c r="D619" s="155"/>
      <c r="E619" s="190"/>
      <c r="F619" s="190"/>
      <c r="G619" s="190"/>
      <c r="H619" s="155"/>
      <c r="I619" s="190"/>
      <c r="J619" s="155"/>
      <c r="K619" s="155"/>
      <c r="L619" s="155"/>
      <c r="M619" s="155"/>
    </row>
    <row r="620" ht="14.25" customHeight="1">
      <c r="A620" s="188"/>
      <c r="B620" s="189"/>
      <c r="C620" s="131"/>
      <c r="D620" s="155"/>
      <c r="E620" s="190"/>
      <c r="F620" s="190"/>
      <c r="G620" s="190"/>
      <c r="H620" s="155"/>
      <c r="I620" s="190"/>
      <c r="J620" s="155"/>
      <c r="K620" s="155"/>
      <c r="L620" s="155"/>
      <c r="M620" s="155"/>
    </row>
    <row r="621" ht="14.25" customHeight="1">
      <c r="A621" s="188"/>
      <c r="B621" s="189"/>
      <c r="C621" s="131"/>
      <c r="D621" s="155"/>
      <c r="E621" s="190"/>
      <c r="F621" s="190"/>
      <c r="G621" s="190"/>
      <c r="H621" s="155"/>
      <c r="I621" s="190"/>
      <c r="J621" s="155"/>
      <c r="K621" s="155"/>
      <c r="L621" s="155"/>
      <c r="M621" s="155"/>
    </row>
    <row r="622" ht="14.25" customHeight="1">
      <c r="A622" s="188"/>
      <c r="B622" s="189"/>
      <c r="C622" s="131"/>
      <c r="D622" s="155"/>
      <c r="E622" s="190"/>
      <c r="F622" s="190"/>
      <c r="G622" s="190"/>
      <c r="H622" s="155"/>
      <c r="I622" s="190"/>
      <c r="J622" s="155"/>
      <c r="K622" s="155"/>
      <c r="L622" s="155"/>
      <c r="M622" s="155"/>
    </row>
    <row r="623" ht="14.25" customHeight="1">
      <c r="A623" s="188"/>
      <c r="B623" s="189"/>
      <c r="C623" s="131"/>
      <c r="D623" s="155"/>
      <c r="E623" s="190"/>
      <c r="F623" s="190"/>
      <c r="G623" s="190"/>
      <c r="H623" s="155"/>
      <c r="I623" s="190"/>
      <c r="J623" s="155"/>
      <c r="K623" s="155"/>
      <c r="L623" s="155"/>
      <c r="M623" s="155"/>
    </row>
    <row r="624" ht="14.25" customHeight="1">
      <c r="A624" s="188"/>
      <c r="B624" s="189"/>
      <c r="C624" s="131"/>
      <c r="D624" s="155"/>
      <c r="E624" s="190"/>
      <c r="F624" s="190"/>
      <c r="G624" s="190"/>
      <c r="H624" s="155"/>
      <c r="I624" s="190"/>
      <c r="J624" s="155"/>
      <c r="K624" s="155"/>
      <c r="L624" s="155"/>
      <c r="M624" s="155"/>
    </row>
    <row r="625" ht="14.25" customHeight="1">
      <c r="A625" s="188"/>
      <c r="B625" s="189"/>
      <c r="C625" s="131"/>
      <c r="D625" s="155"/>
      <c r="E625" s="190"/>
      <c r="F625" s="190"/>
      <c r="G625" s="190"/>
      <c r="H625" s="155"/>
      <c r="I625" s="190"/>
      <c r="J625" s="155"/>
      <c r="K625" s="155"/>
      <c r="L625" s="155"/>
      <c r="M625" s="155"/>
    </row>
    <row r="626" ht="14.25" customHeight="1">
      <c r="A626" s="188"/>
      <c r="B626" s="189"/>
      <c r="C626" s="131"/>
      <c r="D626" s="155"/>
      <c r="E626" s="190"/>
      <c r="F626" s="190"/>
      <c r="G626" s="190"/>
      <c r="H626" s="155"/>
      <c r="I626" s="190"/>
      <c r="J626" s="155"/>
      <c r="K626" s="155"/>
      <c r="L626" s="155"/>
      <c r="M626" s="155"/>
    </row>
    <row r="627" ht="14.25" customHeight="1">
      <c r="A627" s="188"/>
      <c r="B627" s="189"/>
      <c r="C627" s="131"/>
      <c r="D627" s="155"/>
      <c r="E627" s="190"/>
      <c r="F627" s="190"/>
      <c r="G627" s="190"/>
      <c r="H627" s="155"/>
      <c r="I627" s="190"/>
      <c r="J627" s="155"/>
      <c r="K627" s="155"/>
      <c r="L627" s="155"/>
      <c r="M627" s="155"/>
    </row>
    <row r="628" ht="14.25" customHeight="1">
      <c r="A628" s="188"/>
      <c r="B628" s="189"/>
      <c r="C628" s="131"/>
      <c r="D628" s="155"/>
      <c r="E628" s="190"/>
      <c r="F628" s="190"/>
      <c r="G628" s="190"/>
      <c r="H628" s="155"/>
      <c r="I628" s="190"/>
      <c r="J628" s="155"/>
      <c r="K628" s="155"/>
      <c r="L628" s="155"/>
      <c r="M628" s="155"/>
    </row>
    <row r="629" ht="14.25" customHeight="1">
      <c r="A629" s="188"/>
      <c r="B629" s="189"/>
      <c r="C629" s="131"/>
      <c r="D629" s="155"/>
      <c r="E629" s="190"/>
      <c r="F629" s="190"/>
      <c r="G629" s="190"/>
      <c r="H629" s="155"/>
      <c r="I629" s="190"/>
      <c r="J629" s="155"/>
      <c r="K629" s="155"/>
      <c r="L629" s="155"/>
      <c r="M629" s="155"/>
    </row>
    <row r="630" ht="14.25" customHeight="1">
      <c r="A630" s="188"/>
      <c r="B630" s="189"/>
      <c r="C630" s="131"/>
      <c r="D630" s="155"/>
      <c r="E630" s="190"/>
      <c r="F630" s="190"/>
      <c r="G630" s="190"/>
      <c r="H630" s="155"/>
      <c r="I630" s="190"/>
      <c r="J630" s="155"/>
      <c r="K630" s="155"/>
      <c r="L630" s="155"/>
      <c r="M630" s="155"/>
    </row>
    <row r="631" ht="14.25" customHeight="1">
      <c r="A631" s="188"/>
      <c r="B631" s="189"/>
      <c r="C631" s="131"/>
      <c r="D631" s="155"/>
      <c r="E631" s="190"/>
      <c r="F631" s="190"/>
      <c r="G631" s="190"/>
      <c r="H631" s="155"/>
      <c r="I631" s="190"/>
      <c r="J631" s="155"/>
      <c r="K631" s="155"/>
      <c r="L631" s="155"/>
      <c r="M631" s="155"/>
    </row>
    <row r="632" ht="14.25" customHeight="1">
      <c r="A632" s="188"/>
      <c r="B632" s="189"/>
      <c r="C632" s="131"/>
      <c r="D632" s="155"/>
      <c r="E632" s="190"/>
      <c r="F632" s="190"/>
      <c r="G632" s="190"/>
      <c r="H632" s="155"/>
      <c r="I632" s="190"/>
      <c r="J632" s="155"/>
      <c r="K632" s="155"/>
      <c r="L632" s="155"/>
      <c r="M632" s="155"/>
    </row>
    <row r="633" ht="14.25" customHeight="1">
      <c r="A633" s="188"/>
      <c r="B633" s="189"/>
      <c r="C633" s="131"/>
      <c r="D633" s="155"/>
      <c r="E633" s="190"/>
      <c r="F633" s="190"/>
      <c r="G633" s="190"/>
      <c r="H633" s="155"/>
      <c r="I633" s="190"/>
      <c r="J633" s="155"/>
      <c r="K633" s="155"/>
      <c r="L633" s="155"/>
      <c r="M633" s="155"/>
    </row>
    <row r="634" ht="14.25" customHeight="1">
      <c r="A634" s="188"/>
      <c r="B634" s="189"/>
      <c r="C634" s="131"/>
      <c r="D634" s="155"/>
      <c r="E634" s="190"/>
      <c r="F634" s="190"/>
      <c r="G634" s="190"/>
      <c r="H634" s="155"/>
      <c r="I634" s="190"/>
      <c r="J634" s="155"/>
      <c r="K634" s="155"/>
      <c r="L634" s="155"/>
      <c r="M634" s="155"/>
    </row>
    <row r="635" ht="14.25" customHeight="1">
      <c r="A635" s="188"/>
      <c r="B635" s="189"/>
      <c r="C635" s="131"/>
      <c r="D635" s="155"/>
      <c r="E635" s="190"/>
      <c r="F635" s="190"/>
      <c r="G635" s="190"/>
      <c r="H635" s="155"/>
      <c r="I635" s="190"/>
      <c r="J635" s="155"/>
      <c r="K635" s="155"/>
      <c r="L635" s="155"/>
      <c r="M635" s="155"/>
    </row>
    <row r="636" ht="14.25" customHeight="1">
      <c r="A636" s="188"/>
      <c r="B636" s="189"/>
      <c r="C636" s="131"/>
      <c r="D636" s="155"/>
      <c r="E636" s="190"/>
      <c r="F636" s="190"/>
      <c r="G636" s="190"/>
      <c r="H636" s="155"/>
      <c r="I636" s="190"/>
      <c r="J636" s="155"/>
      <c r="K636" s="155"/>
      <c r="L636" s="155"/>
      <c r="M636" s="155"/>
    </row>
    <row r="637" ht="14.25" customHeight="1">
      <c r="A637" s="188"/>
      <c r="B637" s="189"/>
      <c r="C637" s="131"/>
      <c r="D637" s="155"/>
      <c r="E637" s="190"/>
      <c r="F637" s="190"/>
      <c r="G637" s="190"/>
      <c r="H637" s="155"/>
      <c r="I637" s="190"/>
      <c r="J637" s="155"/>
      <c r="K637" s="155"/>
      <c r="L637" s="155"/>
      <c r="M637" s="155"/>
    </row>
    <row r="638" ht="14.25" customHeight="1">
      <c r="A638" s="188"/>
      <c r="B638" s="189"/>
      <c r="C638" s="131"/>
      <c r="D638" s="155"/>
      <c r="E638" s="190"/>
      <c r="F638" s="190"/>
      <c r="G638" s="190"/>
      <c r="H638" s="155"/>
      <c r="I638" s="190"/>
      <c r="J638" s="155"/>
      <c r="K638" s="155"/>
      <c r="L638" s="155"/>
      <c r="M638" s="155"/>
    </row>
    <row r="639" ht="14.25" customHeight="1">
      <c r="A639" s="188"/>
      <c r="B639" s="189"/>
      <c r="C639" s="131"/>
      <c r="D639" s="155"/>
      <c r="E639" s="190"/>
      <c r="F639" s="190"/>
      <c r="G639" s="190"/>
      <c r="H639" s="155"/>
      <c r="I639" s="190"/>
      <c r="J639" s="155"/>
      <c r="K639" s="155"/>
      <c r="L639" s="155"/>
      <c r="M639" s="155"/>
    </row>
    <row r="640" ht="14.25" customHeight="1">
      <c r="A640" s="188"/>
      <c r="B640" s="189"/>
      <c r="C640" s="131"/>
      <c r="D640" s="155"/>
      <c r="E640" s="190"/>
      <c r="F640" s="190"/>
      <c r="G640" s="190"/>
      <c r="H640" s="155"/>
      <c r="I640" s="190"/>
      <c r="J640" s="155"/>
      <c r="K640" s="155"/>
      <c r="L640" s="155"/>
      <c r="M640" s="155"/>
    </row>
    <row r="641" ht="14.25" customHeight="1">
      <c r="A641" s="188"/>
      <c r="B641" s="189"/>
      <c r="C641" s="131"/>
      <c r="D641" s="155"/>
      <c r="E641" s="190"/>
      <c r="F641" s="190"/>
      <c r="G641" s="190"/>
      <c r="H641" s="155"/>
      <c r="I641" s="190"/>
      <c r="J641" s="155"/>
      <c r="K641" s="155"/>
      <c r="L641" s="155"/>
      <c r="M641" s="155"/>
    </row>
    <row r="642" ht="14.25" customHeight="1">
      <c r="A642" s="188"/>
      <c r="B642" s="189"/>
      <c r="C642" s="131"/>
      <c r="D642" s="155"/>
      <c r="E642" s="190"/>
      <c r="F642" s="190"/>
      <c r="G642" s="190"/>
      <c r="H642" s="155"/>
      <c r="I642" s="190"/>
      <c r="J642" s="155"/>
      <c r="K642" s="155"/>
      <c r="L642" s="155"/>
      <c r="M642" s="155"/>
    </row>
    <row r="643" ht="14.25" customHeight="1">
      <c r="A643" s="188"/>
      <c r="B643" s="189"/>
      <c r="C643" s="131"/>
      <c r="D643" s="155"/>
      <c r="E643" s="190"/>
      <c r="F643" s="190"/>
      <c r="G643" s="190"/>
      <c r="H643" s="155"/>
      <c r="I643" s="190"/>
      <c r="J643" s="155"/>
      <c r="K643" s="155"/>
      <c r="L643" s="155"/>
      <c r="M643" s="155"/>
    </row>
    <row r="644" ht="14.25" customHeight="1">
      <c r="A644" s="188"/>
      <c r="B644" s="189"/>
      <c r="C644" s="131"/>
      <c r="D644" s="155"/>
      <c r="E644" s="190"/>
      <c r="F644" s="190"/>
      <c r="G644" s="190"/>
      <c r="H644" s="155"/>
      <c r="I644" s="190"/>
      <c r="J644" s="155"/>
      <c r="K644" s="155"/>
      <c r="L644" s="155"/>
      <c r="M644" s="155"/>
    </row>
    <row r="645" ht="14.25" customHeight="1">
      <c r="A645" s="188"/>
      <c r="B645" s="189"/>
      <c r="C645" s="131"/>
      <c r="D645" s="155"/>
      <c r="E645" s="190"/>
      <c r="F645" s="190"/>
      <c r="G645" s="190"/>
      <c r="H645" s="155"/>
      <c r="I645" s="190"/>
      <c r="J645" s="155"/>
      <c r="K645" s="155"/>
      <c r="L645" s="155"/>
      <c r="M645" s="155"/>
    </row>
    <row r="646" ht="14.25" customHeight="1">
      <c r="A646" s="188"/>
      <c r="B646" s="189"/>
      <c r="C646" s="131"/>
      <c r="D646" s="155"/>
      <c r="E646" s="190"/>
      <c r="F646" s="190"/>
      <c r="G646" s="190"/>
      <c r="H646" s="155"/>
      <c r="I646" s="190"/>
      <c r="J646" s="155"/>
      <c r="K646" s="155"/>
      <c r="L646" s="155"/>
      <c r="M646" s="155"/>
    </row>
    <row r="647" ht="14.25" customHeight="1">
      <c r="A647" s="188"/>
      <c r="B647" s="189"/>
      <c r="C647" s="131"/>
      <c r="D647" s="155"/>
      <c r="E647" s="190"/>
      <c r="F647" s="190"/>
      <c r="G647" s="190"/>
      <c r="H647" s="155"/>
      <c r="I647" s="190"/>
      <c r="J647" s="155"/>
      <c r="K647" s="155"/>
      <c r="L647" s="155"/>
      <c r="M647" s="155"/>
    </row>
    <row r="648" ht="14.25" customHeight="1">
      <c r="A648" s="188"/>
      <c r="B648" s="189"/>
      <c r="C648" s="131"/>
      <c r="D648" s="155"/>
      <c r="E648" s="190"/>
      <c r="F648" s="190"/>
      <c r="G648" s="190"/>
      <c r="H648" s="155"/>
      <c r="I648" s="190"/>
      <c r="J648" s="155"/>
      <c r="K648" s="155"/>
      <c r="L648" s="155"/>
      <c r="M648" s="155"/>
    </row>
    <row r="649" ht="14.25" customHeight="1">
      <c r="A649" s="188"/>
      <c r="B649" s="189"/>
      <c r="C649" s="131"/>
      <c r="D649" s="155"/>
      <c r="E649" s="190"/>
      <c r="F649" s="190"/>
      <c r="G649" s="190"/>
      <c r="H649" s="155"/>
      <c r="I649" s="190"/>
      <c r="J649" s="155"/>
      <c r="K649" s="155"/>
      <c r="L649" s="155"/>
      <c r="M649" s="155"/>
    </row>
    <row r="650" ht="14.25" customHeight="1">
      <c r="A650" s="188"/>
      <c r="B650" s="189"/>
      <c r="C650" s="131"/>
      <c r="D650" s="155"/>
      <c r="E650" s="190"/>
      <c r="F650" s="190"/>
      <c r="G650" s="190"/>
      <c r="H650" s="155"/>
      <c r="I650" s="190"/>
      <c r="J650" s="155"/>
      <c r="K650" s="155"/>
      <c r="L650" s="155"/>
      <c r="M650" s="155"/>
    </row>
    <row r="651" ht="14.25" customHeight="1">
      <c r="A651" s="188"/>
      <c r="B651" s="189"/>
      <c r="C651" s="131"/>
      <c r="D651" s="155"/>
      <c r="E651" s="190"/>
      <c r="F651" s="190"/>
      <c r="G651" s="190"/>
      <c r="H651" s="155"/>
      <c r="I651" s="190"/>
      <c r="J651" s="155"/>
      <c r="K651" s="155"/>
      <c r="L651" s="155"/>
      <c r="M651" s="155"/>
    </row>
    <row r="652" ht="14.25" customHeight="1">
      <c r="A652" s="188"/>
      <c r="B652" s="189"/>
      <c r="C652" s="131"/>
      <c r="D652" s="155"/>
      <c r="E652" s="190"/>
      <c r="F652" s="190"/>
      <c r="G652" s="190"/>
      <c r="H652" s="155"/>
      <c r="I652" s="190"/>
      <c r="J652" s="155"/>
      <c r="K652" s="155"/>
      <c r="L652" s="155"/>
      <c r="M652" s="155"/>
    </row>
    <row r="653" ht="14.25" customHeight="1">
      <c r="A653" s="188"/>
      <c r="B653" s="189"/>
      <c r="C653" s="131"/>
      <c r="D653" s="155"/>
      <c r="E653" s="190"/>
      <c r="F653" s="190"/>
      <c r="G653" s="190"/>
      <c r="H653" s="155"/>
      <c r="I653" s="190"/>
      <c r="J653" s="155"/>
      <c r="K653" s="155"/>
      <c r="L653" s="155"/>
      <c r="M653" s="155"/>
    </row>
    <row r="654" ht="14.25" customHeight="1">
      <c r="A654" s="188"/>
      <c r="B654" s="189"/>
      <c r="C654" s="131"/>
      <c r="D654" s="155"/>
      <c r="E654" s="190"/>
      <c r="F654" s="190"/>
      <c r="G654" s="190"/>
      <c r="H654" s="155"/>
      <c r="I654" s="190"/>
      <c r="J654" s="155"/>
      <c r="K654" s="155"/>
      <c r="L654" s="155"/>
      <c r="M654" s="155"/>
    </row>
    <row r="655" ht="14.25" customHeight="1">
      <c r="A655" s="188"/>
      <c r="B655" s="189"/>
      <c r="C655" s="131"/>
      <c r="D655" s="155"/>
      <c r="E655" s="190"/>
      <c r="F655" s="190"/>
      <c r="G655" s="190"/>
      <c r="H655" s="155"/>
      <c r="I655" s="190"/>
      <c r="J655" s="155"/>
      <c r="K655" s="155"/>
      <c r="L655" s="155"/>
      <c r="M655" s="155"/>
    </row>
    <row r="656" ht="14.25" customHeight="1">
      <c r="A656" s="188"/>
      <c r="B656" s="189"/>
      <c r="C656" s="131"/>
      <c r="D656" s="155"/>
      <c r="E656" s="190"/>
      <c r="F656" s="190"/>
      <c r="G656" s="190"/>
      <c r="H656" s="155"/>
      <c r="I656" s="190"/>
      <c r="J656" s="155"/>
      <c r="K656" s="155"/>
      <c r="L656" s="155"/>
      <c r="M656" s="155"/>
    </row>
    <row r="657" ht="14.25" customHeight="1">
      <c r="A657" s="188"/>
      <c r="B657" s="189"/>
      <c r="C657" s="131"/>
      <c r="D657" s="155"/>
      <c r="E657" s="190"/>
      <c r="F657" s="190"/>
      <c r="G657" s="190"/>
      <c r="H657" s="155"/>
      <c r="I657" s="190"/>
      <c r="J657" s="155"/>
      <c r="K657" s="155"/>
      <c r="L657" s="155"/>
      <c r="M657" s="155"/>
    </row>
    <row r="658" ht="14.25" customHeight="1">
      <c r="A658" s="188"/>
      <c r="B658" s="189"/>
      <c r="C658" s="131"/>
      <c r="D658" s="155"/>
      <c r="E658" s="190"/>
      <c r="F658" s="190"/>
      <c r="G658" s="190"/>
      <c r="H658" s="155"/>
      <c r="I658" s="190"/>
      <c r="J658" s="155"/>
      <c r="K658" s="155"/>
      <c r="L658" s="155"/>
      <c r="M658" s="155"/>
    </row>
    <row r="659" ht="14.25" customHeight="1">
      <c r="A659" s="188"/>
      <c r="B659" s="189"/>
      <c r="C659" s="131"/>
      <c r="D659" s="155"/>
      <c r="E659" s="190"/>
      <c r="F659" s="190"/>
      <c r="G659" s="190"/>
      <c r="H659" s="155"/>
      <c r="I659" s="190"/>
      <c r="J659" s="155"/>
      <c r="K659" s="155"/>
      <c r="L659" s="155"/>
      <c r="M659" s="155"/>
    </row>
    <row r="660" ht="14.25" customHeight="1">
      <c r="A660" s="188"/>
      <c r="B660" s="189"/>
      <c r="C660" s="131"/>
      <c r="D660" s="155"/>
      <c r="E660" s="190"/>
      <c r="F660" s="190"/>
      <c r="G660" s="190"/>
      <c r="H660" s="155"/>
      <c r="I660" s="190"/>
      <c r="J660" s="155"/>
      <c r="K660" s="155"/>
      <c r="L660" s="155"/>
      <c r="M660" s="155"/>
    </row>
    <row r="661" ht="14.25" customHeight="1">
      <c r="A661" s="188"/>
      <c r="B661" s="189"/>
      <c r="C661" s="131"/>
      <c r="D661" s="155"/>
      <c r="E661" s="190"/>
      <c r="F661" s="190"/>
      <c r="G661" s="190"/>
      <c r="H661" s="155"/>
      <c r="I661" s="190"/>
      <c r="J661" s="155"/>
      <c r="K661" s="155"/>
      <c r="L661" s="155"/>
      <c r="M661" s="155"/>
    </row>
    <row r="662" ht="14.25" customHeight="1">
      <c r="A662" s="188"/>
      <c r="B662" s="189"/>
      <c r="C662" s="131"/>
      <c r="D662" s="155"/>
      <c r="E662" s="190"/>
      <c r="F662" s="190"/>
      <c r="G662" s="190"/>
      <c r="H662" s="155"/>
      <c r="I662" s="190"/>
      <c r="J662" s="155"/>
      <c r="K662" s="155"/>
      <c r="L662" s="155"/>
      <c r="M662" s="155"/>
    </row>
    <row r="663" ht="14.25" customHeight="1">
      <c r="A663" s="188"/>
      <c r="B663" s="189"/>
      <c r="C663" s="131"/>
      <c r="D663" s="155"/>
      <c r="E663" s="190"/>
      <c r="F663" s="190"/>
      <c r="G663" s="190"/>
      <c r="H663" s="155"/>
      <c r="I663" s="190"/>
      <c r="J663" s="155"/>
      <c r="K663" s="155"/>
      <c r="L663" s="155"/>
      <c r="M663" s="155"/>
    </row>
    <row r="664" ht="14.25" customHeight="1">
      <c r="A664" s="188"/>
      <c r="B664" s="189"/>
      <c r="C664" s="131"/>
      <c r="D664" s="155"/>
      <c r="E664" s="190"/>
      <c r="F664" s="190"/>
      <c r="G664" s="190"/>
      <c r="H664" s="155"/>
      <c r="I664" s="190"/>
      <c r="J664" s="155"/>
      <c r="K664" s="155"/>
      <c r="L664" s="155"/>
      <c r="M664" s="155"/>
    </row>
    <row r="665" ht="14.25" customHeight="1">
      <c r="A665" s="188"/>
      <c r="B665" s="189"/>
      <c r="C665" s="131"/>
      <c r="D665" s="155"/>
      <c r="E665" s="190"/>
      <c r="F665" s="190"/>
      <c r="G665" s="190"/>
      <c r="H665" s="155"/>
      <c r="I665" s="190"/>
      <c r="J665" s="155"/>
      <c r="K665" s="155"/>
      <c r="L665" s="155"/>
      <c r="M665" s="155"/>
    </row>
    <row r="666" ht="14.25" customHeight="1">
      <c r="A666" s="188"/>
      <c r="B666" s="189"/>
      <c r="C666" s="131"/>
      <c r="D666" s="155"/>
      <c r="E666" s="190"/>
      <c r="F666" s="190"/>
      <c r="G666" s="190"/>
      <c r="H666" s="155"/>
      <c r="I666" s="190"/>
      <c r="J666" s="155"/>
      <c r="K666" s="155"/>
      <c r="L666" s="155"/>
      <c r="M666" s="155"/>
    </row>
    <row r="667" ht="14.25" customHeight="1">
      <c r="A667" s="188"/>
      <c r="B667" s="189"/>
      <c r="C667" s="131"/>
      <c r="D667" s="155"/>
      <c r="E667" s="190"/>
      <c r="F667" s="190"/>
      <c r="G667" s="190"/>
      <c r="H667" s="155"/>
      <c r="I667" s="190"/>
      <c r="J667" s="155"/>
      <c r="K667" s="155"/>
      <c r="L667" s="155"/>
      <c r="M667" s="155"/>
    </row>
    <row r="668" ht="14.25" customHeight="1">
      <c r="A668" s="188"/>
      <c r="B668" s="189"/>
      <c r="C668" s="131"/>
      <c r="D668" s="155"/>
      <c r="E668" s="190"/>
      <c r="F668" s="190"/>
      <c r="G668" s="190"/>
      <c r="H668" s="155"/>
      <c r="I668" s="190"/>
      <c r="J668" s="155"/>
      <c r="K668" s="155"/>
      <c r="L668" s="155"/>
      <c r="M668" s="155"/>
    </row>
    <row r="669" ht="14.25" customHeight="1">
      <c r="A669" s="188"/>
      <c r="B669" s="189"/>
      <c r="C669" s="131"/>
      <c r="D669" s="155"/>
      <c r="E669" s="190"/>
      <c r="F669" s="190"/>
      <c r="G669" s="190"/>
      <c r="H669" s="155"/>
      <c r="I669" s="190"/>
      <c r="J669" s="155"/>
      <c r="K669" s="155"/>
      <c r="L669" s="155"/>
      <c r="M669" s="155"/>
    </row>
    <row r="670" ht="14.25" customHeight="1">
      <c r="A670" s="188"/>
      <c r="B670" s="189"/>
      <c r="C670" s="131"/>
      <c r="D670" s="155"/>
      <c r="E670" s="190"/>
      <c r="F670" s="190"/>
      <c r="G670" s="190"/>
      <c r="H670" s="155"/>
      <c r="I670" s="190"/>
      <c r="J670" s="155"/>
      <c r="K670" s="155"/>
      <c r="L670" s="155"/>
      <c r="M670" s="155"/>
    </row>
    <row r="671" ht="14.25" customHeight="1">
      <c r="A671" s="188"/>
      <c r="B671" s="189"/>
      <c r="C671" s="131"/>
      <c r="D671" s="155"/>
      <c r="E671" s="190"/>
      <c r="F671" s="190"/>
      <c r="G671" s="190"/>
      <c r="H671" s="155"/>
      <c r="I671" s="190"/>
      <c r="J671" s="155"/>
      <c r="K671" s="155"/>
      <c r="L671" s="155"/>
      <c r="M671" s="155"/>
    </row>
    <row r="672" ht="14.25" customHeight="1">
      <c r="A672" s="188"/>
      <c r="B672" s="189"/>
      <c r="C672" s="131"/>
      <c r="D672" s="155"/>
      <c r="E672" s="190"/>
      <c r="F672" s="190"/>
      <c r="G672" s="190"/>
      <c r="H672" s="155"/>
      <c r="I672" s="190"/>
      <c r="J672" s="155"/>
      <c r="K672" s="155"/>
      <c r="L672" s="155"/>
      <c r="M672" s="155"/>
    </row>
    <row r="673" ht="14.25" customHeight="1">
      <c r="A673" s="188"/>
      <c r="B673" s="189"/>
      <c r="C673" s="131"/>
      <c r="D673" s="155"/>
      <c r="E673" s="190"/>
      <c r="F673" s="190"/>
      <c r="G673" s="190"/>
      <c r="H673" s="155"/>
      <c r="I673" s="190"/>
      <c r="J673" s="155"/>
      <c r="K673" s="155"/>
      <c r="L673" s="155"/>
      <c r="M673" s="155"/>
    </row>
    <row r="674" ht="14.25" customHeight="1">
      <c r="A674" s="188"/>
      <c r="B674" s="189"/>
      <c r="C674" s="131"/>
      <c r="D674" s="155"/>
      <c r="E674" s="190"/>
      <c r="F674" s="190"/>
      <c r="G674" s="190"/>
      <c r="H674" s="155"/>
      <c r="I674" s="190"/>
      <c r="J674" s="155"/>
      <c r="K674" s="155"/>
      <c r="L674" s="155"/>
      <c r="M674" s="155"/>
    </row>
    <row r="675" ht="14.25" customHeight="1">
      <c r="A675" s="188"/>
      <c r="B675" s="189"/>
      <c r="C675" s="131"/>
      <c r="D675" s="155"/>
      <c r="E675" s="190"/>
      <c r="F675" s="190"/>
      <c r="G675" s="190"/>
      <c r="H675" s="155"/>
      <c r="I675" s="190"/>
      <c r="J675" s="155"/>
      <c r="K675" s="155"/>
      <c r="L675" s="155"/>
      <c r="M675" s="155"/>
    </row>
    <row r="676" ht="14.25" customHeight="1">
      <c r="A676" s="188"/>
      <c r="B676" s="189"/>
      <c r="C676" s="131"/>
      <c r="D676" s="155"/>
      <c r="E676" s="190"/>
      <c r="F676" s="190"/>
      <c r="G676" s="190"/>
      <c r="H676" s="155"/>
      <c r="I676" s="190"/>
      <c r="J676" s="155"/>
      <c r="K676" s="155"/>
      <c r="L676" s="155"/>
      <c r="M676" s="155"/>
    </row>
    <row r="677" ht="14.25" customHeight="1">
      <c r="A677" s="188"/>
      <c r="B677" s="189"/>
      <c r="C677" s="131"/>
      <c r="D677" s="155"/>
      <c r="E677" s="190"/>
      <c r="F677" s="190"/>
      <c r="G677" s="190"/>
      <c r="H677" s="155"/>
      <c r="I677" s="190"/>
      <c r="J677" s="155"/>
      <c r="K677" s="155"/>
      <c r="L677" s="155"/>
      <c r="M677" s="155"/>
    </row>
    <row r="678" ht="14.25" customHeight="1">
      <c r="A678" s="188"/>
      <c r="B678" s="189"/>
      <c r="C678" s="131"/>
      <c r="D678" s="155"/>
      <c r="E678" s="190"/>
      <c r="F678" s="190"/>
      <c r="G678" s="190"/>
      <c r="H678" s="155"/>
      <c r="I678" s="190"/>
      <c r="J678" s="155"/>
      <c r="K678" s="155"/>
      <c r="L678" s="155"/>
      <c r="M678" s="155"/>
    </row>
    <row r="679" ht="14.25" customHeight="1">
      <c r="A679" s="188"/>
      <c r="B679" s="189"/>
      <c r="C679" s="131"/>
      <c r="D679" s="155"/>
      <c r="E679" s="190"/>
      <c r="F679" s="190"/>
      <c r="G679" s="190"/>
      <c r="H679" s="155"/>
      <c r="I679" s="190"/>
      <c r="J679" s="155"/>
      <c r="K679" s="155"/>
      <c r="L679" s="155"/>
      <c r="M679" s="155"/>
    </row>
    <row r="680" ht="14.25" customHeight="1">
      <c r="A680" s="188"/>
      <c r="B680" s="189"/>
      <c r="C680" s="131"/>
      <c r="D680" s="155"/>
      <c r="E680" s="190"/>
      <c r="F680" s="190"/>
      <c r="G680" s="190"/>
      <c r="H680" s="155"/>
      <c r="I680" s="190"/>
      <c r="J680" s="155"/>
      <c r="K680" s="155"/>
      <c r="L680" s="155"/>
      <c r="M680" s="155"/>
    </row>
    <row r="681" ht="14.25" customHeight="1">
      <c r="A681" s="188"/>
      <c r="B681" s="189"/>
      <c r="C681" s="131"/>
      <c r="D681" s="155"/>
      <c r="E681" s="190"/>
      <c r="F681" s="190"/>
      <c r="G681" s="190"/>
      <c r="H681" s="155"/>
      <c r="I681" s="190"/>
      <c r="J681" s="155"/>
      <c r="K681" s="155"/>
      <c r="L681" s="155"/>
      <c r="M681" s="155"/>
    </row>
    <row r="682" ht="14.25" customHeight="1">
      <c r="A682" s="188"/>
      <c r="B682" s="189"/>
      <c r="C682" s="131"/>
      <c r="D682" s="155"/>
      <c r="E682" s="190"/>
      <c r="F682" s="190"/>
      <c r="G682" s="190"/>
      <c r="H682" s="155"/>
      <c r="I682" s="190"/>
      <c r="J682" s="155"/>
      <c r="K682" s="155"/>
      <c r="L682" s="155"/>
      <c r="M682" s="155"/>
    </row>
    <row r="683" ht="14.25" customHeight="1">
      <c r="A683" s="188"/>
      <c r="B683" s="189"/>
      <c r="C683" s="131"/>
      <c r="D683" s="155"/>
      <c r="E683" s="190"/>
      <c r="F683" s="190"/>
      <c r="G683" s="190"/>
      <c r="H683" s="155"/>
      <c r="I683" s="190"/>
      <c r="J683" s="155"/>
      <c r="K683" s="155"/>
      <c r="L683" s="155"/>
      <c r="M683" s="155"/>
    </row>
    <row r="684" ht="14.25" customHeight="1">
      <c r="A684" s="188"/>
      <c r="B684" s="189"/>
      <c r="C684" s="131"/>
      <c r="D684" s="155"/>
      <c r="E684" s="190"/>
      <c r="F684" s="190"/>
      <c r="G684" s="190"/>
      <c r="H684" s="155"/>
      <c r="I684" s="190"/>
      <c r="J684" s="155"/>
      <c r="K684" s="155"/>
      <c r="L684" s="155"/>
      <c r="M684" s="155"/>
    </row>
    <row r="685" ht="14.25" customHeight="1">
      <c r="A685" s="188"/>
      <c r="B685" s="189"/>
      <c r="C685" s="131"/>
      <c r="D685" s="155"/>
      <c r="E685" s="190"/>
      <c r="F685" s="190"/>
      <c r="G685" s="190"/>
      <c r="H685" s="155"/>
      <c r="I685" s="190"/>
      <c r="J685" s="155"/>
      <c r="K685" s="155"/>
      <c r="L685" s="155"/>
      <c r="M685" s="155"/>
    </row>
    <row r="686" ht="14.25" customHeight="1">
      <c r="A686" s="188"/>
      <c r="B686" s="189"/>
      <c r="C686" s="131"/>
      <c r="D686" s="155"/>
      <c r="E686" s="190"/>
      <c r="F686" s="190"/>
      <c r="G686" s="190"/>
      <c r="H686" s="155"/>
      <c r="I686" s="190"/>
      <c r="J686" s="155"/>
      <c r="K686" s="155"/>
      <c r="L686" s="155"/>
      <c r="M686" s="155"/>
    </row>
    <row r="687" ht="14.25" customHeight="1">
      <c r="A687" s="188"/>
      <c r="B687" s="189"/>
      <c r="C687" s="131"/>
      <c r="D687" s="155"/>
      <c r="E687" s="190"/>
      <c r="F687" s="190"/>
      <c r="G687" s="190"/>
      <c r="H687" s="155"/>
      <c r="I687" s="190"/>
      <c r="J687" s="155"/>
      <c r="K687" s="155"/>
      <c r="L687" s="155"/>
      <c r="M687" s="155"/>
    </row>
    <row r="688" ht="14.25" customHeight="1">
      <c r="A688" s="188"/>
      <c r="B688" s="189"/>
      <c r="C688" s="131"/>
      <c r="D688" s="155"/>
      <c r="E688" s="190"/>
      <c r="F688" s="190"/>
      <c r="G688" s="190"/>
      <c r="H688" s="155"/>
      <c r="I688" s="190"/>
      <c r="J688" s="155"/>
      <c r="K688" s="155"/>
      <c r="L688" s="155"/>
      <c r="M688" s="155"/>
    </row>
    <row r="689" ht="14.25" customHeight="1">
      <c r="A689" s="188"/>
      <c r="B689" s="189"/>
      <c r="C689" s="131"/>
      <c r="D689" s="155"/>
      <c r="E689" s="190"/>
      <c r="F689" s="190"/>
      <c r="G689" s="190"/>
      <c r="H689" s="155"/>
      <c r="I689" s="190"/>
      <c r="J689" s="155"/>
      <c r="K689" s="155"/>
      <c r="L689" s="155"/>
      <c r="M689" s="155"/>
    </row>
    <row r="690" ht="14.25" customHeight="1">
      <c r="A690" s="188"/>
      <c r="B690" s="189"/>
      <c r="C690" s="131"/>
      <c r="D690" s="155"/>
      <c r="E690" s="190"/>
      <c r="F690" s="190"/>
      <c r="G690" s="190"/>
      <c r="H690" s="155"/>
      <c r="I690" s="190"/>
      <c r="J690" s="155"/>
      <c r="K690" s="155"/>
      <c r="L690" s="155"/>
      <c r="M690" s="155"/>
    </row>
    <row r="691" ht="14.25" customHeight="1">
      <c r="A691" s="188"/>
      <c r="B691" s="189"/>
      <c r="C691" s="131"/>
      <c r="D691" s="155"/>
      <c r="E691" s="190"/>
      <c r="F691" s="190"/>
      <c r="G691" s="190"/>
      <c r="H691" s="155"/>
      <c r="I691" s="190"/>
      <c r="J691" s="155"/>
      <c r="K691" s="155"/>
      <c r="L691" s="155"/>
      <c r="M691" s="155"/>
    </row>
    <row r="692" ht="14.25" customHeight="1">
      <c r="A692" s="188"/>
      <c r="B692" s="189"/>
      <c r="C692" s="131"/>
      <c r="D692" s="155"/>
      <c r="E692" s="190"/>
      <c r="F692" s="190"/>
      <c r="G692" s="190"/>
      <c r="H692" s="155"/>
      <c r="I692" s="190"/>
      <c r="J692" s="155"/>
      <c r="K692" s="155"/>
      <c r="L692" s="155"/>
      <c r="M692" s="155"/>
    </row>
    <row r="693" ht="14.25" customHeight="1">
      <c r="A693" s="188"/>
      <c r="B693" s="189"/>
      <c r="C693" s="131"/>
      <c r="D693" s="155"/>
      <c r="E693" s="190"/>
      <c r="F693" s="190"/>
      <c r="G693" s="190"/>
      <c r="H693" s="155"/>
      <c r="I693" s="190"/>
      <c r="J693" s="155"/>
      <c r="K693" s="155"/>
      <c r="L693" s="155"/>
      <c r="M693" s="155"/>
    </row>
    <row r="694" ht="14.25" customHeight="1">
      <c r="A694" s="188"/>
      <c r="B694" s="189"/>
      <c r="C694" s="131"/>
      <c r="D694" s="155"/>
      <c r="E694" s="190"/>
      <c r="F694" s="190"/>
      <c r="G694" s="190"/>
      <c r="H694" s="155"/>
      <c r="I694" s="190"/>
      <c r="J694" s="155"/>
      <c r="K694" s="155"/>
      <c r="L694" s="155"/>
      <c r="M694" s="155"/>
    </row>
    <row r="695" ht="14.25" customHeight="1">
      <c r="A695" s="188"/>
      <c r="B695" s="189"/>
      <c r="C695" s="131"/>
      <c r="D695" s="155"/>
      <c r="E695" s="190"/>
      <c r="F695" s="190"/>
      <c r="G695" s="190"/>
      <c r="H695" s="155"/>
      <c r="I695" s="190"/>
      <c r="J695" s="155"/>
      <c r="K695" s="155"/>
      <c r="L695" s="155"/>
      <c r="M695" s="155"/>
    </row>
    <row r="696" ht="14.25" customHeight="1">
      <c r="A696" s="188"/>
      <c r="B696" s="189"/>
      <c r="C696" s="131"/>
      <c r="D696" s="155"/>
      <c r="E696" s="190"/>
      <c r="F696" s="190"/>
      <c r="G696" s="190"/>
      <c r="H696" s="155"/>
      <c r="I696" s="190"/>
      <c r="J696" s="155"/>
      <c r="K696" s="155"/>
      <c r="L696" s="155"/>
      <c r="M696" s="155"/>
    </row>
    <row r="697" ht="14.25" customHeight="1">
      <c r="A697" s="188"/>
      <c r="B697" s="189"/>
      <c r="C697" s="131"/>
      <c r="D697" s="155"/>
      <c r="E697" s="190"/>
      <c r="F697" s="190"/>
      <c r="G697" s="190"/>
      <c r="H697" s="155"/>
      <c r="I697" s="190"/>
      <c r="J697" s="155"/>
      <c r="K697" s="155"/>
      <c r="L697" s="155"/>
      <c r="M697" s="155"/>
    </row>
    <row r="698" ht="14.25" customHeight="1">
      <c r="A698" s="188"/>
      <c r="B698" s="189"/>
      <c r="C698" s="131"/>
      <c r="D698" s="155"/>
      <c r="E698" s="190"/>
      <c r="F698" s="190"/>
      <c r="G698" s="190"/>
      <c r="H698" s="155"/>
      <c r="I698" s="190"/>
      <c r="J698" s="155"/>
      <c r="K698" s="155"/>
      <c r="L698" s="155"/>
      <c r="M698" s="155"/>
    </row>
    <row r="699" ht="14.25" customHeight="1">
      <c r="A699" s="188"/>
      <c r="B699" s="189"/>
      <c r="C699" s="131"/>
      <c r="D699" s="155"/>
      <c r="E699" s="190"/>
      <c r="F699" s="190"/>
      <c r="G699" s="190"/>
      <c r="H699" s="155"/>
      <c r="I699" s="190"/>
      <c r="J699" s="155"/>
      <c r="K699" s="155"/>
      <c r="L699" s="155"/>
      <c r="M699" s="155"/>
    </row>
    <row r="700" ht="14.25" customHeight="1">
      <c r="A700" s="188"/>
      <c r="B700" s="189"/>
      <c r="C700" s="131"/>
      <c r="D700" s="155"/>
      <c r="E700" s="190"/>
      <c r="F700" s="190"/>
      <c r="G700" s="190"/>
      <c r="H700" s="155"/>
      <c r="I700" s="190"/>
      <c r="J700" s="155"/>
      <c r="K700" s="155"/>
      <c r="L700" s="155"/>
      <c r="M700" s="155"/>
    </row>
    <row r="701" ht="14.25" customHeight="1">
      <c r="A701" s="188"/>
      <c r="B701" s="189"/>
      <c r="C701" s="131"/>
      <c r="D701" s="155"/>
      <c r="E701" s="190"/>
      <c r="F701" s="190"/>
      <c r="G701" s="190"/>
      <c r="H701" s="155"/>
      <c r="I701" s="190"/>
      <c r="J701" s="155"/>
      <c r="K701" s="155"/>
      <c r="L701" s="155"/>
      <c r="M701" s="155"/>
    </row>
    <row r="702" ht="14.25" customHeight="1">
      <c r="A702" s="188"/>
      <c r="B702" s="189"/>
      <c r="C702" s="131"/>
      <c r="D702" s="155"/>
      <c r="E702" s="190"/>
      <c r="F702" s="190"/>
      <c r="G702" s="190"/>
      <c r="H702" s="155"/>
      <c r="I702" s="190"/>
      <c r="J702" s="155"/>
      <c r="K702" s="155"/>
      <c r="L702" s="155"/>
      <c r="M702" s="155"/>
    </row>
    <row r="703" ht="14.25" customHeight="1">
      <c r="A703" s="188"/>
      <c r="B703" s="189"/>
      <c r="C703" s="131"/>
      <c r="D703" s="155"/>
      <c r="E703" s="190"/>
      <c r="F703" s="190"/>
      <c r="G703" s="190"/>
      <c r="H703" s="155"/>
      <c r="I703" s="190"/>
      <c r="J703" s="155"/>
      <c r="K703" s="155"/>
      <c r="L703" s="155"/>
      <c r="M703" s="155"/>
    </row>
    <row r="704" ht="14.25" customHeight="1">
      <c r="A704" s="188"/>
      <c r="B704" s="189"/>
      <c r="C704" s="131"/>
      <c r="D704" s="155"/>
      <c r="E704" s="190"/>
      <c r="F704" s="190"/>
      <c r="G704" s="190"/>
      <c r="H704" s="155"/>
      <c r="I704" s="190"/>
      <c r="J704" s="155"/>
      <c r="K704" s="155"/>
      <c r="L704" s="155"/>
      <c r="M704" s="155"/>
    </row>
    <row r="705" ht="14.25" customHeight="1">
      <c r="A705" s="188"/>
      <c r="B705" s="189"/>
      <c r="C705" s="131"/>
      <c r="D705" s="155"/>
      <c r="E705" s="190"/>
      <c r="F705" s="190"/>
      <c r="G705" s="190"/>
      <c r="H705" s="155"/>
      <c r="I705" s="190"/>
      <c r="J705" s="155"/>
      <c r="K705" s="155"/>
      <c r="L705" s="155"/>
      <c r="M705" s="155"/>
    </row>
    <row r="706" ht="14.25" customHeight="1">
      <c r="A706" s="188"/>
      <c r="B706" s="189"/>
      <c r="C706" s="131"/>
      <c r="D706" s="155"/>
      <c r="E706" s="190"/>
      <c r="F706" s="190"/>
      <c r="G706" s="190"/>
      <c r="H706" s="155"/>
      <c r="I706" s="190"/>
      <c r="J706" s="155"/>
      <c r="K706" s="155"/>
      <c r="L706" s="155"/>
      <c r="M706" s="155"/>
    </row>
    <row r="707" ht="14.25" customHeight="1">
      <c r="A707" s="188"/>
      <c r="B707" s="189"/>
      <c r="C707" s="131"/>
      <c r="D707" s="155"/>
      <c r="E707" s="190"/>
      <c r="F707" s="190"/>
      <c r="G707" s="190"/>
      <c r="H707" s="155"/>
      <c r="I707" s="190"/>
      <c r="J707" s="155"/>
      <c r="K707" s="155"/>
      <c r="L707" s="155"/>
      <c r="M707" s="155"/>
    </row>
    <row r="708" ht="14.25" customHeight="1">
      <c r="A708" s="188"/>
      <c r="B708" s="189"/>
      <c r="C708" s="131"/>
      <c r="D708" s="155"/>
      <c r="E708" s="190"/>
      <c r="F708" s="190"/>
      <c r="G708" s="190"/>
      <c r="H708" s="155"/>
      <c r="I708" s="190"/>
      <c r="J708" s="155"/>
      <c r="K708" s="155"/>
      <c r="L708" s="155"/>
      <c r="M708" s="155"/>
    </row>
    <row r="709" ht="14.25" customHeight="1">
      <c r="A709" s="188"/>
      <c r="B709" s="189"/>
      <c r="C709" s="131"/>
      <c r="D709" s="155"/>
      <c r="E709" s="190"/>
      <c r="F709" s="190"/>
      <c r="G709" s="190"/>
      <c r="H709" s="155"/>
      <c r="I709" s="190"/>
      <c r="J709" s="155"/>
      <c r="K709" s="155"/>
      <c r="L709" s="155"/>
      <c r="M709" s="155"/>
    </row>
    <row r="710" ht="14.25" customHeight="1">
      <c r="A710" s="188"/>
      <c r="B710" s="189"/>
      <c r="C710" s="131"/>
      <c r="D710" s="155"/>
      <c r="E710" s="190"/>
      <c r="F710" s="190"/>
      <c r="G710" s="190"/>
      <c r="H710" s="155"/>
      <c r="I710" s="190"/>
      <c r="J710" s="155"/>
      <c r="K710" s="155"/>
      <c r="L710" s="155"/>
      <c r="M710" s="155"/>
    </row>
    <row r="711" ht="14.25" customHeight="1">
      <c r="A711" s="188"/>
      <c r="B711" s="189"/>
      <c r="C711" s="131"/>
      <c r="D711" s="155"/>
      <c r="E711" s="190"/>
      <c r="F711" s="190"/>
      <c r="G711" s="190"/>
      <c r="H711" s="155"/>
      <c r="I711" s="190"/>
      <c r="J711" s="155"/>
      <c r="K711" s="155"/>
      <c r="L711" s="155"/>
      <c r="M711" s="155"/>
    </row>
    <row r="712" ht="14.25" customHeight="1">
      <c r="A712" s="188"/>
      <c r="B712" s="189"/>
      <c r="C712" s="131"/>
      <c r="D712" s="155"/>
      <c r="E712" s="190"/>
      <c r="F712" s="190"/>
      <c r="G712" s="190"/>
      <c r="H712" s="155"/>
      <c r="I712" s="190"/>
      <c r="J712" s="155"/>
      <c r="K712" s="155"/>
      <c r="L712" s="155"/>
      <c r="M712" s="155"/>
    </row>
    <row r="713" ht="14.25" customHeight="1">
      <c r="A713" s="188"/>
      <c r="B713" s="189"/>
      <c r="C713" s="131"/>
      <c r="D713" s="155"/>
      <c r="E713" s="190"/>
      <c r="F713" s="190"/>
      <c r="G713" s="190"/>
      <c r="H713" s="155"/>
      <c r="I713" s="190"/>
      <c r="J713" s="155"/>
      <c r="K713" s="155"/>
      <c r="L713" s="155"/>
      <c r="M713" s="155"/>
    </row>
    <row r="714" ht="14.25" customHeight="1">
      <c r="A714" s="188"/>
      <c r="B714" s="189"/>
      <c r="C714" s="131"/>
      <c r="D714" s="155"/>
      <c r="E714" s="190"/>
      <c r="F714" s="190"/>
      <c r="G714" s="190"/>
      <c r="H714" s="155"/>
      <c r="I714" s="190"/>
      <c r="J714" s="155"/>
      <c r="K714" s="155"/>
      <c r="L714" s="155"/>
      <c r="M714" s="155"/>
    </row>
    <row r="715" ht="14.25" customHeight="1">
      <c r="A715" s="188"/>
      <c r="B715" s="189"/>
      <c r="C715" s="131"/>
      <c r="D715" s="155"/>
      <c r="E715" s="190"/>
      <c r="F715" s="190"/>
      <c r="G715" s="190"/>
      <c r="H715" s="155"/>
      <c r="I715" s="190"/>
      <c r="J715" s="155"/>
      <c r="K715" s="155"/>
      <c r="L715" s="155"/>
      <c r="M715" s="155"/>
    </row>
    <row r="716" ht="14.25" customHeight="1">
      <c r="A716" s="188"/>
      <c r="B716" s="189"/>
      <c r="C716" s="131"/>
      <c r="D716" s="155"/>
      <c r="E716" s="190"/>
      <c r="F716" s="190"/>
      <c r="G716" s="190"/>
      <c r="H716" s="155"/>
      <c r="I716" s="190"/>
      <c r="J716" s="155"/>
      <c r="K716" s="155"/>
      <c r="L716" s="155"/>
      <c r="M716" s="155"/>
    </row>
    <row r="717" ht="14.25" customHeight="1">
      <c r="A717" s="188"/>
      <c r="B717" s="189"/>
      <c r="C717" s="131"/>
      <c r="D717" s="155"/>
      <c r="E717" s="190"/>
      <c r="F717" s="190"/>
      <c r="G717" s="190"/>
      <c r="H717" s="155"/>
      <c r="I717" s="190"/>
      <c r="J717" s="155"/>
      <c r="K717" s="155"/>
      <c r="L717" s="155"/>
      <c r="M717" s="155"/>
    </row>
    <row r="718" ht="14.25" customHeight="1">
      <c r="A718" s="188"/>
      <c r="B718" s="189"/>
      <c r="C718" s="131"/>
      <c r="D718" s="155"/>
      <c r="E718" s="190"/>
      <c r="F718" s="190"/>
      <c r="G718" s="190"/>
      <c r="H718" s="155"/>
      <c r="I718" s="190"/>
      <c r="J718" s="155"/>
      <c r="K718" s="155"/>
      <c r="L718" s="155"/>
      <c r="M718" s="155"/>
    </row>
    <row r="719" ht="14.25" customHeight="1">
      <c r="A719" s="188"/>
      <c r="B719" s="189"/>
      <c r="C719" s="131"/>
      <c r="D719" s="155"/>
      <c r="E719" s="190"/>
      <c r="F719" s="190"/>
      <c r="G719" s="190"/>
      <c r="H719" s="155"/>
      <c r="I719" s="190"/>
      <c r="J719" s="155"/>
      <c r="K719" s="155"/>
      <c r="L719" s="155"/>
      <c r="M719" s="155"/>
    </row>
    <row r="720" ht="14.25" customHeight="1">
      <c r="A720" s="188"/>
      <c r="B720" s="189"/>
      <c r="C720" s="131"/>
      <c r="D720" s="155"/>
      <c r="E720" s="190"/>
      <c r="F720" s="190"/>
      <c r="G720" s="190"/>
      <c r="H720" s="155"/>
      <c r="I720" s="190"/>
      <c r="J720" s="155"/>
      <c r="K720" s="155"/>
      <c r="L720" s="155"/>
      <c r="M720" s="155"/>
    </row>
    <row r="721" ht="14.25" customHeight="1">
      <c r="A721" s="188"/>
      <c r="B721" s="189"/>
      <c r="C721" s="131"/>
      <c r="D721" s="155"/>
      <c r="E721" s="190"/>
      <c r="F721" s="190"/>
      <c r="G721" s="190"/>
      <c r="H721" s="155"/>
      <c r="I721" s="190"/>
      <c r="J721" s="155"/>
      <c r="K721" s="155"/>
      <c r="L721" s="155"/>
      <c r="M721" s="155"/>
    </row>
    <row r="722" ht="14.25" customHeight="1">
      <c r="A722" s="188"/>
      <c r="B722" s="189"/>
      <c r="C722" s="131"/>
      <c r="D722" s="155"/>
      <c r="E722" s="190"/>
      <c r="F722" s="190"/>
      <c r="G722" s="190"/>
      <c r="H722" s="155"/>
      <c r="I722" s="190"/>
      <c r="J722" s="155"/>
      <c r="K722" s="155"/>
      <c r="L722" s="155"/>
      <c r="M722" s="155"/>
    </row>
    <row r="723" ht="14.25" customHeight="1">
      <c r="A723" s="188"/>
      <c r="B723" s="189"/>
      <c r="C723" s="131"/>
      <c r="D723" s="155"/>
      <c r="E723" s="190"/>
      <c r="F723" s="190"/>
      <c r="G723" s="190"/>
      <c r="H723" s="155"/>
      <c r="I723" s="190"/>
      <c r="J723" s="155"/>
      <c r="K723" s="155"/>
      <c r="L723" s="155"/>
      <c r="M723" s="155"/>
    </row>
    <row r="724" ht="14.25" customHeight="1">
      <c r="A724" s="188"/>
      <c r="B724" s="189"/>
      <c r="C724" s="131"/>
      <c r="D724" s="155"/>
      <c r="E724" s="190"/>
      <c r="F724" s="190"/>
      <c r="G724" s="190"/>
      <c r="H724" s="155"/>
      <c r="I724" s="190"/>
      <c r="J724" s="155"/>
      <c r="K724" s="155"/>
      <c r="L724" s="155"/>
      <c r="M724" s="155"/>
    </row>
    <row r="725" ht="14.25" customHeight="1">
      <c r="A725" s="188"/>
      <c r="B725" s="189"/>
      <c r="C725" s="131"/>
      <c r="D725" s="155"/>
      <c r="E725" s="190"/>
      <c r="F725" s="190"/>
      <c r="G725" s="190"/>
      <c r="H725" s="155"/>
      <c r="I725" s="190"/>
      <c r="J725" s="155"/>
      <c r="K725" s="155"/>
      <c r="L725" s="155"/>
      <c r="M725" s="155"/>
    </row>
    <row r="726" ht="14.25" customHeight="1">
      <c r="A726" s="188"/>
      <c r="B726" s="189"/>
      <c r="C726" s="131"/>
      <c r="D726" s="155"/>
      <c r="E726" s="190"/>
      <c r="F726" s="190"/>
      <c r="G726" s="190"/>
      <c r="H726" s="155"/>
      <c r="I726" s="190"/>
      <c r="J726" s="155"/>
      <c r="K726" s="155"/>
      <c r="L726" s="155"/>
      <c r="M726" s="155"/>
    </row>
    <row r="727" ht="14.25" customHeight="1">
      <c r="A727" s="188"/>
      <c r="B727" s="189"/>
      <c r="C727" s="131"/>
      <c r="D727" s="155"/>
      <c r="E727" s="190"/>
      <c r="F727" s="190"/>
      <c r="G727" s="190"/>
      <c r="H727" s="155"/>
      <c r="I727" s="190"/>
      <c r="J727" s="155"/>
      <c r="K727" s="155"/>
      <c r="L727" s="155"/>
      <c r="M727" s="155"/>
    </row>
    <row r="728" ht="14.25" customHeight="1">
      <c r="A728" s="188"/>
      <c r="B728" s="189"/>
      <c r="C728" s="131"/>
      <c r="D728" s="155"/>
      <c r="E728" s="190"/>
      <c r="F728" s="190"/>
      <c r="G728" s="190"/>
      <c r="H728" s="155"/>
      <c r="I728" s="190"/>
      <c r="J728" s="155"/>
      <c r="K728" s="155"/>
      <c r="L728" s="155"/>
      <c r="M728" s="155"/>
    </row>
    <row r="729" ht="14.25" customHeight="1">
      <c r="A729" s="188"/>
      <c r="B729" s="189"/>
      <c r="C729" s="131"/>
      <c r="D729" s="155"/>
      <c r="E729" s="190"/>
      <c r="F729" s="190"/>
      <c r="G729" s="190"/>
      <c r="H729" s="155"/>
      <c r="I729" s="190"/>
      <c r="J729" s="155"/>
      <c r="K729" s="155"/>
      <c r="L729" s="155"/>
      <c r="M729" s="155"/>
    </row>
    <row r="730" ht="14.25" customHeight="1">
      <c r="A730" s="188"/>
      <c r="B730" s="189"/>
      <c r="C730" s="131"/>
      <c r="D730" s="155"/>
      <c r="E730" s="190"/>
      <c r="F730" s="190"/>
      <c r="G730" s="190"/>
      <c r="H730" s="155"/>
      <c r="I730" s="190"/>
      <c r="J730" s="155"/>
      <c r="K730" s="155"/>
      <c r="L730" s="155"/>
      <c r="M730" s="155"/>
    </row>
    <row r="731" ht="14.25" customHeight="1">
      <c r="A731" s="188"/>
      <c r="B731" s="189"/>
      <c r="C731" s="131"/>
      <c r="D731" s="155"/>
      <c r="E731" s="190"/>
      <c r="F731" s="190"/>
      <c r="G731" s="190"/>
      <c r="H731" s="155"/>
      <c r="I731" s="190"/>
      <c r="J731" s="155"/>
      <c r="K731" s="155"/>
      <c r="L731" s="155"/>
      <c r="M731" s="155"/>
    </row>
    <row r="732" ht="14.25" customHeight="1">
      <c r="A732" s="188"/>
      <c r="B732" s="189"/>
      <c r="C732" s="131"/>
      <c r="D732" s="155"/>
      <c r="E732" s="190"/>
      <c r="F732" s="190"/>
      <c r="G732" s="190"/>
      <c r="H732" s="155"/>
      <c r="I732" s="190"/>
      <c r="J732" s="155"/>
      <c r="K732" s="155"/>
      <c r="L732" s="155"/>
      <c r="M732" s="155"/>
    </row>
    <row r="733" ht="14.25" customHeight="1">
      <c r="A733" s="188"/>
      <c r="B733" s="189"/>
      <c r="C733" s="131"/>
      <c r="D733" s="155"/>
      <c r="E733" s="190"/>
      <c r="F733" s="190"/>
      <c r="G733" s="190"/>
      <c r="H733" s="155"/>
      <c r="I733" s="190"/>
      <c r="J733" s="155"/>
      <c r="K733" s="155"/>
      <c r="L733" s="155"/>
      <c r="M733" s="155"/>
    </row>
    <row r="734" ht="14.25" customHeight="1">
      <c r="A734" s="188"/>
      <c r="B734" s="189"/>
      <c r="C734" s="131"/>
      <c r="D734" s="155"/>
      <c r="E734" s="190"/>
      <c r="F734" s="190"/>
      <c r="G734" s="190"/>
      <c r="H734" s="155"/>
      <c r="I734" s="190"/>
      <c r="J734" s="155"/>
      <c r="K734" s="155"/>
      <c r="L734" s="155"/>
      <c r="M734" s="155"/>
    </row>
    <row r="735" ht="14.25" customHeight="1">
      <c r="A735" s="188"/>
      <c r="B735" s="189"/>
      <c r="C735" s="131"/>
      <c r="D735" s="155"/>
      <c r="E735" s="190"/>
      <c r="F735" s="190"/>
      <c r="G735" s="190"/>
      <c r="H735" s="155"/>
      <c r="I735" s="190"/>
      <c r="J735" s="155"/>
      <c r="K735" s="155"/>
      <c r="L735" s="155"/>
      <c r="M735" s="155"/>
    </row>
    <row r="736" ht="14.25" customHeight="1">
      <c r="A736" s="188"/>
      <c r="B736" s="189"/>
      <c r="C736" s="131"/>
      <c r="D736" s="155"/>
      <c r="E736" s="190"/>
      <c r="F736" s="190"/>
      <c r="G736" s="190"/>
      <c r="H736" s="155"/>
      <c r="I736" s="190"/>
      <c r="J736" s="155"/>
      <c r="K736" s="155"/>
      <c r="L736" s="155"/>
      <c r="M736" s="155"/>
    </row>
    <row r="737" ht="14.25" customHeight="1">
      <c r="A737" s="188"/>
      <c r="B737" s="189"/>
      <c r="C737" s="131"/>
      <c r="D737" s="155"/>
      <c r="E737" s="190"/>
      <c r="F737" s="190"/>
      <c r="G737" s="190"/>
      <c r="H737" s="155"/>
      <c r="I737" s="190"/>
      <c r="J737" s="155"/>
      <c r="K737" s="155"/>
      <c r="L737" s="155"/>
      <c r="M737" s="155"/>
    </row>
    <row r="738" ht="14.25" customHeight="1">
      <c r="A738" s="188"/>
      <c r="B738" s="189"/>
      <c r="C738" s="131"/>
      <c r="D738" s="155"/>
      <c r="E738" s="190"/>
      <c r="F738" s="190"/>
      <c r="G738" s="190"/>
      <c r="H738" s="155"/>
      <c r="I738" s="190"/>
      <c r="J738" s="155"/>
      <c r="K738" s="155"/>
      <c r="L738" s="155"/>
      <c r="M738" s="155"/>
    </row>
    <row r="739" ht="14.25" customHeight="1">
      <c r="A739" s="188"/>
      <c r="B739" s="189"/>
      <c r="C739" s="131"/>
      <c r="D739" s="155"/>
      <c r="E739" s="190"/>
      <c r="F739" s="190"/>
      <c r="G739" s="190"/>
      <c r="H739" s="155"/>
      <c r="I739" s="190"/>
      <c r="J739" s="155"/>
      <c r="K739" s="155"/>
      <c r="L739" s="155"/>
      <c r="M739" s="155"/>
    </row>
    <row r="740" ht="14.25" customHeight="1">
      <c r="A740" s="188"/>
      <c r="B740" s="189"/>
      <c r="C740" s="131"/>
      <c r="D740" s="155"/>
      <c r="E740" s="190"/>
      <c r="F740" s="190"/>
      <c r="G740" s="190"/>
      <c r="H740" s="155"/>
      <c r="I740" s="190"/>
      <c r="J740" s="155"/>
      <c r="K740" s="155"/>
      <c r="L740" s="155"/>
      <c r="M740" s="155"/>
    </row>
    <row r="741" ht="14.25" customHeight="1">
      <c r="A741" s="188"/>
      <c r="B741" s="189"/>
      <c r="C741" s="131"/>
      <c r="D741" s="155"/>
      <c r="E741" s="190"/>
      <c r="F741" s="190"/>
      <c r="G741" s="190"/>
      <c r="H741" s="155"/>
      <c r="I741" s="190"/>
      <c r="J741" s="155"/>
      <c r="K741" s="155"/>
      <c r="L741" s="155"/>
      <c r="M741" s="155"/>
    </row>
    <row r="742" ht="14.25" customHeight="1">
      <c r="A742" s="188"/>
      <c r="B742" s="189"/>
      <c r="C742" s="131"/>
      <c r="D742" s="155"/>
      <c r="E742" s="190"/>
      <c r="F742" s="190"/>
      <c r="G742" s="190"/>
      <c r="H742" s="155"/>
      <c r="I742" s="190"/>
      <c r="J742" s="155"/>
      <c r="K742" s="155"/>
      <c r="L742" s="155"/>
      <c r="M742" s="155"/>
    </row>
    <row r="743" ht="14.25" customHeight="1">
      <c r="A743" s="188"/>
      <c r="B743" s="189"/>
      <c r="C743" s="131"/>
      <c r="D743" s="155"/>
      <c r="E743" s="190"/>
      <c r="F743" s="190"/>
      <c r="G743" s="190"/>
      <c r="H743" s="155"/>
      <c r="I743" s="190"/>
      <c r="J743" s="155"/>
      <c r="K743" s="155"/>
      <c r="L743" s="155"/>
      <c r="M743" s="155"/>
    </row>
    <row r="744" ht="14.25" customHeight="1">
      <c r="A744" s="188"/>
      <c r="B744" s="189"/>
      <c r="C744" s="131"/>
      <c r="D744" s="155"/>
      <c r="E744" s="190"/>
      <c r="F744" s="190"/>
      <c r="G744" s="190"/>
      <c r="H744" s="155"/>
      <c r="I744" s="190"/>
      <c r="J744" s="155"/>
      <c r="K744" s="155"/>
      <c r="L744" s="155"/>
      <c r="M744" s="155"/>
    </row>
    <row r="745" ht="14.25" customHeight="1">
      <c r="A745" s="188"/>
      <c r="B745" s="189"/>
      <c r="C745" s="131"/>
      <c r="D745" s="155"/>
      <c r="E745" s="190"/>
      <c r="F745" s="190"/>
      <c r="G745" s="190"/>
      <c r="H745" s="155"/>
      <c r="I745" s="190"/>
      <c r="J745" s="155"/>
      <c r="K745" s="155"/>
      <c r="L745" s="155"/>
      <c r="M745" s="155"/>
    </row>
    <row r="746" ht="14.25" customHeight="1">
      <c r="A746" s="188"/>
      <c r="B746" s="189"/>
      <c r="C746" s="131"/>
      <c r="D746" s="155"/>
      <c r="E746" s="190"/>
      <c r="F746" s="190"/>
      <c r="G746" s="190"/>
      <c r="H746" s="155"/>
      <c r="I746" s="190"/>
      <c r="J746" s="155"/>
      <c r="K746" s="155"/>
      <c r="L746" s="155"/>
      <c r="M746" s="155"/>
    </row>
    <row r="747" ht="14.25" customHeight="1">
      <c r="A747" s="188"/>
      <c r="B747" s="189"/>
      <c r="C747" s="131"/>
      <c r="D747" s="155"/>
      <c r="E747" s="190"/>
      <c r="F747" s="190"/>
      <c r="G747" s="190"/>
      <c r="H747" s="155"/>
      <c r="I747" s="190"/>
      <c r="J747" s="155"/>
      <c r="K747" s="155"/>
      <c r="L747" s="155"/>
      <c r="M747" s="155"/>
    </row>
    <row r="748" ht="14.25" customHeight="1">
      <c r="A748" s="188"/>
      <c r="B748" s="189"/>
      <c r="C748" s="131"/>
      <c r="D748" s="155"/>
      <c r="E748" s="190"/>
      <c r="F748" s="190"/>
      <c r="G748" s="190"/>
      <c r="H748" s="155"/>
      <c r="I748" s="190"/>
      <c r="J748" s="155"/>
      <c r="K748" s="155"/>
      <c r="L748" s="155"/>
      <c r="M748" s="155"/>
    </row>
    <row r="749" ht="14.25" customHeight="1">
      <c r="A749" s="188"/>
      <c r="B749" s="189"/>
      <c r="C749" s="131"/>
      <c r="D749" s="155"/>
      <c r="E749" s="190"/>
      <c r="F749" s="190"/>
      <c r="G749" s="190"/>
      <c r="H749" s="155"/>
      <c r="I749" s="190"/>
      <c r="J749" s="155"/>
      <c r="K749" s="155"/>
      <c r="L749" s="155"/>
      <c r="M749" s="155"/>
    </row>
    <row r="750" ht="14.25" customHeight="1">
      <c r="A750" s="188"/>
      <c r="B750" s="189"/>
      <c r="C750" s="131"/>
      <c r="D750" s="155"/>
      <c r="E750" s="190"/>
      <c r="F750" s="190"/>
      <c r="G750" s="190"/>
      <c r="H750" s="155"/>
      <c r="I750" s="190"/>
      <c r="J750" s="155"/>
      <c r="K750" s="155"/>
      <c r="L750" s="155"/>
      <c r="M750" s="155"/>
    </row>
    <row r="751" ht="14.25" customHeight="1">
      <c r="A751" s="188"/>
      <c r="B751" s="189"/>
      <c r="C751" s="131"/>
      <c r="D751" s="155"/>
      <c r="E751" s="190"/>
      <c r="F751" s="190"/>
      <c r="G751" s="190"/>
      <c r="H751" s="155"/>
      <c r="I751" s="190"/>
      <c r="J751" s="155"/>
      <c r="K751" s="155"/>
      <c r="L751" s="155"/>
      <c r="M751" s="155"/>
    </row>
    <row r="752" ht="14.25" customHeight="1">
      <c r="A752" s="188"/>
      <c r="B752" s="189"/>
      <c r="C752" s="131"/>
      <c r="D752" s="155"/>
      <c r="E752" s="190"/>
      <c r="F752" s="190"/>
      <c r="G752" s="190"/>
      <c r="H752" s="155"/>
      <c r="I752" s="190"/>
      <c r="J752" s="155"/>
      <c r="K752" s="155"/>
      <c r="L752" s="155"/>
      <c r="M752" s="155"/>
    </row>
    <row r="753" ht="14.25" customHeight="1">
      <c r="A753" s="188"/>
      <c r="B753" s="189"/>
      <c r="C753" s="131"/>
      <c r="D753" s="155"/>
      <c r="E753" s="190"/>
      <c r="F753" s="190"/>
      <c r="G753" s="190"/>
      <c r="H753" s="155"/>
      <c r="I753" s="190"/>
      <c r="J753" s="155"/>
      <c r="K753" s="155"/>
      <c r="L753" s="155"/>
      <c r="M753" s="155"/>
    </row>
    <row r="754" ht="14.25" customHeight="1">
      <c r="A754" s="188"/>
      <c r="B754" s="189"/>
      <c r="C754" s="131"/>
      <c r="D754" s="155"/>
      <c r="E754" s="190"/>
      <c r="F754" s="190"/>
      <c r="G754" s="190"/>
      <c r="H754" s="155"/>
      <c r="I754" s="190"/>
      <c r="J754" s="155"/>
      <c r="K754" s="155"/>
      <c r="L754" s="155"/>
      <c r="M754" s="155"/>
    </row>
    <row r="755" ht="14.25" customHeight="1">
      <c r="A755" s="188"/>
      <c r="B755" s="189"/>
      <c r="C755" s="131"/>
      <c r="D755" s="155"/>
      <c r="E755" s="190"/>
      <c r="F755" s="190"/>
      <c r="G755" s="190"/>
      <c r="H755" s="155"/>
      <c r="I755" s="190"/>
      <c r="J755" s="155"/>
      <c r="K755" s="155"/>
      <c r="L755" s="155"/>
      <c r="M755" s="155"/>
    </row>
    <row r="756" ht="14.25" customHeight="1">
      <c r="A756" s="188"/>
      <c r="B756" s="189"/>
      <c r="C756" s="131"/>
      <c r="D756" s="155"/>
      <c r="E756" s="190"/>
      <c r="F756" s="190"/>
      <c r="G756" s="190"/>
      <c r="H756" s="155"/>
      <c r="I756" s="190"/>
      <c r="J756" s="155"/>
      <c r="K756" s="155"/>
      <c r="L756" s="155"/>
      <c r="M756" s="155"/>
    </row>
    <row r="757" ht="14.25" customHeight="1">
      <c r="A757" s="188"/>
      <c r="B757" s="189"/>
      <c r="C757" s="131"/>
      <c r="D757" s="155"/>
      <c r="E757" s="190"/>
      <c r="F757" s="190"/>
      <c r="G757" s="190"/>
      <c r="H757" s="155"/>
      <c r="I757" s="190"/>
      <c r="J757" s="155"/>
      <c r="K757" s="155"/>
      <c r="L757" s="155"/>
      <c r="M757" s="155"/>
    </row>
    <row r="758" ht="14.25" customHeight="1">
      <c r="A758" s="188"/>
      <c r="B758" s="189"/>
      <c r="C758" s="131"/>
      <c r="D758" s="155"/>
      <c r="E758" s="190"/>
      <c r="F758" s="190"/>
      <c r="G758" s="190"/>
      <c r="H758" s="155"/>
      <c r="I758" s="190"/>
      <c r="J758" s="155"/>
      <c r="K758" s="155"/>
      <c r="L758" s="155"/>
      <c r="M758" s="155"/>
    </row>
    <row r="759" ht="14.25" customHeight="1">
      <c r="A759" s="188"/>
      <c r="B759" s="189"/>
      <c r="C759" s="131"/>
      <c r="D759" s="155"/>
      <c r="E759" s="190"/>
      <c r="F759" s="190"/>
      <c r="G759" s="190"/>
      <c r="H759" s="155"/>
      <c r="I759" s="190"/>
      <c r="J759" s="155"/>
      <c r="K759" s="155"/>
      <c r="L759" s="155"/>
      <c r="M759" s="155"/>
    </row>
    <row r="760" ht="14.25" customHeight="1">
      <c r="A760" s="188"/>
      <c r="B760" s="189"/>
      <c r="C760" s="131"/>
      <c r="D760" s="155"/>
      <c r="E760" s="190"/>
      <c r="F760" s="190"/>
      <c r="G760" s="190"/>
      <c r="H760" s="155"/>
      <c r="I760" s="190"/>
      <c r="J760" s="155"/>
      <c r="K760" s="155"/>
      <c r="L760" s="155"/>
      <c r="M760" s="155"/>
    </row>
    <row r="761" ht="14.25" customHeight="1">
      <c r="A761" s="188"/>
      <c r="B761" s="189"/>
      <c r="C761" s="131"/>
      <c r="D761" s="155"/>
      <c r="E761" s="190"/>
      <c r="F761" s="190"/>
      <c r="G761" s="190"/>
      <c r="H761" s="155"/>
      <c r="I761" s="190"/>
      <c r="J761" s="155"/>
      <c r="K761" s="155"/>
      <c r="L761" s="155"/>
      <c r="M761" s="155"/>
    </row>
    <row r="762" ht="14.25" customHeight="1">
      <c r="A762" s="188"/>
      <c r="B762" s="189"/>
      <c r="C762" s="131"/>
      <c r="D762" s="155"/>
      <c r="E762" s="190"/>
      <c r="F762" s="190"/>
      <c r="G762" s="190"/>
      <c r="H762" s="155"/>
      <c r="I762" s="190"/>
      <c r="J762" s="155"/>
      <c r="K762" s="155"/>
      <c r="L762" s="155"/>
      <c r="M762" s="155"/>
    </row>
    <row r="763" ht="14.25" customHeight="1">
      <c r="A763" s="188"/>
      <c r="B763" s="189"/>
      <c r="C763" s="131"/>
      <c r="D763" s="155"/>
      <c r="E763" s="190"/>
      <c r="F763" s="190"/>
      <c r="G763" s="190"/>
      <c r="H763" s="155"/>
      <c r="I763" s="190"/>
      <c r="J763" s="155"/>
      <c r="K763" s="155"/>
      <c r="L763" s="155"/>
      <c r="M763" s="155"/>
    </row>
    <row r="764" ht="14.25" customHeight="1">
      <c r="A764" s="188"/>
      <c r="B764" s="189"/>
      <c r="C764" s="131"/>
      <c r="D764" s="155"/>
      <c r="E764" s="190"/>
      <c r="F764" s="190"/>
      <c r="G764" s="190"/>
      <c r="H764" s="155"/>
      <c r="I764" s="190"/>
      <c r="J764" s="155"/>
      <c r="K764" s="155"/>
      <c r="L764" s="155"/>
      <c r="M764" s="155"/>
    </row>
    <row r="765" ht="14.25" customHeight="1">
      <c r="A765" s="188"/>
      <c r="B765" s="189"/>
      <c r="C765" s="131"/>
      <c r="D765" s="155"/>
      <c r="E765" s="190"/>
      <c r="F765" s="190"/>
      <c r="G765" s="190"/>
      <c r="H765" s="155"/>
      <c r="I765" s="190"/>
      <c r="J765" s="155"/>
      <c r="K765" s="155"/>
      <c r="L765" s="155"/>
      <c r="M765" s="155"/>
    </row>
    <row r="766" ht="14.25" customHeight="1">
      <c r="A766" s="188"/>
      <c r="B766" s="189"/>
      <c r="C766" s="131"/>
      <c r="D766" s="155"/>
      <c r="E766" s="190"/>
      <c r="F766" s="190"/>
      <c r="G766" s="190"/>
      <c r="H766" s="155"/>
      <c r="I766" s="190"/>
      <c r="J766" s="155"/>
      <c r="K766" s="155"/>
      <c r="L766" s="155"/>
      <c r="M766" s="155"/>
    </row>
    <row r="767" ht="14.25" customHeight="1">
      <c r="A767" s="188"/>
      <c r="B767" s="189"/>
      <c r="C767" s="131"/>
      <c r="D767" s="155"/>
      <c r="E767" s="190"/>
      <c r="F767" s="190"/>
      <c r="G767" s="190"/>
      <c r="H767" s="155"/>
      <c r="I767" s="190"/>
      <c r="J767" s="155"/>
      <c r="K767" s="155"/>
      <c r="L767" s="155"/>
      <c r="M767" s="155"/>
    </row>
    <row r="768" ht="14.25" customHeight="1">
      <c r="A768" s="188"/>
      <c r="B768" s="189"/>
      <c r="C768" s="131"/>
      <c r="D768" s="155"/>
      <c r="E768" s="190"/>
      <c r="F768" s="190"/>
      <c r="G768" s="190"/>
      <c r="H768" s="155"/>
      <c r="I768" s="190"/>
      <c r="J768" s="155"/>
      <c r="K768" s="155"/>
      <c r="L768" s="155"/>
      <c r="M768" s="155"/>
    </row>
    <row r="769" ht="14.25" customHeight="1">
      <c r="A769" s="188"/>
      <c r="B769" s="189"/>
      <c r="C769" s="131"/>
      <c r="D769" s="155"/>
      <c r="E769" s="190"/>
      <c r="F769" s="190"/>
      <c r="G769" s="190"/>
      <c r="H769" s="155"/>
      <c r="I769" s="190"/>
      <c r="J769" s="155"/>
      <c r="K769" s="155"/>
      <c r="L769" s="155"/>
      <c r="M769" s="155"/>
    </row>
    <row r="770" ht="14.25" customHeight="1">
      <c r="A770" s="188"/>
      <c r="B770" s="189"/>
      <c r="C770" s="131"/>
      <c r="D770" s="155"/>
      <c r="E770" s="190"/>
      <c r="F770" s="190"/>
      <c r="G770" s="190"/>
      <c r="H770" s="155"/>
      <c r="I770" s="190"/>
      <c r="J770" s="155"/>
      <c r="K770" s="155"/>
      <c r="L770" s="155"/>
      <c r="M770" s="155"/>
    </row>
    <row r="771" ht="14.25" customHeight="1">
      <c r="A771" s="188"/>
      <c r="B771" s="189"/>
      <c r="C771" s="131"/>
      <c r="D771" s="155"/>
      <c r="E771" s="190"/>
      <c r="F771" s="190"/>
      <c r="G771" s="190"/>
      <c r="H771" s="155"/>
      <c r="I771" s="190"/>
      <c r="J771" s="155"/>
      <c r="K771" s="155"/>
      <c r="L771" s="155"/>
      <c r="M771" s="155"/>
    </row>
    <row r="772" ht="14.25" customHeight="1">
      <c r="A772" s="188"/>
      <c r="B772" s="189"/>
      <c r="C772" s="131"/>
      <c r="D772" s="155"/>
      <c r="E772" s="190"/>
      <c r="F772" s="190"/>
      <c r="G772" s="190"/>
      <c r="H772" s="155"/>
      <c r="I772" s="190"/>
      <c r="J772" s="155"/>
      <c r="K772" s="155"/>
      <c r="L772" s="155"/>
      <c r="M772" s="155"/>
    </row>
    <row r="773" ht="14.25" customHeight="1">
      <c r="A773" s="188"/>
      <c r="B773" s="189"/>
      <c r="C773" s="131"/>
      <c r="D773" s="155"/>
      <c r="E773" s="190"/>
      <c r="F773" s="190"/>
      <c r="G773" s="190"/>
      <c r="H773" s="155"/>
      <c r="I773" s="190"/>
      <c r="J773" s="155"/>
      <c r="K773" s="155"/>
      <c r="L773" s="155"/>
      <c r="M773" s="155"/>
    </row>
    <row r="774" ht="14.25" customHeight="1">
      <c r="A774" s="188"/>
      <c r="B774" s="189"/>
      <c r="C774" s="131"/>
      <c r="D774" s="155"/>
      <c r="E774" s="190"/>
      <c r="F774" s="190"/>
      <c r="G774" s="190"/>
      <c r="H774" s="155"/>
      <c r="I774" s="190"/>
      <c r="J774" s="155"/>
      <c r="K774" s="155"/>
      <c r="L774" s="155"/>
      <c r="M774" s="155"/>
    </row>
    <row r="775" ht="14.25" customHeight="1">
      <c r="A775" s="188"/>
      <c r="B775" s="189"/>
      <c r="C775" s="131"/>
      <c r="D775" s="155"/>
      <c r="E775" s="190"/>
      <c r="F775" s="190"/>
      <c r="G775" s="190"/>
      <c r="H775" s="155"/>
      <c r="I775" s="190"/>
      <c r="J775" s="155"/>
      <c r="K775" s="155"/>
      <c r="L775" s="155"/>
      <c r="M775" s="155"/>
    </row>
    <row r="776" ht="14.25" customHeight="1">
      <c r="A776" s="188"/>
      <c r="B776" s="189"/>
      <c r="C776" s="131"/>
      <c r="D776" s="155"/>
      <c r="E776" s="190"/>
      <c r="F776" s="190"/>
      <c r="G776" s="190"/>
      <c r="H776" s="155"/>
      <c r="I776" s="190"/>
      <c r="J776" s="155"/>
      <c r="K776" s="155"/>
      <c r="L776" s="155"/>
      <c r="M776" s="155"/>
    </row>
    <row r="777" ht="14.25" customHeight="1">
      <c r="A777" s="188"/>
      <c r="B777" s="189"/>
      <c r="C777" s="131"/>
      <c r="D777" s="155"/>
      <c r="E777" s="190"/>
      <c r="F777" s="190"/>
      <c r="G777" s="190"/>
      <c r="H777" s="155"/>
      <c r="I777" s="190"/>
      <c r="J777" s="155"/>
      <c r="K777" s="155"/>
      <c r="L777" s="155"/>
      <c r="M777" s="155"/>
    </row>
    <row r="778" ht="14.25" customHeight="1">
      <c r="A778" s="188"/>
      <c r="B778" s="189"/>
      <c r="C778" s="131"/>
      <c r="D778" s="155"/>
      <c r="E778" s="190"/>
      <c r="F778" s="190"/>
      <c r="G778" s="190"/>
      <c r="H778" s="155"/>
      <c r="I778" s="190"/>
      <c r="J778" s="155"/>
      <c r="K778" s="155"/>
      <c r="L778" s="155"/>
      <c r="M778" s="155"/>
    </row>
    <row r="779" ht="14.25" customHeight="1">
      <c r="A779" s="188"/>
      <c r="B779" s="189"/>
      <c r="C779" s="131"/>
      <c r="D779" s="155"/>
      <c r="E779" s="190"/>
      <c r="F779" s="190"/>
      <c r="G779" s="190"/>
      <c r="H779" s="155"/>
      <c r="I779" s="190"/>
      <c r="J779" s="155"/>
      <c r="K779" s="155"/>
      <c r="L779" s="155"/>
      <c r="M779" s="155"/>
    </row>
    <row r="780" ht="14.25" customHeight="1">
      <c r="A780" s="188"/>
      <c r="B780" s="189"/>
      <c r="C780" s="131"/>
      <c r="D780" s="155"/>
      <c r="E780" s="190"/>
      <c r="F780" s="190"/>
      <c r="G780" s="190"/>
      <c r="H780" s="155"/>
      <c r="I780" s="190"/>
      <c r="J780" s="155"/>
      <c r="K780" s="155"/>
      <c r="L780" s="155"/>
      <c r="M780" s="155"/>
    </row>
    <row r="781" ht="14.25" customHeight="1">
      <c r="A781" s="188"/>
      <c r="B781" s="189"/>
      <c r="C781" s="131"/>
      <c r="D781" s="155"/>
      <c r="E781" s="190"/>
      <c r="F781" s="190"/>
      <c r="G781" s="190"/>
      <c r="H781" s="155"/>
      <c r="I781" s="190"/>
      <c r="J781" s="155"/>
      <c r="K781" s="155"/>
      <c r="L781" s="155"/>
      <c r="M781" s="155"/>
    </row>
    <row r="782" ht="14.25" customHeight="1">
      <c r="A782" s="188"/>
      <c r="B782" s="189"/>
      <c r="C782" s="131"/>
      <c r="D782" s="155"/>
      <c r="E782" s="190"/>
      <c r="F782" s="190"/>
      <c r="G782" s="190"/>
      <c r="H782" s="155"/>
      <c r="I782" s="190"/>
      <c r="J782" s="155"/>
      <c r="K782" s="155"/>
      <c r="L782" s="155"/>
      <c r="M782" s="155"/>
    </row>
    <row r="783" ht="14.25" customHeight="1">
      <c r="A783" s="188"/>
      <c r="B783" s="189"/>
      <c r="C783" s="131"/>
      <c r="D783" s="155"/>
      <c r="E783" s="190"/>
      <c r="F783" s="190"/>
      <c r="G783" s="190"/>
      <c r="H783" s="155"/>
      <c r="I783" s="190"/>
      <c r="J783" s="155"/>
      <c r="K783" s="155"/>
      <c r="L783" s="155"/>
      <c r="M783" s="155"/>
    </row>
    <row r="784" ht="14.25" customHeight="1">
      <c r="A784" s="188"/>
      <c r="B784" s="189"/>
      <c r="C784" s="131"/>
      <c r="D784" s="155"/>
      <c r="E784" s="190"/>
      <c r="F784" s="190"/>
      <c r="G784" s="190"/>
      <c r="H784" s="155"/>
      <c r="I784" s="190"/>
      <c r="J784" s="155"/>
      <c r="K784" s="155"/>
      <c r="L784" s="155"/>
      <c r="M784" s="155"/>
    </row>
    <row r="785" ht="14.25" customHeight="1">
      <c r="A785" s="188"/>
      <c r="B785" s="189"/>
      <c r="C785" s="131"/>
      <c r="D785" s="155"/>
      <c r="E785" s="190"/>
      <c r="F785" s="190"/>
      <c r="G785" s="190"/>
      <c r="H785" s="155"/>
      <c r="I785" s="190"/>
      <c r="J785" s="155"/>
      <c r="K785" s="155"/>
      <c r="L785" s="155"/>
      <c r="M785" s="155"/>
    </row>
    <row r="786" ht="14.25" customHeight="1">
      <c r="A786" s="188"/>
      <c r="B786" s="189"/>
      <c r="C786" s="131"/>
      <c r="D786" s="155"/>
      <c r="E786" s="190"/>
      <c r="F786" s="190"/>
      <c r="G786" s="190"/>
      <c r="H786" s="155"/>
      <c r="I786" s="190"/>
      <c r="J786" s="155"/>
      <c r="K786" s="155"/>
      <c r="L786" s="155"/>
      <c r="M786" s="155"/>
    </row>
    <row r="787" ht="14.25" customHeight="1">
      <c r="A787" s="188"/>
      <c r="B787" s="189"/>
      <c r="C787" s="131"/>
      <c r="D787" s="155"/>
      <c r="E787" s="190"/>
      <c r="F787" s="190"/>
      <c r="G787" s="190"/>
      <c r="H787" s="155"/>
      <c r="I787" s="190"/>
      <c r="J787" s="155"/>
      <c r="K787" s="155"/>
      <c r="L787" s="155"/>
      <c r="M787" s="155"/>
    </row>
    <row r="788" ht="14.25" customHeight="1">
      <c r="A788" s="188"/>
      <c r="B788" s="189"/>
      <c r="C788" s="131"/>
      <c r="D788" s="155"/>
      <c r="E788" s="190"/>
      <c r="F788" s="190"/>
      <c r="G788" s="190"/>
      <c r="H788" s="155"/>
      <c r="I788" s="190"/>
      <c r="J788" s="155"/>
      <c r="K788" s="155"/>
      <c r="L788" s="155"/>
      <c r="M788" s="155"/>
    </row>
    <row r="789" ht="14.25" customHeight="1">
      <c r="A789" s="188"/>
      <c r="B789" s="189"/>
      <c r="C789" s="131"/>
      <c r="D789" s="155"/>
      <c r="E789" s="190"/>
      <c r="F789" s="190"/>
      <c r="G789" s="190"/>
      <c r="H789" s="155"/>
      <c r="I789" s="190"/>
      <c r="J789" s="155"/>
      <c r="K789" s="155"/>
      <c r="L789" s="155"/>
      <c r="M789" s="155"/>
    </row>
    <row r="790" ht="14.25" customHeight="1">
      <c r="A790" s="188"/>
      <c r="B790" s="189"/>
      <c r="C790" s="131"/>
      <c r="D790" s="155"/>
      <c r="E790" s="190"/>
      <c r="F790" s="190"/>
      <c r="G790" s="190"/>
      <c r="H790" s="155"/>
      <c r="I790" s="190"/>
      <c r="J790" s="155"/>
      <c r="K790" s="155"/>
      <c r="L790" s="155"/>
      <c r="M790" s="155"/>
    </row>
    <row r="791" ht="14.25" customHeight="1">
      <c r="A791" s="188"/>
      <c r="B791" s="189"/>
      <c r="C791" s="131"/>
      <c r="D791" s="155"/>
      <c r="E791" s="190"/>
      <c r="F791" s="190"/>
      <c r="G791" s="190"/>
      <c r="H791" s="155"/>
      <c r="I791" s="190"/>
      <c r="J791" s="155"/>
      <c r="K791" s="155"/>
      <c r="L791" s="155"/>
      <c r="M791" s="155"/>
    </row>
    <row r="792" ht="14.25" customHeight="1">
      <c r="A792" s="188"/>
      <c r="B792" s="189"/>
      <c r="C792" s="131"/>
      <c r="D792" s="155"/>
      <c r="E792" s="190"/>
      <c r="F792" s="190"/>
      <c r="G792" s="190"/>
      <c r="H792" s="155"/>
      <c r="I792" s="190"/>
      <c r="J792" s="155"/>
      <c r="K792" s="155"/>
      <c r="L792" s="155"/>
      <c r="M792" s="155"/>
    </row>
    <row r="793" ht="14.25" customHeight="1">
      <c r="A793" s="188"/>
      <c r="B793" s="189"/>
      <c r="C793" s="131"/>
      <c r="D793" s="155"/>
      <c r="E793" s="190"/>
      <c r="F793" s="190"/>
      <c r="G793" s="190"/>
      <c r="H793" s="155"/>
      <c r="I793" s="190"/>
      <c r="J793" s="155"/>
      <c r="K793" s="155"/>
      <c r="L793" s="155"/>
      <c r="M793" s="155"/>
    </row>
    <row r="794" ht="14.25" customHeight="1">
      <c r="A794" s="188"/>
      <c r="B794" s="189"/>
      <c r="C794" s="131"/>
      <c r="D794" s="155"/>
      <c r="E794" s="190"/>
      <c r="F794" s="190"/>
      <c r="G794" s="190"/>
      <c r="H794" s="155"/>
      <c r="I794" s="190"/>
      <c r="J794" s="155"/>
      <c r="K794" s="155"/>
      <c r="L794" s="155"/>
      <c r="M794" s="155"/>
    </row>
    <row r="795" ht="14.25" customHeight="1">
      <c r="A795" s="188"/>
      <c r="B795" s="189"/>
      <c r="C795" s="131"/>
      <c r="D795" s="155"/>
      <c r="E795" s="190"/>
      <c r="F795" s="190"/>
      <c r="G795" s="190"/>
      <c r="H795" s="155"/>
      <c r="I795" s="190"/>
      <c r="J795" s="155"/>
      <c r="K795" s="155"/>
      <c r="L795" s="155"/>
      <c r="M795" s="155"/>
    </row>
    <row r="796" ht="14.25" customHeight="1">
      <c r="A796" s="188"/>
      <c r="B796" s="189"/>
      <c r="C796" s="131"/>
      <c r="D796" s="155"/>
      <c r="E796" s="190"/>
      <c r="F796" s="190"/>
      <c r="G796" s="190"/>
      <c r="H796" s="155"/>
      <c r="I796" s="190"/>
      <c r="J796" s="155"/>
      <c r="K796" s="155"/>
      <c r="L796" s="155"/>
      <c r="M796" s="155"/>
    </row>
    <row r="797" ht="14.25" customHeight="1">
      <c r="A797" s="188"/>
      <c r="B797" s="189"/>
      <c r="C797" s="131"/>
      <c r="D797" s="155"/>
      <c r="E797" s="190"/>
      <c r="F797" s="190"/>
      <c r="G797" s="190"/>
      <c r="H797" s="155"/>
      <c r="I797" s="190"/>
      <c r="J797" s="155"/>
      <c r="K797" s="155"/>
      <c r="L797" s="155"/>
      <c r="M797" s="155"/>
    </row>
    <row r="798" ht="14.25" customHeight="1">
      <c r="A798" s="188"/>
      <c r="B798" s="189"/>
      <c r="C798" s="131"/>
      <c r="D798" s="155"/>
      <c r="E798" s="190"/>
      <c r="F798" s="190"/>
      <c r="G798" s="190"/>
      <c r="H798" s="155"/>
      <c r="I798" s="190"/>
      <c r="J798" s="155"/>
      <c r="K798" s="155"/>
      <c r="L798" s="155"/>
      <c r="M798" s="155"/>
    </row>
    <row r="799" ht="14.25" customHeight="1">
      <c r="A799" s="188"/>
      <c r="B799" s="189"/>
      <c r="C799" s="131"/>
      <c r="D799" s="155"/>
      <c r="E799" s="190"/>
      <c r="F799" s="190"/>
      <c r="G799" s="190"/>
      <c r="H799" s="155"/>
      <c r="I799" s="190"/>
      <c r="J799" s="155"/>
      <c r="K799" s="155"/>
      <c r="L799" s="155"/>
      <c r="M799" s="155"/>
    </row>
    <row r="800" ht="14.25" customHeight="1">
      <c r="A800" s="188"/>
      <c r="B800" s="189"/>
      <c r="C800" s="131"/>
      <c r="D800" s="155"/>
      <c r="E800" s="190"/>
      <c r="F800" s="190"/>
      <c r="G800" s="190"/>
      <c r="H800" s="155"/>
      <c r="I800" s="190"/>
      <c r="J800" s="155"/>
      <c r="K800" s="155"/>
      <c r="L800" s="155"/>
      <c r="M800" s="155"/>
    </row>
    <row r="801" ht="14.25" customHeight="1">
      <c r="A801" s="188"/>
      <c r="B801" s="189"/>
      <c r="C801" s="131"/>
      <c r="D801" s="155"/>
      <c r="E801" s="190"/>
      <c r="F801" s="190"/>
      <c r="G801" s="190"/>
      <c r="H801" s="155"/>
      <c r="I801" s="190"/>
      <c r="J801" s="155"/>
      <c r="K801" s="155"/>
      <c r="L801" s="155"/>
      <c r="M801" s="155"/>
    </row>
    <row r="802" ht="14.25" customHeight="1">
      <c r="A802" s="188"/>
      <c r="B802" s="189"/>
      <c r="C802" s="131"/>
      <c r="D802" s="155"/>
      <c r="E802" s="190"/>
      <c r="F802" s="190"/>
      <c r="G802" s="190"/>
      <c r="H802" s="155"/>
      <c r="I802" s="190"/>
      <c r="J802" s="155"/>
      <c r="K802" s="155"/>
      <c r="L802" s="155"/>
      <c r="M802" s="155"/>
    </row>
    <row r="803" ht="14.25" customHeight="1">
      <c r="A803" s="188"/>
      <c r="B803" s="189"/>
      <c r="C803" s="131"/>
      <c r="D803" s="155"/>
      <c r="E803" s="190"/>
      <c r="F803" s="190"/>
      <c r="G803" s="190"/>
      <c r="H803" s="155"/>
      <c r="I803" s="190"/>
      <c r="J803" s="155"/>
      <c r="K803" s="155"/>
      <c r="L803" s="155"/>
      <c r="M803" s="155"/>
    </row>
    <row r="804" ht="14.25" customHeight="1">
      <c r="A804" s="188"/>
      <c r="B804" s="189"/>
      <c r="C804" s="131"/>
      <c r="D804" s="155"/>
      <c r="E804" s="190"/>
      <c r="F804" s="190"/>
      <c r="G804" s="190"/>
      <c r="H804" s="155"/>
      <c r="I804" s="190"/>
      <c r="J804" s="155"/>
      <c r="K804" s="155"/>
      <c r="L804" s="155"/>
      <c r="M804" s="155"/>
    </row>
    <row r="805" ht="14.25" customHeight="1">
      <c r="A805" s="188"/>
      <c r="B805" s="189"/>
      <c r="C805" s="131"/>
      <c r="D805" s="155"/>
      <c r="E805" s="190"/>
      <c r="F805" s="190"/>
      <c r="G805" s="190"/>
      <c r="H805" s="155"/>
      <c r="I805" s="190"/>
      <c r="J805" s="155"/>
      <c r="K805" s="155"/>
      <c r="L805" s="155"/>
      <c r="M805" s="155"/>
    </row>
    <row r="806" ht="14.25" customHeight="1">
      <c r="A806" s="188"/>
      <c r="B806" s="189"/>
      <c r="C806" s="131"/>
      <c r="D806" s="155"/>
      <c r="E806" s="190"/>
      <c r="F806" s="190"/>
      <c r="G806" s="190"/>
      <c r="H806" s="155"/>
      <c r="I806" s="190"/>
      <c r="J806" s="155"/>
      <c r="K806" s="155"/>
      <c r="L806" s="155"/>
      <c r="M806" s="155"/>
    </row>
    <row r="807" ht="14.25" customHeight="1">
      <c r="A807" s="188"/>
      <c r="B807" s="189"/>
      <c r="C807" s="131"/>
      <c r="D807" s="155"/>
      <c r="E807" s="190"/>
      <c r="F807" s="190"/>
      <c r="G807" s="190"/>
      <c r="H807" s="155"/>
      <c r="I807" s="190"/>
      <c r="J807" s="155"/>
      <c r="K807" s="155"/>
      <c r="L807" s="155"/>
      <c r="M807" s="155"/>
    </row>
    <row r="808" ht="14.25" customHeight="1">
      <c r="A808" s="188"/>
      <c r="B808" s="189"/>
      <c r="C808" s="131"/>
      <c r="D808" s="155"/>
      <c r="E808" s="190"/>
      <c r="F808" s="190"/>
      <c r="G808" s="190"/>
      <c r="H808" s="155"/>
      <c r="I808" s="190"/>
      <c r="J808" s="155"/>
      <c r="K808" s="155"/>
      <c r="L808" s="155"/>
      <c r="M808" s="155"/>
    </row>
    <row r="809" ht="14.25" customHeight="1">
      <c r="A809" s="188"/>
      <c r="B809" s="189"/>
      <c r="C809" s="131"/>
      <c r="D809" s="155"/>
      <c r="E809" s="190"/>
      <c r="F809" s="190"/>
      <c r="G809" s="190"/>
      <c r="H809" s="155"/>
      <c r="I809" s="190"/>
      <c r="J809" s="155"/>
      <c r="K809" s="155"/>
      <c r="L809" s="155"/>
      <c r="M809" s="155"/>
    </row>
    <row r="810" ht="14.25" customHeight="1">
      <c r="A810" s="188"/>
      <c r="B810" s="189"/>
      <c r="C810" s="131"/>
      <c r="D810" s="155"/>
      <c r="E810" s="190"/>
      <c r="F810" s="190"/>
      <c r="G810" s="190"/>
      <c r="H810" s="155"/>
      <c r="I810" s="190"/>
      <c r="J810" s="155"/>
      <c r="K810" s="155"/>
      <c r="L810" s="155"/>
      <c r="M810" s="155"/>
    </row>
    <row r="811" ht="14.25" customHeight="1">
      <c r="A811" s="188"/>
      <c r="B811" s="189"/>
      <c r="C811" s="131"/>
      <c r="D811" s="155"/>
      <c r="E811" s="190"/>
      <c r="F811" s="190"/>
      <c r="G811" s="190"/>
      <c r="H811" s="155"/>
      <c r="I811" s="190"/>
      <c r="J811" s="155"/>
      <c r="K811" s="155"/>
      <c r="L811" s="155"/>
      <c r="M811" s="155"/>
    </row>
    <row r="812" ht="14.25" customHeight="1">
      <c r="A812" s="188"/>
      <c r="B812" s="189"/>
      <c r="C812" s="131"/>
      <c r="D812" s="155"/>
      <c r="E812" s="190"/>
      <c r="F812" s="190"/>
      <c r="G812" s="190"/>
      <c r="H812" s="155"/>
      <c r="I812" s="190"/>
      <c r="J812" s="155"/>
      <c r="K812" s="155"/>
      <c r="L812" s="155"/>
      <c r="M812" s="155"/>
    </row>
    <row r="813" ht="14.25" customHeight="1">
      <c r="A813" s="188"/>
      <c r="B813" s="189"/>
      <c r="C813" s="131"/>
      <c r="D813" s="155"/>
      <c r="E813" s="190"/>
      <c r="F813" s="190"/>
      <c r="G813" s="190"/>
      <c r="H813" s="155"/>
      <c r="I813" s="190"/>
      <c r="J813" s="155"/>
      <c r="K813" s="155"/>
      <c r="L813" s="155"/>
      <c r="M813" s="155"/>
    </row>
    <row r="814" ht="14.25" customHeight="1">
      <c r="A814" s="188"/>
      <c r="B814" s="189"/>
      <c r="C814" s="131"/>
      <c r="D814" s="155"/>
      <c r="E814" s="190"/>
      <c r="F814" s="190"/>
      <c r="G814" s="190"/>
      <c r="H814" s="155"/>
      <c r="I814" s="190"/>
      <c r="J814" s="155"/>
      <c r="K814" s="155"/>
      <c r="L814" s="155"/>
      <c r="M814" s="155"/>
    </row>
    <row r="815" ht="14.25" customHeight="1">
      <c r="A815" s="188"/>
      <c r="B815" s="189"/>
      <c r="C815" s="131"/>
      <c r="D815" s="155"/>
      <c r="E815" s="190"/>
      <c r="F815" s="190"/>
      <c r="G815" s="190"/>
      <c r="H815" s="155"/>
      <c r="I815" s="190"/>
      <c r="J815" s="155"/>
      <c r="K815" s="155"/>
      <c r="L815" s="155"/>
      <c r="M815" s="155"/>
    </row>
    <row r="816" ht="14.25" customHeight="1">
      <c r="A816" s="188"/>
      <c r="B816" s="189"/>
      <c r="C816" s="131"/>
      <c r="D816" s="155"/>
      <c r="E816" s="190"/>
      <c r="F816" s="190"/>
      <c r="G816" s="190"/>
      <c r="H816" s="155"/>
      <c r="I816" s="190"/>
      <c r="J816" s="155"/>
      <c r="K816" s="155"/>
      <c r="L816" s="155"/>
      <c r="M816" s="155"/>
    </row>
    <row r="817" ht="14.25" customHeight="1">
      <c r="A817" s="188"/>
      <c r="B817" s="189"/>
      <c r="C817" s="131"/>
      <c r="D817" s="155"/>
      <c r="E817" s="190"/>
      <c r="F817" s="190"/>
      <c r="G817" s="190"/>
      <c r="H817" s="155"/>
      <c r="I817" s="190"/>
      <c r="J817" s="155"/>
      <c r="K817" s="155"/>
      <c r="L817" s="155"/>
      <c r="M817" s="155"/>
    </row>
    <row r="818" ht="14.25" customHeight="1">
      <c r="A818" s="188"/>
      <c r="B818" s="189"/>
      <c r="C818" s="131"/>
      <c r="D818" s="155"/>
      <c r="E818" s="190"/>
      <c r="F818" s="190"/>
      <c r="G818" s="190"/>
      <c r="H818" s="155"/>
      <c r="I818" s="190"/>
      <c r="J818" s="155"/>
      <c r="K818" s="155"/>
      <c r="L818" s="155"/>
      <c r="M818" s="155"/>
    </row>
    <row r="819" ht="14.25" customHeight="1">
      <c r="A819" s="188"/>
      <c r="B819" s="189"/>
      <c r="C819" s="131"/>
      <c r="D819" s="155"/>
      <c r="E819" s="190"/>
      <c r="F819" s="190"/>
      <c r="G819" s="190"/>
      <c r="H819" s="155"/>
      <c r="I819" s="190"/>
      <c r="J819" s="155"/>
      <c r="K819" s="155"/>
      <c r="L819" s="155"/>
      <c r="M819" s="155"/>
    </row>
    <row r="820" ht="14.25" customHeight="1">
      <c r="A820" s="188"/>
      <c r="B820" s="189"/>
      <c r="C820" s="131"/>
      <c r="D820" s="155"/>
      <c r="E820" s="190"/>
      <c r="F820" s="190"/>
      <c r="G820" s="190"/>
      <c r="H820" s="155"/>
      <c r="I820" s="190"/>
      <c r="J820" s="155"/>
      <c r="K820" s="155"/>
      <c r="L820" s="155"/>
      <c r="M820" s="155"/>
    </row>
    <row r="821" ht="14.25" customHeight="1">
      <c r="A821" s="188"/>
      <c r="B821" s="189"/>
      <c r="C821" s="131"/>
      <c r="D821" s="155"/>
      <c r="E821" s="190"/>
      <c r="F821" s="190"/>
      <c r="G821" s="190"/>
      <c r="H821" s="155"/>
      <c r="I821" s="190"/>
      <c r="J821" s="155"/>
      <c r="K821" s="155"/>
      <c r="L821" s="155"/>
      <c r="M821" s="155"/>
    </row>
    <row r="822" ht="14.25" customHeight="1">
      <c r="A822" s="188"/>
      <c r="B822" s="189"/>
      <c r="C822" s="131"/>
      <c r="D822" s="155"/>
      <c r="E822" s="190"/>
      <c r="F822" s="190"/>
      <c r="G822" s="190"/>
      <c r="H822" s="155"/>
      <c r="I822" s="190"/>
      <c r="J822" s="155"/>
      <c r="K822" s="155"/>
      <c r="L822" s="155"/>
      <c r="M822" s="155"/>
    </row>
    <row r="823" ht="14.25" customHeight="1">
      <c r="A823" s="188"/>
      <c r="B823" s="189"/>
      <c r="C823" s="131"/>
      <c r="D823" s="155"/>
      <c r="E823" s="190"/>
      <c r="F823" s="190"/>
      <c r="G823" s="190"/>
      <c r="H823" s="155"/>
      <c r="I823" s="190"/>
      <c r="J823" s="155"/>
      <c r="K823" s="155"/>
      <c r="L823" s="155"/>
      <c r="M823" s="155"/>
    </row>
    <row r="824" ht="14.25" customHeight="1">
      <c r="A824" s="188"/>
      <c r="B824" s="189"/>
      <c r="C824" s="131"/>
      <c r="D824" s="155"/>
      <c r="E824" s="190"/>
      <c r="F824" s="190"/>
      <c r="G824" s="190"/>
      <c r="H824" s="155"/>
      <c r="I824" s="190"/>
      <c r="J824" s="155"/>
      <c r="K824" s="155"/>
      <c r="L824" s="155"/>
      <c r="M824" s="155"/>
    </row>
    <row r="825" ht="14.25" customHeight="1">
      <c r="A825" s="188"/>
      <c r="B825" s="189"/>
      <c r="C825" s="131"/>
      <c r="D825" s="155"/>
      <c r="E825" s="190"/>
      <c r="F825" s="190"/>
      <c r="G825" s="190"/>
      <c r="H825" s="155"/>
      <c r="I825" s="190"/>
      <c r="J825" s="155"/>
      <c r="K825" s="155"/>
      <c r="L825" s="155"/>
      <c r="M825" s="155"/>
    </row>
    <row r="826" ht="14.25" customHeight="1">
      <c r="A826" s="188"/>
      <c r="B826" s="189"/>
      <c r="C826" s="131"/>
      <c r="D826" s="155"/>
      <c r="E826" s="190"/>
      <c r="F826" s="190"/>
      <c r="G826" s="190"/>
      <c r="H826" s="155"/>
      <c r="I826" s="190"/>
      <c r="J826" s="155"/>
      <c r="K826" s="155"/>
      <c r="L826" s="155"/>
      <c r="M826" s="155"/>
    </row>
    <row r="827" ht="14.25" customHeight="1">
      <c r="A827" s="188"/>
      <c r="B827" s="189"/>
      <c r="C827" s="131"/>
      <c r="D827" s="155"/>
      <c r="E827" s="190"/>
      <c r="F827" s="190"/>
      <c r="G827" s="190"/>
      <c r="H827" s="155"/>
      <c r="I827" s="190"/>
      <c r="J827" s="155"/>
      <c r="K827" s="155"/>
      <c r="L827" s="155"/>
      <c r="M827" s="155"/>
    </row>
    <row r="828" ht="14.25" customHeight="1">
      <c r="A828" s="188"/>
      <c r="B828" s="189"/>
      <c r="C828" s="131"/>
      <c r="D828" s="155"/>
      <c r="E828" s="190"/>
      <c r="F828" s="190"/>
      <c r="G828" s="190"/>
      <c r="H828" s="155"/>
      <c r="I828" s="190"/>
      <c r="J828" s="155"/>
      <c r="K828" s="155"/>
      <c r="L828" s="155"/>
      <c r="M828" s="155"/>
    </row>
    <row r="829" ht="14.25" customHeight="1">
      <c r="A829" s="188"/>
      <c r="B829" s="189"/>
      <c r="C829" s="131"/>
      <c r="D829" s="155"/>
      <c r="E829" s="190"/>
      <c r="F829" s="190"/>
      <c r="G829" s="190"/>
      <c r="H829" s="155"/>
      <c r="I829" s="190"/>
      <c r="J829" s="155"/>
      <c r="K829" s="155"/>
      <c r="L829" s="155"/>
      <c r="M829" s="155"/>
    </row>
    <row r="830" ht="14.25" customHeight="1">
      <c r="A830" s="188"/>
      <c r="B830" s="189"/>
      <c r="C830" s="131"/>
      <c r="D830" s="155"/>
      <c r="E830" s="190"/>
      <c r="F830" s="190"/>
      <c r="G830" s="190"/>
      <c r="H830" s="155"/>
      <c r="I830" s="190"/>
      <c r="J830" s="155"/>
      <c r="K830" s="155"/>
      <c r="L830" s="155"/>
      <c r="M830" s="155"/>
    </row>
    <row r="831" ht="14.25" customHeight="1">
      <c r="A831" s="188"/>
      <c r="B831" s="189"/>
      <c r="C831" s="131"/>
      <c r="D831" s="155"/>
      <c r="E831" s="190"/>
      <c r="F831" s="190"/>
      <c r="G831" s="190"/>
      <c r="H831" s="155"/>
      <c r="I831" s="190"/>
      <c r="J831" s="155"/>
      <c r="K831" s="155"/>
      <c r="L831" s="155"/>
      <c r="M831" s="155"/>
    </row>
    <row r="832" ht="14.25" customHeight="1">
      <c r="A832" s="188"/>
      <c r="B832" s="189"/>
      <c r="C832" s="131"/>
      <c r="D832" s="155"/>
      <c r="E832" s="190"/>
      <c r="F832" s="190"/>
      <c r="G832" s="190"/>
      <c r="H832" s="155"/>
      <c r="I832" s="190"/>
      <c r="J832" s="155"/>
      <c r="K832" s="155"/>
      <c r="L832" s="155"/>
      <c r="M832" s="155"/>
    </row>
    <row r="833" ht="14.25" customHeight="1">
      <c r="A833" s="188"/>
      <c r="B833" s="189"/>
      <c r="C833" s="131"/>
      <c r="D833" s="155"/>
      <c r="E833" s="190"/>
      <c r="F833" s="190"/>
      <c r="G833" s="190"/>
      <c r="H833" s="155"/>
      <c r="I833" s="190"/>
      <c r="J833" s="155"/>
      <c r="K833" s="155"/>
      <c r="L833" s="155"/>
      <c r="M833" s="155"/>
    </row>
    <row r="834" ht="14.25" customHeight="1">
      <c r="A834" s="188"/>
      <c r="B834" s="189"/>
      <c r="C834" s="131"/>
      <c r="D834" s="155"/>
      <c r="E834" s="190"/>
      <c r="F834" s="190"/>
      <c r="G834" s="190"/>
      <c r="H834" s="155"/>
      <c r="I834" s="190"/>
      <c r="J834" s="155"/>
      <c r="K834" s="155"/>
      <c r="L834" s="155"/>
      <c r="M834" s="155"/>
    </row>
    <row r="835" ht="14.25" customHeight="1">
      <c r="A835" s="188"/>
      <c r="B835" s="189"/>
      <c r="C835" s="131"/>
      <c r="D835" s="155"/>
      <c r="E835" s="190"/>
      <c r="F835" s="190"/>
      <c r="G835" s="190"/>
      <c r="H835" s="155"/>
      <c r="I835" s="190"/>
      <c r="J835" s="155"/>
      <c r="K835" s="155"/>
      <c r="L835" s="155"/>
      <c r="M835" s="155"/>
    </row>
    <row r="836" ht="14.25" customHeight="1">
      <c r="A836" s="188"/>
      <c r="B836" s="189"/>
      <c r="C836" s="131"/>
      <c r="D836" s="155"/>
      <c r="E836" s="190"/>
      <c r="F836" s="190"/>
      <c r="G836" s="190"/>
      <c r="H836" s="155"/>
      <c r="I836" s="190"/>
      <c r="J836" s="155"/>
      <c r="K836" s="155"/>
      <c r="L836" s="155"/>
      <c r="M836" s="155"/>
    </row>
    <row r="837" ht="14.25" customHeight="1">
      <c r="A837" s="188"/>
      <c r="B837" s="189"/>
      <c r="C837" s="131"/>
      <c r="D837" s="155"/>
      <c r="E837" s="190"/>
      <c r="F837" s="190"/>
      <c r="G837" s="190"/>
      <c r="H837" s="155"/>
      <c r="I837" s="190"/>
      <c r="J837" s="155"/>
      <c r="K837" s="155"/>
      <c r="L837" s="155"/>
      <c r="M837" s="155"/>
    </row>
    <row r="838" ht="14.25" customHeight="1">
      <c r="A838" s="188"/>
      <c r="B838" s="189"/>
      <c r="C838" s="131"/>
      <c r="D838" s="155"/>
      <c r="E838" s="190"/>
      <c r="F838" s="190"/>
      <c r="G838" s="190"/>
      <c r="H838" s="155"/>
      <c r="I838" s="190"/>
      <c r="J838" s="155"/>
      <c r="K838" s="155"/>
      <c r="L838" s="155"/>
      <c r="M838" s="155"/>
    </row>
    <row r="839" ht="14.25" customHeight="1">
      <c r="A839" s="188"/>
      <c r="B839" s="189"/>
      <c r="C839" s="131"/>
      <c r="D839" s="155"/>
      <c r="E839" s="190"/>
      <c r="F839" s="190"/>
      <c r="G839" s="190"/>
      <c r="H839" s="155"/>
      <c r="I839" s="190"/>
      <c r="J839" s="155"/>
      <c r="K839" s="155"/>
      <c r="L839" s="155"/>
      <c r="M839" s="155"/>
    </row>
    <row r="840" ht="14.25" customHeight="1">
      <c r="A840" s="188"/>
      <c r="B840" s="189"/>
      <c r="C840" s="131"/>
      <c r="D840" s="155"/>
      <c r="E840" s="190"/>
      <c r="F840" s="190"/>
      <c r="G840" s="190"/>
      <c r="H840" s="155"/>
      <c r="I840" s="190"/>
      <c r="J840" s="155"/>
      <c r="K840" s="155"/>
      <c r="L840" s="155"/>
      <c r="M840" s="155"/>
    </row>
    <row r="841" ht="14.25" customHeight="1">
      <c r="A841" s="188"/>
      <c r="B841" s="189"/>
      <c r="C841" s="131"/>
      <c r="D841" s="155"/>
      <c r="E841" s="190"/>
      <c r="F841" s="190"/>
      <c r="G841" s="190"/>
      <c r="H841" s="155"/>
      <c r="I841" s="190"/>
      <c r="J841" s="155"/>
      <c r="K841" s="155"/>
      <c r="L841" s="155"/>
      <c r="M841" s="155"/>
    </row>
    <row r="842" ht="14.25" customHeight="1">
      <c r="A842" s="188"/>
      <c r="B842" s="189"/>
      <c r="C842" s="131"/>
      <c r="D842" s="155"/>
      <c r="E842" s="190"/>
      <c r="F842" s="190"/>
      <c r="G842" s="190"/>
      <c r="H842" s="155"/>
      <c r="I842" s="190"/>
      <c r="J842" s="155"/>
      <c r="K842" s="155"/>
      <c r="L842" s="155"/>
      <c r="M842" s="155"/>
    </row>
    <row r="843" ht="14.25" customHeight="1">
      <c r="A843" s="188"/>
      <c r="B843" s="189"/>
      <c r="C843" s="131"/>
      <c r="D843" s="155"/>
      <c r="E843" s="190"/>
      <c r="F843" s="190"/>
      <c r="G843" s="190"/>
      <c r="H843" s="155"/>
      <c r="I843" s="190"/>
      <c r="J843" s="155"/>
      <c r="K843" s="155"/>
      <c r="L843" s="155"/>
      <c r="M843" s="155"/>
    </row>
    <row r="844" ht="14.25" customHeight="1">
      <c r="A844" s="188"/>
      <c r="B844" s="189"/>
      <c r="C844" s="131"/>
      <c r="D844" s="155"/>
      <c r="E844" s="190"/>
      <c r="F844" s="190"/>
      <c r="G844" s="190"/>
      <c r="H844" s="155"/>
      <c r="I844" s="190"/>
      <c r="J844" s="155"/>
      <c r="K844" s="155"/>
      <c r="L844" s="155"/>
      <c r="M844" s="155"/>
    </row>
    <row r="845" ht="14.25" customHeight="1">
      <c r="A845" s="188"/>
      <c r="B845" s="189"/>
      <c r="C845" s="131"/>
      <c r="D845" s="155"/>
      <c r="E845" s="190"/>
      <c r="F845" s="190"/>
      <c r="G845" s="190"/>
      <c r="H845" s="155"/>
      <c r="I845" s="190"/>
      <c r="J845" s="155"/>
      <c r="K845" s="155"/>
      <c r="L845" s="155"/>
      <c r="M845" s="155"/>
    </row>
    <row r="846" ht="14.25" customHeight="1">
      <c r="A846" s="188"/>
      <c r="B846" s="189"/>
      <c r="C846" s="131"/>
      <c r="D846" s="155"/>
      <c r="E846" s="190"/>
      <c r="F846" s="190"/>
      <c r="G846" s="190"/>
      <c r="H846" s="155"/>
      <c r="I846" s="190"/>
      <c r="J846" s="155"/>
      <c r="K846" s="155"/>
      <c r="L846" s="155"/>
      <c r="M846" s="155"/>
    </row>
    <row r="847" ht="14.25" customHeight="1">
      <c r="A847" s="188"/>
      <c r="B847" s="189"/>
      <c r="C847" s="131"/>
      <c r="D847" s="155"/>
      <c r="E847" s="190"/>
      <c r="F847" s="190"/>
      <c r="G847" s="190"/>
      <c r="H847" s="155"/>
      <c r="I847" s="190"/>
      <c r="J847" s="155"/>
      <c r="K847" s="155"/>
      <c r="L847" s="155"/>
      <c r="M847" s="155"/>
    </row>
    <row r="848" ht="14.25" customHeight="1">
      <c r="A848" s="188"/>
      <c r="B848" s="189"/>
      <c r="C848" s="131"/>
      <c r="D848" s="155"/>
      <c r="E848" s="190"/>
      <c r="F848" s="190"/>
      <c r="G848" s="190"/>
      <c r="H848" s="155"/>
      <c r="I848" s="190"/>
      <c r="J848" s="155"/>
      <c r="K848" s="155"/>
      <c r="L848" s="155"/>
      <c r="M848" s="155"/>
    </row>
    <row r="849" ht="14.25" customHeight="1">
      <c r="A849" s="188"/>
      <c r="B849" s="189"/>
      <c r="C849" s="131"/>
      <c r="D849" s="155"/>
      <c r="E849" s="190"/>
      <c r="F849" s="190"/>
      <c r="G849" s="190"/>
      <c r="H849" s="155"/>
      <c r="I849" s="190"/>
      <c r="J849" s="155"/>
      <c r="K849" s="155"/>
      <c r="L849" s="155"/>
      <c r="M849" s="155"/>
    </row>
    <row r="850" ht="14.25" customHeight="1">
      <c r="A850" s="188"/>
      <c r="B850" s="189"/>
      <c r="C850" s="131"/>
      <c r="D850" s="155"/>
      <c r="E850" s="190"/>
      <c r="F850" s="190"/>
      <c r="G850" s="190"/>
      <c r="H850" s="155"/>
      <c r="I850" s="190"/>
      <c r="J850" s="155"/>
      <c r="K850" s="155"/>
      <c r="L850" s="155"/>
      <c r="M850" s="155"/>
    </row>
    <row r="851" ht="14.25" customHeight="1">
      <c r="A851" s="188"/>
      <c r="B851" s="189"/>
      <c r="C851" s="131"/>
      <c r="D851" s="155"/>
      <c r="E851" s="190"/>
      <c r="F851" s="190"/>
      <c r="G851" s="190"/>
      <c r="H851" s="155"/>
      <c r="I851" s="190"/>
      <c r="J851" s="155"/>
      <c r="K851" s="155"/>
      <c r="L851" s="155"/>
      <c r="M851" s="155"/>
    </row>
    <row r="852" ht="14.25" customHeight="1">
      <c r="A852" s="188"/>
      <c r="B852" s="189"/>
      <c r="C852" s="131"/>
      <c r="D852" s="155"/>
      <c r="E852" s="190"/>
      <c r="F852" s="190"/>
      <c r="G852" s="190"/>
      <c r="H852" s="155"/>
      <c r="I852" s="190"/>
      <c r="J852" s="155"/>
      <c r="K852" s="155"/>
      <c r="L852" s="155"/>
      <c r="M852" s="155"/>
    </row>
    <row r="853" ht="14.25" customHeight="1">
      <c r="A853" s="188"/>
      <c r="B853" s="189"/>
      <c r="C853" s="131"/>
      <c r="D853" s="155"/>
      <c r="E853" s="190"/>
      <c r="F853" s="190"/>
      <c r="G853" s="190"/>
      <c r="H853" s="155"/>
      <c r="I853" s="190"/>
      <c r="J853" s="155"/>
      <c r="K853" s="155"/>
      <c r="L853" s="155"/>
      <c r="M853" s="155"/>
    </row>
    <row r="854" ht="14.25" customHeight="1">
      <c r="A854" s="188"/>
      <c r="B854" s="189"/>
      <c r="C854" s="131"/>
      <c r="D854" s="155"/>
      <c r="E854" s="190"/>
      <c r="F854" s="190"/>
      <c r="G854" s="190"/>
      <c r="H854" s="155"/>
      <c r="I854" s="190"/>
      <c r="J854" s="155"/>
      <c r="K854" s="155"/>
      <c r="L854" s="155"/>
      <c r="M854" s="155"/>
    </row>
    <row r="855" ht="14.25" customHeight="1">
      <c r="A855" s="188"/>
      <c r="B855" s="189"/>
      <c r="C855" s="131"/>
      <c r="D855" s="155"/>
      <c r="E855" s="190"/>
      <c r="F855" s="190"/>
      <c r="G855" s="190"/>
      <c r="H855" s="155"/>
      <c r="I855" s="190"/>
      <c r="J855" s="155"/>
      <c r="K855" s="155"/>
      <c r="L855" s="155"/>
      <c r="M855" s="155"/>
    </row>
    <row r="856" ht="14.25" customHeight="1">
      <c r="A856" s="188"/>
      <c r="B856" s="189"/>
      <c r="C856" s="131"/>
      <c r="D856" s="155"/>
      <c r="E856" s="190"/>
      <c r="F856" s="190"/>
      <c r="G856" s="190"/>
      <c r="H856" s="155"/>
      <c r="I856" s="190"/>
      <c r="J856" s="155"/>
      <c r="K856" s="155"/>
      <c r="L856" s="155"/>
      <c r="M856" s="155"/>
    </row>
    <row r="857" ht="14.25" customHeight="1">
      <c r="A857" s="188"/>
      <c r="B857" s="189"/>
      <c r="C857" s="131"/>
      <c r="D857" s="155"/>
      <c r="E857" s="190"/>
      <c r="F857" s="190"/>
      <c r="G857" s="190"/>
      <c r="H857" s="155"/>
      <c r="I857" s="190"/>
      <c r="J857" s="155"/>
      <c r="K857" s="155"/>
      <c r="L857" s="155"/>
      <c r="M857" s="155"/>
    </row>
    <row r="858" ht="14.25" customHeight="1">
      <c r="A858" s="188"/>
      <c r="B858" s="189"/>
      <c r="C858" s="131"/>
      <c r="D858" s="155"/>
      <c r="E858" s="190"/>
      <c r="F858" s="190"/>
      <c r="G858" s="190"/>
      <c r="H858" s="155"/>
      <c r="I858" s="190"/>
      <c r="J858" s="155"/>
      <c r="K858" s="155"/>
      <c r="L858" s="155"/>
      <c r="M858" s="155"/>
    </row>
    <row r="859" ht="14.25" customHeight="1">
      <c r="A859" s="188"/>
      <c r="B859" s="189"/>
      <c r="C859" s="131"/>
      <c r="D859" s="155"/>
      <c r="E859" s="190"/>
      <c r="F859" s="190"/>
      <c r="G859" s="190"/>
      <c r="H859" s="155"/>
      <c r="I859" s="190"/>
      <c r="J859" s="155"/>
      <c r="K859" s="155"/>
      <c r="L859" s="155"/>
      <c r="M859" s="155"/>
    </row>
    <row r="860" ht="14.25" customHeight="1">
      <c r="A860" s="188"/>
      <c r="B860" s="189"/>
      <c r="C860" s="131"/>
      <c r="D860" s="155"/>
      <c r="E860" s="190"/>
      <c r="F860" s="190"/>
      <c r="G860" s="190"/>
      <c r="H860" s="155"/>
      <c r="I860" s="190"/>
      <c r="J860" s="155"/>
      <c r="K860" s="155"/>
      <c r="L860" s="155"/>
      <c r="M860" s="155"/>
    </row>
    <row r="861" ht="14.25" customHeight="1">
      <c r="A861" s="188"/>
      <c r="B861" s="189"/>
      <c r="C861" s="131"/>
      <c r="D861" s="155"/>
      <c r="E861" s="190"/>
      <c r="F861" s="190"/>
      <c r="G861" s="190"/>
      <c r="H861" s="155"/>
      <c r="I861" s="190"/>
      <c r="J861" s="155"/>
      <c r="K861" s="155"/>
      <c r="L861" s="155"/>
      <c r="M861" s="155"/>
    </row>
    <row r="862" ht="14.25" customHeight="1">
      <c r="A862" s="188"/>
      <c r="B862" s="189"/>
      <c r="C862" s="131"/>
      <c r="D862" s="155"/>
      <c r="E862" s="190"/>
      <c r="F862" s="190"/>
      <c r="G862" s="190"/>
      <c r="H862" s="155"/>
      <c r="I862" s="190"/>
      <c r="J862" s="155"/>
      <c r="K862" s="155"/>
      <c r="L862" s="155"/>
      <c r="M862" s="155"/>
    </row>
    <row r="863" ht="14.25" customHeight="1">
      <c r="A863" s="188"/>
      <c r="B863" s="189"/>
      <c r="C863" s="131"/>
      <c r="D863" s="155"/>
      <c r="E863" s="190"/>
      <c r="F863" s="190"/>
      <c r="G863" s="190"/>
      <c r="H863" s="155"/>
      <c r="I863" s="190"/>
      <c r="J863" s="155"/>
      <c r="K863" s="155"/>
      <c r="L863" s="155"/>
      <c r="M863" s="155"/>
    </row>
    <row r="864" ht="14.25" customHeight="1">
      <c r="A864" s="188"/>
      <c r="B864" s="189"/>
      <c r="C864" s="131"/>
      <c r="D864" s="155"/>
      <c r="E864" s="190"/>
      <c r="F864" s="190"/>
      <c r="G864" s="190"/>
      <c r="H864" s="155"/>
      <c r="I864" s="190"/>
      <c r="J864" s="155"/>
      <c r="K864" s="155"/>
      <c r="L864" s="155"/>
      <c r="M864" s="155"/>
    </row>
    <row r="865" ht="14.25" customHeight="1">
      <c r="A865" s="188"/>
      <c r="B865" s="189"/>
      <c r="C865" s="131"/>
      <c r="D865" s="155"/>
      <c r="E865" s="190"/>
      <c r="F865" s="190"/>
      <c r="G865" s="190"/>
      <c r="H865" s="155"/>
      <c r="I865" s="190"/>
      <c r="J865" s="155"/>
      <c r="K865" s="155"/>
      <c r="L865" s="155"/>
      <c r="M865" s="155"/>
    </row>
    <row r="866" ht="14.25" customHeight="1">
      <c r="A866" s="188"/>
      <c r="B866" s="189"/>
      <c r="C866" s="131"/>
      <c r="D866" s="155"/>
      <c r="E866" s="190"/>
      <c r="F866" s="190"/>
      <c r="G866" s="190"/>
      <c r="H866" s="155"/>
      <c r="I866" s="190"/>
      <c r="J866" s="155"/>
      <c r="K866" s="155"/>
      <c r="L866" s="155"/>
      <c r="M866" s="155"/>
    </row>
    <row r="867" ht="14.25" customHeight="1">
      <c r="A867" s="188"/>
      <c r="B867" s="189"/>
      <c r="C867" s="131"/>
      <c r="D867" s="155"/>
      <c r="E867" s="190"/>
      <c r="F867" s="190"/>
      <c r="G867" s="190"/>
      <c r="H867" s="155"/>
      <c r="I867" s="190"/>
      <c r="J867" s="155"/>
      <c r="K867" s="155"/>
      <c r="L867" s="155"/>
      <c r="M867" s="155"/>
    </row>
    <row r="868" ht="14.25" customHeight="1">
      <c r="A868" s="188"/>
      <c r="B868" s="189"/>
      <c r="C868" s="131"/>
      <c r="D868" s="155"/>
      <c r="E868" s="190"/>
      <c r="F868" s="190"/>
      <c r="G868" s="190"/>
      <c r="H868" s="155"/>
      <c r="I868" s="190"/>
      <c r="J868" s="155"/>
      <c r="K868" s="155"/>
      <c r="L868" s="155"/>
      <c r="M868" s="155"/>
    </row>
    <row r="869" ht="14.25" customHeight="1">
      <c r="A869" s="188"/>
      <c r="B869" s="189"/>
      <c r="C869" s="131"/>
      <c r="D869" s="155"/>
      <c r="E869" s="190"/>
      <c r="F869" s="190"/>
      <c r="G869" s="190"/>
      <c r="H869" s="155"/>
      <c r="I869" s="190"/>
      <c r="J869" s="155"/>
      <c r="K869" s="155"/>
      <c r="L869" s="155"/>
      <c r="M869" s="155"/>
    </row>
    <row r="870" ht="14.25" customHeight="1">
      <c r="A870" s="188"/>
      <c r="B870" s="189"/>
      <c r="C870" s="131"/>
      <c r="D870" s="155"/>
      <c r="E870" s="190"/>
      <c r="F870" s="190"/>
      <c r="G870" s="190"/>
      <c r="H870" s="155"/>
      <c r="I870" s="190"/>
      <c r="J870" s="155"/>
      <c r="K870" s="155"/>
      <c r="L870" s="155"/>
      <c r="M870" s="155"/>
    </row>
    <row r="871" ht="14.25" customHeight="1">
      <c r="A871" s="188"/>
      <c r="B871" s="189"/>
      <c r="C871" s="131"/>
      <c r="D871" s="155"/>
      <c r="E871" s="190"/>
      <c r="F871" s="190"/>
      <c r="G871" s="190"/>
      <c r="H871" s="155"/>
      <c r="I871" s="190"/>
      <c r="J871" s="155"/>
      <c r="K871" s="155"/>
      <c r="L871" s="155"/>
      <c r="M871" s="155"/>
    </row>
    <row r="872" ht="14.25" customHeight="1">
      <c r="A872" s="188"/>
      <c r="B872" s="189"/>
      <c r="C872" s="131"/>
      <c r="D872" s="155"/>
      <c r="E872" s="190"/>
      <c r="F872" s="190"/>
      <c r="G872" s="190"/>
      <c r="H872" s="155"/>
      <c r="I872" s="190"/>
      <c r="J872" s="155"/>
      <c r="K872" s="155"/>
      <c r="L872" s="155"/>
      <c r="M872" s="155"/>
    </row>
    <row r="873" ht="14.25" customHeight="1">
      <c r="A873" s="188"/>
      <c r="B873" s="189"/>
      <c r="C873" s="131"/>
      <c r="D873" s="155"/>
      <c r="E873" s="190"/>
      <c r="F873" s="190"/>
      <c r="G873" s="190"/>
      <c r="H873" s="155"/>
      <c r="I873" s="190"/>
      <c r="J873" s="155"/>
      <c r="K873" s="155"/>
      <c r="L873" s="155"/>
      <c r="M873" s="155"/>
    </row>
    <row r="874" ht="14.25" customHeight="1">
      <c r="A874" s="188"/>
      <c r="B874" s="189"/>
      <c r="C874" s="131"/>
      <c r="D874" s="155"/>
      <c r="E874" s="190"/>
      <c r="F874" s="190"/>
      <c r="G874" s="190"/>
      <c r="H874" s="155"/>
      <c r="I874" s="190"/>
      <c r="J874" s="155"/>
      <c r="K874" s="155"/>
      <c r="L874" s="155"/>
      <c r="M874" s="155"/>
    </row>
    <row r="875" ht="14.25" customHeight="1">
      <c r="A875" s="188"/>
      <c r="B875" s="189"/>
      <c r="C875" s="131"/>
      <c r="D875" s="155"/>
      <c r="E875" s="190"/>
      <c r="F875" s="190"/>
      <c r="G875" s="190"/>
      <c r="H875" s="155"/>
      <c r="I875" s="190"/>
      <c r="J875" s="155"/>
      <c r="K875" s="155"/>
      <c r="L875" s="155"/>
      <c r="M875" s="155"/>
    </row>
    <row r="876" ht="14.25" customHeight="1">
      <c r="A876" s="188"/>
      <c r="B876" s="189"/>
      <c r="C876" s="131"/>
      <c r="D876" s="155"/>
      <c r="E876" s="190"/>
      <c r="F876" s="190"/>
      <c r="G876" s="190"/>
      <c r="H876" s="155"/>
      <c r="I876" s="190"/>
      <c r="J876" s="155"/>
      <c r="K876" s="155"/>
      <c r="L876" s="155"/>
      <c r="M876" s="155"/>
    </row>
    <row r="877" ht="14.25" customHeight="1">
      <c r="A877" s="188"/>
      <c r="B877" s="189"/>
      <c r="C877" s="131"/>
      <c r="D877" s="155"/>
      <c r="E877" s="190"/>
      <c r="F877" s="190"/>
      <c r="G877" s="190"/>
      <c r="H877" s="155"/>
      <c r="I877" s="190"/>
      <c r="J877" s="155"/>
      <c r="K877" s="155"/>
      <c r="L877" s="155"/>
      <c r="M877" s="155"/>
    </row>
    <row r="878" ht="14.25" customHeight="1">
      <c r="A878" s="188"/>
      <c r="B878" s="189"/>
      <c r="C878" s="131"/>
      <c r="D878" s="155"/>
      <c r="E878" s="190"/>
      <c r="F878" s="190"/>
      <c r="G878" s="190"/>
      <c r="H878" s="155"/>
      <c r="I878" s="190"/>
      <c r="J878" s="155"/>
      <c r="K878" s="155"/>
      <c r="L878" s="155"/>
      <c r="M878" s="155"/>
    </row>
    <row r="879" ht="14.25" customHeight="1">
      <c r="A879" s="188"/>
      <c r="B879" s="189"/>
      <c r="C879" s="131"/>
      <c r="D879" s="155"/>
      <c r="E879" s="190"/>
      <c r="F879" s="190"/>
      <c r="G879" s="190"/>
      <c r="H879" s="155"/>
      <c r="I879" s="190"/>
      <c r="J879" s="155"/>
      <c r="K879" s="155"/>
      <c r="L879" s="155"/>
      <c r="M879" s="155"/>
    </row>
    <row r="880" ht="14.25" customHeight="1">
      <c r="A880" s="188"/>
      <c r="B880" s="189"/>
      <c r="C880" s="131"/>
      <c r="D880" s="155"/>
      <c r="E880" s="190"/>
      <c r="F880" s="190"/>
      <c r="G880" s="190"/>
      <c r="H880" s="155"/>
      <c r="I880" s="190"/>
      <c r="J880" s="155"/>
      <c r="K880" s="155"/>
      <c r="L880" s="155"/>
      <c r="M880" s="155"/>
    </row>
    <row r="881" ht="14.25" customHeight="1">
      <c r="A881" s="188"/>
      <c r="B881" s="189"/>
      <c r="C881" s="131"/>
      <c r="D881" s="155"/>
      <c r="E881" s="190"/>
      <c r="F881" s="190"/>
      <c r="G881" s="190"/>
      <c r="H881" s="155"/>
      <c r="I881" s="190"/>
      <c r="J881" s="155"/>
      <c r="K881" s="155"/>
      <c r="L881" s="155"/>
      <c r="M881" s="155"/>
    </row>
    <row r="882" ht="14.25" customHeight="1">
      <c r="A882" s="188"/>
      <c r="B882" s="189"/>
      <c r="C882" s="131"/>
      <c r="D882" s="155"/>
      <c r="E882" s="190"/>
      <c r="F882" s="190"/>
      <c r="G882" s="190"/>
      <c r="H882" s="155"/>
      <c r="I882" s="190"/>
      <c r="J882" s="155"/>
      <c r="K882" s="155"/>
      <c r="L882" s="155"/>
      <c r="M882" s="155"/>
    </row>
    <row r="883" ht="14.25" customHeight="1">
      <c r="A883" s="188"/>
      <c r="B883" s="189"/>
      <c r="C883" s="131"/>
      <c r="D883" s="155"/>
      <c r="E883" s="190"/>
      <c r="F883" s="190"/>
      <c r="G883" s="190"/>
      <c r="H883" s="155"/>
      <c r="I883" s="190"/>
      <c r="J883" s="155"/>
      <c r="K883" s="155"/>
      <c r="L883" s="155"/>
      <c r="M883" s="155"/>
    </row>
    <row r="884" ht="14.25" customHeight="1">
      <c r="A884" s="188"/>
      <c r="B884" s="189"/>
      <c r="C884" s="131"/>
      <c r="D884" s="155"/>
      <c r="E884" s="190"/>
      <c r="F884" s="190"/>
      <c r="G884" s="190"/>
      <c r="H884" s="155"/>
      <c r="I884" s="190"/>
      <c r="J884" s="155"/>
      <c r="K884" s="155"/>
      <c r="L884" s="155"/>
      <c r="M884" s="155"/>
    </row>
    <row r="885" ht="14.25" customHeight="1">
      <c r="A885" s="188"/>
      <c r="B885" s="189"/>
      <c r="C885" s="131"/>
      <c r="D885" s="155"/>
      <c r="E885" s="190"/>
      <c r="F885" s="190"/>
      <c r="G885" s="190"/>
      <c r="H885" s="155"/>
      <c r="I885" s="190"/>
      <c r="J885" s="155"/>
      <c r="K885" s="155"/>
      <c r="L885" s="155"/>
      <c r="M885" s="155"/>
    </row>
    <row r="886" ht="14.25" customHeight="1">
      <c r="A886" s="188"/>
      <c r="B886" s="189"/>
      <c r="C886" s="131"/>
      <c r="D886" s="155"/>
      <c r="E886" s="190"/>
      <c r="F886" s="190"/>
      <c r="G886" s="190"/>
      <c r="H886" s="155"/>
      <c r="I886" s="190"/>
      <c r="J886" s="155"/>
      <c r="K886" s="155"/>
      <c r="L886" s="155"/>
      <c r="M886" s="155"/>
    </row>
    <row r="887" ht="14.25" customHeight="1">
      <c r="A887" s="188"/>
      <c r="B887" s="189"/>
      <c r="C887" s="131"/>
      <c r="D887" s="155"/>
      <c r="E887" s="190"/>
      <c r="F887" s="190"/>
      <c r="G887" s="190"/>
      <c r="H887" s="155"/>
      <c r="I887" s="190"/>
      <c r="J887" s="155"/>
      <c r="K887" s="155"/>
      <c r="L887" s="155"/>
      <c r="M887" s="155"/>
    </row>
    <row r="888" ht="14.25" customHeight="1">
      <c r="A888" s="188"/>
      <c r="B888" s="189"/>
      <c r="C888" s="131"/>
      <c r="D888" s="155"/>
      <c r="E888" s="190"/>
      <c r="F888" s="190"/>
      <c r="G888" s="190"/>
      <c r="H888" s="155"/>
      <c r="I888" s="190"/>
      <c r="J888" s="155"/>
      <c r="K888" s="155"/>
      <c r="L888" s="155"/>
      <c r="M888" s="155"/>
    </row>
    <row r="889" ht="14.25" customHeight="1">
      <c r="A889" s="188"/>
      <c r="B889" s="189"/>
      <c r="C889" s="131"/>
      <c r="D889" s="155"/>
      <c r="E889" s="190"/>
      <c r="F889" s="190"/>
      <c r="G889" s="190"/>
      <c r="H889" s="155"/>
      <c r="I889" s="190"/>
      <c r="J889" s="155"/>
      <c r="K889" s="155"/>
      <c r="L889" s="155"/>
      <c r="M889" s="155"/>
    </row>
    <row r="890" ht="14.25" customHeight="1">
      <c r="A890" s="188"/>
      <c r="B890" s="189"/>
      <c r="C890" s="131"/>
      <c r="D890" s="155"/>
      <c r="E890" s="190"/>
      <c r="F890" s="190"/>
      <c r="G890" s="190"/>
      <c r="H890" s="155"/>
      <c r="I890" s="190"/>
      <c r="J890" s="155"/>
      <c r="K890" s="155"/>
      <c r="L890" s="155"/>
      <c r="M890" s="155"/>
    </row>
    <row r="891" ht="14.25" customHeight="1">
      <c r="A891" s="188"/>
      <c r="B891" s="189"/>
      <c r="C891" s="131"/>
      <c r="D891" s="155"/>
      <c r="E891" s="190"/>
      <c r="F891" s="190"/>
      <c r="G891" s="190"/>
      <c r="H891" s="155"/>
      <c r="I891" s="190"/>
      <c r="J891" s="155"/>
      <c r="K891" s="155"/>
      <c r="L891" s="155"/>
      <c r="M891" s="155"/>
    </row>
    <row r="892" ht="14.25" customHeight="1">
      <c r="A892" s="188"/>
      <c r="B892" s="189"/>
      <c r="C892" s="131"/>
      <c r="D892" s="155"/>
      <c r="E892" s="190"/>
      <c r="F892" s="190"/>
      <c r="G892" s="190"/>
      <c r="H892" s="155"/>
      <c r="I892" s="190"/>
      <c r="J892" s="155"/>
      <c r="K892" s="155"/>
      <c r="L892" s="155"/>
      <c r="M892" s="155"/>
    </row>
    <row r="893" ht="14.25" customHeight="1">
      <c r="A893" s="188"/>
      <c r="B893" s="189"/>
      <c r="C893" s="131"/>
      <c r="D893" s="155"/>
      <c r="E893" s="190"/>
      <c r="F893" s="190"/>
      <c r="G893" s="190"/>
      <c r="H893" s="155"/>
      <c r="I893" s="190"/>
      <c r="J893" s="155"/>
      <c r="K893" s="155"/>
      <c r="L893" s="155"/>
      <c r="M893" s="155"/>
    </row>
    <row r="894" ht="14.25" customHeight="1">
      <c r="A894" s="188"/>
      <c r="B894" s="189"/>
      <c r="C894" s="131"/>
      <c r="D894" s="155"/>
      <c r="E894" s="190"/>
      <c r="F894" s="190"/>
      <c r="G894" s="190"/>
      <c r="H894" s="155"/>
      <c r="I894" s="190"/>
      <c r="J894" s="155"/>
      <c r="K894" s="155"/>
      <c r="L894" s="155"/>
      <c r="M894" s="155"/>
    </row>
    <row r="895" ht="14.25" customHeight="1">
      <c r="A895" s="188"/>
      <c r="B895" s="189"/>
      <c r="C895" s="131"/>
      <c r="D895" s="155"/>
      <c r="E895" s="190"/>
      <c r="F895" s="190"/>
      <c r="G895" s="190"/>
      <c r="H895" s="155"/>
      <c r="I895" s="190"/>
      <c r="J895" s="155"/>
      <c r="K895" s="155"/>
      <c r="L895" s="155"/>
      <c r="M895" s="155"/>
    </row>
    <row r="896" ht="14.25" customHeight="1">
      <c r="A896" s="188"/>
      <c r="B896" s="189"/>
      <c r="C896" s="131"/>
      <c r="D896" s="155"/>
      <c r="E896" s="190"/>
      <c r="F896" s="190"/>
      <c r="G896" s="190"/>
      <c r="H896" s="155"/>
      <c r="I896" s="190"/>
      <c r="J896" s="155"/>
      <c r="K896" s="155"/>
      <c r="L896" s="155"/>
      <c r="M896" s="155"/>
    </row>
    <row r="897" ht="14.25" customHeight="1">
      <c r="A897" s="188"/>
      <c r="B897" s="189"/>
      <c r="C897" s="131"/>
      <c r="D897" s="155"/>
      <c r="E897" s="190"/>
      <c r="F897" s="190"/>
      <c r="G897" s="190"/>
      <c r="H897" s="155"/>
      <c r="I897" s="190"/>
      <c r="J897" s="155"/>
      <c r="K897" s="155"/>
      <c r="L897" s="155"/>
      <c r="M897" s="155"/>
    </row>
    <row r="898" ht="14.25" customHeight="1">
      <c r="A898" s="188"/>
      <c r="B898" s="189"/>
      <c r="C898" s="131"/>
      <c r="D898" s="155"/>
      <c r="E898" s="190"/>
      <c r="F898" s="190"/>
      <c r="G898" s="190"/>
      <c r="H898" s="155"/>
      <c r="I898" s="190"/>
      <c r="J898" s="155"/>
      <c r="K898" s="155"/>
      <c r="L898" s="155"/>
      <c r="M898" s="155"/>
    </row>
    <row r="899" ht="14.25" customHeight="1">
      <c r="A899" s="188"/>
      <c r="B899" s="189"/>
      <c r="C899" s="131"/>
      <c r="D899" s="155"/>
      <c r="E899" s="190"/>
      <c r="F899" s="190"/>
      <c r="G899" s="190"/>
      <c r="H899" s="155"/>
      <c r="I899" s="190"/>
      <c r="J899" s="155"/>
      <c r="K899" s="155"/>
      <c r="L899" s="155"/>
      <c r="M899" s="155"/>
    </row>
    <row r="900" ht="14.25" customHeight="1">
      <c r="A900" s="188"/>
      <c r="B900" s="189"/>
      <c r="C900" s="131"/>
      <c r="D900" s="155"/>
      <c r="E900" s="190"/>
      <c r="F900" s="190"/>
      <c r="G900" s="190"/>
      <c r="H900" s="155"/>
      <c r="I900" s="190"/>
      <c r="J900" s="155"/>
      <c r="K900" s="155"/>
      <c r="L900" s="155"/>
      <c r="M900" s="155"/>
    </row>
    <row r="901" ht="14.25" customHeight="1">
      <c r="A901" s="188"/>
      <c r="B901" s="189"/>
      <c r="C901" s="131"/>
      <c r="D901" s="155"/>
      <c r="E901" s="190"/>
      <c r="F901" s="190"/>
      <c r="G901" s="190"/>
      <c r="H901" s="155"/>
      <c r="I901" s="190"/>
      <c r="J901" s="155"/>
      <c r="K901" s="155"/>
      <c r="L901" s="155"/>
      <c r="M901" s="155"/>
    </row>
    <row r="902" ht="14.25" customHeight="1">
      <c r="A902" s="188"/>
      <c r="B902" s="189"/>
      <c r="C902" s="131"/>
      <c r="D902" s="155"/>
      <c r="E902" s="190"/>
      <c r="F902" s="190"/>
      <c r="G902" s="190"/>
      <c r="H902" s="155"/>
      <c r="I902" s="190"/>
      <c r="J902" s="155"/>
      <c r="K902" s="155"/>
      <c r="L902" s="155"/>
      <c r="M902" s="155"/>
    </row>
    <row r="903" ht="14.25" customHeight="1">
      <c r="A903" s="188"/>
      <c r="B903" s="189"/>
      <c r="C903" s="131"/>
      <c r="D903" s="155"/>
      <c r="E903" s="190"/>
      <c r="F903" s="190"/>
      <c r="G903" s="190"/>
      <c r="H903" s="155"/>
      <c r="I903" s="190"/>
      <c r="J903" s="155"/>
      <c r="K903" s="155"/>
      <c r="L903" s="155"/>
      <c r="M903" s="155"/>
    </row>
    <row r="904" ht="14.25" customHeight="1">
      <c r="A904" s="188"/>
      <c r="B904" s="189"/>
      <c r="C904" s="131"/>
      <c r="D904" s="155"/>
      <c r="E904" s="190"/>
      <c r="F904" s="190"/>
      <c r="G904" s="190"/>
      <c r="H904" s="155"/>
      <c r="I904" s="190"/>
      <c r="J904" s="155"/>
      <c r="K904" s="155"/>
      <c r="L904" s="155"/>
      <c r="M904" s="155"/>
    </row>
    <row r="905" ht="14.25" customHeight="1">
      <c r="A905" s="188"/>
      <c r="B905" s="189"/>
      <c r="C905" s="131"/>
      <c r="D905" s="155"/>
      <c r="E905" s="190"/>
      <c r="F905" s="190"/>
      <c r="G905" s="190"/>
      <c r="H905" s="155"/>
      <c r="I905" s="190"/>
      <c r="J905" s="155"/>
      <c r="K905" s="155"/>
      <c r="L905" s="155"/>
      <c r="M905" s="155"/>
    </row>
    <row r="906" ht="14.25" customHeight="1">
      <c r="A906" s="188"/>
      <c r="B906" s="189"/>
      <c r="C906" s="131"/>
      <c r="D906" s="155"/>
      <c r="E906" s="190"/>
      <c r="F906" s="190"/>
      <c r="G906" s="190"/>
      <c r="H906" s="155"/>
      <c r="I906" s="190"/>
      <c r="J906" s="155"/>
      <c r="K906" s="155"/>
      <c r="L906" s="155"/>
      <c r="M906" s="155"/>
    </row>
    <row r="907" ht="14.25" customHeight="1">
      <c r="A907" s="188"/>
      <c r="B907" s="189"/>
      <c r="C907" s="131"/>
      <c r="D907" s="155"/>
      <c r="E907" s="190"/>
      <c r="F907" s="190"/>
      <c r="G907" s="190"/>
      <c r="H907" s="155"/>
      <c r="I907" s="190"/>
      <c r="J907" s="155"/>
      <c r="K907" s="155"/>
      <c r="L907" s="155"/>
      <c r="M907" s="155"/>
    </row>
    <row r="908" ht="14.25" customHeight="1">
      <c r="A908" s="188"/>
      <c r="B908" s="189"/>
      <c r="C908" s="131"/>
      <c r="D908" s="155"/>
      <c r="E908" s="190"/>
      <c r="F908" s="190"/>
      <c r="G908" s="190"/>
      <c r="H908" s="155"/>
      <c r="I908" s="190"/>
      <c r="J908" s="155"/>
      <c r="K908" s="155"/>
      <c r="L908" s="155"/>
      <c r="M908" s="155"/>
    </row>
    <row r="909" ht="14.25" customHeight="1">
      <c r="A909" s="188"/>
      <c r="B909" s="189"/>
      <c r="C909" s="131"/>
      <c r="D909" s="155"/>
      <c r="E909" s="190"/>
      <c r="F909" s="190"/>
      <c r="G909" s="190"/>
      <c r="H909" s="155"/>
      <c r="I909" s="190"/>
      <c r="J909" s="155"/>
      <c r="K909" s="155"/>
      <c r="L909" s="155"/>
      <c r="M909" s="155"/>
    </row>
    <row r="910" ht="14.25" customHeight="1">
      <c r="A910" s="188"/>
      <c r="B910" s="189"/>
      <c r="C910" s="131"/>
      <c r="D910" s="155"/>
      <c r="E910" s="190"/>
      <c r="F910" s="190"/>
      <c r="G910" s="190"/>
      <c r="H910" s="155"/>
      <c r="I910" s="190"/>
      <c r="J910" s="155"/>
      <c r="K910" s="155"/>
      <c r="L910" s="155"/>
      <c r="M910" s="155"/>
    </row>
    <row r="911" ht="14.25" customHeight="1">
      <c r="A911" s="188"/>
      <c r="B911" s="189"/>
      <c r="C911" s="131"/>
      <c r="D911" s="155"/>
      <c r="E911" s="190"/>
      <c r="F911" s="190"/>
      <c r="G911" s="190"/>
      <c r="H911" s="155"/>
      <c r="I911" s="190"/>
      <c r="J911" s="155"/>
      <c r="K911" s="155"/>
      <c r="L911" s="155"/>
      <c r="M911" s="155"/>
    </row>
    <row r="912" ht="14.25" customHeight="1">
      <c r="A912" s="188"/>
      <c r="B912" s="189"/>
      <c r="C912" s="131"/>
      <c r="D912" s="155"/>
      <c r="E912" s="190"/>
      <c r="F912" s="190"/>
      <c r="G912" s="190"/>
      <c r="H912" s="155"/>
      <c r="I912" s="190"/>
      <c r="J912" s="155"/>
      <c r="K912" s="155"/>
      <c r="L912" s="155"/>
      <c r="M912" s="155"/>
    </row>
    <row r="913" ht="14.25" customHeight="1">
      <c r="A913" s="188"/>
      <c r="B913" s="189"/>
      <c r="C913" s="131"/>
      <c r="D913" s="155"/>
      <c r="E913" s="190"/>
      <c r="F913" s="190"/>
      <c r="G913" s="190"/>
      <c r="H913" s="155"/>
      <c r="I913" s="190"/>
      <c r="J913" s="155"/>
      <c r="K913" s="155"/>
      <c r="L913" s="155"/>
      <c r="M913" s="155"/>
    </row>
    <row r="914" ht="14.25" customHeight="1">
      <c r="A914" s="188"/>
      <c r="B914" s="189"/>
      <c r="C914" s="131"/>
      <c r="D914" s="155"/>
      <c r="E914" s="190"/>
      <c r="F914" s="190"/>
      <c r="G914" s="190"/>
      <c r="H914" s="155"/>
      <c r="I914" s="190"/>
      <c r="J914" s="155"/>
      <c r="K914" s="155"/>
      <c r="L914" s="155"/>
      <c r="M914" s="155"/>
    </row>
    <row r="915" ht="14.25" customHeight="1">
      <c r="A915" s="188"/>
      <c r="B915" s="189"/>
      <c r="C915" s="131"/>
      <c r="D915" s="155"/>
      <c r="E915" s="190"/>
      <c r="F915" s="190"/>
      <c r="G915" s="190"/>
      <c r="H915" s="155"/>
      <c r="I915" s="190"/>
      <c r="J915" s="155"/>
      <c r="K915" s="155"/>
      <c r="L915" s="155"/>
      <c r="M915" s="155"/>
    </row>
    <row r="916" ht="14.25" customHeight="1">
      <c r="A916" s="188"/>
      <c r="B916" s="189"/>
      <c r="C916" s="131"/>
      <c r="D916" s="155"/>
      <c r="E916" s="190"/>
      <c r="F916" s="190"/>
      <c r="G916" s="190"/>
      <c r="H916" s="155"/>
      <c r="I916" s="190"/>
      <c r="J916" s="155"/>
      <c r="K916" s="155"/>
      <c r="L916" s="155"/>
      <c r="M916" s="155"/>
    </row>
    <row r="917" ht="14.25" customHeight="1">
      <c r="A917" s="188"/>
      <c r="B917" s="189"/>
      <c r="C917" s="131"/>
      <c r="D917" s="155"/>
      <c r="E917" s="190"/>
      <c r="F917" s="190"/>
      <c r="G917" s="190"/>
      <c r="H917" s="155"/>
      <c r="I917" s="190"/>
      <c r="J917" s="155"/>
      <c r="K917" s="155"/>
      <c r="L917" s="155"/>
      <c r="M917" s="155"/>
    </row>
    <row r="918" ht="14.25" customHeight="1">
      <c r="A918" s="188"/>
      <c r="B918" s="189"/>
      <c r="C918" s="131"/>
      <c r="D918" s="155"/>
      <c r="E918" s="190"/>
      <c r="F918" s="190"/>
      <c r="G918" s="190"/>
      <c r="H918" s="155"/>
      <c r="I918" s="190"/>
      <c r="J918" s="155"/>
      <c r="K918" s="155"/>
      <c r="L918" s="155"/>
      <c r="M918" s="155"/>
    </row>
    <row r="919" ht="14.25" customHeight="1">
      <c r="A919" s="188"/>
      <c r="B919" s="189"/>
      <c r="C919" s="131"/>
      <c r="D919" s="155"/>
      <c r="E919" s="190"/>
      <c r="F919" s="190"/>
      <c r="G919" s="190"/>
      <c r="H919" s="155"/>
      <c r="I919" s="190"/>
      <c r="J919" s="155"/>
      <c r="K919" s="155"/>
      <c r="L919" s="155"/>
      <c r="M919" s="155"/>
    </row>
    <row r="920" ht="14.25" customHeight="1">
      <c r="A920" s="188"/>
      <c r="B920" s="189"/>
      <c r="C920" s="131"/>
      <c r="D920" s="155"/>
      <c r="E920" s="190"/>
      <c r="F920" s="190"/>
      <c r="G920" s="190"/>
      <c r="H920" s="155"/>
      <c r="I920" s="190"/>
      <c r="J920" s="155"/>
      <c r="K920" s="155"/>
      <c r="L920" s="155"/>
      <c r="M920" s="155"/>
    </row>
    <row r="921" ht="14.25" customHeight="1">
      <c r="A921" s="188"/>
      <c r="B921" s="189"/>
      <c r="C921" s="131"/>
      <c r="D921" s="155"/>
      <c r="E921" s="190"/>
      <c r="F921" s="190"/>
      <c r="G921" s="190"/>
      <c r="H921" s="155"/>
      <c r="I921" s="190"/>
      <c r="J921" s="155"/>
      <c r="K921" s="155"/>
      <c r="L921" s="155"/>
      <c r="M921" s="155"/>
    </row>
    <row r="922" ht="14.25" customHeight="1">
      <c r="A922" s="188"/>
      <c r="B922" s="189"/>
      <c r="C922" s="131"/>
      <c r="D922" s="155"/>
      <c r="E922" s="190"/>
      <c r="F922" s="190"/>
      <c r="G922" s="190"/>
      <c r="H922" s="155"/>
      <c r="I922" s="190"/>
      <c r="J922" s="155"/>
      <c r="K922" s="155"/>
      <c r="L922" s="155"/>
      <c r="M922" s="155"/>
    </row>
    <row r="923" ht="14.25" customHeight="1">
      <c r="A923" s="188"/>
      <c r="B923" s="189"/>
      <c r="C923" s="131"/>
      <c r="D923" s="155"/>
      <c r="E923" s="190"/>
      <c r="F923" s="190"/>
      <c r="G923" s="190"/>
      <c r="H923" s="155"/>
      <c r="I923" s="190"/>
      <c r="J923" s="155"/>
      <c r="K923" s="155"/>
      <c r="L923" s="155"/>
      <c r="M923" s="155"/>
    </row>
    <row r="924" ht="14.25" customHeight="1">
      <c r="A924" s="188"/>
      <c r="B924" s="189"/>
      <c r="C924" s="131"/>
      <c r="D924" s="155"/>
      <c r="E924" s="190"/>
      <c r="F924" s="190"/>
      <c r="G924" s="190"/>
      <c r="H924" s="155"/>
      <c r="I924" s="190"/>
      <c r="J924" s="155"/>
      <c r="K924" s="155"/>
      <c r="L924" s="155"/>
      <c r="M924" s="155"/>
    </row>
    <row r="925" ht="14.25" customHeight="1">
      <c r="A925" s="188"/>
      <c r="B925" s="189"/>
      <c r="C925" s="131"/>
      <c r="D925" s="155"/>
      <c r="E925" s="190"/>
      <c r="F925" s="190"/>
      <c r="G925" s="190"/>
      <c r="H925" s="155"/>
      <c r="I925" s="190"/>
      <c r="J925" s="155"/>
      <c r="K925" s="155"/>
      <c r="L925" s="155"/>
      <c r="M925" s="155"/>
    </row>
    <row r="926" ht="14.25" customHeight="1">
      <c r="A926" s="188"/>
      <c r="B926" s="189"/>
      <c r="C926" s="131"/>
      <c r="D926" s="155"/>
      <c r="E926" s="190"/>
      <c r="F926" s="190"/>
      <c r="G926" s="190"/>
      <c r="H926" s="155"/>
      <c r="I926" s="190"/>
      <c r="J926" s="155"/>
      <c r="K926" s="155"/>
      <c r="L926" s="155"/>
      <c r="M926" s="155"/>
    </row>
    <row r="927" ht="14.25" customHeight="1">
      <c r="A927" s="188"/>
      <c r="B927" s="189"/>
      <c r="C927" s="131"/>
      <c r="D927" s="155"/>
      <c r="E927" s="190"/>
      <c r="F927" s="190"/>
      <c r="G927" s="190"/>
      <c r="H927" s="155"/>
      <c r="I927" s="190"/>
      <c r="J927" s="155"/>
      <c r="K927" s="155"/>
      <c r="L927" s="155"/>
      <c r="M927" s="155"/>
    </row>
    <row r="928" ht="14.25" customHeight="1">
      <c r="A928" s="188"/>
      <c r="B928" s="189"/>
      <c r="C928" s="131"/>
      <c r="D928" s="155"/>
      <c r="E928" s="190"/>
      <c r="F928" s="190"/>
      <c r="G928" s="190"/>
      <c r="H928" s="155"/>
      <c r="I928" s="190"/>
      <c r="J928" s="155"/>
      <c r="K928" s="155"/>
      <c r="L928" s="155"/>
      <c r="M928" s="155"/>
    </row>
    <row r="929" ht="14.25" customHeight="1">
      <c r="A929" s="188"/>
      <c r="B929" s="189"/>
      <c r="C929" s="131"/>
      <c r="D929" s="155"/>
      <c r="E929" s="190"/>
      <c r="F929" s="190"/>
      <c r="G929" s="190"/>
      <c r="H929" s="155"/>
      <c r="I929" s="190"/>
      <c r="J929" s="155"/>
      <c r="K929" s="155"/>
      <c r="L929" s="155"/>
      <c r="M929" s="155"/>
    </row>
    <row r="930" ht="14.25" customHeight="1">
      <c r="A930" s="188"/>
      <c r="B930" s="189"/>
      <c r="C930" s="131"/>
      <c r="D930" s="155"/>
      <c r="E930" s="190"/>
      <c r="F930" s="190"/>
      <c r="G930" s="190"/>
      <c r="H930" s="155"/>
      <c r="I930" s="190"/>
      <c r="J930" s="155"/>
      <c r="K930" s="155"/>
      <c r="L930" s="155"/>
      <c r="M930" s="155"/>
    </row>
    <row r="931" ht="14.25" customHeight="1">
      <c r="A931" s="188"/>
      <c r="B931" s="189"/>
      <c r="C931" s="131"/>
      <c r="D931" s="155"/>
      <c r="E931" s="190"/>
      <c r="F931" s="190"/>
      <c r="G931" s="190"/>
      <c r="H931" s="155"/>
      <c r="I931" s="190"/>
      <c r="J931" s="155"/>
      <c r="K931" s="155"/>
      <c r="L931" s="155"/>
      <c r="M931" s="155"/>
    </row>
    <row r="932" ht="14.25" customHeight="1">
      <c r="A932" s="188"/>
      <c r="B932" s="189"/>
      <c r="C932" s="131"/>
      <c r="D932" s="155"/>
      <c r="E932" s="190"/>
      <c r="F932" s="190"/>
      <c r="G932" s="190"/>
      <c r="H932" s="155"/>
      <c r="I932" s="190"/>
      <c r="J932" s="155"/>
      <c r="K932" s="155"/>
      <c r="L932" s="155"/>
      <c r="M932" s="155"/>
    </row>
    <row r="933" ht="14.25" customHeight="1">
      <c r="A933" s="188"/>
      <c r="B933" s="189"/>
      <c r="C933" s="131"/>
      <c r="D933" s="155"/>
      <c r="E933" s="190"/>
      <c r="F933" s="190"/>
      <c r="G933" s="190"/>
      <c r="H933" s="155"/>
      <c r="I933" s="190"/>
      <c r="J933" s="155"/>
      <c r="K933" s="155"/>
      <c r="L933" s="155"/>
      <c r="M933" s="155"/>
    </row>
    <row r="934" ht="14.25" customHeight="1">
      <c r="A934" s="188"/>
      <c r="B934" s="189"/>
      <c r="C934" s="131"/>
      <c r="D934" s="155"/>
      <c r="E934" s="190"/>
      <c r="F934" s="190"/>
      <c r="G934" s="190"/>
      <c r="H934" s="155"/>
      <c r="I934" s="190"/>
      <c r="J934" s="155"/>
      <c r="K934" s="155"/>
      <c r="L934" s="155"/>
      <c r="M934" s="155"/>
    </row>
    <row r="935" ht="14.25" customHeight="1">
      <c r="A935" s="188"/>
      <c r="B935" s="189"/>
      <c r="C935" s="131"/>
      <c r="D935" s="155"/>
      <c r="E935" s="190"/>
      <c r="F935" s="190"/>
      <c r="G935" s="190"/>
      <c r="H935" s="155"/>
      <c r="I935" s="190"/>
      <c r="J935" s="155"/>
      <c r="K935" s="155"/>
      <c r="L935" s="155"/>
      <c r="M935" s="155"/>
    </row>
    <row r="936" ht="14.25" customHeight="1">
      <c r="A936" s="188"/>
      <c r="B936" s="189"/>
      <c r="C936" s="131"/>
      <c r="D936" s="155"/>
      <c r="E936" s="190"/>
      <c r="F936" s="190"/>
      <c r="G936" s="190"/>
      <c r="H936" s="155"/>
      <c r="I936" s="190"/>
      <c r="J936" s="155"/>
      <c r="K936" s="155"/>
      <c r="L936" s="155"/>
      <c r="M936" s="155"/>
    </row>
    <row r="937" ht="14.25" customHeight="1">
      <c r="A937" s="188"/>
      <c r="B937" s="189"/>
      <c r="C937" s="131"/>
      <c r="D937" s="155"/>
      <c r="E937" s="190"/>
      <c r="F937" s="190"/>
      <c r="G937" s="190"/>
      <c r="H937" s="155"/>
      <c r="I937" s="190"/>
      <c r="J937" s="155"/>
      <c r="K937" s="155"/>
      <c r="L937" s="155"/>
      <c r="M937" s="155"/>
    </row>
    <row r="938" ht="14.25" customHeight="1">
      <c r="A938" s="188"/>
      <c r="B938" s="189"/>
      <c r="C938" s="131"/>
      <c r="D938" s="155"/>
      <c r="E938" s="190"/>
      <c r="F938" s="190"/>
      <c r="G938" s="190"/>
      <c r="H938" s="155"/>
      <c r="I938" s="190"/>
      <c r="J938" s="155"/>
      <c r="K938" s="155"/>
      <c r="L938" s="155"/>
      <c r="M938" s="155"/>
    </row>
    <row r="939" ht="14.25" customHeight="1">
      <c r="A939" s="188"/>
      <c r="B939" s="189"/>
      <c r="C939" s="131"/>
      <c r="D939" s="155"/>
      <c r="E939" s="190"/>
      <c r="F939" s="190"/>
      <c r="G939" s="190"/>
      <c r="H939" s="155"/>
      <c r="I939" s="190"/>
      <c r="J939" s="155"/>
      <c r="K939" s="155"/>
      <c r="L939" s="155"/>
      <c r="M939" s="155"/>
    </row>
    <row r="940" ht="14.25" customHeight="1">
      <c r="A940" s="188"/>
      <c r="B940" s="189"/>
      <c r="C940" s="131"/>
      <c r="D940" s="155"/>
      <c r="E940" s="190"/>
      <c r="F940" s="190"/>
      <c r="G940" s="190"/>
      <c r="H940" s="155"/>
      <c r="I940" s="190"/>
      <c r="J940" s="155"/>
      <c r="K940" s="155"/>
      <c r="L940" s="155"/>
      <c r="M940" s="155"/>
    </row>
    <row r="941" ht="14.25" customHeight="1">
      <c r="A941" s="188"/>
      <c r="B941" s="189"/>
      <c r="C941" s="131"/>
      <c r="D941" s="155"/>
      <c r="E941" s="190"/>
      <c r="F941" s="190"/>
      <c r="G941" s="190"/>
      <c r="H941" s="155"/>
      <c r="I941" s="190"/>
      <c r="J941" s="155"/>
      <c r="K941" s="155"/>
      <c r="L941" s="155"/>
      <c r="M941" s="155"/>
    </row>
    <row r="942" ht="14.25" customHeight="1">
      <c r="A942" s="188"/>
      <c r="B942" s="189"/>
      <c r="C942" s="131"/>
      <c r="D942" s="155"/>
      <c r="E942" s="190"/>
      <c r="F942" s="190"/>
      <c r="G942" s="190"/>
      <c r="H942" s="155"/>
      <c r="I942" s="190"/>
      <c r="J942" s="155"/>
      <c r="K942" s="155"/>
      <c r="L942" s="155"/>
      <c r="M942" s="155"/>
    </row>
    <row r="943" ht="14.25" customHeight="1">
      <c r="A943" s="188"/>
      <c r="B943" s="189"/>
      <c r="C943" s="131"/>
      <c r="D943" s="155"/>
      <c r="E943" s="190"/>
      <c r="F943" s="190"/>
      <c r="G943" s="190"/>
      <c r="H943" s="155"/>
      <c r="I943" s="190"/>
      <c r="J943" s="155"/>
      <c r="K943" s="155"/>
      <c r="L943" s="155"/>
      <c r="M943" s="155"/>
    </row>
    <row r="944" ht="14.25" customHeight="1">
      <c r="A944" s="188"/>
      <c r="B944" s="189"/>
      <c r="C944" s="131"/>
      <c r="D944" s="155"/>
      <c r="E944" s="190"/>
      <c r="F944" s="190"/>
      <c r="G944" s="190"/>
      <c r="H944" s="155"/>
      <c r="I944" s="190"/>
      <c r="J944" s="155"/>
      <c r="K944" s="155"/>
      <c r="L944" s="155"/>
      <c r="M944" s="155"/>
    </row>
    <row r="945" ht="14.25" customHeight="1">
      <c r="A945" s="188"/>
      <c r="B945" s="189"/>
      <c r="C945" s="131"/>
      <c r="D945" s="155"/>
      <c r="E945" s="190"/>
      <c r="F945" s="190"/>
      <c r="G945" s="190"/>
      <c r="H945" s="155"/>
      <c r="I945" s="190"/>
      <c r="J945" s="155"/>
      <c r="K945" s="155"/>
      <c r="L945" s="155"/>
      <c r="M945" s="155"/>
    </row>
    <row r="946" ht="14.25" customHeight="1">
      <c r="A946" s="188"/>
      <c r="B946" s="189"/>
      <c r="C946" s="131"/>
      <c r="D946" s="155"/>
      <c r="E946" s="190"/>
      <c r="F946" s="190"/>
      <c r="G946" s="190"/>
      <c r="H946" s="155"/>
      <c r="I946" s="190"/>
      <c r="J946" s="155"/>
      <c r="K946" s="155"/>
      <c r="L946" s="155"/>
      <c r="M946" s="155"/>
    </row>
    <row r="947" ht="14.25" customHeight="1">
      <c r="A947" s="188"/>
      <c r="B947" s="189"/>
      <c r="C947" s="131"/>
      <c r="D947" s="155"/>
      <c r="E947" s="190"/>
      <c r="F947" s="190"/>
      <c r="G947" s="190"/>
      <c r="H947" s="155"/>
      <c r="I947" s="190"/>
      <c r="J947" s="155"/>
      <c r="K947" s="155"/>
      <c r="L947" s="155"/>
      <c r="M947" s="155"/>
    </row>
    <row r="948" ht="14.25" customHeight="1">
      <c r="A948" s="188"/>
      <c r="B948" s="189"/>
      <c r="C948" s="131"/>
      <c r="D948" s="155"/>
      <c r="E948" s="190"/>
      <c r="F948" s="190"/>
      <c r="G948" s="190"/>
      <c r="H948" s="155"/>
      <c r="I948" s="190"/>
      <c r="J948" s="155"/>
      <c r="K948" s="155"/>
      <c r="L948" s="155"/>
      <c r="M948" s="155"/>
    </row>
    <row r="949" ht="14.25" customHeight="1">
      <c r="A949" s="188"/>
      <c r="B949" s="189"/>
      <c r="C949" s="131"/>
      <c r="D949" s="155"/>
      <c r="E949" s="190"/>
      <c r="F949" s="190"/>
      <c r="G949" s="190"/>
      <c r="H949" s="155"/>
      <c r="I949" s="190"/>
      <c r="J949" s="155"/>
      <c r="K949" s="155"/>
      <c r="L949" s="155"/>
      <c r="M949" s="155"/>
    </row>
    <row r="950" ht="14.25" customHeight="1">
      <c r="A950" s="188"/>
      <c r="B950" s="189"/>
      <c r="C950" s="131"/>
      <c r="D950" s="155"/>
      <c r="E950" s="190"/>
      <c r="F950" s="190"/>
      <c r="G950" s="190"/>
      <c r="H950" s="155"/>
      <c r="I950" s="190"/>
      <c r="J950" s="155"/>
      <c r="K950" s="155"/>
      <c r="L950" s="155"/>
      <c r="M950" s="155"/>
    </row>
    <row r="951" ht="14.25" customHeight="1">
      <c r="A951" s="188"/>
      <c r="B951" s="189"/>
      <c r="C951" s="131"/>
      <c r="D951" s="155"/>
      <c r="E951" s="190"/>
      <c r="F951" s="190"/>
      <c r="G951" s="190"/>
      <c r="H951" s="155"/>
      <c r="I951" s="190"/>
      <c r="J951" s="155"/>
      <c r="K951" s="155"/>
      <c r="L951" s="155"/>
      <c r="M951" s="155"/>
    </row>
    <row r="952" ht="14.25" customHeight="1">
      <c r="A952" s="188"/>
      <c r="B952" s="189"/>
      <c r="C952" s="131"/>
      <c r="D952" s="155"/>
      <c r="E952" s="190"/>
      <c r="F952" s="190"/>
      <c r="G952" s="190"/>
      <c r="H952" s="155"/>
      <c r="I952" s="190"/>
      <c r="J952" s="155"/>
      <c r="K952" s="155"/>
      <c r="L952" s="155"/>
      <c r="M952" s="155"/>
    </row>
    <row r="953" ht="14.25" customHeight="1">
      <c r="A953" s="188"/>
      <c r="B953" s="189"/>
      <c r="C953" s="131"/>
      <c r="D953" s="155"/>
      <c r="E953" s="190"/>
      <c r="F953" s="190"/>
      <c r="G953" s="190"/>
      <c r="H953" s="155"/>
      <c r="I953" s="190"/>
      <c r="J953" s="155"/>
      <c r="K953" s="155"/>
      <c r="L953" s="155"/>
      <c r="M953" s="155"/>
    </row>
    <row r="954" ht="14.25" customHeight="1">
      <c r="A954" s="188"/>
      <c r="B954" s="189"/>
      <c r="C954" s="131"/>
      <c r="D954" s="155"/>
      <c r="E954" s="190"/>
      <c r="F954" s="190"/>
      <c r="G954" s="190"/>
      <c r="H954" s="155"/>
      <c r="I954" s="190"/>
      <c r="J954" s="155"/>
      <c r="K954" s="155"/>
      <c r="L954" s="155"/>
      <c r="M954" s="155"/>
    </row>
    <row r="955" ht="14.25" customHeight="1">
      <c r="A955" s="188"/>
      <c r="B955" s="189"/>
      <c r="C955" s="131"/>
      <c r="D955" s="155"/>
      <c r="E955" s="190"/>
      <c r="F955" s="190"/>
      <c r="G955" s="190"/>
      <c r="H955" s="155"/>
      <c r="I955" s="190"/>
      <c r="J955" s="155"/>
      <c r="K955" s="155"/>
      <c r="L955" s="155"/>
      <c r="M955" s="155"/>
    </row>
    <row r="956" ht="14.25" customHeight="1">
      <c r="A956" s="188"/>
      <c r="B956" s="189"/>
      <c r="C956" s="131"/>
      <c r="D956" s="155"/>
      <c r="E956" s="190"/>
      <c r="F956" s="190"/>
      <c r="G956" s="190"/>
      <c r="H956" s="155"/>
      <c r="I956" s="190"/>
      <c r="J956" s="155"/>
      <c r="K956" s="155"/>
      <c r="L956" s="155"/>
      <c r="M956" s="155"/>
    </row>
    <row r="957" ht="14.25" customHeight="1">
      <c r="A957" s="188"/>
      <c r="B957" s="189"/>
      <c r="C957" s="131"/>
      <c r="D957" s="155"/>
      <c r="E957" s="190"/>
      <c r="F957" s="190"/>
      <c r="G957" s="190"/>
      <c r="H957" s="155"/>
      <c r="I957" s="190"/>
      <c r="J957" s="155"/>
      <c r="K957" s="155"/>
      <c r="L957" s="155"/>
      <c r="M957" s="155"/>
    </row>
    <row r="958" ht="14.25" customHeight="1">
      <c r="A958" s="188"/>
      <c r="B958" s="189"/>
      <c r="C958" s="131"/>
      <c r="D958" s="155"/>
      <c r="E958" s="190"/>
      <c r="F958" s="190"/>
      <c r="G958" s="190"/>
      <c r="H958" s="155"/>
      <c r="I958" s="190"/>
      <c r="J958" s="155"/>
      <c r="K958" s="155"/>
      <c r="L958" s="155"/>
      <c r="M958" s="155"/>
    </row>
    <row r="959" ht="14.25" customHeight="1">
      <c r="A959" s="188"/>
      <c r="B959" s="189"/>
      <c r="C959" s="131"/>
      <c r="D959" s="155"/>
      <c r="E959" s="190"/>
      <c r="F959" s="190"/>
      <c r="G959" s="190"/>
      <c r="H959" s="155"/>
      <c r="I959" s="190"/>
      <c r="J959" s="155"/>
      <c r="K959" s="155"/>
      <c r="L959" s="155"/>
      <c r="M959" s="155"/>
    </row>
    <row r="960" ht="14.25" customHeight="1">
      <c r="A960" s="188"/>
      <c r="B960" s="189"/>
      <c r="C960" s="131"/>
      <c r="D960" s="155"/>
      <c r="E960" s="190"/>
      <c r="F960" s="190"/>
      <c r="G960" s="190"/>
      <c r="H960" s="155"/>
      <c r="I960" s="190"/>
      <c r="J960" s="155"/>
      <c r="K960" s="155"/>
      <c r="L960" s="155"/>
      <c r="M960" s="155"/>
    </row>
    <row r="961" ht="14.25" customHeight="1">
      <c r="A961" s="188"/>
      <c r="B961" s="189"/>
      <c r="C961" s="131"/>
      <c r="D961" s="155"/>
      <c r="E961" s="190"/>
      <c r="F961" s="190"/>
      <c r="G961" s="190"/>
      <c r="H961" s="155"/>
      <c r="I961" s="190"/>
      <c r="J961" s="155"/>
      <c r="K961" s="155"/>
      <c r="L961" s="155"/>
      <c r="M961" s="155"/>
    </row>
    <row r="962" ht="14.25" customHeight="1">
      <c r="A962" s="188"/>
      <c r="B962" s="189"/>
      <c r="C962" s="131"/>
      <c r="D962" s="155"/>
      <c r="E962" s="190"/>
      <c r="F962" s="190"/>
      <c r="G962" s="190"/>
      <c r="H962" s="155"/>
      <c r="I962" s="190"/>
      <c r="J962" s="155"/>
      <c r="K962" s="155"/>
      <c r="L962" s="155"/>
      <c r="M962" s="155"/>
    </row>
    <row r="963" ht="14.25" customHeight="1">
      <c r="A963" s="188"/>
      <c r="B963" s="189"/>
      <c r="C963" s="131"/>
      <c r="D963" s="155"/>
      <c r="E963" s="190"/>
      <c r="F963" s="190"/>
      <c r="G963" s="190"/>
      <c r="H963" s="155"/>
      <c r="I963" s="190"/>
      <c r="J963" s="155"/>
      <c r="K963" s="155"/>
      <c r="L963" s="155"/>
      <c r="M963" s="155"/>
    </row>
    <row r="964" ht="14.25" customHeight="1">
      <c r="A964" s="188"/>
      <c r="B964" s="189"/>
      <c r="C964" s="131"/>
      <c r="D964" s="155"/>
      <c r="E964" s="190"/>
      <c r="F964" s="190"/>
      <c r="G964" s="190"/>
      <c r="H964" s="155"/>
      <c r="I964" s="190"/>
      <c r="J964" s="155"/>
      <c r="K964" s="155"/>
      <c r="L964" s="155"/>
      <c r="M964" s="155"/>
    </row>
    <row r="965" ht="14.25" customHeight="1">
      <c r="A965" s="188"/>
      <c r="B965" s="189"/>
      <c r="C965" s="131"/>
      <c r="D965" s="155"/>
      <c r="E965" s="190"/>
      <c r="F965" s="190"/>
      <c r="G965" s="190"/>
      <c r="H965" s="155"/>
      <c r="I965" s="190"/>
      <c r="J965" s="155"/>
      <c r="K965" s="155"/>
      <c r="L965" s="155"/>
      <c r="M965" s="155"/>
    </row>
    <row r="966" ht="14.25" customHeight="1">
      <c r="A966" s="188"/>
      <c r="B966" s="189"/>
      <c r="C966" s="131"/>
      <c r="D966" s="155"/>
      <c r="E966" s="190"/>
      <c r="F966" s="190"/>
      <c r="G966" s="190"/>
      <c r="H966" s="155"/>
      <c r="I966" s="190"/>
      <c r="J966" s="155"/>
      <c r="K966" s="155"/>
      <c r="L966" s="155"/>
      <c r="M966" s="155"/>
    </row>
    <row r="967" ht="14.25" customHeight="1">
      <c r="A967" s="188"/>
      <c r="B967" s="189"/>
      <c r="C967" s="131"/>
      <c r="D967" s="155"/>
      <c r="E967" s="190"/>
      <c r="F967" s="190"/>
      <c r="G967" s="190"/>
      <c r="H967" s="155"/>
      <c r="I967" s="190"/>
      <c r="J967" s="155"/>
      <c r="K967" s="155"/>
      <c r="L967" s="155"/>
      <c r="M967" s="155"/>
    </row>
    <row r="968" ht="14.25" customHeight="1">
      <c r="A968" s="188"/>
      <c r="B968" s="189"/>
      <c r="C968" s="131"/>
      <c r="D968" s="155"/>
      <c r="E968" s="190"/>
      <c r="F968" s="190"/>
      <c r="G968" s="190"/>
      <c r="H968" s="155"/>
      <c r="I968" s="190"/>
      <c r="J968" s="155"/>
      <c r="K968" s="155"/>
      <c r="L968" s="155"/>
      <c r="M968" s="155"/>
    </row>
    <row r="969" ht="14.25" customHeight="1">
      <c r="A969" s="188"/>
      <c r="B969" s="189"/>
      <c r="C969" s="131"/>
      <c r="D969" s="155"/>
      <c r="E969" s="190"/>
      <c r="F969" s="190"/>
      <c r="G969" s="190"/>
      <c r="H969" s="155"/>
      <c r="I969" s="190"/>
      <c r="J969" s="155"/>
      <c r="K969" s="155"/>
      <c r="L969" s="155"/>
      <c r="M969" s="155"/>
    </row>
    <row r="970" ht="14.25" customHeight="1">
      <c r="A970" s="188"/>
      <c r="B970" s="189"/>
      <c r="C970" s="131"/>
      <c r="D970" s="155"/>
      <c r="E970" s="190"/>
      <c r="F970" s="190"/>
      <c r="G970" s="190"/>
      <c r="H970" s="155"/>
      <c r="I970" s="190"/>
      <c r="J970" s="155"/>
      <c r="K970" s="155"/>
      <c r="L970" s="155"/>
      <c r="M970" s="155"/>
    </row>
    <row r="971" ht="14.25" customHeight="1">
      <c r="A971" s="188"/>
      <c r="B971" s="189"/>
      <c r="C971" s="131"/>
      <c r="D971" s="155"/>
      <c r="E971" s="190"/>
      <c r="F971" s="190"/>
      <c r="G971" s="190"/>
      <c r="H971" s="155"/>
      <c r="I971" s="190"/>
      <c r="J971" s="155"/>
      <c r="K971" s="155"/>
      <c r="L971" s="155"/>
      <c r="M971" s="155"/>
    </row>
    <row r="972" ht="14.25" customHeight="1">
      <c r="A972" s="188"/>
      <c r="B972" s="189"/>
      <c r="C972" s="131"/>
      <c r="D972" s="155"/>
      <c r="E972" s="190"/>
      <c r="F972" s="190"/>
      <c r="G972" s="190"/>
      <c r="H972" s="155"/>
      <c r="I972" s="190"/>
      <c r="J972" s="155"/>
      <c r="K972" s="155"/>
      <c r="L972" s="155"/>
      <c r="M972" s="155"/>
    </row>
    <row r="973" ht="14.25" customHeight="1">
      <c r="A973" s="188"/>
      <c r="B973" s="189"/>
      <c r="C973" s="131"/>
      <c r="D973" s="155"/>
      <c r="E973" s="190"/>
      <c r="F973" s="190"/>
      <c r="G973" s="190"/>
      <c r="H973" s="155"/>
      <c r="I973" s="190"/>
      <c r="J973" s="155"/>
      <c r="K973" s="155"/>
      <c r="L973" s="155"/>
      <c r="M973" s="155"/>
    </row>
    <row r="974" ht="14.25" customHeight="1">
      <c r="A974" s="188"/>
      <c r="B974" s="189"/>
      <c r="C974" s="131"/>
      <c r="D974" s="155"/>
      <c r="E974" s="190"/>
      <c r="F974" s="190"/>
      <c r="G974" s="190"/>
      <c r="H974" s="155"/>
      <c r="I974" s="190"/>
      <c r="J974" s="155"/>
      <c r="K974" s="155"/>
      <c r="L974" s="155"/>
      <c r="M974" s="155"/>
    </row>
    <row r="975" ht="14.25" customHeight="1">
      <c r="A975" s="188"/>
      <c r="B975" s="189"/>
      <c r="C975" s="131"/>
      <c r="D975" s="155"/>
      <c r="E975" s="190"/>
      <c r="F975" s="190"/>
      <c r="G975" s="190"/>
      <c r="H975" s="155"/>
      <c r="I975" s="190"/>
      <c r="J975" s="155"/>
      <c r="K975" s="155"/>
      <c r="L975" s="155"/>
      <c r="M975" s="155"/>
    </row>
    <row r="976" ht="14.25" customHeight="1">
      <c r="A976" s="188"/>
      <c r="B976" s="189"/>
      <c r="C976" s="131"/>
      <c r="D976" s="155"/>
      <c r="E976" s="190"/>
      <c r="F976" s="190"/>
      <c r="G976" s="190"/>
      <c r="H976" s="155"/>
      <c r="I976" s="190"/>
      <c r="J976" s="155"/>
      <c r="K976" s="155"/>
      <c r="L976" s="155"/>
      <c r="M976" s="155"/>
    </row>
    <row r="977" ht="14.25" customHeight="1">
      <c r="A977" s="188"/>
      <c r="B977" s="189"/>
      <c r="C977" s="131"/>
      <c r="D977" s="155"/>
      <c r="E977" s="190"/>
      <c r="F977" s="190"/>
      <c r="G977" s="190"/>
      <c r="H977" s="155"/>
      <c r="I977" s="190"/>
      <c r="J977" s="155"/>
      <c r="K977" s="155"/>
      <c r="L977" s="155"/>
      <c r="M977" s="155"/>
    </row>
    <row r="978" ht="14.25" customHeight="1">
      <c r="A978" s="188"/>
      <c r="B978" s="189"/>
      <c r="C978" s="131"/>
      <c r="D978" s="155"/>
      <c r="E978" s="190"/>
      <c r="F978" s="190"/>
      <c r="G978" s="190"/>
      <c r="H978" s="155"/>
      <c r="I978" s="190"/>
      <c r="J978" s="155"/>
      <c r="K978" s="155"/>
      <c r="L978" s="155"/>
      <c r="M978" s="155"/>
    </row>
    <row r="979" ht="14.25" customHeight="1">
      <c r="A979" s="188"/>
      <c r="B979" s="189"/>
      <c r="C979" s="131"/>
      <c r="D979" s="155"/>
      <c r="E979" s="190"/>
      <c r="F979" s="190"/>
      <c r="G979" s="190"/>
      <c r="H979" s="155"/>
      <c r="I979" s="190"/>
      <c r="J979" s="155"/>
      <c r="K979" s="155"/>
      <c r="L979" s="155"/>
      <c r="M979" s="155"/>
    </row>
    <row r="980" ht="14.25" customHeight="1">
      <c r="A980" s="188"/>
      <c r="B980" s="189"/>
      <c r="C980" s="131"/>
      <c r="D980" s="155"/>
      <c r="E980" s="190"/>
      <c r="F980" s="190"/>
      <c r="G980" s="190"/>
      <c r="H980" s="155"/>
      <c r="I980" s="190"/>
      <c r="J980" s="155"/>
      <c r="K980" s="155"/>
      <c r="L980" s="155"/>
      <c r="M980" s="155"/>
    </row>
    <row r="981" ht="14.25" customHeight="1">
      <c r="A981" s="188"/>
      <c r="B981" s="189"/>
      <c r="C981" s="131"/>
      <c r="D981" s="155"/>
      <c r="E981" s="190"/>
      <c r="F981" s="190"/>
      <c r="G981" s="190"/>
      <c r="H981" s="155"/>
      <c r="I981" s="190"/>
      <c r="J981" s="155"/>
      <c r="K981" s="155"/>
      <c r="L981" s="155"/>
      <c r="M981" s="155"/>
    </row>
    <row r="982" ht="14.25" customHeight="1">
      <c r="A982" s="188"/>
      <c r="B982" s="189"/>
      <c r="C982" s="131"/>
      <c r="D982" s="155"/>
      <c r="E982" s="190"/>
      <c r="F982" s="190"/>
      <c r="G982" s="190"/>
      <c r="H982" s="155"/>
      <c r="I982" s="190"/>
      <c r="J982" s="155"/>
      <c r="K982" s="155"/>
      <c r="L982" s="155"/>
      <c r="M982" s="155"/>
    </row>
    <row r="983" ht="14.25" customHeight="1">
      <c r="A983" s="188"/>
      <c r="B983" s="189"/>
      <c r="C983" s="131"/>
      <c r="D983" s="155"/>
      <c r="E983" s="190"/>
      <c r="F983" s="190"/>
      <c r="G983" s="190"/>
      <c r="H983" s="155"/>
      <c r="I983" s="190"/>
      <c r="J983" s="155"/>
      <c r="K983" s="155"/>
      <c r="L983" s="155"/>
      <c r="M983" s="155"/>
    </row>
    <row r="984" ht="14.25" customHeight="1">
      <c r="A984" s="188"/>
      <c r="B984" s="189"/>
      <c r="C984" s="131"/>
      <c r="D984" s="155"/>
      <c r="E984" s="190"/>
      <c r="F984" s="190"/>
      <c r="G984" s="190"/>
      <c r="H984" s="155"/>
      <c r="I984" s="190"/>
      <c r="J984" s="155"/>
      <c r="K984" s="155"/>
      <c r="L984" s="155"/>
      <c r="M984" s="155"/>
    </row>
    <row r="985" ht="14.25" customHeight="1">
      <c r="A985" s="188"/>
      <c r="B985" s="189"/>
      <c r="C985" s="131"/>
      <c r="D985" s="155"/>
      <c r="E985" s="190"/>
      <c r="F985" s="190"/>
      <c r="G985" s="190"/>
      <c r="H985" s="155"/>
      <c r="I985" s="190"/>
      <c r="J985" s="155"/>
      <c r="K985" s="155"/>
      <c r="L985" s="155"/>
      <c r="M985" s="155"/>
    </row>
    <row r="986" ht="14.25" customHeight="1">
      <c r="A986" s="188"/>
      <c r="B986" s="189"/>
      <c r="C986" s="131"/>
      <c r="D986" s="155"/>
      <c r="E986" s="190"/>
      <c r="F986" s="190"/>
      <c r="G986" s="190"/>
      <c r="H986" s="155"/>
      <c r="I986" s="190"/>
      <c r="J986" s="155"/>
      <c r="K986" s="155"/>
      <c r="L986" s="155"/>
      <c r="M986" s="155"/>
    </row>
    <row r="987" ht="14.25" customHeight="1">
      <c r="A987" s="188"/>
      <c r="B987" s="189"/>
      <c r="C987" s="131"/>
      <c r="D987" s="155"/>
      <c r="E987" s="190"/>
      <c r="F987" s="190"/>
      <c r="G987" s="190"/>
      <c r="H987" s="155"/>
      <c r="I987" s="190"/>
      <c r="J987" s="155"/>
      <c r="K987" s="155"/>
      <c r="L987" s="155"/>
      <c r="M987" s="155"/>
    </row>
    <row r="988" ht="14.25" customHeight="1">
      <c r="A988" s="188"/>
      <c r="B988" s="189"/>
      <c r="C988" s="131"/>
      <c r="D988" s="155"/>
      <c r="E988" s="190"/>
      <c r="F988" s="190"/>
      <c r="G988" s="190"/>
      <c r="H988" s="155"/>
      <c r="I988" s="190"/>
      <c r="J988" s="155"/>
      <c r="K988" s="155"/>
      <c r="L988" s="155"/>
      <c r="M988" s="155"/>
    </row>
    <row r="989" ht="14.25" customHeight="1">
      <c r="A989" s="188"/>
      <c r="B989" s="189"/>
      <c r="C989" s="131"/>
      <c r="D989" s="155"/>
      <c r="E989" s="190"/>
      <c r="F989" s="190"/>
      <c r="G989" s="190"/>
      <c r="H989" s="155"/>
      <c r="I989" s="190"/>
      <c r="J989" s="155"/>
      <c r="K989" s="155"/>
      <c r="L989" s="155"/>
      <c r="M989" s="155"/>
    </row>
    <row r="990" ht="14.25" customHeight="1">
      <c r="A990" s="188"/>
      <c r="B990" s="189"/>
      <c r="C990" s="131"/>
      <c r="D990" s="155"/>
      <c r="E990" s="190"/>
      <c r="F990" s="190"/>
      <c r="G990" s="190"/>
      <c r="H990" s="155"/>
      <c r="I990" s="190"/>
      <c r="J990" s="155"/>
      <c r="K990" s="155"/>
      <c r="L990" s="155"/>
      <c r="M990" s="155"/>
    </row>
    <row r="991" ht="14.25" customHeight="1">
      <c r="A991" s="188"/>
      <c r="B991" s="189"/>
      <c r="C991" s="131"/>
      <c r="D991" s="155"/>
      <c r="E991" s="190"/>
      <c r="F991" s="190"/>
      <c r="G991" s="190"/>
      <c r="H991" s="155"/>
      <c r="I991" s="190"/>
      <c r="J991" s="155"/>
      <c r="K991" s="155"/>
      <c r="L991" s="155"/>
      <c r="M991" s="155"/>
    </row>
    <row r="992" ht="14.25" customHeight="1">
      <c r="A992" s="188"/>
      <c r="B992" s="189"/>
      <c r="C992" s="131"/>
      <c r="D992" s="155"/>
      <c r="E992" s="190"/>
      <c r="F992" s="190"/>
      <c r="G992" s="190"/>
      <c r="H992" s="155"/>
      <c r="I992" s="190"/>
      <c r="J992" s="155"/>
      <c r="K992" s="155"/>
      <c r="L992" s="155"/>
      <c r="M992" s="155"/>
    </row>
    <row r="993" ht="14.25" customHeight="1">
      <c r="A993" s="188"/>
      <c r="B993" s="189"/>
      <c r="C993" s="131"/>
      <c r="D993" s="155"/>
      <c r="E993" s="190"/>
      <c r="F993" s="190"/>
      <c r="G993" s="190"/>
      <c r="H993" s="155"/>
      <c r="I993" s="190"/>
      <c r="J993" s="155"/>
      <c r="K993" s="155"/>
      <c r="L993" s="155"/>
      <c r="M993" s="155"/>
    </row>
    <row r="994" ht="14.25" customHeight="1">
      <c r="A994" s="188"/>
      <c r="B994" s="189"/>
      <c r="C994" s="131"/>
      <c r="D994" s="155"/>
      <c r="E994" s="190"/>
      <c r="F994" s="190"/>
      <c r="G994" s="190"/>
      <c r="H994" s="155"/>
      <c r="I994" s="190"/>
      <c r="J994" s="155"/>
      <c r="K994" s="155"/>
      <c r="L994" s="155"/>
      <c r="M994" s="155"/>
    </row>
    <row r="995" ht="14.25" customHeight="1">
      <c r="A995" s="188"/>
      <c r="B995" s="189"/>
      <c r="C995" s="131"/>
      <c r="D995" s="155"/>
      <c r="E995" s="190"/>
      <c r="F995" s="190"/>
      <c r="G995" s="190"/>
      <c r="H995" s="155"/>
      <c r="I995" s="190"/>
      <c r="J995" s="155"/>
      <c r="K995" s="155"/>
      <c r="L995" s="155"/>
      <c r="M995" s="155"/>
    </row>
    <row r="996" ht="14.25" customHeight="1">
      <c r="A996" s="188"/>
      <c r="B996" s="189"/>
      <c r="C996" s="131"/>
      <c r="D996" s="155"/>
      <c r="E996" s="190"/>
      <c r="F996" s="190"/>
      <c r="G996" s="190"/>
      <c r="H996" s="155"/>
      <c r="I996" s="190"/>
      <c r="J996" s="155"/>
      <c r="K996" s="155"/>
      <c r="L996" s="155"/>
      <c r="M996" s="155"/>
    </row>
    <row r="997" ht="14.25" customHeight="1">
      <c r="A997" s="188"/>
      <c r="B997" s="189"/>
      <c r="C997" s="131"/>
      <c r="D997" s="155"/>
      <c r="E997" s="190"/>
      <c r="F997" s="190"/>
      <c r="G997" s="190"/>
      <c r="H997" s="155"/>
      <c r="I997" s="190"/>
      <c r="J997" s="155"/>
      <c r="K997" s="155"/>
      <c r="L997" s="155"/>
      <c r="M997" s="155"/>
    </row>
    <row r="998" ht="14.25" customHeight="1">
      <c r="A998" s="188"/>
      <c r="B998" s="189"/>
      <c r="C998" s="131"/>
      <c r="D998" s="155"/>
      <c r="E998" s="190"/>
      <c r="F998" s="190"/>
      <c r="G998" s="190"/>
      <c r="H998" s="155"/>
      <c r="I998" s="190"/>
      <c r="J998" s="155"/>
      <c r="K998" s="155"/>
      <c r="L998" s="155"/>
      <c r="M998" s="155"/>
    </row>
    <row r="999" ht="14.25" customHeight="1">
      <c r="A999" s="188"/>
      <c r="B999" s="189"/>
      <c r="C999" s="131"/>
      <c r="D999" s="155"/>
      <c r="E999" s="190"/>
      <c r="F999" s="190"/>
      <c r="G999" s="190"/>
      <c r="H999" s="155"/>
      <c r="I999" s="190"/>
      <c r="J999" s="155"/>
      <c r="K999" s="155"/>
      <c r="L999" s="155"/>
      <c r="M999" s="155"/>
    </row>
    <row r="1000" ht="14.25" customHeight="1">
      <c r="A1000" s="188"/>
      <c r="B1000" s="189"/>
      <c r="C1000" s="131"/>
      <c r="D1000" s="155"/>
      <c r="E1000" s="190"/>
      <c r="F1000" s="190"/>
      <c r="G1000" s="190"/>
      <c r="H1000" s="155"/>
      <c r="I1000" s="190"/>
      <c r="J1000" s="155"/>
      <c r="K1000" s="155"/>
      <c r="L1000" s="155"/>
      <c r="M1000" s="155"/>
    </row>
  </sheetData>
  <mergeCells count="6">
    <mergeCell ref="A2:M2"/>
    <mergeCell ref="A4:M4"/>
    <mergeCell ref="A5:M5"/>
    <mergeCell ref="A6:M6"/>
    <mergeCell ref="A7:M7"/>
    <mergeCell ref="A115:M115"/>
  </mergeCells>
  <hyperlinks>
    <hyperlink r:id="rId1" ref="J10"/>
    <hyperlink r:id="rId2" ref="K11"/>
    <hyperlink r:id="rId3" ref="K12"/>
    <hyperlink r:id="rId4" ref="K13"/>
    <hyperlink r:id="rId5" ref="K14"/>
    <hyperlink r:id="rId6" ref="K15"/>
    <hyperlink r:id="rId7" ref="K16"/>
    <hyperlink r:id="rId8" ref="K17"/>
    <hyperlink r:id="rId9" ref="K28"/>
    <hyperlink r:id="rId10" ref="J29"/>
    <hyperlink r:id="rId11" ref="K29"/>
    <hyperlink r:id="rId12" ref="K30"/>
    <hyperlink r:id="rId13" ref="K31"/>
    <hyperlink r:id="rId14" ref="K32"/>
    <hyperlink r:id="rId15" ref="K33"/>
    <hyperlink r:id="rId16" ref="K34"/>
    <hyperlink r:id="rId17" ref="K35"/>
    <hyperlink r:id="rId18" ref="K36"/>
    <hyperlink r:id="rId19" ref="K37"/>
    <hyperlink r:id="rId20" ref="K38"/>
    <hyperlink r:id="rId21" ref="J39"/>
    <hyperlink r:id="rId22" ref="A44"/>
    <hyperlink r:id="rId23" ref="D44"/>
    <hyperlink r:id="rId24" ref="K45"/>
    <hyperlink r:id="rId25" ref="J51"/>
    <hyperlink r:id="rId26" ref="K52"/>
    <hyperlink r:id="rId27" ref="K53"/>
    <hyperlink r:id="rId28" ref="K54"/>
    <hyperlink r:id="rId29" ref="K57"/>
    <hyperlink r:id="rId30" ref="K58"/>
    <hyperlink r:id="rId31" ref="K59"/>
    <hyperlink r:id="rId32" ref="K109"/>
  </hyperlinks>
  <printOptions/>
  <pageMargins bottom="0.75" footer="0.0" header="0.0" left="0.7" right="0.7" top="0.75"/>
  <pageSetup orientation="landscape"/>
  <drawing r:id="rId3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20.86"/>
    <col customWidth="1" min="3" max="3" width="10.43"/>
    <col customWidth="1" min="4" max="4" width="15.0"/>
    <col customWidth="1" min="5" max="5" width="11.0"/>
    <col customWidth="1" min="6" max="6" width="10.71"/>
    <col customWidth="1" min="7" max="7" width="10.0"/>
    <col customWidth="1" min="8" max="9" width="9.14"/>
    <col customWidth="1" min="10" max="10" width="10.43"/>
    <col customWidth="1" min="11" max="11" width="20.86"/>
    <col customWidth="1" min="12" max="15" width="9.14"/>
    <col customWidth="1" min="16" max="26" width="10.0"/>
  </cols>
  <sheetData>
    <row r="1" ht="14.25" customHeight="1">
      <c r="A1" s="52"/>
      <c r="B1" s="53"/>
      <c r="C1" s="53"/>
      <c r="D1" s="1"/>
      <c r="E1" s="1"/>
      <c r="F1" s="1"/>
      <c r="G1" s="1"/>
      <c r="H1" s="1"/>
      <c r="I1" s="1"/>
      <c r="J1" s="1"/>
    </row>
    <row r="2" ht="35.25" customHeight="1">
      <c r="A2" s="54" t="s">
        <v>1283</v>
      </c>
      <c r="B2" s="55"/>
      <c r="C2" s="55"/>
      <c r="D2" s="55"/>
      <c r="E2" s="55"/>
      <c r="F2" s="55"/>
      <c r="G2" s="55"/>
      <c r="H2" s="55"/>
      <c r="I2" s="55"/>
      <c r="J2" s="56"/>
      <c r="K2" s="58"/>
      <c r="L2" s="58"/>
      <c r="M2" s="58"/>
      <c r="N2" s="58"/>
      <c r="O2" s="58"/>
      <c r="P2" s="58"/>
      <c r="Q2" s="58"/>
      <c r="R2" s="58"/>
      <c r="S2" s="58"/>
      <c r="T2" s="58"/>
      <c r="U2" s="58"/>
      <c r="V2" s="58"/>
      <c r="W2" s="58"/>
      <c r="X2" s="58"/>
      <c r="Y2" s="58"/>
      <c r="Z2" s="58"/>
    </row>
    <row r="3" ht="14.25" customHeight="1">
      <c r="A3" s="61"/>
      <c r="B3" s="62"/>
      <c r="C3" s="62"/>
      <c r="D3" s="61"/>
      <c r="E3" s="61"/>
      <c r="F3" s="61"/>
      <c r="G3" s="61"/>
      <c r="H3" s="57"/>
      <c r="I3" s="57"/>
      <c r="J3" s="57"/>
      <c r="K3" s="58"/>
      <c r="L3" s="58"/>
      <c r="M3" s="58"/>
      <c r="N3" s="58"/>
      <c r="O3" s="58"/>
      <c r="P3" s="58"/>
      <c r="Q3" s="58"/>
      <c r="R3" s="58"/>
      <c r="S3" s="58"/>
      <c r="T3" s="58"/>
      <c r="U3" s="58"/>
      <c r="V3" s="58"/>
      <c r="W3" s="58"/>
      <c r="X3" s="58"/>
      <c r="Y3" s="58"/>
      <c r="Z3" s="58"/>
    </row>
    <row r="4" ht="15.0" customHeight="1">
      <c r="A4" s="116" t="s">
        <v>1284</v>
      </c>
      <c r="B4" s="55"/>
      <c r="C4" s="55"/>
      <c r="D4" s="55"/>
      <c r="E4" s="55"/>
      <c r="F4" s="55"/>
      <c r="G4" s="55"/>
      <c r="H4" s="55"/>
      <c r="I4" s="55"/>
      <c r="J4" s="56"/>
      <c r="K4" s="58"/>
      <c r="L4" s="58"/>
      <c r="M4" s="58"/>
      <c r="N4" s="58"/>
      <c r="O4" s="58"/>
      <c r="P4" s="58"/>
      <c r="Q4" s="58"/>
      <c r="R4" s="58"/>
      <c r="S4" s="58"/>
      <c r="T4" s="58"/>
      <c r="U4" s="58"/>
      <c r="V4" s="58"/>
      <c r="W4" s="58"/>
      <c r="X4" s="58"/>
      <c r="Y4" s="58"/>
      <c r="Z4" s="58"/>
    </row>
    <row r="5" ht="28.5" customHeight="1">
      <c r="A5" s="60" t="s">
        <v>1285</v>
      </c>
      <c r="B5" s="55"/>
      <c r="C5" s="55"/>
      <c r="D5" s="55"/>
      <c r="E5" s="55"/>
      <c r="F5" s="55"/>
      <c r="G5" s="55"/>
      <c r="H5" s="55"/>
      <c r="I5" s="55"/>
      <c r="J5" s="56"/>
      <c r="K5" s="58"/>
      <c r="L5" s="58"/>
      <c r="M5" s="58"/>
      <c r="N5" s="58"/>
      <c r="O5" s="58"/>
      <c r="P5" s="58"/>
      <c r="Q5" s="58"/>
      <c r="R5" s="58"/>
      <c r="S5" s="58"/>
      <c r="T5" s="58"/>
      <c r="U5" s="58"/>
      <c r="V5" s="58"/>
      <c r="W5" s="58"/>
      <c r="X5" s="58"/>
      <c r="Y5" s="58"/>
      <c r="Z5" s="58"/>
    </row>
    <row r="6" ht="14.25" customHeight="1">
      <c r="A6" s="59" t="s">
        <v>1286</v>
      </c>
      <c r="B6" s="55"/>
      <c r="C6" s="55"/>
      <c r="D6" s="55"/>
      <c r="E6" s="55"/>
      <c r="F6" s="55"/>
      <c r="G6" s="55"/>
      <c r="H6" s="55"/>
      <c r="I6" s="55"/>
      <c r="J6" s="56"/>
      <c r="K6" s="58"/>
      <c r="L6" s="58"/>
      <c r="M6" s="58"/>
      <c r="N6" s="58"/>
      <c r="O6" s="58"/>
      <c r="P6" s="58"/>
      <c r="Q6" s="58"/>
      <c r="R6" s="58"/>
      <c r="S6" s="58"/>
      <c r="T6" s="58"/>
      <c r="U6" s="58"/>
      <c r="V6" s="58"/>
      <c r="W6" s="58"/>
      <c r="X6" s="58"/>
      <c r="Y6" s="58"/>
      <c r="Z6" s="58"/>
    </row>
    <row r="7" ht="68.25" customHeight="1">
      <c r="A7" s="158" t="s">
        <v>1287</v>
      </c>
      <c r="B7" s="55"/>
      <c r="C7" s="55"/>
      <c r="D7" s="55"/>
      <c r="E7" s="55"/>
      <c r="F7" s="55"/>
      <c r="G7" s="55"/>
      <c r="H7" s="55"/>
      <c r="I7" s="55"/>
      <c r="J7" s="56"/>
      <c r="O7" s="308"/>
    </row>
    <row r="8" ht="64.5" customHeight="1">
      <c r="A8" s="158" t="s">
        <v>1288</v>
      </c>
      <c r="B8" s="55"/>
      <c r="C8" s="55"/>
      <c r="D8" s="55"/>
      <c r="E8" s="55"/>
      <c r="F8" s="55"/>
      <c r="G8" s="55"/>
      <c r="H8" s="55"/>
      <c r="I8" s="55"/>
      <c r="J8" s="56"/>
    </row>
    <row r="9" ht="54.0" customHeight="1">
      <c r="A9" s="116" t="s">
        <v>1289</v>
      </c>
      <c r="B9" s="55"/>
      <c r="C9" s="55"/>
      <c r="D9" s="55"/>
      <c r="E9" s="55"/>
      <c r="F9" s="55"/>
      <c r="G9" s="55"/>
      <c r="H9" s="55"/>
      <c r="I9" s="55"/>
      <c r="J9" s="56"/>
    </row>
    <row r="10" ht="14.25" customHeight="1">
      <c r="A10" s="61"/>
      <c r="B10" s="62"/>
      <c r="C10" s="62"/>
      <c r="D10" s="61"/>
      <c r="E10" s="61"/>
      <c r="F10" s="61"/>
      <c r="G10" s="61"/>
      <c r="H10" s="61"/>
      <c r="I10" s="57"/>
      <c r="J10" s="57"/>
    </row>
    <row r="11" ht="78.0" customHeight="1">
      <c r="A11" s="203" t="s">
        <v>1290</v>
      </c>
      <c r="B11" s="309" t="s">
        <v>1291</v>
      </c>
      <c r="C11" s="119" t="s">
        <v>9</v>
      </c>
      <c r="D11" s="310" t="s">
        <v>1292</v>
      </c>
      <c r="E11" s="309" t="s">
        <v>1293</v>
      </c>
      <c r="F11" s="309" t="s">
        <v>205</v>
      </c>
      <c r="G11" s="309" t="s">
        <v>1294</v>
      </c>
      <c r="H11" s="309" t="s">
        <v>1295</v>
      </c>
      <c r="I11" s="203" t="s">
        <v>208</v>
      </c>
      <c r="J11" s="203" t="s">
        <v>209</v>
      </c>
      <c r="K11" s="65" t="s">
        <v>210</v>
      </c>
      <c r="L11" s="58"/>
      <c r="M11" s="58"/>
      <c r="N11" s="58"/>
      <c r="O11" s="58"/>
      <c r="P11" s="58"/>
      <c r="Q11" s="58"/>
      <c r="R11" s="58"/>
      <c r="S11" s="58"/>
      <c r="T11" s="58"/>
      <c r="U11" s="58"/>
      <c r="V11" s="58"/>
      <c r="W11" s="58"/>
      <c r="X11" s="58"/>
      <c r="Y11" s="58"/>
      <c r="Z11" s="58"/>
    </row>
    <row r="12" ht="54.75" customHeight="1">
      <c r="A12" s="311" t="s">
        <v>1296</v>
      </c>
      <c r="B12" s="101" t="s">
        <v>1297</v>
      </c>
      <c r="C12" s="75" t="s">
        <v>38</v>
      </c>
      <c r="D12" s="101" t="s">
        <v>1298</v>
      </c>
      <c r="E12" s="75">
        <v>9.781789698343E12</v>
      </c>
      <c r="F12" s="75">
        <v>2020.0</v>
      </c>
      <c r="G12" s="75" t="s">
        <v>1299</v>
      </c>
      <c r="H12" s="75">
        <v>205.0</v>
      </c>
      <c r="I12" s="312">
        <v>2050.0</v>
      </c>
      <c r="J12" s="77">
        <v>1500.0</v>
      </c>
      <c r="K12" s="77" t="s">
        <v>1300</v>
      </c>
    </row>
    <row r="13" ht="192.75" customHeight="1">
      <c r="A13" s="176" t="s">
        <v>1301</v>
      </c>
      <c r="B13" s="101" t="s">
        <v>1302</v>
      </c>
      <c r="C13" s="75" t="s">
        <v>38</v>
      </c>
      <c r="D13" s="101" t="s">
        <v>1303</v>
      </c>
      <c r="E13" s="75" t="s">
        <v>1304</v>
      </c>
      <c r="F13" s="75">
        <v>2020.0</v>
      </c>
      <c r="G13" s="75"/>
      <c r="H13" s="75">
        <v>14.0</v>
      </c>
      <c r="I13" s="312">
        <v>140.0</v>
      </c>
      <c r="J13" s="77">
        <v>70.0</v>
      </c>
      <c r="K13" s="77" t="s">
        <v>51</v>
      </c>
    </row>
    <row r="14" ht="54.75" customHeight="1">
      <c r="A14" s="101" t="s">
        <v>1305</v>
      </c>
      <c r="B14" s="101" t="s">
        <v>1306</v>
      </c>
      <c r="C14" s="69" t="s">
        <v>38</v>
      </c>
      <c r="D14" s="101" t="s">
        <v>1307</v>
      </c>
      <c r="E14" s="75" t="s">
        <v>1308</v>
      </c>
      <c r="F14" s="75">
        <v>2020.0</v>
      </c>
      <c r="G14" s="75" t="s">
        <v>1309</v>
      </c>
      <c r="H14" s="75">
        <v>6.0</v>
      </c>
      <c r="I14" s="312">
        <v>2.5</v>
      </c>
      <c r="J14" s="77">
        <v>15.0</v>
      </c>
      <c r="K14" s="77" t="s">
        <v>1310</v>
      </c>
    </row>
    <row r="15" ht="41.25" customHeight="1">
      <c r="A15" s="101" t="s">
        <v>1305</v>
      </c>
      <c r="B15" s="101" t="s">
        <v>1311</v>
      </c>
      <c r="C15" s="69" t="s">
        <v>38</v>
      </c>
      <c r="D15" s="101"/>
      <c r="E15" s="75" t="s">
        <v>1308</v>
      </c>
      <c r="F15" s="75">
        <v>2020.0</v>
      </c>
      <c r="G15" s="75" t="s">
        <v>1309</v>
      </c>
      <c r="H15" s="75">
        <v>21.0</v>
      </c>
      <c r="I15" s="312">
        <v>2.5</v>
      </c>
      <c r="J15" s="77">
        <v>52.5</v>
      </c>
      <c r="K15" s="77" t="s">
        <v>1312</v>
      </c>
    </row>
    <row r="16" ht="41.25" customHeight="1">
      <c r="A16" s="101" t="s">
        <v>1305</v>
      </c>
      <c r="B16" s="101" t="s">
        <v>1313</v>
      </c>
      <c r="C16" s="75" t="s">
        <v>38</v>
      </c>
      <c r="D16" s="101"/>
      <c r="E16" s="75" t="s">
        <v>1308</v>
      </c>
      <c r="F16" s="75">
        <v>2020.0</v>
      </c>
      <c r="G16" s="75" t="s">
        <v>1309</v>
      </c>
      <c r="H16" s="75">
        <v>14.0</v>
      </c>
      <c r="I16" s="312">
        <v>2.5</v>
      </c>
      <c r="J16" s="77">
        <v>35.0</v>
      </c>
      <c r="K16" s="77" t="s">
        <v>1314</v>
      </c>
    </row>
    <row r="17" ht="82.5" customHeight="1">
      <c r="A17" s="311" t="s">
        <v>1315</v>
      </c>
      <c r="B17" s="101" t="s">
        <v>1316</v>
      </c>
      <c r="C17" s="75" t="s">
        <v>38</v>
      </c>
      <c r="D17" s="101" t="s">
        <v>1317</v>
      </c>
      <c r="E17" s="313" t="s">
        <v>1318</v>
      </c>
      <c r="F17" s="75">
        <v>2020.0</v>
      </c>
      <c r="G17" s="75" t="s">
        <v>1299</v>
      </c>
      <c r="H17" s="75">
        <v>31.0</v>
      </c>
      <c r="I17" s="312" t="s">
        <v>1319</v>
      </c>
      <c r="J17" s="77">
        <v>108.5</v>
      </c>
      <c r="K17" s="77" t="s">
        <v>62</v>
      </c>
    </row>
    <row r="18" ht="52.5" customHeight="1">
      <c r="A18" s="314" t="s">
        <v>1320</v>
      </c>
      <c r="B18" s="315" t="s">
        <v>1321</v>
      </c>
      <c r="C18" s="316" t="s">
        <v>38</v>
      </c>
      <c r="D18" s="317" t="s">
        <v>1322</v>
      </c>
      <c r="E18" s="316" t="s">
        <v>1323</v>
      </c>
      <c r="F18" s="316">
        <v>2020.0</v>
      </c>
      <c r="G18" s="316" t="s">
        <v>1324</v>
      </c>
      <c r="H18" s="316">
        <v>318.0</v>
      </c>
      <c r="I18" s="318" t="s">
        <v>1325</v>
      </c>
      <c r="J18" s="319">
        <v>1500.0</v>
      </c>
      <c r="K18" s="77" t="s">
        <v>64</v>
      </c>
    </row>
    <row r="19" ht="41.25" customHeight="1">
      <c r="A19" s="131" t="s">
        <v>1326</v>
      </c>
      <c r="B19" s="101" t="s">
        <v>1327</v>
      </c>
      <c r="C19" s="75" t="s">
        <v>38</v>
      </c>
      <c r="D19" s="131" t="s">
        <v>1328</v>
      </c>
      <c r="E19" s="320" t="s">
        <v>1329</v>
      </c>
      <c r="F19" s="75">
        <v>2020.0</v>
      </c>
      <c r="G19" s="75">
        <v>3.0</v>
      </c>
      <c r="H19" s="75">
        <v>15.0</v>
      </c>
      <c r="I19" s="312">
        <v>150.0</v>
      </c>
      <c r="J19" s="77">
        <v>150.0</v>
      </c>
      <c r="K19" s="77" t="s">
        <v>1330</v>
      </c>
    </row>
    <row r="20" ht="82.5" customHeight="1">
      <c r="A20" s="321" t="s">
        <v>1331</v>
      </c>
      <c r="B20" s="311" t="s">
        <v>1332</v>
      </c>
      <c r="C20" s="73" t="s">
        <v>38</v>
      </c>
      <c r="D20" s="321" t="s">
        <v>1333</v>
      </c>
      <c r="E20" s="322" t="s">
        <v>1334</v>
      </c>
      <c r="F20" s="75">
        <v>2020.0</v>
      </c>
      <c r="G20" s="75"/>
      <c r="H20" s="75">
        <v>16.0</v>
      </c>
      <c r="I20" s="312">
        <v>160.0</v>
      </c>
      <c r="J20" s="77">
        <v>160.0</v>
      </c>
      <c r="K20" s="77" t="s">
        <v>1330</v>
      </c>
    </row>
    <row r="21" ht="26.25" customHeight="1">
      <c r="A21" s="323" t="s">
        <v>1335</v>
      </c>
      <c r="B21" s="170" t="s">
        <v>1336</v>
      </c>
      <c r="C21" s="148" t="s">
        <v>73</v>
      </c>
      <c r="D21" s="170" t="s">
        <v>1337</v>
      </c>
      <c r="E21" s="148" t="s">
        <v>1338</v>
      </c>
      <c r="F21" s="148">
        <v>2020.0</v>
      </c>
      <c r="G21" s="148">
        <v>11.0</v>
      </c>
      <c r="H21" s="148">
        <v>18.0</v>
      </c>
      <c r="I21" s="324">
        <v>10.0</v>
      </c>
      <c r="J21" s="154">
        <v>180.0</v>
      </c>
      <c r="K21" s="154" t="s">
        <v>83</v>
      </c>
    </row>
    <row r="22" ht="78.75" customHeight="1">
      <c r="A22" s="170" t="s">
        <v>1339</v>
      </c>
      <c r="B22" s="170" t="s">
        <v>95</v>
      </c>
      <c r="C22" s="148" t="s">
        <v>1340</v>
      </c>
      <c r="D22" s="170" t="s">
        <v>1341</v>
      </c>
      <c r="E22" s="148" t="s">
        <v>1342</v>
      </c>
      <c r="F22" s="148">
        <v>2020.0</v>
      </c>
      <c r="G22" s="148" t="s">
        <v>1343</v>
      </c>
      <c r="H22" s="148">
        <v>26.0</v>
      </c>
      <c r="I22" s="324">
        <v>91.0</v>
      </c>
      <c r="J22" s="154">
        <v>91.0</v>
      </c>
      <c r="K22" s="154" t="s">
        <v>95</v>
      </c>
    </row>
    <row r="23" ht="138.0" customHeight="1">
      <c r="A23" s="311" t="s">
        <v>1344</v>
      </c>
      <c r="B23" s="311" t="s">
        <v>1345</v>
      </c>
      <c r="C23" s="75" t="s">
        <v>123</v>
      </c>
      <c r="D23" s="101" t="s">
        <v>1346</v>
      </c>
      <c r="E23" s="313" t="s">
        <v>1347</v>
      </c>
      <c r="F23" s="75" t="s">
        <v>1348</v>
      </c>
      <c r="G23" s="325">
        <v>44075.0</v>
      </c>
      <c r="H23" s="75">
        <v>33.0</v>
      </c>
      <c r="I23" s="312">
        <v>330.0</v>
      </c>
      <c r="J23" s="77">
        <v>330.0</v>
      </c>
      <c r="K23" s="77" t="s">
        <v>139</v>
      </c>
    </row>
    <row r="24" ht="151.5" customHeight="1">
      <c r="A24" s="326" t="s">
        <v>1349</v>
      </c>
      <c r="B24" s="101" t="s">
        <v>1350</v>
      </c>
      <c r="C24" s="71" t="s">
        <v>123</v>
      </c>
      <c r="D24" s="101" t="s">
        <v>1346</v>
      </c>
      <c r="E24" s="75" t="s">
        <v>1347</v>
      </c>
      <c r="F24" s="75" t="s">
        <v>1348</v>
      </c>
      <c r="G24" s="325">
        <v>44075.0</v>
      </c>
      <c r="H24" s="75">
        <v>16.0</v>
      </c>
      <c r="I24" s="312">
        <v>160.0</v>
      </c>
      <c r="J24" s="77">
        <v>80.0</v>
      </c>
      <c r="K24" s="77" t="s">
        <v>139</v>
      </c>
    </row>
    <row r="25" ht="207.0" customHeight="1">
      <c r="A25" s="327" t="s">
        <v>1351</v>
      </c>
      <c r="B25" s="101" t="s">
        <v>1352</v>
      </c>
      <c r="C25" s="71" t="s">
        <v>123</v>
      </c>
      <c r="D25" s="101" t="s">
        <v>1346</v>
      </c>
      <c r="E25" s="75" t="s">
        <v>1347</v>
      </c>
      <c r="F25" s="75" t="s">
        <v>1348</v>
      </c>
      <c r="G25" s="325">
        <v>44075.0</v>
      </c>
      <c r="H25" s="75">
        <v>12.0</v>
      </c>
      <c r="I25" s="312">
        <v>120.0</v>
      </c>
      <c r="J25" s="77">
        <v>120.0</v>
      </c>
      <c r="K25" s="77" t="s">
        <v>139</v>
      </c>
    </row>
    <row r="26" ht="69.0" customHeight="1">
      <c r="A26" s="328" t="s">
        <v>1353</v>
      </c>
      <c r="B26" s="101" t="s">
        <v>1354</v>
      </c>
      <c r="C26" s="75" t="s">
        <v>142</v>
      </c>
      <c r="D26" s="328" t="s">
        <v>1355</v>
      </c>
      <c r="E26" s="329" t="s">
        <v>1356</v>
      </c>
      <c r="F26" s="75">
        <v>2020.0</v>
      </c>
      <c r="G26" s="75"/>
      <c r="H26" s="75">
        <v>17.0</v>
      </c>
      <c r="I26" s="312">
        <v>170.0</v>
      </c>
      <c r="J26" s="77">
        <v>85.0</v>
      </c>
      <c r="K26" s="77" t="s">
        <v>165</v>
      </c>
    </row>
    <row r="27" ht="96.0" customHeight="1">
      <c r="A27" s="328" t="s">
        <v>1357</v>
      </c>
      <c r="B27" s="101" t="s">
        <v>1358</v>
      </c>
      <c r="C27" s="71" t="s">
        <v>964</v>
      </c>
      <c r="D27" s="101" t="s">
        <v>1359</v>
      </c>
      <c r="E27" s="75" t="s">
        <v>1360</v>
      </c>
      <c r="F27" s="75">
        <v>2020.0</v>
      </c>
      <c r="G27" s="75" t="s">
        <v>1361</v>
      </c>
      <c r="H27" s="75">
        <v>17.0</v>
      </c>
      <c r="I27" s="312">
        <v>170.0</v>
      </c>
      <c r="J27" s="77">
        <v>85.0</v>
      </c>
      <c r="K27" s="77" t="s">
        <v>174</v>
      </c>
    </row>
    <row r="28" ht="14.25" customHeight="1">
      <c r="A28" s="101"/>
      <c r="B28" s="101"/>
      <c r="C28" s="71"/>
      <c r="D28" s="101"/>
      <c r="E28" s="75"/>
      <c r="F28" s="75"/>
      <c r="G28" s="75"/>
      <c r="H28" s="75"/>
      <c r="I28" s="312"/>
      <c r="J28" s="77"/>
      <c r="K28" s="77"/>
    </row>
    <row r="29" ht="14.25" customHeight="1">
      <c r="A29" s="101"/>
      <c r="B29" s="101"/>
      <c r="C29" s="71"/>
      <c r="D29" s="101"/>
      <c r="E29" s="75"/>
      <c r="F29" s="75"/>
      <c r="G29" s="75"/>
      <c r="H29" s="75"/>
      <c r="I29" s="312"/>
      <c r="J29" s="77"/>
      <c r="K29" s="77"/>
    </row>
    <row r="30" ht="14.25" customHeight="1">
      <c r="A30" s="101"/>
      <c r="B30" s="101"/>
      <c r="C30" s="75"/>
      <c r="D30" s="101"/>
      <c r="E30" s="75"/>
      <c r="F30" s="75"/>
      <c r="G30" s="75"/>
      <c r="H30" s="75"/>
      <c r="I30" s="312"/>
      <c r="J30" s="77"/>
      <c r="K30" s="77"/>
    </row>
    <row r="31" ht="14.25" customHeight="1">
      <c r="A31" s="101"/>
      <c r="B31" s="101"/>
      <c r="C31" s="75"/>
      <c r="D31" s="101"/>
      <c r="E31" s="75"/>
      <c r="F31" s="75"/>
      <c r="G31" s="75"/>
      <c r="H31" s="75"/>
      <c r="I31" s="312"/>
      <c r="J31" s="77"/>
      <c r="K31" s="77"/>
    </row>
    <row r="32" ht="14.25" customHeight="1">
      <c r="A32" s="104" t="s">
        <v>180</v>
      </c>
      <c r="B32" s="104"/>
      <c r="C32" s="53"/>
      <c r="D32" s="1"/>
      <c r="E32" s="1"/>
      <c r="F32" s="1"/>
      <c r="G32" s="1"/>
      <c r="H32" s="1"/>
      <c r="I32" s="330"/>
      <c r="J32" s="105">
        <f>SUM(J12:J31)</f>
        <v>4562</v>
      </c>
    </row>
    <row r="33" ht="14.25" customHeight="1">
      <c r="A33" s="331"/>
      <c r="B33" s="53"/>
      <c r="C33" s="53"/>
      <c r="D33" s="53"/>
      <c r="E33" s="53"/>
      <c r="F33" s="1"/>
      <c r="G33" s="1"/>
      <c r="H33" s="1"/>
      <c r="I33" s="1"/>
      <c r="J33" s="1"/>
    </row>
    <row r="34" ht="14.25" customHeight="1">
      <c r="A34" s="106" t="s">
        <v>330</v>
      </c>
      <c r="B34" s="107"/>
      <c r="C34" s="107"/>
      <c r="D34" s="107"/>
      <c r="E34" s="107"/>
      <c r="F34" s="107"/>
      <c r="G34" s="107"/>
      <c r="H34" s="107"/>
      <c r="I34" s="107"/>
      <c r="J34" s="108"/>
    </row>
    <row r="35" ht="14.25" customHeight="1">
      <c r="A35" s="52"/>
      <c r="B35" s="53"/>
      <c r="C35" s="53"/>
      <c r="D35" s="1"/>
      <c r="E35" s="1"/>
      <c r="F35" s="1"/>
      <c r="G35" s="1"/>
      <c r="H35" s="1"/>
      <c r="I35" s="1"/>
      <c r="J35" s="1"/>
    </row>
    <row r="36" ht="14.25" customHeight="1">
      <c r="A36" s="52"/>
      <c r="B36" s="53"/>
      <c r="C36" s="53"/>
      <c r="D36" s="1"/>
      <c r="E36" s="1"/>
      <c r="F36" s="1"/>
      <c r="G36" s="1"/>
      <c r="H36" s="1"/>
      <c r="I36" s="1"/>
      <c r="J36" s="1"/>
    </row>
    <row r="37" ht="14.25" customHeight="1">
      <c r="A37" s="52"/>
      <c r="B37" s="53"/>
      <c r="C37" s="53"/>
      <c r="D37" s="1"/>
      <c r="E37" s="1"/>
      <c r="F37" s="1"/>
      <c r="G37" s="1"/>
      <c r="H37" s="1"/>
      <c r="I37" s="1"/>
      <c r="J37" s="1"/>
    </row>
    <row r="38" ht="14.25" customHeight="1">
      <c r="A38" s="52"/>
      <c r="B38" s="53"/>
      <c r="C38" s="53"/>
      <c r="D38" s="1"/>
      <c r="E38" s="1"/>
      <c r="F38" s="1"/>
      <c r="G38" s="1"/>
      <c r="H38" s="1"/>
      <c r="I38" s="1"/>
      <c r="J38" s="1"/>
    </row>
    <row r="39" ht="14.25" customHeight="1">
      <c r="A39" s="52"/>
      <c r="B39" s="53"/>
      <c r="C39" s="53"/>
      <c r="D39" s="1"/>
      <c r="E39" s="1"/>
      <c r="F39" s="1"/>
      <c r="G39" s="1"/>
      <c r="H39" s="1"/>
      <c r="I39" s="1"/>
      <c r="J39" s="1"/>
    </row>
    <row r="40" ht="14.25" customHeight="1">
      <c r="A40" s="52"/>
      <c r="B40" s="53"/>
      <c r="C40" s="53"/>
      <c r="D40" s="1"/>
      <c r="E40" s="1"/>
      <c r="F40" s="1"/>
      <c r="G40" s="1"/>
      <c r="H40" s="1"/>
      <c r="I40" s="1"/>
      <c r="J40" s="1"/>
    </row>
    <row r="41" ht="14.25" customHeight="1">
      <c r="A41" s="52"/>
      <c r="B41" s="53"/>
      <c r="C41" s="53"/>
      <c r="D41" s="1"/>
      <c r="E41" s="1"/>
      <c r="F41" s="1"/>
      <c r="G41" s="1"/>
      <c r="H41" s="1"/>
      <c r="I41" s="1"/>
      <c r="J41" s="1"/>
    </row>
    <row r="42" ht="14.25" customHeight="1">
      <c r="A42" s="52"/>
      <c r="B42" s="53"/>
      <c r="C42" s="53"/>
      <c r="D42" s="1"/>
      <c r="E42" s="1"/>
      <c r="F42" s="1"/>
      <c r="G42" s="1"/>
      <c r="H42" s="1"/>
      <c r="I42" s="1"/>
      <c r="J42" s="1"/>
    </row>
    <row r="43" ht="14.25" customHeight="1">
      <c r="A43" s="52"/>
      <c r="B43" s="53"/>
      <c r="C43" s="53"/>
      <c r="D43" s="1"/>
      <c r="E43" s="1"/>
      <c r="F43" s="1"/>
      <c r="G43" s="1"/>
      <c r="H43" s="1"/>
      <c r="I43" s="1"/>
      <c r="J43" s="1"/>
    </row>
    <row r="44" ht="14.25" customHeight="1">
      <c r="A44" s="52"/>
      <c r="B44" s="53"/>
      <c r="C44" s="53"/>
      <c r="D44" s="1"/>
      <c r="E44" s="1"/>
      <c r="F44" s="1"/>
      <c r="G44" s="1"/>
      <c r="H44" s="1"/>
      <c r="I44" s="1"/>
      <c r="J44" s="1"/>
    </row>
    <row r="45" ht="14.25" customHeight="1">
      <c r="A45" s="52"/>
      <c r="B45" s="53"/>
      <c r="C45" s="53"/>
      <c r="D45" s="1"/>
      <c r="E45" s="1"/>
      <c r="F45" s="1"/>
      <c r="G45" s="1"/>
      <c r="H45" s="1"/>
      <c r="I45" s="1"/>
      <c r="J45" s="1"/>
    </row>
    <row r="46" ht="14.25" customHeight="1">
      <c r="A46" s="52"/>
      <c r="B46" s="53"/>
      <c r="C46" s="53"/>
      <c r="D46" s="1"/>
      <c r="E46" s="1"/>
      <c r="F46" s="1"/>
      <c r="G46" s="1"/>
      <c r="H46" s="1"/>
      <c r="I46" s="1"/>
      <c r="J46" s="1"/>
    </row>
    <row r="47" ht="14.25" customHeight="1">
      <c r="A47" s="52"/>
      <c r="B47" s="53"/>
      <c r="C47" s="53"/>
      <c r="D47" s="1"/>
      <c r="E47" s="1"/>
      <c r="F47" s="1"/>
      <c r="G47" s="1"/>
      <c r="H47" s="1"/>
      <c r="I47" s="1"/>
      <c r="J47" s="1"/>
    </row>
    <row r="48" ht="14.25" customHeight="1">
      <c r="A48" s="52"/>
      <c r="B48" s="53"/>
      <c r="C48" s="53"/>
      <c r="D48" s="1"/>
      <c r="E48" s="1"/>
      <c r="F48" s="1"/>
      <c r="G48" s="1"/>
      <c r="H48" s="1"/>
      <c r="I48" s="1"/>
      <c r="J48" s="1"/>
    </row>
    <row r="49" ht="14.25" customHeight="1">
      <c r="A49" s="52"/>
      <c r="B49" s="53"/>
      <c r="C49" s="53"/>
      <c r="D49" s="1"/>
      <c r="E49" s="1"/>
      <c r="F49" s="1"/>
      <c r="G49" s="1"/>
      <c r="H49" s="1"/>
      <c r="I49" s="1"/>
      <c r="J49" s="1"/>
    </row>
    <row r="50" ht="14.25" customHeight="1">
      <c r="A50" s="52"/>
      <c r="B50" s="53"/>
      <c r="C50" s="53"/>
      <c r="D50" s="1"/>
      <c r="E50" s="1"/>
      <c r="F50" s="1"/>
      <c r="G50" s="1"/>
      <c r="H50" s="1"/>
      <c r="I50" s="1"/>
      <c r="J50" s="1"/>
    </row>
    <row r="51" ht="14.25" customHeight="1">
      <c r="A51" s="52"/>
      <c r="B51" s="53"/>
      <c r="C51" s="53"/>
      <c r="D51" s="1"/>
      <c r="E51" s="1"/>
      <c r="F51" s="1"/>
      <c r="G51" s="1"/>
      <c r="H51" s="1"/>
      <c r="I51" s="1"/>
      <c r="J51" s="1"/>
    </row>
    <row r="52" ht="14.25" customHeight="1">
      <c r="A52" s="52"/>
      <c r="B52" s="53"/>
      <c r="C52" s="53"/>
      <c r="D52" s="1"/>
      <c r="E52" s="1"/>
      <c r="F52" s="1"/>
      <c r="G52" s="1"/>
      <c r="H52" s="1"/>
      <c r="I52" s="1"/>
      <c r="J52" s="1"/>
    </row>
    <row r="53" ht="14.25" customHeight="1">
      <c r="A53" s="52"/>
      <c r="B53" s="53"/>
      <c r="C53" s="53"/>
      <c r="D53" s="1"/>
      <c r="E53" s="1"/>
      <c r="F53" s="1"/>
      <c r="G53" s="1"/>
      <c r="H53" s="1"/>
      <c r="I53" s="1"/>
      <c r="J53" s="1"/>
    </row>
    <row r="54" ht="14.25" customHeight="1">
      <c r="A54" s="52"/>
      <c r="B54" s="53"/>
      <c r="C54" s="53"/>
      <c r="D54" s="1"/>
      <c r="E54" s="1"/>
      <c r="F54" s="1"/>
      <c r="G54" s="1"/>
      <c r="H54" s="1"/>
      <c r="I54" s="1"/>
      <c r="J54" s="1"/>
    </row>
    <row r="55" ht="14.25" customHeight="1">
      <c r="A55" s="52"/>
      <c r="B55" s="53"/>
      <c r="C55" s="53"/>
      <c r="D55" s="1"/>
      <c r="E55" s="1"/>
      <c r="F55" s="1"/>
      <c r="G55" s="1"/>
      <c r="H55" s="1"/>
      <c r="I55" s="1"/>
      <c r="J55" s="1"/>
    </row>
    <row r="56" ht="14.25" customHeight="1">
      <c r="A56" s="52"/>
      <c r="B56" s="53"/>
      <c r="C56" s="53"/>
      <c r="D56" s="1"/>
      <c r="E56" s="1"/>
      <c r="F56" s="1"/>
      <c r="G56" s="1"/>
      <c r="H56" s="1"/>
      <c r="I56" s="1"/>
      <c r="J56" s="1"/>
    </row>
    <row r="57" ht="14.25" customHeight="1">
      <c r="A57" s="52"/>
      <c r="B57" s="53"/>
      <c r="C57" s="53"/>
      <c r="D57" s="1"/>
      <c r="E57" s="1"/>
      <c r="F57" s="1"/>
      <c r="G57" s="1"/>
      <c r="H57" s="1"/>
      <c r="I57" s="1"/>
      <c r="J57" s="1"/>
    </row>
    <row r="58" ht="14.25" customHeight="1">
      <c r="A58" s="52"/>
      <c r="B58" s="53"/>
      <c r="C58" s="53"/>
      <c r="D58" s="1"/>
      <c r="E58" s="1"/>
      <c r="F58" s="1"/>
      <c r="G58" s="1"/>
      <c r="H58" s="1"/>
      <c r="I58" s="1"/>
      <c r="J58" s="1"/>
    </row>
    <row r="59" ht="14.25" customHeight="1">
      <c r="A59" s="52"/>
      <c r="B59" s="53"/>
      <c r="C59" s="53"/>
      <c r="D59" s="1"/>
      <c r="E59" s="1"/>
      <c r="F59" s="1"/>
      <c r="G59" s="1"/>
      <c r="H59" s="1"/>
      <c r="I59" s="1"/>
      <c r="J59" s="1"/>
    </row>
    <row r="60" ht="14.25" customHeight="1">
      <c r="A60" s="52"/>
      <c r="B60" s="53"/>
      <c r="C60" s="53"/>
      <c r="D60" s="1"/>
      <c r="E60" s="1"/>
      <c r="F60" s="1"/>
      <c r="G60" s="1"/>
      <c r="H60" s="1"/>
      <c r="I60" s="1"/>
      <c r="J60" s="1"/>
    </row>
    <row r="61" ht="14.25" customHeight="1">
      <c r="A61" s="52"/>
      <c r="B61" s="53"/>
      <c r="C61" s="53"/>
      <c r="D61" s="1"/>
      <c r="E61" s="1"/>
      <c r="F61" s="1"/>
      <c r="G61" s="1"/>
      <c r="H61" s="1"/>
      <c r="I61" s="1"/>
      <c r="J61" s="1"/>
    </row>
    <row r="62" ht="14.25" customHeight="1">
      <c r="A62" s="52"/>
      <c r="B62" s="53"/>
      <c r="C62" s="53"/>
      <c r="D62" s="1"/>
      <c r="E62" s="1"/>
      <c r="F62" s="1"/>
      <c r="G62" s="1"/>
      <c r="H62" s="1"/>
      <c r="I62" s="1"/>
      <c r="J62" s="1"/>
    </row>
    <row r="63" ht="14.25" customHeight="1">
      <c r="A63" s="52"/>
      <c r="B63" s="53"/>
      <c r="C63" s="53"/>
      <c r="D63" s="1"/>
      <c r="E63" s="1"/>
      <c r="F63" s="1"/>
      <c r="G63" s="1"/>
      <c r="H63" s="1"/>
      <c r="I63" s="1"/>
      <c r="J63" s="1"/>
    </row>
    <row r="64" ht="14.25" customHeight="1">
      <c r="A64" s="52"/>
      <c r="B64" s="53"/>
      <c r="C64" s="53"/>
      <c r="D64" s="1"/>
      <c r="E64" s="1"/>
      <c r="F64" s="1"/>
      <c r="G64" s="1"/>
      <c r="H64" s="1"/>
      <c r="I64" s="1"/>
      <c r="J64" s="1"/>
    </row>
    <row r="65" ht="14.25" customHeight="1">
      <c r="A65" s="52"/>
      <c r="B65" s="53"/>
      <c r="C65" s="53"/>
      <c r="D65" s="1"/>
      <c r="E65" s="1"/>
      <c r="F65" s="1"/>
      <c r="G65" s="1"/>
      <c r="H65" s="1"/>
      <c r="I65" s="1"/>
      <c r="J65" s="1"/>
    </row>
    <row r="66" ht="14.25" customHeight="1">
      <c r="A66" s="52"/>
      <c r="B66" s="53"/>
      <c r="C66" s="53"/>
      <c r="D66" s="1"/>
      <c r="E66" s="1"/>
      <c r="F66" s="1"/>
      <c r="G66" s="1"/>
      <c r="H66" s="1"/>
      <c r="I66" s="1"/>
      <c r="J66" s="1"/>
    </row>
    <row r="67" ht="14.25" customHeight="1">
      <c r="A67" s="52"/>
      <c r="B67" s="53"/>
      <c r="C67" s="53"/>
      <c r="D67" s="1"/>
      <c r="E67" s="1"/>
      <c r="F67" s="1"/>
      <c r="G67" s="1"/>
      <c r="H67" s="1"/>
      <c r="I67" s="1"/>
      <c r="J67" s="1"/>
    </row>
    <row r="68" ht="14.25" customHeight="1">
      <c r="A68" s="52"/>
      <c r="B68" s="53"/>
      <c r="C68" s="53"/>
      <c r="D68" s="1"/>
      <c r="E68" s="1"/>
      <c r="F68" s="1"/>
      <c r="G68" s="1"/>
      <c r="H68" s="1"/>
      <c r="I68" s="1"/>
      <c r="J68" s="1"/>
    </row>
    <row r="69" ht="14.25" customHeight="1">
      <c r="A69" s="52"/>
      <c r="B69" s="53"/>
      <c r="C69" s="53"/>
      <c r="D69" s="1"/>
      <c r="E69" s="1"/>
      <c r="F69" s="1"/>
      <c r="G69" s="1"/>
      <c r="H69" s="1"/>
      <c r="I69" s="1"/>
      <c r="J69" s="1"/>
    </row>
    <row r="70" ht="14.25" customHeight="1">
      <c r="A70" s="52"/>
      <c r="B70" s="53"/>
      <c r="C70" s="53"/>
      <c r="D70" s="1"/>
      <c r="E70" s="1"/>
      <c r="F70" s="1"/>
      <c r="G70" s="1"/>
      <c r="H70" s="1"/>
      <c r="I70" s="1"/>
      <c r="J70" s="1"/>
    </row>
    <row r="71" ht="14.25" customHeight="1">
      <c r="A71" s="52"/>
      <c r="B71" s="53"/>
      <c r="C71" s="53"/>
      <c r="D71" s="1"/>
      <c r="E71" s="1"/>
      <c r="F71" s="1"/>
      <c r="G71" s="1"/>
      <c r="H71" s="1"/>
      <c r="I71" s="1"/>
      <c r="J71" s="1"/>
    </row>
    <row r="72" ht="14.25" customHeight="1">
      <c r="A72" s="52"/>
      <c r="B72" s="53"/>
      <c r="C72" s="53"/>
      <c r="D72" s="1"/>
      <c r="E72" s="1"/>
      <c r="F72" s="1"/>
      <c r="G72" s="1"/>
      <c r="H72" s="1"/>
      <c r="I72" s="1"/>
      <c r="J72" s="1"/>
    </row>
    <row r="73" ht="14.25" customHeight="1">
      <c r="A73" s="52"/>
      <c r="B73" s="53"/>
      <c r="C73" s="53"/>
      <c r="D73" s="1"/>
      <c r="E73" s="1"/>
      <c r="F73" s="1"/>
      <c r="G73" s="1"/>
      <c r="H73" s="1"/>
      <c r="I73" s="1"/>
      <c r="J73" s="1"/>
    </row>
    <row r="74" ht="14.25" customHeight="1">
      <c r="A74" s="52"/>
      <c r="B74" s="53"/>
      <c r="C74" s="53"/>
      <c r="D74" s="1"/>
      <c r="E74" s="1"/>
      <c r="F74" s="1"/>
      <c r="G74" s="1"/>
      <c r="H74" s="1"/>
      <c r="I74" s="1"/>
      <c r="J74" s="1"/>
    </row>
    <row r="75" ht="14.25" customHeight="1">
      <c r="A75" s="52"/>
      <c r="B75" s="53"/>
      <c r="C75" s="53"/>
      <c r="D75" s="1"/>
      <c r="E75" s="1"/>
      <c r="F75" s="1"/>
      <c r="G75" s="1"/>
      <c r="H75" s="1"/>
      <c r="I75" s="1"/>
      <c r="J75" s="1"/>
    </row>
    <row r="76" ht="14.25" customHeight="1">
      <c r="A76" s="52"/>
      <c r="B76" s="53"/>
      <c r="C76" s="53"/>
      <c r="D76" s="1"/>
      <c r="E76" s="1"/>
      <c r="F76" s="1"/>
      <c r="G76" s="1"/>
      <c r="H76" s="1"/>
      <c r="I76" s="1"/>
      <c r="J76" s="1"/>
    </row>
    <row r="77" ht="14.25" customHeight="1">
      <c r="A77" s="52"/>
      <c r="B77" s="53"/>
      <c r="C77" s="53"/>
      <c r="D77" s="1"/>
      <c r="E77" s="1"/>
      <c r="F77" s="1"/>
      <c r="G77" s="1"/>
      <c r="H77" s="1"/>
      <c r="I77" s="1"/>
      <c r="J77" s="1"/>
    </row>
    <row r="78" ht="14.25" customHeight="1">
      <c r="A78" s="52"/>
      <c r="B78" s="53"/>
      <c r="C78" s="53"/>
      <c r="D78" s="1"/>
      <c r="E78" s="1"/>
      <c r="F78" s="1"/>
      <c r="G78" s="1"/>
      <c r="H78" s="1"/>
      <c r="I78" s="1"/>
      <c r="J78" s="1"/>
    </row>
    <row r="79" ht="14.25" customHeight="1">
      <c r="A79" s="52"/>
      <c r="B79" s="53"/>
      <c r="C79" s="53"/>
      <c r="D79" s="1"/>
      <c r="E79" s="1"/>
      <c r="F79" s="1"/>
      <c r="G79" s="1"/>
      <c r="H79" s="1"/>
      <c r="I79" s="1"/>
      <c r="J79" s="1"/>
    </row>
    <row r="80" ht="14.25" customHeight="1">
      <c r="A80" s="52"/>
      <c r="B80" s="53"/>
      <c r="C80" s="53"/>
      <c r="D80" s="1"/>
      <c r="E80" s="1"/>
      <c r="F80" s="1"/>
      <c r="G80" s="1"/>
      <c r="H80" s="1"/>
      <c r="I80" s="1"/>
      <c r="J80" s="1"/>
    </row>
    <row r="81" ht="14.25" customHeight="1">
      <c r="A81" s="52"/>
      <c r="B81" s="53"/>
      <c r="C81" s="53"/>
      <c r="D81" s="1"/>
      <c r="E81" s="1"/>
      <c r="F81" s="1"/>
      <c r="G81" s="1"/>
      <c r="H81" s="1"/>
      <c r="I81" s="1"/>
      <c r="J81" s="1"/>
    </row>
    <row r="82" ht="14.25" customHeight="1">
      <c r="A82" s="52"/>
      <c r="B82" s="53"/>
      <c r="C82" s="53"/>
      <c r="D82" s="1"/>
      <c r="E82" s="1"/>
      <c r="F82" s="1"/>
      <c r="G82" s="1"/>
      <c r="H82" s="1"/>
      <c r="I82" s="1"/>
      <c r="J82" s="1"/>
    </row>
    <row r="83" ht="14.25" customHeight="1">
      <c r="A83" s="52"/>
      <c r="B83" s="53"/>
      <c r="C83" s="53"/>
      <c r="D83" s="1"/>
      <c r="E83" s="1"/>
      <c r="F83" s="1"/>
      <c r="G83" s="1"/>
      <c r="H83" s="1"/>
      <c r="I83" s="1"/>
      <c r="J83" s="1"/>
    </row>
    <row r="84" ht="14.25" customHeight="1">
      <c r="A84" s="52"/>
      <c r="B84" s="53"/>
      <c r="C84" s="53"/>
      <c r="D84" s="1"/>
      <c r="E84" s="1"/>
      <c r="F84" s="1"/>
      <c r="G84" s="1"/>
      <c r="H84" s="1"/>
      <c r="I84" s="1"/>
      <c r="J84" s="1"/>
    </row>
    <row r="85" ht="14.25" customHeight="1">
      <c r="A85" s="52"/>
      <c r="B85" s="53"/>
      <c r="C85" s="53"/>
      <c r="D85" s="1"/>
      <c r="E85" s="1"/>
      <c r="F85" s="1"/>
      <c r="G85" s="1"/>
      <c r="H85" s="1"/>
      <c r="I85" s="1"/>
      <c r="J85" s="1"/>
    </row>
    <row r="86" ht="14.25" customHeight="1">
      <c r="A86" s="52"/>
      <c r="B86" s="53"/>
      <c r="C86" s="53"/>
      <c r="D86" s="1"/>
      <c r="E86" s="1"/>
      <c r="F86" s="1"/>
      <c r="G86" s="1"/>
      <c r="H86" s="1"/>
      <c r="I86" s="1"/>
      <c r="J86" s="1"/>
    </row>
    <row r="87" ht="14.25" customHeight="1">
      <c r="A87" s="52"/>
      <c r="B87" s="53"/>
      <c r="C87" s="53"/>
      <c r="D87" s="1"/>
      <c r="E87" s="1"/>
      <c r="F87" s="1"/>
      <c r="G87" s="1"/>
      <c r="H87" s="1"/>
      <c r="I87" s="1"/>
      <c r="J87" s="1"/>
    </row>
    <row r="88" ht="14.25" customHeight="1">
      <c r="A88" s="52"/>
      <c r="B88" s="53"/>
      <c r="C88" s="53"/>
      <c r="D88" s="1"/>
      <c r="E88" s="1"/>
      <c r="F88" s="1"/>
      <c r="G88" s="1"/>
      <c r="H88" s="1"/>
      <c r="I88" s="1"/>
      <c r="J88" s="1"/>
    </row>
    <row r="89" ht="14.25" customHeight="1">
      <c r="A89" s="52"/>
      <c r="B89" s="53"/>
      <c r="C89" s="53"/>
      <c r="D89" s="1"/>
      <c r="E89" s="1"/>
      <c r="F89" s="1"/>
      <c r="G89" s="1"/>
      <c r="H89" s="1"/>
      <c r="I89" s="1"/>
      <c r="J89" s="1"/>
    </row>
    <row r="90" ht="14.25" customHeight="1">
      <c r="A90" s="52"/>
      <c r="B90" s="53"/>
      <c r="C90" s="53"/>
      <c r="D90" s="1"/>
      <c r="E90" s="1"/>
      <c r="F90" s="1"/>
      <c r="G90" s="1"/>
      <c r="H90" s="1"/>
      <c r="I90" s="1"/>
      <c r="J90" s="1"/>
    </row>
    <row r="91" ht="14.25" customHeight="1">
      <c r="A91" s="52"/>
      <c r="B91" s="53"/>
      <c r="C91" s="53"/>
      <c r="D91" s="1"/>
      <c r="E91" s="1"/>
      <c r="F91" s="1"/>
      <c r="G91" s="1"/>
      <c r="H91" s="1"/>
      <c r="I91" s="1"/>
      <c r="J91" s="1"/>
    </row>
    <row r="92" ht="14.25" customHeight="1">
      <c r="A92" s="52"/>
      <c r="B92" s="53"/>
      <c r="C92" s="53"/>
      <c r="D92" s="1"/>
      <c r="E92" s="1"/>
      <c r="F92" s="1"/>
      <c r="G92" s="1"/>
      <c r="H92" s="1"/>
      <c r="I92" s="1"/>
      <c r="J92" s="1"/>
    </row>
    <row r="93" ht="14.25" customHeight="1">
      <c r="A93" s="52"/>
      <c r="B93" s="53"/>
      <c r="C93" s="53"/>
      <c r="D93" s="1"/>
      <c r="E93" s="1"/>
      <c r="F93" s="1"/>
      <c r="G93" s="1"/>
      <c r="H93" s="1"/>
      <c r="I93" s="1"/>
      <c r="J93" s="1"/>
    </row>
    <row r="94" ht="14.25" customHeight="1">
      <c r="A94" s="52"/>
      <c r="B94" s="53"/>
      <c r="C94" s="53"/>
      <c r="D94" s="1"/>
      <c r="E94" s="1"/>
      <c r="F94" s="1"/>
      <c r="G94" s="1"/>
      <c r="H94" s="1"/>
      <c r="I94" s="1"/>
      <c r="J94" s="1"/>
    </row>
    <row r="95" ht="14.25" customHeight="1">
      <c r="A95" s="52"/>
      <c r="B95" s="53"/>
      <c r="C95" s="53"/>
      <c r="D95" s="1"/>
      <c r="E95" s="1"/>
      <c r="F95" s="1"/>
      <c r="G95" s="1"/>
      <c r="H95" s="1"/>
      <c r="I95" s="1"/>
      <c r="J95" s="1"/>
    </row>
    <row r="96" ht="14.25" customHeight="1">
      <c r="A96" s="52"/>
      <c r="B96" s="53"/>
      <c r="C96" s="53"/>
      <c r="D96" s="1"/>
      <c r="E96" s="1"/>
      <c r="F96" s="1"/>
      <c r="G96" s="1"/>
      <c r="H96" s="1"/>
      <c r="I96" s="1"/>
      <c r="J96" s="1"/>
    </row>
    <row r="97" ht="14.25" customHeight="1">
      <c r="A97" s="52"/>
      <c r="B97" s="53"/>
      <c r="C97" s="53"/>
      <c r="D97" s="1"/>
      <c r="E97" s="1"/>
      <c r="F97" s="1"/>
      <c r="G97" s="1"/>
      <c r="H97" s="1"/>
      <c r="I97" s="1"/>
      <c r="J97" s="1"/>
    </row>
    <row r="98" ht="14.25" customHeight="1">
      <c r="A98" s="52"/>
      <c r="B98" s="53"/>
      <c r="C98" s="53"/>
      <c r="D98" s="1"/>
      <c r="E98" s="1"/>
      <c r="F98" s="1"/>
      <c r="G98" s="1"/>
      <c r="H98" s="1"/>
      <c r="I98" s="1"/>
      <c r="J98" s="1"/>
    </row>
    <row r="99" ht="14.25" customHeight="1">
      <c r="A99" s="52"/>
      <c r="B99" s="53"/>
      <c r="C99" s="53"/>
      <c r="D99" s="1"/>
      <c r="E99" s="1"/>
      <c r="F99" s="1"/>
      <c r="G99" s="1"/>
      <c r="H99" s="1"/>
      <c r="I99" s="1"/>
      <c r="J99" s="1"/>
    </row>
    <row r="100" ht="14.25" customHeight="1">
      <c r="A100" s="52"/>
      <c r="B100" s="53"/>
      <c r="C100" s="53"/>
      <c r="D100" s="1"/>
      <c r="E100" s="1"/>
      <c r="F100" s="1"/>
      <c r="G100" s="1"/>
      <c r="H100" s="1"/>
      <c r="I100" s="1"/>
      <c r="J100" s="1"/>
    </row>
    <row r="101" ht="14.25" customHeight="1">
      <c r="A101" s="52"/>
      <c r="B101" s="53"/>
      <c r="C101" s="53"/>
      <c r="D101" s="1"/>
      <c r="E101" s="1"/>
      <c r="F101" s="1"/>
      <c r="G101" s="1"/>
      <c r="H101" s="1"/>
      <c r="I101" s="1"/>
      <c r="J101" s="1"/>
    </row>
    <row r="102" ht="14.25" customHeight="1">
      <c r="A102" s="52"/>
      <c r="B102" s="53"/>
      <c r="C102" s="53"/>
      <c r="D102" s="1"/>
      <c r="E102" s="1"/>
      <c r="F102" s="1"/>
      <c r="G102" s="1"/>
      <c r="H102" s="1"/>
      <c r="I102" s="1"/>
      <c r="J102" s="1"/>
    </row>
    <row r="103" ht="14.25" customHeight="1">
      <c r="A103" s="52"/>
      <c r="B103" s="53"/>
      <c r="C103" s="53"/>
      <c r="D103" s="1"/>
      <c r="E103" s="1"/>
      <c r="F103" s="1"/>
      <c r="G103" s="1"/>
      <c r="H103" s="1"/>
      <c r="I103" s="1"/>
      <c r="J103" s="1"/>
    </row>
    <row r="104" ht="14.25" customHeight="1">
      <c r="A104" s="52"/>
      <c r="B104" s="53"/>
      <c r="C104" s="53"/>
      <c r="D104" s="1"/>
      <c r="E104" s="1"/>
      <c r="F104" s="1"/>
      <c r="G104" s="1"/>
      <c r="H104" s="1"/>
      <c r="I104" s="1"/>
      <c r="J104" s="1"/>
    </row>
    <row r="105" ht="14.25" customHeight="1">
      <c r="A105" s="52"/>
      <c r="B105" s="53"/>
      <c r="C105" s="53"/>
      <c r="D105" s="1"/>
      <c r="E105" s="1"/>
      <c r="F105" s="1"/>
      <c r="G105" s="1"/>
      <c r="H105" s="1"/>
      <c r="I105" s="1"/>
      <c r="J105" s="1"/>
    </row>
    <row r="106" ht="14.25" customHeight="1">
      <c r="A106" s="52"/>
      <c r="B106" s="53"/>
      <c r="C106" s="53"/>
      <c r="D106" s="1"/>
      <c r="E106" s="1"/>
      <c r="F106" s="1"/>
      <c r="G106" s="1"/>
      <c r="H106" s="1"/>
      <c r="I106" s="1"/>
      <c r="J106" s="1"/>
    </row>
    <row r="107" ht="14.25" customHeight="1">
      <c r="A107" s="52"/>
      <c r="B107" s="53"/>
      <c r="C107" s="53"/>
      <c r="D107" s="1"/>
      <c r="E107" s="1"/>
      <c r="F107" s="1"/>
      <c r="G107" s="1"/>
      <c r="H107" s="1"/>
      <c r="I107" s="1"/>
      <c r="J107" s="1"/>
    </row>
    <row r="108" ht="14.25" customHeight="1">
      <c r="A108" s="52"/>
      <c r="B108" s="53"/>
      <c r="C108" s="53"/>
      <c r="D108" s="1"/>
      <c r="E108" s="1"/>
      <c r="F108" s="1"/>
      <c r="G108" s="1"/>
      <c r="H108" s="1"/>
      <c r="I108" s="1"/>
      <c r="J108" s="1"/>
    </row>
    <row r="109" ht="14.25" customHeight="1">
      <c r="A109" s="52"/>
      <c r="B109" s="53"/>
      <c r="C109" s="53"/>
      <c r="D109" s="1"/>
      <c r="E109" s="1"/>
      <c r="F109" s="1"/>
      <c r="G109" s="1"/>
      <c r="H109" s="1"/>
      <c r="I109" s="1"/>
      <c r="J109" s="1"/>
    </row>
    <row r="110" ht="14.25" customHeight="1">
      <c r="A110" s="52"/>
      <c r="B110" s="53"/>
      <c r="C110" s="53"/>
      <c r="D110" s="1"/>
      <c r="E110" s="1"/>
      <c r="F110" s="1"/>
      <c r="G110" s="1"/>
      <c r="H110" s="1"/>
      <c r="I110" s="1"/>
      <c r="J110" s="1"/>
    </row>
    <row r="111" ht="14.25" customHeight="1">
      <c r="A111" s="52"/>
      <c r="B111" s="53"/>
      <c r="C111" s="53"/>
      <c r="D111" s="1"/>
      <c r="E111" s="1"/>
      <c r="F111" s="1"/>
      <c r="G111" s="1"/>
      <c r="H111" s="1"/>
      <c r="I111" s="1"/>
      <c r="J111" s="1"/>
    </row>
    <row r="112" ht="14.25" customHeight="1">
      <c r="A112" s="52"/>
      <c r="B112" s="53"/>
      <c r="C112" s="53"/>
      <c r="D112" s="1"/>
      <c r="E112" s="1"/>
      <c r="F112" s="1"/>
      <c r="G112" s="1"/>
      <c r="H112" s="1"/>
      <c r="I112" s="1"/>
      <c r="J112" s="1"/>
    </row>
    <row r="113" ht="14.25" customHeight="1">
      <c r="A113" s="52"/>
      <c r="B113" s="53"/>
      <c r="C113" s="53"/>
      <c r="D113" s="1"/>
      <c r="E113" s="1"/>
      <c r="F113" s="1"/>
      <c r="G113" s="1"/>
      <c r="H113" s="1"/>
      <c r="I113" s="1"/>
      <c r="J113" s="1"/>
    </row>
    <row r="114" ht="14.25" customHeight="1">
      <c r="A114" s="52"/>
      <c r="B114" s="53"/>
      <c r="C114" s="53"/>
      <c r="D114" s="1"/>
      <c r="E114" s="1"/>
      <c r="F114" s="1"/>
      <c r="G114" s="1"/>
      <c r="H114" s="1"/>
      <c r="I114" s="1"/>
      <c r="J114" s="1"/>
    </row>
    <row r="115" ht="14.25" customHeight="1">
      <c r="A115" s="52"/>
      <c r="B115" s="53"/>
      <c r="C115" s="53"/>
      <c r="D115" s="1"/>
      <c r="E115" s="1"/>
      <c r="F115" s="1"/>
      <c r="G115" s="1"/>
      <c r="H115" s="1"/>
      <c r="I115" s="1"/>
      <c r="J115" s="1"/>
    </row>
    <row r="116" ht="14.25" customHeight="1">
      <c r="A116" s="52"/>
      <c r="B116" s="53"/>
      <c r="C116" s="53"/>
      <c r="D116" s="1"/>
      <c r="E116" s="1"/>
      <c r="F116" s="1"/>
      <c r="G116" s="1"/>
      <c r="H116" s="1"/>
      <c r="I116" s="1"/>
      <c r="J116" s="1"/>
    </row>
    <row r="117" ht="14.25" customHeight="1">
      <c r="A117" s="52"/>
      <c r="B117" s="53"/>
      <c r="C117" s="53"/>
      <c r="D117" s="1"/>
      <c r="E117" s="1"/>
      <c r="F117" s="1"/>
      <c r="G117" s="1"/>
      <c r="H117" s="1"/>
      <c r="I117" s="1"/>
      <c r="J117" s="1"/>
    </row>
    <row r="118" ht="14.25" customHeight="1">
      <c r="A118" s="52"/>
      <c r="B118" s="53"/>
      <c r="C118" s="53"/>
      <c r="D118" s="1"/>
      <c r="E118" s="1"/>
      <c r="F118" s="1"/>
      <c r="G118" s="1"/>
      <c r="H118" s="1"/>
      <c r="I118" s="1"/>
      <c r="J118" s="1"/>
    </row>
    <row r="119" ht="14.25" customHeight="1">
      <c r="A119" s="52"/>
      <c r="B119" s="53"/>
      <c r="C119" s="53"/>
      <c r="D119" s="1"/>
      <c r="E119" s="1"/>
      <c r="F119" s="1"/>
      <c r="G119" s="1"/>
      <c r="H119" s="1"/>
      <c r="I119" s="1"/>
      <c r="J119" s="1"/>
    </row>
    <row r="120" ht="14.25" customHeight="1">
      <c r="A120" s="52"/>
      <c r="B120" s="53"/>
      <c r="C120" s="53"/>
      <c r="D120" s="1"/>
      <c r="E120" s="1"/>
      <c r="F120" s="1"/>
      <c r="G120" s="1"/>
      <c r="H120" s="1"/>
      <c r="I120" s="1"/>
      <c r="J120" s="1"/>
    </row>
    <row r="121" ht="14.25" customHeight="1">
      <c r="A121" s="52"/>
      <c r="B121" s="53"/>
      <c r="C121" s="53"/>
      <c r="D121" s="1"/>
      <c r="E121" s="1"/>
      <c r="F121" s="1"/>
      <c r="G121" s="1"/>
      <c r="H121" s="1"/>
      <c r="I121" s="1"/>
      <c r="J121" s="1"/>
    </row>
    <row r="122" ht="14.25" customHeight="1">
      <c r="A122" s="52"/>
      <c r="B122" s="53"/>
      <c r="C122" s="53"/>
      <c r="D122" s="1"/>
      <c r="E122" s="1"/>
      <c r="F122" s="1"/>
      <c r="G122" s="1"/>
      <c r="H122" s="1"/>
      <c r="I122" s="1"/>
      <c r="J122" s="1"/>
    </row>
    <row r="123" ht="14.25" customHeight="1">
      <c r="A123" s="52"/>
      <c r="B123" s="53"/>
      <c r="C123" s="53"/>
      <c r="D123" s="1"/>
      <c r="E123" s="1"/>
      <c r="F123" s="1"/>
      <c r="G123" s="1"/>
      <c r="H123" s="1"/>
      <c r="I123" s="1"/>
      <c r="J123" s="1"/>
    </row>
    <row r="124" ht="14.25" customHeight="1">
      <c r="A124" s="52"/>
      <c r="B124" s="53"/>
      <c r="C124" s="53"/>
      <c r="D124" s="1"/>
      <c r="E124" s="1"/>
      <c r="F124" s="1"/>
      <c r="G124" s="1"/>
      <c r="H124" s="1"/>
      <c r="I124" s="1"/>
      <c r="J124" s="1"/>
    </row>
    <row r="125" ht="14.25" customHeight="1">
      <c r="A125" s="52"/>
      <c r="B125" s="53"/>
      <c r="C125" s="53"/>
      <c r="D125" s="1"/>
      <c r="E125" s="1"/>
      <c r="F125" s="1"/>
      <c r="G125" s="1"/>
      <c r="H125" s="1"/>
      <c r="I125" s="1"/>
      <c r="J125" s="1"/>
    </row>
    <row r="126" ht="14.25" customHeight="1">
      <c r="A126" s="52"/>
      <c r="B126" s="53"/>
      <c r="C126" s="53"/>
      <c r="D126" s="1"/>
      <c r="E126" s="1"/>
      <c r="F126" s="1"/>
      <c r="G126" s="1"/>
      <c r="H126" s="1"/>
      <c r="I126" s="1"/>
      <c r="J126" s="1"/>
    </row>
    <row r="127" ht="14.25" customHeight="1">
      <c r="A127" s="52"/>
      <c r="B127" s="53"/>
      <c r="C127" s="53"/>
      <c r="D127" s="1"/>
      <c r="E127" s="1"/>
      <c r="F127" s="1"/>
      <c r="G127" s="1"/>
      <c r="H127" s="1"/>
      <c r="I127" s="1"/>
      <c r="J127" s="1"/>
    </row>
    <row r="128" ht="14.25" customHeight="1">
      <c r="A128" s="52"/>
      <c r="B128" s="53"/>
      <c r="C128" s="53"/>
      <c r="D128" s="1"/>
      <c r="E128" s="1"/>
      <c r="F128" s="1"/>
      <c r="G128" s="1"/>
      <c r="H128" s="1"/>
      <c r="I128" s="1"/>
      <c r="J128" s="1"/>
    </row>
    <row r="129" ht="14.25" customHeight="1">
      <c r="A129" s="52"/>
      <c r="B129" s="53"/>
      <c r="C129" s="53"/>
      <c r="D129" s="1"/>
      <c r="E129" s="1"/>
      <c r="F129" s="1"/>
      <c r="G129" s="1"/>
      <c r="H129" s="1"/>
      <c r="I129" s="1"/>
      <c r="J129" s="1"/>
    </row>
    <row r="130" ht="14.25" customHeight="1">
      <c r="A130" s="52"/>
      <c r="B130" s="53"/>
      <c r="C130" s="53"/>
      <c r="D130" s="1"/>
      <c r="E130" s="1"/>
      <c r="F130" s="1"/>
      <c r="G130" s="1"/>
      <c r="H130" s="1"/>
      <c r="I130" s="1"/>
      <c r="J130" s="1"/>
    </row>
    <row r="131" ht="14.25" customHeight="1">
      <c r="A131" s="52"/>
      <c r="B131" s="53"/>
      <c r="C131" s="53"/>
      <c r="D131" s="1"/>
      <c r="E131" s="1"/>
      <c r="F131" s="1"/>
      <c r="G131" s="1"/>
      <c r="H131" s="1"/>
      <c r="I131" s="1"/>
      <c r="J131" s="1"/>
    </row>
    <row r="132" ht="14.25" customHeight="1">
      <c r="A132" s="52"/>
      <c r="B132" s="53"/>
      <c r="C132" s="53"/>
      <c r="D132" s="1"/>
      <c r="E132" s="1"/>
      <c r="F132" s="1"/>
      <c r="G132" s="1"/>
      <c r="H132" s="1"/>
      <c r="I132" s="1"/>
      <c r="J132" s="1"/>
    </row>
    <row r="133" ht="14.25" customHeight="1">
      <c r="A133" s="52"/>
      <c r="B133" s="53"/>
      <c r="C133" s="53"/>
      <c r="D133" s="1"/>
      <c r="E133" s="1"/>
      <c r="F133" s="1"/>
      <c r="G133" s="1"/>
      <c r="H133" s="1"/>
      <c r="I133" s="1"/>
      <c r="J133" s="1"/>
    </row>
    <row r="134" ht="14.25" customHeight="1">
      <c r="A134" s="52"/>
      <c r="B134" s="53"/>
      <c r="C134" s="53"/>
      <c r="D134" s="1"/>
      <c r="E134" s="1"/>
      <c r="F134" s="1"/>
      <c r="G134" s="1"/>
      <c r="H134" s="1"/>
      <c r="I134" s="1"/>
      <c r="J134" s="1"/>
    </row>
    <row r="135" ht="14.25" customHeight="1">
      <c r="A135" s="52"/>
      <c r="B135" s="53"/>
      <c r="C135" s="53"/>
      <c r="D135" s="1"/>
      <c r="E135" s="1"/>
      <c r="F135" s="1"/>
      <c r="G135" s="1"/>
      <c r="H135" s="1"/>
      <c r="I135" s="1"/>
      <c r="J135" s="1"/>
    </row>
    <row r="136" ht="14.25" customHeight="1">
      <c r="A136" s="52"/>
      <c r="B136" s="53"/>
      <c r="C136" s="53"/>
      <c r="D136" s="1"/>
      <c r="E136" s="1"/>
      <c r="F136" s="1"/>
      <c r="G136" s="1"/>
      <c r="H136" s="1"/>
      <c r="I136" s="1"/>
      <c r="J136" s="1"/>
    </row>
    <row r="137" ht="14.25" customHeight="1">
      <c r="A137" s="52"/>
      <c r="B137" s="53"/>
      <c r="C137" s="53"/>
      <c r="D137" s="1"/>
      <c r="E137" s="1"/>
      <c r="F137" s="1"/>
      <c r="G137" s="1"/>
      <c r="H137" s="1"/>
      <c r="I137" s="1"/>
      <c r="J137" s="1"/>
    </row>
    <row r="138" ht="14.25" customHeight="1">
      <c r="A138" s="52"/>
      <c r="B138" s="53"/>
      <c r="C138" s="53"/>
      <c r="D138" s="1"/>
      <c r="E138" s="1"/>
      <c r="F138" s="1"/>
      <c r="G138" s="1"/>
      <c r="H138" s="1"/>
      <c r="I138" s="1"/>
      <c r="J138" s="1"/>
    </row>
    <row r="139" ht="14.25" customHeight="1">
      <c r="A139" s="52"/>
      <c r="B139" s="53"/>
      <c r="C139" s="53"/>
      <c r="D139" s="1"/>
      <c r="E139" s="1"/>
      <c r="F139" s="1"/>
      <c r="G139" s="1"/>
      <c r="H139" s="1"/>
      <c r="I139" s="1"/>
      <c r="J139" s="1"/>
    </row>
    <row r="140" ht="14.25" customHeight="1">
      <c r="A140" s="52"/>
      <c r="B140" s="53"/>
      <c r="C140" s="53"/>
      <c r="D140" s="1"/>
      <c r="E140" s="1"/>
      <c r="F140" s="1"/>
      <c r="G140" s="1"/>
      <c r="H140" s="1"/>
      <c r="I140" s="1"/>
      <c r="J140" s="1"/>
    </row>
    <row r="141" ht="14.25" customHeight="1">
      <c r="A141" s="52"/>
      <c r="B141" s="53"/>
      <c r="C141" s="53"/>
      <c r="D141" s="1"/>
      <c r="E141" s="1"/>
      <c r="F141" s="1"/>
      <c r="G141" s="1"/>
      <c r="H141" s="1"/>
      <c r="I141" s="1"/>
      <c r="J141" s="1"/>
    </row>
    <row r="142" ht="14.25" customHeight="1">
      <c r="A142" s="52"/>
      <c r="B142" s="53"/>
      <c r="C142" s="53"/>
      <c r="D142" s="1"/>
      <c r="E142" s="1"/>
      <c r="F142" s="1"/>
      <c r="G142" s="1"/>
      <c r="H142" s="1"/>
      <c r="I142" s="1"/>
      <c r="J142" s="1"/>
    </row>
    <row r="143" ht="14.25" customHeight="1">
      <c r="A143" s="52"/>
      <c r="B143" s="53"/>
      <c r="C143" s="53"/>
      <c r="D143" s="1"/>
      <c r="E143" s="1"/>
      <c r="F143" s="1"/>
      <c r="G143" s="1"/>
      <c r="H143" s="1"/>
      <c r="I143" s="1"/>
      <c r="J143" s="1"/>
    </row>
    <row r="144" ht="14.25" customHeight="1">
      <c r="A144" s="52"/>
      <c r="B144" s="53"/>
      <c r="C144" s="53"/>
      <c r="D144" s="1"/>
      <c r="E144" s="1"/>
      <c r="F144" s="1"/>
      <c r="G144" s="1"/>
      <c r="H144" s="1"/>
      <c r="I144" s="1"/>
      <c r="J144" s="1"/>
    </row>
    <row r="145" ht="14.25" customHeight="1">
      <c r="A145" s="52"/>
      <c r="B145" s="53"/>
      <c r="C145" s="53"/>
      <c r="D145" s="1"/>
      <c r="E145" s="1"/>
      <c r="F145" s="1"/>
      <c r="G145" s="1"/>
      <c r="H145" s="1"/>
      <c r="I145" s="1"/>
      <c r="J145" s="1"/>
    </row>
    <row r="146" ht="14.25" customHeight="1">
      <c r="A146" s="52"/>
      <c r="B146" s="53"/>
      <c r="C146" s="53"/>
      <c r="D146" s="1"/>
      <c r="E146" s="1"/>
      <c r="F146" s="1"/>
      <c r="G146" s="1"/>
      <c r="H146" s="1"/>
      <c r="I146" s="1"/>
      <c r="J146" s="1"/>
    </row>
    <row r="147" ht="14.25" customHeight="1">
      <c r="A147" s="52"/>
      <c r="B147" s="53"/>
      <c r="C147" s="53"/>
      <c r="D147" s="1"/>
      <c r="E147" s="1"/>
      <c r="F147" s="1"/>
      <c r="G147" s="1"/>
      <c r="H147" s="1"/>
      <c r="I147" s="1"/>
      <c r="J147" s="1"/>
    </row>
    <row r="148" ht="14.25" customHeight="1">
      <c r="A148" s="52"/>
      <c r="B148" s="53"/>
      <c r="C148" s="53"/>
      <c r="D148" s="1"/>
      <c r="E148" s="1"/>
      <c r="F148" s="1"/>
      <c r="G148" s="1"/>
      <c r="H148" s="1"/>
      <c r="I148" s="1"/>
      <c r="J148" s="1"/>
    </row>
    <row r="149" ht="14.25" customHeight="1">
      <c r="A149" s="52"/>
      <c r="B149" s="53"/>
      <c r="C149" s="53"/>
      <c r="D149" s="1"/>
      <c r="E149" s="1"/>
      <c r="F149" s="1"/>
      <c r="G149" s="1"/>
      <c r="H149" s="1"/>
      <c r="I149" s="1"/>
      <c r="J149" s="1"/>
    </row>
    <row r="150" ht="14.25" customHeight="1">
      <c r="A150" s="52"/>
      <c r="B150" s="53"/>
      <c r="C150" s="53"/>
      <c r="D150" s="1"/>
      <c r="E150" s="1"/>
      <c r="F150" s="1"/>
      <c r="G150" s="1"/>
      <c r="H150" s="1"/>
      <c r="I150" s="1"/>
      <c r="J150" s="1"/>
    </row>
    <row r="151" ht="14.25" customHeight="1">
      <c r="A151" s="52"/>
      <c r="B151" s="53"/>
      <c r="C151" s="53"/>
      <c r="D151" s="1"/>
      <c r="E151" s="1"/>
      <c r="F151" s="1"/>
      <c r="G151" s="1"/>
      <c r="H151" s="1"/>
      <c r="I151" s="1"/>
      <c r="J151" s="1"/>
    </row>
    <row r="152" ht="14.25" customHeight="1">
      <c r="A152" s="52"/>
      <c r="B152" s="53"/>
      <c r="C152" s="53"/>
      <c r="D152" s="1"/>
      <c r="E152" s="1"/>
      <c r="F152" s="1"/>
      <c r="G152" s="1"/>
      <c r="H152" s="1"/>
      <c r="I152" s="1"/>
      <c r="J152" s="1"/>
    </row>
    <row r="153" ht="14.25" customHeight="1">
      <c r="A153" s="52"/>
      <c r="B153" s="53"/>
      <c r="C153" s="53"/>
      <c r="D153" s="1"/>
      <c r="E153" s="1"/>
      <c r="F153" s="1"/>
      <c r="G153" s="1"/>
      <c r="H153" s="1"/>
      <c r="I153" s="1"/>
      <c r="J153" s="1"/>
    </row>
    <row r="154" ht="14.25" customHeight="1">
      <c r="A154" s="52"/>
      <c r="B154" s="53"/>
      <c r="C154" s="53"/>
      <c r="D154" s="1"/>
      <c r="E154" s="1"/>
      <c r="F154" s="1"/>
      <c r="G154" s="1"/>
      <c r="H154" s="1"/>
      <c r="I154" s="1"/>
      <c r="J154" s="1"/>
    </row>
    <row r="155" ht="14.25" customHeight="1">
      <c r="A155" s="52"/>
      <c r="B155" s="53"/>
      <c r="C155" s="53"/>
      <c r="D155" s="1"/>
      <c r="E155" s="1"/>
      <c r="F155" s="1"/>
      <c r="G155" s="1"/>
      <c r="H155" s="1"/>
      <c r="I155" s="1"/>
      <c r="J155" s="1"/>
    </row>
    <row r="156" ht="14.25" customHeight="1">
      <c r="A156" s="52"/>
      <c r="B156" s="53"/>
      <c r="C156" s="53"/>
      <c r="D156" s="1"/>
      <c r="E156" s="1"/>
      <c r="F156" s="1"/>
      <c r="G156" s="1"/>
      <c r="H156" s="1"/>
      <c r="I156" s="1"/>
      <c r="J156" s="1"/>
    </row>
    <row r="157" ht="14.25" customHeight="1">
      <c r="A157" s="52"/>
      <c r="B157" s="53"/>
      <c r="C157" s="53"/>
      <c r="D157" s="1"/>
      <c r="E157" s="1"/>
      <c r="F157" s="1"/>
      <c r="G157" s="1"/>
      <c r="H157" s="1"/>
      <c r="I157" s="1"/>
      <c r="J157" s="1"/>
    </row>
    <row r="158" ht="14.25" customHeight="1">
      <c r="A158" s="52"/>
      <c r="B158" s="53"/>
      <c r="C158" s="53"/>
      <c r="D158" s="1"/>
      <c r="E158" s="1"/>
      <c r="F158" s="1"/>
      <c r="G158" s="1"/>
      <c r="H158" s="1"/>
      <c r="I158" s="1"/>
      <c r="J158" s="1"/>
    </row>
    <row r="159" ht="14.25" customHeight="1">
      <c r="A159" s="52"/>
      <c r="B159" s="53"/>
      <c r="C159" s="53"/>
      <c r="D159" s="1"/>
      <c r="E159" s="1"/>
      <c r="F159" s="1"/>
      <c r="G159" s="1"/>
      <c r="H159" s="1"/>
      <c r="I159" s="1"/>
      <c r="J159" s="1"/>
    </row>
    <row r="160" ht="14.25" customHeight="1">
      <c r="A160" s="52"/>
      <c r="B160" s="53"/>
      <c r="C160" s="53"/>
      <c r="D160" s="1"/>
      <c r="E160" s="1"/>
      <c r="F160" s="1"/>
      <c r="G160" s="1"/>
      <c r="H160" s="1"/>
      <c r="I160" s="1"/>
      <c r="J160" s="1"/>
    </row>
    <row r="161" ht="14.25" customHeight="1">
      <c r="A161" s="52"/>
      <c r="B161" s="53"/>
      <c r="C161" s="53"/>
      <c r="D161" s="1"/>
      <c r="E161" s="1"/>
      <c r="F161" s="1"/>
      <c r="G161" s="1"/>
      <c r="H161" s="1"/>
      <c r="I161" s="1"/>
      <c r="J161" s="1"/>
    </row>
    <row r="162" ht="14.25" customHeight="1">
      <c r="A162" s="52"/>
      <c r="B162" s="53"/>
      <c r="C162" s="53"/>
      <c r="D162" s="1"/>
      <c r="E162" s="1"/>
      <c r="F162" s="1"/>
      <c r="G162" s="1"/>
      <c r="H162" s="1"/>
      <c r="I162" s="1"/>
      <c r="J162" s="1"/>
    </row>
    <row r="163" ht="14.25" customHeight="1">
      <c r="A163" s="52"/>
      <c r="B163" s="53"/>
      <c r="C163" s="53"/>
      <c r="D163" s="1"/>
      <c r="E163" s="1"/>
      <c r="F163" s="1"/>
      <c r="G163" s="1"/>
      <c r="H163" s="1"/>
      <c r="I163" s="1"/>
      <c r="J163" s="1"/>
    </row>
    <row r="164" ht="14.25" customHeight="1">
      <c r="A164" s="52"/>
      <c r="B164" s="53"/>
      <c r="C164" s="53"/>
      <c r="D164" s="1"/>
      <c r="E164" s="1"/>
      <c r="F164" s="1"/>
      <c r="G164" s="1"/>
      <c r="H164" s="1"/>
      <c r="I164" s="1"/>
      <c r="J164" s="1"/>
    </row>
    <row r="165" ht="14.25" customHeight="1">
      <c r="A165" s="52"/>
      <c r="B165" s="53"/>
      <c r="C165" s="53"/>
      <c r="D165" s="1"/>
      <c r="E165" s="1"/>
      <c r="F165" s="1"/>
      <c r="G165" s="1"/>
      <c r="H165" s="1"/>
      <c r="I165" s="1"/>
      <c r="J165" s="1"/>
    </row>
    <row r="166" ht="14.25" customHeight="1">
      <c r="A166" s="52"/>
      <c r="B166" s="53"/>
      <c r="C166" s="53"/>
      <c r="D166" s="1"/>
      <c r="E166" s="1"/>
      <c r="F166" s="1"/>
      <c r="G166" s="1"/>
      <c r="H166" s="1"/>
      <c r="I166" s="1"/>
      <c r="J166" s="1"/>
    </row>
    <row r="167" ht="14.25" customHeight="1">
      <c r="A167" s="52"/>
      <c r="B167" s="53"/>
      <c r="C167" s="53"/>
      <c r="D167" s="1"/>
      <c r="E167" s="1"/>
      <c r="F167" s="1"/>
      <c r="G167" s="1"/>
      <c r="H167" s="1"/>
      <c r="I167" s="1"/>
      <c r="J167" s="1"/>
    </row>
    <row r="168" ht="14.25" customHeight="1">
      <c r="A168" s="52"/>
      <c r="B168" s="53"/>
      <c r="C168" s="53"/>
      <c r="D168" s="1"/>
      <c r="E168" s="1"/>
      <c r="F168" s="1"/>
      <c r="G168" s="1"/>
      <c r="H168" s="1"/>
      <c r="I168" s="1"/>
      <c r="J168" s="1"/>
    </row>
    <row r="169" ht="14.25" customHeight="1">
      <c r="A169" s="52"/>
      <c r="B169" s="53"/>
      <c r="C169" s="53"/>
      <c r="D169" s="1"/>
      <c r="E169" s="1"/>
      <c r="F169" s="1"/>
      <c r="G169" s="1"/>
      <c r="H169" s="1"/>
      <c r="I169" s="1"/>
      <c r="J169" s="1"/>
    </row>
    <row r="170" ht="14.25" customHeight="1">
      <c r="A170" s="52"/>
      <c r="B170" s="53"/>
      <c r="C170" s="53"/>
      <c r="D170" s="1"/>
      <c r="E170" s="1"/>
      <c r="F170" s="1"/>
      <c r="G170" s="1"/>
      <c r="H170" s="1"/>
      <c r="I170" s="1"/>
      <c r="J170" s="1"/>
    </row>
    <row r="171" ht="14.25" customHeight="1">
      <c r="A171" s="52"/>
      <c r="B171" s="53"/>
      <c r="C171" s="53"/>
      <c r="D171" s="1"/>
      <c r="E171" s="1"/>
      <c r="F171" s="1"/>
      <c r="G171" s="1"/>
      <c r="H171" s="1"/>
      <c r="I171" s="1"/>
      <c r="J171" s="1"/>
    </row>
    <row r="172" ht="14.25" customHeight="1">
      <c r="A172" s="52"/>
      <c r="B172" s="53"/>
      <c r="C172" s="53"/>
      <c r="D172" s="1"/>
      <c r="E172" s="1"/>
      <c r="F172" s="1"/>
      <c r="G172" s="1"/>
      <c r="H172" s="1"/>
      <c r="I172" s="1"/>
      <c r="J172" s="1"/>
    </row>
    <row r="173" ht="14.25" customHeight="1">
      <c r="A173" s="52"/>
      <c r="B173" s="53"/>
      <c r="C173" s="53"/>
      <c r="D173" s="1"/>
      <c r="E173" s="1"/>
      <c r="F173" s="1"/>
      <c r="G173" s="1"/>
      <c r="H173" s="1"/>
      <c r="I173" s="1"/>
      <c r="J173" s="1"/>
    </row>
    <row r="174" ht="14.25" customHeight="1">
      <c r="A174" s="52"/>
      <c r="B174" s="53"/>
      <c r="C174" s="53"/>
      <c r="D174" s="1"/>
      <c r="E174" s="1"/>
      <c r="F174" s="1"/>
      <c r="G174" s="1"/>
      <c r="H174" s="1"/>
      <c r="I174" s="1"/>
      <c r="J174" s="1"/>
    </row>
    <row r="175" ht="14.25" customHeight="1">
      <c r="A175" s="52"/>
      <c r="B175" s="53"/>
      <c r="C175" s="53"/>
      <c r="D175" s="1"/>
      <c r="E175" s="1"/>
      <c r="F175" s="1"/>
      <c r="G175" s="1"/>
      <c r="H175" s="1"/>
      <c r="I175" s="1"/>
      <c r="J175" s="1"/>
    </row>
    <row r="176" ht="14.25" customHeight="1">
      <c r="A176" s="52"/>
      <c r="B176" s="53"/>
      <c r="C176" s="53"/>
      <c r="D176" s="1"/>
      <c r="E176" s="1"/>
      <c r="F176" s="1"/>
      <c r="G176" s="1"/>
      <c r="H176" s="1"/>
      <c r="I176" s="1"/>
      <c r="J176" s="1"/>
    </row>
    <row r="177" ht="14.25" customHeight="1">
      <c r="A177" s="52"/>
      <c r="B177" s="53"/>
      <c r="C177" s="53"/>
      <c r="D177" s="1"/>
      <c r="E177" s="1"/>
      <c r="F177" s="1"/>
      <c r="G177" s="1"/>
      <c r="H177" s="1"/>
      <c r="I177" s="1"/>
      <c r="J177" s="1"/>
    </row>
    <row r="178" ht="14.25" customHeight="1">
      <c r="A178" s="52"/>
      <c r="B178" s="53"/>
      <c r="C178" s="53"/>
      <c r="D178" s="1"/>
      <c r="E178" s="1"/>
      <c r="F178" s="1"/>
      <c r="G178" s="1"/>
      <c r="H178" s="1"/>
      <c r="I178" s="1"/>
      <c r="J178" s="1"/>
    </row>
    <row r="179" ht="14.25" customHeight="1">
      <c r="A179" s="52"/>
      <c r="B179" s="53"/>
      <c r="C179" s="53"/>
      <c r="D179" s="1"/>
      <c r="E179" s="1"/>
      <c r="F179" s="1"/>
      <c r="G179" s="1"/>
      <c r="H179" s="1"/>
      <c r="I179" s="1"/>
      <c r="J179" s="1"/>
    </row>
    <row r="180" ht="14.25" customHeight="1">
      <c r="A180" s="52"/>
      <c r="B180" s="53"/>
      <c r="C180" s="53"/>
      <c r="D180" s="1"/>
      <c r="E180" s="1"/>
      <c r="F180" s="1"/>
      <c r="G180" s="1"/>
      <c r="H180" s="1"/>
      <c r="I180" s="1"/>
      <c r="J180" s="1"/>
    </row>
    <row r="181" ht="14.25" customHeight="1">
      <c r="A181" s="52"/>
      <c r="B181" s="53"/>
      <c r="C181" s="53"/>
      <c r="D181" s="1"/>
      <c r="E181" s="1"/>
      <c r="F181" s="1"/>
      <c r="G181" s="1"/>
      <c r="H181" s="1"/>
      <c r="I181" s="1"/>
      <c r="J181" s="1"/>
    </row>
    <row r="182" ht="14.25" customHeight="1">
      <c r="A182" s="52"/>
      <c r="B182" s="53"/>
      <c r="C182" s="53"/>
      <c r="D182" s="1"/>
      <c r="E182" s="1"/>
      <c r="F182" s="1"/>
      <c r="G182" s="1"/>
      <c r="H182" s="1"/>
      <c r="I182" s="1"/>
      <c r="J182" s="1"/>
    </row>
    <row r="183" ht="14.25" customHeight="1">
      <c r="A183" s="52"/>
      <c r="B183" s="53"/>
      <c r="C183" s="53"/>
      <c r="D183" s="1"/>
      <c r="E183" s="1"/>
      <c r="F183" s="1"/>
      <c r="G183" s="1"/>
      <c r="H183" s="1"/>
      <c r="I183" s="1"/>
      <c r="J183" s="1"/>
    </row>
    <row r="184" ht="14.25" customHeight="1">
      <c r="A184" s="52"/>
      <c r="B184" s="53"/>
      <c r="C184" s="53"/>
      <c r="D184" s="1"/>
      <c r="E184" s="1"/>
      <c r="F184" s="1"/>
      <c r="G184" s="1"/>
      <c r="H184" s="1"/>
      <c r="I184" s="1"/>
      <c r="J184" s="1"/>
    </row>
    <row r="185" ht="14.25" customHeight="1">
      <c r="A185" s="52"/>
      <c r="B185" s="53"/>
      <c r="C185" s="53"/>
      <c r="D185" s="1"/>
      <c r="E185" s="1"/>
      <c r="F185" s="1"/>
      <c r="G185" s="1"/>
      <c r="H185" s="1"/>
      <c r="I185" s="1"/>
      <c r="J185" s="1"/>
    </row>
    <row r="186" ht="14.25" customHeight="1">
      <c r="A186" s="52"/>
      <c r="B186" s="53"/>
      <c r="C186" s="53"/>
      <c r="D186" s="1"/>
      <c r="E186" s="1"/>
      <c r="F186" s="1"/>
      <c r="G186" s="1"/>
      <c r="H186" s="1"/>
      <c r="I186" s="1"/>
      <c r="J186" s="1"/>
    </row>
    <row r="187" ht="14.25" customHeight="1">
      <c r="A187" s="52"/>
      <c r="B187" s="53"/>
      <c r="C187" s="53"/>
      <c r="D187" s="1"/>
      <c r="E187" s="1"/>
      <c r="F187" s="1"/>
      <c r="G187" s="1"/>
      <c r="H187" s="1"/>
      <c r="I187" s="1"/>
      <c r="J187" s="1"/>
    </row>
    <row r="188" ht="14.25" customHeight="1">
      <c r="A188" s="52"/>
      <c r="B188" s="53"/>
      <c r="C188" s="53"/>
      <c r="D188" s="1"/>
      <c r="E188" s="1"/>
      <c r="F188" s="1"/>
      <c r="G188" s="1"/>
      <c r="H188" s="1"/>
      <c r="I188" s="1"/>
      <c r="J188" s="1"/>
    </row>
    <row r="189" ht="14.25" customHeight="1">
      <c r="A189" s="52"/>
      <c r="B189" s="53"/>
      <c r="C189" s="53"/>
      <c r="D189" s="1"/>
      <c r="E189" s="1"/>
      <c r="F189" s="1"/>
      <c r="G189" s="1"/>
      <c r="H189" s="1"/>
      <c r="I189" s="1"/>
      <c r="J189" s="1"/>
    </row>
    <row r="190" ht="14.25" customHeight="1">
      <c r="A190" s="52"/>
      <c r="B190" s="53"/>
      <c r="C190" s="53"/>
      <c r="D190" s="1"/>
      <c r="E190" s="1"/>
      <c r="F190" s="1"/>
      <c r="G190" s="1"/>
      <c r="H190" s="1"/>
      <c r="I190" s="1"/>
      <c r="J190" s="1"/>
    </row>
    <row r="191" ht="14.25" customHeight="1">
      <c r="A191" s="52"/>
      <c r="B191" s="53"/>
      <c r="C191" s="53"/>
      <c r="D191" s="1"/>
      <c r="E191" s="1"/>
      <c r="F191" s="1"/>
      <c r="G191" s="1"/>
      <c r="H191" s="1"/>
      <c r="I191" s="1"/>
      <c r="J191" s="1"/>
    </row>
    <row r="192" ht="14.25" customHeight="1">
      <c r="A192" s="52"/>
      <c r="B192" s="53"/>
      <c r="C192" s="53"/>
      <c r="D192" s="1"/>
      <c r="E192" s="1"/>
      <c r="F192" s="1"/>
      <c r="G192" s="1"/>
      <c r="H192" s="1"/>
      <c r="I192" s="1"/>
      <c r="J192" s="1"/>
    </row>
    <row r="193" ht="14.25" customHeight="1">
      <c r="A193" s="52"/>
      <c r="B193" s="53"/>
      <c r="C193" s="53"/>
      <c r="D193" s="1"/>
      <c r="E193" s="1"/>
      <c r="F193" s="1"/>
      <c r="G193" s="1"/>
      <c r="H193" s="1"/>
      <c r="I193" s="1"/>
      <c r="J193" s="1"/>
    </row>
    <row r="194" ht="14.25" customHeight="1">
      <c r="A194" s="52"/>
      <c r="B194" s="53"/>
      <c r="C194" s="53"/>
      <c r="D194" s="1"/>
      <c r="E194" s="1"/>
      <c r="F194" s="1"/>
      <c r="G194" s="1"/>
      <c r="H194" s="1"/>
      <c r="I194" s="1"/>
      <c r="J194" s="1"/>
    </row>
    <row r="195" ht="14.25" customHeight="1">
      <c r="A195" s="52"/>
      <c r="B195" s="53"/>
      <c r="C195" s="53"/>
      <c r="D195" s="1"/>
      <c r="E195" s="1"/>
      <c r="F195" s="1"/>
      <c r="G195" s="1"/>
      <c r="H195" s="1"/>
      <c r="I195" s="1"/>
      <c r="J195" s="1"/>
    </row>
    <row r="196" ht="14.25" customHeight="1">
      <c r="A196" s="52"/>
      <c r="B196" s="53"/>
      <c r="C196" s="53"/>
      <c r="D196" s="1"/>
      <c r="E196" s="1"/>
      <c r="F196" s="1"/>
      <c r="G196" s="1"/>
      <c r="H196" s="1"/>
      <c r="I196" s="1"/>
      <c r="J196" s="1"/>
    </row>
    <row r="197" ht="14.25" customHeight="1">
      <c r="A197" s="52"/>
      <c r="B197" s="53"/>
      <c r="C197" s="53"/>
      <c r="D197" s="1"/>
      <c r="E197" s="1"/>
      <c r="F197" s="1"/>
      <c r="G197" s="1"/>
      <c r="H197" s="1"/>
      <c r="I197" s="1"/>
      <c r="J197" s="1"/>
    </row>
    <row r="198" ht="14.25" customHeight="1">
      <c r="A198" s="52"/>
      <c r="B198" s="53"/>
      <c r="C198" s="53"/>
      <c r="D198" s="1"/>
      <c r="E198" s="1"/>
      <c r="F198" s="1"/>
      <c r="G198" s="1"/>
      <c r="H198" s="1"/>
      <c r="I198" s="1"/>
      <c r="J198" s="1"/>
    </row>
    <row r="199" ht="14.25" customHeight="1">
      <c r="A199" s="52"/>
      <c r="B199" s="53"/>
      <c r="C199" s="53"/>
      <c r="D199" s="1"/>
      <c r="E199" s="1"/>
      <c r="F199" s="1"/>
      <c r="G199" s="1"/>
      <c r="H199" s="1"/>
      <c r="I199" s="1"/>
      <c r="J199" s="1"/>
    </row>
    <row r="200" ht="14.25" customHeight="1">
      <c r="A200" s="52"/>
      <c r="B200" s="53"/>
      <c r="C200" s="53"/>
      <c r="D200" s="1"/>
      <c r="E200" s="1"/>
      <c r="F200" s="1"/>
      <c r="G200" s="1"/>
      <c r="H200" s="1"/>
      <c r="I200" s="1"/>
      <c r="J200" s="1"/>
    </row>
    <row r="201" ht="14.25" customHeight="1">
      <c r="A201" s="52"/>
      <c r="B201" s="53"/>
      <c r="C201" s="53"/>
      <c r="D201" s="1"/>
      <c r="E201" s="1"/>
      <c r="F201" s="1"/>
      <c r="G201" s="1"/>
      <c r="H201" s="1"/>
      <c r="I201" s="1"/>
      <c r="J201" s="1"/>
    </row>
    <row r="202" ht="14.25" customHeight="1">
      <c r="A202" s="52"/>
      <c r="B202" s="53"/>
      <c r="C202" s="53"/>
      <c r="D202" s="1"/>
      <c r="E202" s="1"/>
      <c r="F202" s="1"/>
      <c r="G202" s="1"/>
      <c r="H202" s="1"/>
      <c r="I202" s="1"/>
      <c r="J202" s="1"/>
    </row>
    <row r="203" ht="14.25" customHeight="1">
      <c r="A203" s="52"/>
      <c r="B203" s="53"/>
      <c r="C203" s="53"/>
      <c r="D203" s="1"/>
      <c r="E203" s="1"/>
      <c r="F203" s="1"/>
      <c r="G203" s="1"/>
      <c r="H203" s="1"/>
      <c r="I203" s="1"/>
      <c r="J203" s="1"/>
    </row>
    <row r="204" ht="14.25" customHeight="1">
      <c r="A204" s="52"/>
      <c r="B204" s="53"/>
      <c r="C204" s="53"/>
      <c r="D204" s="1"/>
      <c r="E204" s="1"/>
      <c r="F204" s="1"/>
      <c r="G204" s="1"/>
      <c r="H204" s="1"/>
      <c r="I204" s="1"/>
      <c r="J204" s="1"/>
    </row>
    <row r="205" ht="14.25" customHeight="1">
      <c r="A205" s="52"/>
      <c r="B205" s="53"/>
      <c r="C205" s="53"/>
      <c r="D205" s="1"/>
      <c r="E205" s="1"/>
      <c r="F205" s="1"/>
      <c r="G205" s="1"/>
      <c r="H205" s="1"/>
      <c r="I205" s="1"/>
      <c r="J205" s="1"/>
    </row>
    <row r="206" ht="14.25" customHeight="1">
      <c r="A206" s="52"/>
      <c r="B206" s="53"/>
      <c r="C206" s="53"/>
      <c r="D206" s="1"/>
      <c r="E206" s="1"/>
      <c r="F206" s="1"/>
      <c r="G206" s="1"/>
      <c r="H206" s="1"/>
      <c r="I206" s="1"/>
      <c r="J206" s="1"/>
    </row>
    <row r="207" ht="14.25" customHeight="1">
      <c r="A207" s="52"/>
      <c r="B207" s="53"/>
      <c r="C207" s="53"/>
      <c r="D207" s="1"/>
      <c r="E207" s="1"/>
      <c r="F207" s="1"/>
      <c r="G207" s="1"/>
      <c r="H207" s="1"/>
      <c r="I207" s="1"/>
      <c r="J207" s="1"/>
    </row>
    <row r="208" ht="14.25" customHeight="1">
      <c r="A208" s="52"/>
      <c r="B208" s="53"/>
      <c r="C208" s="53"/>
      <c r="D208" s="1"/>
      <c r="E208" s="1"/>
      <c r="F208" s="1"/>
      <c r="G208" s="1"/>
      <c r="H208" s="1"/>
      <c r="I208" s="1"/>
      <c r="J208" s="1"/>
    </row>
    <row r="209" ht="14.25" customHeight="1">
      <c r="A209" s="52"/>
      <c r="B209" s="53"/>
      <c r="C209" s="53"/>
      <c r="D209" s="1"/>
      <c r="E209" s="1"/>
      <c r="F209" s="1"/>
      <c r="G209" s="1"/>
      <c r="H209" s="1"/>
      <c r="I209" s="1"/>
      <c r="J209" s="1"/>
    </row>
    <row r="210" ht="14.25" customHeight="1">
      <c r="A210" s="52"/>
      <c r="B210" s="53"/>
      <c r="C210" s="53"/>
      <c r="D210" s="1"/>
      <c r="E210" s="1"/>
      <c r="F210" s="1"/>
      <c r="G210" s="1"/>
      <c r="H210" s="1"/>
      <c r="I210" s="1"/>
      <c r="J210" s="1"/>
    </row>
    <row r="211" ht="14.25" customHeight="1">
      <c r="A211" s="52"/>
      <c r="B211" s="53"/>
      <c r="C211" s="53"/>
      <c r="D211" s="1"/>
      <c r="E211" s="1"/>
      <c r="F211" s="1"/>
      <c r="G211" s="1"/>
      <c r="H211" s="1"/>
      <c r="I211" s="1"/>
      <c r="J211" s="1"/>
    </row>
    <row r="212" ht="14.25" customHeight="1">
      <c r="A212" s="52"/>
      <c r="B212" s="53"/>
      <c r="C212" s="53"/>
      <c r="D212" s="1"/>
      <c r="E212" s="1"/>
      <c r="F212" s="1"/>
      <c r="G212" s="1"/>
      <c r="H212" s="1"/>
      <c r="I212" s="1"/>
      <c r="J212" s="1"/>
    </row>
    <row r="213" ht="14.25" customHeight="1">
      <c r="A213" s="52"/>
      <c r="B213" s="53"/>
      <c r="C213" s="53"/>
      <c r="D213" s="1"/>
      <c r="E213" s="1"/>
      <c r="F213" s="1"/>
      <c r="G213" s="1"/>
      <c r="H213" s="1"/>
      <c r="I213" s="1"/>
      <c r="J213" s="1"/>
    </row>
    <row r="214" ht="14.25" customHeight="1">
      <c r="A214" s="52"/>
      <c r="B214" s="53"/>
      <c r="C214" s="53"/>
      <c r="D214" s="1"/>
      <c r="E214" s="1"/>
      <c r="F214" s="1"/>
      <c r="G214" s="1"/>
      <c r="H214" s="1"/>
      <c r="I214" s="1"/>
      <c r="J214" s="1"/>
    </row>
    <row r="215" ht="14.25" customHeight="1">
      <c r="A215" s="52"/>
      <c r="B215" s="53"/>
      <c r="C215" s="53"/>
      <c r="D215" s="1"/>
      <c r="E215" s="1"/>
      <c r="F215" s="1"/>
      <c r="G215" s="1"/>
      <c r="H215" s="1"/>
      <c r="I215" s="1"/>
      <c r="J215" s="1"/>
    </row>
    <row r="216" ht="14.25" customHeight="1">
      <c r="A216" s="52"/>
      <c r="B216" s="53"/>
      <c r="C216" s="53"/>
      <c r="D216" s="1"/>
      <c r="E216" s="1"/>
      <c r="F216" s="1"/>
      <c r="G216" s="1"/>
      <c r="H216" s="1"/>
      <c r="I216" s="1"/>
      <c r="J216" s="1"/>
    </row>
    <row r="217" ht="14.25" customHeight="1">
      <c r="A217" s="52"/>
      <c r="B217" s="53"/>
      <c r="C217" s="53"/>
      <c r="D217" s="1"/>
      <c r="E217" s="1"/>
      <c r="F217" s="1"/>
      <c r="G217" s="1"/>
      <c r="H217" s="1"/>
      <c r="I217" s="1"/>
      <c r="J217" s="1"/>
    </row>
    <row r="218" ht="14.25" customHeight="1">
      <c r="A218" s="52"/>
      <c r="B218" s="53"/>
      <c r="C218" s="53"/>
      <c r="D218" s="1"/>
      <c r="E218" s="1"/>
      <c r="F218" s="1"/>
      <c r="G218" s="1"/>
      <c r="H218" s="1"/>
      <c r="I218" s="1"/>
      <c r="J218" s="1"/>
    </row>
    <row r="219" ht="14.25" customHeight="1">
      <c r="A219" s="52"/>
      <c r="B219" s="53"/>
      <c r="C219" s="53"/>
      <c r="D219" s="1"/>
      <c r="E219" s="1"/>
      <c r="F219" s="1"/>
      <c r="G219" s="1"/>
      <c r="H219" s="1"/>
      <c r="I219" s="1"/>
      <c r="J219" s="1"/>
    </row>
    <row r="220" ht="14.25" customHeight="1">
      <c r="A220" s="52"/>
      <c r="B220" s="53"/>
      <c r="C220" s="53"/>
      <c r="D220" s="1"/>
      <c r="E220" s="1"/>
      <c r="F220" s="1"/>
      <c r="G220" s="1"/>
      <c r="H220" s="1"/>
      <c r="I220" s="1"/>
      <c r="J220" s="1"/>
    </row>
    <row r="221" ht="14.25" customHeight="1">
      <c r="A221" s="52"/>
      <c r="B221" s="53"/>
      <c r="C221" s="53"/>
      <c r="D221" s="1"/>
      <c r="E221" s="1"/>
      <c r="F221" s="1"/>
      <c r="G221" s="1"/>
      <c r="H221" s="1"/>
      <c r="I221" s="1"/>
      <c r="J221" s="1"/>
    </row>
    <row r="222" ht="14.25" customHeight="1">
      <c r="A222" s="52"/>
      <c r="B222" s="53"/>
      <c r="C222" s="53"/>
      <c r="D222" s="1"/>
      <c r="E222" s="1"/>
      <c r="F222" s="1"/>
      <c r="G222" s="1"/>
      <c r="H222" s="1"/>
      <c r="I222" s="1"/>
      <c r="J222" s="1"/>
    </row>
    <row r="223" ht="14.25" customHeight="1">
      <c r="A223" s="52"/>
      <c r="B223" s="53"/>
      <c r="C223" s="53"/>
      <c r="D223" s="1"/>
      <c r="E223" s="1"/>
      <c r="F223" s="1"/>
      <c r="G223" s="1"/>
      <c r="H223" s="1"/>
      <c r="I223" s="1"/>
      <c r="J223" s="1"/>
    </row>
    <row r="224" ht="14.25" customHeight="1">
      <c r="A224" s="52"/>
      <c r="B224" s="53"/>
      <c r="C224" s="53"/>
      <c r="D224" s="1"/>
      <c r="E224" s="1"/>
      <c r="F224" s="1"/>
      <c r="G224" s="1"/>
      <c r="H224" s="1"/>
      <c r="I224" s="1"/>
      <c r="J224" s="1"/>
    </row>
    <row r="225" ht="14.25" customHeight="1">
      <c r="A225" s="52"/>
      <c r="B225" s="53"/>
      <c r="C225" s="53"/>
      <c r="D225" s="1"/>
      <c r="E225" s="1"/>
      <c r="F225" s="1"/>
      <c r="G225" s="1"/>
      <c r="H225" s="1"/>
      <c r="I225" s="1"/>
      <c r="J225" s="1"/>
    </row>
    <row r="226" ht="14.25" customHeight="1">
      <c r="A226" s="52"/>
      <c r="B226" s="53"/>
      <c r="C226" s="53"/>
      <c r="D226" s="1"/>
      <c r="E226" s="1"/>
      <c r="F226" s="1"/>
      <c r="G226" s="1"/>
      <c r="H226" s="1"/>
      <c r="I226" s="1"/>
      <c r="J226" s="1"/>
    </row>
    <row r="227" ht="14.25" customHeight="1">
      <c r="A227" s="52"/>
      <c r="B227" s="53"/>
      <c r="C227" s="53"/>
      <c r="D227" s="1"/>
      <c r="E227" s="1"/>
      <c r="F227" s="1"/>
      <c r="G227" s="1"/>
      <c r="H227" s="1"/>
      <c r="I227" s="1"/>
      <c r="J227" s="1"/>
    </row>
    <row r="228" ht="14.25" customHeight="1">
      <c r="A228" s="52"/>
      <c r="B228" s="53"/>
      <c r="C228" s="53"/>
      <c r="D228" s="1"/>
      <c r="E228" s="1"/>
      <c r="F228" s="1"/>
      <c r="G228" s="1"/>
      <c r="H228" s="1"/>
      <c r="I228" s="1"/>
      <c r="J228" s="1"/>
    </row>
    <row r="229" ht="14.25" customHeight="1">
      <c r="A229" s="52"/>
      <c r="B229" s="53"/>
      <c r="C229" s="53"/>
      <c r="D229" s="1"/>
      <c r="E229" s="1"/>
      <c r="F229" s="1"/>
      <c r="G229" s="1"/>
      <c r="H229" s="1"/>
      <c r="I229" s="1"/>
      <c r="J229" s="1"/>
    </row>
    <row r="230" ht="14.25" customHeight="1">
      <c r="A230" s="52"/>
      <c r="B230" s="53"/>
      <c r="C230" s="53"/>
      <c r="D230" s="1"/>
      <c r="E230" s="1"/>
      <c r="F230" s="1"/>
      <c r="G230" s="1"/>
      <c r="H230" s="1"/>
      <c r="I230" s="1"/>
      <c r="J230" s="1"/>
    </row>
    <row r="231" ht="14.25" customHeight="1">
      <c r="A231" s="52"/>
      <c r="B231" s="53"/>
      <c r="C231" s="53"/>
      <c r="D231" s="1"/>
      <c r="E231" s="1"/>
      <c r="F231" s="1"/>
      <c r="G231" s="1"/>
      <c r="H231" s="1"/>
      <c r="I231" s="1"/>
      <c r="J231" s="1"/>
    </row>
    <row r="232" ht="14.25" customHeight="1">
      <c r="A232" s="52"/>
      <c r="B232" s="53"/>
      <c r="C232" s="53"/>
      <c r="D232" s="1"/>
      <c r="E232" s="1"/>
      <c r="F232" s="1"/>
      <c r="G232" s="1"/>
      <c r="H232" s="1"/>
      <c r="I232" s="1"/>
      <c r="J232" s="1"/>
    </row>
    <row r="233" ht="14.25" customHeight="1">
      <c r="A233" s="52"/>
      <c r="B233" s="53"/>
      <c r="C233" s="53"/>
      <c r="D233" s="1"/>
      <c r="E233" s="1"/>
      <c r="F233" s="1"/>
      <c r="G233" s="1"/>
      <c r="H233" s="1"/>
      <c r="I233" s="1"/>
      <c r="J233" s="1"/>
    </row>
    <row r="234" ht="14.25" customHeight="1">
      <c r="A234" s="52"/>
      <c r="B234" s="53"/>
      <c r="C234" s="53"/>
      <c r="D234" s="1"/>
      <c r="E234" s="1"/>
      <c r="F234" s="1"/>
      <c r="G234" s="1"/>
      <c r="H234" s="1"/>
      <c r="I234" s="1"/>
      <c r="J234" s="1"/>
    </row>
    <row r="235" ht="14.25" customHeight="1">
      <c r="A235" s="52"/>
      <c r="B235" s="53"/>
      <c r="C235" s="53"/>
      <c r="D235" s="1"/>
      <c r="E235" s="1"/>
      <c r="F235" s="1"/>
      <c r="G235" s="1"/>
      <c r="H235" s="1"/>
      <c r="I235" s="1"/>
      <c r="J235" s="1"/>
    </row>
    <row r="236" ht="14.25" customHeight="1">
      <c r="A236" s="52"/>
      <c r="B236" s="53"/>
      <c r="C236" s="53"/>
      <c r="D236" s="1"/>
      <c r="E236" s="1"/>
      <c r="F236" s="1"/>
      <c r="G236" s="1"/>
      <c r="H236" s="1"/>
      <c r="I236" s="1"/>
      <c r="J236" s="1"/>
    </row>
    <row r="237" ht="14.25" customHeight="1">
      <c r="A237" s="52"/>
      <c r="B237" s="53"/>
      <c r="C237" s="53"/>
      <c r="D237" s="1"/>
      <c r="E237" s="1"/>
      <c r="F237" s="1"/>
      <c r="G237" s="1"/>
      <c r="H237" s="1"/>
      <c r="I237" s="1"/>
      <c r="J237" s="1"/>
    </row>
    <row r="238" ht="14.25" customHeight="1">
      <c r="A238" s="52"/>
      <c r="B238" s="53"/>
      <c r="C238" s="53"/>
      <c r="D238" s="1"/>
      <c r="E238" s="1"/>
      <c r="F238" s="1"/>
      <c r="G238" s="1"/>
      <c r="H238" s="1"/>
      <c r="I238" s="1"/>
      <c r="J238" s="1"/>
    </row>
    <row r="239" ht="14.25" customHeight="1">
      <c r="A239" s="52"/>
      <c r="B239" s="53"/>
      <c r="C239" s="53"/>
      <c r="D239" s="1"/>
      <c r="E239" s="1"/>
      <c r="F239" s="1"/>
      <c r="G239" s="1"/>
      <c r="H239" s="1"/>
      <c r="I239" s="1"/>
      <c r="J239" s="1"/>
    </row>
    <row r="240" ht="14.25" customHeight="1">
      <c r="A240" s="52"/>
      <c r="B240" s="53"/>
      <c r="C240" s="53"/>
      <c r="D240" s="1"/>
      <c r="E240" s="1"/>
      <c r="F240" s="1"/>
      <c r="G240" s="1"/>
      <c r="H240" s="1"/>
      <c r="I240" s="1"/>
      <c r="J240" s="1"/>
    </row>
    <row r="241" ht="14.25" customHeight="1">
      <c r="A241" s="52"/>
      <c r="B241" s="53"/>
      <c r="C241" s="53"/>
      <c r="D241" s="1"/>
      <c r="E241" s="1"/>
      <c r="F241" s="1"/>
      <c r="G241" s="1"/>
      <c r="H241" s="1"/>
      <c r="I241" s="1"/>
      <c r="J241" s="1"/>
    </row>
    <row r="242" ht="14.25" customHeight="1">
      <c r="A242" s="52"/>
      <c r="B242" s="53"/>
      <c r="C242" s="53"/>
      <c r="D242" s="1"/>
      <c r="E242" s="1"/>
      <c r="F242" s="1"/>
      <c r="G242" s="1"/>
      <c r="H242" s="1"/>
      <c r="I242" s="1"/>
      <c r="J242" s="1"/>
    </row>
    <row r="243" ht="14.25" customHeight="1">
      <c r="A243" s="52"/>
      <c r="B243" s="53"/>
      <c r="C243" s="53"/>
      <c r="D243" s="1"/>
      <c r="E243" s="1"/>
      <c r="F243" s="1"/>
      <c r="G243" s="1"/>
      <c r="H243" s="1"/>
      <c r="I243" s="1"/>
      <c r="J243" s="1"/>
    </row>
    <row r="244" ht="14.25" customHeight="1">
      <c r="A244" s="52"/>
      <c r="B244" s="53"/>
      <c r="C244" s="53"/>
      <c r="D244" s="1"/>
      <c r="E244" s="1"/>
      <c r="F244" s="1"/>
      <c r="G244" s="1"/>
      <c r="H244" s="1"/>
      <c r="I244" s="1"/>
      <c r="J244" s="1"/>
    </row>
    <row r="245" ht="14.25" customHeight="1">
      <c r="A245" s="52"/>
      <c r="B245" s="53"/>
      <c r="C245" s="53"/>
      <c r="D245" s="1"/>
      <c r="E245" s="1"/>
      <c r="F245" s="1"/>
      <c r="G245" s="1"/>
      <c r="H245" s="1"/>
      <c r="I245" s="1"/>
      <c r="J245" s="1"/>
    </row>
    <row r="246" ht="14.25" customHeight="1">
      <c r="A246" s="52"/>
      <c r="B246" s="53"/>
      <c r="C246" s="53"/>
      <c r="D246" s="1"/>
      <c r="E246" s="1"/>
      <c r="F246" s="1"/>
      <c r="G246" s="1"/>
      <c r="H246" s="1"/>
      <c r="I246" s="1"/>
      <c r="J246" s="1"/>
    </row>
    <row r="247" ht="14.25" customHeight="1">
      <c r="A247" s="52"/>
      <c r="B247" s="53"/>
      <c r="C247" s="53"/>
      <c r="D247" s="1"/>
      <c r="E247" s="1"/>
      <c r="F247" s="1"/>
      <c r="G247" s="1"/>
      <c r="H247" s="1"/>
      <c r="I247" s="1"/>
      <c r="J247" s="1"/>
    </row>
    <row r="248" ht="14.25" customHeight="1">
      <c r="A248" s="52"/>
      <c r="B248" s="53"/>
      <c r="C248" s="53"/>
      <c r="D248" s="1"/>
      <c r="E248" s="1"/>
      <c r="F248" s="1"/>
      <c r="G248" s="1"/>
      <c r="H248" s="1"/>
      <c r="I248" s="1"/>
      <c r="J248" s="1"/>
    </row>
    <row r="249" ht="14.25" customHeight="1">
      <c r="A249" s="52"/>
      <c r="B249" s="53"/>
      <c r="C249" s="53"/>
      <c r="D249" s="1"/>
      <c r="E249" s="1"/>
      <c r="F249" s="1"/>
      <c r="G249" s="1"/>
      <c r="H249" s="1"/>
      <c r="I249" s="1"/>
      <c r="J249" s="1"/>
    </row>
    <row r="250" ht="14.25" customHeight="1">
      <c r="A250" s="52"/>
      <c r="B250" s="53"/>
      <c r="C250" s="53"/>
      <c r="D250" s="1"/>
      <c r="E250" s="1"/>
      <c r="F250" s="1"/>
      <c r="G250" s="1"/>
      <c r="H250" s="1"/>
      <c r="I250" s="1"/>
      <c r="J250" s="1"/>
    </row>
    <row r="251" ht="14.25" customHeight="1">
      <c r="A251" s="52"/>
      <c r="B251" s="53"/>
      <c r="C251" s="53"/>
      <c r="D251" s="1"/>
      <c r="E251" s="1"/>
      <c r="F251" s="1"/>
      <c r="G251" s="1"/>
      <c r="H251" s="1"/>
      <c r="I251" s="1"/>
      <c r="J251" s="1"/>
    </row>
    <row r="252" ht="14.25" customHeight="1">
      <c r="A252" s="52"/>
      <c r="B252" s="53"/>
      <c r="C252" s="53"/>
      <c r="D252" s="1"/>
      <c r="E252" s="1"/>
      <c r="F252" s="1"/>
      <c r="G252" s="1"/>
      <c r="H252" s="1"/>
      <c r="I252" s="1"/>
      <c r="J252" s="1"/>
    </row>
    <row r="253" ht="14.25" customHeight="1">
      <c r="A253" s="52"/>
      <c r="B253" s="53"/>
      <c r="C253" s="53"/>
      <c r="D253" s="1"/>
      <c r="E253" s="1"/>
      <c r="F253" s="1"/>
      <c r="G253" s="1"/>
      <c r="H253" s="1"/>
      <c r="I253" s="1"/>
      <c r="J253" s="1"/>
    </row>
    <row r="254" ht="14.25" customHeight="1">
      <c r="A254" s="52"/>
      <c r="B254" s="53"/>
      <c r="C254" s="53"/>
      <c r="D254" s="1"/>
      <c r="E254" s="1"/>
      <c r="F254" s="1"/>
      <c r="G254" s="1"/>
      <c r="H254" s="1"/>
      <c r="I254" s="1"/>
      <c r="J254" s="1"/>
    </row>
    <row r="255" ht="14.25" customHeight="1">
      <c r="A255" s="52"/>
      <c r="B255" s="53"/>
      <c r="C255" s="53"/>
      <c r="D255" s="1"/>
      <c r="E255" s="1"/>
      <c r="F255" s="1"/>
      <c r="G255" s="1"/>
      <c r="H255" s="1"/>
      <c r="I255" s="1"/>
      <c r="J255" s="1"/>
    </row>
    <row r="256" ht="14.25" customHeight="1">
      <c r="A256" s="52"/>
      <c r="B256" s="53"/>
      <c r="C256" s="53"/>
      <c r="D256" s="1"/>
      <c r="E256" s="1"/>
      <c r="F256" s="1"/>
      <c r="G256" s="1"/>
      <c r="H256" s="1"/>
      <c r="I256" s="1"/>
      <c r="J256" s="1"/>
    </row>
    <row r="257" ht="14.25" customHeight="1">
      <c r="A257" s="52"/>
      <c r="B257" s="53"/>
      <c r="C257" s="53"/>
      <c r="D257" s="1"/>
      <c r="E257" s="1"/>
      <c r="F257" s="1"/>
      <c r="G257" s="1"/>
      <c r="H257" s="1"/>
      <c r="I257" s="1"/>
      <c r="J257" s="1"/>
    </row>
    <row r="258" ht="14.25" customHeight="1">
      <c r="A258" s="52"/>
      <c r="B258" s="53"/>
      <c r="C258" s="53"/>
      <c r="D258" s="1"/>
      <c r="E258" s="1"/>
      <c r="F258" s="1"/>
      <c r="G258" s="1"/>
      <c r="H258" s="1"/>
      <c r="I258" s="1"/>
      <c r="J258" s="1"/>
    </row>
    <row r="259" ht="14.25" customHeight="1">
      <c r="A259" s="52"/>
      <c r="B259" s="53"/>
      <c r="C259" s="53"/>
      <c r="D259" s="1"/>
      <c r="E259" s="1"/>
      <c r="F259" s="1"/>
      <c r="G259" s="1"/>
      <c r="H259" s="1"/>
      <c r="I259" s="1"/>
      <c r="J259" s="1"/>
    </row>
    <row r="260" ht="14.25" customHeight="1">
      <c r="A260" s="52"/>
      <c r="B260" s="53"/>
      <c r="C260" s="53"/>
      <c r="D260" s="1"/>
      <c r="E260" s="1"/>
      <c r="F260" s="1"/>
      <c r="G260" s="1"/>
      <c r="H260" s="1"/>
      <c r="I260" s="1"/>
      <c r="J260" s="1"/>
    </row>
    <row r="261" ht="14.25" customHeight="1">
      <c r="A261" s="52"/>
      <c r="B261" s="53"/>
      <c r="C261" s="53"/>
      <c r="D261" s="1"/>
      <c r="E261" s="1"/>
      <c r="F261" s="1"/>
      <c r="G261" s="1"/>
      <c r="H261" s="1"/>
      <c r="I261" s="1"/>
      <c r="J261" s="1"/>
    </row>
    <row r="262" ht="14.25" customHeight="1">
      <c r="A262" s="52"/>
      <c r="B262" s="53"/>
      <c r="C262" s="53"/>
      <c r="D262" s="1"/>
      <c r="E262" s="1"/>
      <c r="F262" s="1"/>
      <c r="G262" s="1"/>
      <c r="H262" s="1"/>
      <c r="I262" s="1"/>
      <c r="J262" s="1"/>
    </row>
    <row r="263" ht="14.25" customHeight="1">
      <c r="A263" s="52"/>
      <c r="B263" s="53"/>
      <c r="C263" s="53"/>
      <c r="D263" s="1"/>
      <c r="E263" s="1"/>
      <c r="F263" s="1"/>
      <c r="G263" s="1"/>
      <c r="H263" s="1"/>
      <c r="I263" s="1"/>
      <c r="J263" s="1"/>
    </row>
    <row r="264" ht="14.25" customHeight="1">
      <c r="A264" s="52"/>
      <c r="B264" s="53"/>
      <c r="C264" s="53"/>
      <c r="D264" s="1"/>
      <c r="E264" s="1"/>
      <c r="F264" s="1"/>
      <c r="G264" s="1"/>
      <c r="H264" s="1"/>
      <c r="I264" s="1"/>
      <c r="J264" s="1"/>
    </row>
    <row r="265" ht="14.25" customHeight="1">
      <c r="A265" s="52"/>
      <c r="B265" s="53"/>
      <c r="C265" s="53"/>
      <c r="D265" s="1"/>
      <c r="E265" s="1"/>
      <c r="F265" s="1"/>
      <c r="G265" s="1"/>
      <c r="H265" s="1"/>
      <c r="I265" s="1"/>
      <c r="J265" s="1"/>
    </row>
    <row r="266" ht="14.25" customHeight="1">
      <c r="A266" s="52"/>
      <c r="B266" s="53"/>
      <c r="C266" s="53"/>
      <c r="D266" s="1"/>
      <c r="E266" s="1"/>
      <c r="F266" s="1"/>
      <c r="G266" s="1"/>
      <c r="H266" s="1"/>
      <c r="I266" s="1"/>
      <c r="J266" s="1"/>
    </row>
    <row r="267" ht="14.25" customHeight="1">
      <c r="A267" s="52"/>
      <c r="B267" s="53"/>
      <c r="C267" s="53"/>
      <c r="D267" s="1"/>
      <c r="E267" s="1"/>
      <c r="F267" s="1"/>
      <c r="G267" s="1"/>
      <c r="H267" s="1"/>
      <c r="I267" s="1"/>
      <c r="J267" s="1"/>
    </row>
    <row r="268" ht="14.25" customHeight="1">
      <c r="A268" s="52"/>
      <c r="B268" s="53"/>
      <c r="C268" s="53"/>
      <c r="D268" s="1"/>
      <c r="E268" s="1"/>
      <c r="F268" s="1"/>
      <c r="G268" s="1"/>
      <c r="H268" s="1"/>
      <c r="I268" s="1"/>
      <c r="J268" s="1"/>
    </row>
    <row r="269" ht="14.25" customHeight="1">
      <c r="A269" s="52"/>
      <c r="B269" s="53"/>
      <c r="C269" s="53"/>
      <c r="D269" s="1"/>
      <c r="E269" s="1"/>
      <c r="F269" s="1"/>
      <c r="G269" s="1"/>
      <c r="H269" s="1"/>
      <c r="I269" s="1"/>
      <c r="J269" s="1"/>
    </row>
    <row r="270" ht="14.25" customHeight="1">
      <c r="A270" s="52"/>
      <c r="B270" s="53"/>
      <c r="C270" s="53"/>
      <c r="D270" s="1"/>
      <c r="E270" s="1"/>
      <c r="F270" s="1"/>
      <c r="G270" s="1"/>
      <c r="H270" s="1"/>
      <c r="I270" s="1"/>
      <c r="J270" s="1"/>
    </row>
    <row r="271" ht="14.25" customHeight="1">
      <c r="A271" s="52"/>
      <c r="B271" s="53"/>
      <c r="C271" s="53"/>
      <c r="D271" s="1"/>
      <c r="E271" s="1"/>
      <c r="F271" s="1"/>
      <c r="G271" s="1"/>
      <c r="H271" s="1"/>
      <c r="I271" s="1"/>
      <c r="J271" s="1"/>
    </row>
    <row r="272" ht="14.25" customHeight="1">
      <c r="A272" s="52"/>
      <c r="B272" s="53"/>
      <c r="C272" s="53"/>
      <c r="D272" s="1"/>
      <c r="E272" s="1"/>
      <c r="F272" s="1"/>
      <c r="G272" s="1"/>
      <c r="H272" s="1"/>
      <c r="I272" s="1"/>
      <c r="J272" s="1"/>
    </row>
    <row r="273" ht="14.25" customHeight="1">
      <c r="A273" s="52"/>
      <c r="B273" s="53"/>
      <c r="C273" s="53"/>
      <c r="D273" s="1"/>
      <c r="E273" s="1"/>
      <c r="F273" s="1"/>
      <c r="G273" s="1"/>
      <c r="H273" s="1"/>
      <c r="I273" s="1"/>
      <c r="J273" s="1"/>
    </row>
    <row r="274" ht="14.25" customHeight="1">
      <c r="A274" s="52"/>
      <c r="B274" s="53"/>
      <c r="C274" s="53"/>
      <c r="D274" s="1"/>
      <c r="E274" s="1"/>
      <c r="F274" s="1"/>
      <c r="G274" s="1"/>
      <c r="H274" s="1"/>
      <c r="I274" s="1"/>
      <c r="J274" s="1"/>
    </row>
    <row r="275" ht="14.25" customHeight="1">
      <c r="A275" s="52"/>
      <c r="B275" s="53"/>
      <c r="C275" s="53"/>
      <c r="D275" s="1"/>
      <c r="E275" s="1"/>
      <c r="F275" s="1"/>
      <c r="G275" s="1"/>
      <c r="H275" s="1"/>
      <c r="I275" s="1"/>
      <c r="J275" s="1"/>
    </row>
    <row r="276" ht="14.25" customHeight="1">
      <c r="A276" s="52"/>
      <c r="B276" s="53"/>
      <c r="C276" s="53"/>
      <c r="D276" s="1"/>
      <c r="E276" s="1"/>
      <c r="F276" s="1"/>
      <c r="G276" s="1"/>
      <c r="H276" s="1"/>
      <c r="I276" s="1"/>
      <c r="J276" s="1"/>
    </row>
    <row r="277" ht="14.25" customHeight="1">
      <c r="A277" s="52"/>
      <c r="B277" s="53"/>
      <c r="C277" s="53"/>
      <c r="D277" s="1"/>
      <c r="E277" s="1"/>
      <c r="F277" s="1"/>
      <c r="G277" s="1"/>
      <c r="H277" s="1"/>
      <c r="I277" s="1"/>
      <c r="J277" s="1"/>
    </row>
    <row r="278" ht="14.25" customHeight="1">
      <c r="A278" s="52"/>
      <c r="B278" s="53"/>
      <c r="C278" s="53"/>
      <c r="D278" s="1"/>
      <c r="E278" s="1"/>
      <c r="F278" s="1"/>
      <c r="G278" s="1"/>
      <c r="H278" s="1"/>
      <c r="I278" s="1"/>
      <c r="J278" s="1"/>
    </row>
    <row r="279" ht="14.25" customHeight="1">
      <c r="A279" s="52"/>
      <c r="B279" s="53"/>
      <c r="C279" s="53"/>
      <c r="D279" s="1"/>
      <c r="E279" s="1"/>
      <c r="F279" s="1"/>
      <c r="G279" s="1"/>
      <c r="H279" s="1"/>
      <c r="I279" s="1"/>
      <c r="J279" s="1"/>
    </row>
    <row r="280" ht="14.25" customHeight="1">
      <c r="A280" s="52"/>
      <c r="B280" s="53"/>
      <c r="C280" s="53"/>
      <c r="D280" s="1"/>
      <c r="E280" s="1"/>
      <c r="F280" s="1"/>
      <c r="G280" s="1"/>
      <c r="H280" s="1"/>
      <c r="I280" s="1"/>
      <c r="J280" s="1"/>
    </row>
    <row r="281" ht="14.25" customHeight="1">
      <c r="A281" s="52"/>
      <c r="B281" s="53"/>
      <c r="C281" s="53"/>
      <c r="D281" s="1"/>
      <c r="E281" s="1"/>
      <c r="F281" s="1"/>
      <c r="G281" s="1"/>
      <c r="H281" s="1"/>
      <c r="I281" s="1"/>
      <c r="J281" s="1"/>
    </row>
    <row r="282" ht="14.25" customHeight="1">
      <c r="A282" s="52"/>
      <c r="B282" s="53"/>
      <c r="C282" s="53"/>
      <c r="D282" s="1"/>
      <c r="E282" s="1"/>
      <c r="F282" s="1"/>
      <c r="G282" s="1"/>
      <c r="H282" s="1"/>
      <c r="I282" s="1"/>
      <c r="J282" s="1"/>
    </row>
    <row r="283" ht="14.25" customHeight="1">
      <c r="A283" s="52"/>
      <c r="B283" s="53"/>
      <c r="C283" s="53"/>
      <c r="D283" s="1"/>
      <c r="E283" s="1"/>
      <c r="F283" s="1"/>
      <c r="G283" s="1"/>
      <c r="H283" s="1"/>
      <c r="I283" s="1"/>
      <c r="J283" s="1"/>
    </row>
    <row r="284" ht="14.25" customHeight="1">
      <c r="A284" s="52"/>
      <c r="B284" s="53"/>
      <c r="C284" s="53"/>
      <c r="D284" s="1"/>
      <c r="E284" s="1"/>
      <c r="F284" s="1"/>
      <c r="G284" s="1"/>
      <c r="H284" s="1"/>
      <c r="I284" s="1"/>
      <c r="J284" s="1"/>
    </row>
    <row r="285" ht="14.25" customHeight="1">
      <c r="A285" s="52"/>
      <c r="B285" s="53"/>
      <c r="C285" s="53"/>
      <c r="D285" s="1"/>
      <c r="E285" s="1"/>
      <c r="F285" s="1"/>
      <c r="G285" s="1"/>
      <c r="H285" s="1"/>
      <c r="I285" s="1"/>
      <c r="J285" s="1"/>
    </row>
    <row r="286" ht="14.25" customHeight="1">
      <c r="A286" s="52"/>
      <c r="B286" s="53"/>
      <c r="C286" s="53"/>
      <c r="D286" s="1"/>
      <c r="E286" s="1"/>
      <c r="F286" s="1"/>
      <c r="G286" s="1"/>
      <c r="H286" s="1"/>
      <c r="I286" s="1"/>
      <c r="J286" s="1"/>
    </row>
    <row r="287" ht="14.25" customHeight="1">
      <c r="A287" s="52"/>
      <c r="B287" s="53"/>
      <c r="C287" s="53"/>
      <c r="D287" s="1"/>
      <c r="E287" s="1"/>
      <c r="F287" s="1"/>
      <c r="G287" s="1"/>
      <c r="H287" s="1"/>
      <c r="I287" s="1"/>
      <c r="J287" s="1"/>
    </row>
    <row r="288" ht="14.25" customHeight="1">
      <c r="A288" s="52"/>
      <c r="B288" s="53"/>
      <c r="C288" s="53"/>
      <c r="D288" s="1"/>
      <c r="E288" s="1"/>
      <c r="F288" s="1"/>
      <c r="G288" s="1"/>
      <c r="H288" s="1"/>
      <c r="I288" s="1"/>
      <c r="J288" s="1"/>
    </row>
    <row r="289" ht="14.25" customHeight="1">
      <c r="A289" s="52"/>
      <c r="B289" s="53"/>
      <c r="C289" s="53"/>
      <c r="D289" s="1"/>
      <c r="E289" s="1"/>
      <c r="F289" s="1"/>
      <c r="G289" s="1"/>
      <c r="H289" s="1"/>
      <c r="I289" s="1"/>
      <c r="J289" s="1"/>
    </row>
    <row r="290" ht="14.25" customHeight="1">
      <c r="A290" s="52"/>
      <c r="B290" s="53"/>
      <c r="C290" s="53"/>
      <c r="D290" s="1"/>
      <c r="E290" s="1"/>
      <c r="F290" s="1"/>
      <c r="G290" s="1"/>
      <c r="H290" s="1"/>
      <c r="I290" s="1"/>
      <c r="J290" s="1"/>
    </row>
    <row r="291" ht="14.25" customHeight="1">
      <c r="A291" s="52"/>
      <c r="B291" s="53"/>
      <c r="C291" s="53"/>
      <c r="D291" s="1"/>
      <c r="E291" s="1"/>
      <c r="F291" s="1"/>
      <c r="G291" s="1"/>
      <c r="H291" s="1"/>
      <c r="I291" s="1"/>
      <c r="J291" s="1"/>
    </row>
    <row r="292" ht="14.25" customHeight="1">
      <c r="A292" s="52"/>
      <c r="B292" s="53"/>
      <c r="C292" s="53"/>
      <c r="D292" s="1"/>
      <c r="E292" s="1"/>
      <c r="F292" s="1"/>
      <c r="G292" s="1"/>
      <c r="H292" s="1"/>
      <c r="I292" s="1"/>
      <c r="J292" s="1"/>
    </row>
    <row r="293" ht="14.25" customHeight="1">
      <c r="A293" s="52"/>
      <c r="B293" s="53"/>
      <c r="C293" s="53"/>
      <c r="D293" s="1"/>
      <c r="E293" s="1"/>
      <c r="F293" s="1"/>
      <c r="G293" s="1"/>
      <c r="H293" s="1"/>
      <c r="I293" s="1"/>
      <c r="J293" s="1"/>
    </row>
    <row r="294" ht="14.25" customHeight="1">
      <c r="A294" s="52"/>
      <c r="B294" s="53"/>
      <c r="C294" s="53"/>
      <c r="D294" s="1"/>
      <c r="E294" s="1"/>
      <c r="F294" s="1"/>
      <c r="G294" s="1"/>
      <c r="H294" s="1"/>
      <c r="I294" s="1"/>
      <c r="J294" s="1"/>
    </row>
    <row r="295" ht="14.25" customHeight="1">
      <c r="A295" s="52"/>
      <c r="B295" s="53"/>
      <c r="C295" s="53"/>
      <c r="D295" s="1"/>
      <c r="E295" s="1"/>
      <c r="F295" s="1"/>
      <c r="G295" s="1"/>
      <c r="H295" s="1"/>
      <c r="I295" s="1"/>
      <c r="J295" s="1"/>
    </row>
    <row r="296" ht="14.25" customHeight="1">
      <c r="A296" s="52"/>
      <c r="B296" s="53"/>
      <c r="C296" s="53"/>
      <c r="D296" s="1"/>
      <c r="E296" s="1"/>
      <c r="F296" s="1"/>
      <c r="G296" s="1"/>
      <c r="H296" s="1"/>
      <c r="I296" s="1"/>
      <c r="J296" s="1"/>
    </row>
    <row r="297" ht="14.25" customHeight="1">
      <c r="A297" s="52"/>
      <c r="B297" s="53"/>
      <c r="C297" s="53"/>
      <c r="D297" s="1"/>
      <c r="E297" s="1"/>
      <c r="F297" s="1"/>
      <c r="G297" s="1"/>
      <c r="H297" s="1"/>
      <c r="I297" s="1"/>
      <c r="J297" s="1"/>
    </row>
    <row r="298" ht="14.25" customHeight="1">
      <c r="A298" s="52"/>
      <c r="B298" s="53"/>
      <c r="C298" s="53"/>
      <c r="D298" s="1"/>
      <c r="E298" s="1"/>
      <c r="F298" s="1"/>
      <c r="G298" s="1"/>
      <c r="H298" s="1"/>
      <c r="I298" s="1"/>
      <c r="J298" s="1"/>
    </row>
    <row r="299" ht="14.25" customHeight="1">
      <c r="A299" s="52"/>
      <c r="B299" s="53"/>
      <c r="C299" s="53"/>
      <c r="D299" s="1"/>
      <c r="E299" s="1"/>
      <c r="F299" s="1"/>
      <c r="G299" s="1"/>
      <c r="H299" s="1"/>
      <c r="I299" s="1"/>
      <c r="J299" s="1"/>
    </row>
    <row r="300" ht="14.25" customHeight="1">
      <c r="A300" s="52"/>
      <c r="B300" s="53"/>
      <c r="C300" s="53"/>
      <c r="D300" s="1"/>
      <c r="E300" s="1"/>
      <c r="F300" s="1"/>
      <c r="G300" s="1"/>
      <c r="H300" s="1"/>
      <c r="I300" s="1"/>
      <c r="J300" s="1"/>
    </row>
    <row r="301" ht="14.25" customHeight="1">
      <c r="A301" s="52"/>
      <c r="B301" s="53"/>
      <c r="C301" s="53"/>
      <c r="D301" s="1"/>
      <c r="E301" s="1"/>
      <c r="F301" s="1"/>
      <c r="G301" s="1"/>
      <c r="H301" s="1"/>
      <c r="I301" s="1"/>
      <c r="J301" s="1"/>
    </row>
    <row r="302" ht="14.25" customHeight="1">
      <c r="A302" s="52"/>
      <c r="B302" s="53"/>
      <c r="C302" s="53"/>
      <c r="D302" s="1"/>
      <c r="E302" s="1"/>
      <c r="F302" s="1"/>
      <c r="G302" s="1"/>
      <c r="H302" s="1"/>
      <c r="I302" s="1"/>
      <c r="J302" s="1"/>
    </row>
    <row r="303" ht="14.25" customHeight="1">
      <c r="A303" s="52"/>
      <c r="B303" s="53"/>
      <c r="C303" s="53"/>
      <c r="D303" s="1"/>
      <c r="E303" s="1"/>
      <c r="F303" s="1"/>
      <c r="G303" s="1"/>
      <c r="H303" s="1"/>
      <c r="I303" s="1"/>
      <c r="J303" s="1"/>
    </row>
    <row r="304" ht="14.25" customHeight="1">
      <c r="A304" s="52"/>
      <c r="B304" s="53"/>
      <c r="C304" s="53"/>
      <c r="D304" s="1"/>
      <c r="E304" s="1"/>
      <c r="F304" s="1"/>
      <c r="G304" s="1"/>
      <c r="H304" s="1"/>
      <c r="I304" s="1"/>
      <c r="J304" s="1"/>
    </row>
    <row r="305" ht="14.25" customHeight="1">
      <c r="A305" s="52"/>
      <c r="B305" s="53"/>
      <c r="C305" s="53"/>
      <c r="D305" s="1"/>
      <c r="E305" s="1"/>
      <c r="F305" s="1"/>
      <c r="G305" s="1"/>
      <c r="H305" s="1"/>
      <c r="I305" s="1"/>
      <c r="J305" s="1"/>
    </row>
    <row r="306" ht="14.25" customHeight="1">
      <c r="A306" s="52"/>
      <c r="B306" s="53"/>
      <c r="C306" s="53"/>
      <c r="D306" s="1"/>
      <c r="E306" s="1"/>
      <c r="F306" s="1"/>
      <c r="G306" s="1"/>
      <c r="H306" s="1"/>
      <c r="I306" s="1"/>
      <c r="J306" s="1"/>
    </row>
    <row r="307" ht="14.25" customHeight="1">
      <c r="A307" s="52"/>
      <c r="B307" s="53"/>
      <c r="C307" s="53"/>
      <c r="D307" s="1"/>
      <c r="E307" s="1"/>
      <c r="F307" s="1"/>
      <c r="G307" s="1"/>
      <c r="H307" s="1"/>
      <c r="I307" s="1"/>
      <c r="J307" s="1"/>
    </row>
    <row r="308" ht="14.25" customHeight="1">
      <c r="A308" s="52"/>
      <c r="B308" s="53"/>
      <c r="C308" s="53"/>
      <c r="D308" s="1"/>
      <c r="E308" s="1"/>
      <c r="F308" s="1"/>
      <c r="G308" s="1"/>
      <c r="H308" s="1"/>
      <c r="I308" s="1"/>
      <c r="J308" s="1"/>
    </row>
    <row r="309" ht="14.25" customHeight="1">
      <c r="A309" s="52"/>
      <c r="B309" s="53"/>
      <c r="C309" s="53"/>
      <c r="D309" s="1"/>
      <c r="E309" s="1"/>
      <c r="F309" s="1"/>
      <c r="G309" s="1"/>
      <c r="H309" s="1"/>
      <c r="I309" s="1"/>
      <c r="J309" s="1"/>
    </row>
    <row r="310" ht="14.25" customHeight="1">
      <c r="A310" s="52"/>
      <c r="B310" s="53"/>
      <c r="C310" s="53"/>
      <c r="D310" s="1"/>
      <c r="E310" s="1"/>
      <c r="F310" s="1"/>
      <c r="G310" s="1"/>
      <c r="H310" s="1"/>
      <c r="I310" s="1"/>
      <c r="J310" s="1"/>
    </row>
    <row r="311" ht="14.25" customHeight="1">
      <c r="A311" s="52"/>
      <c r="B311" s="53"/>
      <c r="C311" s="53"/>
      <c r="D311" s="1"/>
      <c r="E311" s="1"/>
      <c r="F311" s="1"/>
      <c r="G311" s="1"/>
      <c r="H311" s="1"/>
      <c r="I311" s="1"/>
      <c r="J311" s="1"/>
    </row>
    <row r="312" ht="14.25" customHeight="1">
      <c r="A312" s="52"/>
      <c r="B312" s="53"/>
      <c r="C312" s="53"/>
      <c r="D312" s="1"/>
      <c r="E312" s="1"/>
      <c r="F312" s="1"/>
      <c r="G312" s="1"/>
      <c r="H312" s="1"/>
      <c r="I312" s="1"/>
      <c r="J312" s="1"/>
    </row>
    <row r="313" ht="14.25" customHeight="1">
      <c r="A313" s="52"/>
      <c r="B313" s="53"/>
      <c r="C313" s="53"/>
      <c r="D313" s="1"/>
      <c r="E313" s="1"/>
      <c r="F313" s="1"/>
      <c r="G313" s="1"/>
      <c r="H313" s="1"/>
      <c r="I313" s="1"/>
      <c r="J313" s="1"/>
    </row>
    <row r="314" ht="14.25" customHeight="1">
      <c r="A314" s="52"/>
      <c r="B314" s="53"/>
      <c r="C314" s="53"/>
      <c r="D314" s="1"/>
      <c r="E314" s="1"/>
      <c r="F314" s="1"/>
      <c r="G314" s="1"/>
      <c r="H314" s="1"/>
      <c r="I314" s="1"/>
      <c r="J314" s="1"/>
    </row>
    <row r="315" ht="14.25" customHeight="1">
      <c r="A315" s="52"/>
      <c r="B315" s="53"/>
      <c r="C315" s="53"/>
      <c r="D315" s="1"/>
      <c r="E315" s="1"/>
      <c r="F315" s="1"/>
      <c r="G315" s="1"/>
      <c r="H315" s="1"/>
      <c r="I315" s="1"/>
      <c r="J315" s="1"/>
    </row>
    <row r="316" ht="14.25" customHeight="1">
      <c r="A316" s="52"/>
      <c r="B316" s="53"/>
      <c r="C316" s="53"/>
      <c r="D316" s="1"/>
      <c r="E316" s="1"/>
      <c r="F316" s="1"/>
      <c r="G316" s="1"/>
      <c r="H316" s="1"/>
      <c r="I316" s="1"/>
      <c r="J316" s="1"/>
    </row>
    <row r="317" ht="14.25" customHeight="1">
      <c r="A317" s="52"/>
      <c r="B317" s="53"/>
      <c r="C317" s="53"/>
      <c r="D317" s="1"/>
      <c r="E317" s="1"/>
      <c r="F317" s="1"/>
      <c r="G317" s="1"/>
      <c r="H317" s="1"/>
      <c r="I317" s="1"/>
      <c r="J317" s="1"/>
    </row>
    <row r="318" ht="14.25" customHeight="1">
      <c r="A318" s="52"/>
      <c r="B318" s="53"/>
      <c r="C318" s="53"/>
      <c r="D318" s="1"/>
      <c r="E318" s="1"/>
      <c r="F318" s="1"/>
      <c r="G318" s="1"/>
      <c r="H318" s="1"/>
      <c r="I318" s="1"/>
      <c r="J318" s="1"/>
    </row>
    <row r="319" ht="14.25" customHeight="1">
      <c r="A319" s="52"/>
      <c r="B319" s="53"/>
      <c r="C319" s="53"/>
      <c r="D319" s="1"/>
      <c r="E319" s="1"/>
      <c r="F319" s="1"/>
      <c r="G319" s="1"/>
      <c r="H319" s="1"/>
      <c r="I319" s="1"/>
      <c r="J319" s="1"/>
    </row>
    <row r="320" ht="14.25" customHeight="1">
      <c r="A320" s="52"/>
      <c r="B320" s="53"/>
      <c r="C320" s="53"/>
      <c r="D320" s="1"/>
      <c r="E320" s="1"/>
      <c r="F320" s="1"/>
      <c r="G320" s="1"/>
      <c r="H320" s="1"/>
      <c r="I320" s="1"/>
      <c r="J320" s="1"/>
    </row>
    <row r="321" ht="14.25" customHeight="1">
      <c r="A321" s="52"/>
      <c r="B321" s="53"/>
      <c r="C321" s="53"/>
      <c r="D321" s="1"/>
      <c r="E321" s="1"/>
      <c r="F321" s="1"/>
      <c r="G321" s="1"/>
      <c r="H321" s="1"/>
      <c r="I321" s="1"/>
      <c r="J321" s="1"/>
    </row>
    <row r="322" ht="14.25" customHeight="1">
      <c r="A322" s="52"/>
      <c r="B322" s="53"/>
      <c r="C322" s="53"/>
      <c r="D322" s="1"/>
      <c r="E322" s="1"/>
      <c r="F322" s="1"/>
      <c r="G322" s="1"/>
      <c r="H322" s="1"/>
      <c r="I322" s="1"/>
      <c r="J322" s="1"/>
    </row>
    <row r="323" ht="14.25" customHeight="1">
      <c r="A323" s="52"/>
      <c r="B323" s="53"/>
      <c r="C323" s="53"/>
      <c r="D323" s="1"/>
      <c r="E323" s="1"/>
      <c r="F323" s="1"/>
      <c r="G323" s="1"/>
      <c r="H323" s="1"/>
      <c r="I323" s="1"/>
      <c r="J323" s="1"/>
    </row>
    <row r="324" ht="14.25" customHeight="1">
      <c r="A324" s="52"/>
      <c r="B324" s="53"/>
      <c r="C324" s="53"/>
      <c r="D324" s="1"/>
      <c r="E324" s="1"/>
      <c r="F324" s="1"/>
      <c r="G324" s="1"/>
      <c r="H324" s="1"/>
      <c r="I324" s="1"/>
      <c r="J324" s="1"/>
    </row>
    <row r="325" ht="14.25" customHeight="1">
      <c r="A325" s="52"/>
      <c r="B325" s="53"/>
      <c r="C325" s="53"/>
      <c r="D325" s="1"/>
      <c r="E325" s="1"/>
      <c r="F325" s="1"/>
      <c r="G325" s="1"/>
      <c r="H325" s="1"/>
      <c r="I325" s="1"/>
      <c r="J325" s="1"/>
    </row>
    <row r="326" ht="14.25" customHeight="1">
      <c r="A326" s="52"/>
      <c r="B326" s="53"/>
      <c r="C326" s="53"/>
      <c r="D326" s="1"/>
      <c r="E326" s="1"/>
      <c r="F326" s="1"/>
      <c r="G326" s="1"/>
      <c r="H326" s="1"/>
      <c r="I326" s="1"/>
      <c r="J326" s="1"/>
    </row>
    <row r="327" ht="14.25" customHeight="1">
      <c r="A327" s="52"/>
      <c r="B327" s="53"/>
      <c r="C327" s="53"/>
      <c r="D327" s="1"/>
      <c r="E327" s="1"/>
      <c r="F327" s="1"/>
      <c r="G327" s="1"/>
      <c r="H327" s="1"/>
      <c r="I327" s="1"/>
      <c r="J327" s="1"/>
    </row>
    <row r="328" ht="14.25" customHeight="1">
      <c r="A328" s="52"/>
      <c r="B328" s="53"/>
      <c r="C328" s="53"/>
      <c r="D328" s="1"/>
      <c r="E328" s="1"/>
      <c r="F328" s="1"/>
      <c r="G328" s="1"/>
      <c r="H328" s="1"/>
      <c r="I328" s="1"/>
      <c r="J328" s="1"/>
    </row>
    <row r="329" ht="14.25" customHeight="1">
      <c r="A329" s="52"/>
      <c r="B329" s="53"/>
      <c r="C329" s="53"/>
      <c r="D329" s="1"/>
      <c r="E329" s="1"/>
      <c r="F329" s="1"/>
      <c r="G329" s="1"/>
      <c r="H329" s="1"/>
      <c r="I329" s="1"/>
      <c r="J329" s="1"/>
    </row>
    <row r="330" ht="14.25" customHeight="1">
      <c r="A330" s="52"/>
      <c r="B330" s="53"/>
      <c r="C330" s="53"/>
      <c r="D330" s="1"/>
      <c r="E330" s="1"/>
      <c r="F330" s="1"/>
      <c r="G330" s="1"/>
      <c r="H330" s="1"/>
      <c r="I330" s="1"/>
      <c r="J330" s="1"/>
    </row>
    <row r="331" ht="14.25" customHeight="1">
      <c r="A331" s="52"/>
      <c r="B331" s="53"/>
      <c r="C331" s="53"/>
      <c r="D331" s="1"/>
      <c r="E331" s="1"/>
      <c r="F331" s="1"/>
      <c r="G331" s="1"/>
      <c r="H331" s="1"/>
      <c r="I331" s="1"/>
      <c r="J331" s="1"/>
    </row>
    <row r="332" ht="14.25" customHeight="1">
      <c r="A332" s="52"/>
      <c r="B332" s="53"/>
      <c r="C332" s="53"/>
      <c r="D332" s="1"/>
      <c r="E332" s="1"/>
      <c r="F332" s="1"/>
      <c r="G332" s="1"/>
      <c r="H332" s="1"/>
      <c r="I332" s="1"/>
      <c r="J332" s="1"/>
    </row>
    <row r="333" ht="14.25" customHeight="1">
      <c r="A333" s="52"/>
      <c r="B333" s="53"/>
      <c r="C333" s="53"/>
      <c r="D333" s="1"/>
      <c r="E333" s="1"/>
      <c r="F333" s="1"/>
      <c r="G333" s="1"/>
      <c r="H333" s="1"/>
      <c r="I333" s="1"/>
      <c r="J333" s="1"/>
    </row>
    <row r="334" ht="14.25" customHeight="1">
      <c r="A334" s="52"/>
      <c r="B334" s="53"/>
      <c r="C334" s="53"/>
      <c r="D334" s="1"/>
      <c r="E334" s="1"/>
      <c r="F334" s="1"/>
      <c r="G334" s="1"/>
      <c r="H334" s="1"/>
      <c r="I334" s="1"/>
      <c r="J334" s="1"/>
    </row>
    <row r="335" ht="14.25" customHeight="1">
      <c r="A335" s="52"/>
      <c r="B335" s="53"/>
      <c r="C335" s="53"/>
      <c r="D335" s="1"/>
      <c r="E335" s="1"/>
      <c r="F335" s="1"/>
      <c r="G335" s="1"/>
      <c r="H335" s="1"/>
      <c r="I335" s="1"/>
      <c r="J335" s="1"/>
    </row>
    <row r="336" ht="14.25" customHeight="1">
      <c r="A336" s="52"/>
      <c r="B336" s="53"/>
      <c r="C336" s="53"/>
      <c r="D336" s="1"/>
      <c r="E336" s="1"/>
      <c r="F336" s="1"/>
      <c r="G336" s="1"/>
      <c r="H336" s="1"/>
      <c r="I336" s="1"/>
      <c r="J336" s="1"/>
    </row>
    <row r="337" ht="14.25" customHeight="1">
      <c r="A337" s="52"/>
      <c r="B337" s="53"/>
      <c r="C337" s="53"/>
      <c r="D337" s="1"/>
      <c r="E337" s="1"/>
      <c r="F337" s="1"/>
      <c r="G337" s="1"/>
      <c r="H337" s="1"/>
      <c r="I337" s="1"/>
      <c r="J337" s="1"/>
    </row>
    <row r="338" ht="14.25" customHeight="1">
      <c r="A338" s="52"/>
      <c r="B338" s="53"/>
      <c r="C338" s="53"/>
      <c r="D338" s="1"/>
      <c r="E338" s="1"/>
      <c r="F338" s="1"/>
      <c r="G338" s="1"/>
      <c r="H338" s="1"/>
      <c r="I338" s="1"/>
      <c r="J338" s="1"/>
    </row>
    <row r="339" ht="14.25" customHeight="1">
      <c r="A339" s="52"/>
      <c r="B339" s="53"/>
      <c r="C339" s="53"/>
      <c r="D339" s="1"/>
      <c r="E339" s="1"/>
      <c r="F339" s="1"/>
      <c r="G339" s="1"/>
      <c r="H339" s="1"/>
      <c r="I339" s="1"/>
      <c r="J339" s="1"/>
    </row>
    <row r="340" ht="14.25" customHeight="1">
      <c r="A340" s="52"/>
      <c r="B340" s="53"/>
      <c r="C340" s="53"/>
      <c r="D340" s="1"/>
      <c r="E340" s="1"/>
      <c r="F340" s="1"/>
      <c r="G340" s="1"/>
      <c r="H340" s="1"/>
      <c r="I340" s="1"/>
      <c r="J340" s="1"/>
    </row>
    <row r="341" ht="14.25" customHeight="1">
      <c r="A341" s="52"/>
      <c r="B341" s="53"/>
      <c r="C341" s="53"/>
      <c r="D341" s="1"/>
      <c r="E341" s="1"/>
      <c r="F341" s="1"/>
      <c r="G341" s="1"/>
      <c r="H341" s="1"/>
      <c r="I341" s="1"/>
      <c r="J341" s="1"/>
    </row>
    <row r="342" ht="14.25" customHeight="1">
      <c r="A342" s="52"/>
      <c r="B342" s="53"/>
      <c r="C342" s="53"/>
      <c r="D342" s="1"/>
      <c r="E342" s="1"/>
      <c r="F342" s="1"/>
      <c r="G342" s="1"/>
      <c r="H342" s="1"/>
      <c r="I342" s="1"/>
      <c r="J342" s="1"/>
    </row>
    <row r="343" ht="14.25" customHeight="1">
      <c r="A343" s="52"/>
      <c r="B343" s="53"/>
      <c r="C343" s="53"/>
      <c r="D343" s="1"/>
      <c r="E343" s="1"/>
      <c r="F343" s="1"/>
      <c r="G343" s="1"/>
      <c r="H343" s="1"/>
      <c r="I343" s="1"/>
      <c r="J343" s="1"/>
    </row>
    <row r="344" ht="14.25" customHeight="1">
      <c r="A344" s="52"/>
      <c r="B344" s="53"/>
      <c r="C344" s="53"/>
      <c r="D344" s="1"/>
      <c r="E344" s="1"/>
      <c r="F344" s="1"/>
      <c r="G344" s="1"/>
      <c r="H344" s="1"/>
      <c r="I344" s="1"/>
      <c r="J344" s="1"/>
    </row>
    <row r="345" ht="14.25" customHeight="1">
      <c r="A345" s="52"/>
      <c r="B345" s="53"/>
      <c r="C345" s="53"/>
      <c r="D345" s="1"/>
      <c r="E345" s="1"/>
      <c r="F345" s="1"/>
      <c r="G345" s="1"/>
      <c r="H345" s="1"/>
      <c r="I345" s="1"/>
      <c r="J345" s="1"/>
    </row>
    <row r="346" ht="14.25" customHeight="1">
      <c r="A346" s="52"/>
      <c r="B346" s="53"/>
      <c r="C346" s="53"/>
      <c r="D346" s="1"/>
      <c r="E346" s="1"/>
      <c r="F346" s="1"/>
      <c r="G346" s="1"/>
      <c r="H346" s="1"/>
      <c r="I346" s="1"/>
      <c r="J346" s="1"/>
    </row>
    <row r="347" ht="14.25" customHeight="1">
      <c r="A347" s="52"/>
      <c r="B347" s="53"/>
      <c r="C347" s="53"/>
      <c r="D347" s="1"/>
      <c r="E347" s="1"/>
      <c r="F347" s="1"/>
      <c r="G347" s="1"/>
      <c r="H347" s="1"/>
      <c r="I347" s="1"/>
      <c r="J347" s="1"/>
    </row>
    <row r="348" ht="14.25" customHeight="1">
      <c r="A348" s="52"/>
      <c r="B348" s="53"/>
      <c r="C348" s="53"/>
      <c r="D348" s="1"/>
      <c r="E348" s="1"/>
      <c r="F348" s="1"/>
      <c r="G348" s="1"/>
      <c r="H348" s="1"/>
      <c r="I348" s="1"/>
      <c r="J348" s="1"/>
    </row>
    <row r="349" ht="14.25" customHeight="1">
      <c r="A349" s="52"/>
      <c r="B349" s="53"/>
      <c r="C349" s="53"/>
      <c r="D349" s="1"/>
      <c r="E349" s="1"/>
      <c r="F349" s="1"/>
      <c r="G349" s="1"/>
      <c r="H349" s="1"/>
      <c r="I349" s="1"/>
      <c r="J349" s="1"/>
    </row>
    <row r="350" ht="14.25" customHeight="1">
      <c r="A350" s="52"/>
      <c r="B350" s="53"/>
      <c r="C350" s="53"/>
      <c r="D350" s="1"/>
      <c r="E350" s="1"/>
      <c r="F350" s="1"/>
      <c r="G350" s="1"/>
      <c r="H350" s="1"/>
      <c r="I350" s="1"/>
      <c r="J350" s="1"/>
    </row>
    <row r="351" ht="14.25" customHeight="1">
      <c r="A351" s="52"/>
      <c r="B351" s="53"/>
      <c r="C351" s="53"/>
      <c r="D351" s="1"/>
      <c r="E351" s="1"/>
      <c r="F351" s="1"/>
      <c r="G351" s="1"/>
      <c r="H351" s="1"/>
      <c r="I351" s="1"/>
      <c r="J351" s="1"/>
    </row>
    <row r="352" ht="14.25" customHeight="1">
      <c r="A352" s="52"/>
      <c r="B352" s="53"/>
      <c r="C352" s="53"/>
      <c r="D352" s="1"/>
      <c r="E352" s="1"/>
      <c r="F352" s="1"/>
      <c r="G352" s="1"/>
      <c r="H352" s="1"/>
      <c r="I352" s="1"/>
      <c r="J352" s="1"/>
    </row>
    <row r="353" ht="14.25" customHeight="1">
      <c r="A353" s="52"/>
      <c r="B353" s="53"/>
      <c r="C353" s="53"/>
      <c r="D353" s="1"/>
      <c r="E353" s="1"/>
      <c r="F353" s="1"/>
      <c r="G353" s="1"/>
      <c r="H353" s="1"/>
      <c r="I353" s="1"/>
      <c r="J353" s="1"/>
    </row>
    <row r="354" ht="14.25" customHeight="1">
      <c r="A354" s="52"/>
      <c r="B354" s="53"/>
      <c r="C354" s="53"/>
      <c r="D354" s="1"/>
      <c r="E354" s="1"/>
      <c r="F354" s="1"/>
      <c r="G354" s="1"/>
      <c r="H354" s="1"/>
      <c r="I354" s="1"/>
      <c r="J354" s="1"/>
    </row>
    <row r="355" ht="14.25" customHeight="1">
      <c r="A355" s="52"/>
      <c r="B355" s="53"/>
      <c r="C355" s="53"/>
      <c r="D355" s="1"/>
      <c r="E355" s="1"/>
      <c r="F355" s="1"/>
      <c r="G355" s="1"/>
      <c r="H355" s="1"/>
      <c r="I355" s="1"/>
      <c r="J355" s="1"/>
    </row>
    <row r="356" ht="14.25" customHeight="1">
      <c r="A356" s="52"/>
      <c r="B356" s="53"/>
      <c r="C356" s="53"/>
      <c r="D356" s="1"/>
      <c r="E356" s="1"/>
      <c r="F356" s="1"/>
      <c r="G356" s="1"/>
      <c r="H356" s="1"/>
      <c r="I356" s="1"/>
      <c r="J356" s="1"/>
    </row>
    <row r="357" ht="14.25" customHeight="1">
      <c r="A357" s="52"/>
      <c r="B357" s="53"/>
      <c r="C357" s="53"/>
      <c r="D357" s="1"/>
      <c r="E357" s="1"/>
      <c r="F357" s="1"/>
      <c r="G357" s="1"/>
      <c r="H357" s="1"/>
      <c r="I357" s="1"/>
      <c r="J357" s="1"/>
    </row>
    <row r="358" ht="14.25" customHeight="1">
      <c r="A358" s="52"/>
      <c r="B358" s="53"/>
      <c r="C358" s="53"/>
      <c r="D358" s="1"/>
      <c r="E358" s="1"/>
      <c r="F358" s="1"/>
      <c r="G358" s="1"/>
      <c r="H358" s="1"/>
      <c r="I358" s="1"/>
      <c r="J358" s="1"/>
    </row>
    <row r="359" ht="14.25" customHeight="1">
      <c r="A359" s="52"/>
      <c r="B359" s="53"/>
      <c r="C359" s="53"/>
      <c r="D359" s="1"/>
      <c r="E359" s="1"/>
      <c r="F359" s="1"/>
      <c r="G359" s="1"/>
      <c r="H359" s="1"/>
      <c r="I359" s="1"/>
      <c r="J359" s="1"/>
    </row>
    <row r="360" ht="14.25" customHeight="1">
      <c r="A360" s="52"/>
      <c r="B360" s="53"/>
      <c r="C360" s="53"/>
      <c r="D360" s="1"/>
      <c r="E360" s="1"/>
      <c r="F360" s="1"/>
      <c r="G360" s="1"/>
      <c r="H360" s="1"/>
      <c r="I360" s="1"/>
      <c r="J360" s="1"/>
    </row>
    <row r="361" ht="14.25" customHeight="1">
      <c r="A361" s="52"/>
      <c r="B361" s="53"/>
      <c r="C361" s="53"/>
      <c r="D361" s="1"/>
      <c r="E361" s="1"/>
      <c r="F361" s="1"/>
      <c r="G361" s="1"/>
      <c r="H361" s="1"/>
      <c r="I361" s="1"/>
      <c r="J361" s="1"/>
    </row>
    <row r="362" ht="14.25" customHeight="1">
      <c r="A362" s="52"/>
      <c r="B362" s="53"/>
      <c r="C362" s="53"/>
      <c r="D362" s="1"/>
      <c r="E362" s="1"/>
      <c r="F362" s="1"/>
      <c r="G362" s="1"/>
      <c r="H362" s="1"/>
      <c r="I362" s="1"/>
      <c r="J362" s="1"/>
    </row>
    <row r="363" ht="14.25" customHeight="1">
      <c r="A363" s="52"/>
      <c r="B363" s="53"/>
      <c r="C363" s="53"/>
      <c r="D363" s="1"/>
      <c r="E363" s="1"/>
      <c r="F363" s="1"/>
      <c r="G363" s="1"/>
      <c r="H363" s="1"/>
      <c r="I363" s="1"/>
      <c r="J363" s="1"/>
    </row>
    <row r="364" ht="14.25" customHeight="1">
      <c r="A364" s="52"/>
      <c r="B364" s="53"/>
      <c r="C364" s="53"/>
      <c r="D364" s="1"/>
      <c r="E364" s="1"/>
      <c r="F364" s="1"/>
      <c r="G364" s="1"/>
      <c r="H364" s="1"/>
      <c r="I364" s="1"/>
      <c r="J364" s="1"/>
    </row>
    <row r="365" ht="14.25" customHeight="1">
      <c r="A365" s="52"/>
      <c r="B365" s="53"/>
      <c r="C365" s="53"/>
      <c r="D365" s="1"/>
      <c r="E365" s="1"/>
      <c r="F365" s="1"/>
      <c r="G365" s="1"/>
      <c r="H365" s="1"/>
      <c r="I365" s="1"/>
      <c r="J365" s="1"/>
    </row>
    <row r="366" ht="14.25" customHeight="1">
      <c r="A366" s="52"/>
      <c r="B366" s="53"/>
      <c r="C366" s="53"/>
      <c r="D366" s="1"/>
      <c r="E366" s="1"/>
      <c r="F366" s="1"/>
      <c r="G366" s="1"/>
      <c r="H366" s="1"/>
      <c r="I366" s="1"/>
      <c r="J366" s="1"/>
    </row>
    <row r="367" ht="14.25" customHeight="1">
      <c r="A367" s="52"/>
      <c r="B367" s="53"/>
      <c r="C367" s="53"/>
      <c r="D367" s="1"/>
      <c r="E367" s="1"/>
      <c r="F367" s="1"/>
      <c r="G367" s="1"/>
      <c r="H367" s="1"/>
      <c r="I367" s="1"/>
      <c r="J367" s="1"/>
    </row>
    <row r="368" ht="14.25" customHeight="1">
      <c r="A368" s="52"/>
      <c r="B368" s="53"/>
      <c r="C368" s="53"/>
      <c r="D368" s="1"/>
      <c r="E368" s="1"/>
      <c r="F368" s="1"/>
      <c r="G368" s="1"/>
      <c r="H368" s="1"/>
      <c r="I368" s="1"/>
      <c r="J368" s="1"/>
    </row>
    <row r="369" ht="14.25" customHeight="1">
      <c r="A369" s="52"/>
      <c r="B369" s="53"/>
      <c r="C369" s="53"/>
      <c r="D369" s="1"/>
      <c r="E369" s="1"/>
      <c r="F369" s="1"/>
      <c r="G369" s="1"/>
      <c r="H369" s="1"/>
      <c r="I369" s="1"/>
      <c r="J369" s="1"/>
    </row>
    <row r="370" ht="14.25" customHeight="1">
      <c r="A370" s="52"/>
      <c r="B370" s="53"/>
      <c r="C370" s="53"/>
      <c r="D370" s="1"/>
      <c r="E370" s="1"/>
      <c r="F370" s="1"/>
      <c r="G370" s="1"/>
      <c r="H370" s="1"/>
      <c r="I370" s="1"/>
      <c r="J370" s="1"/>
    </row>
    <row r="371" ht="14.25" customHeight="1">
      <c r="A371" s="52"/>
      <c r="B371" s="53"/>
      <c r="C371" s="53"/>
      <c r="D371" s="1"/>
      <c r="E371" s="1"/>
      <c r="F371" s="1"/>
      <c r="G371" s="1"/>
      <c r="H371" s="1"/>
      <c r="I371" s="1"/>
      <c r="J371" s="1"/>
    </row>
    <row r="372" ht="14.25" customHeight="1">
      <c r="A372" s="52"/>
      <c r="B372" s="53"/>
      <c r="C372" s="53"/>
      <c r="D372" s="1"/>
      <c r="E372" s="1"/>
      <c r="F372" s="1"/>
      <c r="G372" s="1"/>
      <c r="H372" s="1"/>
      <c r="I372" s="1"/>
      <c r="J372" s="1"/>
    </row>
    <row r="373" ht="14.25" customHeight="1">
      <c r="A373" s="52"/>
      <c r="B373" s="53"/>
      <c r="C373" s="53"/>
      <c r="D373" s="1"/>
      <c r="E373" s="1"/>
      <c r="F373" s="1"/>
      <c r="G373" s="1"/>
      <c r="H373" s="1"/>
      <c r="I373" s="1"/>
      <c r="J373" s="1"/>
    </row>
    <row r="374" ht="14.25" customHeight="1">
      <c r="A374" s="52"/>
      <c r="B374" s="53"/>
      <c r="C374" s="53"/>
      <c r="D374" s="1"/>
      <c r="E374" s="1"/>
      <c r="F374" s="1"/>
      <c r="G374" s="1"/>
      <c r="H374" s="1"/>
      <c r="I374" s="1"/>
      <c r="J374" s="1"/>
    </row>
    <row r="375" ht="14.25" customHeight="1">
      <c r="A375" s="52"/>
      <c r="B375" s="53"/>
      <c r="C375" s="53"/>
      <c r="D375" s="1"/>
      <c r="E375" s="1"/>
      <c r="F375" s="1"/>
      <c r="G375" s="1"/>
      <c r="H375" s="1"/>
      <c r="I375" s="1"/>
      <c r="J375" s="1"/>
    </row>
    <row r="376" ht="14.25" customHeight="1">
      <c r="A376" s="52"/>
      <c r="B376" s="53"/>
      <c r="C376" s="53"/>
      <c r="D376" s="1"/>
      <c r="E376" s="1"/>
      <c r="F376" s="1"/>
      <c r="G376" s="1"/>
      <c r="H376" s="1"/>
      <c r="I376" s="1"/>
      <c r="J376" s="1"/>
    </row>
    <row r="377" ht="14.25" customHeight="1">
      <c r="A377" s="52"/>
      <c r="B377" s="53"/>
      <c r="C377" s="53"/>
      <c r="D377" s="1"/>
      <c r="E377" s="1"/>
      <c r="F377" s="1"/>
      <c r="G377" s="1"/>
      <c r="H377" s="1"/>
      <c r="I377" s="1"/>
      <c r="J377" s="1"/>
    </row>
    <row r="378" ht="14.25" customHeight="1">
      <c r="A378" s="52"/>
      <c r="B378" s="53"/>
      <c r="C378" s="53"/>
      <c r="D378" s="1"/>
      <c r="E378" s="1"/>
      <c r="F378" s="1"/>
      <c r="G378" s="1"/>
      <c r="H378" s="1"/>
      <c r="I378" s="1"/>
      <c r="J378" s="1"/>
    </row>
    <row r="379" ht="14.25" customHeight="1">
      <c r="A379" s="52"/>
      <c r="B379" s="53"/>
      <c r="C379" s="53"/>
      <c r="D379" s="1"/>
      <c r="E379" s="1"/>
      <c r="F379" s="1"/>
      <c r="G379" s="1"/>
      <c r="H379" s="1"/>
      <c r="I379" s="1"/>
      <c r="J379" s="1"/>
    </row>
    <row r="380" ht="14.25" customHeight="1">
      <c r="A380" s="52"/>
      <c r="B380" s="53"/>
      <c r="C380" s="53"/>
      <c r="D380" s="1"/>
      <c r="E380" s="1"/>
      <c r="F380" s="1"/>
      <c r="G380" s="1"/>
      <c r="H380" s="1"/>
      <c r="I380" s="1"/>
      <c r="J380" s="1"/>
    </row>
    <row r="381" ht="14.25" customHeight="1">
      <c r="A381" s="52"/>
      <c r="B381" s="53"/>
      <c r="C381" s="53"/>
      <c r="D381" s="1"/>
      <c r="E381" s="1"/>
      <c r="F381" s="1"/>
      <c r="G381" s="1"/>
      <c r="H381" s="1"/>
      <c r="I381" s="1"/>
      <c r="J381" s="1"/>
    </row>
    <row r="382" ht="14.25" customHeight="1">
      <c r="A382" s="52"/>
      <c r="B382" s="53"/>
      <c r="C382" s="53"/>
      <c r="D382" s="1"/>
      <c r="E382" s="1"/>
      <c r="F382" s="1"/>
      <c r="G382" s="1"/>
      <c r="H382" s="1"/>
      <c r="I382" s="1"/>
      <c r="J382" s="1"/>
    </row>
    <row r="383" ht="14.25" customHeight="1">
      <c r="A383" s="52"/>
      <c r="B383" s="53"/>
      <c r="C383" s="53"/>
      <c r="D383" s="1"/>
      <c r="E383" s="1"/>
      <c r="F383" s="1"/>
      <c r="G383" s="1"/>
      <c r="H383" s="1"/>
      <c r="I383" s="1"/>
      <c r="J383" s="1"/>
    </row>
    <row r="384" ht="14.25" customHeight="1">
      <c r="A384" s="52"/>
      <c r="B384" s="53"/>
      <c r="C384" s="53"/>
      <c r="D384" s="1"/>
      <c r="E384" s="1"/>
      <c r="F384" s="1"/>
      <c r="G384" s="1"/>
      <c r="H384" s="1"/>
      <c r="I384" s="1"/>
      <c r="J384" s="1"/>
    </row>
    <row r="385" ht="14.25" customHeight="1">
      <c r="A385" s="52"/>
      <c r="B385" s="53"/>
      <c r="C385" s="53"/>
      <c r="D385" s="1"/>
      <c r="E385" s="1"/>
      <c r="F385" s="1"/>
      <c r="G385" s="1"/>
      <c r="H385" s="1"/>
      <c r="I385" s="1"/>
      <c r="J385" s="1"/>
    </row>
    <row r="386" ht="14.25" customHeight="1">
      <c r="A386" s="52"/>
      <c r="B386" s="53"/>
      <c r="C386" s="53"/>
      <c r="D386" s="1"/>
      <c r="E386" s="1"/>
      <c r="F386" s="1"/>
      <c r="G386" s="1"/>
      <c r="H386" s="1"/>
      <c r="I386" s="1"/>
      <c r="J386" s="1"/>
    </row>
    <row r="387" ht="14.25" customHeight="1">
      <c r="A387" s="52"/>
      <c r="B387" s="53"/>
      <c r="C387" s="53"/>
      <c r="D387" s="1"/>
      <c r="E387" s="1"/>
      <c r="F387" s="1"/>
      <c r="G387" s="1"/>
      <c r="H387" s="1"/>
      <c r="I387" s="1"/>
      <c r="J387" s="1"/>
    </row>
    <row r="388" ht="14.25" customHeight="1">
      <c r="A388" s="52"/>
      <c r="B388" s="53"/>
      <c r="C388" s="53"/>
      <c r="D388" s="1"/>
      <c r="E388" s="1"/>
      <c r="F388" s="1"/>
      <c r="G388" s="1"/>
      <c r="H388" s="1"/>
      <c r="I388" s="1"/>
      <c r="J388" s="1"/>
    </row>
    <row r="389" ht="14.25" customHeight="1">
      <c r="A389" s="52"/>
      <c r="B389" s="53"/>
      <c r="C389" s="53"/>
      <c r="D389" s="1"/>
      <c r="E389" s="1"/>
      <c r="F389" s="1"/>
      <c r="G389" s="1"/>
      <c r="H389" s="1"/>
      <c r="I389" s="1"/>
      <c r="J389" s="1"/>
    </row>
    <row r="390" ht="14.25" customHeight="1">
      <c r="A390" s="52"/>
      <c r="B390" s="53"/>
      <c r="C390" s="53"/>
      <c r="D390" s="1"/>
      <c r="E390" s="1"/>
      <c r="F390" s="1"/>
      <c r="G390" s="1"/>
      <c r="H390" s="1"/>
      <c r="I390" s="1"/>
      <c r="J390" s="1"/>
    </row>
    <row r="391" ht="14.25" customHeight="1">
      <c r="A391" s="52"/>
      <c r="B391" s="53"/>
      <c r="C391" s="53"/>
      <c r="D391" s="1"/>
      <c r="E391" s="1"/>
      <c r="F391" s="1"/>
      <c r="G391" s="1"/>
      <c r="H391" s="1"/>
      <c r="I391" s="1"/>
      <c r="J391" s="1"/>
    </row>
    <row r="392" ht="14.25" customHeight="1">
      <c r="A392" s="52"/>
      <c r="B392" s="53"/>
      <c r="C392" s="53"/>
      <c r="D392" s="1"/>
      <c r="E392" s="1"/>
      <c r="F392" s="1"/>
      <c r="G392" s="1"/>
      <c r="H392" s="1"/>
      <c r="I392" s="1"/>
      <c r="J392" s="1"/>
    </row>
    <row r="393" ht="14.25" customHeight="1">
      <c r="A393" s="52"/>
      <c r="B393" s="53"/>
      <c r="C393" s="53"/>
      <c r="D393" s="1"/>
      <c r="E393" s="1"/>
      <c r="F393" s="1"/>
      <c r="G393" s="1"/>
      <c r="H393" s="1"/>
      <c r="I393" s="1"/>
      <c r="J393" s="1"/>
    </row>
    <row r="394" ht="14.25" customHeight="1">
      <c r="A394" s="52"/>
      <c r="B394" s="53"/>
      <c r="C394" s="53"/>
      <c r="D394" s="1"/>
      <c r="E394" s="1"/>
      <c r="F394" s="1"/>
      <c r="G394" s="1"/>
      <c r="H394" s="1"/>
      <c r="I394" s="1"/>
      <c r="J394" s="1"/>
    </row>
    <row r="395" ht="14.25" customHeight="1">
      <c r="A395" s="52"/>
      <c r="B395" s="53"/>
      <c r="C395" s="53"/>
      <c r="D395" s="1"/>
      <c r="E395" s="1"/>
      <c r="F395" s="1"/>
      <c r="G395" s="1"/>
      <c r="H395" s="1"/>
      <c r="I395" s="1"/>
      <c r="J395" s="1"/>
    </row>
    <row r="396" ht="14.25" customHeight="1">
      <c r="A396" s="52"/>
      <c r="B396" s="53"/>
      <c r="C396" s="53"/>
      <c r="D396" s="1"/>
      <c r="E396" s="1"/>
      <c r="F396" s="1"/>
      <c r="G396" s="1"/>
      <c r="H396" s="1"/>
      <c r="I396" s="1"/>
      <c r="J396" s="1"/>
    </row>
    <row r="397" ht="14.25" customHeight="1">
      <c r="A397" s="52"/>
      <c r="B397" s="53"/>
      <c r="C397" s="53"/>
      <c r="D397" s="1"/>
      <c r="E397" s="1"/>
      <c r="F397" s="1"/>
      <c r="G397" s="1"/>
      <c r="H397" s="1"/>
      <c r="I397" s="1"/>
      <c r="J397" s="1"/>
    </row>
    <row r="398" ht="14.25" customHeight="1">
      <c r="A398" s="52"/>
      <c r="B398" s="53"/>
      <c r="C398" s="53"/>
      <c r="D398" s="1"/>
      <c r="E398" s="1"/>
      <c r="F398" s="1"/>
      <c r="G398" s="1"/>
      <c r="H398" s="1"/>
      <c r="I398" s="1"/>
      <c r="J398" s="1"/>
    </row>
    <row r="399" ht="14.25" customHeight="1">
      <c r="A399" s="52"/>
      <c r="B399" s="53"/>
      <c r="C399" s="53"/>
      <c r="D399" s="1"/>
      <c r="E399" s="1"/>
      <c r="F399" s="1"/>
      <c r="G399" s="1"/>
      <c r="H399" s="1"/>
      <c r="I399" s="1"/>
      <c r="J399" s="1"/>
    </row>
    <row r="400" ht="14.25" customHeight="1">
      <c r="A400" s="52"/>
      <c r="B400" s="53"/>
      <c r="C400" s="53"/>
      <c r="D400" s="1"/>
      <c r="E400" s="1"/>
      <c r="F400" s="1"/>
      <c r="G400" s="1"/>
      <c r="H400" s="1"/>
      <c r="I400" s="1"/>
      <c r="J400" s="1"/>
    </row>
    <row r="401" ht="14.25" customHeight="1">
      <c r="A401" s="52"/>
      <c r="B401" s="53"/>
      <c r="C401" s="53"/>
      <c r="D401" s="1"/>
      <c r="E401" s="1"/>
      <c r="F401" s="1"/>
      <c r="G401" s="1"/>
      <c r="H401" s="1"/>
      <c r="I401" s="1"/>
      <c r="J401" s="1"/>
    </row>
    <row r="402" ht="14.25" customHeight="1">
      <c r="A402" s="52"/>
      <c r="B402" s="53"/>
      <c r="C402" s="53"/>
      <c r="D402" s="1"/>
      <c r="E402" s="1"/>
      <c r="F402" s="1"/>
      <c r="G402" s="1"/>
      <c r="H402" s="1"/>
      <c r="I402" s="1"/>
      <c r="J402" s="1"/>
    </row>
    <row r="403" ht="14.25" customHeight="1">
      <c r="A403" s="52"/>
      <c r="B403" s="53"/>
      <c r="C403" s="53"/>
      <c r="D403" s="1"/>
      <c r="E403" s="1"/>
      <c r="F403" s="1"/>
      <c r="G403" s="1"/>
      <c r="H403" s="1"/>
      <c r="I403" s="1"/>
      <c r="J403" s="1"/>
    </row>
    <row r="404" ht="14.25" customHeight="1">
      <c r="A404" s="52"/>
      <c r="B404" s="53"/>
      <c r="C404" s="53"/>
      <c r="D404" s="1"/>
      <c r="E404" s="1"/>
      <c r="F404" s="1"/>
      <c r="G404" s="1"/>
      <c r="H404" s="1"/>
      <c r="I404" s="1"/>
      <c r="J404" s="1"/>
    </row>
    <row r="405" ht="14.25" customHeight="1">
      <c r="A405" s="52"/>
      <c r="B405" s="53"/>
      <c r="C405" s="53"/>
      <c r="D405" s="1"/>
      <c r="E405" s="1"/>
      <c r="F405" s="1"/>
      <c r="G405" s="1"/>
      <c r="H405" s="1"/>
      <c r="I405" s="1"/>
      <c r="J405" s="1"/>
    </row>
    <row r="406" ht="14.25" customHeight="1">
      <c r="A406" s="52"/>
      <c r="B406" s="53"/>
      <c r="C406" s="53"/>
      <c r="D406" s="1"/>
      <c r="E406" s="1"/>
      <c r="F406" s="1"/>
      <c r="G406" s="1"/>
      <c r="H406" s="1"/>
      <c r="I406" s="1"/>
      <c r="J406" s="1"/>
    </row>
    <row r="407" ht="14.25" customHeight="1">
      <c r="A407" s="52"/>
      <c r="B407" s="53"/>
      <c r="C407" s="53"/>
      <c r="D407" s="1"/>
      <c r="E407" s="1"/>
      <c r="F407" s="1"/>
      <c r="G407" s="1"/>
      <c r="H407" s="1"/>
      <c r="I407" s="1"/>
      <c r="J407" s="1"/>
    </row>
    <row r="408" ht="14.25" customHeight="1">
      <c r="A408" s="52"/>
      <c r="B408" s="53"/>
      <c r="C408" s="53"/>
      <c r="D408" s="1"/>
      <c r="E408" s="1"/>
      <c r="F408" s="1"/>
      <c r="G408" s="1"/>
      <c r="H408" s="1"/>
      <c r="I408" s="1"/>
      <c r="J408" s="1"/>
    </row>
    <row r="409" ht="14.25" customHeight="1">
      <c r="A409" s="52"/>
      <c r="B409" s="53"/>
      <c r="C409" s="53"/>
      <c r="D409" s="1"/>
      <c r="E409" s="1"/>
      <c r="F409" s="1"/>
      <c r="G409" s="1"/>
      <c r="H409" s="1"/>
      <c r="I409" s="1"/>
      <c r="J409" s="1"/>
    </row>
    <row r="410" ht="14.25" customHeight="1">
      <c r="A410" s="52"/>
      <c r="B410" s="53"/>
      <c r="C410" s="53"/>
      <c r="D410" s="1"/>
      <c r="E410" s="1"/>
      <c r="F410" s="1"/>
      <c r="G410" s="1"/>
      <c r="H410" s="1"/>
      <c r="I410" s="1"/>
      <c r="J410" s="1"/>
    </row>
    <row r="411" ht="14.25" customHeight="1">
      <c r="A411" s="52"/>
      <c r="B411" s="53"/>
      <c r="C411" s="53"/>
      <c r="D411" s="1"/>
      <c r="E411" s="1"/>
      <c r="F411" s="1"/>
      <c r="G411" s="1"/>
      <c r="H411" s="1"/>
      <c r="I411" s="1"/>
      <c r="J411" s="1"/>
    </row>
    <row r="412" ht="14.25" customHeight="1">
      <c r="A412" s="52"/>
      <c r="B412" s="53"/>
      <c r="C412" s="53"/>
      <c r="D412" s="1"/>
      <c r="E412" s="1"/>
      <c r="F412" s="1"/>
      <c r="G412" s="1"/>
      <c r="H412" s="1"/>
      <c r="I412" s="1"/>
      <c r="J412" s="1"/>
    </row>
    <row r="413" ht="14.25" customHeight="1">
      <c r="A413" s="52"/>
      <c r="B413" s="53"/>
      <c r="C413" s="53"/>
      <c r="D413" s="1"/>
      <c r="E413" s="1"/>
      <c r="F413" s="1"/>
      <c r="G413" s="1"/>
      <c r="H413" s="1"/>
      <c r="I413" s="1"/>
      <c r="J413" s="1"/>
    </row>
    <row r="414" ht="14.25" customHeight="1">
      <c r="A414" s="52"/>
      <c r="B414" s="53"/>
      <c r="C414" s="53"/>
      <c r="D414" s="1"/>
      <c r="E414" s="1"/>
      <c r="F414" s="1"/>
      <c r="G414" s="1"/>
      <c r="H414" s="1"/>
      <c r="I414" s="1"/>
      <c r="J414" s="1"/>
    </row>
    <row r="415" ht="14.25" customHeight="1">
      <c r="A415" s="52"/>
      <c r="B415" s="53"/>
      <c r="C415" s="53"/>
      <c r="D415" s="1"/>
      <c r="E415" s="1"/>
      <c r="F415" s="1"/>
      <c r="G415" s="1"/>
      <c r="H415" s="1"/>
      <c r="I415" s="1"/>
      <c r="J415" s="1"/>
    </row>
    <row r="416" ht="14.25" customHeight="1">
      <c r="A416" s="52"/>
      <c r="B416" s="53"/>
      <c r="C416" s="53"/>
      <c r="D416" s="1"/>
      <c r="E416" s="1"/>
      <c r="F416" s="1"/>
      <c r="G416" s="1"/>
      <c r="H416" s="1"/>
      <c r="I416" s="1"/>
      <c r="J416" s="1"/>
    </row>
    <row r="417" ht="14.25" customHeight="1">
      <c r="A417" s="52"/>
      <c r="B417" s="53"/>
      <c r="C417" s="53"/>
      <c r="D417" s="1"/>
      <c r="E417" s="1"/>
      <c r="F417" s="1"/>
      <c r="G417" s="1"/>
      <c r="H417" s="1"/>
      <c r="I417" s="1"/>
      <c r="J417" s="1"/>
    </row>
    <row r="418" ht="14.25" customHeight="1">
      <c r="A418" s="52"/>
      <c r="B418" s="53"/>
      <c r="C418" s="53"/>
      <c r="D418" s="1"/>
      <c r="E418" s="1"/>
      <c r="F418" s="1"/>
      <c r="G418" s="1"/>
      <c r="H418" s="1"/>
      <c r="I418" s="1"/>
      <c r="J418" s="1"/>
    </row>
    <row r="419" ht="14.25" customHeight="1">
      <c r="A419" s="52"/>
      <c r="B419" s="53"/>
      <c r="C419" s="53"/>
      <c r="D419" s="1"/>
      <c r="E419" s="1"/>
      <c r="F419" s="1"/>
      <c r="G419" s="1"/>
      <c r="H419" s="1"/>
      <c r="I419" s="1"/>
      <c r="J419" s="1"/>
    </row>
    <row r="420" ht="14.25" customHeight="1">
      <c r="A420" s="52"/>
      <c r="B420" s="53"/>
      <c r="C420" s="53"/>
      <c r="D420" s="1"/>
      <c r="E420" s="1"/>
      <c r="F420" s="1"/>
      <c r="G420" s="1"/>
      <c r="H420" s="1"/>
      <c r="I420" s="1"/>
      <c r="J420" s="1"/>
    </row>
    <row r="421" ht="14.25" customHeight="1">
      <c r="A421" s="52"/>
      <c r="B421" s="53"/>
      <c r="C421" s="53"/>
      <c r="D421" s="1"/>
      <c r="E421" s="1"/>
      <c r="F421" s="1"/>
      <c r="G421" s="1"/>
      <c r="H421" s="1"/>
      <c r="I421" s="1"/>
      <c r="J421" s="1"/>
    </row>
    <row r="422" ht="14.25" customHeight="1">
      <c r="A422" s="52"/>
      <c r="B422" s="53"/>
      <c r="C422" s="53"/>
      <c r="D422" s="1"/>
      <c r="E422" s="1"/>
      <c r="F422" s="1"/>
      <c r="G422" s="1"/>
      <c r="H422" s="1"/>
      <c r="I422" s="1"/>
      <c r="J422" s="1"/>
    </row>
    <row r="423" ht="14.25" customHeight="1">
      <c r="A423" s="52"/>
      <c r="B423" s="53"/>
      <c r="C423" s="53"/>
      <c r="D423" s="1"/>
      <c r="E423" s="1"/>
      <c r="F423" s="1"/>
      <c r="G423" s="1"/>
      <c r="H423" s="1"/>
      <c r="I423" s="1"/>
      <c r="J423" s="1"/>
    </row>
    <row r="424" ht="14.25" customHeight="1">
      <c r="A424" s="52"/>
      <c r="B424" s="53"/>
      <c r="C424" s="53"/>
      <c r="D424" s="1"/>
      <c r="E424" s="1"/>
      <c r="F424" s="1"/>
      <c r="G424" s="1"/>
      <c r="H424" s="1"/>
      <c r="I424" s="1"/>
      <c r="J424" s="1"/>
    </row>
    <row r="425" ht="14.25" customHeight="1">
      <c r="A425" s="52"/>
      <c r="B425" s="53"/>
      <c r="C425" s="53"/>
      <c r="D425" s="1"/>
      <c r="E425" s="1"/>
      <c r="F425" s="1"/>
      <c r="G425" s="1"/>
      <c r="H425" s="1"/>
      <c r="I425" s="1"/>
      <c r="J425" s="1"/>
    </row>
    <row r="426" ht="14.25" customHeight="1">
      <c r="A426" s="52"/>
      <c r="B426" s="53"/>
      <c r="C426" s="53"/>
      <c r="D426" s="1"/>
      <c r="E426" s="1"/>
      <c r="F426" s="1"/>
      <c r="G426" s="1"/>
      <c r="H426" s="1"/>
      <c r="I426" s="1"/>
      <c r="J426" s="1"/>
    </row>
    <row r="427" ht="14.25" customHeight="1">
      <c r="A427" s="52"/>
      <c r="B427" s="53"/>
      <c r="C427" s="53"/>
      <c r="D427" s="1"/>
      <c r="E427" s="1"/>
      <c r="F427" s="1"/>
      <c r="G427" s="1"/>
      <c r="H427" s="1"/>
      <c r="I427" s="1"/>
      <c r="J427" s="1"/>
    </row>
    <row r="428" ht="14.25" customHeight="1">
      <c r="A428" s="52"/>
      <c r="B428" s="53"/>
      <c r="C428" s="53"/>
      <c r="D428" s="1"/>
      <c r="E428" s="1"/>
      <c r="F428" s="1"/>
      <c r="G428" s="1"/>
      <c r="H428" s="1"/>
      <c r="I428" s="1"/>
      <c r="J428" s="1"/>
    </row>
    <row r="429" ht="14.25" customHeight="1">
      <c r="A429" s="52"/>
      <c r="B429" s="53"/>
      <c r="C429" s="53"/>
      <c r="D429" s="1"/>
      <c r="E429" s="1"/>
      <c r="F429" s="1"/>
      <c r="G429" s="1"/>
      <c r="H429" s="1"/>
      <c r="I429" s="1"/>
      <c r="J429" s="1"/>
    </row>
    <row r="430" ht="14.25" customHeight="1">
      <c r="A430" s="52"/>
      <c r="B430" s="53"/>
      <c r="C430" s="53"/>
      <c r="D430" s="1"/>
      <c r="E430" s="1"/>
      <c r="F430" s="1"/>
      <c r="G430" s="1"/>
      <c r="H430" s="1"/>
      <c r="I430" s="1"/>
      <c r="J430" s="1"/>
    </row>
    <row r="431" ht="14.25" customHeight="1">
      <c r="A431" s="52"/>
      <c r="B431" s="53"/>
      <c r="C431" s="53"/>
      <c r="D431" s="1"/>
      <c r="E431" s="1"/>
      <c r="F431" s="1"/>
      <c r="G431" s="1"/>
      <c r="H431" s="1"/>
      <c r="I431" s="1"/>
      <c r="J431" s="1"/>
    </row>
    <row r="432" ht="14.25" customHeight="1">
      <c r="A432" s="52"/>
      <c r="B432" s="53"/>
      <c r="C432" s="53"/>
      <c r="D432" s="1"/>
      <c r="E432" s="1"/>
      <c r="F432" s="1"/>
      <c r="G432" s="1"/>
      <c r="H432" s="1"/>
      <c r="I432" s="1"/>
      <c r="J432" s="1"/>
    </row>
    <row r="433" ht="14.25" customHeight="1">
      <c r="A433" s="52"/>
      <c r="B433" s="53"/>
      <c r="C433" s="53"/>
      <c r="D433" s="1"/>
      <c r="E433" s="1"/>
      <c r="F433" s="1"/>
      <c r="G433" s="1"/>
      <c r="H433" s="1"/>
      <c r="I433" s="1"/>
      <c r="J433" s="1"/>
    </row>
    <row r="434" ht="14.25" customHeight="1">
      <c r="A434" s="52"/>
      <c r="B434" s="53"/>
      <c r="C434" s="53"/>
      <c r="D434" s="1"/>
      <c r="E434" s="1"/>
      <c r="F434" s="1"/>
      <c r="G434" s="1"/>
      <c r="H434" s="1"/>
      <c r="I434" s="1"/>
      <c r="J434" s="1"/>
    </row>
    <row r="435" ht="14.25" customHeight="1">
      <c r="A435" s="52"/>
      <c r="B435" s="53"/>
      <c r="C435" s="53"/>
      <c r="D435" s="1"/>
      <c r="E435" s="1"/>
      <c r="F435" s="1"/>
      <c r="G435" s="1"/>
      <c r="H435" s="1"/>
      <c r="I435" s="1"/>
      <c r="J435" s="1"/>
    </row>
    <row r="436" ht="14.25" customHeight="1">
      <c r="A436" s="52"/>
      <c r="B436" s="53"/>
      <c r="C436" s="53"/>
      <c r="D436" s="1"/>
      <c r="E436" s="1"/>
      <c r="F436" s="1"/>
      <c r="G436" s="1"/>
      <c r="H436" s="1"/>
      <c r="I436" s="1"/>
      <c r="J436" s="1"/>
    </row>
    <row r="437" ht="14.25" customHeight="1">
      <c r="A437" s="52"/>
      <c r="B437" s="53"/>
      <c r="C437" s="53"/>
      <c r="D437" s="1"/>
      <c r="E437" s="1"/>
      <c r="F437" s="1"/>
      <c r="G437" s="1"/>
      <c r="H437" s="1"/>
      <c r="I437" s="1"/>
      <c r="J437" s="1"/>
    </row>
    <row r="438" ht="14.25" customHeight="1">
      <c r="A438" s="52"/>
      <c r="B438" s="53"/>
      <c r="C438" s="53"/>
      <c r="D438" s="1"/>
      <c r="E438" s="1"/>
      <c r="F438" s="1"/>
      <c r="G438" s="1"/>
      <c r="H438" s="1"/>
      <c r="I438" s="1"/>
      <c r="J438" s="1"/>
    </row>
    <row r="439" ht="14.25" customHeight="1">
      <c r="A439" s="52"/>
      <c r="B439" s="53"/>
      <c r="C439" s="53"/>
      <c r="D439" s="1"/>
      <c r="E439" s="1"/>
      <c r="F439" s="1"/>
      <c r="G439" s="1"/>
      <c r="H439" s="1"/>
      <c r="I439" s="1"/>
      <c r="J439" s="1"/>
    </row>
    <row r="440" ht="14.25" customHeight="1">
      <c r="A440" s="52"/>
      <c r="B440" s="53"/>
      <c r="C440" s="53"/>
      <c r="D440" s="1"/>
      <c r="E440" s="1"/>
      <c r="F440" s="1"/>
      <c r="G440" s="1"/>
      <c r="H440" s="1"/>
      <c r="I440" s="1"/>
      <c r="J440" s="1"/>
    </row>
    <row r="441" ht="14.25" customHeight="1">
      <c r="A441" s="52"/>
      <c r="B441" s="53"/>
      <c r="C441" s="53"/>
      <c r="D441" s="1"/>
      <c r="E441" s="1"/>
      <c r="F441" s="1"/>
      <c r="G441" s="1"/>
      <c r="H441" s="1"/>
      <c r="I441" s="1"/>
      <c r="J441" s="1"/>
    </row>
    <row r="442" ht="14.25" customHeight="1">
      <c r="A442" s="52"/>
      <c r="B442" s="53"/>
      <c r="C442" s="53"/>
      <c r="D442" s="1"/>
      <c r="E442" s="1"/>
      <c r="F442" s="1"/>
      <c r="G442" s="1"/>
      <c r="H442" s="1"/>
      <c r="I442" s="1"/>
      <c r="J442" s="1"/>
    </row>
    <row r="443" ht="14.25" customHeight="1">
      <c r="A443" s="52"/>
      <c r="B443" s="53"/>
      <c r="C443" s="53"/>
      <c r="D443" s="1"/>
      <c r="E443" s="1"/>
      <c r="F443" s="1"/>
      <c r="G443" s="1"/>
      <c r="H443" s="1"/>
      <c r="I443" s="1"/>
      <c r="J443" s="1"/>
    </row>
    <row r="444" ht="14.25" customHeight="1">
      <c r="A444" s="52"/>
      <c r="B444" s="53"/>
      <c r="C444" s="53"/>
      <c r="D444" s="1"/>
      <c r="E444" s="1"/>
      <c r="F444" s="1"/>
      <c r="G444" s="1"/>
      <c r="H444" s="1"/>
      <c r="I444" s="1"/>
      <c r="J444" s="1"/>
    </row>
    <row r="445" ht="14.25" customHeight="1">
      <c r="A445" s="52"/>
      <c r="B445" s="53"/>
      <c r="C445" s="53"/>
      <c r="D445" s="1"/>
      <c r="E445" s="1"/>
      <c r="F445" s="1"/>
      <c r="G445" s="1"/>
      <c r="H445" s="1"/>
      <c r="I445" s="1"/>
      <c r="J445" s="1"/>
    </row>
    <row r="446" ht="14.25" customHeight="1">
      <c r="A446" s="52"/>
      <c r="B446" s="53"/>
      <c r="C446" s="53"/>
      <c r="D446" s="1"/>
      <c r="E446" s="1"/>
      <c r="F446" s="1"/>
      <c r="G446" s="1"/>
      <c r="H446" s="1"/>
      <c r="I446" s="1"/>
      <c r="J446" s="1"/>
    </row>
    <row r="447" ht="14.25" customHeight="1">
      <c r="A447" s="52"/>
      <c r="B447" s="53"/>
      <c r="C447" s="53"/>
      <c r="D447" s="1"/>
      <c r="E447" s="1"/>
      <c r="F447" s="1"/>
      <c r="G447" s="1"/>
      <c r="H447" s="1"/>
      <c r="I447" s="1"/>
      <c r="J447" s="1"/>
    </row>
    <row r="448" ht="14.25" customHeight="1">
      <c r="A448" s="52"/>
      <c r="B448" s="53"/>
      <c r="C448" s="53"/>
      <c r="D448" s="1"/>
      <c r="E448" s="1"/>
      <c r="F448" s="1"/>
      <c r="G448" s="1"/>
      <c r="H448" s="1"/>
      <c r="I448" s="1"/>
      <c r="J448" s="1"/>
    </row>
    <row r="449" ht="14.25" customHeight="1">
      <c r="A449" s="52"/>
      <c r="B449" s="53"/>
      <c r="C449" s="53"/>
      <c r="D449" s="1"/>
      <c r="E449" s="1"/>
      <c r="F449" s="1"/>
      <c r="G449" s="1"/>
      <c r="H449" s="1"/>
      <c r="I449" s="1"/>
      <c r="J449" s="1"/>
    </row>
    <row r="450" ht="14.25" customHeight="1">
      <c r="A450" s="52"/>
      <c r="B450" s="53"/>
      <c r="C450" s="53"/>
      <c r="D450" s="1"/>
      <c r="E450" s="1"/>
      <c r="F450" s="1"/>
      <c r="G450" s="1"/>
      <c r="H450" s="1"/>
      <c r="I450" s="1"/>
      <c r="J450" s="1"/>
    </row>
    <row r="451" ht="14.25" customHeight="1">
      <c r="A451" s="52"/>
      <c r="B451" s="53"/>
      <c r="C451" s="53"/>
      <c r="D451" s="1"/>
      <c r="E451" s="1"/>
      <c r="F451" s="1"/>
      <c r="G451" s="1"/>
      <c r="H451" s="1"/>
      <c r="I451" s="1"/>
      <c r="J451" s="1"/>
    </row>
    <row r="452" ht="14.25" customHeight="1">
      <c r="A452" s="52"/>
      <c r="B452" s="53"/>
      <c r="C452" s="53"/>
      <c r="D452" s="1"/>
      <c r="E452" s="1"/>
      <c r="F452" s="1"/>
      <c r="G452" s="1"/>
      <c r="H452" s="1"/>
      <c r="I452" s="1"/>
      <c r="J452" s="1"/>
    </row>
    <row r="453" ht="14.25" customHeight="1">
      <c r="A453" s="52"/>
      <c r="B453" s="53"/>
      <c r="C453" s="53"/>
      <c r="D453" s="1"/>
      <c r="E453" s="1"/>
      <c r="F453" s="1"/>
      <c r="G453" s="1"/>
      <c r="H453" s="1"/>
      <c r="I453" s="1"/>
      <c r="J453" s="1"/>
    </row>
    <row r="454" ht="14.25" customHeight="1">
      <c r="A454" s="52"/>
      <c r="B454" s="53"/>
      <c r="C454" s="53"/>
      <c r="D454" s="1"/>
      <c r="E454" s="1"/>
      <c r="F454" s="1"/>
      <c r="G454" s="1"/>
      <c r="H454" s="1"/>
      <c r="I454" s="1"/>
      <c r="J454" s="1"/>
    </row>
    <row r="455" ht="14.25" customHeight="1">
      <c r="A455" s="52"/>
      <c r="B455" s="53"/>
      <c r="C455" s="53"/>
      <c r="D455" s="1"/>
      <c r="E455" s="1"/>
      <c r="F455" s="1"/>
      <c r="G455" s="1"/>
      <c r="H455" s="1"/>
      <c r="I455" s="1"/>
      <c r="J455" s="1"/>
    </row>
    <row r="456" ht="14.25" customHeight="1">
      <c r="A456" s="52"/>
      <c r="B456" s="53"/>
      <c r="C456" s="53"/>
      <c r="D456" s="1"/>
      <c r="E456" s="1"/>
      <c r="F456" s="1"/>
      <c r="G456" s="1"/>
      <c r="H456" s="1"/>
      <c r="I456" s="1"/>
      <c r="J456" s="1"/>
    </row>
    <row r="457" ht="14.25" customHeight="1">
      <c r="A457" s="52"/>
      <c r="B457" s="53"/>
      <c r="C457" s="53"/>
      <c r="D457" s="1"/>
      <c r="E457" s="1"/>
      <c r="F457" s="1"/>
      <c r="G457" s="1"/>
      <c r="H457" s="1"/>
      <c r="I457" s="1"/>
      <c r="J457" s="1"/>
    </row>
    <row r="458" ht="14.25" customHeight="1">
      <c r="A458" s="52"/>
      <c r="B458" s="53"/>
      <c r="C458" s="53"/>
      <c r="D458" s="1"/>
      <c r="E458" s="1"/>
      <c r="F458" s="1"/>
      <c r="G458" s="1"/>
      <c r="H458" s="1"/>
      <c r="I458" s="1"/>
      <c r="J458" s="1"/>
    </row>
    <row r="459" ht="14.25" customHeight="1">
      <c r="A459" s="52"/>
      <c r="B459" s="53"/>
      <c r="C459" s="53"/>
      <c r="D459" s="1"/>
      <c r="E459" s="1"/>
      <c r="F459" s="1"/>
      <c r="G459" s="1"/>
      <c r="H459" s="1"/>
      <c r="I459" s="1"/>
      <c r="J459" s="1"/>
    </row>
    <row r="460" ht="14.25" customHeight="1">
      <c r="A460" s="52"/>
      <c r="B460" s="53"/>
      <c r="C460" s="53"/>
      <c r="D460" s="1"/>
      <c r="E460" s="1"/>
      <c r="F460" s="1"/>
      <c r="G460" s="1"/>
      <c r="H460" s="1"/>
      <c r="I460" s="1"/>
      <c r="J460" s="1"/>
    </row>
    <row r="461" ht="14.25" customHeight="1">
      <c r="A461" s="52"/>
      <c r="B461" s="53"/>
      <c r="C461" s="53"/>
      <c r="D461" s="1"/>
      <c r="E461" s="1"/>
      <c r="F461" s="1"/>
      <c r="G461" s="1"/>
      <c r="H461" s="1"/>
      <c r="I461" s="1"/>
      <c r="J461" s="1"/>
    </row>
    <row r="462" ht="14.25" customHeight="1">
      <c r="A462" s="52"/>
      <c r="B462" s="53"/>
      <c r="C462" s="53"/>
      <c r="D462" s="1"/>
      <c r="E462" s="1"/>
      <c r="F462" s="1"/>
      <c r="G462" s="1"/>
      <c r="H462" s="1"/>
      <c r="I462" s="1"/>
      <c r="J462" s="1"/>
    </row>
    <row r="463" ht="14.25" customHeight="1">
      <c r="A463" s="52"/>
      <c r="B463" s="53"/>
      <c r="C463" s="53"/>
      <c r="D463" s="1"/>
      <c r="E463" s="1"/>
      <c r="F463" s="1"/>
      <c r="G463" s="1"/>
      <c r="H463" s="1"/>
      <c r="I463" s="1"/>
      <c r="J463" s="1"/>
    </row>
    <row r="464" ht="14.25" customHeight="1">
      <c r="A464" s="52"/>
      <c r="B464" s="53"/>
      <c r="C464" s="53"/>
      <c r="D464" s="1"/>
      <c r="E464" s="1"/>
      <c r="F464" s="1"/>
      <c r="G464" s="1"/>
      <c r="H464" s="1"/>
      <c r="I464" s="1"/>
      <c r="J464" s="1"/>
    </row>
    <row r="465" ht="14.25" customHeight="1">
      <c r="A465" s="52"/>
      <c r="B465" s="53"/>
      <c r="C465" s="53"/>
      <c r="D465" s="1"/>
      <c r="E465" s="1"/>
      <c r="F465" s="1"/>
      <c r="G465" s="1"/>
      <c r="H465" s="1"/>
      <c r="I465" s="1"/>
      <c r="J465" s="1"/>
    </row>
    <row r="466" ht="14.25" customHeight="1">
      <c r="A466" s="52"/>
      <c r="B466" s="53"/>
      <c r="C466" s="53"/>
      <c r="D466" s="1"/>
      <c r="E466" s="1"/>
      <c r="F466" s="1"/>
      <c r="G466" s="1"/>
      <c r="H466" s="1"/>
      <c r="I466" s="1"/>
      <c r="J466" s="1"/>
    </row>
    <row r="467" ht="14.25" customHeight="1">
      <c r="A467" s="52"/>
      <c r="B467" s="53"/>
      <c r="C467" s="53"/>
      <c r="D467" s="1"/>
      <c r="E467" s="1"/>
      <c r="F467" s="1"/>
      <c r="G467" s="1"/>
      <c r="H467" s="1"/>
      <c r="I467" s="1"/>
      <c r="J467" s="1"/>
    </row>
    <row r="468" ht="14.25" customHeight="1">
      <c r="A468" s="52"/>
      <c r="B468" s="53"/>
      <c r="C468" s="53"/>
      <c r="D468" s="1"/>
      <c r="E468" s="1"/>
      <c r="F468" s="1"/>
      <c r="G468" s="1"/>
      <c r="H468" s="1"/>
      <c r="I468" s="1"/>
      <c r="J468" s="1"/>
    </row>
    <row r="469" ht="14.25" customHeight="1">
      <c r="A469" s="52"/>
      <c r="B469" s="53"/>
      <c r="C469" s="53"/>
      <c r="D469" s="1"/>
      <c r="E469" s="1"/>
      <c r="F469" s="1"/>
      <c r="G469" s="1"/>
      <c r="H469" s="1"/>
      <c r="I469" s="1"/>
      <c r="J469" s="1"/>
    </row>
    <row r="470" ht="14.25" customHeight="1">
      <c r="A470" s="52"/>
      <c r="B470" s="53"/>
      <c r="C470" s="53"/>
      <c r="D470" s="1"/>
      <c r="E470" s="1"/>
      <c r="F470" s="1"/>
      <c r="G470" s="1"/>
      <c r="H470" s="1"/>
      <c r="I470" s="1"/>
      <c r="J470" s="1"/>
    </row>
    <row r="471" ht="14.25" customHeight="1">
      <c r="A471" s="52"/>
      <c r="B471" s="53"/>
      <c r="C471" s="53"/>
      <c r="D471" s="1"/>
      <c r="E471" s="1"/>
      <c r="F471" s="1"/>
      <c r="G471" s="1"/>
      <c r="H471" s="1"/>
      <c r="I471" s="1"/>
      <c r="J471" s="1"/>
    </row>
    <row r="472" ht="14.25" customHeight="1">
      <c r="A472" s="52"/>
      <c r="B472" s="53"/>
      <c r="C472" s="53"/>
      <c r="D472" s="1"/>
      <c r="E472" s="1"/>
      <c r="F472" s="1"/>
      <c r="G472" s="1"/>
      <c r="H472" s="1"/>
      <c r="I472" s="1"/>
      <c r="J472" s="1"/>
    </row>
    <row r="473" ht="14.25" customHeight="1">
      <c r="A473" s="52"/>
      <c r="B473" s="53"/>
      <c r="C473" s="53"/>
      <c r="D473" s="1"/>
      <c r="E473" s="1"/>
      <c r="F473" s="1"/>
      <c r="G473" s="1"/>
      <c r="H473" s="1"/>
      <c r="I473" s="1"/>
      <c r="J473" s="1"/>
    </row>
    <row r="474" ht="14.25" customHeight="1">
      <c r="A474" s="52"/>
      <c r="B474" s="53"/>
      <c r="C474" s="53"/>
      <c r="D474" s="1"/>
      <c r="E474" s="1"/>
      <c r="F474" s="1"/>
      <c r="G474" s="1"/>
      <c r="H474" s="1"/>
      <c r="I474" s="1"/>
      <c r="J474" s="1"/>
    </row>
    <row r="475" ht="14.25" customHeight="1">
      <c r="A475" s="52"/>
      <c r="B475" s="53"/>
      <c r="C475" s="53"/>
      <c r="D475" s="1"/>
      <c r="E475" s="1"/>
      <c r="F475" s="1"/>
      <c r="G475" s="1"/>
      <c r="H475" s="1"/>
      <c r="I475" s="1"/>
      <c r="J475" s="1"/>
    </row>
    <row r="476" ht="14.25" customHeight="1">
      <c r="A476" s="52"/>
      <c r="B476" s="53"/>
      <c r="C476" s="53"/>
      <c r="D476" s="1"/>
      <c r="E476" s="1"/>
      <c r="F476" s="1"/>
      <c r="G476" s="1"/>
      <c r="H476" s="1"/>
      <c r="I476" s="1"/>
      <c r="J476" s="1"/>
    </row>
    <row r="477" ht="14.25" customHeight="1">
      <c r="A477" s="52"/>
      <c r="B477" s="53"/>
      <c r="C477" s="53"/>
      <c r="D477" s="1"/>
      <c r="E477" s="1"/>
      <c r="F477" s="1"/>
      <c r="G477" s="1"/>
      <c r="H477" s="1"/>
      <c r="I477" s="1"/>
      <c r="J477" s="1"/>
    </row>
    <row r="478" ht="14.25" customHeight="1">
      <c r="A478" s="52"/>
      <c r="B478" s="53"/>
      <c r="C478" s="53"/>
      <c r="D478" s="1"/>
      <c r="E478" s="1"/>
      <c r="F478" s="1"/>
      <c r="G478" s="1"/>
      <c r="H478" s="1"/>
      <c r="I478" s="1"/>
      <c r="J478" s="1"/>
    </row>
    <row r="479" ht="14.25" customHeight="1">
      <c r="A479" s="52"/>
      <c r="B479" s="53"/>
      <c r="C479" s="53"/>
      <c r="D479" s="1"/>
      <c r="E479" s="1"/>
      <c r="F479" s="1"/>
      <c r="G479" s="1"/>
      <c r="H479" s="1"/>
      <c r="I479" s="1"/>
      <c r="J479" s="1"/>
    </row>
    <row r="480" ht="14.25" customHeight="1">
      <c r="A480" s="52"/>
      <c r="B480" s="53"/>
      <c r="C480" s="53"/>
      <c r="D480" s="1"/>
      <c r="E480" s="1"/>
      <c r="F480" s="1"/>
      <c r="G480" s="1"/>
      <c r="H480" s="1"/>
      <c r="I480" s="1"/>
      <c r="J480" s="1"/>
    </row>
    <row r="481" ht="14.25" customHeight="1">
      <c r="A481" s="52"/>
      <c r="B481" s="53"/>
      <c r="C481" s="53"/>
      <c r="D481" s="1"/>
      <c r="E481" s="1"/>
      <c r="F481" s="1"/>
      <c r="G481" s="1"/>
      <c r="H481" s="1"/>
      <c r="I481" s="1"/>
      <c r="J481" s="1"/>
    </row>
    <row r="482" ht="14.25" customHeight="1">
      <c r="A482" s="52"/>
      <c r="B482" s="53"/>
      <c r="C482" s="53"/>
      <c r="D482" s="1"/>
      <c r="E482" s="1"/>
      <c r="F482" s="1"/>
      <c r="G482" s="1"/>
      <c r="H482" s="1"/>
      <c r="I482" s="1"/>
      <c r="J482" s="1"/>
    </row>
    <row r="483" ht="14.25" customHeight="1">
      <c r="A483" s="52"/>
      <c r="B483" s="53"/>
      <c r="C483" s="53"/>
      <c r="D483" s="1"/>
      <c r="E483" s="1"/>
      <c r="F483" s="1"/>
      <c r="G483" s="1"/>
      <c r="H483" s="1"/>
      <c r="I483" s="1"/>
      <c r="J483" s="1"/>
    </row>
    <row r="484" ht="14.25" customHeight="1">
      <c r="A484" s="52"/>
      <c r="B484" s="53"/>
      <c r="C484" s="53"/>
      <c r="D484" s="1"/>
      <c r="E484" s="1"/>
      <c r="F484" s="1"/>
      <c r="G484" s="1"/>
      <c r="H484" s="1"/>
      <c r="I484" s="1"/>
      <c r="J484" s="1"/>
    </row>
    <row r="485" ht="14.25" customHeight="1">
      <c r="A485" s="52"/>
      <c r="B485" s="53"/>
      <c r="C485" s="53"/>
      <c r="D485" s="1"/>
      <c r="E485" s="1"/>
      <c r="F485" s="1"/>
      <c r="G485" s="1"/>
      <c r="H485" s="1"/>
      <c r="I485" s="1"/>
      <c r="J485" s="1"/>
    </row>
    <row r="486" ht="14.25" customHeight="1">
      <c r="A486" s="52"/>
      <c r="B486" s="53"/>
      <c r="C486" s="53"/>
      <c r="D486" s="1"/>
      <c r="E486" s="1"/>
      <c r="F486" s="1"/>
      <c r="G486" s="1"/>
      <c r="H486" s="1"/>
      <c r="I486" s="1"/>
      <c r="J486" s="1"/>
    </row>
    <row r="487" ht="14.25" customHeight="1">
      <c r="A487" s="52"/>
      <c r="B487" s="53"/>
      <c r="C487" s="53"/>
      <c r="D487" s="1"/>
      <c r="E487" s="1"/>
      <c r="F487" s="1"/>
      <c r="G487" s="1"/>
      <c r="H487" s="1"/>
      <c r="I487" s="1"/>
      <c r="J487" s="1"/>
    </row>
    <row r="488" ht="14.25" customHeight="1">
      <c r="A488" s="52"/>
      <c r="B488" s="53"/>
      <c r="C488" s="53"/>
      <c r="D488" s="1"/>
      <c r="E488" s="1"/>
      <c r="F488" s="1"/>
      <c r="G488" s="1"/>
      <c r="H488" s="1"/>
      <c r="I488" s="1"/>
      <c r="J488" s="1"/>
    </row>
    <row r="489" ht="14.25" customHeight="1">
      <c r="A489" s="52"/>
      <c r="B489" s="53"/>
      <c r="C489" s="53"/>
      <c r="D489" s="1"/>
      <c r="E489" s="1"/>
      <c r="F489" s="1"/>
      <c r="G489" s="1"/>
      <c r="H489" s="1"/>
      <c r="I489" s="1"/>
      <c r="J489" s="1"/>
    </row>
    <row r="490" ht="14.25" customHeight="1">
      <c r="A490" s="52"/>
      <c r="B490" s="53"/>
      <c r="C490" s="53"/>
      <c r="D490" s="1"/>
      <c r="E490" s="1"/>
      <c r="F490" s="1"/>
      <c r="G490" s="1"/>
      <c r="H490" s="1"/>
      <c r="I490" s="1"/>
      <c r="J490" s="1"/>
    </row>
    <row r="491" ht="14.25" customHeight="1">
      <c r="A491" s="52"/>
      <c r="B491" s="53"/>
      <c r="C491" s="53"/>
      <c r="D491" s="1"/>
      <c r="E491" s="1"/>
      <c r="F491" s="1"/>
      <c r="G491" s="1"/>
      <c r="H491" s="1"/>
      <c r="I491" s="1"/>
      <c r="J491" s="1"/>
    </row>
    <row r="492" ht="14.25" customHeight="1">
      <c r="A492" s="52"/>
      <c r="B492" s="53"/>
      <c r="C492" s="53"/>
      <c r="D492" s="1"/>
      <c r="E492" s="1"/>
      <c r="F492" s="1"/>
      <c r="G492" s="1"/>
      <c r="H492" s="1"/>
      <c r="I492" s="1"/>
      <c r="J492" s="1"/>
    </row>
    <row r="493" ht="14.25" customHeight="1">
      <c r="A493" s="52"/>
      <c r="B493" s="53"/>
      <c r="C493" s="53"/>
      <c r="D493" s="1"/>
      <c r="E493" s="1"/>
      <c r="F493" s="1"/>
      <c r="G493" s="1"/>
      <c r="H493" s="1"/>
      <c r="I493" s="1"/>
      <c r="J493" s="1"/>
    </row>
    <row r="494" ht="14.25" customHeight="1">
      <c r="A494" s="52"/>
      <c r="B494" s="53"/>
      <c r="C494" s="53"/>
      <c r="D494" s="1"/>
      <c r="E494" s="1"/>
      <c r="F494" s="1"/>
      <c r="G494" s="1"/>
      <c r="H494" s="1"/>
      <c r="I494" s="1"/>
      <c r="J494" s="1"/>
    </row>
    <row r="495" ht="14.25" customHeight="1">
      <c r="A495" s="52"/>
      <c r="B495" s="53"/>
      <c r="C495" s="53"/>
      <c r="D495" s="1"/>
      <c r="E495" s="1"/>
      <c r="F495" s="1"/>
      <c r="G495" s="1"/>
      <c r="H495" s="1"/>
      <c r="I495" s="1"/>
      <c r="J495" s="1"/>
    </row>
    <row r="496" ht="14.25" customHeight="1">
      <c r="A496" s="52"/>
      <c r="B496" s="53"/>
      <c r="C496" s="53"/>
      <c r="D496" s="1"/>
      <c r="E496" s="1"/>
      <c r="F496" s="1"/>
      <c r="G496" s="1"/>
      <c r="H496" s="1"/>
      <c r="I496" s="1"/>
      <c r="J496" s="1"/>
    </row>
    <row r="497" ht="14.25" customHeight="1">
      <c r="A497" s="52"/>
      <c r="B497" s="53"/>
      <c r="C497" s="53"/>
      <c r="D497" s="1"/>
      <c r="E497" s="1"/>
      <c r="F497" s="1"/>
      <c r="G497" s="1"/>
      <c r="H497" s="1"/>
      <c r="I497" s="1"/>
      <c r="J497" s="1"/>
    </row>
    <row r="498" ht="14.25" customHeight="1">
      <c r="A498" s="52"/>
      <c r="B498" s="53"/>
      <c r="C498" s="53"/>
      <c r="D498" s="1"/>
      <c r="E498" s="1"/>
      <c r="F498" s="1"/>
      <c r="G498" s="1"/>
      <c r="H498" s="1"/>
      <c r="I498" s="1"/>
      <c r="J498" s="1"/>
    </row>
    <row r="499" ht="14.25" customHeight="1">
      <c r="A499" s="52"/>
      <c r="B499" s="53"/>
      <c r="C499" s="53"/>
      <c r="D499" s="1"/>
      <c r="E499" s="1"/>
      <c r="F499" s="1"/>
      <c r="G499" s="1"/>
      <c r="H499" s="1"/>
      <c r="I499" s="1"/>
      <c r="J499" s="1"/>
    </row>
    <row r="500" ht="14.25" customHeight="1">
      <c r="A500" s="52"/>
      <c r="B500" s="53"/>
      <c r="C500" s="53"/>
      <c r="D500" s="1"/>
      <c r="E500" s="1"/>
      <c r="F500" s="1"/>
      <c r="G500" s="1"/>
      <c r="H500" s="1"/>
      <c r="I500" s="1"/>
      <c r="J500" s="1"/>
    </row>
    <row r="501" ht="14.25" customHeight="1">
      <c r="A501" s="52"/>
      <c r="B501" s="53"/>
      <c r="C501" s="53"/>
      <c r="D501" s="1"/>
      <c r="E501" s="1"/>
      <c r="F501" s="1"/>
      <c r="G501" s="1"/>
      <c r="H501" s="1"/>
      <c r="I501" s="1"/>
      <c r="J501" s="1"/>
    </row>
    <row r="502" ht="14.25" customHeight="1">
      <c r="A502" s="52"/>
      <c r="B502" s="53"/>
      <c r="C502" s="53"/>
      <c r="D502" s="1"/>
      <c r="E502" s="1"/>
      <c r="F502" s="1"/>
      <c r="G502" s="1"/>
      <c r="H502" s="1"/>
      <c r="I502" s="1"/>
      <c r="J502" s="1"/>
    </row>
    <row r="503" ht="14.25" customHeight="1">
      <c r="A503" s="52"/>
      <c r="B503" s="53"/>
      <c r="C503" s="53"/>
      <c r="D503" s="1"/>
      <c r="E503" s="1"/>
      <c r="F503" s="1"/>
      <c r="G503" s="1"/>
      <c r="H503" s="1"/>
      <c r="I503" s="1"/>
      <c r="J503" s="1"/>
    </row>
    <row r="504" ht="14.25" customHeight="1">
      <c r="A504" s="52"/>
      <c r="B504" s="53"/>
      <c r="C504" s="53"/>
      <c r="D504" s="1"/>
      <c r="E504" s="1"/>
      <c r="F504" s="1"/>
      <c r="G504" s="1"/>
      <c r="H504" s="1"/>
      <c r="I504" s="1"/>
      <c r="J504" s="1"/>
    </row>
    <row r="505" ht="14.25" customHeight="1">
      <c r="A505" s="52"/>
      <c r="B505" s="53"/>
      <c r="C505" s="53"/>
      <c r="D505" s="1"/>
      <c r="E505" s="1"/>
      <c r="F505" s="1"/>
      <c r="G505" s="1"/>
      <c r="H505" s="1"/>
      <c r="I505" s="1"/>
      <c r="J505" s="1"/>
    </row>
    <row r="506" ht="14.25" customHeight="1">
      <c r="A506" s="52"/>
      <c r="B506" s="53"/>
      <c r="C506" s="53"/>
      <c r="D506" s="1"/>
      <c r="E506" s="1"/>
      <c r="F506" s="1"/>
      <c r="G506" s="1"/>
      <c r="H506" s="1"/>
      <c r="I506" s="1"/>
      <c r="J506" s="1"/>
    </row>
    <row r="507" ht="14.25" customHeight="1">
      <c r="A507" s="52"/>
      <c r="B507" s="53"/>
      <c r="C507" s="53"/>
      <c r="D507" s="1"/>
      <c r="E507" s="1"/>
      <c r="F507" s="1"/>
      <c r="G507" s="1"/>
      <c r="H507" s="1"/>
      <c r="I507" s="1"/>
      <c r="J507" s="1"/>
    </row>
    <row r="508" ht="14.25" customHeight="1">
      <c r="A508" s="52"/>
      <c r="B508" s="53"/>
      <c r="C508" s="53"/>
      <c r="D508" s="1"/>
      <c r="E508" s="1"/>
      <c r="F508" s="1"/>
      <c r="G508" s="1"/>
      <c r="H508" s="1"/>
      <c r="I508" s="1"/>
      <c r="J508" s="1"/>
    </row>
    <row r="509" ht="14.25" customHeight="1">
      <c r="A509" s="52"/>
      <c r="B509" s="53"/>
      <c r="C509" s="53"/>
      <c r="D509" s="1"/>
      <c r="E509" s="1"/>
      <c r="F509" s="1"/>
      <c r="G509" s="1"/>
      <c r="H509" s="1"/>
      <c r="I509" s="1"/>
      <c r="J509" s="1"/>
    </row>
    <row r="510" ht="14.25" customHeight="1">
      <c r="A510" s="52"/>
      <c r="B510" s="53"/>
      <c r="C510" s="53"/>
      <c r="D510" s="1"/>
      <c r="E510" s="1"/>
      <c r="F510" s="1"/>
      <c r="G510" s="1"/>
      <c r="H510" s="1"/>
      <c r="I510" s="1"/>
      <c r="J510" s="1"/>
    </row>
    <row r="511" ht="14.25" customHeight="1">
      <c r="A511" s="52"/>
      <c r="B511" s="53"/>
      <c r="C511" s="53"/>
      <c r="D511" s="1"/>
      <c r="E511" s="1"/>
      <c r="F511" s="1"/>
      <c r="G511" s="1"/>
      <c r="H511" s="1"/>
      <c r="I511" s="1"/>
      <c r="J511" s="1"/>
    </row>
    <row r="512" ht="14.25" customHeight="1">
      <c r="A512" s="52"/>
      <c r="B512" s="53"/>
      <c r="C512" s="53"/>
      <c r="D512" s="1"/>
      <c r="E512" s="1"/>
      <c r="F512" s="1"/>
      <c r="G512" s="1"/>
      <c r="H512" s="1"/>
      <c r="I512" s="1"/>
      <c r="J512" s="1"/>
    </row>
    <row r="513" ht="14.25" customHeight="1">
      <c r="A513" s="52"/>
      <c r="B513" s="53"/>
      <c r="C513" s="53"/>
      <c r="D513" s="1"/>
      <c r="E513" s="1"/>
      <c r="F513" s="1"/>
      <c r="G513" s="1"/>
      <c r="H513" s="1"/>
      <c r="I513" s="1"/>
      <c r="J513" s="1"/>
    </row>
    <row r="514" ht="14.25" customHeight="1">
      <c r="A514" s="52"/>
      <c r="B514" s="53"/>
      <c r="C514" s="53"/>
      <c r="D514" s="1"/>
      <c r="E514" s="1"/>
      <c r="F514" s="1"/>
      <c r="G514" s="1"/>
      <c r="H514" s="1"/>
      <c r="I514" s="1"/>
      <c r="J514" s="1"/>
    </row>
    <row r="515" ht="14.25" customHeight="1">
      <c r="A515" s="52"/>
      <c r="B515" s="53"/>
      <c r="C515" s="53"/>
      <c r="D515" s="1"/>
      <c r="E515" s="1"/>
      <c r="F515" s="1"/>
      <c r="G515" s="1"/>
      <c r="H515" s="1"/>
      <c r="I515" s="1"/>
      <c r="J515" s="1"/>
    </row>
    <row r="516" ht="14.25" customHeight="1">
      <c r="A516" s="52"/>
      <c r="B516" s="53"/>
      <c r="C516" s="53"/>
      <c r="D516" s="1"/>
      <c r="E516" s="1"/>
      <c r="F516" s="1"/>
      <c r="G516" s="1"/>
      <c r="H516" s="1"/>
      <c r="I516" s="1"/>
      <c r="J516" s="1"/>
    </row>
    <row r="517" ht="14.25" customHeight="1">
      <c r="A517" s="52"/>
      <c r="B517" s="53"/>
      <c r="C517" s="53"/>
      <c r="D517" s="1"/>
      <c r="E517" s="1"/>
      <c r="F517" s="1"/>
      <c r="G517" s="1"/>
      <c r="H517" s="1"/>
      <c r="I517" s="1"/>
      <c r="J517" s="1"/>
    </row>
    <row r="518" ht="14.25" customHeight="1">
      <c r="A518" s="52"/>
      <c r="B518" s="53"/>
      <c r="C518" s="53"/>
      <c r="D518" s="1"/>
      <c r="E518" s="1"/>
      <c r="F518" s="1"/>
      <c r="G518" s="1"/>
      <c r="H518" s="1"/>
      <c r="I518" s="1"/>
      <c r="J518" s="1"/>
    </row>
    <row r="519" ht="14.25" customHeight="1">
      <c r="A519" s="52"/>
      <c r="B519" s="53"/>
      <c r="C519" s="53"/>
      <c r="D519" s="1"/>
      <c r="E519" s="1"/>
      <c r="F519" s="1"/>
      <c r="G519" s="1"/>
      <c r="H519" s="1"/>
      <c r="I519" s="1"/>
      <c r="J519" s="1"/>
    </row>
    <row r="520" ht="14.25" customHeight="1">
      <c r="A520" s="52"/>
      <c r="B520" s="53"/>
      <c r="C520" s="53"/>
      <c r="D520" s="1"/>
      <c r="E520" s="1"/>
      <c r="F520" s="1"/>
      <c r="G520" s="1"/>
      <c r="H520" s="1"/>
      <c r="I520" s="1"/>
      <c r="J520" s="1"/>
    </row>
    <row r="521" ht="14.25" customHeight="1">
      <c r="A521" s="52"/>
      <c r="B521" s="53"/>
      <c r="C521" s="53"/>
      <c r="D521" s="1"/>
      <c r="E521" s="1"/>
      <c r="F521" s="1"/>
      <c r="G521" s="1"/>
      <c r="H521" s="1"/>
      <c r="I521" s="1"/>
      <c r="J521" s="1"/>
    </row>
    <row r="522" ht="14.25" customHeight="1">
      <c r="A522" s="52"/>
      <c r="B522" s="53"/>
      <c r="C522" s="53"/>
      <c r="D522" s="1"/>
      <c r="E522" s="1"/>
      <c r="F522" s="1"/>
      <c r="G522" s="1"/>
      <c r="H522" s="1"/>
      <c r="I522" s="1"/>
      <c r="J522" s="1"/>
    </row>
    <row r="523" ht="14.25" customHeight="1">
      <c r="A523" s="52"/>
      <c r="B523" s="53"/>
      <c r="C523" s="53"/>
      <c r="D523" s="1"/>
      <c r="E523" s="1"/>
      <c r="F523" s="1"/>
      <c r="G523" s="1"/>
      <c r="H523" s="1"/>
      <c r="I523" s="1"/>
      <c r="J523" s="1"/>
    </row>
    <row r="524" ht="14.25" customHeight="1">
      <c r="A524" s="52"/>
      <c r="B524" s="53"/>
      <c r="C524" s="53"/>
      <c r="D524" s="1"/>
      <c r="E524" s="1"/>
      <c r="F524" s="1"/>
      <c r="G524" s="1"/>
      <c r="H524" s="1"/>
      <c r="I524" s="1"/>
      <c r="J524" s="1"/>
    </row>
    <row r="525" ht="14.25" customHeight="1">
      <c r="A525" s="52"/>
      <c r="B525" s="53"/>
      <c r="C525" s="53"/>
      <c r="D525" s="1"/>
      <c r="E525" s="1"/>
      <c r="F525" s="1"/>
      <c r="G525" s="1"/>
      <c r="H525" s="1"/>
      <c r="I525" s="1"/>
      <c r="J525" s="1"/>
    </row>
    <row r="526" ht="14.25" customHeight="1">
      <c r="A526" s="52"/>
      <c r="B526" s="53"/>
      <c r="C526" s="53"/>
      <c r="D526" s="1"/>
      <c r="E526" s="1"/>
      <c r="F526" s="1"/>
      <c r="G526" s="1"/>
      <c r="H526" s="1"/>
      <c r="I526" s="1"/>
      <c r="J526" s="1"/>
    </row>
    <row r="527" ht="14.25" customHeight="1">
      <c r="A527" s="52"/>
      <c r="B527" s="53"/>
      <c r="C527" s="53"/>
      <c r="D527" s="1"/>
      <c r="E527" s="1"/>
      <c r="F527" s="1"/>
      <c r="G527" s="1"/>
      <c r="H527" s="1"/>
      <c r="I527" s="1"/>
      <c r="J527" s="1"/>
    </row>
    <row r="528" ht="14.25" customHeight="1">
      <c r="A528" s="52"/>
      <c r="B528" s="53"/>
      <c r="C528" s="53"/>
      <c r="D528" s="1"/>
      <c r="E528" s="1"/>
      <c r="F528" s="1"/>
      <c r="G528" s="1"/>
      <c r="H528" s="1"/>
      <c r="I528" s="1"/>
      <c r="J528" s="1"/>
    </row>
    <row r="529" ht="14.25" customHeight="1">
      <c r="A529" s="52"/>
      <c r="B529" s="53"/>
      <c r="C529" s="53"/>
      <c r="D529" s="1"/>
      <c r="E529" s="1"/>
      <c r="F529" s="1"/>
      <c r="G529" s="1"/>
      <c r="H529" s="1"/>
      <c r="I529" s="1"/>
      <c r="J529" s="1"/>
    </row>
    <row r="530" ht="14.25" customHeight="1">
      <c r="A530" s="52"/>
      <c r="B530" s="53"/>
      <c r="C530" s="53"/>
      <c r="D530" s="1"/>
      <c r="E530" s="1"/>
      <c r="F530" s="1"/>
      <c r="G530" s="1"/>
      <c r="H530" s="1"/>
      <c r="I530" s="1"/>
      <c r="J530" s="1"/>
    </row>
    <row r="531" ht="14.25" customHeight="1">
      <c r="A531" s="52"/>
      <c r="B531" s="53"/>
      <c r="C531" s="53"/>
      <c r="D531" s="1"/>
      <c r="E531" s="1"/>
      <c r="F531" s="1"/>
      <c r="G531" s="1"/>
      <c r="H531" s="1"/>
      <c r="I531" s="1"/>
      <c r="J531" s="1"/>
    </row>
    <row r="532" ht="14.25" customHeight="1">
      <c r="A532" s="52"/>
      <c r="B532" s="53"/>
      <c r="C532" s="53"/>
      <c r="D532" s="1"/>
      <c r="E532" s="1"/>
      <c r="F532" s="1"/>
      <c r="G532" s="1"/>
      <c r="H532" s="1"/>
      <c r="I532" s="1"/>
      <c r="J532" s="1"/>
    </row>
    <row r="533" ht="14.25" customHeight="1">
      <c r="A533" s="52"/>
      <c r="B533" s="53"/>
      <c r="C533" s="53"/>
      <c r="D533" s="1"/>
      <c r="E533" s="1"/>
      <c r="F533" s="1"/>
      <c r="G533" s="1"/>
      <c r="H533" s="1"/>
      <c r="I533" s="1"/>
      <c r="J533" s="1"/>
    </row>
    <row r="534" ht="14.25" customHeight="1">
      <c r="A534" s="52"/>
      <c r="B534" s="53"/>
      <c r="C534" s="53"/>
      <c r="D534" s="1"/>
      <c r="E534" s="1"/>
      <c r="F534" s="1"/>
      <c r="G534" s="1"/>
      <c r="H534" s="1"/>
      <c r="I534" s="1"/>
      <c r="J534" s="1"/>
    </row>
    <row r="535" ht="14.25" customHeight="1">
      <c r="A535" s="52"/>
      <c r="B535" s="53"/>
      <c r="C535" s="53"/>
      <c r="D535" s="1"/>
      <c r="E535" s="1"/>
      <c r="F535" s="1"/>
      <c r="G535" s="1"/>
      <c r="H535" s="1"/>
      <c r="I535" s="1"/>
      <c r="J535" s="1"/>
    </row>
    <row r="536" ht="14.25" customHeight="1">
      <c r="A536" s="52"/>
      <c r="B536" s="53"/>
      <c r="C536" s="53"/>
      <c r="D536" s="1"/>
      <c r="E536" s="1"/>
      <c r="F536" s="1"/>
      <c r="G536" s="1"/>
      <c r="H536" s="1"/>
      <c r="I536" s="1"/>
      <c r="J536" s="1"/>
    </row>
    <row r="537" ht="14.25" customHeight="1">
      <c r="A537" s="52"/>
      <c r="B537" s="53"/>
      <c r="C537" s="53"/>
      <c r="D537" s="1"/>
      <c r="E537" s="1"/>
      <c r="F537" s="1"/>
      <c r="G537" s="1"/>
      <c r="H537" s="1"/>
      <c r="I537" s="1"/>
      <c r="J537" s="1"/>
    </row>
    <row r="538" ht="14.25" customHeight="1">
      <c r="A538" s="52"/>
      <c r="B538" s="53"/>
      <c r="C538" s="53"/>
      <c r="D538" s="1"/>
      <c r="E538" s="1"/>
      <c r="F538" s="1"/>
      <c r="G538" s="1"/>
      <c r="H538" s="1"/>
      <c r="I538" s="1"/>
      <c r="J538" s="1"/>
    </row>
    <row r="539" ht="14.25" customHeight="1">
      <c r="A539" s="52"/>
      <c r="B539" s="53"/>
      <c r="C539" s="53"/>
      <c r="D539" s="1"/>
      <c r="E539" s="1"/>
      <c r="F539" s="1"/>
      <c r="G539" s="1"/>
      <c r="H539" s="1"/>
      <c r="I539" s="1"/>
      <c r="J539" s="1"/>
    </row>
    <row r="540" ht="14.25" customHeight="1">
      <c r="A540" s="52"/>
      <c r="B540" s="53"/>
      <c r="C540" s="53"/>
      <c r="D540" s="1"/>
      <c r="E540" s="1"/>
      <c r="F540" s="1"/>
      <c r="G540" s="1"/>
      <c r="H540" s="1"/>
      <c r="I540" s="1"/>
      <c r="J540" s="1"/>
    </row>
    <row r="541" ht="14.25" customHeight="1">
      <c r="A541" s="52"/>
      <c r="B541" s="53"/>
      <c r="C541" s="53"/>
      <c r="D541" s="1"/>
      <c r="E541" s="1"/>
      <c r="F541" s="1"/>
      <c r="G541" s="1"/>
      <c r="H541" s="1"/>
      <c r="I541" s="1"/>
      <c r="J541" s="1"/>
    </row>
    <row r="542" ht="14.25" customHeight="1">
      <c r="A542" s="52"/>
      <c r="B542" s="53"/>
      <c r="C542" s="53"/>
      <c r="D542" s="1"/>
      <c r="E542" s="1"/>
      <c r="F542" s="1"/>
      <c r="G542" s="1"/>
      <c r="H542" s="1"/>
      <c r="I542" s="1"/>
      <c r="J542" s="1"/>
    </row>
    <row r="543" ht="14.25" customHeight="1">
      <c r="A543" s="52"/>
      <c r="B543" s="53"/>
      <c r="C543" s="53"/>
      <c r="D543" s="1"/>
      <c r="E543" s="1"/>
      <c r="F543" s="1"/>
      <c r="G543" s="1"/>
      <c r="H543" s="1"/>
      <c r="I543" s="1"/>
      <c r="J543" s="1"/>
    </row>
    <row r="544" ht="14.25" customHeight="1">
      <c r="A544" s="52"/>
      <c r="B544" s="53"/>
      <c r="C544" s="53"/>
      <c r="D544" s="1"/>
      <c r="E544" s="1"/>
      <c r="F544" s="1"/>
      <c r="G544" s="1"/>
      <c r="H544" s="1"/>
      <c r="I544" s="1"/>
      <c r="J544" s="1"/>
    </row>
    <row r="545" ht="14.25" customHeight="1">
      <c r="A545" s="52"/>
      <c r="B545" s="53"/>
      <c r="C545" s="53"/>
      <c r="D545" s="1"/>
      <c r="E545" s="1"/>
      <c r="F545" s="1"/>
      <c r="G545" s="1"/>
      <c r="H545" s="1"/>
      <c r="I545" s="1"/>
      <c r="J545" s="1"/>
    </row>
    <row r="546" ht="14.25" customHeight="1">
      <c r="A546" s="52"/>
      <c r="B546" s="53"/>
      <c r="C546" s="53"/>
      <c r="D546" s="1"/>
      <c r="E546" s="1"/>
      <c r="F546" s="1"/>
      <c r="G546" s="1"/>
      <c r="H546" s="1"/>
      <c r="I546" s="1"/>
      <c r="J546" s="1"/>
    </row>
    <row r="547" ht="14.25" customHeight="1">
      <c r="A547" s="52"/>
      <c r="B547" s="53"/>
      <c r="C547" s="53"/>
      <c r="D547" s="1"/>
      <c r="E547" s="1"/>
      <c r="F547" s="1"/>
      <c r="G547" s="1"/>
      <c r="H547" s="1"/>
      <c r="I547" s="1"/>
      <c r="J547" s="1"/>
    </row>
    <row r="548" ht="14.25" customHeight="1">
      <c r="A548" s="52"/>
      <c r="B548" s="53"/>
      <c r="C548" s="53"/>
      <c r="D548" s="1"/>
      <c r="E548" s="1"/>
      <c r="F548" s="1"/>
      <c r="G548" s="1"/>
      <c r="H548" s="1"/>
      <c r="I548" s="1"/>
      <c r="J548" s="1"/>
    </row>
    <row r="549" ht="14.25" customHeight="1">
      <c r="A549" s="52"/>
      <c r="B549" s="53"/>
      <c r="C549" s="53"/>
      <c r="D549" s="1"/>
      <c r="E549" s="1"/>
      <c r="F549" s="1"/>
      <c r="G549" s="1"/>
      <c r="H549" s="1"/>
      <c r="I549" s="1"/>
      <c r="J549" s="1"/>
    </row>
    <row r="550" ht="14.25" customHeight="1">
      <c r="A550" s="52"/>
      <c r="B550" s="53"/>
      <c r="C550" s="53"/>
      <c r="D550" s="1"/>
      <c r="E550" s="1"/>
      <c r="F550" s="1"/>
      <c r="G550" s="1"/>
      <c r="H550" s="1"/>
      <c r="I550" s="1"/>
      <c r="J550" s="1"/>
    </row>
    <row r="551" ht="14.25" customHeight="1">
      <c r="A551" s="52"/>
      <c r="B551" s="53"/>
      <c r="C551" s="53"/>
      <c r="D551" s="1"/>
      <c r="E551" s="1"/>
      <c r="F551" s="1"/>
      <c r="G551" s="1"/>
      <c r="H551" s="1"/>
      <c r="I551" s="1"/>
      <c r="J551" s="1"/>
    </row>
    <row r="552" ht="14.25" customHeight="1">
      <c r="A552" s="52"/>
      <c r="B552" s="53"/>
      <c r="C552" s="53"/>
      <c r="D552" s="1"/>
      <c r="E552" s="1"/>
      <c r="F552" s="1"/>
      <c r="G552" s="1"/>
      <c r="H552" s="1"/>
      <c r="I552" s="1"/>
      <c r="J552" s="1"/>
    </row>
    <row r="553" ht="14.25" customHeight="1">
      <c r="A553" s="52"/>
      <c r="B553" s="53"/>
      <c r="C553" s="53"/>
      <c r="D553" s="1"/>
      <c r="E553" s="1"/>
      <c r="F553" s="1"/>
      <c r="G553" s="1"/>
      <c r="H553" s="1"/>
      <c r="I553" s="1"/>
      <c r="J553" s="1"/>
    </row>
    <row r="554" ht="14.25" customHeight="1">
      <c r="A554" s="52"/>
      <c r="B554" s="53"/>
      <c r="C554" s="53"/>
      <c r="D554" s="1"/>
      <c r="E554" s="1"/>
      <c r="F554" s="1"/>
      <c r="G554" s="1"/>
      <c r="H554" s="1"/>
      <c r="I554" s="1"/>
      <c r="J554" s="1"/>
    </row>
    <row r="555" ht="14.25" customHeight="1">
      <c r="A555" s="52"/>
      <c r="B555" s="53"/>
      <c r="C555" s="53"/>
      <c r="D555" s="1"/>
      <c r="E555" s="1"/>
      <c r="F555" s="1"/>
      <c r="G555" s="1"/>
      <c r="H555" s="1"/>
      <c r="I555" s="1"/>
      <c r="J555" s="1"/>
    </row>
    <row r="556" ht="14.25" customHeight="1">
      <c r="A556" s="52"/>
      <c r="B556" s="53"/>
      <c r="C556" s="53"/>
      <c r="D556" s="1"/>
      <c r="E556" s="1"/>
      <c r="F556" s="1"/>
      <c r="G556" s="1"/>
      <c r="H556" s="1"/>
      <c r="I556" s="1"/>
      <c r="J556" s="1"/>
    </row>
    <row r="557" ht="14.25" customHeight="1">
      <c r="A557" s="52"/>
      <c r="B557" s="53"/>
      <c r="C557" s="53"/>
      <c r="D557" s="1"/>
      <c r="E557" s="1"/>
      <c r="F557" s="1"/>
      <c r="G557" s="1"/>
      <c r="H557" s="1"/>
      <c r="I557" s="1"/>
      <c r="J557" s="1"/>
    </row>
    <row r="558" ht="14.25" customHeight="1">
      <c r="A558" s="52"/>
      <c r="B558" s="53"/>
      <c r="C558" s="53"/>
      <c r="D558" s="1"/>
      <c r="E558" s="1"/>
      <c r="F558" s="1"/>
      <c r="G558" s="1"/>
      <c r="H558" s="1"/>
      <c r="I558" s="1"/>
      <c r="J558" s="1"/>
    </row>
    <row r="559" ht="14.25" customHeight="1">
      <c r="A559" s="52"/>
      <c r="B559" s="53"/>
      <c r="C559" s="53"/>
      <c r="D559" s="1"/>
      <c r="E559" s="1"/>
      <c r="F559" s="1"/>
      <c r="G559" s="1"/>
      <c r="H559" s="1"/>
      <c r="I559" s="1"/>
      <c r="J559" s="1"/>
    </row>
    <row r="560" ht="14.25" customHeight="1">
      <c r="A560" s="52"/>
      <c r="B560" s="53"/>
      <c r="C560" s="53"/>
      <c r="D560" s="1"/>
      <c r="E560" s="1"/>
      <c r="F560" s="1"/>
      <c r="G560" s="1"/>
      <c r="H560" s="1"/>
      <c r="I560" s="1"/>
      <c r="J560" s="1"/>
    </row>
    <row r="561" ht="14.25" customHeight="1">
      <c r="A561" s="52"/>
      <c r="B561" s="53"/>
      <c r="C561" s="53"/>
      <c r="D561" s="1"/>
      <c r="E561" s="1"/>
      <c r="F561" s="1"/>
      <c r="G561" s="1"/>
      <c r="H561" s="1"/>
      <c r="I561" s="1"/>
      <c r="J561" s="1"/>
    </row>
    <row r="562" ht="14.25" customHeight="1">
      <c r="A562" s="52"/>
      <c r="B562" s="53"/>
      <c r="C562" s="53"/>
      <c r="D562" s="1"/>
      <c r="E562" s="1"/>
      <c r="F562" s="1"/>
      <c r="G562" s="1"/>
      <c r="H562" s="1"/>
      <c r="I562" s="1"/>
      <c r="J562" s="1"/>
    </row>
    <row r="563" ht="14.25" customHeight="1">
      <c r="A563" s="52"/>
      <c r="B563" s="53"/>
      <c r="C563" s="53"/>
      <c r="D563" s="1"/>
      <c r="E563" s="1"/>
      <c r="F563" s="1"/>
      <c r="G563" s="1"/>
      <c r="H563" s="1"/>
      <c r="I563" s="1"/>
      <c r="J563" s="1"/>
    </row>
    <row r="564" ht="14.25" customHeight="1">
      <c r="A564" s="52"/>
      <c r="B564" s="53"/>
      <c r="C564" s="53"/>
      <c r="D564" s="1"/>
      <c r="E564" s="1"/>
      <c r="F564" s="1"/>
      <c r="G564" s="1"/>
      <c r="H564" s="1"/>
      <c r="I564" s="1"/>
      <c r="J564" s="1"/>
    </row>
    <row r="565" ht="14.25" customHeight="1">
      <c r="A565" s="52"/>
      <c r="B565" s="53"/>
      <c r="C565" s="53"/>
      <c r="D565" s="1"/>
      <c r="E565" s="1"/>
      <c r="F565" s="1"/>
      <c r="G565" s="1"/>
      <c r="H565" s="1"/>
      <c r="I565" s="1"/>
      <c r="J565" s="1"/>
    </row>
    <row r="566" ht="14.25" customHeight="1">
      <c r="A566" s="52"/>
      <c r="B566" s="53"/>
      <c r="C566" s="53"/>
      <c r="D566" s="1"/>
      <c r="E566" s="1"/>
      <c r="F566" s="1"/>
      <c r="G566" s="1"/>
      <c r="H566" s="1"/>
      <c r="I566" s="1"/>
      <c r="J566" s="1"/>
    </row>
    <row r="567" ht="14.25" customHeight="1">
      <c r="A567" s="52"/>
      <c r="B567" s="53"/>
      <c r="C567" s="53"/>
      <c r="D567" s="1"/>
      <c r="E567" s="1"/>
      <c r="F567" s="1"/>
      <c r="G567" s="1"/>
      <c r="H567" s="1"/>
      <c r="I567" s="1"/>
      <c r="J567" s="1"/>
    </row>
    <row r="568" ht="14.25" customHeight="1">
      <c r="A568" s="52"/>
      <c r="B568" s="53"/>
      <c r="C568" s="53"/>
      <c r="D568" s="1"/>
      <c r="E568" s="1"/>
      <c r="F568" s="1"/>
      <c r="G568" s="1"/>
      <c r="H568" s="1"/>
      <c r="I568" s="1"/>
      <c r="J568" s="1"/>
    </row>
    <row r="569" ht="14.25" customHeight="1">
      <c r="A569" s="52"/>
      <c r="B569" s="53"/>
      <c r="C569" s="53"/>
      <c r="D569" s="1"/>
      <c r="E569" s="1"/>
      <c r="F569" s="1"/>
      <c r="G569" s="1"/>
      <c r="H569" s="1"/>
      <c r="I569" s="1"/>
      <c r="J569" s="1"/>
    </row>
    <row r="570" ht="14.25" customHeight="1">
      <c r="A570" s="52"/>
      <c r="B570" s="53"/>
      <c r="C570" s="53"/>
      <c r="D570" s="1"/>
      <c r="E570" s="1"/>
      <c r="F570" s="1"/>
      <c r="G570" s="1"/>
      <c r="H570" s="1"/>
      <c r="I570" s="1"/>
      <c r="J570" s="1"/>
    </row>
    <row r="571" ht="14.25" customHeight="1">
      <c r="A571" s="52"/>
      <c r="B571" s="53"/>
      <c r="C571" s="53"/>
      <c r="D571" s="1"/>
      <c r="E571" s="1"/>
      <c r="F571" s="1"/>
      <c r="G571" s="1"/>
      <c r="H571" s="1"/>
      <c r="I571" s="1"/>
      <c r="J571" s="1"/>
    </row>
    <row r="572" ht="14.25" customHeight="1">
      <c r="A572" s="52"/>
      <c r="B572" s="53"/>
      <c r="C572" s="53"/>
      <c r="D572" s="1"/>
      <c r="E572" s="1"/>
      <c r="F572" s="1"/>
      <c r="G572" s="1"/>
      <c r="H572" s="1"/>
      <c r="I572" s="1"/>
      <c r="J572" s="1"/>
    </row>
    <row r="573" ht="14.25" customHeight="1">
      <c r="A573" s="52"/>
      <c r="B573" s="53"/>
      <c r="C573" s="53"/>
      <c r="D573" s="1"/>
      <c r="E573" s="1"/>
      <c r="F573" s="1"/>
      <c r="G573" s="1"/>
      <c r="H573" s="1"/>
      <c r="I573" s="1"/>
      <c r="J573" s="1"/>
    </row>
    <row r="574" ht="14.25" customHeight="1">
      <c r="A574" s="52"/>
      <c r="B574" s="53"/>
      <c r="C574" s="53"/>
      <c r="D574" s="1"/>
      <c r="E574" s="1"/>
      <c r="F574" s="1"/>
      <c r="G574" s="1"/>
      <c r="H574" s="1"/>
      <c r="I574" s="1"/>
      <c r="J574" s="1"/>
    </row>
    <row r="575" ht="14.25" customHeight="1">
      <c r="A575" s="52"/>
      <c r="B575" s="53"/>
      <c r="C575" s="53"/>
      <c r="D575" s="1"/>
      <c r="E575" s="1"/>
      <c r="F575" s="1"/>
      <c r="G575" s="1"/>
      <c r="H575" s="1"/>
      <c r="I575" s="1"/>
      <c r="J575" s="1"/>
    </row>
    <row r="576" ht="14.25" customHeight="1">
      <c r="A576" s="52"/>
      <c r="B576" s="53"/>
      <c r="C576" s="53"/>
      <c r="D576" s="1"/>
      <c r="E576" s="1"/>
      <c r="F576" s="1"/>
      <c r="G576" s="1"/>
      <c r="H576" s="1"/>
      <c r="I576" s="1"/>
      <c r="J576" s="1"/>
    </row>
    <row r="577" ht="14.25" customHeight="1">
      <c r="A577" s="52"/>
      <c r="B577" s="53"/>
      <c r="C577" s="53"/>
      <c r="D577" s="1"/>
      <c r="E577" s="1"/>
      <c r="F577" s="1"/>
      <c r="G577" s="1"/>
      <c r="H577" s="1"/>
      <c r="I577" s="1"/>
      <c r="J577" s="1"/>
    </row>
    <row r="578" ht="14.25" customHeight="1">
      <c r="A578" s="52"/>
      <c r="B578" s="53"/>
      <c r="C578" s="53"/>
      <c r="D578" s="1"/>
      <c r="E578" s="1"/>
      <c r="F578" s="1"/>
      <c r="G578" s="1"/>
      <c r="H578" s="1"/>
      <c r="I578" s="1"/>
      <c r="J578" s="1"/>
    </row>
    <row r="579" ht="14.25" customHeight="1">
      <c r="A579" s="52"/>
      <c r="B579" s="53"/>
      <c r="C579" s="53"/>
      <c r="D579" s="1"/>
      <c r="E579" s="1"/>
      <c r="F579" s="1"/>
      <c r="G579" s="1"/>
      <c r="H579" s="1"/>
      <c r="I579" s="1"/>
      <c r="J579" s="1"/>
    </row>
    <row r="580" ht="14.25" customHeight="1">
      <c r="A580" s="52"/>
      <c r="B580" s="53"/>
      <c r="C580" s="53"/>
      <c r="D580" s="1"/>
      <c r="E580" s="1"/>
      <c r="F580" s="1"/>
      <c r="G580" s="1"/>
      <c r="H580" s="1"/>
      <c r="I580" s="1"/>
      <c r="J580" s="1"/>
    </row>
    <row r="581" ht="14.25" customHeight="1">
      <c r="A581" s="52"/>
      <c r="B581" s="53"/>
      <c r="C581" s="53"/>
      <c r="D581" s="1"/>
      <c r="E581" s="1"/>
      <c r="F581" s="1"/>
      <c r="G581" s="1"/>
      <c r="H581" s="1"/>
      <c r="I581" s="1"/>
      <c r="J581" s="1"/>
    </row>
    <row r="582" ht="14.25" customHeight="1">
      <c r="A582" s="52"/>
      <c r="B582" s="53"/>
      <c r="C582" s="53"/>
      <c r="D582" s="1"/>
      <c r="E582" s="1"/>
      <c r="F582" s="1"/>
      <c r="G582" s="1"/>
      <c r="H582" s="1"/>
      <c r="I582" s="1"/>
      <c r="J582" s="1"/>
    </row>
    <row r="583" ht="14.25" customHeight="1">
      <c r="A583" s="52"/>
      <c r="B583" s="53"/>
      <c r="C583" s="53"/>
      <c r="D583" s="1"/>
      <c r="E583" s="1"/>
      <c r="F583" s="1"/>
      <c r="G583" s="1"/>
      <c r="H583" s="1"/>
      <c r="I583" s="1"/>
      <c r="J583" s="1"/>
    </row>
    <row r="584" ht="14.25" customHeight="1">
      <c r="A584" s="52"/>
      <c r="B584" s="53"/>
      <c r="C584" s="53"/>
      <c r="D584" s="1"/>
      <c r="E584" s="1"/>
      <c r="F584" s="1"/>
      <c r="G584" s="1"/>
      <c r="H584" s="1"/>
      <c r="I584" s="1"/>
      <c r="J584" s="1"/>
    </row>
    <row r="585" ht="14.25" customHeight="1">
      <c r="A585" s="52"/>
      <c r="B585" s="53"/>
      <c r="C585" s="53"/>
      <c r="D585" s="1"/>
      <c r="E585" s="1"/>
      <c r="F585" s="1"/>
      <c r="G585" s="1"/>
      <c r="H585" s="1"/>
      <c r="I585" s="1"/>
      <c r="J585" s="1"/>
    </row>
    <row r="586" ht="14.25" customHeight="1">
      <c r="A586" s="52"/>
      <c r="B586" s="53"/>
      <c r="C586" s="53"/>
      <c r="D586" s="1"/>
      <c r="E586" s="1"/>
      <c r="F586" s="1"/>
      <c r="G586" s="1"/>
      <c r="H586" s="1"/>
      <c r="I586" s="1"/>
      <c r="J586" s="1"/>
    </row>
    <row r="587" ht="14.25" customHeight="1">
      <c r="A587" s="52"/>
      <c r="B587" s="53"/>
      <c r="C587" s="53"/>
      <c r="D587" s="1"/>
      <c r="E587" s="1"/>
      <c r="F587" s="1"/>
      <c r="G587" s="1"/>
      <c r="H587" s="1"/>
      <c r="I587" s="1"/>
      <c r="J587" s="1"/>
    </row>
    <row r="588" ht="14.25" customHeight="1">
      <c r="A588" s="52"/>
      <c r="B588" s="53"/>
      <c r="C588" s="53"/>
      <c r="D588" s="1"/>
      <c r="E588" s="1"/>
      <c r="F588" s="1"/>
      <c r="G588" s="1"/>
      <c r="H588" s="1"/>
      <c r="I588" s="1"/>
      <c r="J588" s="1"/>
    </row>
    <row r="589" ht="14.25" customHeight="1">
      <c r="A589" s="52"/>
      <c r="B589" s="53"/>
      <c r="C589" s="53"/>
      <c r="D589" s="1"/>
      <c r="E589" s="1"/>
      <c r="F589" s="1"/>
      <c r="G589" s="1"/>
      <c r="H589" s="1"/>
      <c r="I589" s="1"/>
      <c r="J589" s="1"/>
    </row>
    <row r="590" ht="14.25" customHeight="1">
      <c r="A590" s="52"/>
      <c r="B590" s="53"/>
      <c r="C590" s="53"/>
      <c r="D590" s="1"/>
      <c r="E590" s="1"/>
      <c r="F590" s="1"/>
      <c r="G590" s="1"/>
      <c r="H590" s="1"/>
      <c r="I590" s="1"/>
      <c r="J590" s="1"/>
    </row>
    <row r="591" ht="14.25" customHeight="1">
      <c r="A591" s="52"/>
      <c r="B591" s="53"/>
      <c r="C591" s="53"/>
      <c r="D591" s="1"/>
      <c r="E591" s="1"/>
      <c r="F591" s="1"/>
      <c r="G591" s="1"/>
      <c r="H591" s="1"/>
      <c r="I591" s="1"/>
      <c r="J591" s="1"/>
    </row>
    <row r="592" ht="14.25" customHeight="1">
      <c r="A592" s="52"/>
      <c r="B592" s="53"/>
      <c r="C592" s="53"/>
      <c r="D592" s="1"/>
      <c r="E592" s="1"/>
      <c r="F592" s="1"/>
      <c r="G592" s="1"/>
      <c r="H592" s="1"/>
      <c r="I592" s="1"/>
      <c r="J592" s="1"/>
    </row>
    <row r="593" ht="14.25" customHeight="1">
      <c r="A593" s="52"/>
      <c r="B593" s="53"/>
      <c r="C593" s="53"/>
      <c r="D593" s="1"/>
      <c r="E593" s="1"/>
      <c r="F593" s="1"/>
      <c r="G593" s="1"/>
      <c r="H593" s="1"/>
      <c r="I593" s="1"/>
      <c r="J593" s="1"/>
    </row>
    <row r="594" ht="14.25" customHeight="1">
      <c r="A594" s="52"/>
      <c r="B594" s="53"/>
      <c r="C594" s="53"/>
      <c r="D594" s="1"/>
      <c r="E594" s="1"/>
      <c r="F594" s="1"/>
      <c r="G594" s="1"/>
      <c r="H594" s="1"/>
      <c r="I594" s="1"/>
      <c r="J594" s="1"/>
    </row>
    <row r="595" ht="14.25" customHeight="1">
      <c r="A595" s="52"/>
      <c r="B595" s="53"/>
      <c r="C595" s="53"/>
      <c r="D595" s="1"/>
      <c r="E595" s="1"/>
      <c r="F595" s="1"/>
      <c r="G595" s="1"/>
      <c r="H595" s="1"/>
      <c r="I595" s="1"/>
      <c r="J595" s="1"/>
    </row>
    <row r="596" ht="14.25" customHeight="1">
      <c r="A596" s="52"/>
      <c r="B596" s="53"/>
      <c r="C596" s="53"/>
      <c r="D596" s="1"/>
      <c r="E596" s="1"/>
      <c r="F596" s="1"/>
      <c r="G596" s="1"/>
      <c r="H596" s="1"/>
      <c r="I596" s="1"/>
      <c r="J596" s="1"/>
    </row>
    <row r="597" ht="14.25" customHeight="1">
      <c r="A597" s="52"/>
      <c r="B597" s="53"/>
      <c r="C597" s="53"/>
      <c r="D597" s="1"/>
      <c r="E597" s="1"/>
      <c r="F597" s="1"/>
      <c r="G597" s="1"/>
      <c r="H597" s="1"/>
      <c r="I597" s="1"/>
      <c r="J597" s="1"/>
    </row>
    <row r="598" ht="14.25" customHeight="1">
      <c r="A598" s="52"/>
      <c r="B598" s="53"/>
      <c r="C598" s="53"/>
      <c r="D598" s="1"/>
      <c r="E598" s="1"/>
      <c r="F598" s="1"/>
      <c r="G598" s="1"/>
      <c r="H598" s="1"/>
      <c r="I598" s="1"/>
      <c r="J598" s="1"/>
    </row>
    <row r="599" ht="14.25" customHeight="1">
      <c r="A599" s="52"/>
      <c r="B599" s="53"/>
      <c r="C599" s="53"/>
      <c r="D599" s="1"/>
      <c r="E599" s="1"/>
      <c r="F599" s="1"/>
      <c r="G599" s="1"/>
      <c r="H599" s="1"/>
      <c r="I599" s="1"/>
      <c r="J599" s="1"/>
    </row>
    <row r="600" ht="14.25" customHeight="1">
      <c r="A600" s="52"/>
      <c r="B600" s="53"/>
      <c r="C600" s="53"/>
      <c r="D600" s="1"/>
      <c r="E600" s="1"/>
      <c r="F600" s="1"/>
      <c r="G600" s="1"/>
      <c r="H600" s="1"/>
      <c r="I600" s="1"/>
      <c r="J600" s="1"/>
    </row>
    <row r="601" ht="14.25" customHeight="1">
      <c r="A601" s="52"/>
      <c r="B601" s="53"/>
      <c r="C601" s="53"/>
      <c r="D601" s="1"/>
      <c r="E601" s="1"/>
      <c r="F601" s="1"/>
      <c r="G601" s="1"/>
      <c r="H601" s="1"/>
      <c r="I601" s="1"/>
      <c r="J601" s="1"/>
    </row>
    <row r="602" ht="14.25" customHeight="1">
      <c r="A602" s="52"/>
      <c r="B602" s="53"/>
      <c r="C602" s="53"/>
      <c r="D602" s="1"/>
      <c r="E602" s="1"/>
      <c r="F602" s="1"/>
      <c r="G602" s="1"/>
      <c r="H602" s="1"/>
      <c r="I602" s="1"/>
      <c r="J602" s="1"/>
    </row>
    <row r="603" ht="14.25" customHeight="1">
      <c r="A603" s="52"/>
      <c r="B603" s="53"/>
      <c r="C603" s="53"/>
      <c r="D603" s="1"/>
      <c r="E603" s="1"/>
      <c r="F603" s="1"/>
      <c r="G603" s="1"/>
      <c r="H603" s="1"/>
      <c r="I603" s="1"/>
      <c r="J603" s="1"/>
    </row>
    <row r="604" ht="14.25" customHeight="1">
      <c r="A604" s="52"/>
      <c r="B604" s="53"/>
      <c r="C604" s="53"/>
      <c r="D604" s="1"/>
      <c r="E604" s="1"/>
      <c r="F604" s="1"/>
      <c r="G604" s="1"/>
      <c r="H604" s="1"/>
      <c r="I604" s="1"/>
      <c r="J604" s="1"/>
    </row>
    <row r="605" ht="14.25" customHeight="1">
      <c r="A605" s="52"/>
      <c r="B605" s="53"/>
      <c r="C605" s="53"/>
      <c r="D605" s="1"/>
      <c r="E605" s="1"/>
      <c r="F605" s="1"/>
      <c r="G605" s="1"/>
      <c r="H605" s="1"/>
      <c r="I605" s="1"/>
      <c r="J605" s="1"/>
    </row>
    <row r="606" ht="14.25" customHeight="1">
      <c r="A606" s="52"/>
      <c r="B606" s="53"/>
      <c r="C606" s="53"/>
      <c r="D606" s="1"/>
      <c r="E606" s="1"/>
      <c r="F606" s="1"/>
      <c r="G606" s="1"/>
      <c r="H606" s="1"/>
      <c r="I606" s="1"/>
      <c r="J606" s="1"/>
    </row>
    <row r="607" ht="14.25" customHeight="1">
      <c r="A607" s="52"/>
      <c r="B607" s="53"/>
      <c r="C607" s="53"/>
      <c r="D607" s="1"/>
      <c r="E607" s="1"/>
      <c r="F607" s="1"/>
      <c r="G607" s="1"/>
      <c r="H607" s="1"/>
      <c r="I607" s="1"/>
      <c r="J607" s="1"/>
    </row>
    <row r="608" ht="14.25" customHeight="1">
      <c r="A608" s="52"/>
      <c r="B608" s="53"/>
      <c r="C608" s="53"/>
      <c r="D608" s="1"/>
      <c r="E608" s="1"/>
      <c r="F608" s="1"/>
      <c r="G608" s="1"/>
      <c r="H608" s="1"/>
      <c r="I608" s="1"/>
      <c r="J608" s="1"/>
    </row>
    <row r="609" ht="14.25" customHeight="1">
      <c r="A609" s="52"/>
      <c r="B609" s="53"/>
      <c r="C609" s="53"/>
      <c r="D609" s="1"/>
      <c r="E609" s="1"/>
      <c r="F609" s="1"/>
      <c r="G609" s="1"/>
      <c r="H609" s="1"/>
      <c r="I609" s="1"/>
      <c r="J609" s="1"/>
    </row>
    <row r="610" ht="14.25" customHeight="1">
      <c r="A610" s="52"/>
      <c r="B610" s="53"/>
      <c r="C610" s="53"/>
      <c r="D610" s="1"/>
      <c r="E610" s="1"/>
      <c r="F610" s="1"/>
      <c r="G610" s="1"/>
      <c r="H610" s="1"/>
      <c r="I610" s="1"/>
      <c r="J610" s="1"/>
    </row>
    <row r="611" ht="14.25" customHeight="1">
      <c r="A611" s="52"/>
      <c r="B611" s="53"/>
      <c r="C611" s="53"/>
      <c r="D611" s="1"/>
      <c r="E611" s="1"/>
      <c r="F611" s="1"/>
      <c r="G611" s="1"/>
      <c r="H611" s="1"/>
      <c r="I611" s="1"/>
      <c r="J611" s="1"/>
    </row>
    <row r="612" ht="14.25" customHeight="1">
      <c r="A612" s="52"/>
      <c r="B612" s="53"/>
      <c r="C612" s="53"/>
      <c r="D612" s="1"/>
      <c r="E612" s="1"/>
      <c r="F612" s="1"/>
      <c r="G612" s="1"/>
      <c r="H612" s="1"/>
      <c r="I612" s="1"/>
      <c r="J612" s="1"/>
    </row>
    <row r="613" ht="14.25" customHeight="1">
      <c r="A613" s="52"/>
      <c r="B613" s="53"/>
      <c r="C613" s="53"/>
      <c r="D613" s="1"/>
      <c r="E613" s="1"/>
      <c r="F613" s="1"/>
      <c r="G613" s="1"/>
      <c r="H613" s="1"/>
      <c r="I613" s="1"/>
      <c r="J613" s="1"/>
    </row>
    <row r="614" ht="14.25" customHeight="1">
      <c r="A614" s="52"/>
      <c r="B614" s="53"/>
      <c r="C614" s="53"/>
      <c r="D614" s="1"/>
      <c r="E614" s="1"/>
      <c r="F614" s="1"/>
      <c r="G614" s="1"/>
      <c r="H614" s="1"/>
      <c r="I614" s="1"/>
      <c r="J614" s="1"/>
    </row>
    <row r="615" ht="14.25" customHeight="1">
      <c r="A615" s="52"/>
      <c r="B615" s="53"/>
      <c r="C615" s="53"/>
      <c r="D615" s="1"/>
      <c r="E615" s="1"/>
      <c r="F615" s="1"/>
      <c r="G615" s="1"/>
      <c r="H615" s="1"/>
      <c r="I615" s="1"/>
      <c r="J615" s="1"/>
    </row>
    <row r="616" ht="14.25" customHeight="1">
      <c r="A616" s="52"/>
      <c r="B616" s="53"/>
      <c r="C616" s="53"/>
      <c r="D616" s="1"/>
      <c r="E616" s="1"/>
      <c r="F616" s="1"/>
      <c r="G616" s="1"/>
      <c r="H616" s="1"/>
      <c r="I616" s="1"/>
      <c r="J616" s="1"/>
    </row>
    <row r="617" ht="14.25" customHeight="1">
      <c r="A617" s="52"/>
      <c r="B617" s="53"/>
      <c r="C617" s="53"/>
      <c r="D617" s="1"/>
      <c r="E617" s="1"/>
      <c r="F617" s="1"/>
      <c r="G617" s="1"/>
      <c r="H617" s="1"/>
      <c r="I617" s="1"/>
      <c r="J617" s="1"/>
    </row>
    <row r="618" ht="14.25" customHeight="1">
      <c r="A618" s="52"/>
      <c r="B618" s="53"/>
      <c r="C618" s="53"/>
      <c r="D618" s="1"/>
      <c r="E618" s="1"/>
      <c r="F618" s="1"/>
      <c r="G618" s="1"/>
      <c r="H618" s="1"/>
      <c r="I618" s="1"/>
      <c r="J618" s="1"/>
    </row>
    <row r="619" ht="14.25" customHeight="1">
      <c r="A619" s="52"/>
      <c r="B619" s="53"/>
      <c r="C619" s="53"/>
      <c r="D619" s="1"/>
      <c r="E619" s="1"/>
      <c r="F619" s="1"/>
      <c r="G619" s="1"/>
      <c r="H619" s="1"/>
      <c r="I619" s="1"/>
      <c r="J619" s="1"/>
    </row>
    <row r="620" ht="14.25" customHeight="1">
      <c r="A620" s="52"/>
      <c r="B620" s="53"/>
      <c r="C620" s="53"/>
      <c r="D620" s="1"/>
      <c r="E620" s="1"/>
      <c r="F620" s="1"/>
      <c r="G620" s="1"/>
      <c r="H620" s="1"/>
      <c r="I620" s="1"/>
      <c r="J620" s="1"/>
    </row>
    <row r="621" ht="14.25" customHeight="1">
      <c r="A621" s="52"/>
      <c r="B621" s="53"/>
      <c r="C621" s="53"/>
      <c r="D621" s="1"/>
      <c r="E621" s="1"/>
      <c r="F621" s="1"/>
      <c r="G621" s="1"/>
      <c r="H621" s="1"/>
      <c r="I621" s="1"/>
      <c r="J621" s="1"/>
    </row>
    <row r="622" ht="14.25" customHeight="1">
      <c r="A622" s="52"/>
      <c r="B622" s="53"/>
      <c r="C622" s="53"/>
      <c r="D622" s="1"/>
      <c r="E622" s="1"/>
      <c r="F622" s="1"/>
      <c r="G622" s="1"/>
      <c r="H622" s="1"/>
      <c r="I622" s="1"/>
      <c r="J622" s="1"/>
    </row>
    <row r="623" ht="14.25" customHeight="1">
      <c r="A623" s="52"/>
      <c r="B623" s="53"/>
      <c r="C623" s="53"/>
      <c r="D623" s="1"/>
      <c r="E623" s="1"/>
      <c r="F623" s="1"/>
      <c r="G623" s="1"/>
      <c r="H623" s="1"/>
      <c r="I623" s="1"/>
      <c r="J623" s="1"/>
    </row>
    <row r="624" ht="14.25" customHeight="1">
      <c r="A624" s="52"/>
      <c r="B624" s="53"/>
      <c r="C624" s="53"/>
      <c r="D624" s="1"/>
      <c r="E624" s="1"/>
      <c r="F624" s="1"/>
      <c r="G624" s="1"/>
      <c r="H624" s="1"/>
      <c r="I624" s="1"/>
      <c r="J624" s="1"/>
    </row>
    <row r="625" ht="14.25" customHeight="1">
      <c r="A625" s="52"/>
      <c r="B625" s="53"/>
      <c r="C625" s="53"/>
      <c r="D625" s="1"/>
      <c r="E625" s="1"/>
      <c r="F625" s="1"/>
      <c r="G625" s="1"/>
      <c r="H625" s="1"/>
      <c r="I625" s="1"/>
      <c r="J625" s="1"/>
    </row>
    <row r="626" ht="14.25" customHeight="1">
      <c r="A626" s="52"/>
      <c r="B626" s="53"/>
      <c r="C626" s="53"/>
      <c r="D626" s="1"/>
      <c r="E626" s="1"/>
      <c r="F626" s="1"/>
      <c r="G626" s="1"/>
      <c r="H626" s="1"/>
      <c r="I626" s="1"/>
      <c r="J626" s="1"/>
    </row>
    <row r="627" ht="14.25" customHeight="1">
      <c r="A627" s="52"/>
      <c r="B627" s="53"/>
      <c r="C627" s="53"/>
      <c r="D627" s="1"/>
      <c r="E627" s="1"/>
      <c r="F627" s="1"/>
      <c r="G627" s="1"/>
      <c r="H627" s="1"/>
      <c r="I627" s="1"/>
      <c r="J627" s="1"/>
    </row>
    <row r="628" ht="14.25" customHeight="1">
      <c r="A628" s="52"/>
      <c r="B628" s="53"/>
      <c r="C628" s="53"/>
      <c r="D628" s="1"/>
      <c r="E628" s="1"/>
      <c r="F628" s="1"/>
      <c r="G628" s="1"/>
      <c r="H628" s="1"/>
      <c r="I628" s="1"/>
      <c r="J628" s="1"/>
    </row>
    <row r="629" ht="14.25" customHeight="1">
      <c r="A629" s="52"/>
      <c r="B629" s="53"/>
      <c r="C629" s="53"/>
      <c r="D629" s="1"/>
      <c r="E629" s="1"/>
      <c r="F629" s="1"/>
      <c r="G629" s="1"/>
      <c r="H629" s="1"/>
      <c r="I629" s="1"/>
      <c r="J629" s="1"/>
    </row>
    <row r="630" ht="14.25" customHeight="1">
      <c r="A630" s="52"/>
      <c r="B630" s="53"/>
      <c r="C630" s="53"/>
      <c r="D630" s="1"/>
      <c r="E630" s="1"/>
      <c r="F630" s="1"/>
      <c r="G630" s="1"/>
      <c r="H630" s="1"/>
      <c r="I630" s="1"/>
      <c r="J630" s="1"/>
    </row>
    <row r="631" ht="14.25" customHeight="1">
      <c r="A631" s="52"/>
      <c r="B631" s="53"/>
      <c r="C631" s="53"/>
      <c r="D631" s="1"/>
      <c r="E631" s="1"/>
      <c r="F631" s="1"/>
      <c r="G631" s="1"/>
      <c r="H631" s="1"/>
      <c r="I631" s="1"/>
      <c r="J631" s="1"/>
    </row>
    <row r="632" ht="14.25" customHeight="1">
      <c r="A632" s="52"/>
      <c r="B632" s="53"/>
      <c r="C632" s="53"/>
      <c r="D632" s="1"/>
      <c r="E632" s="1"/>
      <c r="F632" s="1"/>
      <c r="G632" s="1"/>
      <c r="H632" s="1"/>
      <c r="I632" s="1"/>
      <c r="J632" s="1"/>
    </row>
    <row r="633" ht="14.25" customHeight="1">
      <c r="A633" s="52"/>
      <c r="B633" s="53"/>
      <c r="C633" s="53"/>
      <c r="D633" s="1"/>
      <c r="E633" s="1"/>
      <c r="F633" s="1"/>
      <c r="G633" s="1"/>
      <c r="H633" s="1"/>
      <c r="I633" s="1"/>
      <c r="J633" s="1"/>
    </row>
    <row r="634" ht="14.25" customHeight="1">
      <c r="A634" s="52"/>
      <c r="B634" s="53"/>
      <c r="C634" s="53"/>
      <c r="D634" s="1"/>
      <c r="E634" s="1"/>
      <c r="F634" s="1"/>
      <c r="G634" s="1"/>
      <c r="H634" s="1"/>
      <c r="I634" s="1"/>
      <c r="J634" s="1"/>
    </row>
    <row r="635" ht="14.25" customHeight="1">
      <c r="A635" s="52"/>
      <c r="B635" s="53"/>
      <c r="C635" s="53"/>
      <c r="D635" s="1"/>
      <c r="E635" s="1"/>
      <c r="F635" s="1"/>
      <c r="G635" s="1"/>
      <c r="H635" s="1"/>
      <c r="I635" s="1"/>
      <c r="J635" s="1"/>
    </row>
    <row r="636" ht="14.25" customHeight="1">
      <c r="A636" s="52"/>
      <c r="B636" s="53"/>
      <c r="C636" s="53"/>
      <c r="D636" s="1"/>
      <c r="E636" s="1"/>
      <c r="F636" s="1"/>
      <c r="G636" s="1"/>
      <c r="H636" s="1"/>
      <c r="I636" s="1"/>
      <c r="J636" s="1"/>
    </row>
    <row r="637" ht="14.25" customHeight="1">
      <c r="A637" s="52"/>
      <c r="B637" s="53"/>
      <c r="C637" s="53"/>
      <c r="D637" s="1"/>
      <c r="E637" s="1"/>
      <c r="F637" s="1"/>
      <c r="G637" s="1"/>
      <c r="H637" s="1"/>
      <c r="I637" s="1"/>
      <c r="J637" s="1"/>
    </row>
    <row r="638" ht="14.25" customHeight="1">
      <c r="A638" s="52"/>
      <c r="B638" s="53"/>
      <c r="C638" s="53"/>
      <c r="D638" s="1"/>
      <c r="E638" s="1"/>
      <c r="F638" s="1"/>
      <c r="G638" s="1"/>
      <c r="H638" s="1"/>
      <c r="I638" s="1"/>
      <c r="J638" s="1"/>
    </row>
    <row r="639" ht="14.25" customHeight="1">
      <c r="A639" s="52"/>
      <c r="B639" s="53"/>
      <c r="C639" s="53"/>
      <c r="D639" s="1"/>
      <c r="E639" s="1"/>
      <c r="F639" s="1"/>
      <c r="G639" s="1"/>
      <c r="H639" s="1"/>
      <c r="I639" s="1"/>
      <c r="J639" s="1"/>
    </row>
    <row r="640" ht="14.25" customHeight="1">
      <c r="A640" s="52"/>
      <c r="B640" s="53"/>
      <c r="C640" s="53"/>
      <c r="D640" s="1"/>
      <c r="E640" s="1"/>
      <c r="F640" s="1"/>
      <c r="G640" s="1"/>
      <c r="H640" s="1"/>
      <c r="I640" s="1"/>
      <c r="J640" s="1"/>
    </row>
    <row r="641" ht="14.25" customHeight="1">
      <c r="A641" s="52"/>
      <c r="B641" s="53"/>
      <c r="C641" s="53"/>
      <c r="D641" s="1"/>
      <c r="E641" s="1"/>
      <c r="F641" s="1"/>
      <c r="G641" s="1"/>
      <c r="H641" s="1"/>
      <c r="I641" s="1"/>
      <c r="J641" s="1"/>
    </row>
    <row r="642" ht="14.25" customHeight="1">
      <c r="A642" s="52"/>
      <c r="B642" s="53"/>
      <c r="C642" s="53"/>
      <c r="D642" s="1"/>
      <c r="E642" s="1"/>
      <c r="F642" s="1"/>
      <c r="G642" s="1"/>
      <c r="H642" s="1"/>
      <c r="I642" s="1"/>
      <c r="J642" s="1"/>
    </row>
    <row r="643" ht="14.25" customHeight="1">
      <c r="A643" s="52"/>
      <c r="B643" s="53"/>
      <c r="C643" s="53"/>
      <c r="D643" s="1"/>
      <c r="E643" s="1"/>
      <c r="F643" s="1"/>
      <c r="G643" s="1"/>
      <c r="H643" s="1"/>
      <c r="I643" s="1"/>
      <c r="J643" s="1"/>
    </row>
    <row r="644" ht="14.25" customHeight="1">
      <c r="A644" s="52"/>
      <c r="B644" s="53"/>
      <c r="C644" s="53"/>
      <c r="D644" s="1"/>
      <c r="E644" s="1"/>
      <c r="F644" s="1"/>
      <c r="G644" s="1"/>
      <c r="H644" s="1"/>
      <c r="I644" s="1"/>
      <c r="J644" s="1"/>
    </row>
    <row r="645" ht="14.25" customHeight="1">
      <c r="A645" s="52"/>
      <c r="B645" s="53"/>
      <c r="C645" s="53"/>
      <c r="D645" s="1"/>
      <c r="E645" s="1"/>
      <c r="F645" s="1"/>
      <c r="G645" s="1"/>
      <c r="H645" s="1"/>
      <c r="I645" s="1"/>
      <c r="J645" s="1"/>
    </row>
    <row r="646" ht="14.25" customHeight="1">
      <c r="A646" s="52"/>
      <c r="B646" s="53"/>
      <c r="C646" s="53"/>
      <c r="D646" s="1"/>
      <c r="E646" s="1"/>
      <c r="F646" s="1"/>
      <c r="G646" s="1"/>
      <c r="H646" s="1"/>
      <c r="I646" s="1"/>
      <c r="J646" s="1"/>
    </row>
    <row r="647" ht="14.25" customHeight="1">
      <c r="A647" s="52"/>
      <c r="B647" s="53"/>
      <c r="C647" s="53"/>
      <c r="D647" s="1"/>
      <c r="E647" s="1"/>
      <c r="F647" s="1"/>
      <c r="G647" s="1"/>
      <c r="H647" s="1"/>
      <c r="I647" s="1"/>
      <c r="J647" s="1"/>
    </row>
    <row r="648" ht="14.25" customHeight="1">
      <c r="A648" s="52"/>
      <c r="B648" s="53"/>
      <c r="C648" s="53"/>
      <c r="D648" s="1"/>
      <c r="E648" s="1"/>
      <c r="F648" s="1"/>
      <c r="G648" s="1"/>
      <c r="H648" s="1"/>
      <c r="I648" s="1"/>
      <c r="J648" s="1"/>
    </row>
    <row r="649" ht="14.25" customHeight="1">
      <c r="A649" s="52"/>
      <c r="B649" s="53"/>
      <c r="C649" s="53"/>
      <c r="D649" s="1"/>
      <c r="E649" s="1"/>
      <c r="F649" s="1"/>
      <c r="G649" s="1"/>
      <c r="H649" s="1"/>
      <c r="I649" s="1"/>
      <c r="J649" s="1"/>
    </row>
    <row r="650" ht="14.25" customHeight="1">
      <c r="A650" s="52"/>
      <c r="B650" s="53"/>
      <c r="C650" s="53"/>
      <c r="D650" s="1"/>
      <c r="E650" s="1"/>
      <c r="F650" s="1"/>
      <c r="G650" s="1"/>
      <c r="H650" s="1"/>
      <c r="I650" s="1"/>
      <c r="J650" s="1"/>
    </row>
    <row r="651" ht="14.25" customHeight="1">
      <c r="A651" s="52"/>
      <c r="B651" s="53"/>
      <c r="C651" s="53"/>
      <c r="D651" s="1"/>
      <c r="E651" s="1"/>
      <c r="F651" s="1"/>
      <c r="G651" s="1"/>
      <c r="H651" s="1"/>
      <c r="I651" s="1"/>
      <c r="J651" s="1"/>
    </row>
    <row r="652" ht="14.25" customHeight="1">
      <c r="A652" s="52"/>
      <c r="B652" s="53"/>
      <c r="C652" s="53"/>
      <c r="D652" s="1"/>
      <c r="E652" s="1"/>
      <c r="F652" s="1"/>
      <c r="G652" s="1"/>
      <c r="H652" s="1"/>
      <c r="I652" s="1"/>
      <c r="J652" s="1"/>
    </row>
    <row r="653" ht="14.25" customHeight="1">
      <c r="A653" s="52"/>
      <c r="B653" s="53"/>
      <c r="C653" s="53"/>
      <c r="D653" s="1"/>
      <c r="E653" s="1"/>
      <c r="F653" s="1"/>
      <c r="G653" s="1"/>
      <c r="H653" s="1"/>
      <c r="I653" s="1"/>
      <c r="J653" s="1"/>
    </row>
    <row r="654" ht="14.25" customHeight="1">
      <c r="A654" s="52"/>
      <c r="B654" s="53"/>
      <c r="C654" s="53"/>
      <c r="D654" s="1"/>
      <c r="E654" s="1"/>
      <c r="F654" s="1"/>
      <c r="G654" s="1"/>
      <c r="H654" s="1"/>
      <c r="I654" s="1"/>
      <c r="J654" s="1"/>
    </row>
    <row r="655" ht="14.25" customHeight="1">
      <c r="A655" s="52"/>
      <c r="B655" s="53"/>
      <c r="C655" s="53"/>
      <c r="D655" s="1"/>
      <c r="E655" s="1"/>
      <c r="F655" s="1"/>
      <c r="G655" s="1"/>
      <c r="H655" s="1"/>
      <c r="I655" s="1"/>
      <c r="J655" s="1"/>
    </row>
    <row r="656" ht="14.25" customHeight="1">
      <c r="A656" s="52"/>
      <c r="B656" s="53"/>
      <c r="C656" s="53"/>
      <c r="D656" s="1"/>
      <c r="E656" s="1"/>
      <c r="F656" s="1"/>
      <c r="G656" s="1"/>
      <c r="H656" s="1"/>
      <c r="I656" s="1"/>
      <c r="J656" s="1"/>
    </row>
    <row r="657" ht="14.25" customHeight="1">
      <c r="A657" s="52"/>
      <c r="B657" s="53"/>
      <c r="C657" s="53"/>
      <c r="D657" s="1"/>
      <c r="E657" s="1"/>
      <c r="F657" s="1"/>
      <c r="G657" s="1"/>
      <c r="H657" s="1"/>
      <c r="I657" s="1"/>
      <c r="J657" s="1"/>
    </row>
    <row r="658" ht="14.25" customHeight="1">
      <c r="A658" s="52"/>
      <c r="B658" s="53"/>
      <c r="C658" s="53"/>
      <c r="D658" s="1"/>
      <c r="E658" s="1"/>
      <c r="F658" s="1"/>
      <c r="G658" s="1"/>
      <c r="H658" s="1"/>
      <c r="I658" s="1"/>
      <c r="J658" s="1"/>
    </row>
    <row r="659" ht="14.25" customHeight="1">
      <c r="A659" s="52"/>
      <c r="B659" s="53"/>
      <c r="C659" s="53"/>
      <c r="D659" s="1"/>
      <c r="E659" s="1"/>
      <c r="F659" s="1"/>
      <c r="G659" s="1"/>
      <c r="H659" s="1"/>
      <c r="I659" s="1"/>
      <c r="J659" s="1"/>
    </row>
    <row r="660" ht="14.25" customHeight="1">
      <c r="A660" s="52"/>
      <c r="B660" s="53"/>
      <c r="C660" s="53"/>
      <c r="D660" s="1"/>
      <c r="E660" s="1"/>
      <c r="F660" s="1"/>
      <c r="G660" s="1"/>
      <c r="H660" s="1"/>
      <c r="I660" s="1"/>
      <c r="J660" s="1"/>
    </row>
    <row r="661" ht="14.25" customHeight="1">
      <c r="A661" s="52"/>
      <c r="B661" s="53"/>
      <c r="C661" s="53"/>
      <c r="D661" s="1"/>
      <c r="E661" s="1"/>
      <c r="F661" s="1"/>
      <c r="G661" s="1"/>
      <c r="H661" s="1"/>
      <c r="I661" s="1"/>
      <c r="J661" s="1"/>
    </row>
    <row r="662" ht="14.25" customHeight="1">
      <c r="A662" s="52"/>
      <c r="B662" s="53"/>
      <c r="C662" s="53"/>
      <c r="D662" s="1"/>
      <c r="E662" s="1"/>
      <c r="F662" s="1"/>
      <c r="G662" s="1"/>
      <c r="H662" s="1"/>
      <c r="I662" s="1"/>
      <c r="J662" s="1"/>
    </row>
    <row r="663" ht="14.25" customHeight="1">
      <c r="A663" s="52"/>
      <c r="B663" s="53"/>
      <c r="C663" s="53"/>
      <c r="D663" s="1"/>
      <c r="E663" s="1"/>
      <c r="F663" s="1"/>
      <c r="G663" s="1"/>
      <c r="H663" s="1"/>
      <c r="I663" s="1"/>
      <c r="J663" s="1"/>
    </row>
    <row r="664" ht="14.25" customHeight="1">
      <c r="A664" s="52"/>
      <c r="B664" s="53"/>
      <c r="C664" s="53"/>
      <c r="D664" s="1"/>
      <c r="E664" s="1"/>
      <c r="F664" s="1"/>
      <c r="G664" s="1"/>
      <c r="H664" s="1"/>
      <c r="I664" s="1"/>
      <c r="J664" s="1"/>
    </row>
    <row r="665" ht="14.25" customHeight="1">
      <c r="A665" s="52"/>
      <c r="B665" s="53"/>
      <c r="C665" s="53"/>
      <c r="D665" s="1"/>
      <c r="E665" s="1"/>
      <c r="F665" s="1"/>
      <c r="G665" s="1"/>
      <c r="H665" s="1"/>
      <c r="I665" s="1"/>
      <c r="J665" s="1"/>
    </row>
    <row r="666" ht="14.25" customHeight="1">
      <c r="A666" s="52"/>
      <c r="B666" s="53"/>
      <c r="C666" s="53"/>
      <c r="D666" s="1"/>
      <c r="E666" s="1"/>
      <c r="F666" s="1"/>
      <c r="G666" s="1"/>
      <c r="H666" s="1"/>
      <c r="I666" s="1"/>
      <c r="J666" s="1"/>
    </row>
    <row r="667" ht="14.25" customHeight="1">
      <c r="A667" s="52"/>
      <c r="B667" s="53"/>
      <c r="C667" s="53"/>
      <c r="D667" s="1"/>
      <c r="E667" s="1"/>
      <c r="F667" s="1"/>
      <c r="G667" s="1"/>
      <c r="H667" s="1"/>
      <c r="I667" s="1"/>
      <c r="J667" s="1"/>
    </row>
    <row r="668" ht="14.25" customHeight="1">
      <c r="A668" s="52"/>
      <c r="B668" s="53"/>
      <c r="C668" s="53"/>
      <c r="D668" s="1"/>
      <c r="E668" s="1"/>
      <c r="F668" s="1"/>
      <c r="G668" s="1"/>
      <c r="H668" s="1"/>
      <c r="I668" s="1"/>
      <c r="J668" s="1"/>
    </row>
    <row r="669" ht="14.25" customHeight="1">
      <c r="A669" s="52"/>
      <c r="B669" s="53"/>
      <c r="C669" s="53"/>
      <c r="D669" s="1"/>
      <c r="E669" s="1"/>
      <c r="F669" s="1"/>
      <c r="G669" s="1"/>
      <c r="H669" s="1"/>
      <c r="I669" s="1"/>
      <c r="J669" s="1"/>
    </row>
    <row r="670" ht="14.25" customHeight="1">
      <c r="A670" s="52"/>
      <c r="B670" s="53"/>
      <c r="C670" s="53"/>
      <c r="D670" s="1"/>
      <c r="E670" s="1"/>
      <c r="F670" s="1"/>
      <c r="G670" s="1"/>
      <c r="H670" s="1"/>
      <c r="I670" s="1"/>
      <c r="J670" s="1"/>
    </row>
    <row r="671" ht="14.25" customHeight="1">
      <c r="A671" s="52"/>
      <c r="B671" s="53"/>
      <c r="C671" s="53"/>
      <c r="D671" s="1"/>
      <c r="E671" s="1"/>
      <c r="F671" s="1"/>
      <c r="G671" s="1"/>
      <c r="H671" s="1"/>
      <c r="I671" s="1"/>
      <c r="J671" s="1"/>
    </row>
    <row r="672" ht="14.25" customHeight="1">
      <c r="A672" s="52"/>
      <c r="B672" s="53"/>
      <c r="C672" s="53"/>
      <c r="D672" s="1"/>
      <c r="E672" s="1"/>
      <c r="F672" s="1"/>
      <c r="G672" s="1"/>
      <c r="H672" s="1"/>
      <c r="I672" s="1"/>
      <c r="J672" s="1"/>
    </row>
    <row r="673" ht="14.25" customHeight="1">
      <c r="A673" s="52"/>
      <c r="B673" s="53"/>
      <c r="C673" s="53"/>
      <c r="D673" s="1"/>
      <c r="E673" s="1"/>
      <c r="F673" s="1"/>
      <c r="G673" s="1"/>
      <c r="H673" s="1"/>
      <c r="I673" s="1"/>
      <c r="J673" s="1"/>
    </row>
    <row r="674" ht="14.25" customHeight="1">
      <c r="A674" s="52"/>
      <c r="B674" s="53"/>
      <c r="C674" s="53"/>
      <c r="D674" s="1"/>
      <c r="E674" s="1"/>
      <c r="F674" s="1"/>
      <c r="G674" s="1"/>
      <c r="H674" s="1"/>
      <c r="I674" s="1"/>
      <c r="J674" s="1"/>
    </row>
    <row r="675" ht="14.25" customHeight="1">
      <c r="A675" s="52"/>
      <c r="B675" s="53"/>
      <c r="C675" s="53"/>
      <c r="D675" s="1"/>
      <c r="E675" s="1"/>
      <c r="F675" s="1"/>
      <c r="G675" s="1"/>
      <c r="H675" s="1"/>
      <c r="I675" s="1"/>
      <c r="J675" s="1"/>
    </row>
    <row r="676" ht="14.25" customHeight="1">
      <c r="A676" s="52"/>
      <c r="B676" s="53"/>
      <c r="C676" s="53"/>
      <c r="D676" s="1"/>
      <c r="E676" s="1"/>
      <c r="F676" s="1"/>
      <c r="G676" s="1"/>
      <c r="H676" s="1"/>
      <c r="I676" s="1"/>
      <c r="J676" s="1"/>
    </row>
    <row r="677" ht="14.25" customHeight="1">
      <c r="A677" s="52"/>
      <c r="B677" s="53"/>
      <c r="C677" s="53"/>
      <c r="D677" s="1"/>
      <c r="E677" s="1"/>
      <c r="F677" s="1"/>
      <c r="G677" s="1"/>
      <c r="H677" s="1"/>
      <c r="I677" s="1"/>
      <c r="J677" s="1"/>
    </row>
    <row r="678" ht="14.25" customHeight="1">
      <c r="A678" s="52"/>
      <c r="B678" s="53"/>
      <c r="C678" s="53"/>
      <c r="D678" s="1"/>
      <c r="E678" s="1"/>
      <c r="F678" s="1"/>
      <c r="G678" s="1"/>
      <c r="H678" s="1"/>
      <c r="I678" s="1"/>
      <c r="J678" s="1"/>
    </row>
    <row r="679" ht="14.25" customHeight="1">
      <c r="A679" s="52"/>
      <c r="B679" s="53"/>
      <c r="C679" s="53"/>
      <c r="D679" s="1"/>
      <c r="E679" s="1"/>
      <c r="F679" s="1"/>
      <c r="G679" s="1"/>
      <c r="H679" s="1"/>
      <c r="I679" s="1"/>
      <c r="J679" s="1"/>
    </row>
    <row r="680" ht="14.25" customHeight="1">
      <c r="A680" s="52"/>
      <c r="B680" s="53"/>
      <c r="C680" s="53"/>
      <c r="D680" s="1"/>
      <c r="E680" s="1"/>
      <c r="F680" s="1"/>
      <c r="G680" s="1"/>
      <c r="H680" s="1"/>
      <c r="I680" s="1"/>
      <c r="J680" s="1"/>
    </row>
    <row r="681" ht="14.25" customHeight="1">
      <c r="A681" s="52"/>
      <c r="B681" s="53"/>
      <c r="C681" s="53"/>
      <c r="D681" s="1"/>
      <c r="E681" s="1"/>
      <c r="F681" s="1"/>
      <c r="G681" s="1"/>
      <c r="H681" s="1"/>
      <c r="I681" s="1"/>
      <c r="J681" s="1"/>
    </row>
    <row r="682" ht="14.25" customHeight="1">
      <c r="A682" s="52"/>
      <c r="B682" s="53"/>
      <c r="C682" s="53"/>
      <c r="D682" s="1"/>
      <c r="E682" s="1"/>
      <c r="F682" s="1"/>
      <c r="G682" s="1"/>
      <c r="H682" s="1"/>
      <c r="I682" s="1"/>
      <c r="J682" s="1"/>
    </row>
    <row r="683" ht="14.25" customHeight="1">
      <c r="A683" s="52"/>
      <c r="B683" s="53"/>
      <c r="C683" s="53"/>
      <c r="D683" s="1"/>
      <c r="E683" s="1"/>
      <c r="F683" s="1"/>
      <c r="G683" s="1"/>
      <c r="H683" s="1"/>
      <c r="I683" s="1"/>
      <c r="J683" s="1"/>
    </row>
    <row r="684" ht="14.25" customHeight="1">
      <c r="A684" s="52"/>
      <c r="B684" s="53"/>
      <c r="C684" s="53"/>
      <c r="D684" s="1"/>
      <c r="E684" s="1"/>
      <c r="F684" s="1"/>
      <c r="G684" s="1"/>
      <c r="H684" s="1"/>
      <c r="I684" s="1"/>
      <c r="J684" s="1"/>
    </row>
    <row r="685" ht="14.25" customHeight="1">
      <c r="A685" s="52"/>
      <c r="B685" s="53"/>
      <c r="C685" s="53"/>
      <c r="D685" s="1"/>
      <c r="E685" s="1"/>
      <c r="F685" s="1"/>
      <c r="G685" s="1"/>
      <c r="H685" s="1"/>
      <c r="I685" s="1"/>
      <c r="J685" s="1"/>
    </row>
    <row r="686" ht="14.25" customHeight="1">
      <c r="A686" s="52"/>
      <c r="B686" s="53"/>
      <c r="C686" s="53"/>
      <c r="D686" s="1"/>
      <c r="E686" s="1"/>
      <c r="F686" s="1"/>
      <c r="G686" s="1"/>
      <c r="H686" s="1"/>
      <c r="I686" s="1"/>
      <c r="J686" s="1"/>
    </row>
    <row r="687" ht="14.25" customHeight="1">
      <c r="A687" s="52"/>
      <c r="B687" s="53"/>
      <c r="C687" s="53"/>
      <c r="D687" s="1"/>
      <c r="E687" s="1"/>
      <c r="F687" s="1"/>
      <c r="G687" s="1"/>
      <c r="H687" s="1"/>
      <c r="I687" s="1"/>
      <c r="J687" s="1"/>
    </row>
    <row r="688" ht="14.25" customHeight="1">
      <c r="A688" s="52"/>
      <c r="B688" s="53"/>
      <c r="C688" s="53"/>
      <c r="D688" s="1"/>
      <c r="E688" s="1"/>
      <c r="F688" s="1"/>
      <c r="G688" s="1"/>
      <c r="H688" s="1"/>
      <c r="I688" s="1"/>
      <c r="J688" s="1"/>
    </row>
    <row r="689" ht="14.25" customHeight="1">
      <c r="A689" s="52"/>
      <c r="B689" s="53"/>
      <c r="C689" s="53"/>
      <c r="D689" s="1"/>
      <c r="E689" s="1"/>
      <c r="F689" s="1"/>
      <c r="G689" s="1"/>
      <c r="H689" s="1"/>
      <c r="I689" s="1"/>
      <c r="J689" s="1"/>
    </row>
    <row r="690" ht="14.25" customHeight="1">
      <c r="A690" s="52"/>
      <c r="B690" s="53"/>
      <c r="C690" s="53"/>
      <c r="D690" s="1"/>
      <c r="E690" s="1"/>
      <c r="F690" s="1"/>
      <c r="G690" s="1"/>
      <c r="H690" s="1"/>
      <c r="I690" s="1"/>
      <c r="J690" s="1"/>
    </row>
    <row r="691" ht="14.25" customHeight="1">
      <c r="A691" s="52"/>
      <c r="B691" s="53"/>
      <c r="C691" s="53"/>
      <c r="D691" s="1"/>
      <c r="E691" s="1"/>
      <c r="F691" s="1"/>
      <c r="G691" s="1"/>
      <c r="H691" s="1"/>
      <c r="I691" s="1"/>
      <c r="J691" s="1"/>
    </row>
    <row r="692" ht="14.25" customHeight="1">
      <c r="A692" s="52"/>
      <c r="B692" s="53"/>
      <c r="C692" s="53"/>
      <c r="D692" s="1"/>
      <c r="E692" s="1"/>
      <c r="F692" s="1"/>
      <c r="G692" s="1"/>
      <c r="H692" s="1"/>
      <c r="I692" s="1"/>
      <c r="J692" s="1"/>
    </row>
    <row r="693" ht="14.25" customHeight="1">
      <c r="A693" s="52"/>
      <c r="B693" s="53"/>
      <c r="C693" s="53"/>
      <c r="D693" s="1"/>
      <c r="E693" s="1"/>
      <c r="F693" s="1"/>
      <c r="G693" s="1"/>
      <c r="H693" s="1"/>
      <c r="I693" s="1"/>
      <c r="J693" s="1"/>
    </row>
    <row r="694" ht="14.25" customHeight="1">
      <c r="A694" s="52"/>
      <c r="B694" s="53"/>
      <c r="C694" s="53"/>
      <c r="D694" s="1"/>
      <c r="E694" s="1"/>
      <c r="F694" s="1"/>
      <c r="G694" s="1"/>
      <c r="H694" s="1"/>
      <c r="I694" s="1"/>
      <c r="J694" s="1"/>
    </row>
    <row r="695" ht="14.25" customHeight="1">
      <c r="A695" s="52"/>
      <c r="B695" s="53"/>
      <c r="C695" s="53"/>
      <c r="D695" s="1"/>
      <c r="E695" s="1"/>
      <c r="F695" s="1"/>
      <c r="G695" s="1"/>
      <c r="H695" s="1"/>
      <c r="I695" s="1"/>
      <c r="J695" s="1"/>
    </row>
    <row r="696" ht="14.25" customHeight="1">
      <c r="A696" s="52"/>
      <c r="B696" s="53"/>
      <c r="C696" s="53"/>
      <c r="D696" s="1"/>
      <c r="E696" s="1"/>
      <c r="F696" s="1"/>
      <c r="G696" s="1"/>
      <c r="H696" s="1"/>
      <c r="I696" s="1"/>
      <c r="J696" s="1"/>
    </row>
    <row r="697" ht="14.25" customHeight="1">
      <c r="A697" s="52"/>
      <c r="B697" s="53"/>
      <c r="C697" s="53"/>
      <c r="D697" s="1"/>
      <c r="E697" s="1"/>
      <c r="F697" s="1"/>
      <c r="G697" s="1"/>
      <c r="H697" s="1"/>
      <c r="I697" s="1"/>
      <c r="J697" s="1"/>
    </row>
    <row r="698" ht="14.25" customHeight="1">
      <c r="A698" s="52"/>
      <c r="B698" s="53"/>
      <c r="C698" s="53"/>
      <c r="D698" s="1"/>
      <c r="E698" s="1"/>
      <c r="F698" s="1"/>
      <c r="G698" s="1"/>
      <c r="H698" s="1"/>
      <c r="I698" s="1"/>
      <c r="J698" s="1"/>
    </row>
    <row r="699" ht="14.25" customHeight="1">
      <c r="A699" s="52"/>
      <c r="B699" s="53"/>
      <c r="C699" s="53"/>
      <c r="D699" s="1"/>
      <c r="E699" s="1"/>
      <c r="F699" s="1"/>
      <c r="G699" s="1"/>
      <c r="H699" s="1"/>
      <c r="I699" s="1"/>
      <c r="J699" s="1"/>
    </row>
    <row r="700" ht="14.25" customHeight="1">
      <c r="A700" s="52"/>
      <c r="B700" s="53"/>
      <c r="C700" s="53"/>
      <c r="D700" s="1"/>
      <c r="E700" s="1"/>
      <c r="F700" s="1"/>
      <c r="G700" s="1"/>
      <c r="H700" s="1"/>
      <c r="I700" s="1"/>
      <c r="J700" s="1"/>
    </row>
    <row r="701" ht="14.25" customHeight="1">
      <c r="A701" s="52"/>
      <c r="B701" s="53"/>
      <c r="C701" s="53"/>
      <c r="D701" s="1"/>
      <c r="E701" s="1"/>
      <c r="F701" s="1"/>
      <c r="G701" s="1"/>
      <c r="H701" s="1"/>
      <c r="I701" s="1"/>
      <c r="J701" s="1"/>
    </row>
    <row r="702" ht="14.25" customHeight="1">
      <c r="A702" s="52"/>
      <c r="B702" s="53"/>
      <c r="C702" s="53"/>
      <c r="D702" s="1"/>
      <c r="E702" s="1"/>
      <c r="F702" s="1"/>
      <c r="G702" s="1"/>
      <c r="H702" s="1"/>
      <c r="I702" s="1"/>
      <c r="J702" s="1"/>
    </row>
    <row r="703" ht="14.25" customHeight="1">
      <c r="A703" s="52"/>
      <c r="B703" s="53"/>
      <c r="C703" s="53"/>
      <c r="D703" s="1"/>
      <c r="E703" s="1"/>
      <c r="F703" s="1"/>
      <c r="G703" s="1"/>
      <c r="H703" s="1"/>
      <c r="I703" s="1"/>
      <c r="J703" s="1"/>
    </row>
    <row r="704" ht="14.25" customHeight="1">
      <c r="A704" s="52"/>
      <c r="B704" s="53"/>
      <c r="C704" s="53"/>
      <c r="D704" s="1"/>
      <c r="E704" s="1"/>
      <c r="F704" s="1"/>
      <c r="G704" s="1"/>
      <c r="H704" s="1"/>
      <c r="I704" s="1"/>
      <c r="J704" s="1"/>
    </row>
    <row r="705" ht="14.25" customHeight="1">
      <c r="A705" s="52"/>
      <c r="B705" s="53"/>
      <c r="C705" s="53"/>
      <c r="D705" s="1"/>
      <c r="E705" s="1"/>
      <c r="F705" s="1"/>
      <c r="G705" s="1"/>
      <c r="H705" s="1"/>
      <c r="I705" s="1"/>
      <c r="J705" s="1"/>
    </row>
    <row r="706" ht="14.25" customHeight="1">
      <c r="A706" s="52"/>
      <c r="B706" s="53"/>
      <c r="C706" s="53"/>
      <c r="D706" s="1"/>
      <c r="E706" s="1"/>
      <c r="F706" s="1"/>
      <c r="G706" s="1"/>
      <c r="H706" s="1"/>
      <c r="I706" s="1"/>
      <c r="J706" s="1"/>
    </row>
    <row r="707" ht="14.25" customHeight="1">
      <c r="A707" s="52"/>
      <c r="B707" s="53"/>
      <c r="C707" s="53"/>
      <c r="D707" s="1"/>
      <c r="E707" s="1"/>
      <c r="F707" s="1"/>
      <c r="G707" s="1"/>
      <c r="H707" s="1"/>
      <c r="I707" s="1"/>
      <c r="J707" s="1"/>
    </row>
    <row r="708" ht="14.25" customHeight="1">
      <c r="A708" s="52"/>
      <c r="B708" s="53"/>
      <c r="C708" s="53"/>
      <c r="D708" s="1"/>
      <c r="E708" s="1"/>
      <c r="F708" s="1"/>
      <c r="G708" s="1"/>
      <c r="H708" s="1"/>
      <c r="I708" s="1"/>
      <c r="J708" s="1"/>
    </row>
    <row r="709" ht="14.25" customHeight="1">
      <c r="A709" s="52"/>
      <c r="B709" s="53"/>
      <c r="C709" s="53"/>
      <c r="D709" s="1"/>
      <c r="E709" s="1"/>
      <c r="F709" s="1"/>
      <c r="G709" s="1"/>
      <c r="H709" s="1"/>
      <c r="I709" s="1"/>
      <c r="J709" s="1"/>
    </row>
    <row r="710" ht="14.25" customHeight="1">
      <c r="A710" s="52"/>
      <c r="B710" s="53"/>
      <c r="C710" s="53"/>
      <c r="D710" s="1"/>
      <c r="E710" s="1"/>
      <c r="F710" s="1"/>
      <c r="G710" s="1"/>
      <c r="H710" s="1"/>
      <c r="I710" s="1"/>
      <c r="J710" s="1"/>
    </row>
    <row r="711" ht="14.25" customHeight="1">
      <c r="A711" s="52"/>
      <c r="B711" s="53"/>
      <c r="C711" s="53"/>
      <c r="D711" s="1"/>
      <c r="E711" s="1"/>
      <c r="F711" s="1"/>
      <c r="G711" s="1"/>
      <c r="H711" s="1"/>
      <c r="I711" s="1"/>
      <c r="J711" s="1"/>
    </row>
    <row r="712" ht="14.25" customHeight="1">
      <c r="A712" s="52"/>
      <c r="B712" s="53"/>
      <c r="C712" s="53"/>
      <c r="D712" s="1"/>
      <c r="E712" s="1"/>
      <c r="F712" s="1"/>
      <c r="G712" s="1"/>
      <c r="H712" s="1"/>
      <c r="I712" s="1"/>
      <c r="J712" s="1"/>
    </row>
    <row r="713" ht="14.25" customHeight="1">
      <c r="A713" s="52"/>
      <c r="B713" s="53"/>
      <c r="C713" s="53"/>
      <c r="D713" s="1"/>
      <c r="E713" s="1"/>
      <c r="F713" s="1"/>
      <c r="G713" s="1"/>
      <c r="H713" s="1"/>
      <c r="I713" s="1"/>
      <c r="J713" s="1"/>
    </row>
    <row r="714" ht="14.25" customHeight="1">
      <c r="A714" s="52"/>
      <c r="B714" s="53"/>
      <c r="C714" s="53"/>
      <c r="D714" s="1"/>
      <c r="E714" s="1"/>
      <c r="F714" s="1"/>
      <c r="G714" s="1"/>
      <c r="H714" s="1"/>
      <c r="I714" s="1"/>
      <c r="J714" s="1"/>
    </row>
    <row r="715" ht="14.25" customHeight="1">
      <c r="A715" s="52"/>
      <c r="B715" s="53"/>
      <c r="C715" s="53"/>
      <c r="D715" s="1"/>
      <c r="E715" s="1"/>
      <c r="F715" s="1"/>
      <c r="G715" s="1"/>
      <c r="H715" s="1"/>
      <c r="I715" s="1"/>
      <c r="J715" s="1"/>
    </row>
    <row r="716" ht="14.25" customHeight="1">
      <c r="A716" s="52"/>
      <c r="B716" s="53"/>
      <c r="C716" s="53"/>
      <c r="D716" s="1"/>
      <c r="E716" s="1"/>
      <c r="F716" s="1"/>
      <c r="G716" s="1"/>
      <c r="H716" s="1"/>
      <c r="I716" s="1"/>
      <c r="J716" s="1"/>
    </row>
    <row r="717" ht="14.25" customHeight="1">
      <c r="A717" s="52"/>
      <c r="B717" s="53"/>
      <c r="C717" s="53"/>
      <c r="D717" s="1"/>
      <c r="E717" s="1"/>
      <c r="F717" s="1"/>
      <c r="G717" s="1"/>
      <c r="H717" s="1"/>
      <c r="I717" s="1"/>
      <c r="J717" s="1"/>
    </row>
    <row r="718" ht="14.25" customHeight="1">
      <c r="A718" s="52"/>
      <c r="B718" s="53"/>
      <c r="C718" s="53"/>
      <c r="D718" s="1"/>
      <c r="E718" s="1"/>
      <c r="F718" s="1"/>
      <c r="G718" s="1"/>
      <c r="H718" s="1"/>
      <c r="I718" s="1"/>
      <c r="J718" s="1"/>
    </row>
    <row r="719" ht="14.25" customHeight="1">
      <c r="A719" s="52"/>
      <c r="B719" s="53"/>
      <c r="C719" s="53"/>
      <c r="D719" s="1"/>
      <c r="E719" s="1"/>
      <c r="F719" s="1"/>
      <c r="G719" s="1"/>
      <c r="H719" s="1"/>
      <c r="I719" s="1"/>
      <c r="J719" s="1"/>
    </row>
    <row r="720" ht="14.25" customHeight="1">
      <c r="A720" s="52"/>
      <c r="B720" s="53"/>
      <c r="C720" s="53"/>
      <c r="D720" s="1"/>
      <c r="E720" s="1"/>
      <c r="F720" s="1"/>
      <c r="G720" s="1"/>
      <c r="H720" s="1"/>
      <c r="I720" s="1"/>
      <c r="J720" s="1"/>
    </row>
    <row r="721" ht="14.25" customHeight="1">
      <c r="A721" s="52"/>
      <c r="B721" s="53"/>
      <c r="C721" s="53"/>
      <c r="D721" s="1"/>
      <c r="E721" s="1"/>
      <c r="F721" s="1"/>
      <c r="G721" s="1"/>
      <c r="H721" s="1"/>
      <c r="I721" s="1"/>
      <c r="J721" s="1"/>
    </row>
    <row r="722" ht="14.25" customHeight="1">
      <c r="A722" s="52"/>
      <c r="B722" s="53"/>
      <c r="C722" s="53"/>
      <c r="D722" s="1"/>
      <c r="E722" s="1"/>
      <c r="F722" s="1"/>
      <c r="G722" s="1"/>
      <c r="H722" s="1"/>
      <c r="I722" s="1"/>
      <c r="J722" s="1"/>
    </row>
    <row r="723" ht="14.25" customHeight="1">
      <c r="A723" s="52"/>
      <c r="B723" s="53"/>
      <c r="C723" s="53"/>
      <c r="D723" s="1"/>
      <c r="E723" s="1"/>
      <c r="F723" s="1"/>
      <c r="G723" s="1"/>
      <c r="H723" s="1"/>
      <c r="I723" s="1"/>
      <c r="J723" s="1"/>
    </row>
    <row r="724" ht="14.25" customHeight="1">
      <c r="A724" s="52"/>
      <c r="B724" s="53"/>
      <c r="C724" s="53"/>
      <c r="D724" s="1"/>
      <c r="E724" s="1"/>
      <c r="F724" s="1"/>
      <c r="G724" s="1"/>
      <c r="H724" s="1"/>
      <c r="I724" s="1"/>
      <c r="J724" s="1"/>
    </row>
    <row r="725" ht="14.25" customHeight="1">
      <c r="A725" s="52"/>
      <c r="B725" s="53"/>
      <c r="C725" s="53"/>
      <c r="D725" s="1"/>
      <c r="E725" s="1"/>
      <c r="F725" s="1"/>
      <c r="G725" s="1"/>
      <c r="H725" s="1"/>
      <c r="I725" s="1"/>
      <c r="J725" s="1"/>
    </row>
    <row r="726" ht="14.25" customHeight="1">
      <c r="A726" s="52"/>
      <c r="B726" s="53"/>
      <c r="C726" s="53"/>
      <c r="D726" s="1"/>
      <c r="E726" s="1"/>
      <c r="F726" s="1"/>
      <c r="G726" s="1"/>
      <c r="H726" s="1"/>
      <c r="I726" s="1"/>
      <c r="J726" s="1"/>
    </row>
    <row r="727" ht="14.25" customHeight="1">
      <c r="A727" s="52"/>
      <c r="B727" s="53"/>
      <c r="C727" s="53"/>
      <c r="D727" s="1"/>
      <c r="E727" s="1"/>
      <c r="F727" s="1"/>
      <c r="G727" s="1"/>
      <c r="H727" s="1"/>
      <c r="I727" s="1"/>
      <c r="J727" s="1"/>
    </row>
    <row r="728" ht="14.25" customHeight="1">
      <c r="A728" s="52"/>
      <c r="B728" s="53"/>
      <c r="C728" s="53"/>
      <c r="D728" s="1"/>
      <c r="E728" s="1"/>
      <c r="F728" s="1"/>
      <c r="G728" s="1"/>
      <c r="H728" s="1"/>
      <c r="I728" s="1"/>
      <c r="J728" s="1"/>
    </row>
    <row r="729" ht="14.25" customHeight="1">
      <c r="A729" s="52"/>
      <c r="B729" s="53"/>
      <c r="C729" s="53"/>
      <c r="D729" s="1"/>
      <c r="E729" s="1"/>
      <c r="F729" s="1"/>
      <c r="G729" s="1"/>
      <c r="H729" s="1"/>
      <c r="I729" s="1"/>
      <c r="J729" s="1"/>
    </row>
    <row r="730" ht="14.25" customHeight="1">
      <c r="A730" s="52"/>
      <c r="B730" s="53"/>
      <c r="C730" s="53"/>
      <c r="D730" s="1"/>
      <c r="E730" s="1"/>
      <c r="F730" s="1"/>
      <c r="G730" s="1"/>
      <c r="H730" s="1"/>
      <c r="I730" s="1"/>
      <c r="J730" s="1"/>
    </row>
    <row r="731" ht="14.25" customHeight="1">
      <c r="A731" s="52"/>
      <c r="B731" s="53"/>
      <c r="C731" s="53"/>
      <c r="D731" s="1"/>
      <c r="E731" s="1"/>
      <c r="F731" s="1"/>
      <c r="G731" s="1"/>
      <c r="H731" s="1"/>
      <c r="I731" s="1"/>
      <c r="J731" s="1"/>
    </row>
    <row r="732" ht="14.25" customHeight="1">
      <c r="A732" s="52"/>
      <c r="B732" s="53"/>
      <c r="C732" s="53"/>
      <c r="D732" s="1"/>
      <c r="E732" s="1"/>
      <c r="F732" s="1"/>
      <c r="G732" s="1"/>
      <c r="H732" s="1"/>
      <c r="I732" s="1"/>
      <c r="J732" s="1"/>
    </row>
    <row r="733" ht="14.25" customHeight="1">
      <c r="A733" s="52"/>
      <c r="B733" s="53"/>
      <c r="C733" s="53"/>
      <c r="D733" s="1"/>
      <c r="E733" s="1"/>
      <c r="F733" s="1"/>
      <c r="G733" s="1"/>
      <c r="H733" s="1"/>
      <c r="I733" s="1"/>
      <c r="J733" s="1"/>
    </row>
    <row r="734" ht="14.25" customHeight="1">
      <c r="A734" s="52"/>
      <c r="B734" s="53"/>
      <c r="C734" s="53"/>
      <c r="D734" s="1"/>
      <c r="E734" s="1"/>
      <c r="F734" s="1"/>
      <c r="G734" s="1"/>
      <c r="H734" s="1"/>
      <c r="I734" s="1"/>
      <c r="J734" s="1"/>
    </row>
    <row r="735" ht="14.25" customHeight="1">
      <c r="A735" s="52"/>
      <c r="B735" s="53"/>
      <c r="C735" s="53"/>
      <c r="D735" s="1"/>
      <c r="E735" s="1"/>
      <c r="F735" s="1"/>
      <c r="G735" s="1"/>
      <c r="H735" s="1"/>
      <c r="I735" s="1"/>
      <c r="J735" s="1"/>
    </row>
    <row r="736" ht="14.25" customHeight="1">
      <c r="A736" s="52"/>
      <c r="B736" s="53"/>
      <c r="C736" s="53"/>
      <c r="D736" s="1"/>
      <c r="E736" s="1"/>
      <c r="F736" s="1"/>
      <c r="G736" s="1"/>
      <c r="H736" s="1"/>
      <c r="I736" s="1"/>
      <c r="J736" s="1"/>
    </row>
    <row r="737" ht="14.25" customHeight="1">
      <c r="A737" s="52"/>
      <c r="B737" s="53"/>
      <c r="C737" s="53"/>
      <c r="D737" s="1"/>
      <c r="E737" s="1"/>
      <c r="F737" s="1"/>
      <c r="G737" s="1"/>
      <c r="H737" s="1"/>
      <c r="I737" s="1"/>
      <c r="J737" s="1"/>
    </row>
    <row r="738" ht="14.25" customHeight="1">
      <c r="A738" s="52"/>
      <c r="B738" s="53"/>
      <c r="C738" s="53"/>
      <c r="D738" s="1"/>
      <c r="E738" s="1"/>
      <c r="F738" s="1"/>
      <c r="G738" s="1"/>
      <c r="H738" s="1"/>
      <c r="I738" s="1"/>
      <c r="J738" s="1"/>
    </row>
    <row r="739" ht="14.25" customHeight="1">
      <c r="A739" s="52"/>
      <c r="B739" s="53"/>
      <c r="C739" s="53"/>
      <c r="D739" s="1"/>
      <c r="E739" s="1"/>
      <c r="F739" s="1"/>
      <c r="G739" s="1"/>
      <c r="H739" s="1"/>
      <c r="I739" s="1"/>
      <c r="J739" s="1"/>
    </row>
    <row r="740" ht="14.25" customHeight="1">
      <c r="A740" s="52"/>
      <c r="B740" s="53"/>
      <c r="C740" s="53"/>
      <c r="D740" s="1"/>
      <c r="E740" s="1"/>
      <c r="F740" s="1"/>
      <c r="G740" s="1"/>
      <c r="H740" s="1"/>
      <c r="I740" s="1"/>
      <c r="J740" s="1"/>
    </row>
    <row r="741" ht="14.25" customHeight="1">
      <c r="A741" s="52"/>
      <c r="B741" s="53"/>
      <c r="C741" s="53"/>
      <c r="D741" s="1"/>
      <c r="E741" s="1"/>
      <c r="F741" s="1"/>
      <c r="G741" s="1"/>
      <c r="H741" s="1"/>
      <c r="I741" s="1"/>
      <c r="J741" s="1"/>
    </row>
    <row r="742" ht="14.25" customHeight="1">
      <c r="A742" s="52"/>
      <c r="B742" s="53"/>
      <c r="C742" s="53"/>
      <c r="D742" s="1"/>
      <c r="E742" s="1"/>
      <c r="F742" s="1"/>
      <c r="G742" s="1"/>
      <c r="H742" s="1"/>
      <c r="I742" s="1"/>
      <c r="J742" s="1"/>
    </row>
    <row r="743" ht="14.25" customHeight="1">
      <c r="A743" s="52"/>
      <c r="B743" s="53"/>
      <c r="C743" s="53"/>
      <c r="D743" s="1"/>
      <c r="E743" s="1"/>
      <c r="F743" s="1"/>
      <c r="G743" s="1"/>
      <c r="H743" s="1"/>
      <c r="I743" s="1"/>
      <c r="J743" s="1"/>
    </row>
    <row r="744" ht="14.25" customHeight="1">
      <c r="A744" s="52"/>
      <c r="B744" s="53"/>
      <c r="C744" s="53"/>
      <c r="D744" s="1"/>
      <c r="E744" s="1"/>
      <c r="F744" s="1"/>
      <c r="G744" s="1"/>
      <c r="H744" s="1"/>
      <c r="I744" s="1"/>
      <c r="J744" s="1"/>
    </row>
    <row r="745" ht="14.25" customHeight="1">
      <c r="A745" s="52"/>
      <c r="B745" s="53"/>
      <c r="C745" s="53"/>
      <c r="D745" s="1"/>
      <c r="E745" s="1"/>
      <c r="F745" s="1"/>
      <c r="G745" s="1"/>
      <c r="H745" s="1"/>
      <c r="I745" s="1"/>
      <c r="J745" s="1"/>
    </row>
    <row r="746" ht="14.25" customHeight="1">
      <c r="A746" s="52"/>
      <c r="B746" s="53"/>
      <c r="C746" s="53"/>
      <c r="D746" s="1"/>
      <c r="E746" s="1"/>
      <c r="F746" s="1"/>
      <c r="G746" s="1"/>
      <c r="H746" s="1"/>
      <c r="I746" s="1"/>
      <c r="J746" s="1"/>
    </row>
    <row r="747" ht="14.25" customHeight="1">
      <c r="A747" s="52"/>
      <c r="B747" s="53"/>
      <c r="C747" s="53"/>
      <c r="D747" s="1"/>
      <c r="E747" s="1"/>
      <c r="F747" s="1"/>
      <c r="G747" s="1"/>
      <c r="H747" s="1"/>
      <c r="I747" s="1"/>
      <c r="J747" s="1"/>
    </row>
    <row r="748" ht="14.25" customHeight="1">
      <c r="A748" s="52"/>
      <c r="B748" s="53"/>
      <c r="C748" s="53"/>
      <c r="D748" s="1"/>
      <c r="E748" s="1"/>
      <c r="F748" s="1"/>
      <c r="G748" s="1"/>
      <c r="H748" s="1"/>
      <c r="I748" s="1"/>
      <c r="J748" s="1"/>
    </row>
    <row r="749" ht="14.25" customHeight="1">
      <c r="A749" s="52"/>
      <c r="B749" s="53"/>
      <c r="C749" s="53"/>
      <c r="D749" s="1"/>
      <c r="E749" s="1"/>
      <c r="F749" s="1"/>
      <c r="G749" s="1"/>
      <c r="H749" s="1"/>
      <c r="I749" s="1"/>
      <c r="J749" s="1"/>
    </row>
    <row r="750" ht="14.25" customHeight="1">
      <c r="A750" s="52"/>
      <c r="B750" s="53"/>
      <c r="C750" s="53"/>
      <c r="D750" s="1"/>
      <c r="E750" s="1"/>
      <c r="F750" s="1"/>
      <c r="G750" s="1"/>
      <c r="H750" s="1"/>
      <c r="I750" s="1"/>
      <c r="J750" s="1"/>
    </row>
    <row r="751" ht="14.25" customHeight="1">
      <c r="A751" s="52"/>
      <c r="B751" s="53"/>
      <c r="C751" s="53"/>
      <c r="D751" s="1"/>
      <c r="E751" s="1"/>
      <c r="F751" s="1"/>
      <c r="G751" s="1"/>
      <c r="H751" s="1"/>
      <c r="I751" s="1"/>
      <c r="J751" s="1"/>
    </row>
    <row r="752" ht="14.25" customHeight="1">
      <c r="A752" s="52"/>
      <c r="B752" s="53"/>
      <c r="C752" s="53"/>
      <c r="D752" s="1"/>
      <c r="E752" s="1"/>
      <c r="F752" s="1"/>
      <c r="G752" s="1"/>
      <c r="H752" s="1"/>
      <c r="I752" s="1"/>
      <c r="J752" s="1"/>
    </row>
    <row r="753" ht="14.25" customHeight="1">
      <c r="A753" s="52"/>
      <c r="B753" s="53"/>
      <c r="C753" s="53"/>
      <c r="D753" s="1"/>
      <c r="E753" s="1"/>
      <c r="F753" s="1"/>
      <c r="G753" s="1"/>
      <c r="H753" s="1"/>
      <c r="I753" s="1"/>
      <c r="J753" s="1"/>
    </row>
    <row r="754" ht="14.25" customHeight="1">
      <c r="A754" s="52"/>
      <c r="B754" s="53"/>
      <c r="C754" s="53"/>
      <c r="D754" s="1"/>
      <c r="E754" s="1"/>
      <c r="F754" s="1"/>
      <c r="G754" s="1"/>
      <c r="H754" s="1"/>
      <c r="I754" s="1"/>
      <c r="J754" s="1"/>
    </row>
    <row r="755" ht="14.25" customHeight="1">
      <c r="A755" s="52"/>
      <c r="B755" s="53"/>
      <c r="C755" s="53"/>
      <c r="D755" s="1"/>
      <c r="E755" s="1"/>
      <c r="F755" s="1"/>
      <c r="G755" s="1"/>
      <c r="H755" s="1"/>
      <c r="I755" s="1"/>
      <c r="J755" s="1"/>
    </row>
    <row r="756" ht="14.25" customHeight="1">
      <c r="A756" s="52"/>
      <c r="B756" s="53"/>
      <c r="C756" s="53"/>
      <c r="D756" s="1"/>
      <c r="E756" s="1"/>
      <c r="F756" s="1"/>
      <c r="G756" s="1"/>
      <c r="H756" s="1"/>
      <c r="I756" s="1"/>
      <c r="J756" s="1"/>
    </row>
    <row r="757" ht="14.25" customHeight="1">
      <c r="A757" s="52"/>
      <c r="B757" s="53"/>
      <c r="C757" s="53"/>
      <c r="D757" s="1"/>
      <c r="E757" s="1"/>
      <c r="F757" s="1"/>
      <c r="G757" s="1"/>
      <c r="H757" s="1"/>
      <c r="I757" s="1"/>
      <c r="J757" s="1"/>
    </row>
    <row r="758" ht="14.25" customHeight="1">
      <c r="A758" s="52"/>
      <c r="B758" s="53"/>
      <c r="C758" s="53"/>
      <c r="D758" s="1"/>
      <c r="E758" s="1"/>
      <c r="F758" s="1"/>
      <c r="G758" s="1"/>
      <c r="H758" s="1"/>
      <c r="I758" s="1"/>
      <c r="J758" s="1"/>
    </row>
    <row r="759" ht="14.25" customHeight="1">
      <c r="A759" s="52"/>
      <c r="B759" s="53"/>
      <c r="C759" s="53"/>
      <c r="D759" s="1"/>
      <c r="E759" s="1"/>
      <c r="F759" s="1"/>
      <c r="G759" s="1"/>
      <c r="H759" s="1"/>
      <c r="I759" s="1"/>
      <c r="J759" s="1"/>
    </row>
    <row r="760" ht="14.25" customHeight="1">
      <c r="A760" s="52"/>
      <c r="B760" s="53"/>
      <c r="C760" s="53"/>
      <c r="D760" s="1"/>
      <c r="E760" s="1"/>
      <c r="F760" s="1"/>
      <c r="G760" s="1"/>
      <c r="H760" s="1"/>
      <c r="I760" s="1"/>
      <c r="J760" s="1"/>
    </row>
    <row r="761" ht="14.25" customHeight="1">
      <c r="A761" s="52"/>
      <c r="B761" s="53"/>
      <c r="C761" s="53"/>
      <c r="D761" s="1"/>
      <c r="E761" s="1"/>
      <c r="F761" s="1"/>
      <c r="G761" s="1"/>
      <c r="H761" s="1"/>
      <c r="I761" s="1"/>
      <c r="J761" s="1"/>
    </row>
    <row r="762" ht="14.25" customHeight="1">
      <c r="A762" s="52"/>
      <c r="B762" s="53"/>
      <c r="C762" s="53"/>
      <c r="D762" s="1"/>
      <c r="E762" s="1"/>
      <c r="F762" s="1"/>
      <c r="G762" s="1"/>
      <c r="H762" s="1"/>
      <c r="I762" s="1"/>
      <c r="J762" s="1"/>
    </row>
    <row r="763" ht="14.25" customHeight="1">
      <c r="A763" s="52"/>
      <c r="B763" s="53"/>
      <c r="C763" s="53"/>
      <c r="D763" s="1"/>
      <c r="E763" s="1"/>
      <c r="F763" s="1"/>
      <c r="G763" s="1"/>
      <c r="H763" s="1"/>
      <c r="I763" s="1"/>
      <c r="J763" s="1"/>
    </row>
    <row r="764" ht="14.25" customHeight="1">
      <c r="A764" s="52"/>
      <c r="B764" s="53"/>
      <c r="C764" s="53"/>
      <c r="D764" s="1"/>
      <c r="E764" s="1"/>
      <c r="F764" s="1"/>
      <c r="G764" s="1"/>
      <c r="H764" s="1"/>
      <c r="I764" s="1"/>
      <c r="J764" s="1"/>
    </row>
    <row r="765" ht="14.25" customHeight="1">
      <c r="A765" s="52"/>
      <c r="B765" s="53"/>
      <c r="C765" s="53"/>
      <c r="D765" s="1"/>
      <c r="E765" s="1"/>
      <c r="F765" s="1"/>
      <c r="G765" s="1"/>
      <c r="H765" s="1"/>
      <c r="I765" s="1"/>
      <c r="J765" s="1"/>
    </row>
    <row r="766" ht="14.25" customHeight="1">
      <c r="A766" s="52"/>
      <c r="B766" s="53"/>
      <c r="C766" s="53"/>
      <c r="D766" s="1"/>
      <c r="E766" s="1"/>
      <c r="F766" s="1"/>
      <c r="G766" s="1"/>
      <c r="H766" s="1"/>
      <c r="I766" s="1"/>
      <c r="J766" s="1"/>
    </row>
    <row r="767" ht="14.25" customHeight="1">
      <c r="A767" s="52"/>
      <c r="B767" s="53"/>
      <c r="C767" s="53"/>
      <c r="D767" s="1"/>
      <c r="E767" s="1"/>
      <c r="F767" s="1"/>
      <c r="G767" s="1"/>
      <c r="H767" s="1"/>
      <c r="I767" s="1"/>
      <c r="J767" s="1"/>
    </row>
    <row r="768" ht="14.25" customHeight="1">
      <c r="A768" s="52"/>
      <c r="B768" s="53"/>
      <c r="C768" s="53"/>
      <c r="D768" s="1"/>
      <c r="E768" s="1"/>
      <c r="F768" s="1"/>
      <c r="G768" s="1"/>
      <c r="H768" s="1"/>
      <c r="I768" s="1"/>
      <c r="J768" s="1"/>
    </row>
    <row r="769" ht="14.25" customHeight="1">
      <c r="A769" s="52"/>
      <c r="B769" s="53"/>
      <c r="C769" s="53"/>
      <c r="D769" s="1"/>
      <c r="E769" s="1"/>
      <c r="F769" s="1"/>
      <c r="G769" s="1"/>
      <c r="H769" s="1"/>
      <c r="I769" s="1"/>
      <c r="J769" s="1"/>
    </row>
    <row r="770" ht="14.25" customHeight="1">
      <c r="A770" s="52"/>
      <c r="B770" s="53"/>
      <c r="C770" s="53"/>
      <c r="D770" s="1"/>
      <c r="E770" s="1"/>
      <c r="F770" s="1"/>
      <c r="G770" s="1"/>
      <c r="H770" s="1"/>
      <c r="I770" s="1"/>
      <c r="J770" s="1"/>
    </row>
    <row r="771" ht="14.25" customHeight="1">
      <c r="A771" s="52"/>
      <c r="B771" s="53"/>
      <c r="C771" s="53"/>
      <c r="D771" s="1"/>
      <c r="E771" s="1"/>
      <c r="F771" s="1"/>
      <c r="G771" s="1"/>
      <c r="H771" s="1"/>
      <c r="I771" s="1"/>
      <c r="J771" s="1"/>
    </row>
    <row r="772" ht="14.25" customHeight="1">
      <c r="A772" s="52"/>
      <c r="B772" s="53"/>
      <c r="C772" s="53"/>
      <c r="D772" s="1"/>
      <c r="E772" s="1"/>
      <c r="F772" s="1"/>
      <c r="G772" s="1"/>
      <c r="H772" s="1"/>
      <c r="I772" s="1"/>
      <c r="J772" s="1"/>
    </row>
    <row r="773" ht="14.25" customHeight="1">
      <c r="A773" s="52"/>
      <c r="B773" s="53"/>
      <c r="C773" s="53"/>
      <c r="D773" s="1"/>
      <c r="E773" s="1"/>
      <c r="F773" s="1"/>
      <c r="G773" s="1"/>
      <c r="H773" s="1"/>
      <c r="I773" s="1"/>
      <c r="J773" s="1"/>
    </row>
    <row r="774" ht="14.25" customHeight="1">
      <c r="A774" s="52"/>
      <c r="B774" s="53"/>
      <c r="C774" s="53"/>
      <c r="D774" s="1"/>
      <c r="E774" s="1"/>
      <c r="F774" s="1"/>
      <c r="G774" s="1"/>
      <c r="H774" s="1"/>
      <c r="I774" s="1"/>
      <c r="J774" s="1"/>
    </row>
    <row r="775" ht="14.25" customHeight="1">
      <c r="A775" s="52"/>
      <c r="B775" s="53"/>
      <c r="C775" s="53"/>
      <c r="D775" s="1"/>
      <c r="E775" s="1"/>
      <c r="F775" s="1"/>
      <c r="G775" s="1"/>
      <c r="H775" s="1"/>
      <c r="I775" s="1"/>
      <c r="J775" s="1"/>
    </row>
    <row r="776" ht="14.25" customHeight="1">
      <c r="A776" s="52"/>
      <c r="B776" s="53"/>
      <c r="C776" s="53"/>
      <c r="D776" s="1"/>
      <c r="E776" s="1"/>
      <c r="F776" s="1"/>
      <c r="G776" s="1"/>
      <c r="H776" s="1"/>
      <c r="I776" s="1"/>
      <c r="J776" s="1"/>
    </row>
    <row r="777" ht="14.25" customHeight="1">
      <c r="A777" s="52"/>
      <c r="B777" s="53"/>
      <c r="C777" s="53"/>
      <c r="D777" s="1"/>
      <c r="E777" s="1"/>
      <c r="F777" s="1"/>
      <c r="G777" s="1"/>
      <c r="H777" s="1"/>
      <c r="I777" s="1"/>
      <c r="J777" s="1"/>
    </row>
    <row r="778" ht="14.25" customHeight="1">
      <c r="A778" s="52"/>
      <c r="B778" s="53"/>
      <c r="C778" s="53"/>
      <c r="D778" s="1"/>
      <c r="E778" s="1"/>
      <c r="F778" s="1"/>
      <c r="G778" s="1"/>
      <c r="H778" s="1"/>
      <c r="I778" s="1"/>
      <c r="J778" s="1"/>
    </row>
    <row r="779" ht="14.25" customHeight="1">
      <c r="A779" s="52"/>
      <c r="B779" s="53"/>
      <c r="C779" s="53"/>
      <c r="D779" s="1"/>
      <c r="E779" s="1"/>
      <c r="F779" s="1"/>
      <c r="G779" s="1"/>
      <c r="H779" s="1"/>
      <c r="I779" s="1"/>
      <c r="J779" s="1"/>
    </row>
    <row r="780" ht="14.25" customHeight="1">
      <c r="A780" s="52"/>
      <c r="B780" s="53"/>
      <c r="C780" s="53"/>
      <c r="D780" s="1"/>
      <c r="E780" s="1"/>
      <c r="F780" s="1"/>
      <c r="G780" s="1"/>
      <c r="H780" s="1"/>
      <c r="I780" s="1"/>
      <c r="J780" s="1"/>
    </row>
    <row r="781" ht="14.25" customHeight="1">
      <c r="A781" s="52"/>
      <c r="B781" s="53"/>
      <c r="C781" s="53"/>
      <c r="D781" s="1"/>
      <c r="E781" s="1"/>
      <c r="F781" s="1"/>
      <c r="G781" s="1"/>
      <c r="H781" s="1"/>
      <c r="I781" s="1"/>
      <c r="J781" s="1"/>
    </row>
    <row r="782" ht="14.25" customHeight="1">
      <c r="A782" s="52"/>
      <c r="B782" s="53"/>
      <c r="C782" s="53"/>
      <c r="D782" s="1"/>
      <c r="E782" s="1"/>
      <c r="F782" s="1"/>
      <c r="G782" s="1"/>
      <c r="H782" s="1"/>
      <c r="I782" s="1"/>
      <c r="J782" s="1"/>
    </row>
    <row r="783" ht="14.25" customHeight="1">
      <c r="A783" s="52"/>
      <c r="B783" s="53"/>
      <c r="C783" s="53"/>
      <c r="D783" s="1"/>
      <c r="E783" s="1"/>
      <c r="F783" s="1"/>
      <c r="G783" s="1"/>
      <c r="H783" s="1"/>
      <c r="I783" s="1"/>
      <c r="J783" s="1"/>
    </row>
    <row r="784" ht="14.25" customHeight="1">
      <c r="A784" s="52"/>
      <c r="B784" s="53"/>
      <c r="C784" s="53"/>
      <c r="D784" s="1"/>
      <c r="E784" s="1"/>
      <c r="F784" s="1"/>
      <c r="G784" s="1"/>
      <c r="H784" s="1"/>
      <c r="I784" s="1"/>
      <c r="J784" s="1"/>
    </row>
    <row r="785" ht="14.25" customHeight="1">
      <c r="A785" s="52"/>
      <c r="B785" s="53"/>
      <c r="C785" s="53"/>
      <c r="D785" s="1"/>
      <c r="E785" s="1"/>
      <c r="F785" s="1"/>
      <c r="G785" s="1"/>
      <c r="H785" s="1"/>
      <c r="I785" s="1"/>
      <c r="J785" s="1"/>
    </row>
    <row r="786" ht="14.25" customHeight="1">
      <c r="A786" s="52"/>
      <c r="B786" s="53"/>
      <c r="C786" s="53"/>
      <c r="D786" s="1"/>
      <c r="E786" s="1"/>
      <c r="F786" s="1"/>
      <c r="G786" s="1"/>
      <c r="H786" s="1"/>
      <c r="I786" s="1"/>
      <c r="J786" s="1"/>
    </row>
    <row r="787" ht="14.25" customHeight="1">
      <c r="A787" s="52"/>
      <c r="B787" s="53"/>
      <c r="C787" s="53"/>
      <c r="D787" s="1"/>
      <c r="E787" s="1"/>
      <c r="F787" s="1"/>
      <c r="G787" s="1"/>
      <c r="H787" s="1"/>
      <c r="I787" s="1"/>
      <c r="J787" s="1"/>
    </row>
    <row r="788" ht="14.25" customHeight="1">
      <c r="A788" s="52"/>
      <c r="B788" s="53"/>
      <c r="C788" s="53"/>
      <c r="D788" s="1"/>
      <c r="E788" s="1"/>
      <c r="F788" s="1"/>
      <c r="G788" s="1"/>
      <c r="H788" s="1"/>
      <c r="I788" s="1"/>
      <c r="J788" s="1"/>
    </row>
    <row r="789" ht="14.25" customHeight="1">
      <c r="A789" s="52"/>
      <c r="B789" s="53"/>
      <c r="C789" s="53"/>
      <c r="D789" s="1"/>
      <c r="E789" s="1"/>
      <c r="F789" s="1"/>
      <c r="G789" s="1"/>
      <c r="H789" s="1"/>
      <c r="I789" s="1"/>
      <c r="J789" s="1"/>
    </row>
    <row r="790" ht="14.25" customHeight="1">
      <c r="A790" s="52"/>
      <c r="B790" s="53"/>
      <c r="C790" s="53"/>
      <c r="D790" s="1"/>
      <c r="E790" s="1"/>
      <c r="F790" s="1"/>
      <c r="G790" s="1"/>
      <c r="H790" s="1"/>
      <c r="I790" s="1"/>
      <c r="J790" s="1"/>
    </row>
    <row r="791" ht="14.25" customHeight="1">
      <c r="A791" s="52"/>
      <c r="B791" s="53"/>
      <c r="C791" s="53"/>
      <c r="D791" s="1"/>
      <c r="E791" s="1"/>
      <c r="F791" s="1"/>
      <c r="G791" s="1"/>
      <c r="H791" s="1"/>
      <c r="I791" s="1"/>
      <c r="J791" s="1"/>
    </row>
    <row r="792" ht="14.25" customHeight="1">
      <c r="A792" s="52"/>
      <c r="B792" s="53"/>
      <c r="C792" s="53"/>
      <c r="D792" s="1"/>
      <c r="E792" s="1"/>
      <c r="F792" s="1"/>
      <c r="G792" s="1"/>
      <c r="H792" s="1"/>
      <c r="I792" s="1"/>
      <c r="J792" s="1"/>
    </row>
    <row r="793" ht="14.25" customHeight="1">
      <c r="A793" s="52"/>
      <c r="B793" s="53"/>
      <c r="C793" s="53"/>
      <c r="D793" s="1"/>
      <c r="E793" s="1"/>
      <c r="F793" s="1"/>
      <c r="G793" s="1"/>
      <c r="H793" s="1"/>
      <c r="I793" s="1"/>
      <c r="J793" s="1"/>
    </row>
    <row r="794" ht="14.25" customHeight="1">
      <c r="A794" s="52"/>
      <c r="B794" s="53"/>
      <c r="C794" s="53"/>
      <c r="D794" s="1"/>
      <c r="E794" s="1"/>
      <c r="F794" s="1"/>
      <c r="G794" s="1"/>
      <c r="H794" s="1"/>
      <c r="I794" s="1"/>
      <c r="J794" s="1"/>
    </row>
    <row r="795" ht="14.25" customHeight="1">
      <c r="A795" s="52"/>
      <c r="B795" s="53"/>
      <c r="C795" s="53"/>
      <c r="D795" s="1"/>
      <c r="E795" s="1"/>
      <c r="F795" s="1"/>
      <c r="G795" s="1"/>
      <c r="H795" s="1"/>
      <c r="I795" s="1"/>
      <c r="J795" s="1"/>
    </row>
    <row r="796" ht="14.25" customHeight="1">
      <c r="A796" s="52"/>
      <c r="B796" s="53"/>
      <c r="C796" s="53"/>
      <c r="D796" s="1"/>
      <c r="E796" s="1"/>
      <c r="F796" s="1"/>
      <c r="G796" s="1"/>
      <c r="H796" s="1"/>
      <c r="I796" s="1"/>
      <c r="J796" s="1"/>
    </row>
    <row r="797" ht="14.25" customHeight="1">
      <c r="A797" s="52"/>
      <c r="B797" s="53"/>
      <c r="C797" s="53"/>
      <c r="D797" s="1"/>
      <c r="E797" s="1"/>
      <c r="F797" s="1"/>
      <c r="G797" s="1"/>
      <c r="H797" s="1"/>
      <c r="I797" s="1"/>
      <c r="J797" s="1"/>
    </row>
    <row r="798" ht="14.25" customHeight="1">
      <c r="A798" s="52"/>
      <c r="B798" s="53"/>
      <c r="C798" s="53"/>
      <c r="D798" s="1"/>
      <c r="E798" s="1"/>
      <c r="F798" s="1"/>
      <c r="G798" s="1"/>
      <c r="H798" s="1"/>
      <c r="I798" s="1"/>
      <c r="J798" s="1"/>
    </row>
    <row r="799" ht="14.25" customHeight="1">
      <c r="A799" s="52"/>
      <c r="B799" s="53"/>
      <c r="C799" s="53"/>
      <c r="D799" s="1"/>
      <c r="E799" s="1"/>
      <c r="F799" s="1"/>
      <c r="G799" s="1"/>
      <c r="H799" s="1"/>
      <c r="I799" s="1"/>
      <c r="J799" s="1"/>
    </row>
    <row r="800" ht="14.25" customHeight="1">
      <c r="A800" s="52"/>
      <c r="B800" s="53"/>
      <c r="C800" s="53"/>
      <c r="D800" s="1"/>
      <c r="E800" s="1"/>
      <c r="F800" s="1"/>
      <c r="G800" s="1"/>
      <c r="H800" s="1"/>
      <c r="I800" s="1"/>
      <c r="J800" s="1"/>
    </row>
    <row r="801" ht="14.25" customHeight="1">
      <c r="A801" s="52"/>
      <c r="B801" s="53"/>
      <c r="C801" s="53"/>
      <c r="D801" s="1"/>
      <c r="E801" s="1"/>
      <c r="F801" s="1"/>
      <c r="G801" s="1"/>
      <c r="H801" s="1"/>
      <c r="I801" s="1"/>
      <c r="J801" s="1"/>
    </row>
    <row r="802" ht="14.25" customHeight="1">
      <c r="A802" s="52"/>
      <c r="B802" s="53"/>
      <c r="C802" s="53"/>
      <c r="D802" s="1"/>
      <c r="E802" s="1"/>
      <c r="F802" s="1"/>
      <c r="G802" s="1"/>
      <c r="H802" s="1"/>
      <c r="I802" s="1"/>
      <c r="J802" s="1"/>
    </row>
    <row r="803" ht="14.25" customHeight="1">
      <c r="A803" s="52"/>
      <c r="B803" s="53"/>
      <c r="C803" s="53"/>
      <c r="D803" s="1"/>
      <c r="E803" s="1"/>
      <c r="F803" s="1"/>
      <c r="G803" s="1"/>
      <c r="H803" s="1"/>
      <c r="I803" s="1"/>
      <c r="J803" s="1"/>
    </row>
    <row r="804" ht="14.25" customHeight="1">
      <c r="A804" s="52"/>
      <c r="B804" s="53"/>
      <c r="C804" s="53"/>
      <c r="D804" s="1"/>
      <c r="E804" s="1"/>
      <c r="F804" s="1"/>
      <c r="G804" s="1"/>
      <c r="H804" s="1"/>
      <c r="I804" s="1"/>
      <c r="J804" s="1"/>
    </row>
    <row r="805" ht="14.25" customHeight="1">
      <c r="A805" s="52"/>
      <c r="B805" s="53"/>
      <c r="C805" s="53"/>
      <c r="D805" s="1"/>
      <c r="E805" s="1"/>
      <c r="F805" s="1"/>
      <c r="G805" s="1"/>
      <c r="H805" s="1"/>
      <c r="I805" s="1"/>
      <c r="J805" s="1"/>
    </row>
    <row r="806" ht="14.25" customHeight="1">
      <c r="A806" s="52"/>
      <c r="B806" s="53"/>
      <c r="C806" s="53"/>
      <c r="D806" s="1"/>
      <c r="E806" s="1"/>
      <c r="F806" s="1"/>
      <c r="G806" s="1"/>
      <c r="H806" s="1"/>
      <c r="I806" s="1"/>
      <c r="J806" s="1"/>
    </row>
    <row r="807" ht="14.25" customHeight="1">
      <c r="A807" s="52"/>
      <c r="B807" s="53"/>
      <c r="C807" s="53"/>
      <c r="D807" s="1"/>
      <c r="E807" s="1"/>
      <c r="F807" s="1"/>
      <c r="G807" s="1"/>
      <c r="H807" s="1"/>
      <c r="I807" s="1"/>
      <c r="J807" s="1"/>
    </row>
    <row r="808" ht="14.25" customHeight="1">
      <c r="A808" s="52"/>
      <c r="B808" s="53"/>
      <c r="C808" s="53"/>
      <c r="D808" s="1"/>
      <c r="E808" s="1"/>
      <c r="F808" s="1"/>
      <c r="G808" s="1"/>
      <c r="H808" s="1"/>
      <c r="I808" s="1"/>
      <c r="J808" s="1"/>
    </row>
    <row r="809" ht="14.25" customHeight="1">
      <c r="A809" s="52"/>
      <c r="B809" s="53"/>
      <c r="C809" s="53"/>
      <c r="D809" s="1"/>
      <c r="E809" s="1"/>
      <c r="F809" s="1"/>
      <c r="G809" s="1"/>
      <c r="H809" s="1"/>
      <c r="I809" s="1"/>
      <c r="J809" s="1"/>
    </row>
    <row r="810" ht="14.25" customHeight="1">
      <c r="A810" s="52"/>
      <c r="B810" s="53"/>
      <c r="C810" s="53"/>
      <c r="D810" s="1"/>
      <c r="E810" s="1"/>
      <c r="F810" s="1"/>
      <c r="G810" s="1"/>
      <c r="H810" s="1"/>
      <c r="I810" s="1"/>
      <c r="J810" s="1"/>
    </row>
    <row r="811" ht="14.25" customHeight="1">
      <c r="A811" s="52"/>
      <c r="B811" s="53"/>
      <c r="C811" s="53"/>
      <c r="D811" s="1"/>
      <c r="E811" s="1"/>
      <c r="F811" s="1"/>
      <c r="G811" s="1"/>
      <c r="H811" s="1"/>
      <c r="I811" s="1"/>
      <c r="J811" s="1"/>
    </row>
    <row r="812" ht="14.25" customHeight="1">
      <c r="A812" s="52"/>
      <c r="B812" s="53"/>
      <c r="C812" s="53"/>
      <c r="D812" s="1"/>
      <c r="E812" s="1"/>
      <c r="F812" s="1"/>
      <c r="G812" s="1"/>
      <c r="H812" s="1"/>
      <c r="I812" s="1"/>
      <c r="J812" s="1"/>
    </row>
    <row r="813" ht="14.25" customHeight="1">
      <c r="A813" s="52"/>
      <c r="B813" s="53"/>
      <c r="C813" s="53"/>
      <c r="D813" s="1"/>
      <c r="E813" s="1"/>
      <c r="F813" s="1"/>
      <c r="G813" s="1"/>
      <c r="H813" s="1"/>
      <c r="I813" s="1"/>
      <c r="J813" s="1"/>
    </row>
    <row r="814" ht="14.25" customHeight="1">
      <c r="A814" s="52"/>
      <c r="B814" s="53"/>
      <c r="C814" s="53"/>
      <c r="D814" s="1"/>
      <c r="E814" s="1"/>
      <c r="F814" s="1"/>
      <c r="G814" s="1"/>
      <c r="H814" s="1"/>
      <c r="I814" s="1"/>
      <c r="J814" s="1"/>
    </row>
    <row r="815" ht="14.25" customHeight="1">
      <c r="A815" s="52"/>
      <c r="B815" s="53"/>
      <c r="C815" s="53"/>
      <c r="D815" s="1"/>
      <c r="E815" s="1"/>
      <c r="F815" s="1"/>
      <c r="G815" s="1"/>
      <c r="H815" s="1"/>
      <c r="I815" s="1"/>
      <c r="J815" s="1"/>
    </row>
    <row r="816" ht="14.25" customHeight="1">
      <c r="A816" s="52"/>
      <c r="B816" s="53"/>
      <c r="C816" s="53"/>
      <c r="D816" s="1"/>
      <c r="E816" s="1"/>
      <c r="F816" s="1"/>
      <c r="G816" s="1"/>
      <c r="H816" s="1"/>
      <c r="I816" s="1"/>
      <c r="J816" s="1"/>
    </row>
    <row r="817" ht="14.25" customHeight="1">
      <c r="A817" s="52"/>
      <c r="B817" s="53"/>
      <c r="C817" s="53"/>
      <c r="D817" s="1"/>
      <c r="E817" s="1"/>
      <c r="F817" s="1"/>
      <c r="G817" s="1"/>
      <c r="H817" s="1"/>
      <c r="I817" s="1"/>
      <c r="J817" s="1"/>
    </row>
    <row r="818" ht="14.25" customHeight="1">
      <c r="A818" s="52"/>
      <c r="B818" s="53"/>
      <c r="C818" s="53"/>
      <c r="D818" s="1"/>
      <c r="E818" s="1"/>
      <c r="F818" s="1"/>
      <c r="G818" s="1"/>
      <c r="H818" s="1"/>
      <c r="I818" s="1"/>
      <c r="J818" s="1"/>
    </row>
    <row r="819" ht="14.25" customHeight="1">
      <c r="A819" s="52"/>
      <c r="B819" s="53"/>
      <c r="C819" s="53"/>
      <c r="D819" s="1"/>
      <c r="E819" s="1"/>
      <c r="F819" s="1"/>
      <c r="G819" s="1"/>
      <c r="H819" s="1"/>
      <c r="I819" s="1"/>
      <c r="J819" s="1"/>
    </row>
    <row r="820" ht="14.25" customHeight="1">
      <c r="A820" s="52"/>
      <c r="B820" s="53"/>
      <c r="C820" s="53"/>
      <c r="D820" s="1"/>
      <c r="E820" s="1"/>
      <c r="F820" s="1"/>
      <c r="G820" s="1"/>
      <c r="H820" s="1"/>
      <c r="I820" s="1"/>
      <c r="J820" s="1"/>
    </row>
    <row r="821" ht="14.25" customHeight="1">
      <c r="A821" s="52"/>
      <c r="B821" s="53"/>
      <c r="C821" s="53"/>
      <c r="D821" s="1"/>
      <c r="E821" s="1"/>
      <c r="F821" s="1"/>
      <c r="G821" s="1"/>
      <c r="H821" s="1"/>
      <c r="I821" s="1"/>
      <c r="J821" s="1"/>
    </row>
    <row r="822" ht="14.25" customHeight="1">
      <c r="A822" s="52"/>
      <c r="B822" s="53"/>
      <c r="C822" s="53"/>
      <c r="D822" s="1"/>
      <c r="E822" s="1"/>
      <c r="F822" s="1"/>
      <c r="G822" s="1"/>
      <c r="H822" s="1"/>
      <c r="I822" s="1"/>
      <c r="J822" s="1"/>
    </row>
    <row r="823" ht="14.25" customHeight="1">
      <c r="A823" s="52"/>
      <c r="B823" s="53"/>
      <c r="C823" s="53"/>
      <c r="D823" s="1"/>
      <c r="E823" s="1"/>
      <c r="F823" s="1"/>
      <c r="G823" s="1"/>
      <c r="H823" s="1"/>
      <c r="I823" s="1"/>
      <c r="J823" s="1"/>
    </row>
    <row r="824" ht="14.25" customHeight="1">
      <c r="A824" s="52"/>
      <c r="B824" s="53"/>
      <c r="C824" s="53"/>
      <c r="D824" s="1"/>
      <c r="E824" s="1"/>
      <c r="F824" s="1"/>
      <c r="G824" s="1"/>
      <c r="H824" s="1"/>
      <c r="I824" s="1"/>
      <c r="J824" s="1"/>
    </row>
    <row r="825" ht="14.25" customHeight="1">
      <c r="A825" s="52"/>
      <c r="B825" s="53"/>
      <c r="C825" s="53"/>
      <c r="D825" s="1"/>
      <c r="E825" s="1"/>
      <c r="F825" s="1"/>
      <c r="G825" s="1"/>
      <c r="H825" s="1"/>
      <c r="I825" s="1"/>
      <c r="J825" s="1"/>
    </row>
    <row r="826" ht="14.25" customHeight="1">
      <c r="A826" s="52"/>
      <c r="B826" s="53"/>
      <c r="C826" s="53"/>
      <c r="D826" s="1"/>
      <c r="E826" s="1"/>
      <c r="F826" s="1"/>
      <c r="G826" s="1"/>
      <c r="H826" s="1"/>
      <c r="I826" s="1"/>
      <c r="J826" s="1"/>
    </row>
    <row r="827" ht="14.25" customHeight="1">
      <c r="A827" s="52"/>
      <c r="B827" s="53"/>
      <c r="C827" s="53"/>
      <c r="D827" s="1"/>
      <c r="E827" s="1"/>
      <c r="F827" s="1"/>
      <c r="G827" s="1"/>
      <c r="H827" s="1"/>
      <c r="I827" s="1"/>
      <c r="J827" s="1"/>
    </row>
    <row r="828" ht="14.25" customHeight="1">
      <c r="A828" s="52"/>
      <c r="B828" s="53"/>
      <c r="C828" s="53"/>
      <c r="D828" s="1"/>
      <c r="E828" s="1"/>
      <c r="F828" s="1"/>
      <c r="G828" s="1"/>
      <c r="H828" s="1"/>
      <c r="I828" s="1"/>
      <c r="J828" s="1"/>
    </row>
    <row r="829" ht="14.25" customHeight="1">
      <c r="A829" s="52"/>
      <c r="B829" s="53"/>
      <c r="C829" s="53"/>
      <c r="D829" s="1"/>
      <c r="E829" s="1"/>
      <c r="F829" s="1"/>
      <c r="G829" s="1"/>
      <c r="H829" s="1"/>
      <c r="I829" s="1"/>
      <c r="J829" s="1"/>
    </row>
    <row r="830" ht="14.25" customHeight="1">
      <c r="A830" s="52"/>
      <c r="B830" s="53"/>
      <c r="C830" s="53"/>
      <c r="D830" s="1"/>
      <c r="E830" s="1"/>
      <c r="F830" s="1"/>
      <c r="G830" s="1"/>
      <c r="H830" s="1"/>
      <c r="I830" s="1"/>
      <c r="J830" s="1"/>
    </row>
    <row r="831" ht="14.25" customHeight="1">
      <c r="A831" s="52"/>
      <c r="B831" s="53"/>
      <c r="C831" s="53"/>
      <c r="D831" s="1"/>
      <c r="E831" s="1"/>
      <c r="F831" s="1"/>
      <c r="G831" s="1"/>
      <c r="H831" s="1"/>
      <c r="I831" s="1"/>
      <c r="J831" s="1"/>
    </row>
    <row r="832" ht="14.25" customHeight="1">
      <c r="A832" s="52"/>
      <c r="B832" s="53"/>
      <c r="C832" s="53"/>
      <c r="D832" s="1"/>
      <c r="E832" s="1"/>
      <c r="F832" s="1"/>
      <c r="G832" s="1"/>
      <c r="H832" s="1"/>
      <c r="I832" s="1"/>
      <c r="J832" s="1"/>
    </row>
    <row r="833" ht="14.25" customHeight="1">
      <c r="A833" s="52"/>
      <c r="B833" s="53"/>
      <c r="C833" s="53"/>
      <c r="D833" s="1"/>
      <c r="E833" s="1"/>
      <c r="F833" s="1"/>
      <c r="G833" s="1"/>
      <c r="H833" s="1"/>
      <c r="I833" s="1"/>
      <c r="J833" s="1"/>
    </row>
    <row r="834" ht="14.25" customHeight="1">
      <c r="A834" s="52"/>
      <c r="B834" s="53"/>
      <c r="C834" s="53"/>
      <c r="D834" s="1"/>
      <c r="E834" s="1"/>
      <c r="F834" s="1"/>
      <c r="G834" s="1"/>
      <c r="H834" s="1"/>
      <c r="I834" s="1"/>
      <c r="J834" s="1"/>
    </row>
    <row r="835" ht="14.25" customHeight="1">
      <c r="A835" s="52"/>
      <c r="B835" s="53"/>
      <c r="C835" s="53"/>
      <c r="D835" s="1"/>
      <c r="E835" s="1"/>
      <c r="F835" s="1"/>
      <c r="G835" s="1"/>
      <c r="H835" s="1"/>
      <c r="I835" s="1"/>
      <c r="J835" s="1"/>
    </row>
    <row r="836" ht="14.25" customHeight="1">
      <c r="A836" s="52"/>
      <c r="B836" s="53"/>
      <c r="C836" s="53"/>
      <c r="D836" s="1"/>
      <c r="E836" s="1"/>
      <c r="F836" s="1"/>
      <c r="G836" s="1"/>
      <c r="H836" s="1"/>
      <c r="I836" s="1"/>
      <c r="J836" s="1"/>
    </row>
    <row r="837" ht="14.25" customHeight="1">
      <c r="A837" s="52"/>
      <c r="B837" s="53"/>
      <c r="C837" s="53"/>
      <c r="D837" s="1"/>
      <c r="E837" s="1"/>
      <c r="F837" s="1"/>
      <c r="G837" s="1"/>
      <c r="H837" s="1"/>
      <c r="I837" s="1"/>
      <c r="J837" s="1"/>
    </row>
    <row r="838" ht="14.25" customHeight="1">
      <c r="A838" s="52"/>
      <c r="B838" s="53"/>
      <c r="C838" s="53"/>
      <c r="D838" s="1"/>
      <c r="E838" s="1"/>
      <c r="F838" s="1"/>
      <c r="G838" s="1"/>
      <c r="H838" s="1"/>
      <c r="I838" s="1"/>
      <c r="J838" s="1"/>
    </row>
    <row r="839" ht="14.25" customHeight="1">
      <c r="A839" s="52"/>
      <c r="B839" s="53"/>
      <c r="C839" s="53"/>
      <c r="D839" s="1"/>
      <c r="E839" s="1"/>
      <c r="F839" s="1"/>
      <c r="G839" s="1"/>
      <c r="H839" s="1"/>
      <c r="I839" s="1"/>
      <c r="J839" s="1"/>
    </row>
    <row r="840" ht="14.25" customHeight="1">
      <c r="A840" s="52"/>
      <c r="B840" s="53"/>
      <c r="C840" s="53"/>
      <c r="D840" s="1"/>
      <c r="E840" s="1"/>
      <c r="F840" s="1"/>
      <c r="G840" s="1"/>
      <c r="H840" s="1"/>
      <c r="I840" s="1"/>
      <c r="J840" s="1"/>
    </row>
    <row r="841" ht="14.25" customHeight="1">
      <c r="A841" s="52"/>
      <c r="B841" s="53"/>
      <c r="C841" s="53"/>
      <c r="D841" s="1"/>
      <c r="E841" s="1"/>
      <c r="F841" s="1"/>
      <c r="G841" s="1"/>
      <c r="H841" s="1"/>
      <c r="I841" s="1"/>
      <c r="J841" s="1"/>
    </row>
    <row r="842" ht="14.25" customHeight="1">
      <c r="A842" s="52"/>
      <c r="B842" s="53"/>
      <c r="C842" s="53"/>
      <c r="D842" s="1"/>
      <c r="E842" s="1"/>
      <c r="F842" s="1"/>
      <c r="G842" s="1"/>
      <c r="H842" s="1"/>
      <c r="I842" s="1"/>
      <c r="J842" s="1"/>
    </row>
    <row r="843" ht="14.25" customHeight="1">
      <c r="A843" s="52"/>
      <c r="B843" s="53"/>
      <c r="C843" s="53"/>
      <c r="D843" s="1"/>
      <c r="E843" s="1"/>
      <c r="F843" s="1"/>
      <c r="G843" s="1"/>
      <c r="H843" s="1"/>
      <c r="I843" s="1"/>
      <c r="J843" s="1"/>
    </row>
    <row r="844" ht="14.25" customHeight="1">
      <c r="A844" s="52"/>
      <c r="B844" s="53"/>
      <c r="C844" s="53"/>
      <c r="D844" s="1"/>
      <c r="E844" s="1"/>
      <c r="F844" s="1"/>
      <c r="G844" s="1"/>
      <c r="H844" s="1"/>
      <c r="I844" s="1"/>
      <c r="J844" s="1"/>
    </row>
    <row r="845" ht="14.25" customHeight="1">
      <c r="A845" s="52"/>
      <c r="B845" s="53"/>
      <c r="C845" s="53"/>
      <c r="D845" s="1"/>
      <c r="E845" s="1"/>
      <c r="F845" s="1"/>
      <c r="G845" s="1"/>
      <c r="H845" s="1"/>
      <c r="I845" s="1"/>
      <c r="J845" s="1"/>
    </row>
    <row r="846" ht="14.25" customHeight="1">
      <c r="A846" s="52"/>
      <c r="B846" s="53"/>
      <c r="C846" s="53"/>
      <c r="D846" s="1"/>
      <c r="E846" s="1"/>
      <c r="F846" s="1"/>
      <c r="G846" s="1"/>
      <c r="H846" s="1"/>
      <c r="I846" s="1"/>
      <c r="J846" s="1"/>
    </row>
    <row r="847" ht="14.25" customHeight="1">
      <c r="A847" s="52"/>
      <c r="B847" s="53"/>
      <c r="C847" s="53"/>
      <c r="D847" s="1"/>
      <c r="E847" s="1"/>
      <c r="F847" s="1"/>
      <c r="G847" s="1"/>
      <c r="H847" s="1"/>
      <c r="I847" s="1"/>
      <c r="J847" s="1"/>
    </row>
    <row r="848" ht="14.25" customHeight="1">
      <c r="A848" s="52"/>
      <c r="B848" s="53"/>
      <c r="C848" s="53"/>
      <c r="D848" s="1"/>
      <c r="E848" s="1"/>
      <c r="F848" s="1"/>
      <c r="G848" s="1"/>
      <c r="H848" s="1"/>
      <c r="I848" s="1"/>
      <c r="J848" s="1"/>
    </row>
    <row r="849" ht="14.25" customHeight="1">
      <c r="A849" s="52"/>
      <c r="B849" s="53"/>
      <c r="C849" s="53"/>
      <c r="D849" s="1"/>
      <c r="E849" s="1"/>
      <c r="F849" s="1"/>
      <c r="G849" s="1"/>
      <c r="H849" s="1"/>
      <c r="I849" s="1"/>
      <c r="J849" s="1"/>
    </row>
    <row r="850" ht="14.25" customHeight="1">
      <c r="A850" s="52"/>
      <c r="B850" s="53"/>
      <c r="C850" s="53"/>
      <c r="D850" s="1"/>
      <c r="E850" s="1"/>
      <c r="F850" s="1"/>
      <c r="G850" s="1"/>
      <c r="H850" s="1"/>
      <c r="I850" s="1"/>
      <c r="J850" s="1"/>
    </row>
    <row r="851" ht="14.25" customHeight="1">
      <c r="A851" s="52"/>
      <c r="B851" s="53"/>
      <c r="C851" s="53"/>
      <c r="D851" s="1"/>
      <c r="E851" s="1"/>
      <c r="F851" s="1"/>
      <c r="G851" s="1"/>
      <c r="H851" s="1"/>
      <c r="I851" s="1"/>
      <c r="J851" s="1"/>
    </row>
    <row r="852" ht="14.25" customHeight="1">
      <c r="A852" s="52"/>
      <c r="B852" s="53"/>
      <c r="C852" s="53"/>
      <c r="D852" s="1"/>
      <c r="E852" s="1"/>
      <c r="F852" s="1"/>
      <c r="G852" s="1"/>
      <c r="H852" s="1"/>
      <c r="I852" s="1"/>
      <c r="J852" s="1"/>
    </row>
    <row r="853" ht="14.25" customHeight="1">
      <c r="A853" s="52"/>
      <c r="B853" s="53"/>
      <c r="C853" s="53"/>
      <c r="D853" s="1"/>
      <c r="E853" s="1"/>
      <c r="F853" s="1"/>
      <c r="G853" s="1"/>
      <c r="H853" s="1"/>
      <c r="I853" s="1"/>
      <c r="J853" s="1"/>
    </row>
    <row r="854" ht="14.25" customHeight="1">
      <c r="A854" s="52"/>
      <c r="B854" s="53"/>
      <c r="C854" s="53"/>
      <c r="D854" s="1"/>
      <c r="E854" s="1"/>
      <c r="F854" s="1"/>
      <c r="G854" s="1"/>
      <c r="H854" s="1"/>
      <c r="I854" s="1"/>
      <c r="J854" s="1"/>
    </row>
    <row r="855" ht="14.25" customHeight="1">
      <c r="A855" s="52"/>
      <c r="B855" s="53"/>
      <c r="C855" s="53"/>
      <c r="D855" s="1"/>
      <c r="E855" s="1"/>
      <c r="F855" s="1"/>
      <c r="G855" s="1"/>
      <c r="H855" s="1"/>
      <c r="I855" s="1"/>
      <c r="J855" s="1"/>
    </row>
    <row r="856" ht="14.25" customHeight="1">
      <c r="A856" s="52"/>
      <c r="B856" s="53"/>
      <c r="C856" s="53"/>
      <c r="D856" s="1"/>
      <c r="E856" s="1"/>
      <c r="F856" s="1"/>
      <c r="G856" s="1"/>
      <c r="H856" s="1"/>
      <c r="I856" s="1"/>
      <c r="J856" s="1"/>
    </row>
    <row r="857" ht="14.25" customHeight="1">
      <c r="A857" s="52"/>
      <c r="B857" s="53"/>
      <c r="C857" s="53"/>
      <c r="D857" s="1"/>
      <c r="E857" s="1"/>
      <c r="F857" s="1"/>
      <c r="G857" s="1"/>
      <c r="H857" s="1"/>
      <c r="I857" s="1"/>
      <c r="J857" s="1"/>
    </row>
    <row r="858" ht="14.25" customHeight="1">
      <c r="A858" s="52"/>
      <c r="B858" s="53"/>
      <c r="C858" s="53"/>
      <c r="D858" s="1"/>
      <c r="E858" s="1"/>
      <c r="F858" s="1"/>
      <c r="G858" s="1"/>
      <c r="H858" s="1"/>
      <c r="I858" s="1"/>
      <c r="J858" s="1"/>
    </row>
    <row r="859" ht="14.25" customHeight="1">
      <c r="A859" s="52"/>
      <c r="B859" s="53"/>
      <c r="C859" s="53"/>
      <c r="D859" s="1"/>
      <c r="E859" s="1"/>
      <c r="F859" s="1"/>
      <c r="G859" s="1"/>
      <c r="H859" s="1"/>
      <c r="I859" s="1"/>
      <c r="J859" s="1"/>
    </row>
    <row r="860" ht="14.25" customHeight="1">
      <c r="A860" s="52"/>
      <c r="B860" s="53"/>
      <c r="C860" s="53"/>
      <c r="D860" s="1"/>
      <c r="E860" s="1"/>
      <c r="F860" s="1"/>
      <c r="G860" s="1"/>
      <c r="H860" s="1"/>
      <c r="I860" s="1"/>
      <c r="J860" s="1"/>
    </row>
    <row r="861" ht="14.25" customHeight="1">
      <c r="A861" s="52"/>
      <c r="B861" s="53"/>
      <c r="C861" s="53"/>
      <c r="D861" s="1"/>
      <c r="E861" s="1"/>
      <c r="F861" s="1"/>
      <c r="G861" s="1"/>
      <c r="H861" s="1"/>
      <c r="I861" s="1"/>
      <c r="J861" s="1"/>
    </row>
    <row r="862" ht="14.25" customHeight="1">
      <c r="A862" s="52"/>
      <c r="B862" s="53"/>
      <c r="C862" s="53"/>
      <c r="D862" s="1"/>
      <c r="E862" s="1"/>
      <c r="F862" s="1"/>
      <c r="G862" s="1"/>
      <c r="H862" s="1"/>
      <c r="I862" s="1"/>
      <c r="J862" s="1"/>
    </row>
    <row r="863" ht="14.25" customHeight="1">
      <c r="A863" s="52"/>
      <c r="B863" s="53"/>
      <c r="C863" s="53"/>
      <c r="D863" s="1"/>
      <c r="E863" s="1"/>
      <c r="F863" s="1"/>
      <c r="G863" s="1"/>
      <c r="H863" s="1"/>
      <c r="I863" s="1"/>
      <c r="J863" s="1"/>
    </row>
    <row r="864" ht="14.25" customHeight="1">
      <c r="A864" s="52"/>
      <c r="B864" s="53"/>
      <c r="C864" s="53"/>
      <c r="D864" s="1"/>
      <c r="E864" s="1"/>
      <c r="F864" s="1"/>
      <c r="G864" s="1"/>
      <c r="H864" s="1"/>
      <c r="I864" s="1"/>
      <c r="J864" s="1"/>
    </row>
    <row r="865" ht="14.25" customHeight="1">
      <c r="A865" s="52"/>
      <c r="B865" s="53"/>
      <c r="C865" s="53"/>
      <c r="D865" s="1"/>
      <c r="E865" s="1"/>
      <c r="F865" s="1"/>
      <c r="G865" s="1"/>
      <c r="H865" s="1"/>
      <c r="I865" s="1"/>
      <c r="J865" s="1"/>
    </row>
    <row r="866" ht="14.25" customHeight="1">
      <c r="A866" s="52"/>
      <c r="B866" s="53"/>
      <c r="C866" s="53"/>
      <c r="D866" s="1"/>
      <c r="E866" s="1"/>
      <c r="F866" s="1"/>
      <c r="G866" s="1"/>
      <c r="H866" s="1"/>
      <c r="I866" s="1"/>
      <c r="J866" s="1"/>
    </row>
    <row r="867" ht="14.25" customHeight="1">
      <c r="A867" s="52"/>
      <c r="B867" s="53"/>
      <c r="C867" s="53"/>
      <c r="D867" s="1"/>
      <c r="E867" s="1"/>
      <c r="F867" s="1"/>
      <c r="G867" s="1"/>
      <c r="H867" s="1"/>
      <c r="I867" s="1"/>
      <c r="J867" s="1"/>
    </row>
    <row r="868" ht="14.25" customHeight="1">
      <c r="A868" s="52"/>
      <c r="B868" s="53"/>
      <c r="C868" s="53"/>
      <c r="D868" s="1"/>
      <c r="E868" s="1"/>
      <c r="F868" s="1"/>
      <c r="G868" s="1"/>
      <c r="H868" s="1"/>
      <c r="I868" s="1"/>
      <c r="J868" s="1"/>
    </row>
    <row r="869" ht="14.25" customHeight="1">
      <c r="A869" s="52"/>
      <c r="B869" s="53"/>
      <c r="C869" s="53"/>
      <c r="D869" s="1"/>
      <c r="E869" s="1"/>
      <c r="F869" s="1"/>
      <c r="G869" s="1"/>
      <c r="H869" s="1"/>
      <c r="I869" s="1"/>
      <c r="J869" s="1"/>
    </row>
    <row r="870" ht="14.25" customHeight="1">
      <c r="A870" s="52"/>
      <c r="B870" s="53"/>
      <c r="C870" s="53"/>
      <c r="D870" s="1"/>
      <c r="E870" s="1"/>
      <c r="F870" s="1"/>
      <c r="G870" s="1"/>
      <c r="H870" s="1"/>
      <c r="I870" s="1"/>
      <c r="J870" s="1"/>
    </row>
    <row r="871" ht="14.25" customHeight="1">
      <c r="A871" s="52"/>
      <c r="B871" s="53"/>
      <c r="C871" s="53"/>
      <c r="D871" s="1"/>
      <c r="E871" s="1"/>
      <c r="F871" s="1"/>
      <c r="G871" s="1"/>
      <c r="H871" s="1"/>
      <c r="I871" s="1"/>
      <c r="J871" s="1"/>
    </row>
    <row r="872" ht="14.25" customHeight="1">
      <c r="A872" s="52"/>
      <c r="B872" s="53"/>
      <c r="C872" s="53"/>
      <c r="D872" s="1"/>
      <c r="E872" s="1"/>
      <c r="F872" s="1"/>
      <c r="G872" s="1"/>
      <c r="H872" s="1"/>
      <c r="I872" s="1"/>
      <c r="J872" s="1"/>
    </row>
    <row r="873" ht="14.25" customHeight="1">
      <c r="A873" s="52"/>
      <c r="B873" s="53"/>
      <c r="C873" s="53"/>
      <c r="D873" s="1"/>
      <c r="E873" s="1"/>
      <c r="F873" s="1"/>
      <c r="G873" s="1"/>
      <c r="H873" s="1"/>
      <c r="I873" s="1"/>
      <c r="J873" s="1"/>
    </row>
    <row r="874" ht="14.25" customHeight="1">
      <c r="A874" s="52"/>
      <c r="B874" s="53"/>
      <c r="C874" s="53"/>
      <c r="D874" s="1"/>
      <c r="E874" s="1"/>
      <c r="F874" s="1"/>
      <c r="G874" s="1"/>
      <c r="H874" s="1"/>
      <c r="I874" s="1"/>
      <c r="J874" s="1"/>
    </row>
    <row r="875" ht="14.25" customHeight="1">
      <c r="A875" s="52"/>
      <c r="B875" s="53"/>
      <c r="C875" s="53"/>
      <c r="D875" s="1"/>
      <c r="E875" s="1"/>
      <c r="F875" s="1"/>
      <c r="G875" s="1"/>
      <c r="H875" s="1"/>
      <c r="I875" s="1"/>
      <c r="J875" s="1"/>
    </row>
    <row r="876" ht="14.25" customHeight="1">
      <c r="A876" s="52"/>
      <c r="B876" s="53"/>
      <c r="C876" s="53"/>
      <c r="D876" s="1"/>
      <c r="E876" s="1"/>
      <c r="F876" s="1"/>
      <c r="G876" s="1"/>
      <c r="H876" s="1"/>
      <c r="I876" s="1"/>
      <c r="J876" s="1"/>
    </row>
    <row r="877" ht="14.25" customHeight="1">
      <c r="A877" s="52"/>
      <c r="B877" s="53"/>
      <c r="C877" s="53"/>
      <c r="D877" s="1"/>
      <c r="E877" s="1"/>
      <c r="F877" s="1"/>
      <c r="G877" s="1"/>
      <c r="H877" s="1"/>
      <c r="I877" s="1"/>
      <c r="J877" s="1"/>
    </row>
    <row r="878" ht="14.25" customHeight="1">
      <c r="A878" s="52"/>
      <c r="B878" s="53"/>
      <c r="C878" s="53"/>
      <c r="D878" s="1"/>
      <c r="E878" s="1"/>
      <c r="F878" s="1"/>
      <c r="G878" s="1"/>
      <c r="H878" s="1"/>
      <c r="I878" s="1"/>
      <c r="J878" s="1"/>
    </row>
    <row r="879" ht="14.25" customHeight="1">
      <c r="A879" s="52"/>
      <c r="B879" s="53"/>
      <c r="C879" s="53"/>
      <c r="D879" s="1"/>
      <c r="E879" s="1"/>
      <c r="F879" s="1"/>
      <c r="G879" s="1"/>
      <c r="H879" s="1"/>
      <c r="I879" s="1"/>
      <c r="J879" s="1"/>
    </row>
    <row r="880" ht="14.25" customHeight="1">
      <c r="A880" s="52"/>
      <c r="B880" s="53"/>
      <c r="C880" s="53"/>
      <c r="D880" s="1"/>
      <c r="E880" s="1"/>
      <c r="F880" s="1"/>
      <c r="G880" s="1"/>
      <c r="H880" s="1"/>
      <c r="I880" s="1"/>
      <c r="J880" s="1"/>
    </row>
    <row r="881" ht="14.25" customHeight="1">
      <c r="A881" s="52"/>
      <c r="B881" s="53"/>
      <c r="C881" s="53"/>
      <c r="D881" s="1"/>
      <c r="E881" s="1"/>
      <c r="F881" s="1"/>
      <c r="G881" s="1"/>
      <c r="H881" s="1"/>
      <c r="I881" s="1"/>
      <c r="J881" s="1"/>
    </row>
    <row r="882" ht="14.25" customHeight="1">
      <c r="A882" s="52"/>
      <c r="B882" s="53"/>
      <c r="C882" s="53"/>
      <c r="D882" s="1"/>
      <c r="E882" s="1"/>
      <c r="F882" s="1"/>
      <c r="G882" s="1"/>
      <c r="H882" s="1"/>
      <c r="I882" s="1"/>
      <c r="J882" s="1"/>
    </row>
    <row r="883" ht="14.25" customHeight="1">
      <c r="A883" s="52"/>
      <c r="B883" s="53"/>
      <c r="C883" s="53"/>
      <c r="D883" s="1"/>
      <c r="E883" s="1"/>
      <c r="F883" s="1"/>
      <c r="G883" s="1"/>
      <c r="H883" s="1"/>
      <c r="I883" s="1"/>
      <c r="J883" s="1"/>
    </row>
    <row r="884" ht="14.25" customHeight="1">
      <c r="A884" s="52"/>
      <c r="B884" s="53"/>
      <c r="C884" s="53"/>
      <c r="D884" s="1"/>
      <c r="E884" s="1"/>
      <c r="F884" s="1"/>
      <c r="G884" s="1"/>
      <c r="H884" s="1"/>
      <c r="I884" s="1"/>
      <c r="J884" s="1"/>
    </row>
    <row r="885" ht="14.25" customHeight="1">
      <c r="A885" s="52"/>
      <c r="B885" s="53"/>
      <c r="C885" s="53"/>
      <c r="D885" s="1"/>
      <c r="E885" s="1"/>
      <c r="F885" s="1"/>
      <c r="G885" s="1"/>
      <c r="H885" s="1"/>
      <c r="I885" s="1"/>
      <c r="J885" s="1"/>
    </row>
    <row r="886" ht="14.25" customHeight="1">
      <c r="A886" s="52"/>
      <c r="B886" s="53"/>
      <c r="C886" s="53"/>
      <c r="D886" s="1"/>
      <c r="E886" s="1"/>
      <c r="F886" s="1"/>
      <c r="G886" s="1"/>
      <c r="H886" s="1"/>
      <c r="I886" s="1"/>
      <c r="J886" s="1"/>
    </row>
    <row r="887" ht="14.25" customHeight="1">
      <c r="A887" s="52"/>
      <c r="B887" s="53"/>
      <c r="C887" s="53"/>
      <c r="D887" s="1"/>
      <c r="E887" s="1"/>
      <c r="F887" s="1"/>
      <c r="G887" s="1"/>
      <c r="H887" s="1"/>
      <c r="I887" s="1"/>
      <c r="J887" s="1"/>
    </row>
    <row r="888" ht="14.25" customHeight="1">
      <c r="A888" s="52"/>
      <c r="B888" s="53"/>
      <c r="C888" s="53"/>
      <c r="D888" s="1"/>
      <c r="E888" s="1"/>
      <c r="F888" s="1"/>
      <c r="G888" s="1"/>
      <c r="H888" s="1"/>
      <c r="I888" s="1"/>
      <c r="J888" s="1"/>
    </row>
    <row r="889" ht="14.25" customHeight="1">
      <c r="A889" s="52"/>
      <c r="B889" s="53"/>
      <c r="C889" s="53"/>
      <c r="D889" s="1"/>
      <c r="E889" s="1"/>
      <c r="F889" s="1"/>
      <c r="G889" s="1"/>
      <c r="H889" s="1"/>
      <c r="I889" s="1"/>
      <c r="J889" s="1"/>
    </row>
    <row r="890" ht="14.25" customHeight="1">
      <c r="A890" s="52"/>
      <c r="B890" s="53"/>
      <c r="C890" s="53"/>
      <c r="D890" s="1"/>
      <c r="E890" s="1"/>
      <c r="F890" s="1"/>
      <c r="G890" s="1"/>
      <c r="H890" s="1"/>
      <c r="I890" s="1"/>
      <c r="J890" s="1"/>
    </row>
    <row r="891" ht="14.25" customHeight="1">
      <c r="A891" s="52"/>
      <c r="B891" s="53"/>
      <c r="C891" s="53"/>
      <c r="D891" s="1"/>
      <c r="E891" s="1"/>
      <c r="F891" s="1"/>
      <c r="G891" s="1"/>
      <c r="H891" s="1"/>
      <c r="I891" s="1"/>
      <c r="J891" s="1"/>
    </row>
    <row r="892" ht="14.25" customHeight="1">
      <c r="A892" s="52"/>
      <c r="B892" s="53"/>
      <c r="C892" s="53"/>
      <c r="D892" s="1"/>
      <c r="E892" s="1"/>
      <c r="F892" s="1"/>
      <c r="G892" s="1"/>
      <c r="H892" s="1"/>
      <c r="I892" s="1"/>
      <c r="J892" s="1"/>
    </row>
    <row r="893" ht="14.25" customHeight="1">
      <c r="A893" s="52"/>
      <c r="B893" s="53"/>
      <c r="C893" s="53"/>
      <c r="D893" s="1"/>
      <c r="E893" s="1"/>
      <c r="F893" s="1"/>
      <c r="G893" s="1"/>
      <c r="H893" s="1"/>
      <c r="I893" s="1"/>
      <c r="J893" s="1"/>
    </row>
    <row r="894" ht="14.25" customHeight="1">
      <c r="A894" s="52"/>
      <c r="B894" s="53"/>
      <c r="C894" s="53"/>
      <c r="D894" s="1"/>
      <c r="E894" s="1"/>
      <c r="F894" s="1"/>
      <c r="G894" s="1"/>
      <c r="H894" s="1"/>
      <c r="I894" s="1"/>
      <c r="J894" s="1"/>
    </row>
    <row r="895" ht="14.25" customHeight="1">
      <c r="A895" s="52"/>
      <c r="B895" s="53"/>
      <c r="C895" s="53"/>
      <c r="D895" s="1"/>
      <c r="E895" s="1"/>
      <c r="F895" s="1"/>
      <c r="G895" s="1"/>
      <c r="H895" s="1"/>
      <c r="I895" s="1"/>
      <c r="J895" s="1"/>
    </row>
    <row r="896" ht="14.25" customHeight="1">
      <c r="A896" s="52"/>
      <c r="B896" s="53"/>
      <c r="C896" s="53"/>
      <c r="D896" s="1"/>
      <c r="E896" s="1"/>
      <c r="F896" s="1"/>
      <c r="G896" s="1"/>
      <c r="H896" s="1"/>
      <c r="I896" s="1"/>
      <c r="J896" s="1"/>
    </row>
    <row r="897" ht="14.25" customHeight="1">
      <c r="A897" s="52"/>
      <c r="B897" s="53"/>
      <c r="C897" s="53"/>
      <c r="D897" s="1"/>
      <c r="E897" s="1"/>
      <c r="F897" s="1"/>
      <c r="G897" s="1"/>
      <c r="H897" s="1"/>
      <c r="I897" s="1"/>
      <c r="J897" s="1"/>
    </row>
    <row r="898" ht="14.25" customHeight="1">
      <c r="A898" s="52"/>
      <c r="B898" s="53"/>
      <c r="C898" s="53"/>
      <c r="D898" s="1"/>
      <c r="E898" s="1"/>
      <c r="F898" s="1"/>
      <c r="G898" s="1"/>
      <c r="H898" s="1"/>
      <c r="I898" s="1"/>
      <c r="J898" s="1"/>
    </row>
    <row r="899" ht="14.25" customHeight="1">
      <c r="A899" s="52"/>
      <c r="B899" s="53"/>
      <c r="C899" s="53"/>
      <c r="D899" s="1"/>
      <c r="E899" s="1"/>
      <c r="F899" s="1"/>
      <c r="G899" s="1"/>
      <c r="H899" s="1"/>
      <c r="I899" s="1"/>
      <c r="J899" s="1"/>
    </row>
    <row r="900" ht="14.25" customHeight="1">
      <c r="A900" s="52"/>
      <c r="B900" s="53"/>
      <c r="C900" s="53"/>
      <c r="D900" s="1"/>
      <c r="E900" s="1"/>
      <c r="F900" s="1"/>
      <c r="G900" s="1"/>
      <c r="H900" s="1"/>
      <c r="I900" s="1"/>
      <c r="J900" s="1"/>
    </row>
    <row r="901" ht="14.25" customHeight="1">
      <c r="A901" s="52"/>
      <c r="B901" s="53"/>
      <c r="C901" s="53"/>
      <c r="D901" s="1"/>
      <c r="E901" s="1"/>
      <c r="F901" s="1"/>
      <c r="G901" s="1"/>
      <c r="H901" s="1"/>
      <c r="I901" s="1"/>
      <c r="J901" s="1"/>
    </row>
    <row r="902" ht="14.25" customHeight="1">
      <c r="A902" s="52"/>
      <c r="B902" s="53"/>
      <c r="C902" s="53"/>
      <c r="D902" s="1"/>
      <c r="E902" s="1"/>
      <c r="F902" s="1"/>
      <c r="G902" s="1"/>
      <c r="H902" s="1"/>
      <c r="I902" s="1"/>
      <c r="J902" s="1"/>
    </row>
    <row r="903" ht="14.25" customHeight="1">
      <c r="A903" s="52"/>
      <c r="B903" s="53"/>
      <c r="C903" s="53"/>
      <c r="D903" s="1"/>
      <c r="E903" s="1"/>
      <c r="F903" s="1"/>
      <c r="G903" s="1"/>
      <c r="H903" s="1"/>
      <c r="I903" s="1"/>
      <c r="J903" s="1"/>
    </row>
    <row r="904" ht="14.25" customHeight="1">
      <c r="A904" s="52"/>
      <c r="B904" s="53"/>
      <c r="C904" s="53"/>
      <c r="D904" s="1"/>
      <c r="E904" s="1"/>
      <c r="F904" s="1"/>
      <c r="G904" s="1"/>
      <c r="H904" s="1"/>
      <c r="I904" s="1"/>
      <c r="J904" s="1"/>
    </row>
    <row r="905" ht="14.25" customHeight="1">
      <c r="A905" s="52"/>
      <c r="B905" s="53"/>
      <c r="C905" s="53"/>
      <c r="D905" s="1"/>
      <c r="E905" s="1"/>
      <c r="F905" s="1"/>
      <c r="G905" s="1"/>
      <c r="H905" s="1"/>
      <c r="I905" s="1"/>
      <c r="J905" s="1"/>
    </row>
    <row r="906" ht="14.25" customHeight="1">
      <c r="A906" s="52"/>
      <c r="B906" s="53"/>
      <c r="C906" s="53"/>
      <c r="D906" s="1"/>
      <c r="E906" s="1"/>
      <c r="F906" s="1"/>
      <c r="G906" s="1"/>
      <c r="H906" s="1"/>
      <c r="I906" s="1"/>
      <c r="J906" s="1"/>
    </row>
    <row r="907" ht="14.25" customHeight="1">
      <c r="A907" s="52"/>
      <c r="B907" s="53"/>
      <c r="C907" s="53"/>
      <c r="D907" s="1"/>
      <c r="E907" s="1"/>
      <c r="F907" s="1"/>
      <c r="G907" s="1"/>
      <c r="H907" s="1"/>
      <c r="I907" s="1"/>
      <c r="J907" s="1"/>
    </row>
    <row r="908" ht="14.25" customHeight="1">
      <c r="A908" s="52"/>
      <c r="B908" s="53"/>
      <c r="C908" s="53"/>
      <c r="D908" s="1"/>
      <c r="E908" s="1"/>
      <c r="F908" s="1"/>
      <c r="G908" s="1"/>
      <c r="H908" s="1"/>
      <c r="I908" s="1"/>
      <c r="J908" s="1"/>
    </row>
    <row r="909" ht="14.25" customHeight="1">
      <c r="A909" s="52"/>
      <c r="B909" s="53"/>
      <c r="C909" s="53"/>
      <c r="D909" s="1"/>
      <c r="E909" s="1"/>
      <c r="F909" s="1"/>
      <c r="G909" s="1"/>
      <c r="H909" s="1"/>
      <c r="I909" s="1"/>
      <c r="J909" s="1"/>
    </row>
    <row r="910" ht="14.25" customHeight="1">
      <c r="A910" s="52"/>
      <c r="B910" s="53"/>
      <c r="C910" s="53"/>
      <c r="D910" s="1"/>
      <c r="E910" s="1"/>
      <c r="F910" s="1"/>
      <c r="G910" s="1"/>
      <c r="H910" s="1"/>
      <c r="I910" s="1"/>
      <c r="J910" s="1"/>
    </row>
    <row r="911" ht="14.25" customHeight="1">
      <c r="A911" s="52"/>
      <c r="B911" s="53"/>
      <c r="C911" s="53"/>
      <c r="D911" s="1"/>
      <c r="E911" s="1"/>
      <c r="F911" s="1"/>
      <c r="G911" s="1"/>
      <c r="H911" s="1"/>
      <c r="I911" s="1"/>
      <c r="J911" s="1"/>
    </row>
    <row r="912" ht="14.25" customHeight="1">
      <c r="A912" s="52"/>
      <c r="B912" s="53"/>
      <c r="C912" s="53"/>
      <c r="D912" s="1"/>
      <c r="E912" s="1"/>
      <c r="F912" s="1"/>
      <c r="G912" s="1"/>
      <c r="H912" s="1"/>
      <c r="I912" s="1"/>
      <c r="J912" s="1"/>
    </row>
    <row r="913" ht="14.25" customHeight="1">
      <c r="A913" s="52"/>
      <c r="B913" s="53"/>
      <c r="C913" s="53"/>
      <c r="D913" s="1"/>
      <c r="E913" s="1"/>
      <c r="F913" s="1"/>
      <c r="G913" s="1"/>
      <c r="H913" s="1"/>
      <c r="I913" s="1"/>
      <c r="J913" s="1"/>
    </row>
    <row r="914" ht="14.25" customHeight="1">
      <c r="A914" s="52"/>
      <c r="B914" s="53"/>
      <c r="C914" s="53"/>
      <c r="D914" s="1"/>
      <c r="E914" s="1"/>
      <c r="F914" s="1"/>
      <c r="G914" s="1"/>
      <c r="H914" s="1"/>
      <c r="I914" s="1"/>
      <c r="J914" s="1"/>
    </row>
    <row r="915" ht="14.25" customHeight="1">
      <c r="A915" s="52"/>
      <c r="B915" s="53"/>
      <c r="C915" s="53"/>
      <c r="D915" s="1"/>
      <c r="E915" s="1"/>
      <c r="F915" s="1"/>
      <c r="G915" s="1"/>
      <c r="H915" s="1"/>
      <c r="I915" s="1"/>
      <c r="J915" s="1"/>
    </row>
    <row r="916" ht="14.25" customHeight="1">
      <c r="A916" s="52"/>
      <c r="B916" s="53"/>
      <c r="C916" s="53"/>
      <c r="D916" s="1"/>
      <c r="E916" s="1"/>
      <c r="F916" s="1"/>
      <c r="G916" s="1"/>
      <c r="H916" s="1"/>
      <c r="I916" s="1"/>
      <c r="J916" s="1"/>
    </row>
    <row r="917" ht="14.25" customHeight="1">
      <c r="A917" s="52"/>
      <c r="B917" s="53"/>
      <c r="C917" s="53"/>
      <c r="D917" s="1"/>
      <c r="E917" s="1"/>
      <c r="F917" s="1"/>
      <c r="G917" s="1"/>
      <c r="H917" s="1"/>
      <c r="I917" s="1"/>
      <c r="J917" s="1"/>
    </row>
    <row r="918" ht="14.25" customHeight="1">
      <c r="A918" s="52"/>
      <c r="B918" s="53"/>
      <c r="C918" s="53"/>
      <c r="D918" s="1"/>
      <c r="E918" s="1"/>
      <c r="F918" s="1"/>
      <c r="G918" s="1"/>
      <c r="H918" s="1"/>
      <c r="I918" s="1"/>
      <c r="J918" s="1"/>
    </row>
    <row r="919" ht="14.25" customHeight="1">
      <c r="A919" s="52"/>
      <c r="B919" s="53"/>
      <c r="C919" s="53"/>
      <c r="D919" s="1"/>
      <c r="E919" s="1"/>
      <c r="F919" s="1"/>
      <c r="G919" s="1"/>
      <c r="H919" s="1"/>
      <c r="I919" s="1"/>
      <c r="J919" s="1"/>
    </row>
    <row r="920" ht="14.25" customHeight="1">
      <c r="A920" s="52"/>
      <c r="B920" s="53"/>
      <c r="C920" s="53"/>
      <c r="D920" s="1"/>
      <c r="E920" s="1"/>
      <c r="F920" s="1"/>
      <c r="G920" s="1"/>
      <c r="H920" s="1"/>
      <c r="I920" s="1"/>
      <c r="J920" s="1"/>
    </row>
    <row r="921" ht="14.25" customHeight="1">
      <c r="A921" s="52"/>
      <c r="B921" s="53"/>
      <c r="C921" s="53"/>
      <c r="D921" s="1"/>
      <c r="E921" s="1"/>
      <c r="F921" s="1"/>
      <c r="G921" s="1"/>
      <c r="H921" s="1"/>
      <c r="I921" s="1"/>
      <c r="J921" s="1"/>
    </row>
    <row r="922" ht="14.25" customHeight="1">
      <c r="A922" s="52"/>
      <c r="B922" s="53"/>
      <c r="C922" s="53"/>
      <c r="D922" s="1"/>
      <c r="E922" s="1"/>
      <c r="F922" s="1"/>
      <c r="G922" s="1"/>
      <c r="H922" s="1"/>
      <c r="I922" s="1"/>
      <c r="J922" s="1"/>
    </row>
    <row r="923" ht="14.25" customHeight="1">
      <c r="A923" s="52"/>
      <c r="B923" s="53"/>
      <c r="C923" s="53"/>
      <c r="D923" s="1"/>
      <c r="E923" s="1"/>
      <c r="F923" s="1"/>
      <c r="G923" s="1"/>
      <c r="H923" s="1"/>
      <c r="I923" s="1"/>
      <c r="J923" s="1"/>
    </row>
    <row r="924" ht="14.25" customHeight="1">
      <c r="A924" s="52"/>
      <c r="B924" s="53"/>
      <c r="C924" s="53"/>
      <c r="D924" s="1"/>
      <c r="E924" s="1"/>
      <c r="F924" s="1"/>
      <c r="G924" s="1"/>
      <c r="H924" s="1"/>
      <c r="I924" s="1"/>
      <c r="J924" s="1"/>
    </row>
    <row r="925" ht="14.25" customHeight="1">
      <c r="A925" s="52"/>
      <c r="B925" s="53"/>
      <c r="C925" s="53"/>
      <c r="D925" s="1"/>
      <c r="E925" s="1"/>
      <c r="F925" s="1"/>
      <c r="G925" s="1"/>
      <c r="H925" s="1"/>
      <c r="I925" s="1"/>
      <c r="J925" s="1"/>
    </row>
    <row r="926" ht="14.25" customHeight="1">
      <c r="A926" s="52"/>
      <c r="B926" s="53"/>
      <c r="C926" s="53"/>
      <c r="D926" s="1"/>
      <c r="E926" s="1"/>
      <c r="F926" s="1"/>
      <c r="G926" s="1"/>
      <c r="H926" s="1"/>
      <c r="I926" s="1"/>
      <c r="J926" s="1"/>
    </row>
    <row r="927" ht="14.25" customHeight="1">
      <c r="A927" s="52"/>
      <c r="B927" s="53"/>
      <c r="C927" s="53"/>
      <c r="D927" s="1"/>
      <c r="E927" s="1"/>
      <c r="F927" s="1"/>
      <c r="G927" s="1"/>
      <c r="H927" s="1"/>
      <c r="I927" s="1"/>
      <c r="J927" s="1"/>
    </row>
    <row r="928" ht="14.25" customHeight="1">
      <c r="A928" s="52"/>
      <c r="B928" s="53"/>
      <c r="C928" s="53"/>
      <c r="D928" s="1"/>
      <c r="E928" s="1"/>
      <c r="F928" s="1"/>
      <c r="G928" s="1"/>
      <c r="H928" s="1"/>
      <c r="I928" s="1"/>
      <c r="J928" s="1"/>
    </row>
    <row r="929" ht="14.25" customHeight="1">
      <c r="A929" s="52"/>
      <c r="B929" s="53"/>
      <c r="C929" s="53"/>
      <c r="D929" s="1"/>
      <c r="E929" s="1"/>
      <c r="F929" s="1"/>
      <c r="G929" s="1"/>
      <c r="H929" s="1"/>
      <c r="I929" s="1"/>
      <c r="J929" s="1"/>
    </row>
    <row r="930" ht="14.25" customHeight="1">
      <c r="A930" s="52"/>
      <c r="B930" s="53"/>
      <c r="C930" s="53"/>
      <c r="D930" s="1"/>
      <c r="E930" s="1"/>
      <c r="F930" s="1"/>
      <c r="G930" s="1"/>
      <c r="H930" s="1"/>
      <c r="I930" s="1"/>
      <c r="J930" s="1"/>
    </row>
    <row r="931" ht="14.25" customHeight="1">
      <c r="A931" s="52"/>
      <c r="B931" s="53"/>
      <c r="C931" s="53"/>
      <c r="D931" s="1"/>
      <c r="E931" s="1"/>
      <c r="F931" s="1"/>
      <c r="G931" s="1"/>
      <c r="H931" s="1"/>
      <c r="I931" s="1"/>
      <c r="J931" s="1"/>
    </row>
    <row r="932" ht="14.25" customHeight="1">
      <c r="A932" s="52"/>
      <c r="B932" s="53"/>
      <c r="C932" s="53"/>
      <c r="D932" s="1"/>
      <c r="E932" s="1"/>
      <c r="F932" s="1"/>
      <c r="G932" s="1"/>
      <c r="H932" s="1"/>
      <c r="I932" s="1"/>
      <c r="J932" s="1"/>
    </row>
    <row r="933" ht="14.25" customHeight="1">
      <c r="A933" s="52"/>
      <c r="B933" s="53"/>
      <c r="C933" s="53"/>
      <c r="D933" s="1"/>
      <c r="E933" s="1"/>
      <c r="F933" s="1"/>
      <c r="G933" s="1"/>
      <c r="H933" s="1"/>
      <c r="I933" s="1"/>
      <c r="J933" s="1"/>
    </row>
    <row r="934" ht="14.25" customHeight="1">
      <c r="A934" s="52"/>
      <c r="B934" s="53"/>
      <c r="C934" s="53"/>
      <c r="D934" s="1"/>
      <c r="E934" s="1"/>
      <c r="F934" s="1"/>
      <c r="G934" s="1"/>
      <c r="H934" s="1"/>
      <c r="I934" s="1"/>
      <c r="J934" s="1"/>
    </row>
    <row r="935" ht="14.25" customHeight="1">
      <c r="A935" s="52"/>
      <c r="B935" s="53"/>
      <c r="C935" s="53"/>
      <c r="D935" s="1"/>
      <c r="E935" s="1"/>
      <c r="F935" s="1"/>
      <c r="G935" s="1"/>
      <c r="H935" s="1"/>
      <c r="I935" s="1"/>
      <c r="J935" s="1"/>
    </row>
    <row r="936" ht="14.25" customHeight="1">
      <c r="A936" s="52"/>
      <c r="B936" s="53"/>
      <c r="C936" s="53"/>
      <c r="D936" s="1"/>
      <c r="E936" s="1"/>
      <c r="F936" s="1"/>
      <c r="G936" s="1"/>
      <c r="H936" s="1"/>
      <c r="I936" s="1"/>
      <c r="J936" s="1"/>
    </row>
    <row r="937" ht="14.25" customHeight="1">
      <c r="A937" s="52"/>
      <c r="B937" s="53"/>
      <c r="C937" s="53"/>
      <c r="D937" s="1"/>
      <c r="E937" s="1"/>
      <c r="F937" s="1"/>
      <c r="G937" s="1"/>
      <c r="H937" s="1"/>
      <c r="I937" s="1"/>
      <c r="J937" s="1"/>
    </row>
    <row r="938" ht="14.25" customHeight="1">
      <c r="A938" s="52"/>
      <c r="B938" s="53"/>
      <c r="C938" s="53"/>
      <c r="D938" s="1"/>
      <c r="E938" s="1"/>
      <c r="F938" s="1"/>
      <c r="G938" s="1"/>
      <c r="H938" s="1"/>
      <c r="I938" s="1"/>
      <c r="J938" s="1"/>
    </row>
    <row r="939" ht="14.25" customHeight="1">
      <c r="A939" s="52"/>
      <c r="B939" s="53"/>
      <c r="C939" s="53"/>
      <c r="D939" s="1"/>
      <c r="E939" s="1"/>
      <c r="F939" s="1"/>
      <c r="G939" s="1"/>
      <c r="H939" s="1"/>
      <c r="I939" s="1"/>
      <c r="J939" s="1"/>
    </row>
    <row r="940" ht="14.25" customHeight="1">
      <c r="A940" s="52"/>
      <c r="B940" s="53"/>
      <c r="C940" s="53"/>
      <c r="D940" s="1"/>
      <c r="E940" s="1"/>
      <c r="F940" s="1"/>
      <c r="G940" s="1"/>
      <c r="H940" s="1"/>
      <c r="I940" s="1"/>
      <c r="J940" s="1"/>
    </row>
    <row r="941" ht="14.25" customHeight="1">
      <c r="A941" s="52"/>
      <c r="B941" s="53"/>
      <c r="C941" s="53"/>
      <c r="D941" s="1"/>
      <c r="E941" s="1"/>
      <c r="F941" s="1"/>
      <c r="G941" s="1"/>
      <c r="H941" s="1"/>
      <c r="I941" s="1"/>
      <c r="J941" s="1"/>
    </row>
    <row r="942" ht="14.25" customHeight="1">
      <c r="A942" s="52"/>
      <c r="B942" s="53"/>
      <c r="C942" s="53"/>
      <c r="D942" s="1"/>
      <c r="E942" s="1"/>
      <c r="F942" s="1"/>
      <c r="G942" s="1"/>
      <c r="H942" s="1"/>
      <c r="I942" s="1"/>
      <c r="J942" s="1"/>
    </row>
    <row r="943" ht="14.25" customHeight="1">
      <c r="A943" s="52"/>
      <c r="B943" s="53"/>
      <c r="C943" s="53"/>
      <c r="D943" s="1"/>
      <c r="E943" s="1"/>
      <c r="F943" s="1"/>
      <c r="G943" s="1"/>
      <c r="H943" s="1"/>
      <c r="I943" s="1"/>
      <c r="J943" s="1"/>
    </row>
    <row r="944" ht="14.25" customHeight="1">
      <c r="A944" s="52"/>
      <c r="B944" s="53"/>
      <c r="C944" s="53"/>
      <c r="D944" s="1"/>
      <c r="E944" s="1"/>
      <c r="F944" s="1"/>
      <c r="G944" s="1"/>
      <c r="H944" s="1"/>
      <c r="I944" s="1"/>
      <c r="J944" s="1"/>
    </row>
    <row r="945" ht="14.25" customHeight="1">
      <c r="A945" s="52"/>
      <c r="B945" s="53"/>
      <c r="C945" s="53"/>
      <c r="D945" s="1"/>
      <c r="E945" s="1"/>
      <c r="F945" s="1"/>
      <c r="G945" s="1"/>
      <c r="H945" s="1"/>
      <c r="I945" s="1"/>
      <c r="J945" s="1"/>
    </row>
    <row r="946" ht="14.25" customHeight="1">
      <c r="A946" s="52"/>
      <c r="B946" s="53"/>
      <c r="C946" s="53"/>
      <c r="D946" s="1"/>
      <c r="E946" s="1"/>
      <c r="F946" s="1"/>
      <c r="G946" s="1"/>
      <c r="H946" s="1"/>
      <c r="I946" s="1"/>
      <c r="J946" s="1"/>
    </row>
    <row r="947" ht="14.25" customHeight="1">
      <c r="A947" s="52"/>
      <c r="B947" s="53"/>
      <c r="C947" s="53"/>
      <c r="D947" s="1"/>
      <c r="E947" s="1"/>
      <c r="F947" s="1"/>
      <c r="G947" s="1"/>
      <c r="H947" s="1"/>
      <c r="I947" s="1"/>
      <c r="J947" s="1"/>
    </row>
    <row r="948" ht="14.25" customHeight="1">
      <c r="A948" s="52"/>
      <c r="B948" s="53"/>
      <c r="C948" s="53"/>
      <c r="D948" s="1"/>
      <c r="E948" s="1"/>
      <c r="F948" s="1"/>
      <c r="G948" s="1"/>
      <c r="H948" s="1"/>
      <c r="I948" s="1"/>
      <c r="J948" s="1"/>
    </row>
    <row r="949" ht="14.25" customHeight="1">
      <c r="A949" s="52"/>
      <c r="B949" s="53"/>
      <c r="C949" s="53"/>
      <c r="D949" s="1"/>
      <c r="E949" s="1"/>
      <c r="F949" s="1"/>
      <c r="G949" s="1"/>
      <c r="H949" s="1"/>
      <c r="I949" s="1"/>
      <c r="J949" s="1"/>
    </row>
    <row r="950" ht="14.25" customHeight="1">
      <c r="A950" s="52"/>
      <c r="B950" s="53"/>
      <c r="C950" s="53"/>
      <c r="D950" s="1"/>
      <c r="E950" s="1"/>
      <c r="F950" s="1"/>
      <c r="G950" s="1"/>
      <c r="H950" s="1"/>
      <c r="I950" s="1"/>
      <c r="J950" s="1"/>
    </row>
    <row r="951" ht="14.25" customHeight="1">
      <c r="A951" s="52"/>
      <c r="B951" s="53"/>
      <c r="C951" s="53"/>
      <c r="D951" s="1"/>
      <c r="E951" s="1"/>
      <c r="F951" s="1"/>
      <c r="G951" s="1"/>
      <c r="H951" s="1"/>
      <c r="I951" s="1"/>
      <c r="J951" s="1"/>
    </row>
    <row r="952" ht="14.25" customHeight="1">
      <c r="A952" s="52"/>
      <c r="B952" s="53"/>
      <c r="C952" s="53"/>
      <c r="D952" s="1"/>
      <c r="E952" s="1"/>
      <c r="F952" s="1"/>
      <c r="G952" s="1"/>
      <c r="H952" s="1"/>
      <c r="I952" s="1"/>
      <c r="J952" s="1"/>
    </row>
    <row r="953" ht="14.25" customHeight="1">
      <c r="A953" s="52"/>
      <c r="B953" s="53"/>
      <c r="C953" s="53"/>
      <c r="D953" s="1"/>
      <c r="E953" s="1"/>
      <c r="F953" s="1"/>
      <c r="G953" s="1"/>
      <c r="H953" s="1"/>
      <c r="I953" s="1"/>
      <c r="J953" s="1"/>
    </row>
    <row r="954" ht="14.25" customHeight="1">
      <c r="A954" s="52"/>
      <c r="B954" s="53"/>
      <c r="C954" s="53"/>
      <c r="D954" s="1"/>
      <c r="E954" s="1"/>
      <c r="F954" s="1"/>
      <c r="G954" s="1"/>
      <c r="H954" s="1"/>
      <c r="I954" s="1"/>
      <c r="J954" s="1"/>
    </row>
    <row r="955" ht="14.25" customHeight="1">
      <c r="A955" s="52"/>
      <c r="B955" s="53"/>
      <c r="C955" s="53"/>
      <c r="D955" s="1"/>
      <c r="E955" s="1"/>
      <c r="F955" s="1"/>
      <c r="G955" s="1"/>
      <c r="H955" s="1"/>
      <c r="I955" s="1"/>
      <c r="J955" s="1"/>
    </row>
    <row r="956" ht="14.25" customHeight="1">
      <c r="A956" s="52"/>
      <c r="B956" s="53"/>
      <c r="C956" s="53"/>
      <c r="D956" s="1"/>
      <c r="E956" s="1"/>
      <c r="F956" s="1"/>
      <c r="G956" s="1"/>
      <c r="H956" s="1"/>
      <c r="I956" s="1"/>
      <c r="J956" s="1"/>
    </row>
    <row r="957" ht="14.25" customHeight="1">
      <c r="A957" s="52"/>
      <c r="B957" s="53"/>
      <c r="C957" s="53"/>
      <c r="D957" s="1"/>
      <c r="E957" s="1"/>
      <c r="F957" s="1"/>
      <c r="G957" s="1"/>
      <c r="H957" s="1"/>
      <c r="I957" s="1"/>
      <c r="J957" s="1"/>
    </row>
    <row r="958" ht="14.25" customHeight="1">
      <c r="A958" s="52"/>
      <c r="B958" s="53"/>
      <c r="C958" s="53"/>
      <c r="D958" s="1"/>
      <c r="E958" s="1"/>
      <c r="F958" s="1"/>
      <c r="G958" s="1"/>
      <c r="H958" s="1"/>
      <c r="I958" s="1"/>
      <c r="J958" s="1"/>
    </row>
    <row r="959" ht="14.25" customHeight="1">
      <c r="A959" s="52"/>
      <c r="B959" s="53"/>
      <c r="C959" s="53"/>
      <c r="D959" s="1"/>
      <c r="E959" s="1"/>
      <c r="F959" s="1"/>
      <c r="G959" s="1"/>
      <c r="H959" s="1"/>
      <c r="I959" s="1"/>
      <c r="J959" s="1"/>
    </row>
    <row r="960" ht="14.25" customHeight="1">
      <c r="A960" s="52"/>
      <c r="B960" s="53"/>
      <c r="C960" s="53"/>
      <c r="D960" s="1"/>
      <c r="E960" s="1"/>
      <c r="F960" s="1"/>
      <c r="G960" s="1"/>
      <c r="H960" s="1"/>
      <c r="I960" s="1"/>
      <c r="J960" s="1"/>
    </row>
    <row r="961" ht="14.25" customHeight="1">
      <c r="A961" s="52"/>
      <c r="B961" s="53"/>
      <c r="C961" s="53"/>
      <c r="D961" s="1"/>
      <c r="E961" s="1"/>
      <c r="F961" s="1"/>
      <c r="G961" s="1"/>
      <c r="H961" s="1"/>
      <c r="I961" s="1"/>
      <c r="J961" s="1"/>
    </row>
    <row r="962" ht="14.25" customHeight="1">
      <c r="A962" s="52"/>
      <c r="B962" s="53"/>
      <c r="C962" s="53"/>
      <c r="D962" s="1"/>
      <c r="E962" s="1"/>
      <c r="F962" s="1"/>
      <c r="G962" s="1"/>
      <c r="H962" s="1"/>
      <c r="I962" s="1"/>
      <c r="J962" s="1"/>
    </row>
    <row r="963" ht="14.25" customHeight="1">
      <c r="A963" s="52"/>
      <c r="B963" s="53"/>
      <c r="C963" s="53"/>
      <c r="D963" s="1"/>
      <c r="E963" s="1"/>
      <c r="F963" s="1"/>
      <c r="G963" s="1"/>
      <c r="H963" s="1"/>
      <c r="I963" s="1"/>
      <c r="J963" s="1"/>
    </row>
    <row r="964" ht="14.25" customHeight="1">
      <c r="A964" s="52"/>
      <c r="B964" s="53"/>
      <c r="C964" s="53"/>
      <c r="D964" s="1"/>
      <c r="E964" s="1"/>
      <c r="F964" s="1"/>
      <c r="G964" s="1"/>
      <c r="H964" s="1"/>
      <c r="I964" s="1"/>
      <c r="J964" s="1"/>
    </row>
    <row r="965" ht="14.25" customHeight="1">
      <c r="A965" s="52"/>
      <c r="B965" s="53"/>
      <c r="C965" s="53"/>
      <c r="D965" s="1"/>
      <c r="E965" s="1"/>
      <c r="F965" s="1"/>
      <c r="G965" s="1"/>
      <c r="H965" s="1"/>
      <c r="I965" s="1"/>
      <c r="J965" s="1"/>
    </row>
    <row r="966" ht="14.25" customHeight="1">
      <c r="A966" s="52"/>
      <c r="B966" s="53"/>
      <c r="C966" s="53"/>
      <c r="D966" s="1"/>
      <c r="E966" s="1"/>
      <c r="F966" s="1"/>
      <c r="G966" s="1"/>
      <c r="H966" s="1"/>
      <c r="I966" s="1"/>
      <c r="J966" s="1"/>
    </row>
    <row r="967" ht="14.25" customHeight="1">
      <c r="A967" s="52"/>
      <c r="B967" s="53"/>
      <c r="C967" s="53"/>
      <c r="D967" s="1"/>
      <c r="E967" s="1"/>
      <c r="F967" s="1"/>
      <c r="G967" s="1"/>
      <c r="H967" s="1"/>
      <c r="I967" s="1"/>
      <c r="J967" s="1"/>
    </row>
    <row r="968" ht="14.25" customHeight="1">
      <c r="A968" s="52"/>
      <c r="B968" s="53"/>
      <c r="C968" s="53"/>
      <c r="D968" s="1"/>
      <c r="E968" s="1"/>
      <c r="F968" s="1"/>
      <c r="G968" s="1"/>
      <c r="H968" s="1"/>
      <c r="I968" s="1"/>
      <c r="J968" s="1"/>
    </row>
    <row r="969" ht="14.25" customHeight="1">
      <c r="A969" s="52"/>
      <c r="B969" s="53"/>
      <c r="C969" s="53"/>
      <c r="D969" s="1"/>
      <c r="E969" s="1"/>
      <c r="F969" s="1"/>
      <c r="G969" s="1"/>
      <c r="H969" s="1"/>
      <c r="I969" s="1"/>
      <c r="J969" s="1"/>
    </row>
    <row r="970" ht="14.25" customHeight="1">
      <c r="A970" s="52"/>
      <c r="B970" s="53"/>
      <c r="C970" s="53"/>
      <c r="D970" s="1"/>
      <c r="E970" s="1"/>
      <c r="F970" s="1"/>
      <c r="G970" s="1"/>
      <c r="H970" s="1"/>
      <c r="I970" s="1"/>
      <c r="J970" s="1"/>
    </row>
    <row r="971" ht="14.25" customHeight="1">
      <c r="A971" s="52"/>
      <c r="B971" s="53"/>
      <c r="C971" s="53"/>
      <c r="D971" s="1"/>
      <c r="E971" s="1"/>
      <c r="F971" s="1"/>
      <c r="G971" s="1"/>
      <c r="H971" s="1"/>
      <c r="I971" s="1"/>
      <c r="J971" s="1"/>
    </row>
    <row r="972" ht="14.25" customHeight="1">
      <c r="A972" s="52"/>
      <c r="B972" s="53"/>
      <c r="C972" s="53"/>
      <c r="D972" s="1"/>
      <c r="E972" s="1"/>
      <c r="F972" s="1"/>
      <c r="G972" s="1"/>
      <c r="H972" s="1"/>
      <c r="I972" s="1"/>
      <c r="J972" s="1"/>
    </row>
    <row r="973" ht="14.25" customHeight="1">
      <c r="A973" s="52"/>
      <c r="B973" s="53"/>
      <c r="C973" s="53"/>
      <c r="D973" s="1"/>
      <c r="E973" s="1"/>
      <c r="F973" s="1"/>
      <c r="G973" s="1"/>
      <c r="H973" s="1"/>
      <c r="I973" s="1"/>
      <c r="J973" s="1"/>
    </row>
    <row r="974" ht="14.25" customHeight="1">
      <c r="A974" s="52"/>
      <c r="B974" s="53"/>
      <c r="C974" s="53"/>
      <c r="D974" s="1"/>
      <c r="E974" s="1"/>
      <c r="F974" s="1"/>
      <c r="G974" s="1"/>
      <c r="H974" s="1"/>
      <c r="I974" s="1"/>
      <c r="J974" s="1"/>
    </row>
    <row r="975" ht="14.25" customHeight="1">
      <c r="A975" s="52"/>
      <c r="B975" s="53"/>
      <c r="C975" s="53"/>
      <c r="D975" s="1"/>
      <c r="E975" s="1"/>
      <c r="F975" s="1"/>
      <c r="G975" s="1"/>
      <c r="H975" s="1"/>
      <c r="I975" s="1"/>
      <c r="J975" s="1"/>
    </row>
    <row r="976" ht="14.25" customHeight="1">
      <c r="A976" s="52"/>
      <c r="B976" s="53"/>
      <c r="C976" s="53"/>
      <c r="D976" s="1"/>
      <c r="E976" s="1"/>
      <c r="F976" s="1"/>
      <c r="G976" s="1"/>
      <c r="H976" s="1"/>
      <c r="I976" s="1"/>
      <c r="J976" s="1"/>
    </row>
    <row r="977" ht="14.25" customHeight="1">
      <c r="A977" s="52"/>
      <c r="B977" s="53"/>
      <c r="C977" s="53"/>
      <c r="D977" s="1"/>
      <c r="E977" s="1"/>
      <c r="F977" s="1"/>
      <c r="G977" s="1"/>
      <c r="H977" s="1"/>
      <c r="I977" s="1"/>
      <c r="J977" s="1"/>
    </row>
    <row r="978" ht="14.25" customHeight="1">
      <c r="A978" s="52"/>
      <c r="B978" s="53"/>
      <c r="C978" s="53"/>
      <c r="D978" s="1"/>
      <c r="E978" s="1"/>
      <c r="F978" s="1"/>
      <c r="G978" s="1"/>
      <c r="H978" s="1"/>
      <c r="I978" s="1"/>
      <c r="J978" s="1"/>
    </row>
    <row r="979" ht="14.25" customHeight="1">
      <c r="A979" s="52"/>
      <c r="B979" s="53"/>
      <c r="C979" s="53"/>
      <c r="D979" s="1"/>
      <c r="E979" s="1"/>
      <c r="F979" s="1"/>
      <c r="G979" s="1"/>
      <c r="H979" s="1"/>
      <c r="I979" s="1"/>
      <c r="J979" s="1"/>
    </row>
    <row r="980" ht="14.25" customHeight="1">
      <c r="A980" s="52"/>
      <c r="B980" s="53"/>
      <c r="C980" s="53"/>
      <c r="D980" s="1"/>
      <c r="E980" s="1"/>
      <c r="F980" s="1"/>
      <c r="G980" s="1"/>
      <c r="H980" s="1"/>
      <c r="I980" s="1"/>
      <c r="J980" s="1"/>
    </row>
    <row r="981" ht="14.25" customHeight="1">
      <c r="A981" s="52"/>
      <c r="B981" s="53"/>
      <c r="C981" s="53"/>
      <c r="D981" s="1"/>
      <c r="E981" s="1"/>
      <c r="F981" s="1"/>
      <c r="G981" s="1"/>
      <c r="H981" s="1"/>
      <c r="I981" s="1"/>
      <c r="J981" s="1"/>
    </row>
    <row r="982" ht="14.25" customHeight="1">
      <c r="A982" s="52"/>
      <c r="B982" s="53"/>
      <c r="C982" s="53"/>
      <c r="D982" s="1"/>
      <c r="E982" s="1"/>
      <c r="F982" s="1"/>
      <c r="G982" s="1"/>
      <c r="H982" s="1"/>
      <c r="I982" s="1"/>
      <c r="J982" s="1"/>
    </row>
    <row r="983" ht="14.25" customHeight="1">
      <c r="A983" s="52"/>
      <c r="B983" s="53"/>
      <c r="C983" s="53"/>
      <c r="D983" s="1"/>
      <c r="E983" s="1"/>
      <c r="F983" s="1"/>
      <c r="G983" s="1"/>
      <c r="H983" s="1"/>
      <c r="I983" s="1"/>
      <c r="J983" s="1"/>
    </row>
    <row r="984" ht="14.25" customHeight="1">
      <c r="A984" s="52"/>
      <c r="B984" s="53"/>
      <c r="C984" s="53"/>
      <c r="D984" s="1"/>
      <c r="E984" s="1"/>
      <c r="F984" s="1"/>
      <c r="G984" s="1"/>
      <c r="H984" s="1"/>
      <c r="I984" s="1"/>
      <c r="J984" s="1"/>
    </row>
    <row r="985" ht="14.25" customHeight="1">
      <c r="A985" s="52"/>
      <c r="B985" s="53"/>
      <c r="C985" s="53"/>
      <c r="D985" s="1"/>
      <c r="E985" s="1"/>
      <c r="F985" s="1"/>
      <c r="G985" s="1"/>
      <c r="H985" s="1"/>
      <c r="I985" s="1"/>
      <c r="J985" s="1"/>
    </row>
    <row r="986" ht="14.25" customHeight="1">
      <c r="A986" s="52"/>
      <c r="B986" s="53"/>
      <c r="C986" s="53"/>
      <c r="D986" s="1"/>
      <c r="E986" s="1"/>
      <c r="F986" s="1"/>
      <c r="G986" s="1"/>
      <c r="H986" s="1"/>
      <c r="I986" s="1"/>
      <c r="J986" s="1"/>
    </row>
    <row r="987" ht="14.25" customHeight="1">
      <c r="A987" s="52"/>
      <c r="B987" s="53"/>
      <c r="C987" s="53"/>
      <c r="D987" s="1"/>
      <c r="E987" s="1"/>
      <c r="F987" s="1"/>
      <c r="G987" s="1"/>
      <c r="H987" s="1"/>
      <c r="I987" s="1"/>
      <c r="J987" s="1"/>
    </row>
    <row r="988" ht="14.25" customHeight="1">
      <c r="A988" s="52"/>
      <c r="B988" s="53"/>
      <c r="C988" s="53"/>
      <c r="D988" s="1"/>
      <c r="E988" s="1"/>
      <c r="F988" s="1"/>
      <c r="G988" s="1"/>
      <c r="H988" s="1"/>
      <c r="I988" s="1"/>
      <c r="J988" s="1"/>
    </row>
    <row r="989" ht="14.25" customHeight="1">
      <c r="A989" s="52"/>
      <c r="B989" s="53"/>
      <c r="C989" s="53"/>
      <c r="D989" s="1"/>
      <c r="E989" s="1"/>
      <c r="F989" s="1"/>
      <c r="G989" s="1"/>
      <c r="H989" s="1"/>
      <c r="I989" s="1"/>
      <c r="J989" s="1"/>
    </row>
    <row r="990" ht="14.25" customHeight="1">
      <c r="A990" s="52"/>
      <c r="B990" s="53"/>
      <c r="C990" s="53"/>
      <c r="D990" s="1"/>
      <c r="E990" s="1"/>
      <c r="F990" s="1"/>
      <c r="G990" s="1"/>
      <c r="H990" s="1"/>
      <c r="I990" s="1"/>
      <c r="J990" s="1"/>
    </row>
    <row r="991" ht="14.25" customHeight="1">
      <c r="A991" s="52"/>
      <c r="B991" s="53"/>
      <c r="C991" s="53"/>
      <c r="D991" s="1"/>
      <c r="E991" s="1"/>
      <c r="F991" s="1"/>
      <c r="G991" s="1"/>
      <c r="H991" s="1"/>
      <c r="I991" s="1"/>
      <c r="J991" s="1"/>
    </row>
    <row r="992" ht="14.25" customHeight="1">
      <c r="A992" s="52"/>
      <c r="B992" s="53"/>
      <c r="C992" s="53"/>
      <c r="D992" s="1"/>
      <c r="E992" s="1"/>
      <c r="F992" s="1"/>
      <c r="G992" s="1"/>
      <c r="H992" s="1"/>
      <c r="I992" s="1"/>
      <c r="J992" s="1"/>
    </row>
    <row r="993" ht="14.25" customHeight="1">
      <c r="A993" s="52"/>
      <c r="B993" s="53"/>
      <c r="C993" s="53"/>
      <c r="D993" s="1"/>
      <c r="E993" s="1"/>
      <c r="F993" s="1"/>
      <c r="G993" s="1"/>
      <c r="H993" s="1"/>
      <c r="I993" s="1"/>
      <c r="J993" s="1"/>
    </row>
    <row r="994" ht="14.25" customHeight="1">
      <c r="A994" s="52"/>
      <c r="B994" s="53"/>
      <c r="C994" s="53"/>
      <c r="D994" s="1"/>
      <c r="E994" s="1"/>
      <c r="F994" s="1"/>
      <c r="G994" s="1"/>
      <c r="H994" s="1"/>
      <c r="I994" s="1"/>
      <c r="J994" s="1"/>
    </row>
    <row r="995" ht="14.25" customHeight="1">
      <c r="A995" s="52"/>
      <c r="B995" s="53"/>
      <c r="C995" s="53"/>
      <c r="D995" s="1"/>
      <c r="E995" s="1"/>
      <c r="F995" s="1"/>
      <c r="G995" s="1"/>
      <c r="H995" s="1"/>
      <c r="I995" s="1"/>
      <c r="J995" s="1"/>
    </row>
    <row r="996" ht="14.25" customHeight="1">
      <c r="A996" s="52"/>
      <c r="B996" s="53"/>
      <c r="C996" s="53"/>
      <c r="D996" s="1"/>
      <c r="E996" s="1"/>
      <c r="F996" s="1"/>
      <c r="G996" s="1"/>
      <c r="H996" s="1"/>
      <c r="I996" s="1"/>
      <c r="J996" s="1"/>
    </row>
    <row r="997" ht="14.25" customHeight="1">
      <c r="A997" s="52"/>
      <c r="B997" s="53"/>
      <c r="C997" s="53"/>
      <c r="D997" s="1"/>
      <c r="E997" s="1"/>
      <c r="F997" s="1"/>
      <c r="G997" s="1"/>
      <c r="H997" s="1"/>
      <c r="I997" s="1"/>
      <c r="J997" s="1"/>
    </row>
    <row r="998" ht="14.25" customHeight="1">
      <c r="A998" s="52"/>
      <c r="B998" s="53"/>
      <c r="C998" s="53"/>
      <c r="D998" s="1"/>
      <c r="E998" s="1"/>
      <c r="F998" s="1"/>
      <c r="G998" s="1"/>
      <c r="H998" s="1"/>
      <c r="I998" s="1"/>
      <c r="J998" s="1"/>
    </row>
    <row r="999" ht="14.25" customHeight="1">
      <c r="A999" s="52"/>
      <c r="B999" s="53"/>
      <c r="C999" s="53"/>
      <c r="D999" s="1"/>
      <c r="E999" s="1"/>
      <c r="F999" s="1"/>
      <c r="G999" s="1"/>
      <c r="H999" s="1"/>
      <c r="I999" s="1"/>
      <c r="J999" s="1"/>
    </row>
    <row r="1000" ht="14.25" customHeight="1">
      <c r="A1000" s="52"/>
      <c r="B1000" s="53"/>
      <c r="C1000" s="53"/>
      <c r="D1000" s="1"/>
      <c r="E1000" s="1"/>
      <c r="F1000" s="1"/>
      <c r="G1000" s="1"/>
      <c r="H1000" s="1"/>
      <c r="I1000" s="1"/>
      <c r="J1000" s="1"/>
    </row>
  </sheetData>
  <mergeCells count="8">
    <mergeCell ref="A2:J2"/>
    <mergeCell ref="A4:J4"/>
    <mergeCell ref="A5:J5"/>
    <mergeCell ref="A6:J6"/>
    <mergeCell ref="A7:J7"/>
    <mergeCell ref="A8:J8"/>
    <mergeCell ref="A9:J9"/>
    <mergeCell ref="A34:J34"/>
  </mergeCells>
  <hyperlinks>
    <hyperlink r:id="rId1" ref="A24"/>
    <hyperlink r:id="rId2" ref="A25"/>
  </hyperlinks>
  <printOptions/>
  <pageMargins bottom="0.75" footer="0.0" header="0.0" left="0.7" right="0.7" top="0.75"/>
  <pageSetup orientation="landscape"/>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43"/>
    <col customWidth="1" min="2" max="2" width="17.14"/>
    <col customWidth="1" min="3" max="3" width="10.86"/>
    <col customWidth="1" min="4" max="4" width="13.43"/>
    <col customWidth="1" min="5" max="5" width="11.71"/>
    <col customWidth="1" min="6" max="7" width="9.14"/>
    <col customWidth="1" min="8" max="9" width="7.86"/>
    <col customWidth="1" min="10" max="10" width="12.14"/>
    <col customWidth="1" min="11" max="11" width="21.14"/>
    <col customWidth="1" min="12" max="12" width="9.14"/>
    <col customWidth="1" min="13" max="26" width="10.0"/>
  </cols>
  <sheetData>
    <row r="1" ht="14.25" customHeight="1">
      <c r="A1" s="52"/>
      <c r="B1" s="52"/>
      <c r="C1" s="53"/>
      <c r="D1" s="1"/>
      <c r="E1" s="1"/>
      <c r="F1" s="1"/>
      <c r="G1" s="1"/>
      <c r="H1" s="1"/>
      <c r="I1" s="1"/>
      <c r="J1" s="1"/>
      <c r="K1" s="1"/>
      <c r="L1" s="1"/>
    </row>
    <row r="2" ht="33.0" customHeight="1">
      <c r="A2" s="54" t="s">
        <v>1362</v>
      </c>
      <c r="B2" s="55"/>
      <c r="C2" s="55"/>
      <c r="D2" s="55"/>
      <c r="E2" s="55"/>
      <c r="F2" s="55"/>
      <c r="G2" s="55"/>
      <c r="H2" s="55"/>
      <c r="I2" s="55"/>
      <c r="J2" s="56"/>
      <c r="K2" s="57"/>
      <c r="L2" s="57"/>
      <c r="M2" s="58"/>
      <c r="N2" s="58"/>
      <c r="O2" s="58"/>
      <c r="P2" s="58"/>
      <c r="Q2" s="58"/>
      <c r="R2" s="58"/>
      <c r="S2" s="58"/>
      <c r="T2" s="58"/>
      <c r="U2" s="58"/>
      <c r="V2" s="58"/>
      <c r="W2" s="58"/>
      <c r="X2" s="58"/>
      <c r="Y2" s="58"/>
      <c r="Z2" s="58"/>
    </row>
    <row r="3" ht="14.25" customHeight="1">
      <c r="A3" s="115"/>
      <c r="B3" s="115"/>
      <c r="C3" s="115"/>
      <c r="D3" s="115"/>
      <c r="E3" s="115"/>
      <c r="F3" s="115"/>
      <c r="G3" s="115"/>
      <c r="H3" s="115"/>
      <c r="I3" s="115"/>
      <c r="J3" s="115"/>
      <c r="K3" s="57"/>
      <c r="L3" s="57"/>
      <c r="M3" s="58"/>
      <c r="N3" s="58"/>
      <c r="O3" s="58"/>
      <c r="P3" s="58"/>
      <c r="Q3" s="58"/>
      <c r="R3" s="58"/>
      <c r="S3" s="58"/>
      <c r="T3" s="58"/>
      <c r="U3" s="58"/>
      <c r="V3" s="58"/>
      <c r="W3" s="58"/>
      <c r="X3" s="58"/>
      <c r="Y3" s="58"/>
      <c r="Z3" s="58"/>
    </row>
    <row r="4" ht="28.5" customHeight="1">
      <c r="A4" s="332" t="s">
        <v>1363</v>
      </c>
      <c r="B4" s="55"/>
      <c r="C4" s="55"/>
      <c r="D4" s="55"/>
      <c r="E4" s="55"/>
      <c r="F4" s="55"/>
      <c r="G4" s="55"/>
      <c r="H4" s="55"/>
      <c r="I4" s="55"/>
      <c r="J4" s="56"/>
      <c r="K4" s="57"/>
      <c r="L4" s="57"/>
      <c r="M4" s="58"/>
      <c r="N4" s="58"/>
      <c r="O4" s="58"/>
      <c r="P4" s="58"/>
      <c r="Q4" s="58"/>
      <c r="R4" s="58"/>
      <c r="S4" s="58"/>
      <c r="T4" s="58"/>
      <c r="U4" s="58"/>
      <c r="V4" s="58"/>
      <c r="W4" s="58"/>
      <c r="X4" s="58"/>
      <c r="Y4" s="58"/>
      <c r="Z4" s="58"/>
    </row>
    <row r="5" ht="14.25" customHeight="1">
      <c r="A5" s="332" t="s">
        <v>1364</v>
      </c>
      <c r="B5" s="55"/>
      <c r="C5" s="55"/>
      <c r="D5" s="55"/>
      <c r="E5" s="55"/>
      <c r="F5" s="55"/>
      <c r="G5" s="55"/>
      <c r="H5" s="55"/>
      <c r="I5" s="55"/>
      <c r="J5" s="56"/>
      <c r="K5" s="57"/>
      <c r="L5" s="57"/>
      <c r="M5" s="58"/>
      <c r="N5" s="58"/>
      <c r="O5" s="58"/>
      <c r="P5" s="58"/>
      <c r="Q5" s="58"/>
      <c r="R5" s="58"/>
      <c r="S5" s="58"/>
      <c r="T5" s="58"/>
      <c r="U5" s="58"/>
      <c r="V5" s="58"/>
      <c r="W5" s="58"/>
      <c r="X5" s="58"/>
      <c r="Y5" s="58"/>
      <c r="Z5" s="58"/>
    </row>
    <row r="6" ht="13.5" customHeight="1">
      <c r="A6" s="332" t="s">
        <v>1365</v>
      </c>
      <c r="B6" s="55"/>
      <c r="C6" s="55"/>
      <c r="D6" s="55"/>
      <c r="E6" s="55"/>
      <c r="F6" s="55"/>
      <c r="G6" s="55"/>
      <c r="H6" s="55"/>
      <c r="I6" s="55"/>
      <c r="J6" s="56"/>
      <c r="K6" s="104"/>
      <c r="L6" s="104"/>
      <c r="M6" s="333"/>
      <c r="N6" s="333"/>
      <c r="O6" s="333"/>
      <c r="P6" s="333"/>
      <c r="Q6" s="333"/>
      <c r="R6" s="333"/>
      <c r="S6" s="333"/>
      <c r="T6" s="333"/>
      <c r="U6" s="333"/>
      <c r="V6" s="333"/>
      <c r="W6" s="333"/>
      <c r="X6" s="333"/>
      <c r="Y6" s="333"/>
      <c r="Z6" s="333"/>
    </row>
    <row r="7" ht="13.5" customHeight="1">
      <c r="A7" s="332" t="s">
        <v>1366</v>
      </c>
      <c r="B7" s="55"/>
      <c r="C7" s="55"/>
      <c r="D7" s="55"/>
      <c r="E7" s="55"/>
      <c r="F7" s="55"/>
      <c r="G7" s="55"/>
      <c r="H7" s="55"/>
      <c r="I7" s="55"/>
      <c r="J7" s="56"/>
      <c r="K7" s="104"/>
      <c r="L7" s="104"/>
      <c r="M7" s="333"/>
      <c r="N7" s="333"/>
      <c r="O7" s="333"/>
      <c r="P7" s="333"/>
      <c r="Q7" s="333"/>
      <c r="R7" s="333"/>
      <c r="S7" s="333"/>
      <c r="T7" s="333"/>
      <c r="U7" s="333"/>
      <c r="V7" s="333"/>
      <c r="W7" s="333"/>
      <c r="X7" s="333"/>
      <c r="Y7" s="333"/>
      <c r="Z7" s="333"/>
    </row>
    <row r="8" ht="40.5" customHeight="1">
      <c r="A8" s="332" t="s">
        <v>1367</v>
      </c>
      <c r="B8" s="55"/>
      <c r="C8" s="55"/>
      <c r="D8" s="55"/>
      <c r="E8" s="55"/>
      <c r="F8" s="55"/>
      <c r="G8" s="55"/>
      <c r="H8" s="55"/>
      <c r="I8" s="55"/>
      <c r="J8" s="56"/>
      <c r="K8" s="104"/>
      <c r="L8" s="104"/>
      <c r="M8" s="333"/>
      <c r="N8" s="333"/>
      <c r="O8" s="333"/>
      <c r="P8" s="333"/>
      <c r="Q8" s="333"/>
      <c r="R8" s="333"/>
      <c r="S8" s="333"/>
      <c r="T8" s="333"/>
      <c r="U8" s="333"/>
      <c r="V8" s="333"/>
      <c r="W8" s="333"/>
      <c r="X8" s="333"/>
      <c r="Y8" s="333"/>
      <c r="Z8" s="333"/>
    </row>
    <row r="9" ht="68.25" customHeight="1">
      <c r="A9" s="332" t="s">
        <v>1368</v>
      </c>
      <c r="B9" s="55"/>
      <c r="C9" s="55"/>
      <c r="D9" s="55"/>
      <c r="E9" s="55"/>
      <c r="F9" s="55"/>
      <c r="G9" s="55"/>
      <c r="H9" s="55"/>
      <c r="I9" s="55"/>
      <c r="J9" s="56"/>
      <c r="K9" s="104"/>
      <c r="L9" s="104"/>
      <c r="M9" s="333"/>
      <c r="N9" s="333"/>
      <c r="O9" s="333"/>
      <c r="P9" s="333"/>
      <c r="Q9" s="333"/>
      <c r="R9" s="333"/>
      <c r="S9" s="333"/>
      <c r="T9" s="333"/>
      <c r="U9" s="333"/>
      <c r="V9" s="333"/>
      <c r="W9" s="333"/>
      <c r="X9" s="333"/>
      <c r="Y9" s="333"/>
      <c r="Z9" s="333"/>
    </row>
    <row r="10" ht="42.75" customHeight="1">
      <c r="A10" s="116" t="s">
        <v>1289</v>
      </c>
      <c r="B10" s="55"/>
      <c r="C10" s="55"/>
      <c r="D10" s="55"/>
      <c r="E10" s="55"/>
      <c r="F10" s="55"/>
      <c r="G10" s="55"/>
      <c r="H10" s="55"/>
      <c r="I10" s="55"/>
      <c r="J10" s="56"/>
      <c r="K10" s="104"/>
      <c r="L10" s="104"/>
      <c r="M10" s="333"/>
      <c r="N10" s="333"/>
      <c r="O10" s="333"/>
      <c r="P10" s="333"/>
      <c r="Q10" s="333"/>
      <c r="R10" s="333"/>
      <c r="S10" s="333"/>
      <c r="T10" s="333"/>
      <c r="U10" s="333"/>
      <c r="V10" s="333"/>
      <c r="W10" s="333"/>
      <c r="X10" s="333"/>
      <c r="Y10" s="333"/>
      <c r="Z10" s="333"/>
    </row>
    <row r="11" ht="14.25" customHeight="1">
      <c r="A11" s="61"/>
      <c r="B11" s="61"/>
      <c r="C11" s="62"/>
      <c r="D11" s="61"/>
      <c r="E11" s="61"/>
      <c r="F11" s="61"/>
      <c r="G11" s="61"/>
      <c r="H11" s="61"/>
      <c r="I11" s="61"/>
      <c r="J11" s="61"/>
      <c r="K11" s="57"/>
      <c r="L11" s="57"/>
      <c r="M11" s="58"/>
      <c r="N11" s="58"/>
      <c r="O11" s="58"/>
      <c r="P11" s="58"/>
      <c r="Q11" s="58"/>
      <c r="R11" s="58"/>
      <c r="S11" s="58"/>
      <c r="T11" s="58"/>
      <c r="U11" s="58"/>
      <c r="V11" s="58"/>
      <c r="W11" s="58"/>
      <c r="X11" s="58"/>
      <c r="Y11" s="58"/>
      <c r="Z11" s="58"/>
    </row>
    <row r="12" ht="57.0" customHeight="1">
      <c r="A12" s="203" t="s">
        <v>1290</v>
      </c>
      <c r="B12" s="309" t="s">
        <v>1291</v>
      </c>
      <c r="C12" s="119" t="s">
        <v>9</v>
      </c>
      <c r="D12" s="310" t="s">
        <v>1369</v>
      </c>
      <c r="E12" s="309" t="s">
        <v>1293</v>
      </c>
      <c r="F12" s="309" t="s">
        <v>205</v>
      </c>
      <c r="G12" s="309" t="s">
        <v>1294</v>
      </c>
      <c r="H12" s="309" t="s">
        <v>1295</v>
      </c>
      <c r="I12" s="203" t="s">
        <v>208</v>
      </c>
      <c r="J12" s="203" t="s">
        <v>209</v>
      </c>
      <c r="K12" s="65" t="s">
        <v>210</v>
      </c>
      <c r="L12" s="57"/>
      <c r="M12" s="58"/>
      <c r="N12" s="58"/>
      <c r="O12" s="58"/>
      <c r="P12" s="58"/>
      <c r="Q12" s="58"/>
      <c r="R12" s="58"/>
      <c r="S12" s="58"/>
      <c r="T12" s="58"/>
      <c r="U12" s="58"/>
      <c r="V12" s="58"/>
      <c r="W12" s="58"/>
      <c r="X12" s="58"/>
      <c r="Y12" s="58"/>
      <c r="Z12" s="58"/>
    </row>
    <row r="13" ht="27.0" customHeight="1">
      <c r="A13" s="101" t="s">
        <v>1370</v>
      </c>
      <c r="B13" s="101" t="s">
        <v>1371</v>
      </c>
      <c r="C13" s="75" t="s">
        <v>38</v>
      </c>
      <c r="D13" s="101" t="s">
        <v>1372</v>
      </c>
      <c r="E13" s="75" t="s">
        <v>1373</v>
      </c>
      <c r="F13" s="75">
        <v>2020.0</v>
      </c>
      <c r="G13" s="75">
        <v>10.0</v>
      </c>
      <c r="H13" s="75">
        <v>277.0</v>
      </c>
      <c r="I13" s="312">
        <v>544.0</v>
      </c>
      <c r="J13" s="77">
        <v>300.0</v>
      </c>
      <c r="K13" s="77" t="s">
        <v>44</v>
      </c>
      <c r="L13" s="1"/>
    </row>
    <row r="14" ht="82.5" customHeight="1">
      <c r="A14" s="101" t="s">
        <v>1374</v>
      </c>
      <c r="B14" s="101" t="s">
        <v>460</v>
      </c>
      <c r="C14" s="75" t="s">
        <v>38</v>
      </c>
      <c r="D14" s="101" t="s">
        <v>1375</v>
      </c>
      <c r="E14" s="75" t="s">
        <v>1376</v>
      </c>
      <c r="F14" s="75">
        <v>2020.0</v>
      </c>
      <c r="G14" s="75"/>
      <c r="H14" s="75" t="s">
        <v>1377</v>
      </c>
      <c r="I14" s="312">
        <v>28.0</v>
      </c>
      <c r="J14" s="77">
        <v>28.0</v>
      </c>
      <c r="K14" s="77" t="s">
        <v>51</v>
      </c>
      <c r="L14" s="1"/>
    </row>
    <row r="15" ht="54.75" customHeight="1">
      <c r="A15" s="101" t="s">
        <v>1378</v>
      </c>
      <c r="B15" s="101" t="s">
        <v>460</v>
      </c>
      <c r="C15" s="73" t="s">
        <v>38</v>
      </c>
      <c r="D15" s="101" t="s">
        <v>1379</v>
      </c>
      <c r="E15" s="75" t="s">
        <v>1380</v>
      </c>
      <c r="F15" s="75">
        <v>2020.0</v>
      </c>
      <c r="G15" s="75"/>
      <c r="H15" s="75">
        <v>17.0</v>
      </c>
      <c r="I15" s="312">
        <v>34.0</v>
      </c>
      <c r="J15" s="77">
        <v>34.0</v>
      </c>
      <c r="K15" s="77" t="s">
        <v>51</v>
      </c>
      <c r="L15" s="1"/>
    </row>
    <row r="16" ht="41.25" customHeight="1">
      <c r="A16" s="101" t="s">
        <v>1381</v>
      </c>
      <c r="B16" s="101" t="s">
        <v>460</v>
      </c>
      <c r="C16" s="73" t="s">
        <v>38</v>
      </c>
      <c r="D16" s="101" t="s">
        <v>1382</v>
      </c>
      <c r="E16" s="75" t="s">
        <v>1383</v>
      </c>
      <c r="F16" s="75">
        <v>2020.0</v>
      </c>
      <c r="G16" s="75"/>
      <c r="H16" s="75" t="s">
        <v>1384</v>
      </c>
      <c r="I16" s="312">
        <v>12.0</v>
      </c>
      <c r="J16" s="77">
        <v>12.0</v>
      </c>
      <c r="K16" s="77" t="s">
        <v>51</v>
      </c>
      <c r="L16" s="1"/>
    </row>
    <row r="17" ht="41.25" customHeight="1">
      <c r="A17" s="101" t="s">
        <v>1385</v>
      </c>
      <c r="B17" s="101" t="s">
        <v>469</v>
      </c>
      <c r="C17" s="75" t="s">
        <v>38</v>
      </c>
      <c r="D17" s="101" t="s">
        <v>1386</v>
      </c>
      <c r="E17" s="75" t="s">
        <v>1387</v>
      </c>
      <c r="F17" s="75">
        <v>2020.0</v>
      </c>
      <c r="G17" s="75" t="s">
        <v>1388</v>
      </c>
      <c r="H17" s="75" t="s">
        <v>1389</v>
      </c>
      <c r="I17" s="312">
        <v>2.0</v>
      </c>
      <c r="J17" s="77">
        <v>12.0</v>
      </c>
      <c r="K17" s="77" t="s">
        <v>56</v>
      </c>
      <c r="L17" s="1"/>
    </row>
    <row r="18" ht="54.75" customHeight="1">
      <c r="A18" s="101" t="s">
        <v>1390</v>
      </c>
      <c r="B18" s="101" t="s">
        <v>740</v>
      </c>
      <c r="C18" s="75" t="s">
        <v>38</v>
      </c>
      <c r="D18" s="101" t="s">
        <v>1391</v>
      </c>
      <c r="E18" s="75" t="s">
        <v>1392</v>
      </c>
      <c r="F18" s="75">
        <v>2020.0</v>
      </c>
      <c r="G18" s="75" t="s">
        <v>1393</v>
      </c>
      <c r="H18" s="75">
        <v>315.0</v>
      </c>
      <c r="I18" s="312">
        <v>630.0</v>
      </c>
      <c r="J18" s="77">
        <v>300.0</v>
      </c>
      <c r="K18" s="77" t="s">
        <v>58</v>
      </c>
      <c r="L18" s="1"/>
    </row>
    <row r="19" ht="54.75" customHeight="1">
      <c r="A19" s="101" t="s">
        <v>1394</v>
      </c>
      <c r="B19" s="101" t="s">
        <v>740</v>
      </c>
      <c r="C19" s="73" t="s">
        <v>38</v>
      </c>
      <c r="D19" s="101" t="s">
        <v>1395</v>
      </c>
      <c r="E19" s="75" t="s">
        <v>1396</v>
      </c>
      <c r="F19" s="75">
        <v>2020.0</v>
      </c>
      <c r="G19" s="75" t="s">
        <v>1393</v>
      </c>
      <c r="H19" s="75">
        <v>22.0</v>
      </c>
      <c r="I19" s="312">
        <v>44.0</v>
      </c>
      <c r="J19" s="77">
        <v>0.0</v>
      </c>
      <c r="K19" s="77" t="s">
        <v>58</v>
      </c>
      <c r="L19" s="1"/>
    </row>
    <row r="20" ht="82.5" customHeight="1">
      <c r="A20" s="101" t="s">
        <v>1397</v>
      </c>
      <c r="B20" s="101" t="s">
        <v>1398</v>
      </c>
      <c r="C20" s="75" t="s">
        <v>38</v>
      </c>
      <c r="D20" s="101" t="s">
        <v>1399</v>
      </c>
      <c r="E20" s="75" t="s">
        <v>1400</v>
      </c>
      <c r="F20" s="75">
        <v>2020.0</v>
      </c>
      <c r="G20" s="75" t="s">
        <v>1309</v>
      </c>
      <c r="H20" s="75">
        <v>13.0</v>
      </c>
      <c r="I20" s="312">
        <v>26.0</v>
      </c>
      <c r="J20" s="77">
        <v>0.0</v>
      </c>
      <c r="K20" s="77" t="s">
        <v>58</v>
      </c>
      <c r="L20" s="1"/>
    </row>
    <row r="21" ht="66.0" customHeight="1">
      <c r="A21" s="334" t="s">
        <v>1401</v>
      </c>
      <c r="B21" s="335" t="s">
        <v>1321</v>
      </c>
      <c r="C21" s="336" t="s">
        <v>38</v>
      </c>
      <c r="D21" s="335" t="s">
        <v>1402</v>
      </c>
      <c r="E21" s="336" t="s">
        <v>1403</v>
      </c>
      <c r="F21" s="336">
        <v>2020.0</v>
      </c>
      <c r="G21" s="336" t="s">
        <v>1309</v>
      </c>
      <c r="H21" s="336" t="s">
        <v>1404</v>
      </c>
      <c r="I21" s="337" t="s">
        <v>1405</v>
      </c>
      <c r="J21" s="338">
        <v>46.0</v>
      </c>
      <c r="K21" s="77" t="s">
        <v>64</v>
      </c>
      <c r="L21" s="1"/>
    </row>
    <row r="22" ht="27.0" customHeight="1">
      <c r="A22" s="101" t="s">
        <v>1406</v>
      </c>
      <c r="B22" s="52"/>
      <c r="C22" s="75" t="s">
        <v>213</v>
      </c>
      <c r="D22" s="101" t="s">
        <v>1407</v>
      </c>
      <c r="E22" s="75" t="s">
        <v>1408</v>
      </c>
      <c r="F22" s="75">
        <v>2020.0</v>
      </c>
      <c r="G22" s="75" t="s">
        <v>1409</v>
      </c>
      <c r="H22" s="75" t="s">
        <v>1410</v>
      </c>
      <c r="I22" s="312">
        <v>2.0</v>
      </c>
      <c r="J22" s="77">
        <v>26.0</v>
      </c>
      <c r="K22" s="77" t="s">
        <v>65</v>
      </c>
      <c r="L22" s="1"/>
    </row>
    <row r="23" ht="27.0" customHeight="1">
      <c r="A23" s="101" t="s">
        <v>1411</v>
      </c>
      <c r="B23" s="101" t="s">
        <v>1412</v>
      </c>
      <c r="C23" s="73" t="s">
        <v>213</v>
      </c>
      <c r="D23" s="339" t="s">
        <v>1413</v>
      </c>
      <c r="E23" s="75" t="s">
        <v>1414</v>
      </c>
      <c r="F23" s="75">
        <v>2020.0</v>
      </c>
      <c r="G23" s="75" t="s">
        <v>1393</v>
      </c>
      <c r="H23" s="75" t="s">
        <v>1415</v>
      </c>
      <c r="I23" s="312">
        <v>2.0</v>
      </c>
      <c r="J23" s="77">
        <v>20.0</v>
      </c>
      <c r="K23" s="77" t="s">
        <v>65</v>
      </c>
      <c r="L23" s="1"/>
    </row>
    <row r="24" ht="22.5" customHeight="1">
      <c r="A24" s="340" t="s">
        <v>1416</v>
      </c>
      <c r="B24" s="340" t="s">
        <v>1417</v>
      </c>
      <c r="C24" s="341" t="s">
        <v>73</v>
      </c>
      <c r="D24" s="340" t="s">
        <v>1418</v>
      </c>
      <c r="E24" s="342" t="s">
        <v>1419</v>
      </c>
      <c r="F24" s="341">
        <v>2020.0</v>
      </c>
      <c r="G24" s="341" t="s">
        <v>1420</v>
      </c>
      <c r="H24" s="341">
        <v>20.0</v>
      </c>
      <c r="I24" s="343">
        <v>40.0</v>
      </c>
      <c r="J24" s="344">
        <v>40.0</v>
      </c>
      <c r="K24" s="77" t="s">
        <v>72</v>
      </c>
      <c r="L24" s="1"/>
    </row>
    <row r="25" ht="54.75" customHeight="1">
      <c r="A25" s="101" t="s">
        <v>1421</v>
      </c>
      <c r="B25" s="101" t="s">
        <v>75</v>
      </c>
      <c r="C25" s="75" t="s">
        <v>73</v>
      </c>
      <c r="D25" s="101" t="s">
        <v>1422</v>
      </c>
      <c r="E25" s="75" t="s">
        <v>1423</v>
      </c>
      <c r="F25" s="75">
        <v>2020.0</v>
      </c>
      <c r="G25" s="75" t="s">
        <v>1393</v>
      </c>
      <c r="H25" s="75">
        <v>13.0</v>
      </c>
      <c r="I25" s="75" t="s">
        <v>1424</v>
      </c>
      <c r="J25" s="77">
        <v>26.0</v>
      </c>
      <c r="K25" s="77" t="s">
        <v>75</v>
      </c>
      <c r="L25" s="1"/>
    </row>
    <row r="26" ht="54.75" customHeight="1">
      <c r="A26" s="101" t="s">
        <v>1425</v>
      </c>
      <c r="B26" s="101" t="s">
        <v>75</v>
      </c>
      <c r="C26" s="75" t="s">
        <v>73</v>
      </c>
      <c r="D26" s="101" t="s">
        <v>1426</v>
      </c>
      <c r="E26" s="75" t="s">
        <v>1427</v>
      </c>
      <c r="F26" s="75">
        <v>2020.0</v>
      </c>
      <c r="G26" s="75" t="s">
        <v>1393</v>
      </c>
      <c r="H26" s="75">
        <v>12.0</v>
      </c>
      <c r="I26" s="312" t="s">
        <v>1428</v>
      </c>
      <c r="J26" s="77">
        <v>24.0</v>
      </c>
      <c r="K26" s="77" t="s">
        <v>75</v>
      </c>
      <c r="L26" s="1"/>
    </row>
    <row r="27" ht="54.75" customHeight="1">
      <c r="A27" s="101" t="s">
        <v>1425</v>
      </c>
      <c r="B27" s="101" t="s">
        <v>75</v>
      </c>
      <c r="C27" s="75" t="s">
        <v>73</v>
      </c>
      <c r="D27" s="101" t="s">
        <v>1426</v>
      </c>
      <c r="E27" s="75" t="s">
        <v>1427</v>
      </c>
      <c r="F27" s="75">
        <v>2020.0</v>
      </c>
      <c r="G27" s="75" t="s">
        <v>1393</v>
      </c>
      <c r="H27" s="75">
        <v>12.0</v>
      </c>
      <c r="I27" s="312" t="s">
        <v>1429</v>
      </c>
      <c r="J27" s="77">
        <v>24.0</v>
      </c>
      <c r="K27" s="77" t="s">
        <v>76</v>
      </c>
      <c r="L27" s="1"/>
    </row>
    <row r="28" ht="54.75" customHeight="1">
      <c r="A28" s="101" t="s">
        <v>1430</v>
      </c>
      <c r="B28" s="101" t="s">
        <v>1431</v>
      </c>
      <c r="C28" s="75" t="s">
        <v>73</v>
      </c>
      <c r="D28" s="101" t="s">
        <v>1432</v>
      </c>
      <c r="E28" s="75" t="s">
        <v>1433</v>
      </c>
      <c r="F28" s="75">
        <v>2020.0</v>
      </c>
      <c r="G28" s="75" t="s">
        <v>253</v>
      </c>
      <c r="H28" s="75">
        <v>10.0</v>
      </c>
      <c r="I28" s="312">
        <v>2.0</v>
      </c>
      <c r="J28" s="77">
        <v>20.0</v>
      </c>
      <c r="K28" s="77" t="s">
        <v>1434</v>
      </c>
      <c r="L28" s="1"/>
    </row>
    <row r="29" ht="54.75" customHeight="1">
      <c r="A29" s="101" t="s">
        <v>1435</v>
      </c>
      <c r="B29" s="101" t="s">
        <v>1431</v>
      </c>
      <c r="C29" s="75" t="s">
        <v>142</v>
      </c>
      <c r="D29" s="101" t="s">
        <v>1432</v>
      </c>
      <c r="E29" s="75" t="s">
        <v>1436</v>
      </c>
      <c r="F29" s="75">
        <v>2020.0</v>
      </c>
      <c r="G29" s="75" t="s">
        <v>253</v>
      </c>
      <c r="H29" s="75">
        <v>9.0</v>
      </c>
      <c r="I29" s="312">
        <v>2.0</v>
      </c>
      <c r="J29" s="77">
        <v>18.0</v>
      </c>
      <c r="K29" s="77" t="s">
        <v>1434</v>
      </c>
      <c r="L29" s="1"/>
    </row>
    <row r="30" ht="27.0" customHeight="1">
      <c r="A30" s="101" t="s">
        <v>1437</v>
      </c>
      <c r="B30" s="101" t="s">
        <v>1438</v>
      </c>
      <c r="C30" s="75" t="s">
        <v>73</v>
      </c>
      <c r="D30" s="101" t="s">
        <v>1439</v>
      </c>
      <c r="E30" s="75" t="s">
        <v>1440</v>
      </c>
      <c r="F30" s="75">
        <v>2020.0</v>
      </c>
      <c r="G30" s="75" t="s">
        <v>1441</v>
      </c>
      <c r="H30" s="75">
        <v>100.0</v>
      </c>
      <c r="I30" s="312">
        <v>200.0</v>
      </c>
      <c r="J30" s="77">
        <v>100.0</v>
      </c>
      <c r="K30" s="77" t="s">
        <v>1442</v>
      </c>
      <c r="L30" s="1"/>
    </row>
    <row r="31" ht="27.0" customHeight="1">
      <c r="A31" s="101" t="s">
        <v>1443</v>
      </c>
      <c r="B31" s="101" t="s">
        <v>85</v>
      </c>
      <c r="C31" s="75" t="s">
        <v>73</v>
      </c>
      <c r="D31" s="101" t="s">
        <v>1444</v>
      </c>
      <c r="E31" s="75" t="s">
        <v>1445</v>
      </c>
      <c r="F31" s="75">
        <v>2020.0</v>
      </c>
      <c r="G31" s="75">
        <v>6.0</v>
      </c>
      <c r="H31" s="75">
        <v>160.0</v>
      </c>
      <c r="I31" s="312">
        <v>320.0</v>
      </c>
      <c r="J31" s="77">
        <v>300.0</v>
      </c>
      <c r="K31" s="77" t="s">
        <v>85</v>
      </c>
      <c r="L31" s="1"/>
    </row>
    <row r="32" ht="26.25" customHeight="1">
      <c r="A32" s="170" t="s">
        <v>1446</v>
      </c>
      <c r="B32" s="170" t="s">
        <v>94</v>
      </c>
      <c r="C32" s="148" t="s">
        <v>73</v>
      </c>
      <c r="D32" s="170" t="s">
        <v>1447</v>
      </c>
      <c r="E32" s="148" t="s">
        <v>1448</v>
      </c>
      <c r="F32" s="148">
        <v>2020.0</v>
      </c>
      <c r="G32" s="148"/>
      <c r="H32" s="148">
        <v>21.0</v>
      </c>
      <c r="I32" s="324" t="s">
        <v>1449</v>
      </c>
      <c r="J32" s="154">
        <v>42.0</v>
      </c>
      <c r="K32" s="154" t="s">
        <v>94</v>
      </c>
      <c r="L32" s="1"/>
    </row>
    <row r="33" ht="39.0" customHeight="1">
      <c r="A33" s="170" t="s">
        <v>1450</v>
      </c>
      <c r="B33" s="170" t="s">
        <v>94</v>
      </c>
      <c r="C33" s="148" t="s">
        <v>1451</v>
      </c>
      <c r="D33" s="170" t="s">
        <v>1452</v>
      </c>
      <c r="E33" s="148" t="s">
        <v>1453</v>
      </c>
      <c r="F33" s="148">
        <v>2020.0</v>
      </c>
      <c r="G33" s="148"/>
      <c r="H33" s="148">
        <v>8.0</v>
      </c>
      <c r="I33" s="324" t="s">
        <v>1449</v>
      </c>
      <c r="J33" s="154">
        <v>16.0</v>
      </c>
      <c r="K33" s="154" t="s">
        <v>94</v>
      </c>
      <c r="L33" s="1"/>
    </row>
    <row r="34" ht="39.0" customHeight="1">
      <c r="A34" s="170" t="s">
        <v>1454</v>
      </c>
      <c r="B34" s="170" t="s">
        <v>94</v>
      </c>
      <c r="C34" s="148" t="s">
        <v>1455</v>
      </c>
      <c r="D34" s="170" t="s">
        <v>1452</v>
      </c>
      <c r="E34" s="148" t="s">
        <v>1456</v>
      </c>
      <c r="F34" s="148">
        <v>2020.0</v>
      </c>
      <c r="G34" s="148"/>
      <c r="H34" s="148">
        <v>9.0</v>
      </c>
      <c r="I34" s="324" t="s">
        <v>1449</v>
      </c>
      <c r="J34" s="154">
        <v>18.0</v>
      </c>
      <c r="K34" s="154" t="s">
        <v>94</v>
      </c>
      <c r="L34" s="1"/>
    </row>
    <row r="35" ht="39.0" customHeight="1">
      <c r="A35" s="170" t="s">
        <v>1457</v>
      </c>
      <c r="B35" s="170" t="s">
        <v>95</v>
      </c>
      <c r="C35" s="148" t="s">
        <v>1340</v>
      </c>
      <c r="D35" s="170" t="s">
        <v>1458</v>
      </c>
      <c r="E35" s="148" t="s">
        <v>1427</v>
      </c>
      <c r="F35" s="148">
        <v>2020.0</v>
      </c>
      <c r="G35" s="148" t="s">
        <v>1343</v>
      </c>
      <c r="H35" s="148">
        <v>6.0</v>
      </c>
      <c r="I35" s="324">
        <v>12.0</v>
      </c>
      <c r="J35" s="154">
        <v>12.0</v>
      </c>
      <c r="K35" s="77" t="s">
        <v>95</v>
      </c>
      <c r="L35" s="1"/>
    </row>
    <row r="36" ht="39.0" customHeight="1">
      <c r="A36" s="170" t="s">
        <v>1459</v>
      </c>
      <c r="B36" s="170" t="s">
        <v>934</v>
      </c>
      <c r="C36" s="148" t="s">
        <v>73</v>
      </c>
      <c r="D36" s="170" t="s">
        <v>1460</v>
      </c>
      <c r="E36" s="148" t="s">
        <v>1461</v>
      </c>
      <c r="F36" s="148">
        <v>2019.0</v>
      </c>
      <c r="G36" s="148" t="s">
        <v>253</v>
      </c>
      <c r="H36" s="148">
        <v>6.0</v>
      </c>
      <c r="I36" s="324">
        <v>2.0</v>
      </c>
      <c r="J36" s="154">
        <v>12.0</v>
      </c>
      <c r="K36" s="154" t="s">
        <v>98</v>
      </c>
      <c r="L36" s="1"/>
    </row>
    <row r="37" ht="39.0" customHeight="1">
      <c r="A37" s="170" t="s">
        <v>1462</v>
      </c>
      <c r="B37" s="170" t="s">
        <v>934</v>
      </c>
      <c r="C37" s="148" t="s">
        <v>142</v>
      </c>
      <c r="D37" s="170" t="s">
        <v>1460</v>
      </c>
      <c r="E37" s="148" t="s">
        <v>1463</v>
      </c>
      <c r="F37" s="148">
        <v>2019.0</v>
      </c>
      <c r="G37" s="148" t="s">
        <v>253</v>
      </c>
      <c r="H37" s="148">
        <v>10.0</v>
      </c>
      <c r="I37" s="324">
        <v>2.0</v>
      </c>
      <c r="J37" s="154">
        <v>20.0</v>
      </c>
      <c r="K37" s="154" t="s">
        <v>98</v>
      </c>
      <c r="L37" s="1"/>
    </row>
    <row r="38" ht="39.0" customHeight="1">
      <c r="A38" s="87" t="s">
        <v>1464</v>
      </c>
      <c r="B38" s="87" t="s">
        <v>1465</v>
      </c>
      <c r="C38" s="90" t="s">
        <v>100</v>
      </c>
      <c r="D38" s="87" t="s">
        <v>1466</v>
      </c>
      <c r="E38" s="90" t="s">
        <v>1467</v>
      </c>
      <c r="F38" s="90">
        <v>2020.0</v>
      </c>
      <c r="G38" s="90">
        <v>12.0</v>
      </c>
      <c r="H38" s="90">
        <v>218.0</v>
      </c>
      <c r="I38" s="345">
        <v>2.0</v>
      </c>
      <c r="J38" s="92">
        <v>200.0</v>
      </c>
      <c r="K38" s="92" t="s">
        <v>103</v>
      </c>
      <c r="L38" s="1"/>
    </row>
    <row r="39" ht="39.0" customHeight="1">
      <c r="A39" s="87" t="s">
        <v>1468</v>
      </c>
      <c r="B39" s="87" t="s">
        <v>1469</v>
      </c>
      <c r="C39" s="346" t="s">
        <v>100</v>
      </c>
      <c r="D39" s="87" t="s">
        <v>1470</v>
      </c>
      <c r="E39" s="90" t="s">
        <v>1471</v>
      </c>
      <c r="F39" s="90">
        <v>2020.0</v>
      </c>
      <c r="G39" s="90">
        <v>12.0</v>
      </c>
      <c r="H39" s="90">
        <v>249.0</v>
      </c>
      <c r="I39" s="345">
        <v>0.5</v>
      </c>
      <c r="J39" s="92">
        <v>100.0</v>
      </c>
      <c r="K39" s="92" t="s">
        <v>103</v>
      </c>
      <c r="L39" s="1"/>
    </row>
    <row r="40" ht="66.0" customHeight="1">
      <c r="A40" s="87" t="s">
        <v>1472</v>
      </c>
      <c r="B40" s="87" t="s">
        <v>1473</v>
      </c>
      <c r="C40" s="346" t="s">
        <v>100</v>
      </c>
      <c r="D40" s="87" t="s">
        <v>1474</v>
      </c>
      <c r="E40" s="90" t="s">
        <v>1475</v>
      </c>
      <c r="F40" s="90">
        <v>2020.0</v>
      </c>
      <c r="G40" s="90">
        <v>12.0</v>
      </c>
      <c r="H40" s="90">
        <v>239.0</v>
      </c>
      <c r="I40" s="345">
        <v>2.0</v>
      </c>
      <c r="J40" s="92">
        <v>40.0</v>
      </c>
      <c r="K40" s="92" t="s">
        <v>107</v>
      </c>
      <c r="L40" s="1"/>
    </row>
    <row r="41" ht="52.5" customHeight="1">
      <c r="A41" s="87" t="s">
        <v>1476</v>
      </c>
      <c r="B41" s="87" t="s">
        <v>1477</v>
      </c>
      <c r="C41" s="346" t="s">
        <v>100</v>
      </c>
      <c r="D41" s="87" t="s">
        <v>1478</v>
      </c>
      <c r="E41" s="90" t="s">
        <v>1479</v>
      </c>
      <c r="F41" s="90">
        <v>2020.0</v>
      </c>
      <c r="G41" s="90">
        <v>12.0</v>
      </c>
      <c r="H41" s="90">
        <v>211.0</v>
      </c>
      <c r="I41" s="345">
        <v>2.0</v>
      </c>
      <c r="J41" s="92">
        <v>300.0</v>
      </c>
      <c r="K41" s="92" t="s">
        <v>949</v>
      </c>
      <c r="L41" s="1"/>
    </row>
    <row r="42" ht="39.0" customHeight="1">
      <c r="A42" s="347" t="s">
        <v>1480</v>
      </c>
      <c r="B42" s="87" t="s">
        <v>1481</v>
      </c>
      <c r="C42" s="346" t="s">
        <v>100</v>
      </c>
      <c r="D42" s="87" t="s">
        <v>1482</v>
      </c>
      <c r="E42" s="90" t="s">
        <v>1483</v>
      </c>
      <c r="F42" s="90">
        <v>2020.0</v>
      </c>
      <c r="G42" s="90">
        <v>12.0</v>
      </c>
      <c r="H42" s="90">
        <v>10.0</v>
      </c>
      <c r="I42" s="345">
        <v>2.0</v>
      </c>
      <c r="J42" s="92">
        <v>20.0</v>
      </c>
      <c r="K42" s="92" t="s">
        <v>113</v>
      </c>
      <c r="L42" s="1"/>
    </row>
    <row r="43" ht="144.75" customHeight="1">
      <c r="A43" s="87" t="s">
        <v>1484</v>
      </c>
      <c r="B43" s="347" t="s">
        <v>1485</v>
      </c>
      <c r="C43" s="346" t="s">
        <v>100</v>
      </c>
      <c r="D43" s="87" t="s">
        <v>1482</v>
      </c>
      <c r="E43" s="348" t="s">
        <v>1475</v>
      </c>
      <c r="F43" s="90">
        <v>2020.0</v>
      </c>
      <c r="G43" s="90">
        <v>12.0</v>
      </c>
      <c r="H43" s="90">
        <v>18.0</v>
      </c>
      <c r="I43" s="345">
        <v>2.0</v>
      </c>
      <c r="J43" s="92">
        <v>36.0</v>
      </c>
      <c r="K43" s="92" t="s">
        <v>113</v>
      </c>
      <c r="L43" s="1"/>
    </row>
    <row r="44" ht="39.0" customHeight="1">
      <c r="A44" s="90" t="s">
        <v>1486</v>
      </c>
      <c r="B44" s="90" t="s">
        <v>1487</v>
      </c>
      <c r="C44" s="346" t="s">
        <v>100</v>
      </c>
      <c r="D44" s="90" t="s">
        <v>1488</v>
      </c>
      <c r="E44" s="90" t="s">
        <v>1475</v>
      </c>
      <c r="F44" s="90">
        <v>2020.0</v>
      </c>
      <c r="G44" s="90">
        <v>12.0</v>
      </c>
      <c r="H44" s="90">
        <v>239.0</v>
      </c>
      <c r="I44" s="345">
        <v>2.0</v>
      </c>
      <c r="J44" s="92">
        <v>130.0</v>
      </c>
      <c r="K44" s="92" t="s">
        <v>119</v>
      </c>
      <c r="L44" s="1"/>
    </row>
    <row r="45" ht="26.25" customHeight="1">
      <c r="A45" s="87" t="s">
        <v>1489</v>
      </c>
      <c r="B45" s="347" t="s">
        <v>1487</v>
      </c>
      <c r="C45" s="346" t="s">
        <v>100</v>
      </c>
      <c r="D45" s="90" t="s">
        <v>1488</v>
      </c>
      <c r="E45" s="348" t="s">
        <v>1475</v>
      </c>
      <c r="F45" s="90">
        <v>2020.0</v>
      </c>
      <c r="G45" s="90">
        <v>12.0</v>
      </c>
      <c r="H45" s="90">
        <v>239.0</v>
      </c>
      <c r="I45" s="345">
        <v>400.0</v>
      </c>
      <c r="J45" s="92">
        <v>104.0</v>
      </c>
      <c r="K45" s="92" t="s">
        <v>113</v>
      </c>
      <c r="L45" s="1"/>
    </row>
    <row r="46" ht="26.25" customHeight="1">
      <c r="A46" s="87" t="s">
        <v>1490</v>
      </c>
      <c r="B46" s="87" t="s">
        <v>1491</v>
      </c>
      <c r="C46" s="346" t="s">
        <v>100</v>
      </c>
      <c r="D46" s="87" t="s">
        <v>1492</v>
      </c>
      <c r="E46" s="90" t="s">
        <v>1493</v>
      </c>
      <c r="F46" s="90">
        <v>2020.0</v>
      </c>
      <c r="G46" s="90">
        <v>12.0</v>
      </c>
      <c r="H46" s="90">
        <v>155.0</v>
      </c>
      <c r="I46" s="345">
        <v>2.0</v>
      </c>
      <c r="J46" s="92">
        <v>300.0</v>
      </c>
      <c r="K46" s="345" t="s">
        <v>1491</v>
      </c>
      <c r="L46" s="1"/>
    </row>
    <row r="47" ht="39.0" customHeight="1">
      <c r="A47" s="87" t="s">
        <v>1464</v>
      </c>
      <c r="B47" s="87" t="s">
        <v>1465</v>
      </c>
      <c r="C47" s="346" t="s">
        <v>100</v>
      </c>
      <c r="D47" s="87" t="s">
        <v>1466</v>
      </c>
      <c r="E47" s="90" t="s">
        <v>1467</v>
      </c>
      <c r="F47" s="90">
        <v>2020.0</v>
      </c>
      <c r="G47" s="90">
        <v>12.0</v>
      </c>
      <c r="H47" s="90">
        <v>218.0</v>
      </c>
      <c r="I47" s="345">
        <v>2.0</v>
      </c>
      <c r="J47" s="92">
        <v>200.0</v>
      </c>
      <c r="K47" s="92" t="s">
        <v>120</v>
      </c>
      <c r="L47" s="1"/>
    </row>
    <row r="48" ht="41.25" customHeight="1">
      <c r="A48" s="349" t="s">
        <v>1486</v>
      </c>
      <c r="B48" s="283" t="s">
        <v>1494</v>
      </c>
      <c r="C48" s="278" t="s">
        <v>100</v>
      </c>
      <c r="D48" s="350" t="s">
        <v>1495</v>
      </c>
      <c r="E48" s="349" t="s">
        <v>1496</v>
      </c>
      <c r="F48" s="278">
        <v>2020.0</v>
      </c>
      <c r="G48" s="278"/>
      <c r="H48" s="278">
        <v>15.0</v>
      </c>
      <c r="I48" s="351">
        <v>30.0</v>
      </c>
      <c r="J48" s="286">
        <v>15.0</v>
      </c>
      <c r="K48" s="92" t="s">
        <v>1497</v>
      </c>
      <c r="L48" s="1"/>
    </row>
    <row r="49" ht="27.0" customHeight="1">
      <c r="A49" s="349" t="s">
        <v>1486</v>
      </c>
      <c r="B49" s="283" t="s">
        <v>1498</v>
      </c>
      <c r="C49" s="283" t="s">
        <v>100</v>
      </c>
      <c r="D49" s="352" t="s">
        <v>1495</v>
      </c>
      <c r="E49" s="349" t="s">
        <v>1496</v>
      </c>
      <c r="F49" s="278">
        <v>2020.0</v>
      </c>
      <c r="G49" s="278"/>
      <c r="H49" s="278">
        <v>22.0</v>
      </c>
      <c r="I49" s="351">
        <v>44.0</v>
      </c>
      <c r="J49" s="286">
        <v>22.0</v>
      </c>
      <c r="K49" s="92" t="s">
        <v>1497</v>
      </c>
      <c r="L49" s="1"/>
    </row>
    <row r="50" ht="27.0" customHeight="1">
      <c r="A50" s="353" t="s">
        <v>1486</v>
      </c>
      <c r="B50" s="354" t="s">
        <v>1499</v>
      </c>
      <c r="C50" s="355" t="s">
        <v>100</v>
      </c>
      <c r="D50" s="356" t="s">
        <v>1495</v>
      </c>
      <c r="E50" s="353" t="s">
        <v>1496</v>
      </c>
      <c r="F50" s="355">
        <v>2020.0</v>
      </c>
      <c r="G50" s="355"/>
      <c r="H50" s="355">
        <v>15.0</v>
      </c>
      <c r="I50" s="357">
        <v>30.0</v>
      </c>
      <c r="J50" s="358">
        <v>15.0</v>
      </c>
      <c r="K50" s="271" t="s">
        <v>1497</v>
      </c>
      <c r="L50" s="1"/>
    </row>
    <row r="51" ht="123.75" customHeight="1">
      <c r="A51" s="349" t="s">
        <v>1500</v>
      </c>
      <c r="B51" s="283" t="s">
        <v>1501</v>
      </c>
      <c r="C51" s="278" t="s">
        <v>123</v>
      </c>
      <c r="D51" s="350" t="s">
        <v>1502</v>
      </c>
      <c r="E51" s="349" t="s">
        <v>1503</v>
      </c>
      <c r="F51" s="278">
        <v>2020.0</v>
      </c>
      <c r="G51" s="278"/>
      <c r="H51" s="278">
        <v>15.0</v>
      </c>
      <c r="I51" s="351">
        <v>30.0</v>
      </c>
      <c r="J51" s="286">
        <v>30.0</v>
      </c>
      <c r="K51" s="92" t="s">
        <v>122</v>
      </c>
      <c r="L51" s="1"/>
    </row>
    <row r="52" ht="14.25" customHeight="1">
      <c r="A52" s="349" t="s">
        <v>1504</v>
      </c>
      <c r="B52" s="283" t="s">
        <v>1505</v>
      </c>
      <c r="C52" s="278" t="s">
        <v>567</v>
      </c>
      <c r="D52" s="350" t="s">
        <v>1506</v>
      </c>
      <c r="E52" s="349" t="s">
        <v>1507</v>
      </c>
      <c r="F52" s="278">
        <v>2020.0</v>
      </c>
      <c r="G52" s="278">
        <v>10.0</v>
      </c>
      <c r="H52" s="278">
        <v>20.0</v>
      </c>
      <c r="I52" s="351">
        <v>40.0</v>
      </c>
      <c r="J52" s="286">
        <v>40.0</v>
      </c>
      <c r="K52" s="92" t="s">
        <v>125</v>
      </c>
      <c r="L52" s="1"/>
    </row>
    <row r="53" ht="27.0" customHeight="1">
      <c r="A53" s="349" t="s">
        <v>1508</v>
      </c>
      <c r="B53" s="283" t="s">
        <v>1509</v>
      </c>
      <c r="C53" s="278" t="s">
        <v>123</v>
      </c>
      <c r="D53" s="350" t="s">
        <v>1510</v>
      </c>
      <c r="E53" s="349" t="s">
        <v>1511</v>
      </c>
      <c r="F53" s="278">
        <v>2020.0</v>
      </c>
      <c r="G53" s="278">
        <v>0.0</v>
      </c>
      <c r="H53" s="278">
        <v>200.0</v>
      </c>
      <c r="I53" s="351">
        <v>0.0</v>
      </c>
      <c r="J53" s="286">
        <v>200.0</v>
      </c>
      <c r="K53" s="92" t="s">
        <v>126</v>
      </c>
      <c r="L53" s="1"/>
    </row>
    <row r="54" ht="14.25" customHeight="1">
      <c r="A54" s="349" t="s">
        <v>1512</v>
      </c>
      <c r="B54" s="283" t="s">
        <v>126</v>
      </c>
      <c r="C54" s="278" t="s">
        <v>123</v>
      </c>
      <c r="D54" s="350" t="s">
        <v>1510</v>
      </c>
      <c r="E54" s="349" t="s">
        <v>1513</v>
      </c>
      <c r="F54" s="278">
        <v>2020.0</v>
      </c>
      <c r="G54" s="278">
        <v>0.0</v>
      </c>
      <c r="H54" s="278">
        <v>180.0</v>
      </c>
      <c r="I54" s="351">
        <v>0.0</v>
      </c>
      <c r="J54" s="286">
        <v>100.0</v>
      </c>
      <c r="K54" s="92" t="s">
        <v>126</v>
      </c>
      <c r="L54" s="1"/>
    </row>
    <row r="55" ht="54.75" customHeight="1">
      <c r="A55" s="349" t="s">
        <v>1514</v>
      </c>
      <c r="B55" s="283" t="s">
        <v>1515</v>
      </c>
      <c r="C55" s="278" t="s">
        <v>123</v>
      </c>
      <c r="D55" s="350" t="s">
        <v>1510</v>
      </c>
      <c r="E55" s="349" t="s">
        <v>1516</v>
      </c>
      <c r="F55" s="278">
        <v>2020.0</v>
      </c>
      <c r="G55" s="278">
        <v>0.0</v>
      </c>
      <c r="H55" s="278">
        <v>179.0</v>
      </c>
      <c r="I55" s="351">
        <v>358.0</v>
      </c>
      <c r="J55" s="286">
        <v>100.0</v>
      </c>
      <c r="K55" s="92" t="s">
        <v>132</v>
      </c>
      <c r="L55" s="1"/>
    </row>
    <row r="56" ht="27.0" customHeight="1">
      <c r="A56" s="349" t="s">
        <v>1508</v>
      </c>
      <c r="B56" s="283" t="s">
        <v>1517</v>
      </c>
      <c r="C56" s="278" t="s">
        <v>123</v>
      </c>
      <c r="D56" s="350" t="s">
        <v>1510</v>
      </c>
      <c r="E56" s="349" t="s">
        <v>1511</v>
      </c>
      <c r="F56" s="278">
        <v>2020.0</v>
      </c>
      <c r="G56" s="278">
        <v>0.0</v>
      </c>
      <c r="H56" s="278">
        <v>200.0</v>
      </c>
      <c r="I56" s="351">
        <v>400.0</v>
      </c>
      <c r="J56" s="286">
        <v>200.0</v>
      </c>
      <c r="K56" s="92" t="s">
        <v>132</v>
      </c>
      <c r="L56" s="1"/>
    </row>
    <row r="57" ht="165.0" customHeight="1">
      <c r="A57" s="349" t="s">
        <v>1518</v>
      </c>
      <c r="B57" s="283" t="s">
        <v>1519</v>
      </c>
      <c r="C57" s="278" t="s">
        <v>123</v>
      </c>
      <c r="D57" s="350" t="s">
        <v>1520</v>
      </c>
      <c r="E57" s="349" t="s">
        <v>1521</v>
      </c>
      <c r="F57" s="278">
        <v>2020.0</v>
      </c>
      <c r="G57" s="278" t="s">
        <v>1522</v>
      </c>
      <c r="H57" s="278" t="s">
        <v>1523</v>
      </c>
      <c r="I57" s="351" t="s">
        <v>1524</v>
      </c>
      <c r="J57" s="286">
        <v>60.0</v>
      </c>
      <c r="K57" s="92" t="s">
        <v>135</v>
      </c>
      <c r="L57" s="1"/>
    </row>
    <row r="58" ht="14.25" customHeight="1">
      <c r="A58" s="349" t="s">
        <v>1525</v>
      </c>
      <c r="B58" s="283" t="s">
        <v>136</v>
      </c>
      <c r="C58" s="278" t="s">
        <v>123</v>
      </c>
      <c r="D58" s="350" t="s">
        <v>1526</v>
      </c>
      <c r="E58" s="349" t="s">
        <v>1527</v>
      </c>
      <c r="F58" s="278">
        <v>2020.0</v>
      </c>
      <c r="G58" s="278">
        <v>0.0</v>
      </c>
      <c r="H58" s="278">
        <v>295.0</v>
      </c>
      <c r="I58" s="351">
        <v>400.0</v>
      </c>
      <c r="J58" s="286">
        <v>300.0</v>
      </c>
      <c r="K58" s="92" t="s">
        <v>136</v>
      </c>
      <c r="L58" s="1"/>
    </row>
    <row r="59" ht="27.0" customHeight="1">
      <c r="A59" s="349" t="s">
        <v>1528</v>
      </c>
      <c r="B59" s="283" t="s">
        <v>138</v>
      </c>
      <c r="C59" s="278" t="s">
        <v>123</v>
      </c>
      <c r="D59" s="350" t="s">
        <v>1529</v>
      </c>
      <c r="E59" s="349" t="s">
        <v>1530</v>
      </c>
      <c r="F59" s="278">
        <v>2020.0</v>
      </c>
      <c r="G59" s="278" t="s">
        <v>1531</v>
      </c>
      <c r="H59" s="278" t="s">
        <v>1532</v>
      </c>
      <c r="I59" s="351">
        <v>14.0</v>
      </c>
      <c r="J59" s="286">
        <v>14.0</v>
      </c>
      <c r="K59" s="92" t="s">
        <v>138</v>
      </c>
      <c r="L59" s="1"/>
    </row>
    <row r="60" ht="41.25" customHeight="1">
      <c r="A60" s="101" t="s">
        <v>1533</v>
      </c>
      <c r="B60" s="101" t="s">
        <v>149</v>
      </c>
      <c r="C60" s="75" t="s">
        <v>142</v>
      </c>
      <c r="D60" s="101" t="s">
        <v>1534</v>
      </c>
      <c r="E60" s="75" t="s">
        <v>1535</v>
      </c>
      <c r="F60" s="75">
        <v>2020.0</v>
      </c>
      <c r="G60" s="75" t="s">
        <v>1299</v>
      </c>
      <c r="H60" s="75">
        <v>200.0</v>
      </c>
      <c r="I60" s="312">
        <v>300.0</v>
      </c>
      <c r="J60" s="77">
        <v>300.0</v>
      </c>
      <c r="K60" s="77" t="s">
        <v>149</v>
      </c>
      <c r="L60" s="1"/>
    </row>
    <row r="61" ht="41.25" customHeight="1">
      <c r="A61" s="101" t="s">
        <v>1536</v>
      </c>
      <c r="B61" s="101" t="s">
        <v>151</v>
      </c>
      <c r="C61" s="71" t="s">
        <v>142</v>
      </c>
      <c r="D61" s="101" t="s">
        <v>1537</v>
      </c>
      <c r="E61" s="75" t="s">
        <v>1507</v>
      </c>
      <c r="F61" s="75">
        <v>2020.0</v>
      </c>
      <c r="G61" s="75" t="s">
        <v>1309</v>
      </c>
      <c r="H61" s="75">
        <v>18.0</v>
      </c>
      <c r="I61" s="312">
        <v>36.0</v>
      </c>
      <c r="J61" s="77">
        <v>36.0</v>
      </c>
      <c r="K61" s="77" t="s">
        <v>151</v>
      </c>
      <c r="L61" s="1"/>
    </row>
    <row r="62" ht="27.0" customHeight="1">
      <c r="A62" s="101" t="s">
        <v>1538</v>
      </c>
      <c r="B62" s="101" t="s">
        <v>151</v>
      </c>
      <c r="C62" s="71" t="s">
        <v>142</v>
      </c>
      <c r="D62" s="101" t="s">
        <v>1539</v>
      </c>
      <c r="E62" s="75" t="s">
        <v>1540</v>
      </c>
      <c r="F62" s="75">
        <v>2020.0</v>
      </c>
      <c r="G62" s="75" t="s">
        <v>1299</v>
      </c>
      <c r="H62" s="75">
        <v>4.0</v>
      </c>
      <c r="I62" s="312">
        <v>8.0</v>
      </c>
      <c r="J62" s="77">
        <v>8.0</v>
      </c>
      <c r="K62" s="77" t="s">
        <v>151</v>
      </c>
      <c r="L62" s="1"/>
    </row>
    <row r="63" ht="41.25" customHeight="1">
      <c r="A63" s="101" t="s">
        <v>1541</v>
      </c>
      <c r="B63" s="101" t="s">
        <v>155</v>
      </c>
      <c r="C63" s="71" t="s">
        <v>142</v>
      </c>
      <c r="D63" s="101" t="s">
        <v>1520</v>
      </c>
      <c r="E63" s="75" t="s">
        <v>1542</v>
      </c>
      <c r="F63" s="75">
        <v>2020.0</v>
      </c>
      <c r="G63" s="75" t="s">
        <v>1388</v>
      </c>
      <c r="H63" s="75">
        <v>374.0</v>
      </c>
      <c r="I63" s="312" t="s">
        <v>1543</v>
      </c>
      <c r="J63" s="77">
        <v>300.0</v>
      </c>
      <c r="K63" s="77" t="s">
        <v>155</v>
      </c>
      <c r="L63" s="1"/>
    </row>
    <row r="64" ht="41.25" customHeight="1">
      <c r="A64" s="101" t="s">
        <v>1544</v>
      </c>
      <c r="B64" s="101" t="s">
        <v>155</v>
      </c>
      <c r="C64" s="71" t="s">
        <v>142</v>
      </c>
      <c r="D64" s="101" t="s">
        <v>1520</v>
      </c>
      <c r="E64" s="75" t="s">
        <v>1545</v>
      </c>
      <c r="F64" s="75">
        <v>2020.0</v>
      </c>
      <c r="G64" s="75" t="s">
        <v>1409</v>
      </c>
      <c r="H64" s="75">
        <v>246.0</v>
      </c>
      <c r="I64" s="312" t="s">
        <v>1543</v>
      </c>
      <c r="J64" s="77">
        <v>0.0</v>
      </c>
      <c r="K64" s="77" t="s">
        <v>155</v>
      </c>
      <c r="L64" s="1"/>
    </row>
    <row r="65" ht="41.25" customHeight="1">
      <c r="A65" s="101" t="s">
        <v>1546</v>
      </c>
      <c r="B65" s="101" t="s">
        <v>160</v>
      </c>
      <c r="C65" s="71" t="s">
        <v>142</v>
      </c>
      <c r="D65" s="101" t="s">
        <v>1547</v>
      </c>
      <c r="E65" s="75" t="s">
        <v>1548</v>
      </c>
      <c r="F65" s="75">
        <v>2020.0</v>
      </c>
      <c r="G65" s="75" t="s">
        <v>1549</v>
      </c>
      <c r="H65" s="75">
        <v>186.0</v>
      </c>
      <c r="I65" s="312">
        <v>392.0</v>
      </c>
      <c r="J65" s="77">
        <v>300.0</v>
      </c>
      <c r="K65" s="77" t="s">
        <v>160</v>
      </c>
      <c r="L65" s="1"/>
    </row>
    <row r="66" ht="82.5" customHeight="1">
      <c r="A66" s="101" t="s">
        <v>1550</v>
      </c>
      <c r="B66" s="101" t="s">
        <v>1551</v>
      </c>
      <c r="C66" s="71" t="s">
        <v>142</v>
      </c>
      <c r="D66" s="101" t="s">
        <v>1552</v>
      </c>
      <c r="E66" s="75" t="s">
        <v>1553</v>
      </c>
      <c r="F66" s="75">
        <v>2020.0</v>
      </c>
      <c r="G66" s="75">
        <v>12.0</v>
      </c>
      <c r="H66" s="75" t="s">
        <v>1554</v>
      </c>
      <c r="I66" s="312">
        <v>300.0</v>
      </c>
      <c r="J66" s="77">
        <v>34.0</v>
      </c>
      <c r="K66" s="77" t="s">
        <v>161</v>
      </c>
      <c r="L66" s="1"/>
    </row>
    <row r="67" ht="41.25" customHeight="1">
      <c r="A67" s="101" t="s">
        <v>1555</v>
      </c>
      <c r="B67" s="101" t="s">
        <v>1556</v>
      </c>
      <c r="C67" s="71" t="s">
        <v>142</v>
      </c>
      <c r="D67" s="101" t="s">
        <v>1557</v>
      </c>
      <c r="E67" s="75" t="s">
        <v>1558</v>
      </c>
      <c r="F67" s="75">
        <v>2020.0</v>
      </c>
      <c r="G67" s="75">
        <v>8.0</v>
      </c>
      <c r="H67" s="75">
        <v>25.0</v>
      </c>
      <c r="I67" s="312">
        <v>50.0</v>
      </c>
      <c r="J67" s="77">
        <v>25.0</v>
      </c>
      <c r="K67" s="77" t="s">
        <v>162</v>
      </c>
      <c r="L67" s="1"/>
    </row>
    <row r="68" ht="41.25" customHeight="1">
      <c r="A68" s="101" t="s">
        <v>1559</v>
      </c>
      <c r="B68" s="101" t="s">
        <v>1560</v>
      </c>
      <c r="C68" s="71" t="s">
        <v>142</v>
      </c>
      <c r="D68" s="101" t="s">
        <v>1561</v>
      </c>
      <c r="E68" s="75" t="s">
        <v>1558</v>
      </c>
      <c r="F68" s="75">
        <v>2020.0</v>
      </c>
      <c r="G68" s="75" t="s">
        <v>1562</v>
      </c>
      <c r="H68" s="75">
        <v>25.0</v>
      </c>
      <c r="I68" s="312">
        <v>50.0</v>
      </c>
      <c r="J68" s="77">
        <v>25.0</v>
      </c>
      <c r="K68" s="77" t="s">
        <v>163</v>
      </c>
      <c r="L68" s="1"/>
    </row>
    <row r="69" ht="96.0" customHeight="1">
      <c r="A69" s="101" t="s">
        <v>1563</v>
      </c>
      <c r="B69" s="101" t="s">
        <v>1564</v>
      </c>
      <c r="C69" s="71" t="s">
        <v>142</v>
      </c>
      <c r="D69" s="101" t="s">
        <v>1520</v>
      </c>
      <c r="E69" s="75" t="s">
        <v>1565</v>
      </c>
      <c r="F69" s="75">
        <v>2020.0</v>
      </c>
      <c r="G69" s="75">
        <v>12.0</v>
      </c>
      <c r="H69" s="75">
        <v>11.0</v>
      </c>
      <c r="I69" s="312">
        <v>22.0</v>
      </c>
      <c r="J69" s="77">
        <v>11.0</v>
      </c>
      <c r="K69" s="77" t="s">
        <v>168</v>
      </c>
      <c r="L69" s="1"/>
    </row>
    <row r="70" ht="54.75" customHeight="1">
      <c r="A70" s="101" t="s">
        <v>1566</v>
      </c>
      <c r="B70" s="101" t="s">
        <v>1567</v>
      </c>
      <c r="C70" s="71" t="s">
        <v>142</v>
      </c>
      <c r="D70" s="101" t="s">
        <v>1568</v>
      </c>
      <c r="E70" s="75" t="s">
        <v>1569</v>
      </c>
      <c r="F70" s="75">
        <v>2020.0</v>
      </c>
      <c r="G70" s="75">
        <v>12.0</v>
      </c>
      <c r="H70" s="75">
        <v>11.0</v>
      </c>
      <c r="I70" s="312">
        <v>22.0</v>
      </c>
      <c r="J70" s="77">
        <v>11.0</v>
      </c>
      <c r="K70" s="77" t="s">
        <v>172</v>
      </c>
      <c r="L70" s="1"/>
    </row>
    <row r="71" ht="69.0" customHeight="1">
      <c r="A71" s="101" t="s">
        <v>1570</v>
      </c>
      <c r="B71" s="101" t="s">
        <v>172</v>
      </c>
      <c r="C71" s="71" t="s">
        <v>142</v>
      </c>
      <c r="D71" s="101" t="s">
        <v>1568</v>
      </c>
      <c r="E71" s="75" t="s">
        <v>1569</v>
      </c>
      <c r="F71" s="75">
        <v>2020.0</v>
      </c>
      <c r="G71" s="75">
        <v>12.0</v>
      </c>
      <c r="H71" s="75">
        <v>8.0</v>
      </c>
      <c r="I71" s="312">
        <v>16.0</v>
      </c>
      <c r="J71" s="77">
        <v>16.0</v>
      </c>
      <c r="K71" s="77" t="s">
        <v>172</v>
      </c>
      <c r="L71" s="1"/>
    </row>
    <row r="72" ht="69.0" customHeight="1">
      <c r="A72" s="101" t="s">
        <v>1571</v>
      </c>
      <c r="B72" s="101" t="s">
        <v>172</v>
      </c>
      <c r="C72" s="71" t="s">
        <v>142</v>
      </c>
      <c r="D72" s="101" t="s">
        <v>1568</v>
      </c>
      <c r="E72" s="75" t="s">
        <v>1569</v>
      </c>
      <c r="F72" s="75">
        <v>2020.0</v>
      </c>
      <c r="G72" s="75">
        <v>12.0</v>
      </c>
      <c r="H72" s="75">
        <v>8.0</v>
      </c>
      <c r="I72" s="312">
        <v>16.0</v>
      </c>
      <c r="J72" s="77">
        <v>16.0</v>
      </c>
      <c r="K72" s="77" t="s">
        <v>172</v>
      </c>
      <c r="L72" s="1"/>
    </row>
    <row r="73" ht="54.75" customHeight="1">
      <c r="A73" s="101" t="s">
        <v>1572</v>
      </c>
      <c r="B73" s="101" t="s">
        <v>1573</v>
      </c>
      <c r="C73" s="71" t="s">
        <v>142</v>
      </c>
      <c r="D73" s="101" t="s">
        <v>1568</v>
      </c>
      <c r="E73" s="75" t="s">
        <v>1574</v>
      </c>
      <c r="F73" s="75">
        <v>2020.0</v>
      </c>
      <c r="G73" s="75">
        <v>12.0</v>
      </c>
      <c r="H73" s="75">
        <v>3.0</v>
      </c>
      <c r="I73" s="312">
        <v>6.0</v>
      </c>
      <c r="J73" s="77">
        <v>2.0</v>
      </c>
      <c r="K73" s="77" t="s">
        <v>172</v>
      </c>
      <c r="L73" s="1"/>
    </row>
    <row r="74" ht="27.0" customHeight="1">
      <c r="A74" s="101" t="s">
        <v>1575</v>
      </c>
      <c r="B74" s="101" t="s">
        <v>311</v>
      </c>
      <c r="C74" s="71" t="s">
        <v>142</v>
      </c>
      <c r="D74" s="101" t="s">
        <v>1576</v>
      </c>
      <c r="E74" s="75" t="s">
        <v>1577</v>
      </c>
      <c r="F74" s="75">
        <v>2020.0</v>
      </c>
      <c r="G74" s="75" t="s">
        <v>1578</v>
      </c>
      <c r="H74" s="75">
        <v>220.0</v>
      </c>
      <c r="I74" s="312">
        <v>440.0</v>
      </c>
      <c r="J74" s="77">
        <v>300.0</v>
      </c>
      <c r="K74" s="77" t="s">
        <v>173</v>
      </c>
      <c r="L74" s="1"/>
    </row>
    <row r="75" ht="96.0" customHeight="1">
      <c r="A75" s="101" t="s">
        <v>1579</v>
      </c>
      <c r="B75" s="101" t="s">
        <v>311</v>
      </c>
      <c r="C75" s="71" t="s">
        <v>142</v>
      </c>
      <c r="D75" s="101" t="s">
        <v>1488</v>
      </c>
      <c r="E75" s="75" t="s">
        <v>1580</v>
      </c>
      <c r="F75" s="75">
        <v>2020.0</v>
      </c>
      <c r="G75" s="75" t="s">
        <v>1578</v>
      </c>
      <c r="H75" s="75">
        <v>28.0</v>
      </c>
      <c r="I75" s="312">
        <v>56.0</v>
      </c>
      <c r="J75" s="77">
        <v>0.0</v>
      </c>
      <c r="K75" s="77" t="s">
        <v>173</v>
      </c>
      <c r="L75" s="1"/>
    </row>
    <row r="76" ht="69.0" customHeight="1">
      <c r="A76" s="101" t="s">
        <v>1581</v>
      </c>
      <c r="B76" s="101" t="s">
        <v>1582</v>
      </c>
      <c r="C76" s="71" t="s">
        <v>142</v>
      </c>
      <c r="D76" s="101" t="s">
        <v>1520</v>
      </c>
      <c r="E76" s="75"/>
      <c r="F76" s="75">
        <v>2020.0</v>
      </c>
      <c r="G76" s="75" t="s">
        <v>1299</v>
      </c>
      <c r="H76" s="75">
        <v>4.0</v>
      </c>
      <c r="I76" s="312">
        <v>2.0</v>
      </c>
      <c r="J76" s="77">
        <v>8.0</v>
      </c>
      <c r="K76" s="77" t="s">
        <v>175</v>
      </c>
      <c r="L76" s="1"/>
    </row>
    <row r="77" ht="27.0" customHeight="1">
      <c r="A77" s="101" t="s">
        <v>1583</v>
      </c>
      <c r="B77" s="101" t="s">
        <v>175</v>
      </c>
      <c r="C77" s="71" t="s">
        <v>1109</v>
      </c>
      <c r="D77" s="101" t="s">
        <v>1584</v>
      </c>
      <c r="E77" s="75" t="s">
        <v>1585</v>
      </c>
      <c r="F77" s="75">
        <v>2020.0</v>
      </c>
      <c r="G77" s="75" t="s">
        <v>1586</v>
      </c>
      <c r="H77" s="75">
        <v>223.0</v>
      </c>
      <c r="I77" s="312">
        <v>2.0</v>
      </c>
      <c r="J77" s="77">
        <v>292.0</v>
      </c>
      <c r="K77" s="77" t="s">
        <v>175</v>
      </c>
      <c r="L77" s="1"/>
    </row>
    <row r="78" ht="41.25" customHeight="1">
      <c r="A78" s="101" t="s">
        <v>1587</v>
      </c>
      <c r="B78" s="101" t="s">
        <v>1588</v>
      </c>
      <c r="C78" s="301" t="s">
        <v>123</v>
      </c>
      <c r="D78" s="101" t="s">
        <v>1589</v>
      </c>
      <c r="E78" s="75" t="s">
        <v>1590</v>
      </c>
      <c r="F78" s="75">
        <v>2020.0</v>
      </c>
      <c r="G78" s="75" t="s">
        <v>1562</v>
      </c>
      <c r="H78" s="75" t="s">
        <v>1591</v>
      </c>
      <c r="I78" s="312">
        <v>2.0</v>
      </c>
      <c r="J78" s="77">
        <v>44.0</v>
      </c>
      <c r="K78" s="92" t="s">
        <v>179</v>
      </c>
      <c r="L78" s="1"/>
    </row>
    <row r="79" ht="41.25" customHeight="1">
      <c r="A79" s="101" t="s">
        <v>1592</v>
      </c>
      <c r="B79" s="101" t="s">
        <v>1593</v>
      </c>
      <c r="C79" s="301" t="s">
        <v>123</v>
      </c>
      <c r="D79" s="101" t="s">
        <v>1594</v>
      </c>
      <c r="E79" s="75" t="s">
        <v>1595</v>
      </c>
      <c r="F79" s="75">
        <v>2020.0</v>
      </c>
      <c r="G79" s="75" t="s">
        <v>1549</v>
      </c>
      <c r="H79" s="75" t="s">
        <v>1596</v>
      </c>
      <c r="I79" s="312">
        <v>2.0</v>
      </c>
      <c r="J79" s="77">
        <v>10.0</v>
      </c>
      <c r="K79" s="92" t="s">
        <v>179</v>
      </c>
      <c r="L79" s="1"/>
    </row>
    <row r="80" ht="41.25" customHeight="1">
      <c r="A80" s="101" t="s">
        <v>1597</v>
      </c>
      <c r="B80" s="101" t="s">
        <v>1598</v>
      </c>
      <c r="C80" s="301" t="s">
        <v>123</v>
      </c>
      <c r="D80" s="101" t="s">
        <v>1594</v>
      </c>
      <c r="E80" s="75" t="s">
        <v>1595</v>
      </c>
      <c r="F80" s="75">
        <v>2020.0</v>
      </c>
      <c r="G80" s="75" t="s">
        <v>1549</v>
      </c>
      <c r="H80" s="75" t="s">
        <v>1599</v>
      </c>
      <c r="I80" s="312">
        <v>2.0</v>
      </c>
      <c r="J80" s="77">
        <v>11.0</v>
      </c>
      <c r="K80" s="92" t="s">
        <v>179</v>
      </c>
      <c r="L80" s="1"/>
    </row>
    <row r="81" ht="14.25" customHeight="1">
      <c r="A81" s="101"/>
      <c r="B81" s="101"/>
      <c r="C81" s="71"/>
      <c r="D81" s="101"/>
      <c r="E81" s="75"/>
      <c r="F81" s="75"/>
      <c r="G81" s="75"/>
      <c r="H81" s="75"/>
      <c r="I81" s="312"/>
      <c r="J81" s="77"/>
      <c r="K81" s="77"/>
      <c r="L81" s="1"/>
    </row>
    <row r="82" ht="14.25" customHeight="1">
      <c r="A82" s="101"/>
      <c r="B82" s="101"/>
      <c r="C82" s="71"/>
      <c r="D82" s="101"/>
      <c r="E82" s="75"/>
      <c r="F82" s="75"/>
      <c r="G82" s="75"/>
      <c r="H82" s="75"/>
      <c r="I82" s="312"/>
      <c r="J82" s="77"/>
      <c r="K82" s="77"/>
      <c r="L82" s="1"/>
    </row>
    <row r="83" ht="14.25" customHeight="1">
      <c r="A83" s="101"/>
      <c r="B83" s="101"/>
      <c r="C83" s="75"/>
      <c r="D83" s="101"/>
      <c r="E83" s="75"/>
      <c r="F83" s="75"/>
      <c r="G83" s="75"/>
      <c r="H83" s="75"/>
      <c r="I83" s="312"/>
      <c r="J83" s="77"/>
      <c r="K83" s="77"/>
      <c r="L83" s="1"/>
    </row>
    <row r="84" ht="14.25" customHeight="1">
      <c r="A84" s="104" t="s">
        <v>180</v>
      </c>
      <c r="B84" s="104"/>
      <c r="C84" s="53"/>
      <c r="D84" s="1"/>
      <c r="E84" s="1"/>
      <c r="F84" s="1"/>
      <c r="G84" s="1"/>
      <c r="H84" s="1"/>
      <c r="I84" s="330"/>
      <c r="J84" s="105">
        <f>SUM(J13:J83)</f>
        <v>5725</v>
      </c>
      <c r="K84" s="1"/>
      <c r="L84" s="1"/>
    </row>
    <row r="85" ht="14.25" customHeight="1">
      <c r="A85" s="52"/>
      <c r="B85" s="52"/>
      <c r="C85" s="53"/>
      <c r="D85" s="1"/>
      <c r="E85" s="1"/>
      <c r="F85" s="1"/>
      <c r="G85" s="1"/>
      <c r="H85" s="1"/>
      <c r="I85" s="1"/>
      <c r="J85" s="1"/>
      <c r="K85" s="1"/>
      <c r="L85" s="1"/>
    </row>
    <row r="86" ht="15.0" customHeight="1">
      <c r="A86" s="106" t="s">
        <v>330</v>
      </c>
      <c r="B86" s="107"/>
      <c r="C86" s="107"/>
      <c r="D86" s="107"/>
      <c r="E86" s="107"/>
      <c r="F86" s="107"/>
      <c r="G86" s="107"/>
      <c r="H86" s="107"/>
      <c r="I86" s="107"/>
      <c r="J86" s="108"/>
      <c r="K86" s="1"/>
      <c r="L86" s="1"/>
    </row>
    <row r="87" ht="14.25" customHeight="1">
      <c r="A87" s="52"/>
      <c r="B87" s="52"/>
      <c r="C87" s="53"/>
      <c r="D87" s="1"/>
      <c r="E87" s="1"/>
      <c r="F87" s="1"/>
      <c r="G87" s="1"/>
      <c r="H87" s="1"/>
      <c r="I87" s="1"/>
      <c r="J87" s="1"/>
      <c r="K87" s="1"/>
      <c r="L87" s="1"/>
    </row>
    <row r="88" ht="14.25" customHeight="1">
      <c r="A88" s="52"/>
      <c r="B88" s="52"/>
      <c r="C88" s="53"/>
      <c r="D88" s="1"/>
      <c r="E88" s="1"/>
      <c r="F88" s="1"/>
      <c r="G88" s="1"/>
      <c r="H88" s="1"/>
      <c r="I88" s="1"/>
      <c r="J88" s="1"/>
      <c r="K88" s="1"/>
      <c r="L88" s="1"/>
    </row>
    <row r="89" ht="14.25" customHeight="1">
      <c r="A89" s="52"/>
      <c r="B89" s="52"/>
      <c r="C89" s="53"/>
      <c r="D89" s="1"/>
      <c r="E89" s="1"/>
      <c r="F89" s="1"/>
      <c r="G89" s="1"/>
      <c r="H89" s="1"/>
      <c r="I89" s="1"/>
      <c r="J89" s="1"/>
      <c r="K89" s="1"/>
      <c r="L89" s="1"/>
    </row>
    <row r="90" ht="14.25" customHeight="1">
      <c r="A90" s="52"/>
      <c r="B90" s="52"/>
      <c r="C90" s="53"/>
      <c r="D90" s="1"/>
      <c r="E90" s="1"/>
      <c r="F90" s="1"/>
      <c r="G90" s="1"/>
      <c r="H90" s="1"/>
      <c r="I90" s="1"/>
      <c r="J90" s="1"/>
      <c r="K90" s="1"/>
      <c r="L90" s="1"/>
    </row>
    <row r="91" ht="14.25" customHeight="1">
      <c r="A91" s="52"/>
      <c r="B91" s="52"/>
      <c r="C91" s="53"/>
      <c r="D91" s="1"/>
      <c r="E91" s="1"/>
      <c r="F91" s="1"/>
      <c r="G91" s="1"/>
      <c r="H91" s="1"/>
      <c r="I91" s="1"/>
      <c r="J91" s="1"/>
      <c r="K91" s="1"/>
      <c r="L91" s="1"/>
    </row>
    <row r="92" ht="14.25" customHeight="1">
      <c r="A92" s="52"/>
      <c r="B92" s="52"/>
      <c r="C92" s="53"/>
      <c r="D92" s="1"/>
      <c r="E92" s="1"/>
      <c r="F92" s="1"/>
      <c r="G92" s="1"/>
      <c r="H92" s="1"/>
      <c r="I92" s="1"/>
      <c r="J92" s="1"/>
      <c r="K92" s="1"/>
      <c r="L92" s="1"/>
    </row>
    <row r="93" ht="14.25" customHeight="1">
      <c r="A93" s="52"/>
      <c r="B93" s="52"/>
      <c r="C93" s="53"/>
      <c r="D93" s="1"/>
      <c r="E93" s="1"/>
      <c r="F93" s="1"/>
      <c r="G93" s="1"/>
      <c r="H93" s="1"/>
      <c r="I93" s="1"/>
      <c r="J93" s="1"/>
      <c r="K93" s="1"/>
      <c r="L93" s="1"/>
    </row>
    <row r="94" ht="14.25" customHeight="1">
      <c r="A94" s="52"/>
      <c r="B94" s="52"/>
      <c r="C94" s="53"/>
      <c r="D94" s="1"/>
      <c r="E94" s="1"/>
      <c r="F94" s="1"/>
      <c r="G94" s="1"/>
      <c r="H94" s="1"/>
      <c r="I94" s="1"/>
      <c r="J94" s="1"/>
      <c r="K94" s="1"/>
      <c r="L94" s="1"/>
    </row>
    <row r="95" ht="14.25" customHeight="1">
      <c r="A95" s="52"/>
      <c r="B95" s="52"/>
      <c r="C95" s="53"/>
      <c r="D95" s="1"/>
      <c r="E95" s="1"/>
      <c r="F95" s="1"/>
      <c r="G95" s="1"/>
      <c r="H95" s="1"/>
      <c r="I95" s="1"/>
      <c r="J95" s="1"/>
      <c r="K95" s="1"/>
      <c r="L95" s="1"/>
    </row>
    <row r="96" ht="14.25" customHeight="1">
      <c r="A96" s="52"/>
      <c r="B96" s="52"/>
      <c r="C96" s="53"/>
      <c r="D96" s="1"/>
      <c r="E96" s="1"/>
      <c r="F96" s="1"/>
      <c r="G96" s="1"/>
      <c r="H96" s="1"/>
      <c r="I96" s="1"/>
      <c r="J96" s="1"/>
      <c r="K96" s="1"/>
      <c r="L96" s="1"/>
    </row>
    <row r="97" ht="14.25" customHeight="1">
      <c r="A97" s="52"/>
      <c r="B97" s="52"/>
      <c r="C97" s="53"/>
      <c r="D97" s="1"/>
      <c r="E97" s="1"/>
      <c r="F97" s="1"/>
      <c r="G97" s="1"/>
      <c r="H97" s="1"/>
      <c r="I97" s="1"/>
      <c r="J97" s="1"/>
      <c r="K97" s="1"/>
      <c r="L97" s="1"/>
    </row>
    <row r="98" ht="14.25" customHeight="1">
      <c r="A98" s="52"/>
      <c r="B98" s="52"/>
      <c r="C98" s="53"/>
      <c r="D98" s="1"/>
      <c r="E98" s="1"/>
      <c r="F98" s="1"/>
      <c r="G98" s="1"/>
      <c r="H98" s="1"/>
      <c r="I98" s="1"/>
      <c r="J98" s="1"/>
      <c r="K98" s="1"/>
      <c r="L98" s="1"/>
    </row>
    <row r="99" ht="14.25" customHeight="1">
      <c r="A99" s="52"/>
      <c r="B99" s="52"/>
      <c r="C99" s="53"/>
      <c r="D99" s="1"/>
      <c r="E99" s="1"/>
      <c r="F99" s="1"/>
      <c r="G99" s="1"/>
      <c r="H99" s="1"/>
      <c r="I99" s="1"/>
      <c r="J99" s="1"/>
      <c r="K99" s="1"/>
      <c r="L99" s="1"/>
    </row>
    <row r="100" ht="14.25" customHeight="1">
      <c r="A100" s="52"/>
      <c r="B100" s="52"/>
      <c r="C100" s="53"/>
      <c r="D100" s="1"/>
      <c r="E100" s="1"/>
      <c r="F100" s="1"/>
      <c r="G100" s="1"/>
      <c r="H100" s="1"/>
      <c r="I100" s="1"/>
      <c r="J100" s="1"/>
      <c r="K100" s="1"/>
      <c r="L100" s="1"/>
    </row>
    <row r="101" ht="14.25" customHeight="1">
      <c r="A101" s="52"/>
      <c r="B101" s="52"/>
      <c r="C101" s="53"/>
      <c r="D101" s="1"/>
      <c r="E101" s="1"/>
      <c r="F101" s="1"/>
      <c r="G101" s="1"/>
      <c r="H101" s="1"/>
      <c r="I101" s="1"/>
      <c r="J101" s="1"/>
      <c r="K101" s="1"/>
      <c r="L101" s="1"/>
    </row>
    <row r="102" ht="14.25" customHeight="1">
      <c r="A102" s="52"/>
      <c r="B102" s="52"/>
      <c r="C102" s="53"/>
      <c r="D102" s="1"/>
      <c r="E102" s="1"/>
      <c r="F102" s="1"/>
      <c r="G102" s="1"/>
      <c r="H102" s="1"/>
      <c r="I102" s="1"/>
      <c r="J102" s="1"/>
      <c r="K102" s="1"/>
      <c r="L102" s="1"/>
    </row>
    <row r="103" ht="14.25" customHeight="1">
      <c r="A103" s="52"/>
      <c r="B103" s="52"/>
      <c r="C103" s="53"/>
      <c r="D103" s="1"/>
      <c r="E103" s="1"/>
      <c r="F103" s="1"/>
      <c r="G103" s="1"/>
      <c r="H103" s="1"/>
      <c r="I103" s="1"/>
      <c r="J103" s="1"/>
      <c r="K103" s="1"/>
      <c r="L103" s="1"/>
    </row>
    <row r="104" ht="14.25" customHeight="1">
      <c r="A104" s="52"/>
      <c r="B104" s="52"/>
      <c r="C104" s="53"/>
      <c r="D104" s="1"/>
      <c r="E104" s="1"/>
      <c r="F104" s="1"/>
      <c r="G104" s="1"/>
      <c r="H104" s="1"/>
      <c r="I104" s="1"/>
      <c r="J104" s="1"/>
      <c r="K104" s="1"/>
      <c r="L104" s="1"/>
    </row>
    <row r="105" ht="14.25" customHeight="1">
      <c r="A105" s="52"/>
      <c r="B105" s="52"/>
      <c r="C105" s="53"/>
      <c r="D105" s="1"/>
      <c r="E105" s="1"/>
      <c r="F105" s="1"/>
      <c r="G105" s="1"/>
      <c r="H105" s="1"/>
      <c r="I105" s="1"/>
      <c r="J105" s="1"/>
      <c r="K105" s="1"/>
      <c r="L105" s="1"/>
    </row>
    <row r="106" ht="14.25" customHeight="1">
      <c r="A106" s="52"/>
      <c r="B106" s="52"/>
      <c r="C106" s="53"/>
      <c r="D106" s="1"/>
      <c r="E106" s="1"/>
      <c r="F106" s="1"/>
      <c r="G106" s="1"/>
      <c r="H106" s="1"/>
      <c r="I106" s="1"/>
      <c r="J106" s="1"/>
      <c r="K106" s="1"/>
      <c r="L106" s="1"/>
    </row>
    <row r="107" ht="14.25" customHeight="1">
      <c r="A107" s="52"/>
      <c r="B107" s="52"/>
      <c r="C107" s="53"/>
      <c r="D107" s="1"/>
      <c r="E107" s="1"/>
      <c r="F107" s="1"/>
      <c r="G107" s="1"/>
      <c r="H107" s="1"/>
      <c r="I107" s="1"/>
      <c r="J107" s="1"/>
      <c r="K107" s="1"/>
      <c r="L107" s="1"/>
    </row>
    <row r="108" ht="14.25" customHeight="1">
      <c r="A108" s="52"/>
      <c r="B108" s="52"/>
      <c r="C108" s="53"/>
      <c r="D108" s="1"/>
      <c r="E108" s="1"/>
      <c r="F108" s="1"/>
      <c r="G108" s="1"/>
      <c r="H108" s="1"/>
      <c r="I108" s="1"/>
      <c r="J108" s="1"/>
      <c r="K108" s="1"/>
      <c r="L108" s="1"/>
    </row>
    <row r="109" ht="14.25" customHeight="1">
      <c r="A109" s="52"/>
      <c r="B109" s="52"/>
      <c r="C109" s="53"/>
      <c r="D109" s="1"/>
      <c r="E109" s="1"/>
      <c r="F109" s="1"/>
      <c r="G109" s="1"/>
      <c r="H109" s="1"/>
      <c r="I109" s="1"/>
      <c r="J109" s="1"/>
      <c r="K109" s="1"/>
      <c r="L109" s="1"/>
    </row>
    <row r="110" ht="14.25" customHeight="1">
      <c r="A110" s="52"/>
      <c r="B110" s="52"/>
      <c r="C110" s="53"/>
      <c r="D110" s="1"/>
      <c r="E110" s="1"/>
      <c r="F110" s="1"/>
      <c r="G110" s="1"/>
      <c r="H110" s="1"/>
      <c r="I110" s="1"/>
      <c r="J110" s="1"/>
      <c r="K110" s="1"/>
      <c r="L110" s="1"/>
    </row>
    <row r="111" ht="14.25" customHeight="1">
      <c r="A111" s="52"/>
      <c r="B111" s="52"/>
      <c r="C111" s="53"/>
      <c r="D111" s="1"/>
      <c r="E111" s="1"/>
      <c r="F111" s="1"/>
      <c r="G111" s="1"/>
      <c r="H111" s="1"/>
      <c r="I111" s="1"/>
      <c r="J111" s="1"/>
      <c r="K111" s="1"/>
      <c r="L111" s="1"/>
    </row>
    <row r="112" ht="14.25" customHeight="1">
      <c r="A112" s="52"/>
      <c r="B112" s="52"/>
      <c r="C112" s="53"/>
      <c r="D112" s="1"/>
      <c r="E112" s="1"/>
      <c r="F112" s="1"/>
      <c r="G112" s="1"/>
      <c r="H112" s="1"/>
      <c r="I112" s="1"/>
      <c r="J112" s="1"/>
      <c r="K112" s="1"/>
      <c r="L112" s="1"/>
    </row>
    <row r="113" ht="14.25" customHeight="1">
      <c r="A113" s="52"/>
      <c r="B113" s="52"/>
      <c r="C113" s="53"/>
      <c r="D113" s="1"/>
      <c r="E113" s="1"/>
      <c r="F113" s="1"/>
      <c r="G113" s="1"/>
      <c r="H113" s="1"/>
      <c r="I113" s="1"/>
      <c r="J113" s="1"/>
      <c r="K113" s="1"/>
      <c r="L113" s="1"/>
    </row>
    <row r="114" ht="14.25" customHeight="1">
      <c r="A114" s="52"/>
      <c r="B114" s="52"/>
      <c r="C114" s="53"/>
      <c r="D114" s="1"/>
      <c r="E114" s="1"/>
      <c r="F114" s="1"/>
      <c r="G114" s="1"/>
      <c r="H114" s="1"/>
      <c r="I114" s="1"/>
      <c r="J114" s="1"/>
      <c r="K114" s="1"/>
      <c r="L114" s="1"/>
    </row>
    <row r="115" ht="14.25" customHeight="1">
      <c r="A115" s="52"/>
      <c r="B115" s="52"/>
      <c r="C115" s="53"/>
      <c r="D115" s="1"/>
      <c r="E115" s="1"/>
      <c r="F115" s="1"/>
      <c r="G115" s="1"/>
      <c r="H115" s="1"/>
      <c r="I115" s="1"/>
      <c r="J115" s="1"/>
      <c r="K115" s="1"/>
      <c r="L115" s="1"/>
    </row>
    <row r="116" ht="14.25" customHeight="1">
      <c r="A116" s="52"/>
      <c r="B116" s="52"/>
      <c r="C116" s="53"/>
      <c r="D116" s="1"/>
      <c r="E116" s="1"/>
      <c r="F116" s="1"/>
      <c r="G116" s="1"/>
      <c r="H116" s="1"/>
      <c r="I116" s="1"/>
      <c r="J116" s="1"/>
      <c r="K116" s="1"/>
      <c r="L116" s="1"/>
    </row>
    <row r="117" ht="14.25" customHeight="1">
      <c r="A117" s="52"/>
      <c r="B117" s="52"/>
      <c r="C117" s="53"/>
      <c r="D117" s="1"/>
      <c r="E117" s="1"/>
      <c r="F117" s="1"/>
      <c r="G117" s="1"/>
      <c r="H117" s="1"/>
      <c r="I117" s="1"/>
      <c r="J117" s="1"/>
      <c r="K117" s="1"/>
      <c r="L117" s="1"/>
    </row>
    <row r="118" ht="14.25" customHeight="1">
      <c r="A118" s="52"/>
      <c r="B118" s="52"/>
      <c r="C118" s="53"/>
      <c r="D118" s="1"/>
      <c r="E118" s="1"/>
      <c r="F118" s="1"/>
      <c r="G118" s="1"/>
      <c r="H118" s="1"/>
      <c r="I118" s="1"/>
      <c r="J118" s="1"/>
      <c r="K118" s="1"/>
      <c r="L118" s="1"/>
    </row>
    <row r="119" ht="14.25" customHeight="1">
      <c r="A119" s="52"/>
      <c r="B119" s="52"/>
      <c r="C119" s="53"/>
      <c r="D119" s="1"/>
      <c r="E119" s="1"/>
      <c r="F119" s="1"/>
      <c r="G119" s="1"/>
      <c r="H119" s="1"/>
      <c r="I119" s="1"/>
      <c r="J119" s="1"/>
      <c r="K119" s="1"/>
      <c r="L119" s="1"/>
    </row>
    <row r="120" ht="14.25" customHeight="1">
      <c r="A120" s="52"/>
      <c r="B120" s="52"/>
      <c r="C120" s="53"/>
      <c r="D120" s="1"/>
      <c r="E120" s="1"/>
      <c r="F120" s="1"/>
      <c r="G120" s="1"/>
      <c r="H120" s="1"/>
      <c r="I120" s="1"/>
      <c r="J120" s="1"/>
      <c r="K120" s="1"/>
      <c r="L120" s="1"/>
    </row>
    <row r="121" ht="14.25" customHeight="1">
      <c r="A121" s="52"/>
      <c r="B121" s="52"/>
      <c r="C121" s="53"/>
      <c r="D121" s="1"/>
      <c r="E121" s="1"/>
      <c r="F121" s="1"/>
      <c r="G121" s="1"/>
      <c r="H121" s="1"/>
      <c r="I121" s="1"/>
      <c r="J121" s="1"/>
      <c r="K121" s="1"/>
      <c r="L121" s="1"/>
    </row>
    <row r="122" ht="14.25" customHeight="1">
      <c r="A122" s="52"/>
      <c r="B122" s="52"/>
      <c r="C122" s="53"/>
      <c r="D122" s="1"/>
      <c r="E122" s="1"/>
      <c r="F122" s="1"/>
      <c r="G122" s="1"/>
      <c r="H122" s="1"/>
      <c r="I122" s="1"/>
      <c r="J122" s="1"/>
      <c r="K122" s="1"/>
      <c r="L122" s="1"/>
    </row>
    <row r="123" ht="14.25" customHeight="1">
      <c r="A123" s="52"/>
      <c r="B123" s="52"/>
      <c r="C123" s="53"/>
      <c r="D123" s="1"/>
      <c r="E123" s="1"/>
      <c r="F123" s="1"/>
      <c r="G123" s="1"/>
      <c r="H123" s="1"/>
      <c r="I123" s="1"/>
      <c r="J123" s="1"/>
      <c r="K123" s="1"/>
      <c r="L123" s="1"/>
    </row>
    <row r="124" ht="14.25" customHeight="1">
      <c r="A124" s="52"/>
      <c r="B124" s="52"/>
      <c r="C124" s="53"/>
      <c r="D124" s="1"/>
      <c r="E124" s="1"/>
      <c r="F124" s="1"/>
      <c r="G124" s="1"/>
      <c r="H124" s="1"/>
      <c r="I124" s="1"/>
      <c r="J124" s="1"/>
      <c r="K124" s="1"/>
      <c r="L124" s="1"/>
    </row>
    <row r="125" ht="14.25" customHeight="1">
      <c r="A125" s="52"/>
      <c r="B125" s="52"/>
      <c r="C125" s="53"/>
      <c r="D125" s="1"/>
      <c r="E125" s="1"/>
      <c r="F125" s="1"/>
      <c r="G125" s="1"/>
      <c r="H125" s="1"/>
      <c r="I125" s="1"/>
      <c r="J125" s="1"/>
      <c r="K125" s="1"/>
      <c r="L125" s="1"/>
    </row>
    <row r="126" ht="14.25" customHeight="1">
      <c r="A126" s="52"/>
      <c r="B126" s="52"/>
      <c r="C126" s="53"/>
      <c r="D126" s="1"/>
      <c r="E126" s="1"/>
      <c r="F126" s="1"/>
      <c r="G126" s="1"/>
      <c r="H126" s="1"/>
      <c r="I126" s="1"/>
      <c r="J126" s="1"/>
      <c r="K126" s="1"/>
      <c r="L126" s="1"/>
    </row>
    <row r="127" ht="14.25" customHeight="1">
      <c r="A127" s="52"/>
      <c r="B127" s="52"/>
      <c r="C127" s="53"/>
      <c r="D127" s="1"/>
      <c r="E127" s="1"/>
      <c r="F127" s="1"/>
      <c r="G127" s="1"/>
      <c r="H127" s="1"/>
      <c r="I127" s="1"/>
      <c r="J127" s="1"/>
      <c r="K127" s="1"/>
      <c r="L127" s="1"/>
    </row>
    <row r="128" ht="14.25" customHeight="1">
      <c r="A128" s="52"/>
      <c r="B128" s="52"/>
      <c r="C128" s="53"/>
      <c r="D128" s="1"/>
      <c r="E128" s="1"/>
      <c r="F128" s="1"/>
      <c r="G128" s="1"/>
      <c r="H128" s="1"/>
      <c r="I128" s="1"/>
      <c r="J128" s="1"/>
      <c r="K128" s="1"/>
      <c r="L128" s="1"/>
    </row>
    <row r="129" ht="14.25" customHeight="1">
      <c r="A129" s="52"/>
      <c r="B129" s="52"/>
      <c r="C129" s="53"/>
      <c r="D129" s="1"/>
      <c r="E129" s="1"/>
      <c r="F129" s="1"/>
      <c r="G129" s="1"/>
      <c r="H129" s="1"/>
      <c r="I129" s="1"/>
      <c r="J129" s="1"/>
      <c r="K129" s="1"/>
      <c r="L129" s="1"/>
    </row>
    <row r="130" ht="14.25" customHeight="1">
      <c r="A130" s="52"/>
      <c r="B130" s="52"/>
      <c r="C130" s="53"/>
      <c r="D130" s="1"/>
      <c r="E130" s="1"/>
      <c r="F130" s="1"/>
      <c r="G130" s="1"/>
      <c r="H130" s="1"/>
      <c r="I130" s="1"/>
      <c r="J130" s="1"/>
      <c r="K130" s="1"/>
      <c r="L130" s="1"/>
    </row>
    <row r="131" ht="14.25" customHeight="1">
      <c r="A131" s="52"/>
      <c r="B131" s="52"/>
      <c r="C131" s="53"/>
      <c r="D131" s="1"/>
      <c r="E131" s="1"/>
      <c r="F131" s="1"/>
      <c r="G131" s="1"/>
      <c r="H131" s="1"/>
      <c r="I131" s="1"/>
      <c r="J131" s="1"/>
      <c r="K131" s="1"/>
      <c r="L131" s="1"/>
    </row>
    <row r="132" ht="14.25" customHeight="1">
      <c r="A132" s="52"/>
      <c r="B132" s="52"/>
      <c r="C132" s="53"/>
      <c r="D132" s="1"/>
      <c r="E132" s="1"/>
      <c r="F132" s="1"/>
      <c r="G132" s="1"/>
      <c r="H132" s="1"/>
      <c r="I132" s="1"/>
      <c r="J132" s="1"/>
      <c r="K132" s="1"/>
      <c r="L132" s="1"/>
    </row>
    <row r="133" ht="14.25" customHeight="1">
      <c r="A133" s="52"/>
      <c r="B133" s="52"/>
      <c r="C133" s="53"/>
      <c r="D133" s="1"/>
      <c r="E133" s="1"/>
      <c r="F133" s="1"/>
      <c r="G133" s="1"/>
      <c r="H133" s="1"/>
      <c r="I133" s="1"/>
      <c r="J133" s="1"/>
      <c r="K133" s="1"/>
      <c r="L133" s="1"/>
    </row>
    <row r="134" ht="14.25" customHeight="1">
      <c r="A134" s="52"/>
      <c r="B134" s="52"/>
      <c r="C134" s="53"/>
      <c r="D134" s="1"/>
      <c r="E134" s="1"/>
      <c r="F134" s="1"/>
      <c r="G134" s="1"/>
      <c r="H134" s="1"/>
      <c r="I134" s="1"/>
      <c r="J134" s="1"/>
      <c r="K134" s="1"/>
      <c r="L134" s="1"/>
    </row>
    <row r="135" ht="14.25" customHeight="1">
      <c r="A135" s="52"/>
      <c r="B135" s="52"/>
      <c r="C135" s="53"/>
      <c r="D135" s="1"/>
      <c r="E135" s="1"/>
      <c r="F135" s="1"/>
      <c r="G135" s="1"/>
      <c r="H135" s="1"/>
      <c r="I135" s="1"/>
      <c r="J135" s="1"/>
      <c r="K135" s="1"/>
      <c r="L135" s="1"/>
    </row>
    <row r="136" ht="14.25" customHeight="1">
      <c r="A136" s="52"/>
      <c r="B136" s="52"/>
      <c r="C136" s="53"/>
      <c r="D136" s="1"/>
      <c r="E136" s="1"/>
      <c r="F136" s="1"/>
      <c r="G136" s="1"/>
      <c r="H136" s="1"/>
      <c r="I136" s="1"/>
      <c r="J136" s="1"/>
      <c r="K136" s="1"/>
      <c r="L136" s="1"/>
    </row>
    <row r="137" ht="14.25" customHeight="1">
      <c r="A137" s="52"/>
      <c r="B137" s="52"/>
      <c r="C137" s="53"/>
      <c r="D137" s="1"/>
      <c r="E137" s="1"/>
      <c r="F137" s="1"/>
      <c r="G137" s="1"/>
      <c r="H137" s="1"/>
      <c r="I137" s="1"/>
      <c r="J137" s="1"/>
      <c r="K137" s="1"/>
      <c r="L137" s="1"/>
    </row>
    <row r="138" ht="14.25" customHeight="1">
      <c r="A138" s="52"/>
      <c r="B138" s="52"/>
      <c r="C138" s="53"/>
      <c r="D138" s="1"/>
      <c r="E138" s="1"/>
      <c r="F138" s="1"/>
      <c r="G138" s="1"/>
      <c r="H138" s="1"/>
      <c r="I138" s="1"/>
      <c r="J138" s="1"/>
      <c r="K138" s="1"/>
      <c r="L138" s="1"/>
    </row>
    <row r="139" ht="14.25" customHeight="1">
      <c r="A139" s="52"/>
      <c r="B139" s="52"/>
      <c r="C139" s="53"/>
      <c r="D139" s="1"/>
      <c r="E139" s="1"/>
      <c r="F139" s="1"/>
      <c r="G139" s="1"/>
      <c r="H139" s="1"/>
      <c r="I139" s="1"/>
      <c r="J139" s="1"/>
      <c r="K139" s="1"/>
      <c r="L139" s="1"/>
    </row>
    <row r="140" ht="14.25" customHeight="1">
      <c r="A140" s="52"/>
      <c r="B140" s="52"/>
      <c r="C140" s="53"/>
      <c r="D140" s="1"/>
      <c r="E140" s="1"/>
      <c r="F140" s="1"/>
      <c r="G140" s="1"/>
      <c r="H140" s="1"/>
      <c r="I140" s="1"/>
      <c r="J140" s="1"/>
      <c r="K140" s="1"/>
      <c r="L140" s="1"/>
    </row>
    <row r="141" ht="14.25" customHeight="1">
      <c r="A141" s="52"/>
      <c r="B141" s="52"/>
      <c r="C141" s="53"/>
      <c r="D141" s="1"/>
      <c r="E141" s="1"/>
      <c r="F141" s="1"/>
      <c r="G141" s="1"/>
      <c r="H141" s="1"/>
      <c r="I141" s="1"/>
      <c r="J141" s="1"/>
      <c r="K141" s="1"/>
      <c r="L141" s="1"/>
    </row>
    <row r="142" ht="14.25" customHeight="1">
      <c r="A142" s="52"/>
      <c r="B142" s="52"/>
      <c r="C142" s="53"/>
      <c r="D142" s="1"/>
      <c r="E142" s="1"/>
      <c r="F142" s="1"/>
      <c r="G142" s="1"/>
      <c r="H142" s="1"/>
      <c r="I142" s="1"/>
      <c r="J142" s="1"/>
      <c r="K142" s="1"/>
      <c r="L142" s="1"/>
    </row>
    <row r="143" ht="14.25" customHeight="1">
      <c r="A143" s="52"/>
      <c r="B143" s="52"/>
      <c r="C143" s="53"/>
      <c r="D143" s="1"/>
      <c r="E143" s="1"/>
      <c r="F143" s="1"/>
      <c r="G143" s="1"/>
      <c r="H143" s="1"/>
      <c r="I143" s="1"/>
      <c r="J143" s="1"/>
      <c r="K143" s="1"/>
      <c r="L143" s="1"/>
    </row>
    <row r="144" ht="14.25" customHeight="1">
      <c r="A144" s="52"/>
      <c r="B144" s="52"/>
      <c r="C144" s="53"/>
      <c r="D144" s="1"/>
      <c r="E144" s="1"/>
      <c r="F144" s="1"/>
      <c r="G144" s="1"/>
      <c r="H144" s="1"/>
      <c r="I144" s="1"/>
      <c r="J144" s="1"/>
      <c r="K144" s="1"/>
      <c r="L144" s="1"/>
    </row>
    <row r="145" ht="14.25" customHeight="1">
      <c r="A145" s="52"/>
      <c r="B145" s="52"/>
      <c r="C145" s="53"/>
      <c r="D145" s="1"/>
      <c r="E145" s="1"/>
      <c r="F145" s="1"/>
      <c r="G145" s="1"/>
      <c r="H145" s="1"/>
      <c r="I145" s="1"/>
      <c r="J145" s="1"/>
      <c r="K145" s="1"/>
      <c r="L145" s="1"/>
    </row>
    <row r="146" ht="14.25" customHeight="1">
      <c r="A146" s="52"/>
      <c r="B146" s="52"/>
      <c r="C146" s="53"/>
      <c r="D146" s="1"/>
      <c r="E146" s="1"/>
      <c r="F146" s="1"/>
      <c r="G146" s="1"/>
      <c r="H146" s="1"/>
      <c r="I146" s="1"/>
      <c r="J146" s="1"/>
      <c r="K146" s="1"/>
      <c r="L146" s="1"/>
    </row>
    <row r="147" ht="14.25" customHeight="1">
      <c r="A147" s="52"/>
      <c r="B147" s="52"/>
      <c r="C147" s="53"/>
      <c r="D147" s="1"/>
      <c r="E147" s="1"/>
      <c r="F147" s="1"/>
      <c r="G147" s="1"/>
      <c r="H147" s="1"/>
      <c r="I147" s="1"/>
      <c r="J147" s="1"/>
      <c r="K147" s="1"/>
      <c r="L147" s="1"/>
    </row>
    <row r="148" ht="14.25" customHeight="1">
      <c r="A148" s="52"/>
      <c r="B148" s="52"/>
      <c r="C148" s="53"/>
      <c r="D148" s="1"/>
      <c r="E148" s="1"/>
      <c r="F148" s="1"/>
      <c r="G148" s="1"/>
      <c r="H148" s="1"/>
      <c r="I148" s="1"/>
      <c r="J148" s="1"/>
      <c r="K148" s="1"/>
      <c r="L148" s="1"/>
    </row>
    <row r="149" ht="14.25" customHeight="1">
      <c r="A149" s="52"/>
      <c r="B149" s="52"/>
      <c r="C149" s="53"/>
      <c r="D149" s="1"/>
      <c r="E149" s="1"/>
      <c r="F149" s="1"/>
      <c r="G149" s="1"/>
      <c r="H149" s="1"/>
      <c r="I149" s="1"/>
      <c r="J149" s="1"/>
      <c r="K149" s="1"/>
      <c r="L149" s="1"/>
    </row>
    <row r="150" ht="14.25" customHeight="1">
      <c r="A150" s="52"/>
      <c r="B150" s="52"/>
      <c r="C150" s="53"/>
      <c r="D150" s="1"/>
      <c r="E150" s="1"/>
      <c r="F150" s="1"/>
      <c r="G150" s="1"/>
      <c r="H150" s="1"/>
      <c r="I150" s="1"/>
      <c r="J150" s="1"/>
      <c r="K150" s="1"/>
      <c r="L150" s="1"/>
    </row>
    <row r="151" ht="14.25" customHeight="1">
      <c r="A151" s="52"/>
      <c r="B151" s="52"/>
      <c r="C151" s="53"/>
      <c r="D151" s="1"/>
      <c r="E151" s="1"/>
      <c r="F151" s="1"/>
      <c r="G151" s="1"/>
      <c r="H151" s="1"/>
      <c r="I151" s="1"/>
      <c r="J151" s="1"/>
      <c r="K151" s="1"/>
      <c r="L151" s="1"/>
    </row>
    <row r="152" ht="14.25" customHeight="1">
      <c r="A152" s="52"/>
      <c r="B152" s="52"/>
      <c r="C152" s="53"/>
      <c r="D152" s="1"/>
      <c r="E152" s="1"/>
      <c r="F152" s="1"/>
      <c r="G152" s="1"/>
      <c r="H152" s="1"/>
      <c r="I152" s="1"/>
      <c r="J152" s="1"/>
      <c r="K152" s="1"/>
      <c r="L152" s="1"/>
    </row>
    <row r="153" ht="14.25" customHeight="1">
      <c r="A153" s="52"/>
      <c r="B153" s="52"/>
      <c r="C153" s="53"/>
      <c r="D153" s="1"/>
      <c r="E153" s="1"/>
      <c r="F153" s="1"/>
      <c r="G153" s="1"/>
      <c r="H153" s="1"/>
      <c r="I153" s="1"/>
      <c r="J153" s="1"/>
      <c r="K153" s="1"/>
      <c r="L153" s="1"/>
    </row>
    <row r="154" ht="14.25" customHeight="1">
      <c r="A154" s="52"/>
      <c r="B154" s="52"/>
      <c r="C154" s="53"/>
      <c r="D154" s="1"/>
      <c r="E154" s="1"/>
      <c r="F154" s="1"/>
      <c r="G154" s="1"/>
      <c r="H154" s="1"/>
      <c r="I154" s="1"/>
      <c r="J154" s="1"/>
      <c r="K154" s="1"/>
      <c r="L154" s="1"/>
    </row>
    <row r="155" ht="14.25" customHeight="1">
      <c r="A155" s="52"/>
      <c r="B155" s="52"/>
      <c r="C155" s="53"/>
      <c r="D155" s="1"/>
      <c r="E155" s="1"/>
      <c r="F155" s="1"/>
      <c r="G155" s="1"/>
      <c r="H155" s="1"/>
      <c r="I155" s="1"/>
      <c r="J155" s="1"/>
      <c r="K155" s="1"/>
      <c r="L155" s="1"/>
    </row>
    <row r="156" ht="14.25" customHeight="1">
      <c r="A156" s="52"/>
      <c r="B156" s="52"/>
      <c r="C156" s="53"/>
      <c r="D156" s="1"/>
      <c r="E156" s="1"/>
      <c r="F156" s="1"/>
      <c r="G156" s="1"/>
      <c r="H156" s="1"/>
      <c r="I156" s="1"/>
      <c r="J156" s="1"/>
      <c r="K156" s="1"/>
      <c r="L156" s="1"/>
    </row>
    <row r="157" ht="14.25" customHeight="1">
      <c r="A157" s="52"/>
      <c r="B157" s="52"/>
      <c r="C157" s="53"/>
      <c r="D157" s="1"/>
      <c r="E157" s="1"/>
      <c r="F157" s="1"/>
      <c r="G157" s="1"/>
      <c r="H157" s="1"/>
      <c r="I157" s="1"/>
      <c r="J157" s="1"/>
      <c r="K157" s="1"/>
      <c r="L157" s="1"/>
    </row>
    <row r="158" ht="14.25" customHeight="1">
      <c r="A158" s="52"/>
      <c r="B158" s="52"/>
      <c r="C158" s="53"/>
      <c r="D158" s="1"/>
      <c r="E158" s="1"/>
      <c r="F158" s="1"/>
      <c r="G158" s="1"/>
      <c r="H158" s="1"/>
      <c r="I158" s="1"/>
      <c r="J158" s="1"/>
      <c r="K158" s="1"/>
      <c r="L158" s="1"/>
    </row>
    <row r="159" ht="14.25" customHeight="1">
      <c r="A159" s="52"/>
      <c r="B159" s="52"/>
      <c r="C159" s="53"/>
      <c r="D159" s="1"/>
      <c r="E159" s="1"/>
      <c r="F159" s="1"/>
      <c r="G159" s="1"/>
      <c r="H159" s="1"/>
      <c r="I159" s="1"/>
      <c r="J159" s="1"/>
      <c r="K159" s="1"/>
      <c r="L159" s="1"/>
    </row>
    <row r="160" ht="14.25" customHeight="1">
      <c r="A160" s="52"/>
      <c r="B160" s="52"/>
      <c r="C160" s="53"/>
      <c r="D160" s="1"/>
      <c r="E160" s="1"/>
      <c r="F160" s="1"/>
      <c r="G160" s="1"/>
      <c r="H160" s="1"/>
      <c r="I160" s="1"/>
      <c r="J160" s="1"/>
      <c r="K160" s="1"/>
      <c r="L160" s="1"/>
    </row>
    <row r="161" ht="14.25" customHeight="1">
      <c r="A161" s="52"/>
      <c r="B161" s="52"/>
      <c r="C161" s="53"/>
      <c r="D161" s="1"/>
      <c r="E161" s="1"/>
      <c r="F161" s="1"/>
      <c r="G161" s="1"/>
      <c r="H161" s="1"/>
      <c r="I161" s="1"/>
      <c r="J161" s="1"/>
      <c r="K161" s="1"/>
      <c r="L161" s="1"/>
    </row>
    <row r="162" ht="14.25" customHeight="1">
      <c r="A162" s="52"/>
      <c r="B162" s="52"/>
      <c r="C162" s="53"/>
      <c r="D162" s="1"/>
      <c r="E162" s="1"/>
      <c r="F162" s="1"/>
      <c r="G162" s="1"/>
      <c r="H162" s="1"/>
      <c r="I162" s="1"/>
      <c r="J162" s="1"/>
      <c r="K162" s="1"/>
      <c r="L162" s="1"/>
    </row>
    <row r="163" ht="14.25" customHeight="1">
      <c r="A163" s="52"/>
      <c r="B163" s="52"/>
      <c r="C163" s="53"/>
      <c r="D163" s="1"/>
      <c r="E163" s="1"/>
      <c r="F163" s="1"/>
      <c r="G163" s="1"/>
      <c r="H163" s="1"/>
      <c r="I163" s="1"/>
      <c r="J163" s="1"/>
      <c r="K163" s="1"/>
      <c r="L163" s="1"/>
    </row>
    <row r="164" ht="14.25" customHeight="1">
      <c r="A164" s="52"/>
      <c r="B164" s="52"/>
      <c r="C164" s="53"/>
      <c r="D164" s="1"/>
      <c r="E164" s="1"/>
      <c r="F164" s="1"/>
      <c r="G164" s="1"/>
      <c r="H164" s="1"/>
      <c r="I164" s="1"/>
      <c r="J164" s="1"/>
      <c r="K164" s="1"/>
      <c r="L164" s="1"/>
    </row>
    <row r="165" ht="14.25" customHeight="1">
      <c r="A165" s="52"/>
      <c r="B165" s="52"/>
      <c r="C165" s="53"/>
      <c r="D165" s="1"/>
      <c r="E165" s="1"/>
      <c r="F165" s="1"/>
      <c r="G165" s="1"/>
      <c r="H165" s="1"/>
      <c r="I165" s="1"/>
      <c r="J165" s="1"/>
      <c r="K165" s="1"/>
      <c r="L165" s="1"/>
    </row>
    <row r="166" ht="14.25" customHeight="1">
      <c r="A166" s="52"/>
      <c r="B166" s="52"/>
      <c r="C166" s="53"/>
      <c r="D166" s="1"/>
      <c r="E166" s="1"/>
      <c r="F166" s="1"/>
      <c r="G166" s="1"/>
      <c r="H166" s="1"/>
      <c r="I166" s="1"/>
      <c r="J166" s="1"/>
      <c r="K166" s="1"/>
      <c r="L166" s="1"/>
    </row>
    <row r="167" ht="14.25" customHeight="1">
      <c r="A167" s="52"/>
      <c r="B167" s="52"/>
      <c r="C167" s="53"/>
      <c r="D167" s="1"/>
      <c r="E167" s="1"/>
      <c r="F167" s="1"/>
      <c r="G167" s="1"/>
      <c r="H167" s="1"/>
      <c r="I167" s="1"/>
      <c r="J167" s="1"/>
      <c r="K167" s="1"/>
      <c r="L167" s="1"/>
    </row>
    <row r="168" ht="14.25" customHeight="1">
      <c r="A168" s="52"/>
      <c r="B168" s="52"/>
      <c r="C168" s="53"/>
      <c r="D168" s="1"/>
      <c r="E168" s="1"/>
      <c r="F168" s="1"/>
      <c r="G168" s="1"/>
      <c r="H168" s="1"/>
      <c r="I168" s="1"/>
      <c r="J168" s="1"/>
      <c r="K168" s="1"/>
      <c r="L168" s="1"/>
    </row>
    <row r="169" ht="14.25" customHeight="1">
      <c r="A169" s="52"/>
      <c r="B169" s="52"/>
      <c r="C169" s="53"/>
      <c r="D169" s="1"/>
      <c r="E169" s="1"/>
      <c r="F169" s="1"/>
      <c r="G169" s="1"/>
      <c r="H169" s="1"/>
      <c r="I169" s="1"/>
      <c r="J169" s="1"/>
      <c r="K169" s="1"/>
      <c r="L169" s="1"/>
    </row>
    <row r="170" ht="14.25" customHeight="1">
      <c r="A170" s="52"/>
      <c r="B170" s="52"/>
      <c r="C170" s="53"/>
      <c r="D170" s="1"/>
      <c r="E170" s="1"/>
      <c r="F170" s="1"/>
      <c r="G170" s="1"/>
      <c r="H170" s="1"/>
      <c r="I170" s="1"/>
      <c r="J170" s="1"/>
      <c r="K170" s="1"/>
      <c r="L170" s="1"/>
    </row>
    <row r="171" ht="14.25" customHeight="1">
      <c r="A171" s="52"/>
      <c r="B171" s="52"/>
      <c r="C171" s="53"/>
      <c r="D171" s="1"/>
      <c r="E171" s="1"/>
      <c r="F171" s="1"/>
      <c r="G171" s="1"/>
      <c r="H171" s="1"/>
      <c r="I171" s="1"/>
      <c r="J171" s="1"/>
      <c r="K171" s="1"/>
      <c r="L171" s="1"/>
    </row>
    <row r="172" ht="14.25" customHeight="1">
      <c r="A172" s="52"/>
      <c r="B172" s="52"/>
      <c r="C172" s="53"/>
      <c r="D172" s="1"/>
      <c r="E172" s="1"/>
      <c r="F172" s="1"/>
      <c r="G172" s="1"/>
      <c r="H172" s="1"/>
      <c r="I172" s="1"/>
      <c r="J172" s="1"/>
      <c r="K172" s="1"/>
      <c r="L172" s="1"/>
    </row>
    <row r="173" ht="14.25" customHeight="1">
      <c r="A173" s="52"/>
      <c r="B173" s="52"/>
      <c r="C173" s="53"/>
      <c r="D173" s="1"/>
      <c r="E173" s="1"/>
      <c r="F173" s="1"/>
      <c r="G173" s="1"/>
      <c r="H173" s="1"/>
      <c r="I173" s="1"/>
      <c r="J173" s="1"/>
      <c r="K173" s="1"/>
      <c r="L173" s="1"/>
    </row>
    <row r="174" ht="14.25" customHeight="1">
      <c r="A174" s="52"/>
      <c r="B174" s="52"/>
      <c r="C174" s="53"/>
      <c r="D174" s="1"/>
      <c r="E174" s="1"/>
      <c r="F174" s="1"/>
      <c r="G174" s="1"/>
      <c r="H174" s="1"/>
      <c r="I174" s="1"/>
      <c r="J174" s="1"/>
      <c r="K174" s="1"/>
      <c r="L174" s="1"/>
    </row>
    <row r="175" ht="14.25" customHeight="1">
      <c r="A175" s="52"/>
      <c r="B175" s="52"/>
      <c r="C175" s="53"/>
      <c r="D175" s="1"/>
      <c r="E175" s="1"/>
      <c r="F175" s="1"/>
      <c r="G175" s="1"/>
      <c r="H175" s="1"/>
      <c r="I175" s="1"/>
      <c r="J175" s="1"/>
      <c r="K175" s="1"/>
      <c r="L175" s="1"/>
    </row>
    <row r="176" ht="14.25" customHeight="1">
      <c r="A176" s="52"/>
      <c r="B176" s="52"/>
      <c r="C176" s="53"/>
      <c r="D176" s="1"/>
      <c r="E176" s="1"/>
      <c r="F176" s="1"/>
      <c r="G176" s="1"/>
      <c r="H176" s="1"/>
      <c r="I176" s="1"/>
      <c r="J176" s="1"/>
      <c r="K176" s="1"/>
      <c r="L176" s="1"/>
    </row>
    <row r="177" ht="14.25" customHeight="1">
      <c r="A177" s="52"/>
      <c r="B177" s="52"/>
      <c r="C177" s="53"/>
      <c r="D177" s="1"/>
      <c r="E177" s="1"/>
      <c r="F177" s="1"/>
      <c r="G177" s="1"/>
      <c r="H177" s="1"/>
      <c r="I177" s="1"/>
      <c r="J177" s="1"/>
      <c r="K177" s="1"/>
      <c r="L177" s="1"/>
    </row>
    <row r="178" ht="14.25" customHeight="1">
      <c r="A178" s="52"/>
      <c r="B178" s="52"/>
      <c r="C178" s="53"/>
      <c r="D178" s="1"/>
      <c r="E178" s="1"/>
      <c r="F178" s="1"/>
      <c r="G178" s="1"/>
      <c r="H178" s="1"/>
      <c r="I178" s="1"/>
      <c r="J178" s="1"/>
      <c r="K178" s="1"/>
      <c r="L178" s="1"/>
    </row>
    <row r="179" ht="14.25" customHeight="1">
      <c r="A179" s="52"/>
      <c r="B179" s="52"/>
      <c r="C179" s="53"/>
      <c r="D179" s="1"/>
      <c r="E179" s="1"/>
      <c r="F179" s="1"/>
      <c r="G179" s="1"/>
      <c r="H179" s="1"/>
      <c r="I179" s="1"/>
      <c r="J179" s="1"/>
      <c r="K179" s="1"/>
      <c r="L179" s="1"/>
    </row>
    <row r="180" ht="14.25" customHeight="1">
      <c r="A180" s="52"/>
      <c r="B180" s="52"/>
      <c r="C180" s="53"/>
      <c r="D180" s="1"/>
      <c r="E180" s="1"/>
      <c r="F180" s="1"/>
      <c r="G180" s="1"/>
      <c r="H180" s="1"/>
      <c r="I180" s="1"/>
      <c r="J180" s="1"/>
      <c r="K180" s="1"/>
      <c r="L180" s="1"/>
    </row>
    <row r="181" ht="14.25" customHeight="1">
      <c r="A181" s="52"/>
      <c r="B181" s="52"/>
      <c r="C181" s="53"/>
      <c r="D181" s="1"/>
      <c r="E181" s="1"/>
      <c r="F181" s="1"/>
      <c r="G181" s="1"/>
      <c r="H181" s="1"/>
      <c r="I181" s="1"/>
      <c r="J181" s="1"/>
      <c r="K181" s="1"/>
      <c r="L181" s="1"/>
    </row>
    <row r="182" ht="14.25" customHeight="1">
      <c r="A182" s="52"/>
      <c r="B182" s="52"/>
      <c r="C182" s="53"/>
      <c r="D182" s="1"/>
      <c r="E182" s="1"/>
      <c r="F182" s="1"/>
      <c r="G182" s="1"/>
      <c r="H182" s="1"/>
      <c r="I182" s="1"/>
      <c r="J182" s="1"/>
      <c r="K182" s="1"/>
      <c r="L182" s="1"/>
    </row>
    <row r="183" ht="14.25" customHeight="1">
      <c r="A183" s="52"/>
      <c r="B183" s="52"/>
      <c r="C183" s="53"/>
      <c r="D183" s="1"/>
      <c r="E183" s="1"/>
      <c r="F183" s="1"/>
      <c r="G183" s="1"/>
      <c r="H183" s="1"/>
      <c r="I183" s="1"/>
      <c r="J183" s="1"/>
      <c r="K183" s="1"/>
      <c r="L183" s="1"/>
    </row>
    <row r="184" ht="14.25" customHeight="1">
      <c r="A184" s="52"/>
      <c r="B184" s="52"/>
      <c r="C184" s="53"/>
      <c r="D184" s="1"/>
      <c r="E184" s="1"/>
      <c r="F184" s="1"/>
      <c r="G184" s="1"/>
      <c r="H184" s="1"/>
      <c r="I184" s="1"/>
      <c r="J184" s="1"/>
      <c r="K184" s="1"/>
      <c r="L184" s="1"/>
    </row>
    <row r="185" ht="14.25" customHeight="1">
      <c r="A185" s="52"/>
      <c r="B185" s="52"/>
      <c r="C185" s="53"/>
      <c r="D185" s="1"/>
      <c r="E185" s="1"/>
      <c r="F185" s="1"/>
      <c r="G185" s="1"/>
      <c r="H185" s="1"/>
      <c r="I185" s="1"/>
      <c r="J185" s="1"/>
      <c r="K185" s="1"/>
      <c r="L185" s="1"/>
    </row>
    <row r="186" ht="14.25" customHeight="1">
      <c r="A186" s="52"/>
      <c r="B186" s="52"/>
      <c r="C186" s="53"/>
      <c r="D186" s="1"/>
      <c r="E186" s="1"/>
      <c r="F186" s="1"/>
      <c r="G186" s="1"/>
      <c r="H186" s="1"/>
      <c r="I186" s="1"/>
      <c r="J186" s="1"/>
      <c r="K186" s="1"/>
      <c r="L186" s="1"/>
    </row>
    <row r="187" ht="14.25" customHeight="1">
      <c r="A187" s="52"/>
      <c r="B187" s="52"/>
      <c r="C187" s="53"/>
      <c r="D187" s="1"/>
      <c r="E187" s="1"/>
      <c r="F187" s="1"/>
      <c r="G187" s="1"/>
      <c r="H187" s="1"/>
      <c r="I187" s="1"/>
      <c r="J187" s="1"/>
      <c r="K187" s="1"/>
      <c r="L187" s="1"/>
    </row>
    <row r="188" ht="14.25" customHeight="1">
      <c r="A188" s="52"/>
      <c r="B188" s="52"/>
      <c r="C188" s="53"/>
      <c r="D188" s="1"/>
      <c r="E188" s="1"/>
      <c r="F188" s="1"/>
      <c r="G188" s="1"/>
      <c r="H188" s="1"/>
      <c r="I188" s="1"/>
      <c r="J188" s="1"/>
      <c r="K188" s="1"/>
      <c r="L188" s="1"/>
    </row>
    <row r="189" ht="14.25" customHeight="1">
      <c r="A189" s="52"/>
      <c r="B189" s="52"/>
      <c r="C189" s="53"/>
      <c r="D189" s="1"/>
      <c r="E189" s="1"/>
      <c r="F189" s="1"/>
      <c r="G189" s="1"/>
      <c r="H189" s="1"/>
      <c r="I189" s="1"/>
      <c r="J189" s="1"/>
      <c r="K189" s="1"/>
      <c r="L189" s="1"/>
    </row>
    <row r="190" ht="14.25" customHeight="1">
      <c r="A190" s="52"/>
      <c r="B190" s="52"/>
      <c r="C190" s="53"/>
      <c r="D190" s="1"/>
      <c r="E190" s="1"/>
      <c r="F190" s="1"/>
      <c r="G190" s="1"/>
      <c r="H190" s="1"/>
      <c r="I190" s="1"/>
      <c r="J190" s="1"/>
      <c r="K190" s="1"/>
      <c r="L190" s="1"/>
    </row>
    <row r="191" ht="14.25" customHeight="1">
      <c r="A191" s="52"/>
      <c r="B191" s="52"/>
      <c r="C191" s="53"/>
      <c r="D191" s="1"/>
      <c r="E191" s="1"/>
      <c r="F191" s="1"/>
      <c r="G191" s="1"/>
      <c r="H191" s="1"/>
      <c r="I191" s="1"/>
      <c r="J191" s="1"/>
      <c r="K191" s="1"/>
      <c r="L191" s="1"/>
    </row>
    <row r="192" ht="14.25" customHeight="1">
      <c r="A192" s="52"/>
      <c r="B192" s="52"/>
      <c r="C192" s="53"/>
      <c r="D192" s="1"/>
      <c r="E192" s="1"/>
      <c r="F192" s="1"/>
      <c r="G192" s="1"/>
      <c r="H192" s="1"/>
      <c r="I192" s="1"/>
      <c r="J192" s="1"/>
      <c r="K192" s="1"/>
      <c r="L192" s="1"/>
    </row>
    <row r="193" ht="14.25" customHeight="1">
      <c r="A193" s="52"/>
      <c r="B193" s="52"/>
      <c r="C193" s="53"/>
      <c r="D193" s="1"/>
      <c r="E193" s="1"/>
      <c r="F193" s="1"/>
      <c r="G193" s="1"/>
      <c r="H193" s="1"/>
      <c r="I193" s="1"/>
      <c r="J193" s="1"/>
      <c r="K193" s="1"/>
      <c r="L193" s="1"/>
    </row>
    <row r="194" ht="14.25" customHeight="1">
      <c r="A194" s="52"/>
      <c r="B194" s="52"/>
      <c r="C194" s="53"/>
      <c r="D194" s="1"/>
      <c r="E194" s="1"/>
      <c r="F194" s="1"/>
      <c r="G194" s="1"/>
      <c r="H194" s="1"/>
      <c r="I194" s="1"/>
      <c r="J194" s="1"/>
      <c r="K194" s="1"/>
      <c r="L194" s="1"/>
    </row>
    <row r="195" ht="14.25" customHeight="1">
      <c r="A195" s="52"/>
      <c r="B195" s="52"/>
      <c r="C195" s="53"/>
      <c r="D195" s="1"/>
      <c r="E195" s="1"/>
      <c r="F195" s="1"/>
      <c r="G195" s="1"/>
      <c r="H195" s="1"/>
      <c r="I195" s="1"/>
      <c r="J195" s="1"/>
      <c r="K195" s="1"/>
      <c r="L195" s="1"/>
    </row>
    <row r="196" ht="14.25" customHeight="1">
      <c r="A196" s="52"/>
      <c r="B196" s="52"/>
      <c r="C196" s="53"/>
      <c r="D196" s="1"/>
      <c r="E196" s="1"/>
      <c r="F196" s="1"/>
      <c r="G196" s="1"/>
      <c r="H196" s="1"/>
      <c r="I196" s="1"/>
      <c r="J196" s="1"/>
      <c r="K196" s="1"/>
      <c r="L196" s="1"/>
    </row>
    <row r="197" ht="14.25" customHeight="1">
      <c r="A197" s="52"/>
      <c r="B197" s="52"/>
      <c r="C197" s="53"/>
      <c r="D197" s="1"/>
      <c r="E197" s="1"/>
      <c r="F197" s="1"/>
      <c r="G197" s="1"/>
      <c r="H197" s="1"/>
      <c r="I197" s="1"/>
      <c r="J197" s="1"/>
      <c r="K197" s="1"/>
      <c r="L197" s="1"/>
    </row>
    <row r="198" ht="14.25" customHeight="1">
      <c r="A198" s="52"/>
      <c r="B198" s="52"/>
      <c r="C198" s="53"/>
      <c r="D198" s="1"/>
      <c r="E198" s="1"/>
      <c r="F198" s="1"/>
      <c r="G198" s="1"/>
      <c r="H198" s="1"/>
      <c r="I198" s="1"/>
      <c r="J198" s="1"/>
      <c r="K198" s="1"/>
      <c r="L198" s="1"/>
    </row>
    <row r="199" ht="14.25" customHeight="1">
      <c r="A199" s="52"/>
      <c r="B199" s="52"/>
      <c r="C199" s="53"/>
      <c r="D199" s="1"/>
      <c r="E199" s="1"/>
      <c r="F199" s="1"/>
      <c r="G199" s="1"/>
      <c r="H199" s="1"/>
      <c r="I199" s="1"/>
      <c r="J199" s="1"/>
      <c r="K199" s="1"/>
      <c r="L199" s="1"/>
    </row>
    <row r="200" ht="14.25" customHeight="1">
      <c r="A200" s="52"/>
      <c r="B200" s="52"/>
      <c r="C200" s="53"/>
      <c r="D200" s="1"/>
      <c r="E200" s="1"/>
      <c r="F200" s="1"/>
      <c r="G200" s="1"/>
      <c r="H200" s="1"/>
      <c r="I200" s="1"/>
      <c r="J200" s="1"/>
      <c r="K200" s="1"/>
      <c r="L200" s="1"/>
    </row>
    <row r="201" ht="14.25" customHeight="1">
      <c r="A201" s="52"/>
      <c r="B201" s="52"/>
      <c r="C201" s="53"/>
      <c r="D201" s="1"/>
      <c r="E201" s="1"/>
      <c r="F201" s="1"/>
      <c r="G201" s="1"/>
      <c r="H201" s="1"/>
      <c r="I201" s="1"/>
      <c r="J201" s="1"/>
      <c r="K201" s="1"/>
      <c r="L201" s="1"/>
    </row>
    <row r="202" ht="14.25" customHeight="1">
      <c r="A202" s="52"/>
      <c r="B202" s="52"/>
      <c r="C202" s="53"/>
      <c r="D202" s="1"/>
      <c r="E202" s="1"/>
      <c r="F202" s="1"/>
      <c r="G202" s="1"/>
      <c r="H202" s="1"/>
      <c r="I202" s="1"/>
      <c r="J202" s="1"/>
      <c r="K202" s="1"/>
      <c r="L202" s="1"/>
    </row>
    <row r="203" ht="14.25" customHeight="1">
      <c r="A203" s="52"/>
      <c r="B203" s="52"/>
      <c r="C203" s="53"/>
      <c r="D203" s="1"/>
      <c r="E203" s="1"/>
      <c r="F203" s="1"/>
      <c r="G203" s="1"/>
      <c r="H203" s="1"/>
      <c r="I203" s="1"/>
      <c r="J203" s="1"/>
      <c r="K203" s="1"/>
      <c r="L203" s="1"/>
    </row>
    <row r="204" ht="14.25" customHeight="1">
      <c r="A204" s="52"/>
      <c r="B204" s="52"/>
      <c r="C204" s="53"/>
      <c r="D204" s="1"/>
      <c r="E204" s="1"/>
      <c r="F204" s="1"/>
      <c r="G204" s="1"/>
      <c r="H204" s="1"/>
      <c r="I204" s="1"/>
      <c r="J204" s="1"/>
      <c r="K204" s="1"/>
      <c r="L204" s="1"/>
    </row>
    <row r="205" ht="14.25" customHeight="1">
      <c r="A205" s="52"/>
      <c r="B205" s="52"/>
      <c r="C205" s="53"/>
      <c r="D205" s="1"/>
      <c r="E205" s="1"/>
      <c r="F205" s="1"/>
      <c r="G205" s="1"/>
      <c r="H205" s="1"/>
      <c r="I205" s="1"/>
      <c r="J205" s="1"/>
      <c r="K205" s="1"/>
      <c r="L205" s="1"/>
    </row>
    <row r="206" ht="14.25" customHeight="1">
      <c r="A206" s="52"/>
      <c r="B206" s="52"/>
      <c r="C206" s="53"/>
      <c r="D206" s="1"/>
      <c r="E206" s="1"/>
      <c r="F206" s="1"/>
      <c r="G206" s="1"/>
      <c r="H206" s="1"/>
      <c r="I206" s="1"/>
      <c r="J206" s="1"/>
      <c r="K206" s="1"/>
      <c r="L206" s="1"/>
    </row>
    <row r="207" ht="14.25" customHeight="1">
      <c r="A207" s="52"/>
      <c r="B207" s="52"/>
      <c r="C207" s="53"/>
      <c r="D207" s="1"/>
      <c r="E207" s="1"/>
      <c r="F207" s="1"/>
      <c r="G207" s="1"/>
      <c r="H207" s="1"/>
      <c r="I207" s="1"/>
      <c r="J207" s="1"/>
      <c r="K207" s="1"/>
      <c r="L207" s="1"/>
    </row>
    <row r="208" ht="14.25" customHeight="1">
      <c r="A208" s="52"/>
      <c r="B208" s="52"/>
      <c r="C208" s="53"/>
      <c r="D208" s="1"/>
      <c r="E208" s="1"/>
      <c r="F208" s="1"/>
      <c r="G208" s="1"/>
      <c r="H208" s="1"/>
      <c r="I208" s="1"/>
      <c r="J208" s="1"/>
      <c r="K208" s="1"/>
      <c r="L208" s="1"/>
    </row>
    <row r="209" ht="14.25" customHeight="1">
      <c r="A209" s="52"/>
      <c r="B209" s="52"/>
      <c r="C209" s="53"/>
      <c r="D209" s="1"/>
      <c r="E209" s="1"/>
      <c r="F209" s="1"/>
      <c r="G209" s="1"/>
      <c r="H209" s="1"/>
      <c r="I209" s="1"/>
      <c r="J209" s="1"/>
      <c r="K209" s="1"/>
      <c r="L209" s="1"/>
    </row>
    <row r="210" ht="14.25" customHeight="1">
      <c r="A210" s="52"/>
      <c r="B210" s="52"/>
      <c r="C210" s="53"/>
      <c r="D210" s="1"/>
      <c r="E210" s="1"/>
      <c r="F210" s="1"/>
      <c r="G210" s="1"/>
      <c r="H210" s="1"/>
      <c r="I210" s="1"/>
      <c r="J210" s="1"/>
      <c r="K210" s="1"/>
      <c r="L210" s="1"/>
    </row>
    <row r="211" ht="14.25" customHeight="1">
      <c r="A211" s="52"/>
      <c r="B211" s="52"/>
      <c r="C211" s="53"/>
      <c r="D211" s="1"/>
      <c r="E211" s="1"/>
      <c r="F211" s="1"/>
      <c r="G211" s="1"/>
      <c r="H211" s="1"/>
      <c r="I211" s="1"/>
      <c r="J211" s="1"/>
      <c r="K211" s="1"/>
      <c r="L211" s="1"/>
    </row>
    <row r="212" ht="14.25" customHeight="1">
      <c r="A212" s="52"/>
      <c r="B212" s="52"/>
      <c r="C212" s="53"/>
      <c r="D212" s="1"/>
      <c r="E212" s="1"/>
      <c r="F212" s="1"/>
      <c r="G212" s="1"/>
      <c r="H212" s="1"/>
      <c r="I212" s="1"/>
      <c r="J212" s="1"/>
      <c r="K212" s="1"/>
      <c r="L212" s="1"/>
    </row>
    <row r="213" ht="14.25" customHeight="1">
      <c r="A213" s="52"/>
      <c r="B213" s="52"/>
      <c r="C213" s="53"/>
      <c r="D213" s="1"/>
      <c r="E213" s="1"/>
      <c r="F213" s="1"/>
      <c r="G213" s="1"/>
      <c r="H213" s="1"/>
      <c r="I213" s="1"/>
      <c r="J213" s="1"/>
      <c r="K213" s="1"/>
      <c r="L213" s="1"/>
    </row>
    <row r="214" ht="14.25" customHeight="1">
      <c r="A214" s="52"/>
      <c r="B214" s="52"/>
      <c r="C214" s="53"/>
      <c r="D214" s="1"/>
      <c r="E214" s="1"/>
      <c r="F214" s="1"/>
      <c r="G214" s="1"/>
      <c r="H214" s="1"/>
      <c r="I214" s="1"/>
      <c r="J214" s="1"/>
      <c r="K214" s="1"/>
      <c r="L214" s="1"/>
    </row>
    <row r="215" ht="14.25" customHeight="1">
      <c r="A215" s="52"/>
      <c r="B215" s="52"/>
      <c r="C215" s="53"/>
      <c r="D215" s="1"/>
      <c r="E215" s="1"/>
      <c r="F215" s="1"/>
      <c r="G215" s="1"/>
      <c r="H215" s="1"/>
      <c r="I215" s="1"/>
      <c r="J215" s="1"/>
      <c r="K215" s="1"/>
      <c r="L215" s="1"/>
    </row>
    <row r="216" ht="14.25" customHeight="1">
      <c r="A216" s="52"/>
      <c r="B216" s="52"/>
      <c r="C216" s="53"/>
      <c r="D216" s="1"/>
      <c r="E216" s="1"/>
      <c r="F216" s="1"/>
      <c r="G216" s="1"/>
      <c r="H216" s="1"/>
      <c r="I216" s="1"/>
      <c r="J216" s="1"/>
      <c r="K216" s="1"/>
      <c r="L216" s="1"/>
    </row>
    <row r="217" ht="14.25" customHeight="1">
      <c r="A217" s="52"/>
      <c r="B217" s="52"/>
      <c r="C217" s="53"/>
      <c r="D217" s="1"/>
      <c r="E217" s="1"/>
      <c r="F217" s="1"/>
      <c r="G217" s="1"/>
      <c r="H217" s="1"/>
      <c r="I217" s="1"/>
      <c r="J217" s="1"/>
      <c r="K217" s="1"/>
      <c r="L217" s="1"/>
    </row>
    <row r="218" ht="14.25" customHeight="1">
      <c r="A218" s="52"/>
      <c r="B218" s="52"/>
      <c r="C218" s="53"/>
      <c r="D218" s="1"/>
      <c r="E218" s="1"/>
      <c r="F218" s="1"/>
      <c r="G218" s="1"/>
      <c r="H218" s="1"/>
      <c r="I218" s="1"/>
      <c r="J218" s="1"/>
      <c r="K218" s="1"/>
      <c r="L218" s="1"/>
    </row>
    <row r="219" ht="14.25" customHeight="1">
      <c r="A219" s="52"/>
      <c r="B219" s="52"/>
      <c r="C219" s="53"/>
      <c r="D219" s="1"/>
      <c r="E219" s="1"/>
      <c r="F219" s="1"/>
      <c r="G219" s="1"/>
      <c r="H219" s="1"/>
      <c r="I219" s="1"/>
      <c r="J219" s="1"/>
      <c r="K219" s="1"/>
      <c r="L219" s="1"/>
    </row>
    <row r="220" ht="14.25" customHeight="1">
      <c r="A220" s="52"/>
      <c r="B220" s="52"/>
      <c r="C220" s="53"/>
      <c r="D220" s="1"/>
      <c r="E220" s="1"/>
      <c r="F220" s="1"/>
      <c r="G220" s="1"/>
      <c r="H220" s="1"/>
      <c r="I220" s="1"/>
      <c r="J220" s="1"/>
      <c r="K220" s="1"/>
      <c r="L220" s="1"/>
    </row>
    <row r="221" ht="14.25" customHeight="1">
      <c r="A221" s="52"/>
      <c r="B221" s="52"/>
      <c r="C221" s="53"/>
      <c r="D221" s="1"/>
      <c r="E221" s="1"/>
      <c r="F221" s="1"/>
      <c r="G221" s="1"/>
      <c r="H221" s="1"/>
      <c r="I221" s="1"/>
      <c r="J221" s="1"/>
      <c r="K221" s="1"/>
      <c r="L221" s="1"/>
    </row>
    <row r="222" ht="14.25" customHeight="1">
      <c r="A222" s="52"/>
      <c r="B222" s="52"/>
      <c r="C222" s="53"/>
      <c r="D222" s="1"/>
      <c r="E222" s="1"/>
      <c r="F222" s="1"/>
      <c r="G222" s="1"/>
      <c r="H222" s="1"/>
      <c r="I222" s="1"/>
      <c r="J222" s="1"/>
      <c r="K222" s="1"/>
      <c r="L222" s="1"/>
    </row>
    <row r="223" ht="14.25" customHeight="1">
      <c r="A223" s="52"/>
      <c r="B223" s="52"/>
      <c r="C223" s="53"/>
      <c r="D223" s="1"/>
      <c r="E223" s="1"/>
      <c r="F223" s="1"/>
      <c r="G223" s="1"/>
      <c r="H223" s="1"/>
      <c r="I223" s="1"/>
      <c r="J223" s="1"/>
      <c r="K223" s="1"/>
      <c r="L223" s="1"/>
    </row>
    <row r="224" ht="14.25" customHeight="1">
      <c r="A224" s="52"/>
      <c r="B224" s="52"/>
      <c r="C224" s="53"/>
      <c r="D224" s="1"/>
      <c r="E224" s="1"/>
      <c r="F224" s="1"/>
      <c r="G224" s="1"/>
      <c r="H224" s="1"/>
      <c r="I224" s="1"/>
      <c r="J224" s="1"/>
      <c r="K224" s="1"/>
      <c r="L224" s="1"/>
    </row>
    <row r="225" ht="14.25" customHeight="1">
      <c r="A225" s="52"/>
      <c r="B225" s="52"/>
      <c r="C225" s="53"/>
      <c r="D225" s="1"/>
      <c r="E225" s="1"/>
      <c r="F225" s="1"/>
      <c r="G225" s="1"/>
      <c r="H225" s="1"/>
      <c r="I225" s="1"/>
      <c r="J225" s="1"/>
      <c r="K225" s="1"/>
      <c r="L225" s="1"/>
    </row>
    <row r="226" ht="14.25" customHeight="1">
      <c r="A226" s="52"/>
      <c r="B226" s="52"/>
      <c r="C226" s="53"/>
      <c r="D226" s="1"/>
      <c r="E226" s="1"/>
      <c r="F226" s="1"/>
      <c r="G226" s="1"/>
      <c r="H226" s="1"/>
      <c r="I226" s="1"/>
      <c r="J226" s="1"/>
      <c r="K226" s="1"/>
      <c r="L226" s="1"/>
    </row>
    <row r="227" ht="14.25" customHeight="1">
      <c r="A227" s="52"/>
      <c r="B227" s="52"/>
      <c r="C227" s="53"/>
      <c r="D227" s="1"/>
      <c r="E227" s="1"/>
      <c r="F227" s="1"/>
      <c r="G227" s="1"/>
      <c r="H227" s="1"/>
      <c r="I227" s="1"/>
      <c r="J227" s="1"/>
      <c r="K227" s="1"/>
      <c r="L227" s="1"/>
    </row>
    <row r="228" ht="14.25" customHeight="1">
      <c r="A228" s="52"/>
      <c r="B228" s="52"/>
      <c r="C228" s="53"/>
      <c r="D228" s="1"/>
      <c r="E228" s="1"/>
      <c r="F228" s="1"/>
      <c r="G228" s="1"/>
      <c r="H228" s="1"/>
      <c r="I228" s="1"/>
      <c r="J228" s="1"/>
      <c r="K228" s="1"/>
      <c r="L228" s="1"/>
    </row>
    <row r="229" ht="14.25" customHeight="1">
      <c r="A229" s="52"/>
      <c r="B229" s="52"/>
      <c r="C229" s="53"/>
      <c r="D229" s="1"/>
      <c r="E229" s="1"/>
      <c r="F229" s="1"/>
      <c r="G229" s="1"/>
      <c r="H229" s="1"/>
      <c r="I229" s="1"/>
      <c r="J229" s="1"/>
      <c r="K229" s="1"/>
      <c r="L229" s="1"/>
    </row>
    <row r="230" ht="14.25" customHeight="1">
      <c r="A230" s="52"/>
      <c r="B230" s="52"/>
      <c r="C230" s="53"/>
      <c r="D230" s="1"/>
      <c r="E230" s="1"/>
      <c r="F230" s="1"/>
      <c r="G230" s="1"/>
      <c r="H230" s="1"/>
      <c r="I230" s="1"/>
      <c r="J230" s="1"/>
      <c r="K230" s="1"/>
      <c r="L230" s="1"/>
    </row>
    <row r="231" ht="14.25" customHeight="1">
      <c r="A231" s="52"/>
      <c r="B231" s="52"/>
      <c r="C231" s="53"/>
      <c r="D231" s="1"/>
      <c r="E231" s="1"/>
      <c r="F231" s="1"/>
      <c r="G231" s="1"/>
      <c r="H231" s="1"/>
      <c r="I231" s="1"/>
      <c r="J231" s="1"/>
      <c r="K231" s="1"/>
      <c r="L231" s="1"/>
    </row>
    <row r="232" ht="14.25" customHeight="1">
      <c r="A232" s="52"/>
      <c r="B232" s="52"/>
      <c r="C232" s="53"/>
      <c r="D232" s="1"/>
      <c r="E232" s="1"/>
      <c r="F232" s="1"/>
      <c r="G232" s="1"/>
      <c r="H232" s="1"/>
      <c r="I232" s="1"/>
      <c r="J232" s="1"/>
      <c r="K232" s="1"/>
      <c r="L232" s="1"/>
    </row>
    <row r="233" ht="14.25" customHeight="1">
      <c r="A233" s="52"/>
      <c r="B233" s="52"/>
      <c r="C233" s="53"/>
      <c r="D233" s="1"/>
      <c r="E233" s="1"/>
      <c r="F233" s="1"/>
      <c r="G233" s="1"/>
      <c r="H233" s="1"/>
      <c r="I233" s="1"/>
      <c r="J233" s="1"/>
      <c r="K233" s="1"/>
      <c r="L233" s="1"/>
    </row>
    <row r="234" ht="14.25" customHeight="1">
      <c r="A234" s="52"/>
      <c r="B234" s="52"/>
      <c r="C234" s="53"/>
      <c r="D234" s="1"/>
      <c r="E234" s="1"/>
      <c r="F234" s="1"/>
      <c r="G234" s="1"/>
      <c r="H234" s="1"/>
      <c r="I234" s="1"/>
      <c r="J234" s="1"/>
      <c r="K234" s="1"/>
      <c r="L234" s="1"/>
    </row>
    <row r="235" ht="14.25" customHeight="1">
      <c r="A235" s="52"/>
      <c r="B235" s="52"/>
      <c r="C235" s="53"/>
      <c r="D235" s="1"/>
      <c r="E235" s="1"/>
      <c r="F235" s="1"/>
      <c r="G235" s="1"/>
      <c r="H235" s="1"/>
      <c r="I235" s="1"/>
      <c r="J235" s="1"/>
      <c r="K235" s="1"/>
      <c r="L235" s="1"/>
    </row>
    <row r="236" ht="14.25" customHeight="1">
      <c r="A236" s="52"/>
      <c r="B236" s="52"/>
      <c r="C236" s="53"/>
      <c r="D236" s="1"/>
      <c r="E236" s="1"/>
      <c r="F236" s="1"/>
      <c r="G236" s="1"/>
      <c r="H236" s="1"/>
      <c r="I236" s="1"/>
      <c r="J236" s="1"/>
      <c r="K236" s="1"/>
      <c r="L236" s="1"/>
    </row>
    <row r="237" ht="14.25" customHeight="1">
      <c r="A237" s="52"/>
      <c r="B237" s="52"/>
      <c r="C237" s="53"/>
      <c r="D237" s="1"/>
      <c r="E237" s="1"/>
      <c r="F237" s="1"/>
      <c r="G237" s="1"/>
      <c r="H237" s="1"/>
      <c r="I237" s="1"/>
      <c r="J237" s="1"/>
      <c r="K237" s="1"/>
      <c r="L237" s="1"/>
    </row>
    <row r="238" ht="14.25" customHeight="1">
      <c r="A238" s="52"/>
      <c r="B238" s="52"/>
      <c r="C238" s="53"/>
      <c r="D238" s="1"/>
      <c r="E238" s="1"/>
      <c r="F238" s="1"/>
      <c r="G238" s="1"/>
      <c r="H238" s="1"/>
      <c r="I238" s="1"/>
      <c r="J238" s="1"/>
      <c r="K238" s="1"/>
      <c r="L238" s="1"/>
    </row>
    <row r="239" ht="14.25" customHeight="1">
      <c r="A239" s="52"/>
      <c r="B239" s="52"/>
      <c r="C239" s="53"/>
      <c r="D239" s="1"/>
      <c r="E239" s="1"/>
      <c r="F239" s="1"/>
      <c r="G239" s="1"/>
      <c r="H239" s="1"/>
      <c r="I239" s="1"/>
      <c r="J239" s="1"/>
      <c r="K239" s="1"/>
      <c r="L239" s="1"/>
    </row>
    <row r="240" ht="14.25" customHeight="1">
      <c r="A240" s="52"/>
      <c r="B240" s="52"/>
      <c r="C240" s="53"/>
      <c r="D240" s="1"/>
      <c r="E240" s="1"/>
      <c r="F240" s="1"/>
      <c r="G240" s="1"/>
      <c r="H240" s="1"/>
      <c r="I240" s="1"/>
      <c r="J240" s="1"/>
      <c r="K240" s="1"/>
      <c r="L240" s="1"/>
    </row>
    <row r="241" ht="14.25" customHeight="1">
      <c r="A241" s="52"/>
      <c r="B241" s="52"/>
      <c r="C241" s="53"/>
      <c r="D241" s="1"/>
      <c r="E241" s="1"/>
      <c r="F241" s="1"/>
      <c r="G241" s="1"/>
      <c r="H241" s="1"/>
      <c r="I241" s="1"/>
      <c r="J241" s="1"/>
      <c r="K241" s="1"/>
      <c r="L241" s="1"/>
    </row>
    <row r="242" ht="14.25" customHeight="1">
      <c r="A242" s="52"/>
      <c r="B242" s="52"/>
      <c r="C242" s="53"/>
      <c r="D242" s="1"/>
      <c r="E242" s="1"/>
      <c r="F242" s="1"/>
      <c r="G242" s="1"/>
      <c r="H242" s="1"/>
      <c r="I242" s="1"/>
      <c r="J242" s="1"/>
      <c r="K242" s="1"/>
      <c r="L242" s="1"/>
    </row>
    <row r="243" ht="14.25" customHeight="1">
      <c r="A243" s="52"/>
      <c r="B243" s="52"/>
      <c r="C243" s="53"/>
      <c r="D243" s="1"/>
      <c r="E243" s="1"/>
      <c r="F243" s="1"/>
      <c r="G243" s="1"/>
      <c r="H243" s="1"/>
      <c r="I243" s="1"/>
      <c r="J243" s="1"/>
      <c r="K243" s="1"/>
      <c r="L243" s="1"/>
    </row>
    <row r="244" ht="14.25" customHeight="1">
      <c r="A244" s="52"/>
      <c r="B244" s="52"/>
      <c r="C244" s="53"/>
      <c r="D244" s="1"/>
      <c r="E244" s="1"/>
      <c r="F244" s="1"/>
      <c r="G244" s="1"/>
      <c r="H244" s="1"/>
      <c r="I244" s="1"/>
      <c r="J244" s="1"/>
      <c r="K244" s="1"/>
      <c r="L244" s="1"/>
    </row>
    <row r="245" ht="14.25" customHeight="1">
      <c r="A245" s="52"/>
      <c r="B245" s="52"/>
      <c r="C245" s="53"/>
      <c r="D245" s="1"/>
      <c r="E245" s="1"/>
      <c r="F245" s="1"/>
      <c r="G245" s="1"/>
      <c r="H245" s="1"/>
      <c r="I245" s="1"/>
      <c r="J245" s="1"/>
      <c r="K245" s="1"/>
      <c r="L245" s="1"/>
    </row>
    <row r="246" ht="14.25" customHeight="1">
      <c r="A246" s="52"/>
      <c r="B246" s="52"/>
      <c r="C246" s="53"/>
      <c r="D246" s="1"/>
      <c r="E246" s="1"/>
      <c r="F246" s="1"/>
      <c r="G246" s="1"/>
      <c r="H246" s="1"/>
      <c r="I246" s="1"/>
      <c r="J246" s="1"/>
      <c r="K246" s="1"/>
      <c r="L246" s="1"/>
    </row>
    <row r="247" ht="14.25" customHeight="1">
      <c r="A247" s="52"/>
      <c r="B247" s="52"/>
      <c r="C247" s="53"/>
      <c r="D247" s="1"/>
      <c r="E247" s="1"/>
      <c r="F247" s="1"/>
      <c r="G247" s="1"/>
      <c r="H247" s="1"/>
      <c r="I247" s="1"/>
      <c r="J247" s="1"/>
      <c r="K247" s="1"/>
      <c r="L247" s="1"/>
    </row>
    <row r="248" ht="14.25" customHeight="1">
      <c r="A248" s="52"/>
      <c r="B248" s="52"/>
      <c r="C248" s="53"/>
      <c r="D248" s="1"/>
      <c r="E248" s="1"/>
      <c r="F248" s="1"/>
      <c r="G248" s="1"/>
      <c r="H248" s="1"/>
      <c r="I248" s="1"/>
      <c r="J248" s="1"/>
      <c r="K248" s="1"/>
      <c r="L248" s="1"/>
    </row>
    <row r="249" ht="14.25" customHeight="1">
      <c r="A249" s="52"/>
      <c r="B249" s="52"/>
      <c r="C249" s="53"/>
      <c r="D249" s="1"/>
      <c r="E249" s="1"/>
      <c r="F249" s="1"/>
      <c r="G249" s="1"/>
      <c r="H249" s="1"/>
      <c r="I249" s="1"/>
      <c r="J249" s="1"/>
      <c r="K249" s="1"/>
      <c r="L249" s="1"/>
    </row>
    <row r="250" ht="14.25" customHeight="1">
      <c r="A250" s="52"/>
      <c r="B250" s="52"/>
      <c r="C250" s="53"/>
      <c r="D250" s="1"/>
      <c r="E250" s="1"/>
      <c r="F250" s="1"/>
      <c r="G250" s="1"/>
      <c r="H250" s="1"/>
      <c r="I250" s="1"/>
      <c r="J250" s="1"/>
      <c r="K250" s="1"/>
      <c r="L250" s="1"/>
    </row>
    <row r="251" ht="14.25" customHeight="1">
      <c r="A251" s="52"/>
      <c r="B251" s="52"/>
      <c r="C251" s="53"/>
      <c r="D251" s="1"/>
      <c r="E251" s="1"/>
      <c r="F251" s="1"/>
      <c r="G251" s="1"/>
      <c r="H251" s="1"/>
      <c r="I251" s="1"/>
      <c r="J251" s="1"/>
      <c r="K251" s="1"/>
      <c r="L251" s="1"/>
    </row>
    <row r="252" ht="14.25" customHeight="1">
      <c r="A252" s="52"/>
      <c r="B252" s="52"/>
      <c r="C252" s="53"/>
      <c r="D252" s="1"/>
      <c r="E252" s="1"/>
      <c r="F252" s="1"/>
      <c r="G252" s="1"/>
      <c r="H252" s="1"/>
      <c r="I252" s="1"/>
      <c r="J252" s="1"/>
      <c r="K252" s="1"/>
      <c r="L252" s="1"/>
    </row>
    <row r="253" ht="14.25" customHeight="1">
      <c r="A253" s="52"/>
      <c r="B253" s="52"/>
      <c r="C253" s="53"/>
      <c r="D253" s="1"/>
      <c r="E253" s="1"/>
      <c r="F253" s="1"/>
      <c r="G253" s="1"/>
      <c r="H253" s="1"/>
      <c r="I253" s="1"/>
      <c r="J253" s="1"/>
      <c r="K253" s="1"/>
      <c r="L253" s="1"/>
    </row>
    <row r="254" ht="14.25" customHeight="1">
      <c r="A254" s="52"/>
      <c r="B254" s="52"/>
      <c r="C254" s="53"/>
      <c r="D254" s="1"/>
      <c r="E254" s="1"/>
      <c r="F254" s="1"/>
      <c r="G254" s="1"/>
      <c r="H254" s="1"/>
      <c r="I254" s="1"/>
      <c r="J254" s="1"/>
      <c r="K254" s="1"/>
      <c r="L254" s="1"/>
    </row>
    <row r="255" ht="14.25" customHeight="1">
      <c r="A255" s="52"/>
      <c r="B255" s="52"/>
      <c r="C255" s="53"/>
      <c r="D255" s="1"/>
      <c r="E255" s="1"/>
      <c r="F255" s="1"/>
      <c r="G255" s="1"/>
      <c r="H255" s="1"/>
      <c r="I255" s="1"/>
      <c r="J255" s="1"/>
      <c r="K255" s="1"/>
      <c r="L255" s="1"/>
    </row>
    <row r="256" ht="14.25" customHeight="1">
      <c r="A256" s="52"/>
      <c r="B256" s="52"/>
      <c r="C256" s="53"/>
      <c r="D256" s="1"/>
      <c r="E256" s="1"/>
      <c r="F256" s="1"/>
      <c r="G256" s="1"/>
      <c r="H256" s="1"/>
      <c r="I256" s="1"/>
      <c r="J256" s="1"/>
      <c r="K256" s="1"/>
      <c r="L256" s="1"/>
    </row>
    <row r="257" ht="14.25" customHeight="1">
      <c r="A257" s="52"/>
      <c r="B257" s="52"/>
      <c r="C257" s="53"/>
      <c r="D257" s="1"/>
      <c r="E257" s="1"/>
      <c r="F257" s="1"/>
      <c r="G257" s="1"/>
      <c r="H257" s="1"/>
      <c r="I257" s="1"/>
      <c r="J257" s="1"/>
      <c r="K257" s="1"/>
      <c r="L257" s="1"/>
    </row>
    <row r="258" ht="14.25" customHeight="1">
      <c r="A258" s="52"/>
      <c r="B258" s="52"/>
      <c r="C258" s="53"/>
      <c r="D258" s="1"/>
      <c r="E258" s="1"/>
      <c r="F258" s="1"/>
      <c r="G258" s="1"/>
      <c r="H258" s="1"/>
      <c r="I258" s="1"/>
      <c r="J258" s="1"/>
      <c r="K258" s="1"/>
      <c r="L258" s="1"/>
    </row>
    <row r="259" ht="14.25" customHeight="1">
      <c r="A259" s="52"/>
      <c r="B259" s="52"/>
      <c r="C259" s="53"/>
      <c r="D259" s="1"/>
      <c r="E259" s="1"/>
      <c r="F259" s="1"/>
      <c r="G259" s="1"/>
      <c r="H259" s="1"/>
      <c r="I259" s="1"/>
      <c r="J259" s="1"/>
      <c r="K259" s="1"/>
      <c r="L259" s="1"/>
    </row>
    <row r="260" ht="14.25" customHeight="1">
      <c r="A260" s="52"/>
      <c r="B260" s="52"/>
      <c r="C260" s="53"/>
      <c r="D260" s="1"/>
      <c r="E260" s="1"/>
      <c r="F260" s="1"/>
      <c r="G260" s="1"/>
      <c r="H260" s="1"/>
      <c r="I260" s="1"/>
      <c r="J260" s="1"/>
      <c r="K260" s="1"/>
      <c r="L260" s="1"/>
    </row>
    <row r="261" ht="14.25" customHeight="1">
      <c r="A261" s="52"/>
      <c r="B261" s="52"/>
      <c r="C261" s="53"/>
      <c r="D261" s="1"/>
      <c r="E261" s="1"/>
      <c r="F261" s="1"/>
      <c r="G261" s="1"/>
      <c r="H261" s="1"/>
      <c r="I261" s="1"/>
      <c r="J261" s="1"/>
      <c r="K261" s="1"/>
      <c r="L261" s="1"/>
    </row>
    <row r="262" ht="14.25" customHeight="1">
      <c r="A262" s="52"/>
      <c r="B262" s="52"/>
      <c r="C262" s="53"/>
      <c r="D262" s="1"/>
      <c r="E262" s="1"/>
      <c r="F262" s="1"/>
      <c r="G262" s="1"/>
      <c r="H262" s="1"/>
      <c r="I262" s="1"/>
      <c r="J262" s="1"/>
      <c r="K262" s="1"/>
      <c r="L262" s="1"/>
    </row>
    <row r="263" ht="14.25" customHeight="1">
      <c r="A263" s="52"/>
      <c r="B263" s="52"/>
      <c r="C263" s="53"/>
      <c r="D263" s="1"/>
      <c r="E263" s="1"/>
      <c r="F263" s="1"/>
      <c r="G263" s="1"/>
      <c r="H263" s="1"/>
      <c r="I263" s="1"/>
      <c r="J263" s="1"/>
      <c r="K263" s="1"/>
      <c r="L263" s="1"/>
    </row>
    <row r="264" ht="14.25" customHeight="1">
      <c r="A264" s="52"/>
      <c r="B264" s="52"/>
      <c r="C264" s="53"/>
      <c r="D264" s="1"/>
      <c r="E264" s="1"/>
      <c r="F264" s="1"/>
      <c r="G264" s="1"/>
      <c r="H264" s="1"/>
      <c r="I264" s="1"/>
      <c r="J264" s="1"/>
      <c r="K264" s="1"/>
      <c r="L264" s="1"/>
    </row>
    <row r="265" ht="14.25" customHeight="1">
      <c r="A265" s="52"/>
      <c r="B265" s="52"/>
      <c r="C265" s="53"/>
      <c r="D265" s="1"/>
      <c r="E265" s="1"/>
      <c r="F265" s="1"/>
      <c r="G265" s="1"/>
      <c r="H265" s="1"/>
      <c r="I265" s="1"/>
      <c r="J265" s="1"/>
      <c r="K265" s="1"/>
      <c r="L265" s="1"/>
    </row>
    <row r="266" ht="14.25" customHeight="1">
      <c r="A266" s="52"/>
      <c r="B266" s="52"/>
      <c r="C266" s="53"/>
      <c r="D266" s="1"/>
      <c r="E266" s="1"/>
      <c r="F266" s="1"/>
      <c r="G266" s="1"/>
      <c r="H266" s="1"/>
      <c r="I266" s="1"/>
      <c r="J266" s="1"/>
      <c r="K266" s="1"/>
      <c r="L266" s="1"/>
    </row>
    <row r="267" ht="14.25" customHeight="1">
      <c r="A267" s="52"/>
      <c r="B267" s="52"/>
      <c r="C267" s="53"/>
      <c r="D267" s="1"/>
      <c r="E267" s="1"/>
      <c r="F267" s="1"/>
      <c r="G267" s="1"/>
      <c r="H267" s="1"/>
      <c r="I267" s="1"/>
      <c r="J267" s="1"/>
      <c r="K267" s="1"/>
      <c r="L267" s="1"/>
    </row>
    <row r="268" ht="14.25" customHeight="1">
      <c r="A268" s="52"/>
      <c r="B268" s="52"/>
      <c r="C268" s="53"/>
      <c r="D268" s="1"/>
      <c r="E268" s="1"/>
      <c r="F268" s="1"/>
      <c r="G268" s="1"/>
      <c r="H268" s="1"/>
      <c r="I268" s="1"/>
      <c r="J268" s="1"/>
      <c r="K268" s="1"/>
      <c r="L268" s="1"/>
    </row>
    <row r="269" ht="14.25" customHeight="1">
      <c r="A269" s="52"/>
      <c r="B269" s="52"/>
      <c r="C269" s="53"/>
      <c r="D269" s="1"/>
      <c r="E269" s="1"/>
      <c r="F269" s="1"/>
      <c r="G269" s="1"/>
      <c r="H269" s="1"/>
      <c r="I269" s="1"/>
      <c r="J269" s="1"/>
      <c r="K269" s="1"/>
      <c r="L269" s="1"/>
    </row>
    <row r="270" ht="14.25" customHeight="1">
      <c r="A270" s="52"/>
      <c r="B270" s="52"/>
      <c r="C270" s="53"/>
      <c r="D270" s="1"/>
      <c r="E270" s="1"/>
      <c r="F270" s="1"/>
      <c r="G270" s="1"/>
      <c r="H270" s="1"/>
      <c r="I270" s="1"/>
      <c r="J270" s="1"/>
      <c r="K270" s="1"/>
      <c r="L270" s="1"/>
    </row>
    <row r="271" ht="14.25" customHeight="1">
      <c r="A271" s="52"/>
      <c r="B271" s="52"/>
      <c r="C271" s="53"/>
      <c r="D271" s="1"/>
      <c r="E271" s="1"/>
      <c r="F271" s="1"/>
      <c r="G271" s="1"/>
      <c r="H271" s="1"/>
      <c r="I271" s="1"/>
      <c r="J271" s="1"/>
      <c r="K271" s="1"/>
      <c r="L271" s="1"/>
    </row>
    <row r="272" ht="14.25" customHeight="1">
      <c r="A272" s="52"/>
      <c r="B272" s="52"/>
      <c r="C272" s="53"/>
      <c r="D272" s="1"/>
      <c r="E272" s="1"/>
      <c r="F272" s="1"/>
      <c r="G272" s="1"/>
      <c r="H272" s="1"/>
      <c r="I272" s="1"/>
      <c r="J272" s="1"/>
      <c r="K272" s="1"/>
      <c r="L272" s="1"/>
    </row>
    <row r="273" ht="14.25" customHeight="1">
      <c r="A273" s="52"/>
      <c r="B273" s="52"/>
      <c r="C273" s="53"/>
      <c r="D273" s="1"/>
      <c r="E273" s="1"/>
      <c r="F273" s="1"/>
      <c r="G273" s="1"/>
      <c r="H273" s="1"/>
      <c r="I273" s="1"/>
      <c r="J273" s="1"/>
      <c r="K273" s="1"/>
      <c r="L273" s="1"/>
    </row>
    <row r="274" ht="14.25" customHeight="1">
      <c r="A274" s="52"/>
      <c r="B274" s="52"/>
      <c r="C274" s="53"/>
      <c r="D274" s="1"/>
      <c r="E274" s="1"/>
      <c r="F274" s="1"/>
      <c r="G274" s="1"/>
      <c r="H274" s="1"/>
      <c r="I274" s="1"/>
      <c r="J274" s="1"/>
      <c r="K274" s="1"/>
      <c r="L274" s="1"/>
    </row>
    <row r="275" ht="14.25" customHeight="1">
      <c r="A275" s="52"/>
      <c r="B275" s="52"/>
      <c r="C275" s="53"/>
      <c r="D275" s="1"/>
      <c r="E275" s="1"/>
      <c r="F275" s="1"/>
      <c r="G275" s="1"/>
      <c r="H275" s="1"/>
      <c r="I275" s="1"/>
      <c r="J275" s="1"/>
      <c r="K275" s="1"/>
      <c r="L275" s="1"/>
    </row>
    <row r="276" ht="14.25" customHeight="1">
      <c r="A276" s="52"/>
      <c r="B276" s="52"/>
      <c r="C276" s="53"/>
      <c r="D276" s="1"/>
      <c r="E276" s="1"/>
      <c r="F276" s="1"/>
      <c r="G276" s="1"/>
      <c r="H276" s="1"/>
      <c r="I276" s="1"/>
      <c r="J276" s="1"/>
      <c r="K276" s="1"/>
      <c r="L276" s="1"/>
    </row>
    <row r="277" ht="14.25" customHeight="1">
      <c r="A277" s="52"/>
      <c r="B277" s="52"/>
      <c r="C277" s="53"/>
      <c r="D277" s="1"/>
      <c r="E277" s="1"/>
      <c r="F277" s="1"/>
      <c r="G277" s="1"/>
      <c r="H277" s="1"/>
      <c r="I277" s="1"/>
      <c r="J277" s="1"/>
      <c r="K277" s="1"/>
      <c r="L277" s="1"/>
    </row>
    <row r="278" ht="14.25" customHeight="1">
      <c r="A278" s="52"/>
      <c r="B278" s="52"/>
      <c r="C278" s="53"/>
      <c r="D278" s="1"/>
      <c r="E278" s="1"/>
      <c r="F278" s="1"/>
      <c r="G278" s="1"/>
      <c r="H278" s="1"/>
      <c r="I278" s="1"/>
      <c r="J278" s="1"/>
      <c r="K278" s="1"/>
      <c r="L278" s="1"/>
    </row>
    <row r="279" ht="14.25" customHeight="1">
      <c r="A279" s="52"/>
      <c r="B279" s="52"/>
      <c r="C279" s="53"/>
      <c r="D279" s="1"/>
      <c r="E279" s="1"/>
      <c r="F279" s="1"/>
      <c r="G279" s="1"/>
      <c r="H279" s="1"/>
      <c r="I279" s="1"/>
      <c r="J279" s="1"/>
      <c r="K279" s="1"/>
      <c r="L279" s="1"/>
    </row>
    <row r="280" ht="14.25" customHeight="1">
      <c r="A280" s="52"/>
      <c r="B280" s="52"/>
      <c r="C280" s="53"/>
      <c r="D280" s="1"/>
      <c r="E280" s="1"/>
      <c r="F280" s="1"/>
      <c r="G280" s="1"/>
      <c r="H280" s="1"/>
      <c r="I280" s="1"/>
      <c r="J280" s="1"/>
      <c r="K280" s="1"/>
      <c r="L280" s="1"/>
    </row>
    <row r="281" ht="14.25" customHeight="1">
      <c r="A281" s="52"/>
      <c r="B281" s="52"/>
      <c r="C281" s="53"/>
      <c r="D281" s="1"/>
      <c r="E281" s="1"/>
      <c r="F281" s="1"/>
      <c r="G281" s="1"/>
      <c r="H281" s="1"/>
      <c r="I281" s="1"/>
      <c r="J281" s="1"/>
      <c r="K281" s="1"/>
      <c r="L281" s="1"/>
    </row>
    <row r="282" ht="14.25" customHeight="1">
      <c r="A282" s="52"/>
      <c r="B282" s="52"/>
      <c r="C282" s="53"/>
      <c r="D282" s="1"/>
      <c r="E282" s="1"/>
      <c r="F282" s="1"/>
      <c r="G282" s="1"/>
      <c r="H282" s="1"/>
      <c r="I282" s="1"/>
      <c r="J282" s="1"/>
      <c r="K282" s="1"/>
      <c r="L282" s="1"/>
    </row>
    <row r="283" ht="14.25" customHeight="1">
      <c r="A283" s="52"/>
      <c r="B283" s="52"/>
      <c r="C283" s="53"/>
      <c r="D283" s="1"/>
      <c r="E283" s="1"/>
      <c r="F283" s="1"/>
      <c r="G283" s="1"/>
      <c r="H283" s="1"/>
      <c r="I283" s="1"/>
      <c r="J283" s="1"/>
      <c r="K283" s="1"/>
      <c r="L283" s="1"/>
    </row>
    <row r="284" ht="14.25" customHeight="1">
      <c r="A284" s="52"/>
      <c r="B284" s="52"/>
      <c r="C284" s="53"/>
      <c r="D284" s="1"/>
      <c r="E284" s="1"/>
      <c r="F284" s="1"/>
      <c r="G284" s="1"/>
      <c r="H284" s="1"/>
      <c r="I284" s="1"/>
      <c r="J284" s="1"/>
      <c r="K284" s="1"/>
      <c r="L284" s="1"/>
    </row>
    <row r="285" ht="14.25" customHeight="1">
      <c r="A285" s="52"/>
      <c r="B285" s="52"/>
      <c r="C285" s="53"/>
      <c r="D285" s="1"/>
      <c r="E285" s="1"/>
      <c r="F285" s="1"/>
      <c r="G285" s="1"/>
      <c r="H285" s="1"/>
      <c r="I285" s="1"/>
      <c r="J285" s="1"/>
      <c r="K285" s="1"/>
      <c r="L285" s="1"/>
    </row>
    <row r="286" ht="14.25" customHeight="1">
      <c r="A286" s="52"/>
      <c r="B286" s="52"/>
      <c r="C286" s="53"/>
      <c r="D286" s="1"/>
      <c r="E286" s="1"/>
      <c r="F286" s="1"/>
      <c r="G286" s="1"/>
      <c r="H286" s="1"/>
      <c r="I286" s="1"/>
      <c r="J286" s="1"/>
      <c r="K286" s="1"/>
      <c r="L286" s="1"/>
    </row>
    <row r="287" ht="14.25" customHeight="1">
      <c r="A287" s="52"/>
      <c r="B287" s="52"/>
      <c r="C287" s="53"/>
      <c r="D287" s="1"/>
      <c r="E287" s="1"/>
      <c r="F287" s="1"/>
      <c r="G287" s="1"/>
      <c r="H287" s="1"/>
      <c r="I287" s="1"/>
      <c r="J287" s="1"/>
      <c r="K287" s="1"/>
      <c r="L287" s="1"/>
    </row>
    <row r="288" ht="14.25" customHeight="1">
      <c r="A288" s="52"/>
      <c r="B288" s="52"/>
      <c r="C288" s="53"/>
      <c r="D288" s="1"/>
      <c r="E288" s="1"/>
      <c r="F288" s="1"/>
      <c r="G288" s="1"/>
      <c r="H288" s="1"/>
      <c r="I288" s="1"/>
      <c r="J288" s="1"/>
      <c r="K288" s="1"/>
      <c r="L288" s="1"/>
    </row>
    <row r="289" ht="14.25" customHeight="1">
      <c r="A289" s="52"/>
      <c r="B289" s="52"/>
      <c r="C289" s="53"/>
      <c r="D289" s="1"/>
      <c r="E289" s="1"/>
      <c r="F289" s="1"/>
      <c r="G289" s="1"/>
      <c r="H289" s="1"/>
      <c r="I289" s="1"/>
      <c r="J289" s="1"/>
      <c r="K289" s="1"/>
      <c r="L289" s="1"/>
    </row>
    <row r="290" ht="14.25" customHeight="1">
      <c r="A290" s="52"/>
      <c r="B290" s="52"/>
      <c r="C290" s="53"/>
      <c r="D290" s="1"/>
      <c r="E290" s="1"/>
      <c r="F290" s="1"/>
      <c r="G290" s="1"/>
      <c r="H290" s="1"/>
      <c r="I290" s="1"/>
      <c r="J290" s="1"/>
      <c r="K290" s="1"/>
      <c r="L290" s="1"/>
    </row>
    <row r="291" ht="14.25" customHeight="1">
      <c r="A291" s="52"/>
      <c r="B291" s="52"/>
      <c r="C291" s="53"/>
      <c r="D291" s="1"/>
      <c r="E291" s="1"/>
      <c r="F291" s="1"/>
      <c r="G291" s="1"/>
      <c r="H291" s="1"/>
      <c r="I291" s="1"/>
      <c r="J291" s="1"/>
      <c r="K291" s="1"/>
      <c r="L291" s="1"/>
    </row>
    <row r="292" ht="14.25" customHeight="1">
      <c r="A292" s="52"/>
      <c r="B292" s="52"/>
      <c r="C292" s="53"/>
      <c r="D292" s="1"/>
      <c r="E292" s="1"/>
      <c r="F292" s="1"/>
      <c r="G292" s="1"/>
      <c r="H292" s="1"/>
      <c r="I292" s="1"/>
      <c r="J292" s="1"/>
      <c r="K292" s="1"/>
      <c r="L292" s="1"/>
    </row>
    <row r="293" ht="14.25" customHeight="1">
      <c r="A293" s="52"/>
      <c r="B293" s="52"/>
      <c r="C293" s="53"/>
      <c r="D293" s="1"/>
      <c r="E293" s="1"/>
      <c r="F293" s="1"/>
      <c r="G293" s="1"/>
      <c r="H293" s="1"/>
      <c r="I293" s="1"/>
      <c r="J293" s="1"/>
      <c r="K293" s="1"/>
      <c r="L293" s="1"/>
    </row>
    <row r="294" ht="14.25" customHeight="1">
      <c r="A294" s="52"/>
      <c r="B294" s="52"/>
      <c r="C294" s="53"/>
      <c r="D294" s="1"/>
      <c r="E294" s="1"/>
      <c r="F294" s="1"/>
      <c r="G294" s="1"/>
      <c r="H294" s="1"/>
      <c r="I294" s="1"/>
      <c r="J294" s="1"/>
      <c r="K294" s="1"/>
      <c r="L294" s="1"/>
    </row>
    <row r="295" ht="14.25" customHeight="1">
      <c r="A295" s="52"/>
      <c r="B295" s="52"/>
      <c r="C295" s="53"/>
      <c r="D295" s="1"/>
      <c r="E295" s="1"/>
      <c r="F295" s="1"/>
      <c r="G295" s="1"/>
      <c r="H295" s="1"/>
      <c r="I295" s="1"/>
      <c r="J295" s="1"/>
      <c r="K295" s="1"/>
      <c r="L295" s="1"/>
    </row>
    <row r="296" ht="14.25" customHeight="1">
      <c r="A296" s="52"/>
      <c r="B296" s="52"/>
      <c r="C296" s="53"/>
      <c r="D296" s="1"/>
      <c r="E296" s="1"/>
      <c r="F296" s="1"/>
      <c r="G296" s="1"/>
      <c r="H296" s="1"/>
      <c r="I296" s="1"/>
      <c r="J296" s="1"/>
      <c r="K296" s="1"/>
      <c r="L296" s="1"/>
    </row>
    <row r="297" ht="14.25" customHeight="1">
      <c r="A297" s="52"/>
      <c r="B297" s="52"/>
      <c r="C297" s="53"/>
      <c r="D297" s="1"/>
      <c r="E297" s="1"/>
      <c r="F297" s="1"/>
      <c r="G297" s="1"/>
      <c r="H297" s="1"/>
      <c r="I297" s="1"/>
      <c r="J297" s="1"/>
      <c r="K297" s="1"/>
      <c r="L297" s="1"/>
    </row>
    <row r="298" ht="14.25" customHeight="1">
      <c r="A298" s="52"/>
      <c r="B298" s="52"/>
      <c r="C298" s="53"/>
      <c r="D298" s="1"/>
      <c r="E298" s="1"/>
      <c r="F298" s="1"/>
      <c r="G298" s="1"/>
      <c r="H298" s="1"/>
      <c r="I298" s="1"/>
      <c r="J298" s="1"/>
      <c r="K298" s="1"/>
      <c r="L298" s="1"/>
    </row>
    <row r="299" ht="14.25" customHeight="1">
      <c r="A299" s="52"/>
      <c r="B299" s="52"/>
      <c r="C299" s="53"/>
      <c r="D299" s="1"/>
      <c r="E299" s="1"/>
      <c r="F299" s="1"/>
      <c r="G299" s="1"/>
      <c r="H299" s="1"/>
      <c r="I299" s="1"/>
      <c r="J299" s="1"/>
      <c r="K299" s="1"/>
      <c r="L299" s="1"/>
    </row>
    <row r="300" ht="14.25" customHeight="1">
      <c r="A300" s="52"/>
      <c r="B300" s="52"/>
      <c r="C300" s="53"/>
      <c r="D300" s="1"/>
      <c r="E300" s="1"/>
      <c r="F300" s="1"/>
      <c r="G300" s="1"/>
      <c r="H300" s="1"/>
      <c r="I300" s="1"/>
      <c r="J300" s="1"/>
      <c r="K300" s="1"/>
      <c r="L300" s="1"/>
    </row>
    <row r="301" ht="14.25" customHeight="1">
      <c r="A301" s="52"/>
      <c r="B301" s="52"/>
      <c r="C301" s="53"/>
      <c r="D301" s="1"/>
      <c r="E301" s="1"/>
      <c r="F301" s="1"/>
      <c r="G301" s="1"/>
      <c r="H301" s="1"/>
      <c r="I301" s="1"/>
      <c r="J301" s="1"/>
      <c r="K301" s="1"/>
      <c r="L301" s="1"/>
    </row>
    <row r="302" ht="14.25" customHeight="1">
      <c r="A302" s="52"/>
      <c r="B302" s="52"/>
      <c r="C302" s="53"/>
      <c r="D302" s="1"/>
      <c r="E302" s="1"/>
      <c r="F302" s="1"/>
      <c r="G302" s="1"/>
      <c r="H302" s="1"/>
      <c r="I302" s="1"/>
      <c r="J302" s="1"/>
      <c r="K302" s="1"/>
      <c r="L302" s="1"/>
    </row>
    <row r="303" ht="14.25" customHeight="1">
      <c r="A303" s="52"/>
      <c r="B303" s="52"/>
      <c r="C303" s="53"/>
      <c r="D303" s="1"/>
      <c r="E303" s="1"/>
      <c r="F303" s="1"/>
      <c r="G303" s="1"/>
      <c r="H303" s="1"/>
      <c r="I303" s="1"/>
      <c r="J303" s="1"/>
      <c r="K303" s="1"/>
      <c r="L303" s="1"/>
    </row>
    <row r="304" ht="14.25" customHeight="1">
      <c r="A304" s="52"/>
      <c r="B304" s="52"/>
      <c r="C304" s="53"/>
      <c r="D304" s="1"/>
      <c r="E304" s="1"/>
      <c r="F304" s="1"/>
      <c r="G304" s="1"/>
      <c r="H304" s="1"/>
      <c r="I304" s="1"/>
      <c r="J304" s="1"/>
      <c r="K304" s="1"/>
      <c r="L304" s="1"/>
    </row>
    <row r="305" ht="14.25" customHeight="1">
      <c r="A305" s="52"/>
      <c r="B305" s="52"/>
      <c r="C305" s="53"/>
      <c r="D305" s="1"/>
      <c r="E305" s="1"/>
      <c r="F305" s="1"/>
      <c r="G305" s="1"/>
      <c r="H305" s="1"/>
      <c r="I305" s="1"/>
      <c r="J305" s="1"/>
      <c r="K305" s="1"/>
      <c r="L305" s="1"/>
    </row>
    <row r="306" ht="14.25" customHeight="1">
      <c r="A306" s="52"/>
      <c r="B306" s="52"/>
      <c r="C306" s="53"/>
      <c r="D306" s="1"/>
      <c r="E306" s="1"/>
      <c r="F306" s="1"/>
      <c r="G306" s="1"/>
      <c r="H306" s="1"/>
      <c r="I306" s="1"/>
      <c r="J306" s="1"/>
      <c r="K306" s="1"/>
      <c r="L306" s="1"/>
    </row>
    <row r="307" ht="14.25" customHeight="1">
      <c r="A307" s="52"/>
      <c r="B307" s="52"/>
      <c r="C307" s="53"/>
      <c r="D307" s="1"/>
      <c r="E307" s="1"/>
      <c r="F307" s="1"/>
      <c r="G307" s="1"/>
      <c r="H307" s="1"/>
      <c r="I307" s="1"/>
      <c r="J307" s="1"/>
      <c r="K307" s="1"/>
      <c r="L307" s="1"/>
    </row>
    <row r="308" ht="14.25" customHeight="1">
      <c r="A308" s="52"/>
      <c r="B308" s="52"/>
      <c r="C308" s="53"/>
      <c r="D308" s="1"/>
      <c r="E308" s="1"/>
      <c r="F308" s="1"/>
      <c r="G308" s="1"/>
      <c r="H308" s="1"/>
      <c r="I308" s="1"/>
      <c r="J308" s="1"/>
      <c r="K308" s="1"/>
      <c r="L308" s="1"/>
    </row>
    <row r="309" ht="14.25" customHeight="1">
      <c r="A309" s="52"/>
      <c r="B309" s="52"/>
      <c r="C309" s="53"/>
      <c r="D309" s="1"/>
      <c r="E309" s="1"/>
      <c r="F309" s="1"/>
      <c r="G309" s="1"/>
      <c r="H309" s="1"/>
      <c r="I309" s="1"/>
      <c r="J309" s="1"/>
      <c r="K309" s="1"/>
      <c r="L309" s="1"/>
    </row>
    <row r="310" ht="14.25" customHeight="1">
      <c r="A310" s="52"/>
      <c r="B310" s="52"/>
      <c r="C310" s="53"/>
      <c r="D310" s="1"/>
      <c r="E310" s="1"/>
      <c r="F310" s="1"/>
      <c r="G310" s="1"/>
      <c r="H310" s="1"/>
      <c r="I310" s="1"/>
      <c r="J310" s="1"/>
      <c r="K310" s="1"/>
      <c r="L310" s="1"/>
    </row>
    <row r="311" ht="14.25" customHeight="1">
      <c r="A311" s="52"/>
      <c r="B311" s="52"/>
      <c r="C311" s="53"/>
      <c r="D311" s="1"/>
      <c r="E311" s="1"/>
      <c r="F311" s="1"/>
      <c r="G311" s="1"/>
      <c r="H311" s="1"/>
      <c r="I311" s="1"/>
      <c r="J311" s="1"/>
      <c r="K311" s="1"/>
      <c r="L311" s="1"/>
    </row>
    <row r="312" ht="14.25" customHeight="1">
      <c r="A312" s="52"/>
      <c r="B312" s="52"/>
      <c r="C312" s="53"/>
      <c r="D312" s="1"/>
      <c r="E312" s="1"/>
      <c r="F312" s="1"/>
      <c r="G312" s="1"/>
      <c r="H312" s="1"/>
      <c r="I312" s="1"/>
      <c r="J312" s="1"/>
      <c r="K312" s="1"/>
      <c r="L312" s="1"/>
    </row>
    <row r="313" ht="14.25" customHeight="1">
      <c r="A313" s="52"/>
      <c r="B313" s="52"/>
      <c r="C313" s="53"/>
      <c r="D313" s="1"/>
      <c r="E313" s="1"/>
      <c r="F313" s="1"/>
      <c r="G313" s="1"/>
      <c r="H313" s="1"/>
      <c r="I313" s="1"/>
      <c r="J313" s="1"/>
      <c r="K313" s="1"/>
      <c r="L313" s="1"/>
    </row>
    <row r="314" ht="14.25" customHeight="1">
      <c r="A314" s="52"/>
      <c r="B314" s="52"/>
      <c r="C314" s="53"/>
      <c r="D314" s="1"/>
      <c r="E314" s="1"/>
      <c r="F314" s="1"/>
      <c r="G314" s="1"/>
      <c r="H314" s="1"/>
      <c r="I314" s="1"/>
      <c r="J314" s="1"/>
      <c r="K314" s="1"/>
      <c r="L314" s="1"/>
    </row>
    <row r="315" ht="14.25" customHeight="1">
      <c r="A315" s="52"/>
      <c r="B315" s="52"/>
      <c r="C315" s="53"/>
      <c r="D315" s="1"/>
      <c r="E315" s="1"/>
      <c r="F315" s="1"/>
      <c r="G315" s="1"/>
      <c r="H315" s="1"/>
      <c r="I315" s="1"/>
      <c r="J315" s="1"/>
      <c r="K315" s="1"/>
      <c r="L315" s="1"/>
    </row>
    <row r="316" ht="14.25" customHeight="1">
      <c r="A316" s="52"/>
      <c r="B316" s="52"/>
      <c r="C316" s="53"/>
      <c r="D316" s="1"/>
      <c r="E316" s="1"/>
      <c r="F316" s="1"/>
      <c r="G316" s="1"/>
      <c r="H316" s="1"/>
      <c r="I316" s="1"/>
      <c r="J316" s="1"/>
      <c r="K316" s="1"/>
      <c r="L316" s="1"/>
    </row>
    <row r="317" ht="14.25" customHeight="1">
      <c r="A317" s="52"/>
      <c r="B317" s="52"/>
      <c r="C317" s="53"/>
      <c r="D317" s="1"/>
      <c r="E317" s="1"/>
      <c r="F317" s="1"/>
      <c r="G317" s="1"/>
      <c r="H317" s="1"/>
      <c r="I317" s="1"/>
      <c r="J317" s="1"/>
      <c r="K317" s="1"/>
      <c r="L317" s="1"/>
    </row>
    <row r="318" ht="14.25" customHeight="1">
      <c r="A318" s="52"/>
      <c r="B318" s="52"/>
      <c r="C318" s="53"/>
      <c r="D318" s="1"/>
      <c r="E318" s="1"/>
      <c r="F318" s="1"/>
      <c r="G318" s="1"/>
      <c r="H318" s="1"/>
      <c r="I318" s="1"/>
      <c r="J318" s="1"/>
      <c r="K318" s="1"/>
      <c r="L318" s="1"/>
    </row>
    <row r="319" ht="14.25" customHeight="1">
      <c r="A319" s="52"/>
      <c r="B319" s="52"/>
      <c r="C319" s="53"/>
      <c r="D319" s="1"/>
      <c r="E319" s="1"/>
      <c r="F319" s="1"/>
      <c r="G319" s="1"/>
      <c r="H319" s="1"/>
      <c r="I319" s="1"/>
      <c r="J319" s="1"/>
      <c r="K319" s="1"/>
      <c r="L319" s="1"/>
    </row>
    <row r="320" ht="14.25" customHeight="1">
      <c r="A320" s="52"/>
      <c r="B320" s="52"/>
      <c r="C320" s="53"/>
      <c r="D320" s="1"/>
      <c r="E320" s="1"/>
      <c r="F320" s="1"/>
      <c r="G320" s="1"/>
      <c r="H320" s="1"/>
      <c r="I320" s="1"/>
      <c r="J320" s="1"/>
      <c r="K320" s="1"/>
      <c r="L320" s="1"/>
    </row>
    <row r="321" ht="14.25" customHeight="1">
      <c r="A321" s="52"/>
      <c r="B321" s="52"/>
      <c r="C321" s="53"/>
      <c r="D321" s="1"/>
      <c r="E321" s="1"/>
      <c r="F321" s="1"/>
      <c r="G321" s="1"/>
      <c r="H321" s="1"/>
      <c r="I321" s="1"/>
      <c r="J321" s="1"/>
      <c r="K321" s="1"/>
      <c r="L321" s="1"/>
    </row>
    <row r="322" ht="14.25" customHeight="1">
      <c r="A322" s="52"/>
      <c r="B322" s="52"/>
      <c r="C322" s="53"/>
      <c r="D322" s="1"/>
      <c r="E322" s="1"/>
      <c r="F322" s="1"/>
      <c r="G322" s="1"/>
      <c r="H322" s="1"/>
      <c r="I322" s="1"/>
      <c r="J322" s="1"/>
      <c r="K322" s="1"/>
      <c r="L322" s="1"/>
    </row>
    <row r="323" ht="14.25" customHeight="1">
      <c r="A323" s="52"/>
      <c r="B323" s="52"/>
      <c r="C323" s="53"/>
      <c r="D323" s="1"/>
      <c r="E323" s="1"/>
      <c r="F323" s="1"/>
      <c r="G323" s="1"/>
      <c r="H323" s="1"/>
      <c r="I323" s="1"/>
      <c r="J323" s="1"/>
      <c r="K323" s="1"/>
      <c r="L323" s="1"/>
    </row>
    <row r="324" ht="14.25" customHeight="1">
      <c r="A324" s="52"/>
      <c r="B324" s="52"/>
      <c r="C324" s="53"/>
      <c r="D324" s="1"/>
      <c r="E324" s="1"/>
      <c r="F324" s="1"/>
      <c r="G324" s="1"/>
      <c r="H324" s="1"/>
      <c r="I324" s="1"/>
      <c r="J324" s="1"/>
      <c r="K324" s="1"/>
      <c r="L324" s="1"/>
    </row>
    <row r="325" ht="14.25" customHeight="1">
      <c r="A325" s="52"/>
      <c r="B325" s="52"/>
      <c r="C325" s="53"/>
      <c r="D325" s="1"/>
      <c r="E325" s="1"/>
      <c r="F325" s="1"/>
      <c r="G325" s="1"/>
      <c r="H325" s="1"/>
      <c r="I325" s="1"/>
      <c r="J325" s="1"/>
      <c r="K325" s="1"/>
      <c r="L325" s="1"/>
    </row>
    <row r="326" ht="14.25" customHeight="1">
      <c r="A326" s="52"/>
      <c r="B326" s="52"/>
      <c r="C326" s="53"/>
      <c r="D326" s="1"/>
      <c r="E326" s="1"/>
      <c r="F326" s="1"/>
      <c r="G326" s="1"/>
      <c r="H326" s="1"/>
      <c r="I326" s="1"/>
      <c r="J326" s="1"/>
      <c r="K326" s="1"/>
      <c r="L326" s="1"/>
    </row>
    <row r="327" ht="14.25" customHeight="1">
      <c r="A327" s="52"/>
      <c r="B327" s="52"/>
      <c r="C327" s="53"/>
      <c r="D327" s="1"/>
      <c r="E327" s="1"/>
      <c r="F327" s="1"/>
      <c r="G327" s="1"/>
      <c r="H327" s="1"/>
      <c r="I327" s="1"/>
      <c r="J327" s="1"/>
      <c r="K327" s="1"/>
      <c r="L327" s="1"/>
    </row>
    <row r="328" ht="14.25" customHeight="1">
      <c r="A328" s="52"/>
      <c r="B328" s="52"/>
      <c r="C328" s="53"/>
      <c r="D328" s="1"/>
      <c r="E328" s="1"/>
      <c r="F328" s="1"/>
      <c r="G328" s="1"/>
      <c r="H328" s="1"/>
      <c r="I328" s="1"/>
      <c r="J328" s="1"/>
      <c r="K328" s="1"/>
      <c r="L328" s="1"/>
    </row>
    <row r="329" ht="14.25" customHeight="1">
      <c r="A329" s="52"/>
      <c r="B329" s="52"/>
      <c r="C329" s="53"/>
      <c r="D329" s="1"/>
      <c r="E329" s="1"/>
      <c r="F329" s="1"/>
      <c r="G329" s="1"/>
      <c r="H329" s="1"/>
      <c r="I329" s="1"/>
      <c r="J329" s="1"/>
      <c r="K329" s="1"/>
      <c r="L329" s="1"/>
    </row>
    <row r="330" ht="14.25" customHeight="1">
      <c r="A330" s="52"/>
      <c r="B330" s="52"/>
      <c r="C330" s="53"/>
      <c r="D330" s="1"/>
      <c r="E330" s="1"/>
      <c r="F330" s="1"/>
      <c r="G330" s="1"/>
      <c r="H330" s="1"/>
      <c r="I330" s="1"/>
      <c r="J330" s="1"/>
      <c r="K330" s="1"/>
      <c r="L330" s="1"/>
    </row>
    <row r="331" ht="14.25" customHeight="1">
      <c r="A331" s="52"/>
      <c r="B331" s="52"/>
      <c r="C331" s="53"/>
      <c r="D331" s="1"/>
      <c r="E331" s="1"/>
      <c r="F331" s="1"/>
      <c r="G331" s="1"/>
      <c r="H331" s="1"/>
      <c r="I331" s="1"/>
      <c r="J331" s="1"/>
      <c r="K331" s="1"/>
      <c r="L331" s="1"/>
    </row>
    <row r="332" ht="14.25" customHeight="1">
      <c r="A332" s="52"/>
      <c r="B332" s="52"/>
      <c r="C332" s="53"/>
      <c r="D332" s="1"/>
      <c r="E332" s="1"/>
      <c r="F332" s="1"/>
      <c r="G332" s="1"/>
      <c r="H332" s="1"/>
      <c r="I332" s="1"/>
      <c r="J332" s="1"/>
      <c r="K332" s="1"/>
      <c r="L332" s="1"/>
    </row>
    <row r="333" ht="14.25" customHeight="1">
      <c r="A333" s="52"/>
      <c r="B333" s="52"/>
      <c r="C333" s="53"/>
      <c r="D333" s="1"/>
      <c r="E333" s="1"/>
      <c r="F333" s="1"/>
      <c r="G333" s="1"/>
      <c r="H333" s="1"/>
      <c r="I333" s="1"/>
      <c r="J333" s="1"/>
      <c r="K333" s="1"/>
      <c r="L333" s="1"/>
    </row>
    <row r="334" ht="14.25" customHeight="1">
      <c r="A334" s="52"/>
      <c r="B334" s="52"/>
      <c r="C334" s="53"/>
      <c r="D334" s="1"/>
      <c r="E334" s="1"/>
      <c r="F334" s="1"/>
      <c r="G334" s="1"/>
      <c r="H334" s="1"/>
      <c r="I334" s="1"/>
      <c r="J334" s="1"/>
      <c r="K334" s="1"/>
      <c r="L334" s="1"/>
    </row>
    <row r="335" ht="14.25" customHeight="1">
      <c r="A335" s="52"/>
      <c r="B335" s="52"/>
      <c r="C335" s="53"/>
      <c r="D335" s="1"/>
      <c r="E335" s="1"/>
      <c r="F335" s="1"/>
      <c r="G335" s="1"/>
      <c r="H335" s="1"/>
      <c r="I335" s="1"/>
      <c r="J335" s="1"/>
      <c r="K335" s="1"/>
      <c r="L335" s="1"/>
    </row>
    <row r="336" ht="14.25" customHeight="1">
      <c r="A336" s="52"/>
      <c r="B336" s="52"/>
      <c r="C336" s="53"/>
      <c r="D336" s="1"/>
      <c r="E336" s="1"/>
      <c r="F336" s="1"/>
      <c r="G336" s="1"/>
      <c r="H336" s="1"/>
      <c r="I336" s="1"/>
      <c r="J336" s="1"/>
      <c r="K336" s="1"/>
      <c r="L336" s="1"/>
    </row>
    <row r="337" ht="14.25" customHeight="1">
      <c r="A337" s="52"/>
      <c r="B337" s="52"/>
      <c r="C337" s="53"/>
      <c r="D337" s="1"/>
      <c r="E337" s="1"/>
      <c r="F337" s="1"/>
      <c r="G337" s="1"/>
      <c r="H337" s="1"/>
      <c r="I337" s="1"/>
      <c r="J337" s="1"/>
      <c r="K337" s="1"/>
      <c r="L337" s="1"/>
    </row>
    <row r="338" ht="14.25" customHeight="1">
      <c r="A338" s="52"/>
      <c r="B338" s="52"/>
      <c r="C338" s="53"/>
      <c r="D338" s="1"/>
      <c r="E338" s="1"/>
      <c r="F338" s="1"/>
      <c r="G338" s="1"/>
      <c r="H338" s="1"/>
      <c r="I338" s="1"/>
      <c r="J338" s="1"/>
      <c r="K338" s="1"/>
      <c r="L338" s="1"/>
    </row>
    <row r="339" ht="14.25" customHeight="1">
      <c r="A339" s="52"/>
      <c r="B339" s="52"/>
      <c r="C339" s="53"/>
      <c r="D339" s="1"/>
      <c r="E339" s="1"/>
      <c r="F339" s="1"/>
      <c r="G339" s="1"/>
      <c r="H339" s="1"/>
      <c r="I339" s="1"/>
      <c r="J339" s="1"/>
      <c r="K339" s="1"/>
      <c r="L339" s="1"/>
    </row>
    <row r="340" ht="14.25" customHeight="1">
      <c r="A340" s="52"/>
      <c r="B340" s="52"/>
      <c r="C340" s="53"/>
      <c r="D340" s="1"/>
      <c r="E340" s="1"/>
      <c r="F340" s="1"/>
      <c r="G340" s="1"/>
      <c r="H340" s="1"/>
      <c r="I340" s="1"/>
      <c r="J340" s="1"/>
      <c r="K340" s="1"/>
      <c r="L340" s="1"/>
    </row>
    <row r="341" ht="14.25" customHeight="1">
      <c r="A341" s="52"/>
      <c r="B341" s="52"/>
      <c r="C341" s="53"/>
      <c r="D341" s="1"/>
      <c r="E341" s="1"/>
      <c r="F341" s="1"/>
      <c r="G341" s="1"/>
      <c r="H341" s="1"/>
      <c r="I341" s="1"/>
      <c r="J341" s="1"/>
      <c r="K341" s="1"/>
      <c r="L341" s="1"/>
    </row>
    <row r="342" ht="14.25" customHeight="1">
      <c r="A342" s="52"/>
      <c r="B342" s="52"/>
      <c r="C342" s="53"/>
      <c r="D342" s="1"/>
      <c r="E342" s="1"/>
      <c r="F342" s="1"/>
      <c r="G342" s="1"/>
      <c r="H342" s="1"/>
      <c r="I342" s="1"/>
      <c r="J342" s="1"/>
      <c r="K342" s="1"/>
      <c r="L342" s="1"/>
    </row>
    <row r="343" ht="14.25" customHeight="1">
      <c r="A343" s="52"/>
      <c r="B343" s="52"/>
      <c r="C343" s="53"/>
      <c r="D343" s="1"/>
      <c r="E343" s="1"/>
      <c r="F343" s="1"/>
      <c r="G343" s="1"/>
      <c r="H343" s="1"/>
      <c r="I343" s="1"/>
      <c r="J343" s="1"/>
      <c r="K343" s="1"/>
      <c r="L343" s="1"/>
    </row>
    <row r="344" ht="14.25" customHeight="1">
      <c r="A344" s="52"/>
      <c r="B344" s="52"/>
      <c r="C344" s="53"/>
      <c r="D344" s="1"/>
      <c r="E344" s="1"/>
      <c r="F344" s="1"/>
      <c r="G344" s="1"/>
      <c r="H344" s="1"/>
      <c r="I344" s="1"/>
      <c r="J344" s="1"/>
      <c r="K344" s="1"/>
      <c r="L344" s="1"/>
    </row>
    <row r="345" ht="14.25" customHeight="1">
      <c r="A345" s="52"/>
      <c r="B345" s="52"/>
      <c r="C345" s="53"/>
      <c r="D345" s="1"/>
      <c r="E345" s="1"/>
      <c r="F345" s="1"/>
      <c r="G345" s="1"/>
      <c r="H345" s="1"/>
      <c r="I345" s="1"/>
      <c r="J345" s="1"/>
      <c r="K345" s="1"/>
      <c r="L345" s="1"/>
    </row>
    <row r="346" ht="14.25" customHeight="1">
      <c r="A346" s="52"/>
      <c r="B346" s="52"/>
      <c r="C346" s="53"/>
      <c r="D346" s="1"/>
      <c r="E346" s="1"/>
      <c r="F346" s="1"/>
      <c r="G346" s="1"/>
      <c r="H346" s="1"/>
      <c r="I346" s="1"/>
      <c r="J346" s="1"/>
      <c r="K346" s="1"/>
      <c r="L346" s="1"/>
    </row>
    <row r="347" ht="14.25" customHeight="1">
      <c r="A347" s="52"/>
      <c r="B347" s="52"/>
      <c r="C347" s="53"/>
      <c r="D347" s="1"/>
      <c r="E347" s="1"/>
      <c r="F347" s="1"/>
      <c r="G347" s="1"/>
      <c r="H347" s="1"/>
      <c r="I347" s="1"/>
      <c r="J347" s="1"/>
      <c r="K347" s="1"/>
      <c r="L347" s="1"/>
    </row>
    <row r="348" ht="14.25" customHeight="1">
      <c r="A348" s="52"/>
      <c r="B348" s="52"/>
      <c r="C348" s="53"/>
      <c r="D348" s="1"/>
      <c r="E348" s="1"/>
      <c r="F348" s="1"/>
      <c r="G348" s="1"/>
      <c r="H348" s="1"/>
      <c r="I348" s="1"/>
      <c r="J348" s="1"/>
      <c r="K348" s="1"/>
      <c r="L348" s="1"/>
    </row>
    <row r="349" ht="14.25" customHeight="1">
      <c r="A349" s="52"/>
      <c r="B349" s="52"/>
      <c r="C349" s="53"/>
      <c r="D349" s="1"/>
      <c r="E349" s="1"/>
      <c r="F349" s="1"/>
      <c r="G349" s="1"/>
      <c r="H349" s="1"/>
      <c r="I349" s="1"/>
      <c r="J349" s="1"/>
      <c r="K349" s="1"/>
      <c r="L349" s="1"/>
    </row>
    <row r="350" ht="14.25" customHeight="1">
      <c r="A350" s="52"/>
      <c r="B350" s="52"/>
      <c r="C350" s="53"/>
      <c r="D350" s="1"/>
      <c r="E350" s="1"/>
      <c r="F350" s="1"/>
      <c r="G350" s="1"/>
      <c r="H350" s="1"/>
      <c r="I350" s="1"/>
      <c r="J350" s="1"/>
      <c r="K350" s="1"/>
      <c r="L350" s="1"/>
    </row>
    <row r="351" ht="14.25" customHeight="1">
      <c r="A351" s="52"/>
      <c r="B351" s="52"/>
      <c r="C351" s="53"/>
      <c r="D351" s="1"/>
      <c r="E351" s="1"/>
      <c r="F351" s="1"/>
      <c r="G351" s="1"/>
      <c r="H351" s="1"/>
      <c r="I351" s="1"/>
      <c r="J351" s="1"/>
      <c r="K351" s="1"/>
      <c r="L351" s="1"/>
    </row>
    <row r="352" ht="14.25" customHeight="1">
      <c r="A352" s="52"/>
      <c r="B352" s="52"/>
      <c r="C352" s="53"/>
      <c r="D352" s="1"/>
      <c r="E352" s="1"/>
      <c r="F352" s="1"/>
      <c r="G352" s="1"/>
      <c r="H352" s="1"/>
      <c r="I352" s="1"/>
      <c r="J352" s="1"/>
      <c r="K352" s="1"/>
      <c r="L352" s="1"/>
    </row>
    <row r="353" ht="14.25" customHeight="1">
      <c r="A353" s="52"/>
      <c r="B353" s="52"/>
      <c r="C353" s="53"/>
      <c r="D353" s="1"/>
      <c r="E353" s="1"/>
      <c r="F353" s="1"/>
      <c r="G353" s="1"/>
      <c r="H353" s="1"/>
      <c r="I353" s="1"/>
      <c r="J353" s="1"/>
      <c r="K353" s="1"/>
      <c r="L353" s="1"/>
    </row>
    <row r="354" ht="14.25" customHeight="1">
      <c r="A354" s="52"/>
      <c r="B354" s="52"/>
      <c r="C354" s="53"/>
      <c r="D354" s="1"/>
      <c r="E354" s="1"/>
      <c r="F354" s="1"/>
      <c r="G354" s="1"/>
      <c r="H354" s="1"/>
      <c r="I354" s="1"/>
      <c r="J354" s="1"/>
      <c r="K354" s="1"/>
      <c r="L354" s="1"/>
    </row>
    <row r="355" ht="14.25" customHeight="1">
      <c r="A355" s="52"/>
      <c r="B355" s="52"/>
      <c r="C355" s="53"/>
      <c r="D355" s="1"/>
      <c r="E355" s="1"/>
      <c r="F355" s="1"/>
      <c r="G355" s="1"/>
      <c r="H355" s="1"/>
      <c r="I355" s="1"/>
      <c r="J355" s="1"/>
      <c r="K355" s="1"/>
      <c r="L355" s="1"/>
    </row>
    <row r="356" ht="14.25" customHeight="1">
      <c r="A356" s="52"/>
      <c r="B356" s="52"/>
      <c r="C356" s="53"/>
      <c r="D356" s="1"/>
      <c r="E356" s="1"/>
      <c r="F356" s="1"/>
      <c r="G356" s="1"/>
      <c r="H356" s="1"/>
      <c r="I356" s="1"/>
      <c r="J356" s="1"/>
      <c r="K356" s="1"/>
      <c r="L356" s="1"/>
    </row>
    <row r="357" ht="14.25" customHeight="1">
      <c r="A357" s="52"/>
      <c r="B357" s="52"/>
      <c r="C357" s="53"/>
      <c r="D357" s="1"/>
      <c r="E357" s="1"/>
      <c r="F357" s="1"/>
      <c r="G357" s="1"/>
      <c r="H357" s="1"/>
      <c r="I357" s="1"/>
      <c r="J357" s="1"/>
      <c r="K357" s="1"/>
      <c r="L357" s="1"/>
    </row>
    <row r="358" ht="14.25" customHeight="1">
      <c r="A358" s="52"/>
      <c r="B358" s="52"/>
      <c r="C358" s="53"/>
      <c r="D358" s="1"/>
      <c r="E358" s="1"/>
      <c r="F358" s="1"/>
      <c r="G358" s="1"/>
      <c r="H358" s="1"/>
      <c r="I358" s="1"/>
      <c r="J358" s="1"/>
      <c r="K358" s="1"/>
      <c r="L358" s="1"/>
    </row>
    <row r="359" ht="14.25" customHeight="1">
      <c r="A359" s="52"/>
      <c r="B359" s="52"/>
      <c r="C359" s="53"/>
      <c r="D359" s="1"/>
      <c r="E359" s="1"/>
      <c r="F359" s="1"/>
      <c r="G359" s="1"/>
      <c r="H359" s="1"/>
      <c r="I359" s="1"/>
      <c r="J359" s="1"/>
      <c r="K359" s="1"/>
      <c r="L359" s="1"/>
    </row>
    <row r="360" ht="14.25" customHeight="1">
      <c r="A360" s="52"/>
      <c r="B360" s="52"/>
      <c r="C360" s="53"/>
      <c r="D360" s="1"/>
      <c r="E360" s="1"/>
      <c r="F360" s="1"/>
      <c r="G360" s="1"/>
      <c r="H360" s="1"/>
      <c r="I360" s="1"/>
      <c r="J360" s="1"/>
      <c r="K360" s="1"/>
      <c r="L360" s="1"/>
    </row>
    <row r="361" ht="14.25" customHeight="1">
      <c r="A361" s="52"/>
      <c r="B361" s="52"/>
      <c r="C361" s="53"/>
      <c r="D361" s="1"/>
      <c r="E361" s="1"/>
      <c r="F361" s="1"/>
      <c r="G361" s="1"/>
      <c r="H361" s="1"/>
      <c r="I361" s="1"/>
      <c r="J361" s="1"/>
      <c r="K361" s="1"/>
      <c r="L361" s="1"/>
    </row>
    <row r="362" ht="14.25" customHeight="1">
      <c r="A362" s="52"/>
      <c r="B362" s="52"/>
      <c r="C362" s="53"/>
      <c r="D362" s="1"/>
      <c r="E362" s="1"/>
      <c r="F362" s="1"/>
      <c r="G362" s="1"/>
      <c r="H362" s="1"/>
      <c r="I362" s="1"/>
      <c r="J362" s="1"/>
      <c r="K362" s="1"/>
      <c r="L362" s="1"/>
    </row>
    <row r="363" ht="14.25" customHeight="1">
      <c r="A363" s="52"/>
      <c r="B363" s="52"/>
      <c r="C363" s="53"/>
      <c r="D363" s="1"/>
      <c r="E363" s="1"/>
      <c r="F363" s="1"/>
      <c r="G363" s="1"/>
      <c r="H363" s="1"/>
      <c r="I363" s="1"/>
      <c r="J363" s="1"/>
      <c r="K363" s="1"/>
      <c r="L363" s="1"/>
    </row>
    <row r="364" ht="14.25" customHeight="1">
      <c r="A364" s="52"/>
      <c r="B364" s="52"/>
      <c r="C364" s="53"/>
      <c r="D364" s="1"/>
      <c r="E364" s="1"/>
      <c r="F364" s="1"/>
      <c r="G364" s="1"/>
      <c r="H364" s="1"/>
      <c r="I364" s="1"/>
      <c r="J364" s="1"/>
      <c r="K364" s="1"/>
      <c r="L364" s="1"/>
    </row>
    <row r="365" ht="14.25" customHeight="1">
      <c r="A365" s="52"/>
      <c r="B365" s="52"/>
      <c r="C365" s="53"/>
      <c r="D365" s="1"/>
      <c r="E365" s="1"/>
      <c r="F365" s="1"/>
      <c r="G365" s="1"/>
      <c r="H365" s="1"/>
      <c r="I365" s="1"/>
      <c r="J365" s="1"/>
      <c r="K365" s="1"/>
      <c r="L365" s="1"/>
    </row>
    <row r="366" ht="14.25" customHeight="1">
      <c r="A366" s="52"/>
      <c r="B366" s="52"/>
      <c r="C366" s="53"/>
      <c r="D366" s="1"/>
      <c r="E366" s="1"/>
      <c r="F366" s="1"/>
      <c r="G366" s="1"/>
      <c r="H366" s="1"/>
      <c r="I366" s="1"/>
      <c r="J366" s="1"/>
      <c r="K366" s="1"/>
      <c r="L366" s="1"/>
    </row>
    <row r="367" ht="14.25" customHeight="1">
      <c r="A367" s="52"/>
      <c r="B367" s="52"/>
      <c r="C367" s="53"/>
      <c r="D367" s="1"/>
      <c r="E367" s="1"/>
      <c r="F367" s="1"/>
      <c r="G367" s="1"/>
      <c r="H367" s="1"/>
      <c r="I367" s="1"/>
      <c r="J367" s="1"/>
      <c r="K367" s="1"/>
      <c r="L367" s="1"/>
    </row>
    <row r="368" ht="14.25" customHeight="1">
      <c r="A368" s="52"/>
      <c r="B368" s="52"/>
      <c r="C368" s="53"/>
      <c r="D368" s="1"/>
      <c r="E368" s="1"/>
      <c r="F368" s="1"/>
      <c r="G368" s="1"/>
      <c r="H368" s="1"/>
      <c r="I368" s="1"/>
      <c r="J368" s="1"/>
      <c r="K368" s="1"/>
      <c r="L368" s="1"/>
    </row>
    <row r="369" ht="14.25" customHeight="1">
      <c r="A369" s="52"/>
      <c r="B369" s="52"/>
      <c r="C369" s="53"/>
      <c r="D369" s="1"/>
      <c r="E369" s="1"/>
      <c r="F369" s="1"/>
      <c r="G369" s="1"/>
      <c r="H369" s="1"/>
      <c r="I369" s="1"/>
      <c r="J369" s="1"/>
      <c r="K369" s="1"/>
      <c r="L369" s="1"/>
    </row>
    <row r="370" ht="14.25" customHeight="1">
      <c r="A370" s="52"/>
      <c r="B370" s="52"/>
      <c r="C370" s="53"/>
      <c r="D370" s="1"/>
      <c r="E370" s="1"/>
      <c r="F370" s="1"/>
      <c r="G370" s="1"/>
      <c r="H370" s="1"/>
      <c r="I370" s="1"/>
      <c r="J370" s="1"/>
      <c r="K370" s="1"/>
      <c r="L370" s="1"/>
    </row>
    <row r="371" ht="14.25" customHeight="1">
      <c r="A371" s="52"/>
      <c r="B371" s="52"/>
      <c r="C371" s="53"/>
      <c r="D371" s="1"/>
      <c r="E371" s="1"/>
      <c r="F371" s="1"/>
      <c r="G371" s="1"/>
      <c r="H371" s="1"/>
      <c r="I371" s="1"/>
      <c r="J371" s="1"/>
      <c r="K371" s="1"/>
      <c r="L371" s="1"/>
    </row>
    <row r="372" ht="14.25" customHeight="1">
      <c r="A372" s="52"/>
      <c r="B372" s="52"/>
      <c r="C372" s="53"/>
      <c r="D372" s="1"/>
      <c r="E372" s="1"/>
      <c r="F372" s="1"/>
      <c r="G372" s="1"/>
      <c r="H372" s="1"/>
      <c r="I372" s="1"/>
      <c r="J372" s="1"/>
      <c r="K372" s="1"/>
      <c r="L372" s="1"/>
    </row>
    <row r="373" ht="14.25" customHeight="1">
      <c r="A373" s="52"/>
      <c r="B373" s="52"/>
      <c r="C373" s="53"/>
      <c r="D373" s="1"/>
      <c r="E373" s="1"/>
      <c r="F373" s="1"/>
      <c r="G373" s="1"/>
      <c r="H373" s="1"/>
      <c r="I373" s="1"/>
      <c r="J373" s="1"/>
      <c r="K373" s="1"/>
      <c r="L373" s="1"/>
    </row>
    <row r="374" ht="14.25" customHeight="1">
      <c r="A374" s="52"/>
      <c r="B374" s="52"/>
      <c r="C374" s="53"/>
      <c r="D374" s="1"/>
      <c r="E374" s="1"/>
      <c r="F374" s="1"/>
      <c r="G374" s="1"/>
      <c r="H374" s="1"/>
      <c r="I374" s="1"/>
      <c r="J374" s="1"/>
      <c r="K374" s="1"/>
      <c r="L374" s="1"/>
    </row>
    <row r="375" ht="14.25" customHeight="1">
      <c r="A375" s="52"/>
      <c r="B375" s="52"/>
      <c r="C375" s="53"/>
      <c r="D375" s="1"/>
      <c r="E375" s="1"/>
      <c r="F375" s="1"/>
      <c r="G375" s="1"/>
      <c r="H375" s="1"/>
      <c r="I375" s="1"/>
      <c r="J375" s="1"/>
      <c r="K375" s="1"/>
      <c r="L375" s="1"/>
    </row>
    <row r="376" ht="14.25" customHeight="1">
      <c r="A376" s="52"/>
      <c r="B376" s="52"/>
      <c r="C376" s="53"/>
      <c r="D376" s="1"/>
      <c r="E376" s="1"/>
      <c r="F376" s="1"/>
      <c r="G376" s="1"/>
      <c r="H376" s="1"/>
      <c r="I376" s="1"/>
      <c r="J376" s="1"/>
      <c r="K376" s="1"/>
      <c r="L376" s="1"/>
    </row>
    <row r="377" ht="14.25" customHeight="1">
      <c r="A377" s="52"/>
      <c r="B377" s="52"/>
      <c r="C377" s="53"/>
      <c r="D377" s="1"/>
      <c r="E377" s="1"/>
      <c r="F377" s="1"/>
      <c r="G377" s="1"/>
      <c r="H377" s="1"/>
      <c r="I377" s="1"/>
      <c r="J377" s="1"/>
      <c r="K377" s="1"/>
      <c r="L377" s="1"/>
    </row>
    <row r="378" ht="14.25" customHeight="1">
      <c r="A378" s="52"/>
      <c r="B378" s="52"/>
      <c r="C378" s="53"/>
      <c r="D378" s="1"/>
      <c r="E378" s="1"/>
      <c r="F378" s="1"/>
      <c r="G378" s="1"/>
      <c r="H378" s="1"/>
      <c r="I378" s="1"/>
      <c r="J378" s="1"/>
      <c r="K378" s="1"/>
      <c r="L378" s="1"/>
    </row>
    <row r="379" ht="14.25" customHeight="1">
      <c r="A379" s="52"/>
      <c r="B379" s="52"/>
      <c r="C379" s="53"/>
      <c r="D379" s="1"/>
      <c r="E379" s="1"/>
      <c r="F379" s="1"/>
      <c r="G379" s="1"/>
      <c r="H379" s="1"/>
      <c r="I379" s="1"/>
      <c r="J379" s="1"/>
      <c r="K379" s="1"/>
      <c r="L379" s="1"/>
    </row>
    <row r="380" ht="14.25" customHeight="1">
      <c r="A380" s="52"/>
      <c r="B380" s="52"/>
      <c r="C380" s="53"/>
      <c r="D380" s="1"/>
      <c r="E380" s="1"/>
      <c r="F380" s="1"/>
      <c r="G380" s="1"/>
      <c r="H380" s="1"/>
      <c r="I380" s="1"/>
      <c r="J380" s="1"/>
      <c r="K380" s="1"/>
      <c r="L380" s="1"/>
    </row>
    <row r="381" ht="14.25" customHeight="1">
      <c r="A381" s="52"/>
      <c r="B381" s="52"/>
      <c r="C381" s="53"/>
      <c r="D381" s="1"/>
      <c r="E381" s="1"/>
      <c r="F381" s="1"/>
      <c r="G381" s="1"/>
      <c r="H381" s="1"/>
      <c r="I381" s="1"/>
      <c r="J381" s="1"/>
      <c r="K381" s="1"/>
      <c r="L381" s="1"/>
    </row>
    <row r="382" ht="14.25" customHeight="1">
      <c r="A382" s="52"/>
      <c r="B382" s="52"/>
      <c r="C382" s="53"/>
      <c r="D382" s="1"/>
      <c r="E382" s="1"/>
      <c r="F382" s="1"/>
      <c r="G382" s="1"/>
      <c r="H382" s="1"/>
      <c r="I382" s="1"/>
      <c r="J382" s="1"/>
      <c r="K382" s="1"/>
      <c r="L382" s="1"/>
    </row>
    <row r="383" ht="14.25" customHeight="1">
      <c r="A383" s="52"/>
      <c r="B383" s="52"/>
      <c r="C383" s="53"/>
      <c r="D383" s="1"/>
      <c r="E383" s="1"/>
      <c r="F383" s="1"/>
      <c r="G383" s="1"/>
      <c r="H383" s="1"/>
      <c r="I383" s="1"/>
      <c r="J383" s="1"/>
      <c r="K383" s="1"/>
      <c r="L383" s="1"/>
    </row>
    <row r="384" ht="14.25" customHeight="1">
      <c r="A384" s="52"/>
      <c r="B384" s="52"/>
      <c r="C384" s="53"/>
      <c r="D384" s="1"/>
      <c r="E384" s="1"/>
      <c r="F384" s="1"/>
      <c r="G384" s="1"/>
      <c r="H384" s="1"/>
      <c r="I384" s="1"/>
      <c r="J384" s="1"/>
      <c r="K384" s="1"/>
      <c r="L384" s="1"/>
    </row>
    <row r="385" ht="14.25" customHeight="1">
      <c r="A385" s="52"/>
      <c r="B385" s="52"/>
      <c r="C385" s="53"/>
      <c r="D385" s="1"/>
      <c r="E385" s="1"/>
      <c r="F385" s="1"/>
      <c r="G385" s="1"/>
      <c r="H385" s="1"/>
      <c r="I385" s="1"/>
      <c r="J385" s="1"/>
      <c r="K385" s="1"/>
      <c r="L385" s="1"/>
    </row>
    <row r="386" ht="14.25" customHeight="1">
      <c r="A386" s="52"/>
      <c r="B386" s="52"/>
      <c r="C386" s="53"/>
      <c r="D386" s="1"/>
      <c r="E386" s="1"/>
      <c r="F386" s="1"/>
      <c r="G386" s="1"/>
      <c r="H386" s="1"/>
      <c r="I386" s="1"/>
      <c r="J386" s="1"/>
      <c r="K386" s="1"/>
      <c r="L386" s="1"/>
    </row>
    <row r="387" ht="14.25" customHeight="1">
      <c r="A387" s="52"/>
      <c r="B387" s="52"/>
      <c r="C387" s="53"/>
      <c r="D387" s="1"/>
      <c r="E387" s="1"/>
      <c r="F387" s="1"/>
      <c r="G387" s="1"/>
      <c r="H387" s="1"/>
      <c r="I387" s="1"/>
      <c r="J387" s="1"/>
      <c r="K387" s="1"/>
      <c r="L387" s="1"/>
    </row>
    <row r="388" ht="14.25" customHeight="1">
      <c r="A388" s="52"/>
      <c r="B388" s="52"/>
      <c r="C388" s="53"/>
      <c r="D388" s="1"/>
      <c r="E388" s="1"/>
      <c r="F388" s="1"/>
      <c r="G388" s="1"/>
      <c r="H388" s="1"/>
      <c r="I388" s="1"/>
      <c r="J388" s="1"/>
      <c r="K388" s="1"/>
      <c r="L388" s="1"/>
    </row>
    <row r="389" ht="14.25" customHeight="1">
      <c r="A389" s="52"/>
      <c r="B389" s="52"/>
      <c r="C389" s="53"/>
      <c r="D389" s="1"/>
      <c r="E389" s="1"/>
      <c r="F389" s="1"/>
      <c r="G389" s="1"/>
      <c r="H389" s="1"/>
      <c r="I389" s="1"/>
      <c r="J389" s="1"/>
      <c r="K389" s="1"/>
      <c r="L389" s="1"/>
    </row>
    <row r="390" ht="14.25" customHeight="1">
      <c r="A390" s="52"/>
      <c r="B390" s="52"/>
      <c r="C390" s="53"/>
      <c r="D390" s="1"/>
      <c r="E390" s="1"/>
      <c r="F390" s="1"/>
      <c r="G390" s="1"/>
      <c r="H390" s="1"/>
      <c r="I390" s="1"/>
      <c r="J390" s="1"/>
      <c r="K390" s="1"/>
      <c r="L390" s="1"/>
    </row>
    <row r="391" ht="14.25" customHeight="1">
      <c r="A391" s="52"/>
      <c r="B391" s="52"/>
      <c r="C391" s="53"/>
      <c r="D391" s="1"/>
      <c r="E391" s="1"/>
      <c r="F391" s="1"/>
      <c r="G391" s="1"/>
      <c r="H391" s="1"/>
      <c r="I391" s="1"/>
      <c r="J391" s="1"/>
      <c r="K391" s="1"/>
      <c r="L391" s="1"/>
    </row>
    <row r="392" ht="14.25" customHeight="1">
      <c r="A392" s="52"/>
      <c r="B392" s="52"/>
      <c r="C392" s="53"/>
      <c r="D392" s="1"/>
      <c r="E392" s="1"/>
      <c r="F392" s="1"/>
      <c r="G392" s="1"/>
      <c r="H392" s="1"/>
      <c r="I392" s="1"/>
      <c r="J392" s="1"/>
      <c r="K392" s="1"/>
      <c r="L392" s="1"/>
    </row>
    <row r="393" ht="14.25" customHeight="1">
      <c r="A393" s="52"/>
      <c r="B393" s="52"/>
      <c r="C393" s="53"/>
      <c r="D393" s="1"/>
      <c r="E393" s="1"/>
      <c r="F393" s="1"/>
      <c r="G393" s="1"/>
      <c r="H393" s="1"/>
      <c r="I393" s="1"/>
      <c r="J393" s="1"/>
      <c r="K393" s="1"/>
      <c r="L393" s="1"/>
    </row>
    <row r="394" ht="14.25" customHeight="1">
      <c r="A394" s="52"/>
      <c r="B394" s="52"/>
      <c r="C394" s="53"/>
      <c r="D394" s="1"/>
      <c r="E394" s="1"/>
      <c r="F394" s="1"/>
      <c r="G394" s="1"/>
      <c r="H394" s="1"/>
      <c r="I394" s="1"/>
      <c r="J394" s="1"/>
      <c r="K394" s="1"/>
      <c r="L394" s="1"/>
    </row>
    <row r="395" ht="14.25" customHeight="1">
      <c r="A395" s="52"/>
      <c r="B395" s="52"/>
      <c r="C395" s="53"/>
      <c r="D395" s="1"/>
      <c r="E395" s="1"/>
      <c r="F395" s="1"/>
      <c r="G395" s="1"/>
      <c r="H395" s="1"/>
      <c r="I395" s="1"/>
      <c r="J395" s="1"/>
      <c r="K395" s="1"/>
      <c r="L395" s="1"/>
    </row>
    <row r="396" ht="14.25" customHeight="1">
      <c r="A396" s="52"/>
      <c r="B396" s="52"/>
      <c r="C396" s="53"/>
      <c r="D396" s="1"/>
      <c r="E396" s="1"/>
      <c r="F396" s="1"/>
      <c r="G396" s="1"/>
      <c r="H396" s="1"/>
      <c r="I396" s="1"/>
      <c r="J396" s="1"/>
      <c r="K396" s="1"/>
      <c r="L396" s="1"/>
    </row>
    <row r="397" ht="14.25" customHeight="1">
      <c r="A397" s="52"/>
      <c r="B397" s="52"/>
      <c r="C397" s="53"/>
      <c r="D397" s="1"/>
      <c r="E397" s="1"/>
      <c r="F397" s="1"/>
      <c r="G397" s="1"/>
      <c r="H397" s="1"/>
      <c r="I397" s="1"/>
      <c r="J397" s="1"/>
      <c r="K397" s="1"/>
      <c r="L397" s="1"/>
    </row>
    <row r="398" ht="14.25" customHeight="1">
      <c r="A398" s="52"/>
      <c r="B398" s="52"/>
      <c r="C398" s="53"/>
      <c r="D398" s="1"/>
      <c r="E398" s="1"/>
      <c r="F398" s="1"/>
      <c r="G398" s="1"/>
      <c r="H398" s="1"/>
      <c r="I398" s="1"/>
      <c r="J398" s="1"/>
      <c r="K398" s="1"/>
      <c r="L398" s="1"/>
    </row>
    <row r="399" ht="14.25" customHeight="1">
      <c r="A399" s="52"/>
      <c r="B399" s="52"/>
      <c r="C399" s="53"/>
      <c r="D399" s="1"/>
      <c r="E399" s="1"/>
      <c r="F399" s="1"/>
      <c r="G399" s="1"/>
      <c r="H399" s="1"/>
      <c r="I399" s="1"/>
      <c r="J399" s="1"/>
      <c r="K399" s="1"/>
      <c r="L399" s="1"/>
    </row>
    <row r="400" ht="14.25" customHeight="1">
      <c r="A400" s="52"/>
      <c r="B400" s="52"/>
      <c r="C400" s="53"/>
      <c r="D400" s="1"/>
      <c r="E400" s="1"/>
      <c r="F400" s="1"/>
      <c r="G400" s="1"/>
      <c r="H400" s="1"/>
      <c r="I400" s="1"/>
      <c r="J400" s="1"/>
      <c r="K400" s="1"/>
      <c r="L400" s="1"/>
    </row>
    <row r="401" ht="14.25" customHeight="1">
      <c r="A401" s="52"/>
      <c r="B401" s="52"/>
      <c r="C401" s="53"/>
      <c r="D401" s="1"/>
      <c r="E401" s="1"/>
      <c r="F401" s="1"/>
      <c r="G401" s="1"/>
      <c r="H401" s="1"/>
      <c r="I401" s="1"/>
      <c r="J401" s="1"/>
      <c r="K401" s="1"/>
      <c r="L401" s="1"/>
    </row>
    <row r="402" ht="14.25" customHeight="1">
      <c r="A402" s="52"/>
      <c r="B402" s="52"/>
      <c r="C402" s="53"/>
      <c r="D402" s="1"/>
      <c r="E402" s="1"/>
      <c r="F402" s="1"/>
      <c r="G402" s="1"/>
      <c r="H402" s="1"/>
      <c r="I402" s="1"/>
      <c r="J402" s="1"/>
      <c r="K402" s="1"/>
      <c r="L402" s="1"/>
    </row>
    <row r="403" ht="14.25" customHeight="1">
      <c r="A403" s="52"/>
      <c r="B403" s="52"/>
      <c r="C403" s="53"/>
      <c r="D403" s="1"/>
      <c r="E403" s="1"/>
      <c r="F403" s="1"/>
      <c r="G403" s="1"/>
      <c r="H403" s="1"/>
      <c r="I403" s="1"/>
      <c r="J403" s="1"/>
      <c r="K403" s="1"/>
      <c r="L403" s="1"/>
    </row>
    <row r="404" ht="14.25" customHeight="1">
      <c r="A404" s="52"/>
      <c r="B404" s="52"/>
      <c r="C404" s="53"/>
      <c r="D404" s="1"/>
      <c r="E404" s="1"/>
      <c r="F404" s="1"/>
      <c r="G404" s="1"/>
      <c r="H404" s="1"/>
      <c r="I404" s="1"/>
      <c r="J404" s="1"/>
      <c r="K404" s="1"/>
      <c r="L404" s="1"/>
    </row>
    <row r="405" ht="14.25" customHeight="1">
      <c r="A405" s="52"/>
      <c r="B405" s="52"/>
      <c r="C405" s="53"/>
      <c r="D405" s="1"/>
      <c r="E405" s="1"/>
      <c r="F405" s="1"/>
      <c r="G405" s="1"/>
      <c r="H405" s="1"/>
      <c r="I405" s="1"/>
      <c r="J405" s="1"/>
      <c r="K405" s="1"/>
      <c r="L405" s="1"/>
    </row>
    <row r="406" ht="14.25" customHeight="1">
      <c r="A406" s="52"/>
      <c r="B406" s="52"/>
      <c r="C406" s="53"/>
      <c r="D406" s="1"/>
      <c r="E406" s="1"/>
      <c r="F406" s="1"/>
      <c r="G406" s="1"/>
      <c r="H406" s="1"/>
      <c r="I406" s="1"/>
      <c r="J406" s="1"/>
      <c r="K406" s="1"/>
      <c r="L406" s="1"/>
    </row>
    <row r="407" ht="14.25" customHeight="1">
      <c r="A407" s="52"/>
      <c r="B407" s="52"/>
      <c r="C407" s="53"/>
      <c r="D407" s="1"/>
      <c r="E407" s="1"/>
      <c r="F407" s="1"/>
      <c r="G407" s="1"/>
      <c r="H407" s="1"/>
      <c r="I407" s="1"/>
      <c r="J407" s="1"/>
      <c r="K407" s="1"/>
      <c r="L407" s="1"/>
    </row>
    <row r="408" ht="14.25" customHeight="1">
      <c r="A408" s="52"/>
      <c r="B408" s="52"/>
      <c r="C408" s="53"/>
      <c r="D408" s="1"/>
      <c r="E408" s="1"/>
      <c r="F408" s="1"/>
      <c r="G408" s="1"/>
      <c r="H408" s="1"/>
      <c r="I408" s="1"/>
      <c r="J408" s="1"/>
      <c r="K408" s="1"/>
      <c r="L408" s="1"/>
    </row>
    <row r="409" ht="14.25" customHeight="1">
      <c r="A409" s="52"/>
      <c r="B409" s="52"/>
      <c r="C409" s="53"/>
      <c r="D409" s="1"/>
      <c r="E409" s="1"/>
      <c r="F409" s="1"/>
      <c r="G409" s="1"/>
      <c r="H409" s="1"/>
      <c r="I409" s="1"/>
      <c r="J409" s="1"/>
      <c r="K409" s="1"/>
      <c r="L409" s="1"/>
    </row>
    <row r="410" ht="14.25" customHeight="1">
      <c r="A410" s="52"/>
      <c r="B410" s="52"/>
      <c r="C410" s="53"/>
      <c r="D410" s="1"/>
      <c r="E410" s="1"/>
      <c r="F410" s="1"/>
      <c r="G410" s="1"/>
      <c r="H410" s="1"/>
      <c r="I410" s="1"/>
      <c r="J410" s="1"/>
      <c r="K410" s="1"/>
      <c r="L410" s="1"/>
    </row>
    <row r="411" ht="14.25" customHeight="1">
      <c r="A411" s="52"/>
      <c r="B411" s="52"/>
      <c r="C411" s="53"/>
      <c r="D411" s="1"/>
      <c r="E411" s="1"/>
      <c r="F411" s="1"/>
      <c r="G411" s="1"/>
      <c r="H411" s="1"/>
      <c r="I411" s="1"/>
      <c r="J411" s="1"/>
      <c r="K411" s="1"/>
      <c r="L411" s="1"/>
    </row>
    <row r="412" ht="14.25" customHeight="1">
      <c r="A412" s="52"/>
      <c r="B412" s="52"/>
      <c r="C412" s="53"/>
      <c r="D412" s="1"/>
      <c r="E412" s="1"/>
      <c r="F412" s="1"/>
      <c r="G412" s="1"/>
      <c r="H412" s="1"/>
      <c r="I412" s="1"/>
      <c r="J412" s="1"/>
      <c r="K412" s="1"/>
      <c r="L412" s="1"/>
    </row>
    <row r="413" ht="14.25" customHeight="1">
      <c r="A413" s="52"/>
      <c r="B413" s="52"/>
      <c r="C413" s="53"/>
      <c r="D413" s="1"/>
      <c r="E413" s="1"/>
      <c r="F413" s="1"/>
      <c r="G413" s="1"/>
      <c r="H413" s="1"/>
      <c r="I413" s="1"/>
      <c r="J413" s="1"/>
      <c r="K413" s="1"/>
      <c r="L413" s="1"/>
    </row>
    <row r="414" ht="14.25" customHeight="1">
      <c r="A414" s="52"/>
      <c r="B414" s="52"/>
      <c r="C414" s="53"/>
      <c r="D414" s="1"/>
      <c r="E414" s="1"/>
      <c r="F414" s="1"/>
      <c r="G414" s="1"/>
      <c r="H414" s="1"/>
      <c r="I414" s="1"/>
      <c r="J414" s="1"/>
      <c r="K414" s="1"/>
      <c r="L414" s="1"/>
    </row>
    <row r="415" ht="14.25" customHeight="1">
      <c r="A415" s="52"/>
      <c r="B415" s="52"/>
      <c r="C415" s="53"/>
      <c r="D415" s="1"/>
      <c r="E415" s="1"/>
      <c r="F415" s="1"/>
      <c r="G415" s="1"/>
      <c r="H415" s="1"/>
      <c r="I415" s="1"/>
      <c r="J415" s="1"/>
      <c r="K415" s="1"/>
      <c r="L415" s="1"/>
    </row>
    <row r="416" ht="14.25" customHeight="1">
      <c r="A416" s="52"/>
      <c r="B416" s="52"/>
      <c r="C416" s="53"/>
      <c r="D416" s="1"/>
      <c r="E416" s="1"/>
      <c r="F416" s="1"/>
      <c r="G416" s="1"/>
      <c r="H416" s="1"/>
      <c r="I416" s="1"/>
      <c r="J416" s="1"/>
      <c r="K416" s="1"/>
      <c r="L416" s="1"/>
    </row>
    <row r="417" ht="14.25" customHeight="1">
      <c r="A417" s="52"/>
      <c r="B417" s="52"/>
      <c r="C417" s="53"/>
      <c r="D417" s="1"/>
      <c r="E417" s="1"/>
      <c r="F417" s="1"/>
      <c r="G417" s="1"/>
      <c r="H417" s="1"/>
      <c r="I417" s="1"/>
      <c r="J417" s="1"/>
      <c r="K417" s="1"/>
      <c r="L417" s="1"/>
    </row>
    <row r="418" ht="14.25" customHeight="1">
      <c r="A418" s="52"/>
      <c r="B418" s="52"/>
      <c r="C418" s="53"/>
      <c r="D418" s="1"/>
      <c r="E418" s="1"/>
      <c r="F418" s="1"/>
      <c r="G418" s="1"/>
      <c r="H418" s="1"/>
      <c r="I418" s="1"/>
      <c r="J418" s="1"/>
      <c r="K418" s="1"/>
      <c r="L418" s="1"/>
    </row>
    <row r="419" ht="14.25" customHeight="1">
      <c r="A419" s="52"/>
      <c r="B419" s="52"/>
      <c r="C419" s="53"/>
      <c r="D419" s="1"/>
      <c r="E419" s="1"/>
      <c r="F419" s="1"/>
      <c r="G419" s="1"/>
      <c r="H419" s="1"/>
      <c r="I419" s="1"/>
      <c r="J419" s="1"/>
      <c r="K419" s="1"/>
      <c r="L419" s="1"/>
    </row>
    <row r="420" ht="14.25" customHeight="1">
      <c r="A420" s="52"/>
      <c r="B420" s="52"/>
      <c r="C420" s="53"/>
      <c r="D420" s="1"/>
      <c r="E420" s="1"/>
      <c r="F420" s="1"/>
      <c r="G420" s="1"/>
      <c r="H420" s="1"/>
      <c r="I420" s="1"/>
      <c r="J420" s="1"/>
      <c r="K420" s="1"/>
      <c r="L420" s="1"/>
    </row>
    <row r="421" ht="14.25" customHeight="1">
      <c r="A421" s="52"/>
      <c r="B421" s="52"/>
      <c r="C421" s="53"/>
      <c r="D421" s="1"/>
      <c r="E421" s="1"/>
      <c r="F421" s="1"/>
      <c r="G421" s="1"/>
      <c r="H421" s="1"/>
      <c r="I421" s="1"/>
      <c r="J421" s="1"/>
      <c r="K421" s="1"/>
      <c r="L421" s="1"/>
    </row>
    <row r="422" ht="14.25" customHeight="1">
      <c r="A422" s="52"/>
      <c r="B422" s="52"/>
      <c r="C422" s="53"/>
      <c r="D422" s="1"/>
      <c r="E422" s="1"/>
      <c r="F422" s="1"/>
      <c r="G422" s="1"/>
      <c r="H422" s="1"/>
      <c r="I422" s="1"/>
      <c r="J422" s="1"/>
      <c r="K422" s="1"/>
      <c r="L422" s="1"/>
    </row>
    <row r="423" ht="14.25" customHeight="1">
      <c r="A423" s="52"/>
      <c r="B423" s="52"/>
      <c r="C423" s="53"/>
      <c r="D423" s="1"/>
      <c r="E423" s="1"/>
      <c r="F423" s="1"/>
      <c r="G423" s="1"/>
      <c r="H423" s="1"/>
      <c r="I423" s="1"/>
      <c r="J423" s="1"/>
      <c r="K423" s="1"/>
      <c r="L423" s="1"/>
    </row>
    <row r="424" ht="14.25" customHeight="1">
      <c r="A424" s="52"/>
      <c r="B424" s="52"/>
      <c r="C424" s="53"/>
      <c r="D424" s="1"/>
      <c r="E424" s="1"/>
      <c r="F424" s="1"/>
      <c r="G424" s="1"/>
      <c r="H424" s="1"/>
      <c r="I424" s="1"/>
      <c r="J424" s="1"/>
      <c r="K424" s="1"/>
      <c r="L424" s="1"/>
    </row>
    <row r="425" ht="14.25" customHeight="1">
      <c r="A425" s="52"/>
      <c r="B425" s="52"/>
      <c r="C425" s="53"/>
      <c r="D425" s="1"/>
      <c r="E425" s="1"/>
      <c r="F425" s="1"/>
      <c r="G425" s="1"/>
      <c r="H425" s="1"/>
      <c r="I425" s="1"/>
      <c r="J425" s="1"/>
      <c r="K425" s="1"/>
      <c r="L425" s="1"/>
    </row>
    <row r="426" ht="14.25" customHeight="1">
      <c r="A426" s="52"/>
      <c r="B426" s="52"/>
      <c r="C426" s="53"/>
      <c r="D426" s="1"/>
      <c r="E426" s="1"/>
      <c r="F426" s="1"/>
      <c r="G426" s="1"/>
      <c r="H426" s="1"/>
      <c r="I426" s="1"/>
      <c r="J426" s="1"/>
      <c r="K426" s="1"/>
      <c r="L426" s="1"/>
    </row>
    <row r="427" ht="14.25" customHeight="1">
      <c r="A427" s="52"/>
      <c r="B427" s="52"/>
      <c r="C427" s="53"/>
      <c r="D427" s="1"/>
      <c r="E427" s="1"/>
      <c r="F427" s="1"/>
      <c r="G427" s="1"/>
      <c r="H427" s="1"/>
      <c r="I427" s="1"/>
      <c r="J427" s="1"/>
      <c r="K427" s="1"/>
      <c r="L427" s="1"/>
    </row>
    <row r="428" ht="14.25" customHeight="1">
      <c r="A428" s="52"/>
      <c r="B428" s="52"/>
      <c r="C428" s="53"/>
      <c r="D428" s="1"/>
      <c r="E428" s="1"/>
      <c r="F428" s="1"/>
      <c r="G428" s="1"/>
      <c r="H428" s="1"/>
      <c r="I428" s="1"/>
      <c r="J428" s="1"/>
      <c r="K428" s="1"/>
      <c r="L428" s="1"/>
    </row>
    <row r="429" ht="14.25" customHeight="1">
      <c r="A429" s="52"/>
      <c r="B429" s="52"/>
      <c r="C429" s="53"/>
      <c r="D429" s="1"/>
      <c r="E429" s="1"/>
      <c r="F429" s="1"/>
      <c r="G429" s="1"/>
      <c r="H429" s="1"/>
      <c r="I429" s="1"/>
      <c r="J429" s="1"/>
      <c r="K429" s="1"/>
      <c r="L429" s="1"/>
    </row>
    <row r="430" ht="14.25" customHeight="1">
      <c r="A430" s="52"/>
      <c r="B430" s="52"/>
      <c r="C430" s="53"/>
      <c r="D430" s="1"/>
      <c r="E430" s="1"/>
      <c r="F430" s="1"/>
      <c r="G430" s="1"/>
      <c r="H430" s="1"/>
      <c r="I430" s="1"/>
      <c r="J430" s="1"/>
      <c r="K430" s="1"/>
      <c r="L430" s="1"/>
    </row>
    <row r="431" ht="14.25" customHeight="1">
      <c r="A431" s="52"/>
      <c r="B431" s="52"/>
      <c r="C431" s="53"/>
      <c r="D431" s="1"/>
      <c r="E431" s="1"/>
      <c r="F431" s="1"/>
      <c r="G431" s="1"/>
      <c r="H431" s="1"/>
      <c r="I431" s="1"/>
      <c r="J431" s="1"/>
      <c r="K431" s="1"/>
      <c r="L431" s="1"/>
    </row>
    <row r="432" ht="14.25" customHeight="1">
      <c r="A432" s="52"/>
      <c r="B432" s="52"/>
      <c r="C432" s="53"/>
      <c r="D432" s="1"/>
      <c r="E432" s="1"/>
      <c r="F432" s="1"/>
      <c r="G432" s="1"/>
      <c r="H432" s="1"/>
      <c r="I432" s="1"/>
      <c r="J432" s="1"/>
      <c r="K432" s="1"/>
      <c r="L432" s="1"/>
    </row>
    <row r="433" ht="14.25" customHeight="1">
      <c r="A433" s="52"/>
      <c r="B433" s="52"/>
      <c r="C433" s="53"/>
      <c r="D433" s="1"/>
      <c r="E433" s="1"/>
      <c r="F433" s="1"/>
      <c r="G433" s="1"/>
      <c r="H433" s="1"/>
      <c r="I433" s="1"/>
      <c r="J433" s="1"/>
      <c r="K433" s="1"/>
      <c r="L433" s="1"/>
    </row>
    <row r="434" ht="14.25" customHeight="1">
      <c r="A434" s="52"/>
      <c r="B434" s="52"/>
      <c r="C434" s="53"/>
      <c r="D434" s="1"/>
      <c r="E434" s="1"/>
      <c r="F434" s="1"/>
      <c r="G434" s="1"/>
      <c r="H434" s="1"/>
      <c r="I434" s="1"/>
      <c r="J434" s="1"/>
      <c r="K434" s="1"/>
      <c r="L434" s="1"/>
    </row>
    <row r="435" ht="14.25" customHeight="1">
      <c r="A435" s="52"/>
      <c r="B435" s="52"/>
      <c r="C435" s="53"/>
      <c r="D435" s="1"/>
      <c r="E435" s="1"/>
      <c r="F435" s="1"/>
      <c r="G435" s="1"/>
      <c r="H435" s="1"/>
      <c r="I435" s="1"/>
      <c r="J435" s="1"/>
      <c r="K435" s="1"/>
      <c r="L435" s="1"/>
    </row>
    <row r="436" ht="14.25" customHeight="1">
      <c r="A436" s="52"/>
      <c r="B436" s="52"/>
      <c r="C436" s="53"/>
      <c r="D436" s="1"/>
      <c r="E436" s="1"/>
      <c r="F436" s="1"/>
      <c r="G436" s="1"/>
      <c r="H436" s="1"/>
      <c r="I436" s="1"/>
      <c r="J436" s="1"/>
      <c r="K436" s="1"/>
      <c r="L436" s="1"/>
    </row>
    <row r="437" ht="14.25" customHeight="1">
      <c r="A437" s="52"/>
      <c r="B437" s="52"/>
      <c r="C437" s="53"/>
      <c r="D437" s="1"/>
      <c r="E437" s="1"/>
      <c r="F437" s="1"/>
      <c r="G437" s="1"/>
      <c r="H437" s="1"/>
      <c r="I437" s="1"/>
      <c r="J437" s="1"/>
      <c r="K437" s="1"/>
      <c r="L437" s="1"/>
    </row>
    <row r="438" ht="14.25" customHeight="1">
      <c r="A438" s="52"/>
      <c r="B438" s="52"/>
      <c r="C438" s="53"/>
      <c r="D438" s="1"/>
      <c r="E438" s="1"/>
      <c r="F438" s="1"/>
      <c r="G438" s="1"/>
      <c r="H438" s="1"/>
      <c r="I438" s="1"/>
      <c r="J438" s="1"/>
      <c r="K438" s="1"/>
      <c r="L438" s="1"/>
    </row>
    <row r="439" ht="14.25" customHeight="1">
      <c r="A439" s="52"/>
      <c r="B439" s="52"/>
      <c r="C439" s="53"/>
      <c r="D439" s="1"/>
      <c r="E439" s="1"/>
      <c r="F439" s="1"/>
      <c r="G439" s="1"/>
      <c r="H439" s="1"/>
      <c r="I439" s="1"/>
      <c r="J439" s="1"/>
      <c r="K439" s="1"/>
      <c r="L439" s="1"/>
    </row>
    <row r="440" ht="14.25" customHeight="1">
      <c r="A440" s="52"/>
      <c r="B440" s="52"/>
      <c r="C440" s="53"/>
      <c r="D440" s="1"/>
      <c r="E440" s="1"/>
      <c r="F440" s="1"/>
      <c r="G440" s="1"/>
      <c r="H440" s="1"/>
      <c r="I440" s="1"/>
      <c r="J440" s="1"/>
      <c r="K440" s="1"/>
      <c r="L440" s="1"/>
    </row>
    <row r="441" ht="14.25" customHeight="1">
      <c r="A441" s="52"/>
      <c r="B441" s="52"/>
      <c r="C441" s="53"/>
      <c r="D441" s="1"/>
      <c r="E441" s="1"/>
      <c r="F441" s="1"/>
      <c r="G441" s="1"/>
      <c r="H441" s="1"/>
      <c r="I441" s="1"/>
      <c r="J441" s="1"/>
      <c r="K441" s="1"/>
      <c r="L441" s="1"/>
    </row>
    <row r="442" ht="14.25" customHeight="1">
      <c r="A442" s="52"/>
      <c r="B442" s="52"/>
      <c r="C442" s="53"/>
      <c r="D442" s="1"/>
      <c r="E442" s="1"/>
      <c r="F442" s="1"/>
      <c r="G442" s="1"/>
      <c r="H442" s="1"/>
      <c r="I442" s="1"/>
      <c r="J442" s="1"/>
      <c r="K442" s="1"/>
      <c r="L442" s="1"/>
    </row>
    <row r="443" ht="14.25" customHeight="1">
      <c r="A443" s="52"/>
      <c r="B443" s="52"/>
      <c r="C443" s="53"/>
      <c r="D443" s="1"/>
      <c r="E443" s="1"/>
      <c r="F443" s="1"/>
      <c r="G443" s="1"/>
      <c r="H443" s="1"/>
      <c r="I443" s="1"/>
      <c r="J443" s="1"/>
      <c r="K443" s="1"/>
      <c r="L443" s="1"/>
    </row>
    <row r="444" ht="14.25" customHeight="1">
      <c r="A444" s="52"/>
      <c r="B444" s="52"/>
      <c r="C444" s="53"/>
      <c r="D444" s="1"/>
      <c r="E444" s="1"/>
      <c r="F444" s="1"/>
      <c r="G444" s="1"/>
      <c r="H444" s="1"/>
      <c r="I444" s="1"/>
      <c r="J444" s="1"/>
      <c r="K444" s="1"/>
      <c r="L444" s="1"/>
    </row>
    <row r="445" ht="14.25" customHeight="1">
      <c r="A445" s="52"/>
      <c r="B445" s="52"/>
      <c r="C445" s="53"/>
      <c r="D445" s="1"/>
      <c r="E445" s="1"/>
      <c r="F445" s="1"/>
      <c r="G445" s="1"/>
      <c r="H445" s="1"/>
      <c r="I445" s="1"/>
      <c r="J445" s="1"/>
      <c r="K445" s="1"/>
      <c r="L445" s="1"/>
    </row>
    <row r="446" ht="14.25" customHeight="1">
      <c r="A446" s="52"/>
      <c r="B446" s="52"/>
      <c r="C446" s="53"/>
      <c r="D446" s="1"/>
      <c r="E446" s="1"/>
      <c r="F446" s="1"/>
      <c r="G446" s="1"/>
      <c r="H446" s="1"/>
      <c r="I446" s="1"/>
      <c r="J446" s="1"/>
      <c r="K446" s="1"/>
      <c r="L446" s="1"/>
    </row>
    <row r="447" ht="14.25" customHeight="1">
      <c r="A447" s="52"/>
      <c r="B447" s="52"/>
      <c r="C447" s="53"/>
      <c r="D447" s="1"/>
      <c r="E447" s="1"/>
      <c r="F447" s="1"/>
      <c r="G447" s="1"/>
      <c r="H447" s="1"/>
      <c r="I447" s="1"/>
      <c r="J447" s="1"/>
      <c r="K447" s="1"/>
      <c r="L447" s="1"/>
    </row>
    <row r="448" ht="14.25" customHeight="1">
      <c r="A448" s="52"/>
      <c r="B448" s="52"/>
      <c r="C448" s="53"/>
      <c r="D448" s="1"/>
      <c r="E448" s="1"/>
      <c r="F448" s="1"/>
      <c r="G448" s="1"/>
      <c r="H448" s="1"/>
      <c r="I448" s="1"/>
      <c r="J448" s="1"/>
      <c r="K448" s="1"/>
      <c r="L448" s="1"/>
    </row>
    <row r="449" ht="14.25" customHeight="1">
      <c r="A449" s="52"/>
      <c r="B449" s="52"/>
      <c r="C449" s="53"/>
      <c r="D449" s="1"/>
      <c r="E449" s="1"/>
      <c r="F449" s="1"/>
      <c r="G449" s="1"/>
      <c r="H449" s="1"/>
      <c r="I449" s="1"/>
      <c r="J449" s="1"/>
      <c r="K449" s="1"/>
      <c r="L449" s="1"/>
    </row>
    <row r="450" ht="14.25" customHeight="1">
      <c r="A450" s="52"/>
      <c r="B450" s="52"/>
      <c r="C450" s="53"/>
      <c r="D450" s="1"/>
      <c r="E450" s="1"/>
      <c r="F450" s="1"/>
      <c r="G450" s="1"/>
      <c r="H450" s="1"/>
      <c r="I450" s="1"/>
      <c r="J450" s="1"/>
      <c r="K450" s="1"/>
      <c r="L450" s="1"/>
    </row>
    <row r="451" ht="14.25" customHeight="1">
      <c r="A451" s="52"/>
      <c r="B451" s="52"/>
      <c r="C451" s="53"/>
      <c r="D451" s="1"/>
      <c r="E451" s="1"/>
      <c r="F451" s="1"/>
      <c r="G451" s="1"/>
      <c r="H451" s="1"/>
      <c r="I451" s="1"/>
      <c r="J451" s="1"/>
      <c r="K451" s="1"/>
      <c r="L451" s="1"/>
    </row>
    <row r="452" ht="14.25" customHeight="1">
      <c r="A452" s="52"/>
      <c r="B452" s="52"/>
      <c r="C452" s="53"/>
      <c r="D452" s="1"/>
      <c r="E452" s="1"/>
      <c r="F452" s="1"/>
      <c r="G452" s="1"/>
      <c r="H452" s="1"/>
      <c r="I452" s="1"/>
      <c r="J452" s="1"/>
      <c r="K452" s="1"/>
      <c r="L452" s="1"/>
    </row>
    <row r="453" ht="14.25" customHeight="1">
      <c r="A453" s="52"/>
      <c r="B453" s="52"/>
      <c r="C453" s="53"/>
      <c r="D453" s="1"/>
      <c r="E453" s="1"/>
      <c r="F453" s="1"/>
      <c r="G453" s="1"/>
      <c r="H453" s="1"/>
      <c r="I453" s="1"/>
      <c r="J453" s="1"/>
      <c r="K453" s="1"/>
      <c r="L453" s="1"/>
    </row>
    <row r="454" ht="14.25" customHeight="1">
      <c r="A454" s="52"/>
      <c r="B454" s="52"/>
      <c r="C454" s="53"/>
      <c r="D454" s="1"/>
      <c r="E454" s="1"/>
      <c r="F454" s="1"/>
      <c r="G454" s="1"/>
      <c r="H454" s="1"/>
      <c r="I454" s="1"/>
      <c r="J454" s="1"/>
      <c r="K454" s="1"/>
      <c r="L454" s="1"/>
    </row>
    <row r="455" ht="14.25" customHeight="1">
      <c r="A455" s="52"/>
      <c r="B455" s="52"/>
      <c r="C455" s="53"/>
      <c r="D455" s="1"/>
      <c r="E455" s="1"/>
      <c r="F455" s="1"/>
      <c r="G455" s="1"/>
      <c r="H455" s="1"/>
      <c r="I455" s="1"/>
      <c r="J455" s="1"/>
      <c r="K455" s="1"/>
      <c r="L455" s="1"/>
    </row>
    <row r="456" ht="14.25" customHeight="1">
      <c r="A456" s="52"/>
      <c r="B456" s="52"/>
      <c r="C456" s="53"/>
      <c r="D456" s="1"/>
      <c r="E456" s="1"/>
      <c r="F456" s="1"/>
      <c r="G456" s="1"/>
      <c r="H456" s="1"/>
      <c r="I456" s="1"/>
      <c r="J456" s="1"/>
      <c r="K456" s="1"/>
      <c r="L456" s="1"/>
    </row>
    <row r="457" ht="14.25" customHeight="1">
      <c r="A457" s="52"/>
      <c r="B457" s="52"/>
      <c r="C457" s="53"/>
      <c r="D457" s="1"/>
      <c r="E457" s="1"/>
      <c r="F457" s="1"/>
      <c r="G457" s="1"/>
      <c r="H457" s="1"/>
      <c r="I457" s="1"/>
      <c r="J457" s="1"/>
      <c r="K457" s="1"/>
      <c r="L457" s="1"/>
    </row>
    <row r="458" ht="14.25" customHeight="1">
      <c r="A458" s="52"/>
      <c r="B458" s="52"/>
      <c r="C458" s="53"/>
      <c r="D458" s="1"/>
      <c r="E458" s="1"/>
      <c r="F458" s="1"/>
      <c r="G458" s="1"/>
      <c r="H458" s="1"/>
      <c r="I458" s="1"/>
      <c r="J458" s="1"/>
      <c r="K458" s="1"/>
      <c r="L458" s="1"/>
    </row>
    <row r="459" ht="14.25" customHeight="1">
      <c r="A459" s="52"/>
      <c r="B459" s="52"/>
      <c r="C459" s="53"/>
      <c r="D459" s="1"/>
      <c r="E459" s="1"/>
      <c r="F459" s="1"/>
      <c r="G459" s="1"/>
      <c r="H459" s="1"/>
      <c r="I459" s="1"/>
      <c r="J459" s="1"/>
      <c r="K459" s="1"/>
      <c r="L459" s="1"/>
    </row>
    <row r="460" ht="14.25" customHeight="1">
      <c r="A460" s="52"/>
      <c r="B460" s="52"/>
      <c r="C460" s="53"/>
      <c r="D460" s="1"/>
      <c r="E460" s="1"/>
      <c r="F460" s="1"/>
      <c r="G460" s="1"/>
      <c r="H460" s="1"/>
      <c r="I460" s="1"/>
      <c r="J460" s="1"/>
      <c r="K460" s="1"/>
      <c r="L460" s="1"/>
    </row>
    <row r="461" ht="14.25" customHeight="1">
      <c r="A461" s="52"/>
      <c r="B461" s="52"/>
      <c r="C461" s="53"/>
      <c r="D461" s="1"/>
      <c r="E461" s="1"/>
      <c r="F461" s="1"/>
      <c r="G461" s="1"/>
      <c r="H461" s="1"/>
      <c r="I461" s="1"/>
      <c r="J461" s="1"/>
      <c r="K461" s="1"/>
      <c r="L461" s="1"/>
    </row>
    <row r="462" ht="14.25" customHeight="1">
      <c r="A462" s="52"/>
      <c r="B462" s="52"/>
      <c r="C462" s="53"/>
      <c r="D462" s="1"/>
      <c r="E462" s="1"/>
      <c r="F462" s="1"/>
      <c r="G462" s="1"/>
      <c r="H462" s="1"/>
      <c r="I462" s="1"/>
      <c r="J462" s="1"/>
      <c r="K462" s="1"/>
      <c r="L462" s="1"/>
    </row>
    <row r="463" ht="14.25" customHeight="1">
      <c r="A463" s="52"/>
      <c r="B463" s="52"/>
      <c r="C463" s="53"/>
      <c r="D463" s="1"/>
      <c r="E463" s="1"/>
      <c r="F463" s="1"/>
      <c r="G463" s="1"/>
      <c r="H463" s="1"/>
      <c r="I463" s="1"/>
      <c r="J463" s="1"/>
      <c r="K463" s="1"/>
      <c r="L463" s="1"/>
    </row>
    <row r="464" ht="14.25" customHeight="1">
      <c r="A464" s="52"/>
      <c r="B464" s="52"/>
      <c r="C464" s="53"/>
      <c r="D464" s="1"/>
      <c r="E464" s="1"/>
      <c r="F464" s="1"/>
      <c r="G464" s="1"/>
      <c r="H464" s="1"/>
      <c r="I464" s="1"/>
      <c r="J464" s="1"/>
      <c r="K464" s="1"/>
      <c r="L464" s="1"/>
    </row>
    <row r="465" ht="14.25" customHeight="1">
      <c r="A465" s="52"/>
      <c r="B465" s="52"/>
      <c r="C465" s="53"/>
      <c r="D465" s="1"/>
      <c r="E465" s="1"/>
      <c r="F465" s="1"/>
      <c r="G465" s="1"/>
      <c r="H465" s="1"/>
      <c r="I465" s="1"/>
      <c r="J465" s="1"/>
      <c r="K465" s="1"/>
      <c r="L465" s="1"/>
    </row>
    <row r="466" ht="14.25" customHeight="1">
      <c r="A466" s="52"/>
      <c r="B466" s="52"/>
      <c r="C466" s="53"/>
      <c r="D466" s="1"/>
      <c r="E466" s="1"/>
      <c r="F466" s="1"/>
      <c r="G466" s="1"/>
      <c r="H466" s="1"/>
      <c r="I466" s="1"/>
      <c r="J466" s="1"/>
      <c r="K466" s="1"/>
      <c r="L466" s="1"/>
    </row>
    <row r="467" ht="14.25" customHeight="1">
      <c r="A467" s="52"/>
      <c r="B467" s="52"/>
      <c r="C467" s="53"/>
      <c r="D467" s="1"/>
      <c r="E467" s="1"/>
      <c r="F467" s="1"/>
      <c r="G467" s="1"/>
      <c r="H467" s="1"/>
      <c r="I467" s="1"/>
      <c r="J467" s="1"/>
      <c r="K467" s="1"/>
      <c r="L467" s="1"/>
    </row>
    <row r="468" ht="14.25" customHeight="1">
      <c r="A468" s="52"/>
      <c r="B468" s="52"/>
      <c r="C468" s="53"/>
      <c r="D468" s="1"/>
      <c r="E468" s="1"/>
      <c r="F468" s="1"/>
      <c r="G468" s="1"/>
      <c r="H468" s="1"/>
      <c r="I468" s="1"/>
      <c r="J468" s="1"/>
      <c r="K468" s="1"/>
      <c r="L468" s="1"/>
    </row>
    <row r="469" ht="14.25" customHeight="1">
      <c r="A469" s="52"/>
      <c r="B469" s="52"/>
      <c r="C469" s="53"/>
      <c r="D469" s="1"/>
      <c r="E469" s="1"/>
      <c r="F469" s="1"/>
      <c r="G469" s="1"/>
      <c r="H469" s="1"/>
      <c r="I469" s="1"/>
      <c r="J469" s="1"/>
      <c r="K469" s="1"/>
      <c r="L469" s="1"/>
    </row>
    <row r="470" ht="14.25" customHeight="1">
      <c r="A470" s="52"/>
      <c r="B470" s="52"/>
      <c r="C470" s="53"/>
      <c r="D470" s="1"/>
      <c r="E470" s="1"/>
      <c r="F470" s="1"/>
      <c r="G470" s="1"/>
      <c r="H470" s="1"/>
      <c r="I470" s="1"/>
      <c r="J470" s="1"/>
      <c r="K470" s="1"/>
      <c r="L470" s="1"/>
    </row>
    <row r="471" ht="14.25" customHeight="1">
      <c r="A471" s="52"/>
      <c r="B471" s="52"/>
      <c r="C471" s="53"/>
      <c r="D471" s="1"/>
      <c r="E471" s="1"/>
      <c r="F471" s="1"/>
      <c r="G471" s="1"/>
      <c r="H471" s="1"/>
      <c r="I471" s="1"/>
      <c r="J471" s="1"/>
      <c r="K471" s="1"/>
      <c r="L471" s="1"/>
    </row>
    <row r="472" ht="14.25" customHeight="1">
      <c r="A472" s="52"/>
      <c r="B472" s="52"/>
      <c r="C472" s="53"/>
      <c r="D472" s="1"/>
      <c r="E472" s="1"/>
      <c r="F472" s="1"/>
      <c r="G472" s="1"/>
      <c r="H472" s="1"/>
      <c r="I472" s="1"/>
      <c r="J472" s="1"/>
      <c r="K472" s="1"/>
      <c r="L472" s="1"/>
    </row>
    <row r="473" ht="14.25" customHeight="1">
      <c r="A473" s="52"/>
      <c r="B473" s="52"/>
      <c r="C473" s="53"/>
      <c r="D473" s="1"/>
      <c r="E473" s="1"/>
      <c r="F473" s="1"/>
      <c r="G473" s="1"/>
      <c r="H473" s="1"/>
      <c r="I473" s="1"/>
      <c r="J473" s="1"/>
      <c r="K473" s="1"/>
      <c r="L473" s="1"/>
    </row>
    <row r="474" ht="14.25" customHeight="1">
      <c r="A474" s="52"/>
      <c r="B474" s="52"/>
      <c r="C474" s="53"/>
      <c r="D474" s="1"/>
      <c r="E474" s="1"/>
      <c r="F474" s="1"/>
      <c r="G474" s="1"/>
      <c r="H474" s="1"/>
      <c r="I474" s="1"/>
      <c r="J474" s="1"/>
      <c r="K474" s="1"/>
      <c r="L474" s="1"/>
    </row>
    <row r="475" ht="14.25" customHeight="1">
      <c r="A475" s="52"/>
      <c r="B475" s="52"/>
      <c r="C475" s="53"/>
      <c r="D475" s="1"/>
      <c r="E475" s="1"/>
      <c r="F475" s="1"/>
      <c r="G475" s="1"/>
      <c r="H475" s="1"/>
      <c r="I475" s="1"/>
      <c r="J475" s="1"/>
      <c r="K475" s="1"/>
      <c r="L475" s="1"/>
    </row>
    <row r="476" ht="14.25" customHeight="1">
      <c r="A476" s="52"/>
      <c r="B476" s="52"/>
      <c r="C476" s="53"/>
      <c r="D476" s="1"/>
      <c r="E476" s="1"/>
      <c r="F476" s="1"/>
      <c r="G476" s="1"/>
      <c r="H476" s="1"/>
      <c r="I476" s="1"/>
      <c r="J476" s="1"/>
      <c r="K476" s="1"/>
      <c r="L476" s="1"/>
    </row>
    <row r="477" ht="14.25" customHeight="1">
      <c r="A477" s="52"/>
      <c r="B477" s="52"/>
      <c r="C477" s="53"/>
      <c r="D477" s="1"/>
      <c r="E477" s="1"/>
      <c r="F477" s="1"/>
      <c r="G477" s="1"/>
      <c r="H477" s="1"/>
      <c r="I477" s="1"/>
      <c r="J477" s="1"/>
      <c r="K477" s="1"/>
      <c r="L477" s="1"/>
    </row>
    <row r="478" ht="14.25" customHeight="1">
      <c r="A478" s="52"/>
      <c r="B478" s="52"/>
      <c r="C478" s="53"/>
      <c r="D478" s="1"/>
      <c r="E478" s="1"/>
      <c r="F478" s="1"/>
      <c r="G478" s="1"/>
      <c r="H478" s="1"/>
      <c r="I478" s="1"/>
      <c r="J478" s="1"/>
      <c r="K478" s="1"/>
      <c r="L478" s="1"/>
    </row>
    <row r="479" ht="14.25" customHeight="1">
      <c r="A479" s="52"/>
      <c r="B479" s="52"/>
      <c r="C479" s="53"/>
      <c r="D479" s="1"/>
      <c r="E479" s="1"/>
      <c r="F479" s="1"/>
      <c r="G479" s="1"/>
      <c r="H479" s="1"/>
      <c r="I479" s="1"/>
      <c r="J479" s="1"/>
      <c r="K479" s="1"/>
      <c r="L479" s="1"/>
    </row>
    <row r="480" ht="14.25" customHeight="1">
      <c r="A480" s="52"/>
      <c r="B480" s="52"/>
      <c r="C480" s="53"/>
      <c r="D480" s="1"/>
      <c r="E480" s="1"/>
      <c r="F480" s="1"/>
      <c r="G480" s="1"/>
      <c r="H480" s="1"/>
      <c r="I480" s="1"/>
      <c r="J480" s="1"/>
      <c r="K480" s="1"/>
      <c r="L480" s="1"/>
    </row>
    <row r="481" ht="14.25" customHeight="1">
      <c r="A481" s="52"/>
      <c r="B481" s="52"/>
      <c r="C481" s="53"/>
      <c r="D481" s="1"/>
      <c r="E481" s="1"/>
      <c r="F481" s="1"/>
      <c r="G481" s="1"/>
      <c r="H481" s="1"/>
      <c r="I481" s="1"/>
      <c r="J481" s="1"/>
      <c r="K481" s="1"/>
      <c r="L481" s="1"/>
    </row>
    <row r="482" ht="14.25" customHeight="1">
      <c r="A482" s="52"/>
      <c r="B482" s="52"/>
      <c r="C482" s="53"/>
      <c r="D482" s="1"/>
      <c r="E482" s="1"/>
      <c r="F482" s="1"/>
      <c r="G482" s="1"/>
      <c r="H482" s="1"/>
      <c r="I482" s="1"/>
      <c r="J482" s="1"/>
      <c r="K482" s="1"/>
      <c r="L482" s="1"/>
    </row>
    <row r="483" ht="14.25" customHeight="1">
      <c r="A483" s="52"/>
      <c r="B483" s="52"/>
      <c r="C483" s="53"/>
      <c r="D483" s="1"/>
      <c r="E483" s="1"/>
      <c r="F483" s="1"/>
      <c r="G483" s="1"/>
      <c r="H483" s="1"/>
      <c r="I483" s="1"/>
      <c r="J483" s="1"/>
      <c r="K483" s="1"/>
      <c r="L483" s="1"/>
    </row>
    <row r="484" ht="14.25" customHeight="1">
      <c r="A484" s="52"/>
      <c r="B484" s="52"/>
      <c r="C484" s="53"/>
      <c r="D484" s="1"/>
      <c r="E484" s="1"/>
      <c r="F484" s="1"/>
      <c r="G484" s="1"/>
      <c r="H484" s="1"/>
      <c r="I484" s="1"/>
      <c r="J484" s="1"/>
      <c r="K484" s="1"/>
      <c r="L484" s="1"/>
    </row>
    <row r="485" ht="14.25" customHeight="1">
      <c r="A485" s="52"/>
      <c r="B485" s="52"/>
      <c r="C485" s="53"/>
      <c r="D485" s="1"/>
      <c r="E485" s="1"/>
      <c r="F485" s="1"/>
      <c r="G485" s="1"/>
      <c r="H485" s="1"/>
      <c r="I485" s="1"/>
      <c r="J485" s="1"/>
      <c r="K485" s="1"/>
      <c r="L485" s="1"/>
    </row>
    <row r="486" ht="14.25" customHeight="1">
      <c r="A486" s="52"/>
      <c r="B486" s="52"/>
      <c r="C486" s="53"/>
      <c r="D486" s="1"/>
      <c r="E486" s="1"/>
      <c r="F486" s="1"/>
      <c r="G486" s="1"/>
      <c r="H486" s="1"/>
      <c r="I486" s="1"/>
      <c r="J486" s="1"/>
      <c r="K486" s="1"/>
      <c r="L486" s="1"/>
    </row>
    <row r="487" ht="14.25" customHeight="1">
      <c r="A487" s="52"/>
      <c r="B487" s="52"/>
      <c r="C487" s="53"/>
      <c r="D487" s="1"/>
      <c r="E487" s="1"/>
      <c r="F487" s="1"/>
      <c r="G487" s="1"/>
      <c r="H487" s="1"/>
      <c r="I487" s="1"/>
      <c r="J487" s="1"/>
      <c r="K487" s="1"/>
      <c r="L487" s="1"/>
    </row>
    <row r="488" ht="14.25" customHeight="1">
      <c r="A488" s="52"/>
      <c r="B488" s="52"/>
      <c r="C488" s="53"/>
      <c r="D488" s="1"/>
      <c r="E488" s="1"/>
      <c r="F488" s="1"/>
      <c r="G488" s="1"/>
      <c r="H488" s="1"/>
      <c r="I488" s="1"/>
      <c r="J488" s="1"/>
      <c r="K488" s="1"/>
      <c r="L488" s="1"/>
    </row>
    <row r="489" ht="14.25" customHeight="1">
      <c r="A489" s="52"/>
      <c r="B489" s="52"/>
      <c r="C489" s="53"/>
      <c r="D489" s="1"/>
      <c r="E489" s="1"/>
      <c r="F489" s="1"/>
      <c r="G489" s="1"/>
      <c r="H489" s="1"/>
      <c r="I489" s="1"/>
      <c r="J489" s="1"/>
      <c r="K489" s="1"/>
      <c r="L489" s="1"/>
    </row>
    <row r="490" ht="14.25" customHeight="1">
      <c r="A490" s="52"/>
      <c r="B490" s="52"/>
      <c r="C490" s="53"/>
      <c r="D490" s="1"/>
      <c r="E490" s="1"/>
      <c r="F490" s="1"/>
      <c r="G490" s="1"/>
      <c r="H490" s="1"/>
      <c r="I490" s="1"/>
      <c r="J490" s="1"/>
      <c r="K490" s="1"/>
      <c r="L490" s="1"/>
    </row>
    <row r="491" ht="14.25" customHeight="1">
      <c r="A491" s="52"/>
      <c r="B491" s="52"/>
      <c r="C491" s="53"/>
      <c r="D491" s="1"/>
      <c r="E491" s="1"/>
      <c r="F491" s="1"/>
      <c r="G491" s="1"/>
      <c r="H491" s="1"/>
      <c r="I491" s="1"/>
      <c r="J491" s="1"/>
      <c r="K491" s="1"/>
      <c r="L491" s="1"/>
    </row>
    <row r="492" ht="14.25" customHeight="1">
      <c r="A492" s="52"/>
      <c r="B492" s="52"/>
      <c r="C492" s="53"/>
      <c r="D492" s="1"/>
      <c r="E492" s="1"/>
      <c r="F492" s="1"/>
      <c r="G492" s="1"/>
      <c r="H492" s="1"/>
      <c r="I492" s="1"/>
      <c r="J492" s="1"/>
      <c r="K492" s="1"/>
      <c r="L492" s="1"/>
    </row>
    <row r="493" ht="14.25" customHeight="1">
      <c r="A493" s="52"/>
      <c r="B493" s="52"/>
      <c r="C493" s="53"/>
      <c r="D493" s="1"/>
      <c r="E493" s="1"/>
      <c r="F493" s="1"/>
      <c r="G493" s="1"/>
      <c r="H493" s="1"/>
      <c r="I493" s="1"/>
      <c r="J493" s="1"/>
      <c r="K493" s="1"/>
      <c r="L493" s="1"/>
    </row>
    <row r="494" ht="14.25" customHeight="1">
      <c r="A494" s="52"/>
      <c r="B494" s="52"/>
      <c r="C494" s="53"/>
      <c r="D494" s="1"/>
      <c r="E494" s="1"/>
      <c r="F494" s="1"/>
      <c r="G494" s="1"/>
      <c r="H494" s="1"/>
      <c r="I494" s="1"/>
      <c r="J494" s="1"/>
      <c r="K494" s="1"/>
      <c r="L494" s="1"/>
    </row>
    <row r="495" ht="14.25" customHeight="1">
      <c r="A495" s="52"/>
      <c r="B495" s="52"/>
      <c r="C495" s="53"/>
      <c r="D495" s="1"/>
      <c r="E495" s="1"/>
      <c r="F495" s="1"/>
      <c r="G495" s="1"/>
      <c r="H495" s="1"/>
      <c r="I495" s="1"/>
      <c r="J495" s="1"/>
      <c r="K495" s="1"/>
      <c r="L495" s="1"/>
    </row>
    <row r="496" ht="14.25" customHeight="1">
      <c r="A496" s="52"/>
      <c r="B496" s="52"/>
      <c r="C496" s="53"/>
      <c r="D496" s="1"/>
      <c r="E496" s="1"/>
      <c r="F496" s="1"/>
      <c r="G496" s="1"/>
      <c r="H496" s="1"/>
      <c r="I496" s="1"/>
      <c r="J496" s="1"/>
      <c r="K496" s="1"/>
      <c r="L496" s="1"/>
    </row>
    <row r="497" ht="14.25" customHeight="1">
      <c r="A497" s="52"/>
      <c r="B497" s="52"/>
      <c r="C497" s="53"/>
      <c r="D497" s="1"/>
      <c r="E497" s="1"/>
      <c r="F497" s="1"/>
      <c r="G497" s="1"/>
      <c r="H497" s="1"/>
      <c r="I497" s="1"/>
      <c r="J497" s="1"/>
      <c r="K497" s="1"/>
      <c r="L497" s="1"/>
    </row>
    <row r="498" ht="14.25" customHeight="1">
      <c r="A498" s="52"/>
      <c r="B498" s="52"/>
      <c r="C498" s="53"/>
      <c r="D498" s="1"/>
      <c r="E498" s="1"/>
      <c r="F498" s="1"/>
      <c r="G498" s="1"/>
      <c r="H498" s="1"/>
      <c r="I498" s="1"/>
      <c r="J498" s="1"/>
      <c r="K498" s="1"/>
      <c r="L498" s="1"/>
    </row>
    <row r="499" ht="14.25" customHeight="1">
      <c r="A499" s="52"/>
      <c r="B499" s="52"/>
      <c r="C499" s="53"/>
      <c r="D499" s="1"/>
      <c r="E499" s="1"/>
      <c r="F499" s="1"/>
      <c r="G499" s="1"/>
      <c r="H499" s="1"/>
      <c r="I499" s="1"/>
      <c r="J499" s="1"/>
      <c r="K499" s="1"/>
      <c r="L499" s="1"/>
    </row>
    <row r="500" ht="14.25" customHeight="1">
      <c r="A500" s="52"/>
      <c r="B500" s="52"/>
      <c r="C500" s="53"/>
      <c r="D500" s="1"/>
      <c r="E500" s="1"/>
      <c r="F500" s="1"/>
      <c r="G500" s="1"/>
      <c r="H500" s="1"/>
      <c r="I500" s="1"/>
      <c r="J500" s="1"/>
      <c r="K500" s="1"/>
      <c r="L500" s="1"/>
    </row>
    <row r="501" ht="14.25" customHeight="1">
      <c r="A501" s="52"/>
      <c r="B501" s="52"/>
      <c r="C501" s="53"/>
      <c r="D501" s="1"/>
      <c r="E501" s="1"/>
      <c r="F501" s="1"/>
      <c r="G501" s="1"/>
      <c r="H501" s="1"/>
      <c r="I501" s="1"/>
      <c r="J501" s="1"/>
      <c r="K501" s="1"/>
      <c r="L501" s="1"/>
    </row>
    <row r="502" ht="14.25" customHeight="1">
      <c r="A502" s="52"/>
      <c r="B502" s="52"/>
      <c r="C502" s="53"/>
      <c r="D502" s="1"/>
      <c r="E502" s="1"/>
      <c r="F502" s="1"/>
      <c r="G502" s="1"/>
      <c r="H502" s="1"/>
      <c r="I502" s="1"/>
      <c r="J502" s="1"/>
      <c r="K502" s="1"/>
      <c r="L502" s="1"/>
    </row>
    <row r="503" ht="14.25" customHeight="1">
      <c r="A503" s="52"/>
      <c r="B503" s="52"/>
      <c r="C503" s="53"/>
      <c r="D503" s="1"/>
      <c r="E503" s="1"/>
      <c r="F503" s="1"/>
      <c r="G503" s="1"/>
      <c r="H503" s="1"/>
      <c r="I503" s="1"/>
      <c r="J503" s="1"/>
      <c r="K503" s="1"/>
      <c r="L503" s="1"/>
    </row>
    <row r="504" ht="14.25" customHeight="1">
      <c r="A504" s="52"/>
      <c r="B504" s="52"/>
      <c r="C504" s="53"/>
      <c r="D504" s="1"/>
      <c r="E504" s="1"/>
      <c r="F504" s="1"/>
      <c r="G504" s="1"/>
      <c r="H504" s="1"/>
      <c r="I504" s="1"/>
      <c r="J504" s="1"/>
      <c r="K504" s="1"/>
      <c r="L504" s="1"/>
    </row>
    <row r="505" ht="14.25" customHeight="1">
      <c r="A505" s="52"/>
      <c r="B505" s="52"/>
      <c r="C505" s="53"/>
      <c r="D505" s="1"/>
      <c r="E505" s="1"/>
      <c r="F505" s="1"/>
      <c r="G505" s="1"/>
      <c r="H505" s="1"/>
      <c r="I505" s="1"/>
      <c r="J505" s="1"/>
      <c r="K505" s="1"/>
      <c r="L505" s="1"/>
    </row>
    <row r="506" ht="14.25" customHeight="1">
      <c r="A506" s="52"/>
      <c r="B506" s="52"/>
      <c r="C506" s="53"/>
      <c r="D506" s="1"/>
      <c r="E506" s="1"/>
      <c r="F506" s="1"/>
      <c r="G506" s="1"/>
      <c r="H506" s="1"/>
      <c r="I506" s="1"/>
      <c r="J506" s="1"/>
      <c r="K506" s="1"/>
      <c r="L506" s="1"/>
    </row>
    <row r="507" ht="14.25" customHeight="1">
      <c r="A507" s="52"/>
      <c r="B507" s="52"/>
      <c r="C507" s="53"/>
      <c r="D507" s="1"/>
      <c r="E507" s="1"/>
      <c r="F507" s="1"/>
      <c r="G507" s="1"/>
      <c r="H507" s="1"/>
      <c r="I507" s="1"/>
      <c r="J507" s="1"/>
      <c r="K507" s="1"/>
      <c r="L507" s="1"/>
    </row>
    <row r="508" ht="14.25" customHeight="1">
      <c r="A508" s="52"/>
      <c r="B508" s="52"/>
      <c r="C508" s="53"/>
      <c r="D508" s="1"/>
      <c r="E508" s="1"/>
      <c r="F508" s="1"/>
      <c r="G508" s="1"/>
      <c r="H508" s="1"/>
      <c r="I508" s="1"/>
      <c r="J508" s="1"/>
      <c r="K508" s="1"/>
      <c r="L508" s="1"/>
    </row>
    <row r="509" ht="14.25" customHeight="1">
      <c r="A509" s="52"/>
      <c r="B509" s="52"/>
      <c r="C509" s="53"/>
      <c r="D509" s="1"/>
      <c r="E509" s="1"/>
      <c r="F509" s="1"/>
      <c r="G509" s="1"/>
      <c r="H509" s="1"/>
      <c r="I509" s="1"/>
      <c r="J509" s="1"/>
      <c r="K509" s="1"/>
      <c r="L509" s="1"/>
    </row>
    <row r="510" ht="14.25" customHeight="1">
      <c r="A510" s="52"/>
      <c r="B510" s="52"/>
      <c r="C510" s="53"/>
      <c r="D510" s="1"/>
      <c r="E510" s="1"/>
      <c r="F510" s="1"/>
      <c r="G510" s="1"/>
      <c r="H510" s="1"/>
      <c r="I510" s="1"/>
      <c r="J510" s="1"/>
      <c r="K510" s="1"/>
      <c r="L510" s="1"/>
    </row>
    <row r="511" ht="14.25" customHeight="1">
      <c r="A511" s="52"/>
      <c r="B511" s="52"/>
      <c r="C511" s="53"/>
      <c r="D511" s="1"/>
      <c r="E511" s="1"/>
      <c r="F511" s="1"/>
      <c r="G511" s="1"/>
      <c r="H511" s="1"/>
      <c r="I511" s="1"/>
      <c r="J511" s="1"/>
      <c r="K511" s="1"/>
      <c r="L511" s="1"/>
    </row>
    <row r="512" ht="14.25" customHeight="1">
      <c r="A512" s="52"/>
      <c r="B512" s="52"/>
      <c r="C512" s="53"/>
      <c r="D512" s="1"/>
      <c r="E512" s="1"/>
      <c r="F512" s="1"/>
      <c r="G512" s="1"/>
      <c r="H512" s="1"/>
      <c r="I512" s="1"/>
      <c r="J512" s="1"/>
      <c r="K512" s="1"/>
      <c r="L512" s="1"/>
    </row>
    <row r="513" ht="14.25" customHeight="1">
      <c r="A513" s="52"/>
      <c r="B513" s="52"/>
      <c r="C513" s="53"/>
      <c r="D513" s="1"/>
      <c r="E513" s="1"/>
      <c r="F513" s="1"/>
      <c r="G513" s="1"/>
      <c r="H513" s="1"/>
      <c r="I513" s="1"/>
      <c r="J513" s="1"/>
      <c r="K513" s="1"/>
      <c r="L513" s="1"/>
    </row>
    <row r="514" ht="14.25" customHeight="1">
      <c r="A514" s="52"/>
      <c r="B514" s="52"/>
      <c r="C514" s="53"/>
      <c r="D514" s="1"/>
      <c r="E514" s="1"/>
      <c r="F514" s="1"/>
      <c r="G514" s="1"/>
      <c r="H514" s="1"/>
      <c r="I514" s="1"/>
      <c r="J514" s="1"/>
      <c r="K514" s="1"/>
      <c r="L514" s="1"/>
    </row>
    <row r="515" ht="14.25" customHeight="1">
      <c r="A515" s="52"/>
      <c r="B515" s="52"/>
      <c r="C515" s="53"/>
      <c r="D515" s="1"/>
      <c r="E515" s="1"/>
      <c r="F515" s="1"/>
      <c r="G515" s="1"/>
      <c r="H515" s="1"/>
      <c r="I515" s="1"/>
      <c r="J515" s="1"/>
      <c r="K515" s="1"/>
      <c r="L515" s="1"/>
    </row>
    <row r="516" ht="14.25" customHeight="1">
      <c r="A516" s="52"/>
      <c r="B516" s="52"/>
      <c r="C516" s="53"/>
      <c r="D516" s="1"/>
      <c r="E516" s="1"/>
      <c r="F516" s="1"/>
      <c r="G516" s="1"/>
      <c r="H516" s="1"/>
      <c r="I516" s="1"/>
      <c r="J516" s="1"/>
      <c r="K516" s="1"/>
      <c r="L516" s="1"/>
    </row>
    <row r="517" ht="14.25" customHeight="1">
      <c r="A517" s="52"/>
      <c r="B517" s="52"/>
      <c r="C517" s="53"/>
      <c r="D517" s="1"/>
      <c r="E517" s="1"/>
      <c r="F517" s="1"/>
      <c r="G517" s="1"/>
      <c r="H517" s="1"/>
      <c r="I517" s="1"/>
      <c r="J517" s="1"/>
      <c r="K517" s="1"/>
      <c r="L517" s="1"/>
    </row>
    <row r="518" ht="14.25" customHeight="1">
      <c r="A518" s="52"/>
      <c r="B518" s="52"/>
      <c r="C518" s="53"/>
      <c r="D518" s="1"/>
      <c r="E518" s="1"/>
      <c r="F518" s="1"/>
      <c r="G518" s="1"/>
      <c r="H518" s="1"/>
      <c r="I518" s="1"/>
      <c r="J518" s="1"/>
      <c r="K518" s="1"/>
      <c r="L518" s="1"/>
    </row>
    <row r="519" ht="14.25" customHeight="1">
      <c r="A519" s="52"/>
      <c r="B519" s="52"/>
      <c r="C519" s="53"/>
      <c r="D519" s="1"/>
      <c r="E519" s="1"/>
      <c r="F519" s="1"/>
      <c r="G519" s="1"/>
      <c r="H519" s="1"/>
      <c r="I519" s="1"/>
      <c r="J519" s="1"/>
      <c r="K519" s="1"/>
      <c r="L519" s="1"/>
    </row>
    <row r="520" ht="14.25" customHeight="1">
      <c r="A520" s="52"/>
      <c r="B520" s="52"/>
      <c r="C520" s="53"/>
      <c r="D520" s="1"/>
      <c r="E520" s="1"/>
      <c r="F520" s="1"/>
      <c r="G520" s="1"/>
      <c r="H520" s="1"/>
      <c r="I520" s="1"/>
      <c r="J520" s="1"/>
      <c r="K520" s="1"/>
      <c r="L520" s="1"/>
    </row>
    <row r="521" ht="14.25" customHeight="1">
      <c r="A521" s="52"/>
      <c r="B521" s="52"/>
      <c r="C521" s="53"/>
      <c r="D521" s="1"/>
      <c r="E521" s="1"/>
      <c r="F521" s="1"/>
      <c r="G521" s="1"/>
      <c r="H521" s="1"/>
      <c r="I521" s="1"/>
      <c r="J521" s="1"/>
      <c r="K521" s="1"/>
      <c r="L521" s="1"/>
    </row>
    <row r="522" ht="14.25" customHeight="1">
      <c r="A522" s="52"/>
      <c r="B522" s="52"/>
      <c r="C522" s="53"/>
      <c r="D522" s="1"/>
      <c r="E522" s="1"/>
      <c r="F522" s="1"/>
      <c r="G522" s="1"/>
      <c r="H522" s="1"/>
      <c r="I522" s="1"/>
      <c r="J522" s="1"/>
      <c r="K522" s="1"/>
      <c r="L522" s="1"/>
    </row>
    <row r="523" ht="14.25" customHeight="1">
      <c r="A523" s="52"/>
      <c r="B523" s="52"/>
      <c r="C523" s="53"/>
      <c r="D523" s="1"/>
      <c r="E523" s="1"/>
      <c r="F523" s="1"/>
      <c r="G523" s="1"/>
      <c r="H523" s="1"/>
      <c r="I523" s="1"/>
      <c r="J523" s="1"/>
      <c r="K523" s="1"/>
      <c r="L523" s="1"/>
    </row>
    <row r="524" ht="14.25" customHeight="1">
      <c r="A524" s="52"/>
      <c r="B524" s="52"/>
      <c r="C524" s="53"/>
      <c r="D524" s="1"/>
      <c r="E524" s="1"/>
      <c r="F524" s="1"/>
      <c r="G524" s="1"/>
      <c r="H524" s="1"/>
      <c r="I524" s="1"/>
      <c r="J524" s="1"/>
      <c r="K524" s="1"/>
      <c r="L524" s="1"/>
    </row>
    <row r="525" ht="14.25" customHeight="1">
      <c r="A525" s="52"/>
      <c r="B525" s="52"/>
      <c r="C525" s="53"/>
      <c r="D525" s="1"/>
      <c r="E525" s="1"/>
      <c r="F525" s="1"/>
      <c r="G525" s="1"/>
      <c r="H525" s="1"/>
      <c r="I525" s="1"/>
      <c r="J525" s="1"/>
      <c r="K525" s="1"/>
      <c r="L525" s="1"/>
    </row>
    <row r="526" ht="14.25" customHeight="1">
      <c r="A526" s="52"/>
      <c r="B526" s="52"/>
      <c r="C526" s="53"/>
      <c r="D526" s="1"/>
      <c r="E526" s="1"/>
      <c r="F526" s="1"/>
      <c r="G526" s="1"/>
      <c r="H526" s="1"/>
      <c r="I526" s="1"/>
      <c r="J526" s="1"/>
      <c r="K526" s="1"/>
      <c r="L526" s="1"/>
    </row>
    <row r="527" ht="14.25" customHeight="1">
      <c r="A527" s="52"/>
      <c r="B527" s="52"/>
      <c r="C527" s="53"/>
      <c r="D527" s="1"/>
      <c r="E527" s="1"/>
      <c r="F527" s="1"/>
      <c r="G527" s="1"/>
      <c r="H527" s="1"/>
      <c r="I527" s="1"/>
      <c r="J527" s="1"/>
      <c r="K527" s="1"/>
      <c r="L527" s="1"/>
    </row>
    <row r="528" ht="14.25" customHeight="1">
      <c r="A528" s="52"/>
      <c r="B528" s="52"/>
      <c r="C528" s="53"/>
      <c r="D528" s="1"/>
      <c r="E528" s="1"/>
      <c r="F528" s="1"/>
      <c r="G528" s="1"/>
      <c r="H528" s="1"/>
      <c r="I528" s="1"/>
      <c r="J528" s="1"/>
      <c r="K528" s="1"/>
      <c r="L528" s="1"/>
    </row>
    <row r="529" ht="14.25" customHeight="1">
      <c r="A529" s="52"/>
      <c r="B529" s="52"/>
      <c r="C529" s="53"/>
      <c r="D529" s="1"/>
      <c r="E529" s="1"/>
      <c r="F529" s="1"/>
      <c r="G529" s="1"/>
      <c r="H529" s="1"/>
      <c r="I529" s="1"/>
      <c r="J529" s="1"/>
      <c r="K529" s="1"/>
      <c r="L529" s="1"/>
    </row>
    <row r="530" ht="14.25" customHeight="1">
      <c r="A530" s="52"/>
      <c r="B530" s="52"/>
      <c r="C530" s="53"/>
      <c r="D530" s="1"/>
      <c r="E530" s="1"/>
      <c r="F530" s="1"/>
      <c r="G530" s="1"/>
      <c r="H530" s="1"/>
      <c r="I530" s="1"/>
      <c r="J530" s="1"/>
      <c r="K530" s="1"/>
      <c r="L530" s="1"/>
    </row>
    <row r="531" ht="14.25" customHeight="1">
      <c r="A531" s="52"/>
      <c r="B531" s="52"/>
      <c r="C531" s="53"/>
      <c r="D531" s="1"/>
      <c r="E531" s="1"/>
      <c r="F531" s="1"/>
      <c r="G531" s="1"/>
      <c r="H531" s="1"/>
      <c r="I531" s="1"/>
      <c r="J531" s="1"/>
      <c r="K531" s="1"/>
      <c r="L531" s="1"/>
    </row>
    <row r="532" ht="14.25" customHeight="1">
      <c r="A532" s="52"/>
      <c r="B532" s="52"/>
      <c r="C532" s="53"/>
      <c r="D532" s="1"/>
      <c r="E532" s="1"/>
      <c r="F532" s="1"/>
      <c r="G532" s="1"/>
      <c r="H532" s="1"/>
      <c r="I532" s="1"/>
      <c r="J532" s="1"/>
      <c r="K532" s="1"/>
      <c r="L532" s="1"/>
    </row>
    <row r="533" ht="14.25" customHeight="1">
      <c r="A533" s="52"/>
      <c r="B533" s="52"/>
      <c r="C533" s="53"/>
      <c r="D533" s="1"/>
      <c r="E533" s="1"/>
      <c r="F533" s="1"/>
      <c r="G533" s="1"/>
      <c r="H533" s="1"/>
      <c r="I533" s="1"/>
      <c r="J533" s="1"/>
      <c r="K533" s="1"/>
      <c r="L533" s="1"/>
    </row>
    <row r="534" ht="14.25" customHeight="1">
      <c r="A534" s="52"/>
      <c r="B534" s="52"/>
      <c r="C534" s="53"/>
      <c r="D534" s="1"/>
      <c r="E534" s="1"/>
      <c r="F534" s="1"/>
      <c r="G534" s="1"/>
      <c r="H534" s="1"/>
      <c r="I534" s="1"/>
      <c r="J534" s="1"/>
      <c r="K534" s="1"/>
      <c r="L534" s="1"/>
    </row>
    <row r="535" ht="14.25" customHeight="1">
      <c r="A535" s="52"/>
      <c r="B535" s="52"/>
      <c r="C535" s="53"/>
      <c r="D535" s="1"/>
      <c r="E535" s="1"/>
      <c r="F535" s="1"/>
      <c r="G535" s="1"/>
      <c r="H535" s="1"/>
      <c r="I535" s="1"/>
      <c r="J535" s="1"/>
      <c r="K535" s="1"/>
      <c r="L535" s="1"/>
    </row>
    <row r="536" ht="14.25" customHeight="1">
      <c r="A536" s="52"/>
      <c r="B536" s="52"/>
      <c r="C536" s="53"/>
      <c r="D536" s="1"/>
      <c r="E536" s="1"/>
      <c r="F536" s="1"/>
      <c r="G536" s="1"/>
      <c r="H536" s="1"/>
      <c r="I536" s="1"/>
      <c r="J536" s="1"/>
      <c r="K536" s="1"/>
      <c r="L536" s="1"/>
    </row>
    <row r="537" ht="14.25" customHeight="1">
      <c r="A537" s="52"/>
      <c r="B537" s="52"/>
      <c r="C537" s="53"/>
      <c r="D537" s="1"/>
      <c r="E537" s="1"/>
      <c r="F537" s="1"/>
      <c r="G537" s="1"/>
      <c r="H537" s="1"/>
      <c r="I537" s="1"/>
      <c r="J537" s="1"/>
      <c r="K537" s="1"/>
      <c r="L537" s="1"/>
    </row>
    <row r="538" ht="14.25" customHeight="1">
      <c r="A538" s="52"/>
      <c r="B538" s="52"/>
      <c r="C538" s="53"/>
      <c r="D538" s="1"/>
      <c r="E538" s="1"/>
      <c r="F538" s="1"/>
      <c r="G538" s="1"/>
      <c r="H538" s="1"/>
      <c r="I538" s="1"/>
      <c r="J538" s="1"/>
      <c r="K538" s="1"/>
      <c r="L538" s="1"/>
    </row>
    <row r="539" ht="14.25" customHeight="1">
      <c r="A539" s="52"/>
      <c r="B539" s="52"/>
      <c r="C539" s="53"/>
      <c r="D539" s="1"/>
      <c r="E539" s="1"/>
      <c r="F539" s="1"/>
      <c r="G539" s="1"/>
      <c r="H539" s="1"/>
      <c r="I539" s="1"/>
      <c r="J539" s="1"/>
      <c r="K539" s="1"/>
      <c r="L539" s="1"/>
    </row>
    <row r="540" ht="14.25" customHeight="1">
      <c r="A540" s="52"/>
      <c r="B540" s="52"/>
      <c r="C540" s="53"/>
      <c r="D540" s="1"/>
      <c r="E540" s="1"/>
      <c r="F540" s="1"/>
      <c r="G540" s="1"/>
      <c r="H540" s="1"/>
      <c r="I540" s="1"/>
      <c r="J540" s="1"/>
      <c r="K540" s="1"/>
      <c r="L540" s="1"/>
    </row>
    <row r="541" ht="14.25" customHeight="1">
      <c r="A541" s="52"/>
      <c r="B541" s="52"/>
      <c r="C541" s="53"/>
      <c r="D541" s="1"/>
      <c r="E541" s="1"/>
      <c r="F541" s="1"/>
      <c r="G541" s="1"/>
      <c r="H541" s="1"/>
      <c r="I541" s="1"/>
      <c r="J541" s="1"/>
      <c r="K541" s="1"/>
      <c r="L541" s="1"/>
    </row>
    <row r="542" ht="14.25" customHeight="1">
      <c r="A542" s="52"/>
      <c r="B542" s="52"/>
      <c r="C542" s="53"/>
      <c r="D542" s="1"/>
      <c r="E542" s="1"/>
      <c r="F542" s="1"/>
      <c r="G542" s="1"/>
      <c r="H542" s="1"/>
      <c r="I542" s="1"/>
      <c r="J542" s="1"/>
      <c r="K542" s="1"/>
      <c r="L542" s="1"/>
    </row>
    <row r="543" ht="14.25" customHeight="1">
      <c r="A543" s="52"/>
      <c r="B543" s="52"/>
      <c r="C543" s="53"/>
      <c r="D543" s="1"/>
      <c r="E543" s="1"/>
      <c r="F543" s="1"/>
      <c r="G543" s="1"/>
      <c r="H543" s="1"/>
      <c r="I543" s="1"/>
      <c r="J543" s="1"/>
      <c r="K543" s="1"/>
      <c r="L543" s="1"/>
    </row>
    <row r="544" ht="14.25" customHeight="1">
      <c r="A544" s="52"/>
      <c r="B544" s="52"/>
      <c r="C544" s="53"/>
      <c r="D544" s="1"/>
      <c r="E544" s="1"/>
      <c r="F544" s="1"/>
      <c r="G544" s="1"/>
      <c r="H544" s="1"/>
      <c r="I544" s="1"/>
      <c r="J544" s="1"/>
      <c r="K544" s="1"/>
      <c r="L544" s="1"/>
    </row>
    <row r="545" ht="14.25" customHeight="1">
      <c r="A545" s="52"/>
      <c r="B545" s="52"/>
      <c r="C545" s="53"/>
      <c r="D545" s="1"/>
      <c r="E545" s="1"/>
      <c r="F545" s="1"/>
      <c r="G545" s="1"/>
      <c r="H545" s="1"/>
      <c r="I545" s="1"/>
      <c r="J545" s="1"/>
      <c r="K545" s="1"/>
      <c r="L545" s="1"/>
    </row>
    <row r="546" ht="14.25" customHeight="1">
      <c r="A546" s="52"/>
      <c r="B546" s="52"/>
      <c r="C546" s="53"/>
      <c r="D546" s="1"/>
      <c r="E546" s="1"/>
      <c r="F546" s="1"/>
      <c r="G546" s="1"/>
      <c r="H546" s="1"/>
      <c r="I546" s="1"/>
      <c r="J546" s="1"/>
      <c r="K546" s="1"/>
      <c r="L546" s="1"/>
    </row>
    <row r="547" ht="14.25" customHeight="1">
      <c r="A547" s="52"/>
      <c r="B547" s="52"/>
      <c r="C547" s="53"/>
      <c r="D547" s="1"/>
      <c r="E547" s="1"/>
      <c r="F547" s="1"/>
      <c r="G547" s="1"/>
      <c r="H547" s="1"/>
      <c r="I547" s="1"/>
      <c r="J547" s="1"/>
      <c r="K547" s="1"/>
      <c r="L547" s="1"/>
    </row>
    <row r="548" ht="14.25" customHeight="1">
      <c r="A548" s="52"/>
      <c r="B548" s="52"/>
      <c r="C548" s="53"/>
      <c r="D548" s="1"/>
      <c r="E548" s="1"/>
      <c r="F548" s="1"/>
      <c r="G548" s="1"/>
      <c r="H548" s="1"/>
      <c r="I548" s="1"/>
      <c r="J548" s="1"/>
      <c r="K548" s="1"/>
      <c r="L548" s="1"/>
    </row>
    <row r="549" ht="14.25" customHeight="1">
      <c r="A549" s="52"/>
      <c r="B549" s="52"/>
      <c r="C549" s="53"/>
      <c r="D549" s="1"/>
      <c r="E549" s="1"/>
      <c r="F549" s="1"/>
      <c r="G549" s="1"/>
      <c r="H549" s="1"/>
      <c r="I549" s="1"/>
      <c r="J549" s="1"/>
      <c r="K549" s="1"/>
      <c r="L549" s="1"/>
    </row>
    <row r="550" ht="14.25" customHeight="1">
      <c r="A550" s="52"/>
      <c r="B550" s="52"/>
      <c r="C550" s="53"/>
      <c r="D550" s="1"/>
      <c r="E550" s="1"/>
      <c r="F550" s="1"/>
      <c r="G550" s="1"/>
      <c r="H550" s="1"/>
      <c r="I550" s="1"/>
      <c r="J550" s="1"/>
      <c r="K550" s="1"/>
      <c r="L550" s="1"/>
    </row>
    <row r="551" ht="14.25" customHeight="1">
      <c r="A551" s="52"/>
      <c r="B551" s="52"/>
      <c r="C551" s="53"/>
      <c r="D551" s="1"/>
      <c r="E551" s="1"/>
      <c r="F551" s="1"/>
      <c r="G551" s="1"/>
      <c r="H551" s="1"/>
      <c r="I551" s="1"/>
      <c r="J551" s="1"/>
      <c r="K551" s="1"/>
      <c r="L551" s="1"/>
    </row>
    <row r="552" ht="14.25" customHeight="1">
      <c r="A552" s="52"/>
      <c r="B552" s="52"/>
      <c r="C552" s="53"/>
      <c r="D552" s="1"/>
      <c r="E552" s="1"/>
      <c r="F552" s="1"/>
      <c r="G552" s="1"/>
      <c r="H552" s="1"/>
      <c r="I552" s="1"/>
      <c r="J552" s="1"/>
      <c r="K552" s="1"/>
      <c r="L552" s="1"/>
    </row>
    <row r="553" ht="14.25" customHeight="1">
      <c r="A553" s="52"/>
      <c r="B553" s="52"/>
      <c r="C553" s="53"/>
      <c r="D553" s="1"/>
      <c r="E553" s="1"/>
      <c r="F553" s="1"/>
      <c r="G553" s="1"/>
      <c r="H553" s="1"/>
      <c r="I553" s="1"/>
      <c r="J553" s="1"/>
      <c r="K553" s="1"/>
      <c r="L553" s="1"/>
    </row>
    <row r="554" ht="14.25" customHeight="1">
      <c r="A554" s="52"/>
      <c r="B554" s="52"/>
      <c r="C554" s="53"/>
      <c r="D554" s="1"/>
      <c r="E554" s="1"/>
      <c r="F554" s="1"/>
      <c r="G554" s="1"/>
      <c r="H554" s="1"/>
      <c r="I554" s="1"/>
      <c r="J554" s="1"/>
      <c r="K554" s="1"/>
      <c r="L554" s="1"/>
    </row>
    <row r="555" ht="14.25" customHeight="1">
      <c r="A555" s="52"/>
      <c r="B555" s="52"/>
      <c r="C555" s="53"/>
      <c r="D555" s="1"/>
      <c r="E555" s="1"/>
      <c r="F555" s="1"/>
      <c r="G555" s="1"/>
      <c r="H555" s="1"/>
      <c r="I555" s="1"/>
      <c r="J555" s="1"/>
      <c r="K555" s="1"/>
      <c r="L555" s="1"/>
    </row>
    <row r="556" ht="14.25" customHeight="1">
      <c r="A556" s="52"/>
      <c r="B556" s="52"/>
      <c r="C556" s="53"/>
      <c r="D556" s="1"/>
      <c r="E556" s="1"/>
      <c r="F556" s="1"/>
      <c r="G556" s="1"/>
      <c r="H556" s="1"/>
      <c r="I556" s="1"/>
      <c r="J556" s="1"/>
      <c r="K556" s="1"/>
      <c r="L556" s="1"/>
    </row>
    <row r="557" ht="14.25" customHeight="1">
      <c r="A557" s="52"/>
      <c r="B557" s="52"/>
      <c r="C557" s="53"/>
      <c r="D557" s="1"/>
      <c r="E557" s="1"/>
      <c r="F557" s="1"/>
      <c r="G557" s="1"/>
      <c r="H557" s="1"/>
      <c r="I557" s="1"/>
      <c r="J557" s="1"/>
      <c r="K557" s="1"/>
      <c r="L557" s="1"/>
    </row>
    <row r="558" ht="14.25" customHeight="1">
      <c r="A558" s="52"/>
      <c r="B558" s="52"/>
      <c r="C558" s="53"/>
      <c r="D558" s="1"/>
      <c r="E558" s="1"/>
      <c r="F558" s="1"/>
      <c r="G558" s="1"/>
      <c r="H558" s="1"/>
      <c r="I558" s="1"/>
      <c r="J558" s="1"/>
      <c r="K558" s="1"/>
      <c r="L558" s="1"/>
    </row>
    <row r="559" ht="14.25" customHeight="1">
      <c r="A559" s="52"/>
      <c r="B559" s="52"/>
      <c r="C559" s="53"/>
      <c r="D559" s="1"/>
      <c r="E559" s="1"/>
      <c r="F559" s="1"/>
      <c r="G559" s="1"/>
      <c r="H559" s="1"/>
      <c r="I559" s="1"/>
      <c r="J559" s="1"/>
      <c r="K559" s="1"/>
      <c r="L559" s="1"/>
    </row>
    <row r="560" ht="14.25" customHeight="1">
      <c r="A560" s="52"/>
      <c r="B560" s="52"/>
      <c r="C560" s="53"/>
      <c r="D560" s="1"/>
      <c r="E560" s="1"/>
      <c r="F560" s="1"/>
      <c r="G560" s="1"/>
      <c r="H560" s="1"/>
      <c r="I560" s="1"/>
      <c r="J560" s="1"/>
      <c r="K560" s="1"/>
      <c r="L560" s="1"/>
    </row>
    <row r="561" ht="14.25" customHeight="1">
      <c r="A561" s="52"/>
      <c r="B561" s="52"/>
      <c r="C561" s="53"/>
      <c r="D561" s="1"/>
      <c r="E561" s="1"/>
      <c r="F561" s="1"/>
      <c r="G561" s="1"/>
      <c r="H561" s="1"/>
      <c r="I561" s="1"/>
      <c r="J561" s="1"/>
      <c r="K561" s="1"/>
      <c r="L561" s="1"/>
    </row>
    <row r="562" ht="14.25" customHeight="1">
      <c r="A562" s="52"/>
      <c r="B562" s="52"/>
      <c r="C562" s="53"/>
      <c r="D562" s="1"/>
      <c r="E562" s="1"/>
      <c r="F562" s="1"/>
      <c r="G562" s="1"/>
      <c r="H562" s="1"/>
      <c r="I562" s="1"/>
      <c r="J562" s="1"/>
      <c r="K562" s="1"/>
      <c r="L562" s="1"/>
    </row>
    <row r="563" ht="14.25" customHeight="1">
      <c r="A563" s="52"/>
      <c r="B563" s="52"/>
      <c r="C563" s="53"/>
      <c r="D563" s="1"/>
      <c r="E563" s="1"/>
      <c r="F563" s="1"/>
      <c r="G563" s="1"/>
      <c r="H563" s="1"/>
      <c r="I563" s="1"/>
      <c r="J563" s="1"/>
      <c r="K563" s="1"/>
      <c r="L563" s="1"/>
    </row>
    <row r="564" ht="14.25" customHeight="1">
      <c r="A564" s="52"/>
      <c r="B564" s="52"/>
      <c r="C564" s="53"/>
      <c r="D564" s="1"/>
      <c r="E564" s="1"/>
      <c r="F564" s="1"/>
      <c r="G564" s="1"/>
      <c r="H564" s="1"/>
      <c r="I564" s="1"/>
      <c r="J564" s="1"/>
      <c r="K564" s="1"/>
      <c r="L564" s="1"/>
    </row>
    <row r="565" ht="14.25" customHeight="1">
      <c r="A565" s="52"/>
      <c r="B565" s="52"/>
      <c r="C565" s="53"/>
      <c r="D565" s="1"/>
      <c r="E565" s="1"/>
      <c r="F565" s="1"/>
      <c r="G565" s="1"/>
      <c r="H565" s="1"/>
      <c r="I565" s="1"/>
      <c r="J565" s="1"/>
      <c r="K565" s="1"/>
      <c r="L565" s="1"/>
    </row>
    <row r="566" ht="14.25" customHeight="1">
      <c r="A566" s="52"/>
      <c r="B566" s="52"/>
      <c r="C566" s="53"/>
      <c r="D566" s="1"/>
      <c r="E566" s="1"/>
      <c r="F566" s="1"/>
      <c r="G566" s="1"/>
      <c r="H566" s="1"/>
      <c r="I566" s="1"/>
      <c r="J566" s="1"/>
      <c r="K566" s="1"/>
      <c r="L566" s="1"/>
    </row>
    <row r="567" ht="14.25" customHeight="1">
      <c r="A567" s="52"/>
      <c r="B567" s="52"/>
      <c r="C567" s="53"/>
      <c r="D567" s="1"/>
      <c r="E567" s="1"/>
      <c r="F567" s="1"/>
      <c r="G567" s="1"/>
      <c r="H567" s="1"/>
      <c r="I567" s="1"/>
      <c r="J567" s="1"/>
      <c r="K567" s="1"/>
      <c r="L567" s="1"/>
    </row>
    <row r="568" ht="14.25" customHeight="1">
      <c r="A568" s="52"/>
      <c r="B568" s="52"/>
      <c r="C568" s="53"/>
      <c r="D568" s="1"/>
      <c r="E568" s="1"/>
      <c r="F568" s="1"/>
      <c r="G568" s="1"/>
      <c r="H568" s="1"/>
      <c r="I568" s="1"/>
      <c r="J568" s="1"/>
      <c r="K568" s="1"/>
      <c r="L568" s="1"/>
    </row>
    <row r="569" ht="14.25" customHeight="1">
      <c r="A569" s="52"/>
      <c r="B569" s="52"/>
      <c r="C569" s="53"/>
      <c r="D569" s="1"/>
      <c r="E569" s="1"/>
      <c r="F569" s="1"/>
      <c r="G569" s="1"/>
      <c r="H569" s="1"/>
      <c r="I569" s="1"/>
      <c r="J569" s="1"/>
      <c r="K569" s="1"/>
      <c r="L569" s="1"/>
    </row>
    <row r="570" ht="14.25" customHeight="1">
      <c r="A570" s="52"/>
      <c r="B570" s="52"/>
      <c r="C570" s="53"/>
      <c r="D570" s="1"/>
      <c r="E570" s="1"/>
      <c r="F570" s="1"/>
      <c r="G570" s="1"/>
      <c r="H570" s="1"/>
      <c r="I570" s="1"/>
      <c r="J570" s="1"/>
      <c r="K570" s="1"/>
      <c r="L570" s="1"/>
    </row>
    <row r="571" ht="14.25" customHeight="1">
      <c r="A571" s="52"/>
      <c r="B571" s="52"/>
      <c r="C571" s="53"/>
      <c r="D571" s="1"/>
      <c r="E571" s="1"/>
      <c r="F571" s="1"/>
      <c r="G571" s="1"/>
      <c r="H571" s="1"/>
      <c r="I571" s="1"/>
      <c r="J571" s="1"/>
      <c r="K571" s="1"/>
      <c r="L571" s="1"/>
    </row>
    <row r="572" ht="14.25" customHeight="1">
      <c r="A572" s="52"/>
      <c r="B572" s="52"/>
      <c r="C572" s="53"/>
      <c r="D572" s="1"/>
      <c r="E572" s="1"/>
      <c r="F572" s="1"/>
      <c r="G572" s="1"/>
      <c r="H572" s="1"/>
      <c r="I572" s="1"/>
      <c r="J572" s="1"/>
      <c r="K572" s="1"/>
      <c r="L572" s="1"/>
    </row>
    <row r="573" ht="14.25" customHeight="1">
      <c r="A573" s="52"/>
      <c r="B573" s="52"/>
      <c r="C573" s="53"/>
      <c r="D573" s="1"/>
      <c r="E573" s="1"/>
      <c r="F573" s="1"/>
      <c r="G573" s="1"/>
      <c r="H573" s="1"/>
      <c r="I573" s="1"/>
      <c r="J573" s="1"/>
      <c r="K573" s="1"/>
      <c r="L573" s="1"/>
    </row>
    <row r="574" ht="14.25" customHeight="1">
      <c r="A574" s="52"/>
      <c r="B574" s="52"/>
      <c r="C574" s="53"/>
      <c r="D574" s="1"/>
      <c r="E574" s="1"/>
      <c r="F574" s="1"/>
      <c r="G574" s="1"/>
      <c r="H574" s="1"/>
      <c r="I574" s="1"/>
      <c r="J574" s="1"/>
      <c r="K574" s="1"/>
      <c r="L574" s="1"/>
    </row>
    <row r="575" ht="14.25" customHeight="1">
      <c r="A575" s="52"/>
      <c r="B575" s="52"/>
      <c r="C575" s="53"/>
      <c r="D575" s="1"/>
      <c r="E575" s="1"/>
      <c r="F575" s="1"/>
      <c r="G575" s="1"/>
      <c r="H575" s="1"/>
      <c r="I575" s="1"/>
      <c r="J575" s="1"/>
      <c r="K575" s="1"/>
      <c r="L575" s="1"/>
    </row>
    <row r="576" ht="14.25" customHeight="1">
      <c r="A576" s="52"/>
      <c r="B576" s="52"/>
      <c r="C576" s="53"/>
      <c r="D576" s="1"/>
      <c r="E576" s="1"/>
      <c r="F576" s="1"/>
      <c r="G576" s="1"/>
      <c r="H576" s="1"/>
      <c r="I576" s="1"/>
      <c r="J576" s="1"/>
      <c r="K576" s="1"/>
      <c r="L576" s="1"/>
    </row>
    <row r="577" ht="14.25" customHeight="1">
      <c r="A577" s="52"/>
      <c r="B577" s="52"/>
      <c r="C577" s="53"/>
      <c r="D577" s="1"/>
      <c r="E577" s="1"/>
      <c r="F577" s="1"/>
      <c r="G577" s="1"/>
      <c r="H577" s="1"/>
      <c r="I577" s="1"/>
      <c r="J577" s="1"/>
      <c r="K577" s="1"/>
      <c r="L577" s="1"/>
    </row>
    <row r="578" ht="14.25" customHeight="1">
      <c r="A578" s="52"/>
      <c r="B578" s="52"/>
      <c r="C578" s="53"/>
      <c r="D578" s="1"/>
      <c r="E578" s="1"/>
      <c r="F578" s="1"/>
      <c r="G578" s="1"/>
      <c r="H578" s="1"/>
      <c r="I578" s="1"/>
      <c r="J578" s="1"/>
      <c r="K578" s="1"/>
      <c r="L578" s="1"/>
    </row>
    <row r="579" ht="14.25" customHeight="1">
      <c r="A579" s="52"/>
      <c r="B579" s="52"/>
      <c r="C579" s="53"/>
      <c r="D579" s="1"/>
      <c r="E579" s="1"/>
      <c r="F579" s="1"/>
      <c r="G579" s="1"/>
      <c r="H579" s="1"/>
      <c r="I579" s="1"/>
      <c r="J579" s="1"/>
      <c r="K579" s="1"/>
      <c r="L579" s="1"/>
    </row>
    <row r="580" ht="14.25" customHeight="1">
      <c r="A580" s="52"/>
      <c r="B580" s="52"/>
      <c r="C580" s="53"/>
      <c r="D580" s="1"/>
      <c r="E580" s="1"/>
      <c r="F580" s="1"/>
      <c r="G580" s="1"/>
      <c r="H580" s="1"/>
      <c r="I580" s="1"/>
      <c r="J580" s="1"/>
      <c r="K580" s="1"/>
      <c r="L580" s="1"/>
    </row>
    <row r="581" ht="14.25" customHeight="1">
      <c r="A581" s="52"/>
      <c r="B581" s="52"/>
      <c r="C581" s="53"/>
      <c r="D581" s="1"/>
      <c r="E581" s="1"/>
      <c r="F581" s="1"/>
      <c r="G581" s="1"/>
      <c r="H581" s="1"/>
      <c r="I581" s="1"/>
      <c r="J581" s="1"/>
      <c r="K581" s="1"/>
      <c r="L581" s="1"/>
    </row>
    <row r="582" ht="14.25" customHeight="1">
      <c r="A582" s="52"/>
      <c r="B582" s="52"/>
      <c r="C582" s="53"/>
      <c r="D582" s="1"/>
      <c r="E582" s="1"/>
      <c r="F582" s="1"/>
      <c r="G582" s="1"/>
      <c r="H582" s="1"/>
      <c r="I582" s="1"/>
      <c r="J582" s="1"/>
      <c r="K582" s="1"/>
      <c r="L582" s="1"/>
    </row>
    <row r="583" ht="14.25" customHeight="1">
      <c r="A583" s="52"/>
      <c r="B583" s="52"/>
      <c r="C583" s="53"/>
      <c r="D583" s="1"/>
      <c r="E583" s="1"/>
      <c r="F583" s="1"/>
      <c r="G583" s="1"/>
      <c r="H583" s="1"/>
      <c r="I583" s="1"/>
      <c r="J583" s="1"/>
      <c r="K583" s="1"/>
      <c r="L583" s="1"/>
    </row>
    <row r="584" ht="14.25" customHeight="1">
      <c r="A584" s="52"/>
      <c r="B584" s="52"/>
      <c r="C584" s="53"/>
      <c r="D584" s="1"/>
      <c r="E584" s="1"/>
      <c r="F584" s="1"/>
      <c r="G584" s="1"/>
      <c r="H584" s="1"/>
      <c r="I584" s="1"/>
      <c r="J584" s="1"/>
      <c r="K584" s="1"/>
      <c r="L584" s="1"/>
    </row>
    <row r="585" ht="14.25" customHeight="1">
      <c r="A585" s="52"/>
      <c r="B585" s="52"/>
      <c r="C585" s="53"/>
      <c r="D585" s="1"/>
      <c r="E585" s="1"/>
      <c r="F585" s="1"/>
      <c r="G585" s="1"/>
      <c r="H585" s="1"/>
      <c r="I585" s="1"/>
      <c r="J585" s="1"/>
      <c r="K585" s="1"/>
      <c r="L585" s="1"/>
    </row>
    <row r="586" ht="14.25" customHeight="1">
      <c r="A586" s="52"/>
      <c r="B586" s="52"/>
      <c r="C586" s="53"/>
      <c r="D586" s="1"/>
      <c r="E586" s="1"/>
      <c r="F586" s="1"/>
      <c r="G586" s="1"/>
      <c r="H586" s="1"/>
      <c r="I586" s="1"/>
      <c r="J586" s="1"/>
      <c r="K586" s="1"/>
      <c r="L586" s="1"/>
    </row>
    <row r="587" ht="14.25" customHeight="1">
      <c r="A587" s="52"/>
      <c r="B587" s="52"/>
      <c r="C587" s="53"/>
      <c r="D587" s="1"/>
      <c r="E587" s="1"/>
      <c r="F587" s="1"/>
      <c r="G587" s="1"/>
      <c r="H587" s="1"/>
      <c r="I587" s="1"/>
      <c r="J587" s="1"/>
      <c r="K587" s="1"/>
      <c r="L587" s="1"/>
    </row>
    <row r="588" ht="14.25" customHeight="1">
      <c r="A588" s="52"/>
      <c r="B588" s="52"/>
      <c r="C588" s="53"/>
      <c r="D588" s="1"/>
      <c r="E588" s="1"/>
      <c r="F588" s="1"/>
      <c r="G588" s="1"/>
      <c r="H588" s="1"/>
      <c r="I588" s="1"/>
      <c r="J588" s="1"/>
      <c r="K588" s="1"/>
      <c r="L588" s="1"/>
    </row>
    <row r="589" ht="14.25" customHeight="1">
      <c r="A589" s="52"/>
      <c r="B589" s="52"/>
      <c r="C589" s="53"/>
      <c r="D589" s="1"/>
      <c r="E589" s="1"/>
      <c r="F589" s="1"/>
      <c r="G589" s="1"/>
      <c r="H589" s="1"/>
      <c r="I589" s="1"/>
      <c r="J589" s="1"/>
      <c r="K589" s="1"/>
      <c r="L589" s="1"/>
    </row>
    <row r="590" ht="14.25" customHeight="1">
      <c r="A590" s="52"/>
      <c r="B590" s="52"/>
      <c r="C590" s="53"/>
      <c r="D590" s="1"/>
      <c r="E590" s="1"/>
      <c r="F590" s="1"/>
      <c r="G590" s="1"/>
      <c r="H590" s="1"/>
      <c r="I590" s="1"/>
      <c r="J590" s="1"/>
      <c r="K590" s="1"/>
      <c r="L590" s="1"/>
    </row>
    <row r="591" ht="14.25" customHeight="1">
      <c r="A591" s="52"/>
      <c r="B591" s="52"/>
      <c r="C591" s="53"/>
      <c r="D591" s="1"/>
      <c r="E591" s="1"/>
      <c r="F591" s="1"/>
      <c r="G591" s="1"/>
      <c r="H591" s="1"/>
      <c r="I591" s="1"/>
      <c r="J591" s="1"/>
      <c r="K591" s="1"/>
      <c r="L591" s="1"/>
    </row>
    <row r="592" ht="14.25" customHeight="1">
      <c r="A592" s="52"/>
      <c r="B592" s="52"/>
      <c r="C592" s="53"/>
      <c r="D592" s="1"/>
      <c r="E592" s="1"/>
      <c r="F592" s="1"/>
      <c r="G592" s="1"/>
      <c r="H592" s="1"/>
      <c r="I592" s="1"/>
      <c r="J592" s="1"/>
      <c r="K592" s="1"/>
      <c r="L592" s="1"/>
    </row>
    <row r="593" ht="14.25" customHeight="1">
      <c r="A593" s="52"/>
      <c r="B593" s="52"/>
      <c r="C593" s="53"/>
      <c r="D593" s="1"/>
      <c r="E593" s="1"/>
      <c r="F593" s="1"/>
      <c r="G593" s="1"/>
      <c r="H593" s="1"/>
      <c r="I593" s="1"/>
      <c r="J593" s="1"/>
      <c r="K593" s="1"/>
      <c r="L593" s="1"/>
    </row>
    <row r="594" ht="14.25" customHeight="1">
      <c r="A594" s="52"/>
      <c r="B594" s="52"/>
      <c r="C594" s="53"/>
      <c r="D594" s="1"/>
      <c r="E594" s="1"/>
      <c r="F594" s="1"/>
      <c r="G594" s="1"/>
      <c r="H594" s="1"/>
      <c r="I594" s="1"/>
      <c r="J594" s="1"/>
      <c r="K594" s="1"/>
      <c r="L594" s="1"/>
    </row>
    <row r="595" ht="14.25" customHeight="1">
      <c r="A595" s="52"/>
      <c r="B595" s="52"/>
      <c r="C595" s="53"/>
      <c r="D595" s="1"/>
      <c r="E595" s="1"/>
      <c r="F595" s="1"/>
      <c r="G595" s="1"/>
      <c r="H595" s="1"/>
      <c r="I595" s="1"/>
      <c r="J595" s="1"/>
      <c r="K595" s="1"/>
      <c r="L595" s="1"/>
    </row>
    <row r="596" ht="14.25" customHeight="1">
      <c r="A596" s="52"/>
      <c r="B596" s="52"/>
      <c r="C596" s="53"/>
      <c r="D596" s="1"/>
      <c r="E596" s="1"/>
      <c r="F596" s="1"/>
      <c r="G596" s="1"/>
      <c r="H596" s="1"/>
      <c r="I596" s="1"/>
      <c r="J596" s="1"/>
      <c r="K596" s="1"/>
      <c r="L596" s="1"/>
    </row>
    <row r="597" ht="14.25" customHeight="1">
      <c r="A597" s="52"/>
      <c r="B597" s="52"/>
      <c r="C597" s="53"/>
      <c r="D597" s="1"/>
      <c r="E597" s="1"/>
      <c r="F597" s="1"/>
      <c r="G597" s="1"/>
      <c r="H597" s="1"/>
      <c r="I597" s="1"/>
      <c r="J597" s="1"/>
      <c r="K597" s="1"/>
      <c r="L597" s="1"/>
    </row>
    <row r="598" ht="14.25" customHeight="1">
      <c r="A598" s="52"/>
      <c r="B598" s="52"/>
      <c r="C598" s="53"/>
      <c r="D598" s="1"/>
      <c r="E598" s="1"/>
      <c r="F598" s="1"/>
      <c r="G598" s="1"/>
      <c r="H598" s="1"/>
      <c r="I598" s="1"/>
      <c r="J598" s="1"/>
      <c r="K598" s="1"/>
      <c r="L598" s="1"/>
    </row>
    <row r="599" ht="14.25" customHeight="1">
      <c r="A599" s="52"/>
      <c r="B599" s="52"/>
      <c r="C599" s="53"/>
      <c r="D599" s="1"/>
      <c r="E599" s="1"/>
      <c r="F599" s="1"/>
      <c r="G599" s="1"/>
      <c r="H599" s="1"/>
      <c r="I599" s="1"/>
      <c r="J599" s="1"/>
      <c r="K599" s="1"/>
      <c r="L599" s="1"/>
    </row>
    <row r="600" ht="14.25" customHeight="1">
      <c r="A600" s="52"/>
      <c r="B600" s="52"/>
      <c r="C600" s="53"/>
      <c r="D600" s="1"/>
      <c r="E600" s="1"/>
      <c r="F600" s="1"/>
      <c r="G600" s="1"/>
      <c r="H600" s="1"/>
      <c r="I600" s="1"/>
      <c r="J600" s="1"/>
      <c r="K600" s="1"/>
      <c r="L600" s="1"/>
    </row>
    <row r="601" ht="14.25" customHeight="1">
      <c r="A601" s="52"/>
      <c r="B601" s="52"/>
      <c r="C601" s="53"/>
      <c r="D601" s="1"/>
      <c r="E601" s="1"/>
      <c r="F601" s="1"/>
      <c r="G601" s="1"/>
      <c r="H601" s="1"/>
      <c r="I601" s="1"/>
      <c r="J601" s="1"/>
      <c r="K601" s="1"/>
      <c r="L601" s="1"/>
    </row>
    <row r="602" ht="14.25" customHeight="1">
      <c r="A602" s="52"/>
      <c r="B602" s="52"/>
      <c r="C602" s="53"/>
      <c r="D602" s="1"/>
      <c r="E602" s="1"/>
      <c r="F602" s="1"/>
      <c r="G602" s="1"/>
      <c r="H602" s="1"/>
      <c r="I602" s="1"/>
      <c r="J602" s="1"/>
      <c r="K602" s="1"/>
      <c r="L602" s="1"/>
    </row>
    <row r="603" ht="14.25" customHeight="1">
      <c r="A603" s="52"/>
      <c r="B603" s="52"/>
      <c r="C603" s="53"/>
      <c r="D603" s="1"/>
      <c r="E603" s="1"/>
      <c r="F603" s="1"/>
      <c r="G603" s="1"/>
      <c r="H603" s="1"/>
      <c r="I603" s="1"/>
      <c r="J603" s="1"/>
      <c r="K603" s="1"/>
      <c r="L603" s="1"/>
    </row>
    <row r="604" ht="14.25" customHeight="1">
      <c r="A604" s="52"/>
      <c r="B604" s="52"/>
      <c r="C604" s="53"/>
      <c r="D604" s="1"/>
      <c r="E604" s="1"/>
      <c r="F604" s="1"/>
      <c r="G604" s="1"/>
      <c r="H604" s="1"/>
      <c r="I604" s="1"/>
      <c r="J604" s="1"/>
      <c r="K604" s="1"/>
      <c r="L604" s="1"/>
    </row>
    <row r="605" ht="14.25" customHeight="1">
      <c r="A605" s="52"/>
      <c r="B605" s="52"/>
      <c r="C605" s="53"/>
      <c r="D605" s="1"/>
      <c r="E605" s="1"/>
      <c r="F605" s="1"/>
      <c r="G605" s="1"/>
      <c r="H605" s="1"/>
      <c r="I605" s="1"/>
      <c r="J605" s="1"/>
      <c r="K605" s="1"/>
      <c r="L605" s="1"/>
    </row>
    <row r="606" ht="14.25" customHeight="1">
      <c r="A606" s="52"/>
      <c r="B606" s="52"/>
      <c r="C606" s="53"/>
      <c r="D606" s="1"/>
      <c r="E606" s="1"/>
      <c r="F606" s="1"/>
      <c r="G606" s="1"/>
      <c r="H606" s="1"/>
      <c r="I606" s="1"/>
      <c r="J606" s="1"/>
      <c r="K606" s="1"/>
      <c r="L606" s="1"/>
    </row>
    <row r="607" ht="14.25" customHeight="1">
      <c r="A607" s="52"/>
      <c r="B607" s="52"/>
      <c r="C607" s="53"/>
      <c r="D607" s="1"/>
      <c r="E607" s="1"/>
      <c r="F607" s="1"/>
      <c r="G607" s="1"/>
      <c r="H607" s="1"/>
      <c r="I607" s="1"/>
      <c r="J607" s="1"/>
      <c r="K607" s="1"/>
      <c r="L607" s="1"/>
    </row>
    <row r="608" ht="14.25" customHeight="1">
      <c r="A608" s="52"/>
      <c r="B608" s="52"/>
      <c r="C608" s="53"/>
      <c r="D608" s="1"/>
      <c r="E608" s="1"/>
      <c r="F608" s="1"/>
      <c r="G608" s="1"/>
      <c r="H608" s="1"/>
      <c r="I608" s="1"/>
      <c r="J608" s="1"/>
      <c r="K608" s="1"/>
      <c r="L608" s="1"/>
    </row>
    <row r="609" ht="14.25" customHeight="1">
      <c r="A609" s="52"/>
      <c r="B609" s="52"/>
      <c r="C609" s="53"/>
      <c r="D609" s="1"/>
      <c r="E609" s="1"/>
      <c r="F609" s="1"/>
      <c r="G609" s="1"/>
      <c r="H609" s="1"/>
      <c r="I609" s="1"/>
      <c r="J609" s="1"/>
      <c r="K609" s="1"/>
      <c r="L609" s="1"/>
    </row>
    <row r="610" ht="14.25" customHeight="1">
      <c r="A610" s="52"/>
      <c r="B610" s="52"/>
      <c r="C610" s="53"/>
      <c r="D610" s="1"/>
      <c r="E610" s="1"/>
      <c r="F610" s="1"/>
      <c r="G610" s="1"/>
      <c r="H610" s="1"/>
      <c r="I610" s="1"/>
      <c r="J610" s="1"/>
      <c r="K610" s="1"/>
      <c r="L610" s="1"/>
    </row>
    <row r="611" ht="14.25" customHeight="1">
      <c r="A611" s="52"/>
      <c r="B611" s="52"/>
      <c r="C611" s="53"/>
      <c r="D611" s="1"/>
      <c r="E611" s="1"/>
      <c r="F611" s="1"/>
      <c r="G611" s="1"/>
      <c r="H611" s="1"/>
      <c r="I611" s="1"/>
      <c r="J611" s="1"/>
      <c r="K611" s="1"/>
      <c r="L611" s="1"/>
    </row>
    <row r="612" ht="14.25" customHeight="1">
      <c r="A612" s="52"/>
      <c r="B612" s="52"/>
      <c r="C612" s="53"/>
      <c r="D612" s="1"/>
      <c r="E612" s="1"/>
      <c r="F612" s="1"/>
      <c r="G612" s="1"/>
      <c r="H612" s="1"/>
      <c r="I612" s="1"/>
      <c r="J612" s="1"/>
      <c r="K612" s="1"/>
      <c r="L612" s="1"/>
    </row>
    <row r="613" ht="14.25" customHeight="1">
      <c r="A613" s="52"/>
      <c r="B613" s="52"/>
      <c r="C613" s="53"/>
      <c r="D613" s="1"/>
      <c r="E613" s="1"/>
      <c r="F613" s="1"/>
      <c r="G613" s="1"/>
      <c r="H613" s="1"/>
      <c r="I613" s="1"/>
      <c r="J613" s="1"/>
      <c r="K613" s="1"/>
      <c r="L613" s="1"/>
    </row>
    <row r="614" ht="14.25" customHeight="1">
      <c r="A614" s="52"/>
      <c r="B614" s="52"/>
      <c r="C614" s="53"/>
      <c r="D614" s="1"/>
      <c r="E614" s="1"/>
      <c r="F614" s="1"/>
      <c r="G614" s="1"/>
      <c r="H614" s="1"/>
      <c r="I614" s="1"/>
      <c r="J614" s="1"/>
      <c r="K614" s="1"/>
      <c r="L614" s="1"/>
    </row>
    <row r="615" ht="14.25" customHeight="1">
      <c r="A615" s="52"/>
      <c r="B615" s="52"/>
      <c r="C615" s="53"/>
      <c r="D615" s="1"/>
      <c r="E615" s="1"/>
      <c r="F615" s="1"/>
      <c r="G615" s="1"/>
      <c r="H615" s="1"/>
      <c r="I615" s="1"/>
      <c r="J615" s="1"/>
      <c r="K615" s="1"/>
      <c r="L615" s="1"/>
    </row>
    <row r="616" ht="14.25" customHeight="1">
      <c r="A616" s="52"/>
      <c r="B616" s="52"/>
      <c r="C616" s="53"/>
      <c r="D616" s="1"/>
      <c r="E616" s="1"/>
      <c r="F616" s="1"/>
      <c r="G616" s="1"/>
      <c r="H616" s="1"/>
      <c r="I616" s="1"/>
      <c r="J616" s="1"/>
      <c r="K616" s="1"/>
      <c r="L616" s="1"/>
    </row>
    <row r="617" ht="14.25" customHeight="1">
      <c r="A617" s="52"/>
      <c r="B617" s="52"/>
      <c r="C617" s="53"/>
      <c r="D617" s="1"/>
      <c r="E617" s="1"/>
      <c r="F617" s="1"/>
      <c r="G617" s="1"/>
      <c r="H617" s="1"/>
      <c r="I617" s="1"/>
      <c r="J617" s="1"/>
      <c r="K617" s="1"/>
      <c r="L617" s="1"/>
    </row>
    <row r="618" ht="14.25" customHeight="1">
      <c r="A618" s="52"/>
      <c r="B618" s="52"/>
      <c r="C618" s="53"/>
      <c r="D618" s="1"/>
      <c r="E618" s="1"/>
      <c r="F618" s="1"/>
      <c r="G618" s="1"/>
      <c r="H618" s="1"/>
      <c r="I618" s="1"/>
      <c r="J618" s="1"/>
      <c r="K618" s="1"/>
      <c r="L618" s="1"/>
    </row>
    <row r="619" ht="14.25" customHeight="1">
      <c r="A619" s="52"/>
      <c r="B619" s="52"/>
      <c r="C619" s="53"/>
      <c r="D619" s="1"/>
      <c r="E619" s="1"/>
      <c r="F619" s="1"/>
      <c r="G619" s="1"/>
      <c r="H619" s="1"/>
      <c r="I619" s="1"/>
      <c r="J619" s="1"/>
      <c r="K619" s="1"/>
      <c r="L619" s="1"/>
    </row>
    <row r="620" ht="14.25" customHeight="1">
      <c r="A620" s="52"/>
      <c r="B620" s="52"/>
      <c r="C620" s="53"/>
      <c r="D620" s="1"/>
      <c r="E620" s="1"/>
      <c r="F620" s="1"/>
      <c r="G620" s="1"/>
      <c r="H620" s="1"/>
      <c r="I620" s="1"/>
      <c r="J620" s="1"/>
      <c r="K620" s="1"/>
      <c r="L620" s="1"/>
    </row>
    <row r="621" ht="14.25" customHeight="1">
      <c r="A621" s="52"/>
      <c r="B621" s="52"/>
      <c r="C621" s="53"/>
      <c r="D621" s="1"/>
      <c r="E621" s="1"/>
      <c r="F621" s="1"/>
      <c r="G621" s="1"/>
      <c r="H621" s="1"/>
      <c r="I621" s="1"/>
      <c r="J621" s="1"/>
      <c r="K621" s="1"/>
      <c r="L621" s="1"/>
    </row>
    <row r="622" ht="14.25" customHeight="1">
      <c r="A622" s="52"/>
      <c r="B622" s="52"/>
      <c r="C622" s="53"/>
      <c r="D622" s="1"/>
      <c r="E622" s="1"/>
      <c r="F622" s="1"/>
      <c r="G622" s="1"/>
      <c r="H622" s="1"/>
      <c r="I622" s="1"/>
      <c r="J622" s="1"/>
      <c r="K622" s="1"/>
      <c r="L622" s="1"/>
    </row>
    <row r="623" ht="14.25" customHeight="1">
      <c r="A623" s="52"/>
      <c r="B623" s="52"/>
      <c r="C623" s="53"/>
      <c r="D623" s="1"/>
      <c r="E623" s="1"/>
      <c r="F623" s="1"/>
      <c r="G623" s="1"/>
      <c r="H623" s="1"/>
      <c r="I623" s="1"/>
      <c r="J623" s="1"/>
      <c r="K623" s="1"/>
      <c r="L623" s="1"/>
    </row>
    <row r="624" ht="14.25" customHeight="1">
      <c r="A624" s="52"/>
      <c r="B624" s="52"/>
      <c r="C624" s="53"/>
      <c r="D624" s="1"/>
      <c r="E624" s="1"/>
      <c r="F624" s="1"/>
      <c r="G624" s="1"/>
      <c r="H624" s="1"/>
      <c r="I624" s="1"/>
      <c r="J624" s="1"/>
      <c r="K624" s="1"/>
      <c r="L624" s="1"/>
    </row>
    <row r="625" ht="14.25" customHeight="1">
      <c r="A625" s="52"/>
      <c r="B625" s="52"/>
      <c r="C625" s="53"/>
      <c r="D625" s="1"/>
      <c r="E625" s="1"/>
      <c r="F625" s="1"/>
      <c r="G625" s="1"/>
      <c r="H625" s="1"/>
      <c r="I625" s="1"/>
      <c r="J625" s="1"/>
      <c r="K625" s="1"/>
      <c r="L625" s="1"/>
    </row>
    <row r="626" ht="14.25" customHeight="1">
      <c r="A626" s="52"/>
      <c r="B626" s="52"/>
      <c r="C626" s="53"/>
      <c r="D626" s="1"/>
      <c r="E626" s="1"/>
      <c r="F626" s="1"/>
      <c r="G626" s="1"/>
      <c r="H626" s="1"/>
      <c r="I626" s="1"/>
      <c r="J626" s="1"/>
      <c r="K626" s="1"/>
      <c r="L626" s="1"/>
    </row>
    <row r="627" ht="14.25" customHeight="1">
      <c r="A627" s="52"/>
      <c r="B627" s="52"/>
      <c r="C627" s="53"/>
      <c r="D627" s="1"/>
      <c r="E627" s="1"/>
      <c r="F627" s="1"/>
      <c r="G627" s="1"/>
      <c r="H627" s="1"/>
      <c r="I627" s="1"/>
      <c r="J627" s="1"/>
      <c r="K627" s="1"/>
      <c r="L627" s="1"/>
    </row>
    <row r="628" ht="14.25" customHeight="1">
      <c r="A628" s="52"/>
      <c r="B628" s="52"/>
      <c r="C628" s="53"/>
      <c r="D628" s="1"/>
      <c r="E628" s="1"/>
      <c r="F628" s="1"/>
      <c r="G628" s="1"/>
      <c r="H628" s="1"/>
      <c r="I628" s="1"/>
      <c r="J628" s="1"/>
      <c r="K628" s="1"/>
      <c r="L628" s="1"/>
    </row>
    <row r="629" ht="14.25" customHeight="1">
      <c r="A629" s="52"/>
      <c r="B629" s="52"/>
      <c r="C629" s="53"/>
      <c r="D629" s="1"/>
      <c r="E629" s="1"/>
      <c r="F629" s="1"/>
      <c r="G629" s="1"/>
      <c r="H629" s="1"/>
      <c r="I629" s="1"/>
      <c r="J629" s="1"/>
      <c r="K629" s="1"/>
      <c r="L629" s="1"/>
    </row>
    <row r="630" ht="14.25" customHeight="1">
      <c r="A630" s="52"/>
      <c r="B630" s="52"/>
      <c r="C630" s="53"/>
      <c r="D630" s="1"/>
      <c r="E630" s="1"/>
      <c r="F630" s="1"/>
      <c r="G630" s="1"/>
      <c r="H630" s="1"/>
      <c r="I630" s="1"/>
      <c r="J630" s="1"/>
      <c r="K630" s="1"/>
      <c r="L630" s="1"/>
    </row>
    <row r="631" ht="14.25" customHeight="1">
      <c r="A631" s="52"/>
      <c r="B631" s="52"/>
      <c r="C631" s="53"/>
      <c r="D631" s="1"/>
      <c r="E631" s="1"/>
      <c r="F631" s="1"/>
      <c r="G631" s="1"/>
      <c r="H631" s="1"/>
      <c r="I631" s="1"/>
      <c r="J631" s="1"/>
      <c r="K631" s="1"/>
      <c r="L631" s="1"/>
    </row>
    <row r="632" ht="14.25" customHeight="1">
      <c r="A632" s="52"/>
      <c r="B632" s="52"/>
      <c r="C632" s="53"/>
      <c r="D632" s="1"/>
      <c r="E632" s="1"/>
      <c r="F632" s="1"/>
      <c r="G632" s="1"/>
      <c r="H632" s="1"/>
      <c r="I632" s="1"/>
      <c r="J632" s="1"/>
      <c r="K632" s="1"/>
      <c r="L632" s="1"/>
    </row>
    <row r="633" ht="14.25" customHeight="1">
      <c r="A633" s="52"/>
      <c r="B633" s="52"/>
      <c r="C633" s="53"/>
      <c r="D633" s="1"/>
      <c r="E633" s="1"/>
      <c r="F633" s="1"/>
      <c r="G633" s="1"/>
      <c r="H633" s="1"/>
      <c r="I633" s="1"/>
      <c r="J633" s="1"/>
      <c r="K633" s="1"/>
      <c r="L633" s="1"/>
    </row>
    <row r="634" ht="14.25" customHeight="1">
      <c r="A634" s="52"/>
      <c r="B634" s="52"/>
      <c r="C634" s="53"/>
      <c r="D634" s="1"/>
      <c r="E634" s="1"/>
      <c r="F634" s="1"/>
      <c r="G634" s="1"/>
      <c r="H634" s="1"/>
      <c r="I634" s="1"/>
      <c r="J634" s="1"/>
      <c r="K634" s="1"/>
      <c r="L634" s="1"/>
    </row>
    <row r="635" ht="14.25" customHeight="1">
      <c r="A635" s="52"/>
      <c r="B635" s="52"/>
      <c r="C635" s="53"/>
      <c r="D635" s="1"/>
      <c r="E635" s="1"/>
      <c r="F635" s="1"/>
      <c r="G635" s="1"/>
      <c r="H635" s="1"/>
      <c r="I635" s="1"/>
      <c r="J635" s="1"/>
      <c r="K635" s="1"/>
      <c r="L635" s="1"/>
    </row>
    <row r="636" ht="14.25" customHeight="1">
      <c r="A636" s="52"/>
      <c r="B636" s="52"/>
      <c r="C636" s="53"/>
      <c r="D636" s="1"/>
      <c r="E636" s="1"/>
      <c r="F636" s="1"/>
      <c r="G636" s="1"/>
      <c r="H636" s="1"/>
      <c r="I636" s="1"/>
      <c r="J636" s="1"/>
      <c r="K636" s="1"/>
      <c r="L636" s="1"/>
    </row>
    <row r="637" ht="14.25" customHeight="1">
      <c r="A637" s="52"/>
      <c r="B637" s="52"/>
      <c r="C637" s="53"/>
      <c r="D637" s="1"/>
      <c r="E637" s="1"/>
      <c r="F637" s="1"/>
      <c r="G637" s="1"/>
      <c r="H637" s="1"/>
      <c r="I637" s="1"/>
      <c r="J637" s="1"/>
      <c r="K637" s="1"/>
      <c r="L637" s="1"/>
    </row>
    <row r="638" ht="14.25" customHeight="1">
      <c r="A638" s="52"/>
      <c r="B638" s="52"/>
      <c r="C638" s="53"/>
      <c r="D638" s="1"/>
      <c r="E638" s="1"/>
      <c r="F638" s="1"/>
      <c r="G638" s="1"/>
      <c r="H638" s="1"/>
      <c r="I638" s="1"/>
      <c r="J638" s="1"/>
      <c r="K638" s="1"/>
      <c r="L638" s="1"/>
    </row>
    <row r="639" ht="14.25" customHeight="1">
      <c r="A639" s="52"/>
      <c r="B639" s="52"/>
      <c r="C639" s="53"/>
      <c r="D639" s="1"/>
      <c r="E639" s="1"/>
      <c r="F639" s="1"/>
      <c r="G639" s="1"/>
      <c r="H639" s="1"/>
      <c r="I639" s="1"/>
      <c r="J639" s="1"/>
      <c r="K639" s="1"/>
      <c r="L639" s="1"/>
    </row>
    <row r="640" ht="14.25" customHeight="1">
      <c r="A640" s="52"/>
      <c r="B640" s="52"/>
      <c r="C640" s="53"/>
      <c r="D640" s="1"/>
      <c r="E640" s="1"/>
      <c r="F640" s="1"/>
      <c r="G640" s="1"/>
      <c r="H640" s="1"/>
      <c r="I640" s="1"/>
      <c r="J640" s="1"/>
      <c r="K640" s="1"/>
      <c r="L640" s="1"/>
    </row>
    <row r="641" ht="14.25" customHeight="1">
      <c r="A641" s="52"/>
      <c r="B641" s="52"/>
      <c r="C641" s="53"/>
      <c r="D641" s="1"/>
      <c r="E641" s="1"/>
      <c r="F641" s="1"/>
      <c r="G641" s="1"/>
      <c r="H641" s="1"/>
      <c r="I641" s="1"/>
      <c r="J641" s="1"/>
      <c r="K641" s="1"/>
      <c r="L641" s="1"/>
    </row>
    <row r="642" ht="14.25" customHeight="1">
      <c r="A642" s="52"/>
      <c r="B642" s="52"/>
      <c r="C642" s="53"/>
      <c r="D642" s="1"/>
      <c r="E642" s="1"/>
      <c r="F642" s="1"/>
      <c r="G642" s="1"/>
      <c r="H642" s="1"/>
      <c r="I642" s="1"/>
      <c r="J642" s="1"/>
      <c r="K642" s="1"/>
      <c r="L642" s="1"/>
    </row>
    <row r="643" ht="14.25" customHeight="1">
      <c r="A643" s="52"/>
      <c r="B643" s="52"/>
      <c r="C643" s="53"/>
      <c r="D643" s="1"/>
      <c r="E643" s="1"/>
      <c r="F643" s="1"/>
      <c r="G643" s="1"/>
      <c r="H643" s="1"/>
      <c r="I643" s="1"/>
      <c r="J643" s="1"/>
      <c r="K643" s="1"/>
      <c r="L643" s="1"/>
    </row>
    <row r="644" ht="14.25" customHeight="1">
      <c r="A644" s="52"/>
      <c r="B644" s="52"/>
      <c r="C644" s="53"/>
      <c r="D644" s="1"/>
      <c r="E644" s="1"/>
      <c r="F644" s="1"/>
      <c r="G644" s="1"/>
      <c r="H644" s="1"/>
      <c r="I644" s="1"/>
      <c r="J644" s="1"/>
      <c r="K644" s="1"/>
      <c r="L644" s="1"/>
    </row>
    <row r="645" ht="14.25" customHeight="1">
      <c r="A645" s="52"/>
      <c r="B645" s="52"/>
      <c r="C645" s="53"/>
      <c r="D645" s="1"/>
      <c r="E645" s="1"/>
      <c r="F645" s="1"/>
      <c r="G645" s="1"/>
      <c r="H645" s="1"/>
      <c r="I645" s="1"/>
      <c r="J645" s="1"/>
      <c r="K645" s="1"/>
      <c r="L645" s="1"/>
    </row>
    <row r="646" ht="14.25" customHeight="1">
      <c r="A646" s="52"/>
      <c r="B646" s="52"/>
      <c r="C646" s="53"/>
      <c r="D646" s="1"/>
      <c r="E646" s="1"/>
      <c r="F646" s="1"/>
      <c r="G646" s="1"/>
      <c r="H646" s="1"/>
      <c r="I646" s="1"/>
      <c r="J646" s="1"/>
      <c r="K646" s="1"/>
      <c r="L646" s="1"/>
    </row>
    <row r="647" ht="14.25" customHeight="1">
      <c r="A647" s="52"/>
      <c r="B647" s="52"/>
      <c r="C647" s="53"/>
      <c r="D647" s="1"/>
      <c r="E647" s="1"/>
      <c r="F647" s="1"/>
      <c r="G647" s="1"/>
      <c r="H647" s="1"/>
      <c r="I647" s="1"/>
      <c r="J647" s="1"/>
      <c r="K647" s="1"/>
      <c r="L647" s="1"/>
    </row>
    <row r="648" ht="14.25" customHeight="1">
      <c r="A648" s="52"/>
      <c r="B648" s="52"/>
      <c r="C648" s="53"/>
      <c r="D648" s="1"/>
      <c r="E648" s="1"/>
      <c r="F648" s="1"/>
      <c r="G648" s="1"/>
      <c r="H648" s="1"/>
      <c r="I648" s="1"/>
      <c r="J648" s="1"/>
      <c r="K648" s="1"/>
      <c r="L648" s="1"/>
    </row>
    <row r="649" ht="14.25" customHeight="1">
      <c r="A649" s="52"/>
      <c r="B649" s="52"/>
      <c r="C649" s="53"/>
      <c r="D649" s="1"/>
      <c r="E649" s="1"/>
      <c r="F649" s="1"/>
      <c r="G649" s="1"/>
      <c r="H649" s="1"/>
      <c r="I649" s="1"/>
      <c r="J649" s="1"/>
      <c r="K649" s="1"/>
      <c r="L649" s="1"/>
    </row>
    <row r="650" ht="14.25" customHeight="1">
      <c r="A650" s="52"/>
      <c r="B650" s="52"/>
      <c r="C650" s="53"/>
      <c r="D650" s="1"/>
      <c r="E650" s="1"/>
      <c r="F650" s="1"/>
      <c r="G650" s="1"/>
      <c r="H650" s="1"/>
      <c r="I650" s="1"/>
      <c r="J650" s="1"/>
      <c r="K650" s="1"/>
      <c r="L650" s="1"/>
    </row>
    <row r="651" ht="14.25" customHeight="1">
      <c r="A651" s="52"/>
      <c r="B651" s="52"/>
      <c r="C651" s="53"/>
      <c r="D651" s="1"/>
      <c r="E651" s="1"/>
      <c r="F651" s="1"/>
      <c r="G651" s="1"/>
      <c r="H651" s="1"/>
      <c r="I651" s="1"/>
      <c r="J651" s="1"/>
      <c r="K651" s="1"/>
      <c r="L651" s="1"/>
    </row>
    <row r="652" ht="14.25" customHeight="1">
      <c r="A652" s="52"/>
      <c r="B652" s="52"/>
      <c r="C652" s="53"/>
      <c r="D652" s="1"/>
      <c r="E652" s="1"/>
      <c r="F652" s="1"/>
      <c r="G652" s="1"/>
      <c r="H652" s="1"/>
      <c r="I652" s="1"/>
      <c r="J652" s="1"/>
      <c r="K652" s="1"/>
      <c r="L652" s="1"/>
    </row>
    <row r="653" ht="14.25" customHeight="1">
      <c r="A653" s="52"/>
      <c r="B653" s="52"/>
      <c r="C653" s="53"/>
      <c r="D653" s="1"/>
      <c r="E653" s="1"/>
      <c r="F653" s="1"/>
      <c r="G653" s="1"/>
      <c r="H653" s="1"/>
      <c r="I653" s="1"/>
      <c r="J653" s="1"/>
      <c r="K653" s="1"/>
      <c r="L653" s="1"/>
    </row>
    <row r="654" ht="14.25" customHeight="1">
      <c r="A654" s="52"/>
      <c r="B654" s="52"/>
      <c r="C654" s="53"/>
      <c r="D654" s="1"/>
      <c r="E654" s="1"/>
      <c r="F654" s="1"/>
      <c r="G654" s="1"/>
      <c r="H654" s="1"/>
      <c r="I654" s="1"/>
      <c r="J654" s="1"/>
      <c r="K654" s="1"/>
      <c r="L654" s="1"/>
    </row>
    <row r="655" ht="14.25" customHeight="1">
      <c r="A655" s="52"/>
      <c r="B655" s="52"/>
      <c r="C655" s="53"/>
      <c r="D655" s="1"/>
      <c r="E655" s="1"/>
      <c r="F655" s="1"/>
      <c r="G655" s="1"/>
      <c r="H655" s="1"/>
      <c r="I655" s="1"/>
      <c r="J655" s="1"/>
      <c r="K655" s="1"/>
      <c r="L655" s="1"/>
    </row>
    <row r="656" ht="14.25" customHeight="1">
      <c r="A656" s="52"/>
      <c r="B656" s="52"/>
      <c r="C656" s="53"/>
      <c r="D656" s="1"/>
      <c r="E656" s="1"/>
      <c r="F656" s="1"/>
      <c r="G656" s="1"/>
      <c r="H656" s="1"/>
      <c r="I656" s="1"/>
      <c r="J656" s="1"/>
      <c r="K656" s="1"/>
      <c r="L656" s="1"/>
    </row>
    <row r="657" ht="14.25" customHeight="1">
      <c r="A657" s="52"/>
      <c r="B657" s="52"/>
      <c r="C657" s="53"/>
      <c r="D657" s="1"/>
      <c r="E657" s="1"/>
      <c r="F657" s="1"/>
      <c r="G657" s="1"/>
      <c r="H657" s="1"/>
      <c r="I657" s="1"/>
      <c r="J657" s="1"/>
      <c r="K657" s="1"/>
      <c r="L657" s="1"/>
    </row>
    <row r="658" ht="14.25" customHeight="1">
      <c r="A658" s="52"/>
      <c r="B658" s="52"/>
      <c r="C658" s="53"/>
      <c r="D658" s="1"/>
      <c r="E658" s="1"/>
      <c r="F658" s="1"/>
      <c r="G658" s="1"/>
      <c r="H658" s="1"/>
      <c r="I658" s="1"/>
      <c r="J658" s="1"/>
      <c r="K658" s="1"/>
      <c r="L658" s="1"/>
    </row>
    <row r="659" ht="14.25" customHeight="1">
      <c r="A659" s="52"/>
      <c r="B659" s="52"/>
      <c r="C659" s="53"/>
      <c r="D659" s="1"/>
      <c r="E659" s="1"/>
      <c r="F659" s="1"/>
      <c r="G659" s="1"/>
      <c r="H659" s="1"/>
      <c r="I659" s="1"/>
      <c r="J659" s="1"/>
      <c r="K659" s="1"/>
      <c r="L659" s="1"/>
    </row>
    <row r="660" ht="14.25" customHeight="1">
      <c r="A660" s="52"/>
      <c r="B660" s="52"/>
      <c r="C660" s="53"/>
      <c r="D660" s="1"/>
      <c r="E660" s="1"/>
      <c r="F660" s="1"/>
      <c r="G660" s="1"/>
      <c r="H660" s="1"/>
      <c r="I660" s="1"/>
      <c r="J660" s="1"/>
      <c r="K660" s="1"/>
      <c r="L660" s="1"/>
    </row>
    <row r="661" ht="14.25" customHeight="1">
      <c r="A661" s="52"/>
      <c r="B661" s="52"/>
      <c r="C661" s="53"/>
      <c r="D661" s="1"/>
      <c r="E661" s="1"/>
      <c r="F661" s="1"/>
      <c r="G661" s="1"/>
      <c r="H661" s="1"/>
      <c r="I661" s="1"/>
      <c r="J661" s="1"/>
      <c r="K661" s="1"/>
      <c r="L661" s="1"/>
    </row>
    <row r="662" ht="14.25" customHeight="1">
      <c r="A662" s="52"/>
      <c r="B662" s="52"/>
      <c r="C662" s="53"/>
      <c r="D662" s="1"/>
      <c r="E662" s="1"/>
      <c r="F662" s="1"/>
      <c r="G662" s="1"/>
      <c r="H662" s="1"/>
      <c r="I662" s="1"/>
      <c r="J662" s="1"/>
      <c r="K662" s="1"/>
      <c r="L662" s="1"/>
    </row>
    <row r="663" ht="14.25" customHeight="1">
      <c r="A663" s="52"/>
      <c r="B663" s="52"/>
      <c r="C663" s="53"/>
      <c r="D663" s="1"/>
      <c r="E663" s="1"/>
      <c r="F663" s="1"/>
      <c r="G663" s="1"/>
      <c r="H663" s="1"/>
      <c r="I663" s="1"/>
      <c r="J663" s="1"/>
      <c r="K663" s="1"/>
      <c r="L663" s="1"/>
    </row>
    <row r="664" ht="14.25" customHeight="1">
      <c r="A664" s="52"/>
      <c r="B664" s="52"/>
      <c r="C664" s="53"/>
      <c r="D664" s="1"/>
      <c r="E664" s="1"/>
      <c r="F664" s="1"/>
      <c r="G664" s="1"/>
      <c r="H664" s="1"/>
      <c r="I664" s="1"/>
      <c r="J664" s="1"/>
      <c r="K664" s="1"/>
      <c r="L664" s="1"/>
    </row>
    <row r="665" ht="14.25" customHeight="1">
      <c r="A665" s="52"/>
      <c r="B665" s="52"/>
      <c r="C665" s="53"/>
      <c r="D665" s="1"/>
      <c r="E665" s="1"/>
      <c r="F665" s="1"/>
      <c r="G665" s="1"/>
      <c r="H665" s="1"/>
      <c r="I665" s="1"/>
      <c r="J665" s="1"/>
      <c r="K665" s="1"/>
      <c r="L665" s="1"/>
    </row>
    <row r="666" ht="14.25" customHeight="1">
      <c r="A666" s="52"/>
      <c r="B666" s="52"/>
      <c r="C666" s="53"/>
      <c r="D666" s="1"/>
      <c r="E666" s="1"/>
      <c r="F666" s="1"/>
      <c r="G666" s="1"/>
      <c r="H666" s="1"/>
      <c r="I666" s="1"/>
      <c r="J666" s="1"/>
      <c r="K666" s="1"/>
      <c r="L666" s="1"/>
    </row>
    <row r="667" ht="14.25" customHeight="1">
      <c r="A667" s="52"/>
      <c r="B667" s="52"/>
      <c r="C667" s="53"/>
      <c r="D667" s="1"/>
      <c r="E667" s="1"/>
      <c r="F667" s="1"/>
      <c r="G667" s="1"/>
      <c r="H667" s="1"/>
      <c r="I667" s="1"/>
      <c r="J667" s="1"/>
      <c r="K667" s="1"/>
      <c r="L667" s="1"/>
    </row>
    <row r="668" ht="14.25" customHeight="1">
      <c r="A668" s="52"/>
      <c r="B668" s="52"/>
      <c r="C668" s="53"/>
      <c r="D668" s="1"/>
      <c r="E668" s="1"/>
      <c r="F668" s="1"/>
      <c r="G668" s="1"/>
      <c r="H668" s="1"/>
      <c r="I668" s="1"/>
      <c r="J668" s="1"/>
      <c r="K668" s="1"/>
      <c r="L668" s="1"/>
    </row>
    <row r="669" ht="14.25" customHeight="1">
      <c r="A669" s="52"/>
      <c r="B669" s="52"/>
      <c r="C669" s="53"/>
      <c r="D669" s="1"/>
      <c r="E669" s="1"/>
      <c r="F669" s="1"/>
      <c r="G669" s="1"/>
      <c r="H669" s="1"/>
      <c r="I669" s="1"/>
      <c r="J669" s="1"/>
      <c r="K669" s="1"/>
      <c r="L669" s="1"/>
    </row>
    <row r="670" ht="14.25" customHeight="1">
      <c r="A670" s="52"/>
      <c r="B670" s="52"/>
      <c r="C670" s="53"/>
      <c r="D670" s="1"/>
      <c r="E670" s="1"/>
      <c r="F670" s="1"/>
      <c r="G670" s="1"/>
      <c r="H670" s="1"/>
      <c r="I670" s="1"/>
      <c r="J670" s="1"/>
      <c r="K670" s="1"/>
      <c r="L670" s="1"/>
    </row>
    <row r="671" ht="14.25" customHeight="1">
      <c r="A671" s="52"/>
      <c r="B671" s="52"/>
      <c r="C671" s="53"/>
      <c r="D671" s="1"/>
      <c r="E671" s="1"/>
      <c r="F671" s="1"/>
      <c r="G671" s="1"/>
      <c r="H671" s="1"/>
      <c r="I671" s="1"/>
      <c r="J671" s="1"/>
      <c r="K671" s="1"/>
      <c r="L671" s="1"/>
    </row>
    <row r="672" ht="14.25" customHeight="1">
      <c r="A672" s="52"/>
      <c r="B672" s="52"/>
      <c r="C672" s="53"/>
      <c r="D672" s="1"/>
      <c r="E672" s="1"/>
      <c r="F672" s="1"/>
      <c r="G672" s="1"/>
      <c r="H672" s="1"/>
      <c r="I672" s="1"/>
      <c r="J672" s="1"/>
      <c r="K672" s="1"/>
      <c r="L672" s="1"/>
    </row>
    <row r="673" ht="14.25" customHeight="1">
      <c r="A673" s="52"/>
      <c r="B673" s="52"/>
      <c r="C673" s="53"/>
      <c r="D673" s="1"/>
      <c r="E673" s="1"/>
      <c r="F673" s="1"/>
      <c r="G673" s="1"/>
      <c r="H673" s="1"/>
      <c r="I673" s="1"/>
      <c r="J673" s="1"/>
      <c r="K673" s="1"/>
      <c r="L673" s="1"/>
    </row>
    <row r="674" ht="14.25" customHeight="1">
      <c r="A674" s="52"/>
      <c r="B674" s="52"/>
      <c r="C674" s="53"/>
      <c r="D674" s="1"/>
      <c r="E674" s="1"/>
      <c r="F674" s="1"/>
      <c r="G674" s="1"/>
      <c r="H674" s="1"/>
      <c r="I674" s="1"/>
      <c r="J674" s="1"/>
      <c r="K674" s="1"/>
      <c r="L674" s="1"/>
    </row>
    <row r="675" ht="14.25" customHeight="1">
      <c r="A675" s="52"/>
      <c r="B675" s="52"/>
      <c r="C675" s="53"/>
      <c r="D675" s="1"/>
      <c r="E675" s="1"/>
      <c r="F675" s="1"/>
      <c r="G675" s="1"/>
      <c r="H675" s="1"/>
      <c r="I675" s="1"/>
      <c r="J675" s="1"/>
      <c r="K675" s="1"/>
      <c r="L675" s="1"/>
    </row>
    <row r="676" ht="14.25" customHeight="1">
      <c r="A676" s="52"/>
      <c r="B676" s="52"/>
      <c r="C676" s="53"/>
      <c r="D676" s="1"/>
      <c r="E676" s="1"/>
      <c r="F676" s="1"/>
      <c r="G676" s="1"/>
      <c r="H676" s="1"/>
      <c r="I676" s="1"/>
      <c r="J676" s="1"/>
      <c r="K676" s="1"/>
      <c r="L676" s="1"/>
    </row>
    <row r="677" ht="14.25" customHeight="1">
      <c r="A677" s="52"/>
      <c r="B677" s="52"/>
      <c r="C677" s="53"/>
      <c r="D677" s="1"/>
      <c r="E677" s="1"/>
      <c r="F677" s="1"/>
      <c r="G677" s="1"/>
      <c r="H677" s="1"/>
      <c r="I677" s="1"/>
      <c r="J677" s="1"/>
      <c r="K677" s="1"/>
      <c r="L677" s="1"/>
    </row>
    <row r="678" ht="14.25" customHeight="1">
      <c r="A678" s="52"/>
      <c r="B678" s="52"/>
      <c r="C678" s="53"/>
      <c r="D678" s="1"/>
      <c r="E678" s="1"/>
      <c r="F678" s="1"/>
      <c r="G678" s="1"/>
      <c r="H678" s="1"/>
      <c r="I678" s="1"/>
      <c r="J678" s="1"/>
      <c r="K678" s="1"/>
      <c r="L678" s="1"/>
    </row>
    <row r="679" ht="14.25" customHeight="1">
      <c r="A679" s="52"/>
      <c r="B679" s="52"/>
      <c r="C679" s="53"/>
      <c r="D679" s="1"/>
      <c r="E679" s="1"/>
      <c r="F679" s="1"/>
      <c r="G679" s="1"/>
      <c r="H679" s="1"/>
      <c r="I679" s="1"/>
      <c r="J679" s="1"/>
      <c r="K679" s="1"/>
      <c r="L679" s="1"/>
    </row>
    <row r="680" ht="14.25" customHeight="1">
      <c r="A680" s="52"/>
      <c r="B680" s="52"/>
      <c r="C680" s="53"/>
      <c r="D680" s="1"/>
      <c r="E680" s="1"/>
      <c r="F680" s="1"/>
      <c r="G680" s="1"/>
      <c r="H680" s="1"/>
      <c r="I680" s="1"/>
      <c r="J680" s="1"/>
      <c r="K680" s="1"/>
      <c r="L680" s="1"/>
    </row>
    <row r="681" ht="14.25" customHeight="1">
      <c r="A681" s="52"/>
      <c r="B681" s="52"/>
      <c r="C681" s="53"/>
      <c r="D681" s="1"/>
      <c r="E681" s="1"/>
      <c r="F681" s="1"/>
      <c r="G681" s="1"/>
      <c r="H681" s="1"/>
      <c r="I681" s="1"/>
      <c r="J681" s="1"/>
      <c r="K681" s="1"/>
      <c r="L681" s="1"/>
    </row>
    <row r="682" ht="14.25" customHeight="1">
      <c r="A682" s="52"/>
      <c r="B682" s="52"/>
      <c r="C682" s="53"/>
      <c r="D682" s="1"/>
      <c r="E682" s="1"/>
      <c r="F682" s="1"/>
      <c r="G682" s="1"/>
      <c r="H682" s="1"/>
      <c r="I682" s="1"/>
      <c r="J682" s="1"/>
      <c r="K682" s="1"/>
      <c r="L682" s="1"/>
    </row>
    <row r="683" ht="14.25" customHeight="1">
      <c r="A683" s="52"/>
      <c r="B683" s="52"/>
      <c r="C683" s="53"/>
      <c r="D683" s="1"/>
      <c r="E683" s="1"/>
      <c r="F683" s="1"/>
      <c r="G683" s="1"/>
      <c r="H683" s="1"/>
      <c r="I683" s="1"/>
      <c r="J683" s="1"/>
      <c r="K683" s="1"/>
      <c r="L683" s="1"/>
    </row>
    <row r="684" ht="14.25" customHeight="1">
      <c r="A684" s="52"/>
      <c r="B684" s="52"/>
      <c r="C684" s="53"/>
      <c r="D684" s="1"/>
      <c r="E684" s="1"/>
      <c r="F684" s="1"/>
      <c r="G684" s="1"/>
      <c r="H684" s="1"/>
      <c r="I684" s="1"/>
      <c r="J684" s="1"/>
      <c r="K684" s="1"/>
      <c r="L684" s="1"/>
    </row>
    <row r="685" ht="14.25" customHeight="1">
      <c r="A685" s="52"/>
      <c r="B685" s="52"/>
      <c r="C685" s="53"/>
      <c r="D685" s="1"/>
      <c r="E685" s="1"/>
      <c r="F685" s="1"/>
      <c r="G685" s="1"/>
      <c r="H685" s="1"/>
      <c r="I685" s="1"/>
      <c r="J685" s="1"/>
      <c r="K685" s="1"/>
      <c r="L685" s="1"/>
    </row>
    <row r="686" ht="14.25" customHeight="1">
      <c r="A686" s="52"/>
      <c r="B686" s="52"/>
      <c r="C686" s="53"/>
      <c r="D686" s="1"/>
      <c r="E686" s="1"/>
      <c r="F686" s="1"/>
      <c r="G686" s="1"/>
      <c r="H686" s="1"/>
      <c r="I686" s="1"/>
      <c r="J686" s="1"/>
      <c r="K686" s="1"/>
      <c r="L686" s="1"/>
    </row>
    <row r="687" ht="14.25" customHeight="1">
      <c r="A687" s="52"/>
      <c r="B687" s="52"/>
      <c r="C687" s="53"/>
      <c r="D687" s="1"/>
      <c r="E687" s="1"/>
      <c r="F687" s="1"/>
      <c r="G687" s="1"/>
      <c r="H687" s="1"/>
      <c r="I687" s="1"/>
      <c r="J687" s="1"/>
      <c r="K687" s="1"/>
      <c r="L687" s="1"/>
    </row>
    <row r="688" ht="14.25" customHeight="1">
      <c r="A688" s="52"/>
      <c r="B688" s="52"/>
      <c r="C688" s="53"/>
      <c r="D688" s="1"/>
      <c r="E688" s="1"/>
      <c r="F688" s="1"/>
      <c r="G688" s="1"/>
      <c r="H688" s="1"/>
      <c r="I688" s="1"/>
      <c r="J688" s="1"/>
      <c r="K688" s="1"/>
      <c r="L688" s="1"/>
    </row>
    <row r="689" ht="14.25" customHeight="1">
      <c r="A689" s="52"/>
      <c r="B689" s="52"/>
      <c r="C689" s="53"/>
      <c r="D689" s="1"/>
      <c r="E689" s="1"/>
      <c r="F689" s="1"/>
      <c r="G689" s="1"/>
      <c r="H689" s="1"/>
      <c r="I689" s="1"/>
      <c r="J689" s="1"/>
      <c r="K689" s="1"/>
      <c r="L689" s="1"/>
    </row>
    <row r="690" ht="14.25" customHeight="1">
      <c r="A690" s="52"/>
      <c r="B690" s="52"/>
      <c r="C690" s="53"/>
      <c r="D690" s="1"/>
      <c r="E690" s="1"/>
      <c r="F690" s="1"/>
      <c r="G690" s="1"/>
      <c r="H690" s="1"/>
      <c r="I690" s="1"/>
      <c r="J690" s="1"/>
      <c r="K690" s="1"/>
      <c r="L690" s="1"/>
    </row>
    <row r="691" ht="14.25" customHeight="1">
      <c r="A691" s="52"/>
      <c r="B691" s="52"/>
      <c r="C691" s="53"/>
      <c r="D691" s="1"/>
      <c r="E691" s="1"/>
      <c r="F691" s="1"/>
      <c r="G691" s="1"/>
      <c r="H691" s="1"/>
      <c r="I691" s="1"/>
      <c r="J691" s="1"/>
      <c r="K691" s="1"/>
      <c r="L691" s="1"/>
    </row>
    <row r="692" ht="14.25" customHeight="1">
      <c r="A692" s="52"/>
      <c r="B692" s="52"/>
      <c r="C692" s="53"/>
      <c r="D692" s="1"/>
      <c r="E692" s="1"/>
      <c r="F692" s="1"/>
      <c r="G692" s="1"/>
      <c r="H692" s="1"/>
      <c r="I692" s="1"/>
      <c r="J692" s="1"/>
      <c r="K692" s="1"/>
      <c r="L692" s="1"/>
    </row>
    <row r="693" ht="14.25" customHeight="1">
      <c r="A693" s="52"/>
      <c r="B693" s="52"/>
      <c r="C693" s="53"/>
      <c r="D693" s="1"/>
      <c r="E693" s="1"/>
      <c r="F693" s="1"/>
      <c r="G693" s="1"/>
      <c r="H693" s="1"/>
      <c r="I693" s="1"/>
      <c r="J693" s="1"/>
      <c r="K693" s="1"/>
      <c r="L693" s="1"/>
    </row>
    <row r="694" ht="14.25" customHeight="1">
      <c r="A694" s="52"/>
      <c r="B694" s="52"/>
      <c r="C694" s="53"/>
      <c r="D694" s="1"/>
      <c r="E694" s="1"/>
      <c r="F694" s="1"/>
      <c r="G694" s="1"/>
      <c r="H694" s="1"/>
      <c r="I694" s="1"/>
      <c r="J694" s="1"/>
      <c r="K694" s="1"/>
      <c r="L694" s="1"/>
    </row>
    <row r="695" ht="14.25" customHeight="1">
      <c r="A695" s="52"/>
      <c r="B695" s="52"/>
      <c r="C695" s="53"/>
      <c r="D695" s="1"/>
      <c r="E695" s="1"/>
      <c r="F695" s="1"/>
      <c r="G695" s="1"/>
      <c r="H695" s="1"/>
      <c r="I695" s="1"/>
      <c r="J695" s="1"/>
      <c r="K695" s="1"/>
      <c r="L695" s="1"/>
    </row>
    <row r="696" ht="14.25" customHeight="1">
      <c r="A696" s="52"/>
      <c r="B696" s="52"/>
      <c r="C696" s="53"/>
      <c r="D696" s="1"/>
      <c r="E696" s="1"/>
      <c r="F696" s="1"/>
      <c r="G696" s="1"/>
      <c r="H696" s="1"/>
      <c r="I696" s="1"/>
      <c r="J696" s="1"/>
      <c r="K696" s="1"/>
      <c r="L696" s="1"/>
    </row>
    <row r="697" ht="14.25" customHeight="1">
      <c r="A697" s="52"/>
      <c r="B697" s="52"/>
      <c r="C697" s="53"/>
      <c r="D697" s="1"/>
      <c r="E697" s="1"/>
      <c r="F697" s="1"/>
      <c r="G697" s="1"/>
      <c r="H697" s="1"/>
      <c r="I697" s="1"/>
      <c r="J697" s="1"/>
      <c r="K697" s="1"/>
      <c r="L697" s="1"/>
    </row>
    <row r="698" ht="14.25" customHeight="1">
      <c r="A698" s="52"/>
      <c r="B698" s="52"/>
      <c r="C698" s="53"/>
      <c r="D698" s="1"/>
      <c r="E698" s="1"/>
      <c r="F698" s="1"/>
      <c r="G698" s="1"/>
      <c r="H698" s="1"/>
      <c r="I698" s="1"/>
      <c r="J698" s="1"/>
      <c r="K698" s="1"/>
      <c r="L698" s="1"/>
    </row>
    <row r="699" ht="14.25" customHeight="1">
      <c r="A699" s="52"/>
      <c r="B699" s="52"/>
      <c r="C699" s="53"/>
      <c r="D699" s="1"/>
      <c r="E699" s="1"/>
      <c r="F699" s="1"/>
      <c r="G699" s="1"/>
      <c r="H699" s="1"/>
      <c r="I699" s="1"/>
      <c r="J699" s="1"/>
      <c r="K699" s="1"/>
      <c r="L699" s="1"/>
    </row>
    <row r="700" ht="14.25" customHeight="1">
      <c r="A700" s="52"/>
      <c r="B700" s="52"/>
      <c r="C700" s="53"/>
      <c r="D700" s="1"/>
      <c r="E700" s="1"/>
      <c r="F700" s="1"/>
      <c r="G700" s="1"/>
      <c r="H700" s="1"/>
      <c r="I700" s="1"/>
      <c r="J700" s="1"/>
      <c r="K700" s="1"/>
      <c r="L700" s="1"/>
    </row>
    <row r="701" ht="14.25" customHeight="1">
      <c r="A701" s="52"/>
      <c r="B701" s="52"/>
      <c r="C701" s="53"/>
      <c r="D701" s="1"/>
      <c r="E701" s="1"/>
      <c r="F701" s="1"/>
      <c r="G701" s="1"/>
      <c r="H701" s="1"/>
      <c r="I701" s="1"/>
      <c r="J701" s="1"/>
      <c r="K701" s="1"/>
      <c r="L701" s="1"/>
    </row>
    <row r="702" ht="14.25" customHeight="1">
      <c r="A702" s="52"/>
      <c r="B702" s="52"/>
      <c r="C702" s="53"/>
      <c r="D702" s="1"/>
      <c r="E702" s="1"/>
      <c r="F702" s="1"/>
      <c r="G702" s="1"/>
      <c r="H702" s="1"/>
      <c r="I702" s="1"/>
      <c r="J702" s="1"/>
      <c r="K702" s="1"/>
      <c r="L702" s="1"/>
    </row>
    <row r="703" ht="14.25" customHeight="1">
      <c r="A703" s="52"/>
      <c r="B703" s="52"/>
      <c r="C703" s="53"/>
      <c r="D703" s="1"/>
      <c r="E703" s="1"/>
      <c r="F703" s="1"/>
      <c r="G703" s="1"/>
      <c r="H703" s="1"/>
      <c r="I703" s="1"/>
      <c r="J703" s="1"/>
      <c r="K703" s="1"/>
      <c r="L703" s="1"/>
    </row>
    <row r="704" ht="14.25" customHeight="1">
      <c r="A704" s="52"/>
      <c r="B704" s="52"/>
      <c r="C704" s="53"/>
      <c r="D704" s="1"/>
      <c r="E704" s="1"/>
      <c r="F704" s="1"/>
      <c r="G704" s="1"/>
      <c r="H704" s="1"/>
      <c r="I704" s="1"/>
      <c r="J704" s="1"/>
      <c r="K704" s="1"/>
      <c r="L704" s="1"/>
    </row>
    <row r="705" ht="14.25" customHeight="1">
      <c r="A705" s="52"/>
      <c r="B705" s="52"/>
      <c r="C705" s="53"/>
      <c r="D705" s="1"/>
      <c r="E705" s="1"/>
      <c r="F705" s="1"/>
      <c r="G705" s="1"/>
      <c r="H705" s="1"/>
      <c r="I705" s="1"/>
      <c r="J705" s="1"/>
      <c r="K705" s="1"/>
      <c r="L705" s="1"/>
    </row>
    <row r="706" ht="14.25" customHeight="1">
      <c r="A706" s="52"/>
      <c r="B706" s="52"/>
      <c r="C706" s="53"/>
      <c r="D706" s="1"/>
      <c r="E706" s="1"/>
      <c r="F706" s="1"/>
      <c r="G706" s="1"/>
      <c r="H706" s="1"/>
      <c r="I706" s="1"/>
      <c r="J706" s="1"/>
      <c r="K706" s="1"/>
      <c r="L706" s="1"/>
    </row>
    <row r="707" ht="14.25" customHeight="1">
      <c r="A707" s="52"/>
      <c r="B707" s="52"/>
      <c r="C707" s="53"/>
      <c r="D707" s="1"/>
      <c r="E707" s="1"/>
      <c r="F707" s="1"/>
      <c r="G707" s="1"/>
      <c r="H707" s="1"/>
      <c r="I707" s="1"/>
      <c r="J707" s="1"/>
      <c r="K707" s="1"/>
      <c r="L707" s="1"/>
    </row>
    <row r="708" ht="14.25" customHeight="1">
      <c r="A708" s="52"/>
      <c r="B708" s="52"/>
      <c r="C708" s="53"/>
      <c r="D708" s="1"/>
      <c r="E708" s="1"/>
      <c r="F708" s="1"/>
      <c r="G708" s="1"/>
      <c r="H708" s="1"/>
      <c r="I708" s="1"/>
      <c r="J708" s="1"/>
      <c r="K708" s="1"/>
      <c r="L708" s="1"/>
    </row>
    <row r="709" ht="14.25" customHeight="1">
      <c r="A709" s="52"/>
      <c r="B709" s="52"/>
      <c r="C709" s="53"/>
      <c r="D709" s="1"/>
      <c r="E709" s="1"/>
      <c r="F709" s="1"/>
      <c r="G709" s="1"/>
      <c r="H709" s="1"/>
      <c r="I709" s="1"/>
      <c r="J709" s="1"/>
      <c r="K709" s="1"/>
      <c r="L709" s="1"/>
    </row>
    <row r="710" ht="14.25" customHeight="1">
      <c r="A710" s="52"/>
      <c r="B710" s="52"/>
      <c r="C710" s="53"/>
      <c r="D710" s="1"/>
      <c r="E710" s="1"/>
      <c r="F710" s="1"/>
      <c r="G710" s="1"/>
      <c r="H710" s="1"/>
      <c r="I710" s="1"/>
      <c r="J710" s="1"/>
      <c r="K710" s="1"/>
      <c r="L710" s="1"/>
    </row>
    <row r="711" ht="14.25" customHeight="1">
      <c r="A711" s="52"/>
      <c r="B711" s="52"/>
      <c r="C711" s="53"/>
      <c r="D711" s="1"/>
      <c r="E711" s="1"/>
      <c r="F711" s="1"/>
      <c r="G711" s="1"/>
      <c r="H711" s="1"/>
      <c r="I711" s="1"/>
      <c r="J711" s="1"/>
      <c r="K711" s="1"/>
      <c r="L711" s="1"/>
    </row>
    <row r="712" ht="14.25" customHeight="1">
      <c r="A712" s="52"/>
      <c r="B712" s="52"/>
      <c r="C712" s="53"/>
      <c r="D712" s="1"/>
      <c r="E712" s="1"/>
      <c r="F712" s="1"/>
      <c r="G712" s="1"/>
      <c r="H712" s="1"/>
      <c r="I712" s="1"/>
      <c r="J712" s="1"/>
      <c r="K712" s="1"/>
      <c r="L712" s="1"/>
    </row>
    <row r="713" ht="14.25" customHeight="1">
      <c r="A713" s="52"/>
      <c r="B713" s="52"/>
      <c r="C713" s="53"/>
      <c r="D713" s="1"/>
      <c r="E713" s="1"/>
      <c r="F713" s="1"/>
      <c r="G713" s="1"/>
      <c r="H713" s="1"/>
      <c r="I713" s="1"/>
      <c r="J713" s="1"/>
      <c r="K713" s="1"/>
      <c r="L713" s="1"/>
    </row>
    <row r="714" ht="14.25" customHeight="1">
      <c r="A714" s="52"/>
      <c r="B714" s="52"/>
      <c r="C714" s="53"/>
      <c r="D714" s="1"/>
      <c r="E714" s="1"/>
      <c r="F714" s="1"/>
      <c r="G714" s="1"/>
      <c r="H714" s="1"/>
      <c r="I714" s="1"/>
      <c r="J714" s="1"/>
      <c r="K714" s="1"/>
      <c r="L714" s="1"/>
    </row>
    <row r="715" ht="14.25" customHeight="1">
      <c r="A715" s="52"/>
      <c r="B715" s="52"/>
      <c r="C715" s="53"/>
      <c r="D715" s="1"/>
      <c r="E715" s="1"/>
      <c r="F715" s="1"/>
      <c r="G715" s="1"/>
      <c r="H715" s="1"/>
      <c r="I715" s="1"/>
      <c r="J715" s="1"/>
      <c r="K715" s="1"/>
      <c r="L715" s="1"/>
    </row>
    <row r="716" ht="14.25" customHeight="1">
      <c r="A716" s="52"/>
      <c r="B716" s="52"/>
      <c r="C716" s="53"/>
      <c r="D716" s="1"/>
      <c r="E716" s="1"/>
      <c r="F716" s="1"/>
      <c r="G716" s="1"/>
      <c r="H716" s="1"/>
      <c r="I716" s="1"/>
      <c r="J716" s="1"/>
      <c r="K716" s="1"/>
      <c r="L716" s="1"/>
    </row>
    <row r="717" ht="14.25" customHeight="1">
      <c r="A717" s="52"/>
      <c r="B717" s="52"/>
      <c r="C717" s="53"/>
      <c r="D717" s="1"/>
      <c r="E717" s="1"/>
      <c r="F717" s="1"/>
      <c r="G717" s="1"/>
      <c r="H717" s="1"/>
      <c r="I717" s="1"/>
      <c r="J717" s="1"/>
      <c r="K717" s="1"/>
      <c r="L717" s="1"/>
    </row>
    <row r="718" ht="14.25" customHeight="1">
      <c r="A718" s="52"/>
      <c r="B718" s="52"/>
      <c r="C718" s="53"/>
      <c r="D718" s="1"/>
      <c r="E718" s="1"/>
      <c r="F718" s="1"/>
      <c r="G718" s="1"/>
      <c r="H718" s="1"/>
      <c r="I718" s="1"/>
      <c r="J718" s="1"/>
      <c r="K718" s="1"/>
      <c r="L718" s="1"/>
    </row>
    <row r="719" ht="14.25" customHeight="1">
      <c r="A719" s="52"/>
      <c r="B719" s="52"/>
      <c r="C719" s="53"/>
      <c r="D719" s="1"/>
      <c r="E719" s="1"/>
      <c r="F719" s="1"/>
      <c r="G719" s="1"/>
      <c r="H719" s="1"/>
      <c r="I719" s="1"/>
      <c r="J719" s="1"/>
      <c r="K719" s="1"/>
      <c r="L719" s="1"/>
    </row>
    <row r="720" ht="14.25" customHeight="1">
      <c r="A720" s="52"/>
      <c r="B720" s="52"/>
      <c r="C720" s="53"/>
      <c r="D720" s="1"/>
      <c r="E720" s="1"/>
      <c r="F720" s="1"/>
      <c r="G720" s="1"/>
      <c r="H720" s="1"/>
      <c r="I720" s="1"/>
      <c r="J720" s="1"/>
      <c r="K720" s="1"/>
      <c r="L720" s="1"/>
    </row>
    <row r="721" ht="14.25" customHeight="1">
      <c r="A721" s="52"/>
      <c r="B721" s="52"/>
      <c r="C721" s="53"/>
      <c r="D721" s="1"/>
      <c r="E721" s="1"/>
      <c r="F721" s="1"/>
      <c r="G721" s="1"/>
      <c r="H721" s="1"/>
      <c r="I721" s="1"/>
      <c r="J721" s="1"/>
      <c r="K721" s="1"/>
      <c r="L721" s="1"/>
    </row>
    <row r="722" ht="14.25" customHeight="1">
      <c r="A722" s="52"/>
      <c r="B722" s="52"/>
      <c r="C722" s="53"/>
      <c r="D722" s="1"/>
      <c r="E722" s="1"/>
      <c r="F722" s="1"/>
      <c r="G722" s="1"/>
      <c r="H722" s="1"/>
      <c r="I722" s="1"/>
      <c r="J722" s="1"/>
      <c r="K722" s="1"/>
      <c r="L722" s="1"/>
    </row>
    <row r="723" ht="14.25" customHeight="1">
      <c r="A723" s="52"/>
      <c r="B723" s="52"/>
      <c r="C723" s="53"/>
      <c r="D723" s="1"/>
      <c r="E723" s="1"/>
      <c r="F723" s="1"/>
      <c r="G723" s="1"/>
      <c r="H723" s="1"/>
      <c r="I723" s="1"/>
      <c r="J723" s="1"/>
      <c r="K723" s="1"/>
      <c r="L723" s="1"/>
    </row>
    <row r="724" ht="14.25" customHeight="1">
      <c r="A724" s="52"/>
      <c r="B724" s="52"/>
      <c r="C724" s="53"/>
      <c r="D724" s="1"/>
      <c r="E724" s="1"/>
      <c r="F724" s="1"/>
      <c r="G724" s="1"/>
      <c r="H724" s="1"/>
      <c r="I724" s="1"/>
      <c r="J724" s="1"/>
      <c r="K724" s="1"/>
      <c r="L724" s="1"/>
    </row>
    <row r="725" ht="14.25" customHeight="1">
      <c r="A725" s="52"/>
      <c r="B725" s="52"/>
      <c r="C725" s="53"/>
      <c r="D725" s="1"/>
      <c r="E725" s="1"/>
      <c r="F725" s="1"/>
      <c r="G725" s="1"/>
      <c r="H725" s="1"/>
      <c r="I725" s="1"/>
      <c r="J725" s="1"/>
      <c r="K725" s="1"/>
      <c r="L725" s="1"/>
    </row>
    <row r="726" ht="14.25" customHeight="1">
      <c r="A726" s="52"/>
      <c r="B726" s="52"/>
      <c r="C726" s="53"/>
      <c r="D726" s="1"/>
      <c r="E726" s="1"/>
      <c r="F726" s="1"/>
      <c r="G726" s="1"/>
      <c r="H726" s="1"/>
      <c r="I726" s="1"/>
      <c r="J726" s="1"/>
      <c r="K726" s="1"/>
      <c r="L726" s="1"/>
    </row>
    <row r="727" ht="14.25" customHeight="1">
      <c r="A727" s="52"/>
      <c r="B727" s="52"/>
      <c r="C727" s="53"/>
      <c r="D727" s="1"/>
      <c r="E727" s="1"/>
      <c r="F727" s="1"/>
      <c r="G727" s="1"/>
      <c r="H727" s="1"/>
      <c r="I727" s="1"/>
      <c r="J727" s="1"/>
      <c r="K727" s="1"/>
      <c r="L727" s="1"/>
    </row>
    <row r="728" ht="14.25" customHeight="1">
      <c r="A728" s="52"/>
      <c r="B728" s="52"/>
      <c r="C728" s="53"/>
      <c r="D728" s="1"/>
      <c r="E728" s="1"/>
      <c r="F728" s="1"/>
      <c r="G728" s="1"/>
      <c r="H728" s="1"/>
      <c r="I728" s="1"/>
      <c r="J728" s="1"/>
      <c r="K728" s="1"/>
      <c r="L728" s="1"/>
    </row>
    <row r="729" ht="14.25" customHeight="1">
      <c r="A729" s="52"/>
      <c r="B729" s="52"/>
      <c r="C729" s="53"/>
      <c r="D729" s="1"/>
      <c r="E729" s="1"/>
      <c r="F729" s="1"/>
      <c r="G729" s="1"/>
      <c r="H729" s="1"/>
      <c r="I729" s="1"/>
      <c r="J729" s="1"/>
      <c r="K729" s="1"/>
      <c r="L729" s="1"/>
    </row>
    <row r="730" ht="14.25" customHeight="1">
      <c r="A730" s="52"/>
      <c r="B730" s="52"/>
      <c r="C730" s="53"/>
      <c r="D730" s="1"/>
      <c r="E730" s="1"/>
      <c r="F730" s="1"/>
      <c r="G730" s="1"/>
      <c r="H730" s="1"/>
      <c r="I730" s="1"/>
      <c r="J730" s="1"/>
      <c r="K730" s="1"/>
      <c r="L730" s="1"/>
    </row>
    <row r="731" ht="14.25" customHeight="1">
      <c r="A731" s="52"/>
      <c r="B731" s="52"/>
      <c r="C731" s="53"/>
      <c r="D731" s="1"/>
      <c r="E731" s="1"/>
      <c r="F731" s="1"/>
      <c r="G731" s="1"/>
      <c r="H731" s="1"/>
      <c r="I731" s="1"/>
      <c r="J731" s="1"/>
      <c r="K731" s="1"/>
      <c r="L731" s="1"/>
    </row>
    <row r="732" ht="14.25" customHeight="1">
      <c r="A732" s="52"/>
      <c r="B732" s="52"/>
      <c r="C732" s="53"/>
      <c r="D732" s="1"/>
      <c r="E732" s="1"/>
      <c r="F732" s="1"/>
      <c r="G732" s="1"/>
      <c r="H732" s="1"/>
      <c r="I732" s="1"/>
      <c r="J732" s="1"/>
      <c r="K732" s="1"/>
      <c r="L732" s="1"/>
    </row>
    <row r="733" ht="14.25" customHeight="1">
      <c r="A733" s="52"/>
      <c r="B733" s="52"/>
      <c r="C733" s="53"/>
      <c r="D733" s="1"/>
      <c r="E733" s="1"/>
      <c r="F733" s="1"/>
      <c r="G733" s="1"/>
      <c r="H733" s="1"/>
      <c r="I733" s="1"/>
      <c r="J733" s="1"/>
      <c r="K733" s="1"/>
      <c r="L733" s="1"/>
    </row>
    <row r="734" ht="14.25" customHeight="1">
      <c r="A734" s="52"/>
      <c r="B734" s="52"/>
      <c r="C734" s="53"/>
      <c r="D734" s="1"/>
      <c r="E734" s="1"/>
      <c r="F734" s="1"/>
      <c r="G734" s="1"/>
      <c r="H734" s="1"/>
      <c r="I734" s="1"/>
      <c r="J734" s="1"/>
      <c r="K734" s="1"/>
      <c r="L734" s="1"/>
    </row>
    <row r="735" ht="14.25" customHeight="1">
      <c r="A735" s="52"/>
      <c r="B735" s="52"/>
      <c r="C735" s="53"/>
      <c r="D735" s="1"/>
      <c r="E735" s="1"/>
      <c r="F735" s="1"/>
      <c r="G735" s="1"/>
      <c r="H735" s="1"/>
      <c r="I735" s="1"/>
      <c r="J735" s="1"/>
      <c r="K735" s="1"/>
      <c r="L735" s="1"/>
    </row>
    <row r="736" ht="14.25" customHeight="1">
      <c r="A736" s="52"/>
      <c r="B736" s="52"/>
      <c r="C736" s="53"/>
      <c r="D736" s="1"/>
      <c r="E736" s="1"/>
      <c r="F736" s="1"/>
      <c r="G736" s="1"/>
      <c r="H736" s="1"/>
      <c r="I736" s="1"/>
      <c r="J736" s="1"/>
      <c r="K736" s="1"/>
      <c r="L736" s="1"/>
    </row>
    <row r="737" ht="14.25" customHeight="1">
      <c r="A737" s="52"/>
      <c r="B737" s="52"/>
      <c r="C737" s="53"/>
      <c r="D737" s="1"/>
      <c r="E737" s="1"/>
      <c r="F737" s="1"/>
      <c r="G737" s="1"/>
      <c r="H737" s="1"/>
      <c r="I737" s="1"/>
      <c r="J737" s="1"/>
      <c r="K737" s="1"/>
      <c r="L737" s="1"/>
    </row>
    <row r="738" ht="14.25" customHeight="1">
      <c r="A738" s="52"/>
      <c r="B738" s="52"/>
      <c r="C738" s="53"/>
      <c r="D738" s="1"/>
      <c r="E738" s="1"/>
      <c r="F738" s="1"/>
      <c r="G738" s="1"/>
      <c r="H738" s="1"/>
      <c r="I738" s="1"/>
      <c r="J738" s="1"/>
      <c r="K738" s="1"/>
      <c r="L738" s="1"/>
    </row>
    <row r="739" ht="14.25" customHeight="1">
      <c r="A739" s="52"/>
      <c r="B739" s="52"/>
      <c r="C739" s="53"/>
      <c r="D739" s="1"/>
      <c r="E739" s="1"/>
      <c r="F739" s="1"/>
      <c r="G739" s="1"/>
      <c r="H739" s="1"/>
      <c r="I739" s="1"/>
      <c r="J739" s="1"/>
      <c r="K739" s="1"/>
      <c r="L739" s="1"/>
    </row>
    <row r="740" ht="14.25" customHeight="1">
      <c r="A740" s="52"/>
      <c r="B740" s="52"/>
      <c r="C740" s="53"/>
      <c r="D740" s="1"/>
      <c r="E740" s="1"/>
      <c r="F740" s="1"/>
      <c r="G740" s="1"/>
      <c r="H740" s="1"/>
      <c r="I740" s="1"/>
      <c r="J740" s="1"/>
      <c r="K740" s="1"/>
      <c r="L740" s="1"/>
    </row>
    <row r="741" ht="14.25" customHeight="1">
      <c r="A741" s="52"/>
      <c r="B741" s="52"/>
      <c r="C741" s="53"/>
      <c r="D741" s="1"/>
      <c r="E741" s="1"/>
      <c r="F741" s="1"/>
      <c r="G741" s="1"/>
      <c r="H741" s="1"/>
      <c r="I741" s="1"/>
      <c r="J741" s="1"/>
      <c r="K741" s="1"/>
      <c r="L741" s="1"/>
    </row>
    <row r="742" ht="14.25" customHeight="1">
      <c r="A742" s="52"/>
      <c r="B742" s="52"/>
      <c r="C742" s="53"/>
      <c r="D742" s="1"/>
      <c r="E742" s="1"/>
      <c r="F742" s="1"/>
      <c r="G742" s="1"/>
      <c r="H742" s="1"/>
      <c r="I742" s="1"/>
      <c r="J742" s="1"/>
      <c r="K742" s="1"/>
      <c r="L742" s="1"/>
    </row>
    <row r="743" ht="14.25" customHeight="1">
      <c r="A743" s="52"/>
      <c r="B743" s="52"/>
      <c r="C743" s="53"/>
      <c r="D743" s="1"/>
      <c r="E743" s="1"/>
      <c r="F743" s="1"/>
      <c r="G743" s="1"/>
      <c r="H743" s="1"/>
      <c r="I743" s="1"/>
      <c r="J743" s="1"/>
      <c r="K743" s="1"/>
      <c r="L743" s="1"/>
    </row>
    <row r="744" ht="14.25" customHeight="1">
      <c r="A744" s="52"/>
      <c r="B744" s="52"/>
      <c r="C744" s="53"/>
      <c r="D744" s="1"/>
      <c r="E744" s="1"/>
      <c r="F744" s="1"/>
      <c r="G744" s="1"/>
      <c r="H744" s="1"/>
      <c r="I744" s="1"/>
      <c r="J744" s="1"/>
      <c r="K744" s="1"/>
      <c r="L744" s="1"/>
    </row>
    <row r="745" ht="14.25" customHeight="1">
      <c r="A745" s="52"/>
      <c r="B745" s="52"/>
      <c r="C745" s="53"/>
      <c r="D745" s="1"/>
      <c r="E745" s="1"/>
      <c r="F745" s="1"/>
      <c r="G745" s="1"/>
      <c r="H745" s="1"/>
      <c r="I745" s="1"/>
      <c r="J745" s="1"/>
      <c r="K745" s="1"/>
      <c r="L745" s="1"/>
    </row>
    <row r="746" ht="14.25" customHeight="1">
      <c r="A746" s="52"/>
      <c r="B746" s="52"/>
      <c r="C746" s="53"/>
      <c r="D746" s="1"/>
      <c r="E746" s="1"/>
      <c r="F746" s="1"/>
      <c r="G746" s="1"/>
      <c r="H746" s="1"/>
      <c r="I746" s="1"/>
      <c r="J746" s="1"/>
      <c r="K746" s="1"/>
      <c r="L746" s="1"/>
    </row>
    <row r="747" ht="14.25" customHeight="1">
      <c r="A747" s="52"/>
      <c r="B747" s="52"/>
      <c r="C747" s="53"/>
      <c r="D747" s="1"/>
      <c r="E747" s="1"/>
      <c r="F747" s="1"/>
      <c r="G747" s="1"/>
      <c r="H747" s="1"/>
      <c r="I747" s="1"/>
      <c r="J747" s="1"/>
      <c r="K747" s="1"/>
      <c r="L747" s="1"/>
    </row>
    <row r="748" ht="14.25" customHeight="1">
      <c r="A748" s="52"/>
      <c r="B748" s="52"/>
      <c r="C748" s="53"/>
      <c r="D748" s="1"/>
      <c r="E748" s="1"/>
      <c r="F748" s="1"/>
      <c r="G748" s="1"/>
      <c r="H748" s="1"/>
      <c r="I748" s="1"/>
      <c r="J748" s="1"/>
      <c r="K748" s="1"/>
      <c r="L748" s="1"/>
    </row>
    <row r="749" ht="14.25" customHeight="1">
      <c r="A749" s="52"/>
      <c r="B749" s="52"/>
      <c r="C749" s="53"/>
      <c r="D749" s="1"/>
      <c r="E749" s="1"/>
      <c r="F749" s="1"/>
      <c r="G749" s="1"/>
      <c r="H749" s="1"/>
      <c r="I749" s="1"/>
      <c r="J749" s="1"/>
      <c r="K749" s="1"/>
      <c r="L749" s="1"/>
    </row>
    <row r="750" ht="14.25" customHeight="1">
      <c r="A750" s="52"/>
      <c r="B750" s="52"/>
      <c r="C750" s="53"/>
      <c r="D750" s="1"/>
      <c r="E750" s="1"/>
      <c r="F750" s="1"/>
      <c r="G750" s="1"/>
      <c r="H750" s="1"/>
      <c r="I750" s="1"/>
      <c r="J750" s="1"/>
      <c r="K750" s="1"/>
      <c r="L750" s="1"/>
    </row>
    <row r="751" ht="14.25" customHeight="1">
      <c r="A751" s="52"/>
      <c r="B751" s="52"/>
      <c r="C751" s="53"/>
      <c r="D751" s="1"/>
      <c r="E751" s="1"/>
      <c r="F751" s="1"/>
      <c r="G751" s="1"/>
      <c r="H751" s="1"/>
      <c r="I751" s="1"/>
      <c r="J751" s="1"/>
      <c r="K751" s="1"/>
      <c r="L751" s="1"/>
    </row>
    <row r="752" ht="14.25" customHeight="1">
      <c r="A752" s="52"/>
      <c r="B752" s="52"/>
      <c r="C752" s="53"/>
      <c r="D752" s="1"/>
      <c r="E752" s="1"/>
      <c r="F752" s="1"/>
      <c r="G752" s="1"/>
      <c r="H752" s="1"/>
      <c r="I752" s="1"/>
      <c r="J752" s="1"/>
      <c r="K752" s="1"/>
      <c r="L752" s="1"/>
    </row>
    <row r="753" ht="14.25" customHeight="1">
      <c r="A753" s="52"/>
      <c r="B753" s="52"/>
      <c r="C753" s="53"/>
      <c r="D753" s="1"/>
      <c r="E753" s="1"/>
      <c r="F753" s="1"/>
      <c r="G753" s="1"/>
      <c r="H753" s="1"/>
      <c r="I753" s="1"/>
      <c r="J753" s="1"/>
      <c r="K753" s="1"/>
      <c r="L753" s="1"/>
    </row>
    <row r="754" ht="14.25" customHeight="1">
      <c r="A754" s="52"/>
      <c r="B754" s="52"/>
      <c r="C754" s="53"/>
      <c r="D754" s="1"/>
      <c r="E754" s="1"/>
      <c r="F754" s="1"/>
      <c r="G754" s="1"/>
      <c r="H754" s="1"/>
      <c r="I754" s="1"/>
      <c r="J754" s="1"/>
      <c r="K754" s="1"/>
      <c r="L754" s="1"/>
    </row>
    <row r="755" ht="14.25" customHeight="1">
      <c r="A755" s="52"/>
      <c r="B755" s="52"/>
      <c r="C755" s="53"/>
      <c r="D755" s="1"/>
      <c r="E755" s="1"/>
      <c r="F755" s="1"/>
      <c r="G755" s="1"/>
      <c r="H755" s="1"/>
      <c r="I755" s="1"/>
      <c r="J755" s="1"/>
      <c r="K755" s="1"/>
      <c r="L755" s="1"/>
    </row>
    <row r="756" ht="14.25" customHeight="1">
      <c r="A756" s="52"/>
      <c r="B756" s="52"/>
      <c r="C756" s="53"/>
      <c r="D756" s="1"/>
      <c r="E756" s="1"/>
      <c r="F756" s="1"/>
      <c r="G756" s="1"/>
      <c r="H756" s="1"/>
      <c r="I756" s="1"/>
      <c r="J756" s="1"/>
      <c r="K756" s="1"/>
      <c r="L756" s="1"/>
    </row>
    <row r="757" ht="14.25" customHeight="1">
      <c r="A757" s="52"/>
      <c r="B757" s="52"/>
      <c r="C757" s="53"/>
      <c r="D757" s="1"/>
      <c r="E757" s="1"/>
      <c r="F757" s="1"/>
      <c r="G757" s="1"/>
      <c r="H757" s="1"/>
      <c r="I757" s="1"/>
      <c r="J757" s="1"/>
      <c r="K757" s="1"/>
      <c r="L757" s="1"/>
    </row>
    <row r="758" ht="14.25" customHeight="1">
      <c r="A758" s="52"/>
      <c r="B758" s="52"/>
      <c r="C758" s="53"/>
      <c r="D758" s="1"/>
      <c r="E758" s="1"/>
      <c r="F758" s="1"/>
      <c r="G758" s="1"/>
      <c r="H758" s="1"/>
      <c r="I758" s="1"/>
      <c r="J758" s="1"/>
      <c r="K758" s="1"/>
      <c r="L758" s="1"/>
    </row>
    <row r="759" ht="14.25" customHeight="1">
      <c r="A759" s="52"/>
      <c r="B759" s="52"/>
      <c r="C759" s="53"/>
      <c r="D759" s="1"/>
      <c r="E759" s="1"/>
      <c r="F759" s="1"/>
      <c r="G759" s="1"/>
      <c r="H759" s="1"/>
      <c r="I759" s="1"/>
      <c r="J759" s="1"/>
      <c r="K759" s="1"/>
      <c r="L759" s="1"/>
    </row>
    <row r="760" ht="14.25" customHeight="1">
      <c r="A760" s="52"/>
      <c r="B760" s="52"/>
      <c r="C760" s="53"/>
      <c r="D760" s="1"/>
      <c r="E760" s="1"/>
      <c r="F760" s="1"/>
      <c r="G760" s="1"/>
      <c r="H760" s="1"/>
      <c r="I760" s="1"/>
      <c r="J760" s="1"/>
      <c r="K760" s="1"/>
      <c r="L760" s="1"/>
    </row>
    <row r="761" ht="14.25" customHeight="1">
      <c r="A761" s="52"/>
      <c r="B761" s="52"/>
      <c r="C761" s="53"/>
      <c r="D761" s="1"/>
      <c r="E761" s="1"/>
      <c r="F761" s="1"/>
      <c r="G761" s="1"/>
      <c r="H761" s="1"/>
      <c r="I761" s="1"/>
      <c r="J761" s="1"/>
      <c r="K761" s="1"/>
      <c r="L761" s="1"/>
    </row>
    <row r="762" ht="14.25" customHeight="1">
      <c r="A762" s="52"/>
      <c r="B762" s="52"/>
      <c r="C762" s="53"/>
      <c r="D762" s="1"/>
      <c r="E762" s="1"/>
      <c r="F762" s="1"/>
      <c r="G762" s="1"/>
      <c r="H762" s="1"/>
      <c r="I762" s="1"/>
      <c r="J762" s="1"/>
      <c r="K762" s="1"/>
      <c r="L762" s="1"/>
    </row>
    <row r="763" ht="14.25" customHeight="1">
      <c r="A763" s="52"/>
      <c r="B763" s="52"/>
      <c r="C763" s="53"/>
      <c r="D763" s="1"/>
      <c r="E763" s="1"/>
      <c r="F763" s="1"/>
      <c r="G763" s="1"/>
      <c r="H763" s="1"/>
      <c r="I763" s="1"/>
      <c r="J763" s="1"/>
      <c r="K763" s="1"/>
      <c r="L763" s="1"/>
    </row>
    <row r="764" ht="14.25" customHeight="1">
      <c r="A764" s="52"/>
      <c r="B764" s="52"/>
      <c r="C764" s="53"/>
      <c r="D764" s="1"/>
      <c r="E764" s="1"/>
      <c r="F764" s="1"/>
      <c r="G764" s="1"/>
      <c r="H764" s="1"/>
      <c r="I764" s="1"/>
      <c r="J764" s="1"/>
      <c r="K764" s="1"/>
      <c r="L764" s="1"/>
    </row>
    <row r="765" ht="14.25" customHeight="1">
      <c r="A765" s="52"/>
      <c r="B765" s="52"/>
      <c r="C765" s="53"/>
      <c r="D765" s="1"/>
      <c r="E765" s="1"/>
      <c r="F765" s="1"/>
      <c r="G765" s="1"/>
      <c r="H765" s="1"/>
      <c r="I765" s="1"/>
      <c r="J765" s="1"/>
      <c r="K765" s="1"/>
      <c r="L765" s="1"/>
    </row>
    <row r="766" ht="14.25" customHeight="1">
      <c r="A766" s="52"/>
      <c r="B766" s="52"/>
      <c r="C766" s="53"/>
      <c r="D766" s="1"/>
      <c r="E766" s="1"/>
      <c r="F766" s="1"/>
      <c r="G766" s="1"/>
      <c r="H766" s="1"/>
      <c r="I766" s="1"/>
      <c r="J766" s="1"/>
      <c r="K766" s="1"/>
      <c r="L766" s="1"/>
    </row>
    <row r="767" ht="14.25" customHeight="1">
      <c r="A767" s="52"/>
      <c r="B767" s="52"/>
      <c r="C767" s="53"/>
      <c r="D767" s="1"/>
      <c r="E767" s="1"/>
      <c r="F767" s="1"/>
      <c r="G767" s="1"/>
      <c r="H767" s="1"/>
      <c r="I767" s="1"/>
      <c r="J767" s="1"/>
      <c r="K767" s="1"/>
      <c r="L767" s="1"/>
    </row>
    <row r="768" ht="14.25" customHeight="1">
      <c r="A768" s="52"/>
      <c r="B768" s="52"/>
      <c r="C768" s="53"/>
      <c r="D768" s="1"/>
      <c r="E768" s="1"/>
      <c r="F768" s="1"/>
      <c r="G768" s="1"/>
      <c r="H768" s="1"/>
      <c r="I768" s="1"/>
      <c r="J768" s="1"/>
      <c r="K768" s="1"/>
      <c r="L768" s="1"/>
    </row>
    <row r="769" ht="14.25" customHeight="1">
      <c r="A769" s="52"/>
      <c r="B769" s="52"/>
      <c r="C769" s="53"/>
      <c r="D769" s="1"/>
      <c r="E769" s="1"/>
      <c r="F769" s="1"/>
      <c r="G769" s="1"/>
      <c r="H769" s="1"/>
      <c r="I769" s="1"/>
      <c r="J769" s="1"/>
      <c r="K769" s="1"/>
      <c r="L769" s="1"/>
    </row>
    <row r="770" ht="14.25" customHeight="1">
      <c r="A770" s="52"/>
      <c r="B770" s="52"/>
      <c r="C770" s="53"/>
      <c r="D770" s="1"/>
      <c r="E770" s="1"/>
      <c r="F770" s="1"/>
      <c r="G770" s="1"/>
      <c r="H770" s="1"/>
      <c r="I770" s="1"/>
      <c r="J770" s="1"/>
      <c r="K770" s="1"/>
      <c r="L770" s="1"/>
    </row>
    <row r="771" ht="14.25" customHeight="1">
      <c r="A771" s="52"/>
      <c r="B771" s="52"/>
      <c r="C771" s="53"/>
      <c r="D771" s="1"/>
      <c r="E771" s="1"/>
      <c r="F771" s="1"/>
      <c r="G771" s="1"/>
      <c r="H771" s="1"/>
      <c r="I771" s="1"/>
      <c r="J771" s="1"/>
      <c r="K771" s="1"/>
      <c r="L771" s="1"/>
    </row>
    <row r="772" ht="14.25" customHeight="1">
      <c r="A772" s="52"/>
      <c r="B772" s="52"/>
      <c r="C772" s="53"/>
      <c r="D772" s="1"/>
      <c r="E772" s="1"/>
      <c r="F772" s="1"/>
      <c r="G772" s="1"/>
      <c r="H772" s="1"/>
      <c r="I772" s="1"/>
      <c r="J772" s="1"/>
      <c r="K772" s="1"/>
      <c r="L772" s="1"/>
    </row>
    <row r="773" ht="14.25" customHeight="1">
      <c r="A773" s="52"/>
      <c r="B773" s="52"/>
      <c r="C773" s="53"/>
      <c r="D773" s="1"/>
      <c r="E773" s="1"/>
      <c r="F773" s="1"/>
      <c r="G773" s="1"/>
      <c r="H773" s="1"/>
      <c r="I773" s="1"/>
      <c r="J773" s="1"/>
      <c r="K773" s="1"/>
      <c r="L773" s="1"/>
    </row>
    <row r="774" ht="14.25" customHeight="1">
      <c r="A774" s="52"/>
      <c r="B774" s="52"/>
      <c r="C774" s="53"/>
      <c r="D774" s="1"/>
      <c r="E774" s="1"/>
      <c r="F774" s="1"/>
      <c r="G774" s="1"/>
      <c r="H774" s="1"/>
      <c r="I774" s="1"/>
      <c r="J774" s="1"/>
      <c r="K774" s="1"/>
      <c r="L774" s="1"/>
    </row>
    <row r="775" ht="14.25" customHeight="1">
      <c r="A775" s="52"/>
      <c r="B775" s="52"/>
      <c r="C775" s="53"/>
      <c r="D775" s="1"/>
      <c r="E775" s="1"/>
      <c r="F775" s="1"/>
      <c r="G775" s="1"/>
      <c r="H775" s="1"/>
      <c r="I775" s="1"/>
      <c r="J775" s="1"/>
      <c r="K775" s="1"/>
      <c r="L775" s="1"/>
    </row>
    <row r="776" ht="14.25" customHeight="1">
      <c r="A776" s="52"/>
      <c r="B776" s="52"/>
      <c r="C776" s="53"/>
      <c r="D776" s="1"/>
      <c r="E776" s="1"/>
      <c r="F776" s="1"/>
      <c r="G776" s="1"/>
      <c r="H776" s="1"/>
      <c r="I776" s="1"/>
      <c r="J776" s="1"/>
      <c r="K776" s="1"/>
      <c r="L776" s="1"/>
    </row>
    <row r="777" ht="14.25" customHeight="1">
      <c r="A777" s="52"/>
      <c r="B777" s="52"/>
      <c r="C777" s="53"/>
      <c r="D777" s="1"/>
      <c r="E777" s="1"/>
      <c r="F777" s="1"/>
      <c r="G777" s="1"/>
      <c r="H777" s="1"/>
      <c r="I777" s="1"/>
      <c r="J777" s="1"/>
      <c r="K777" s="1"/>
      <c r="L777" s="1"/>
    </row>
    <row r="778" ht="14.25" customHeight="1">
      <c r="A778" s="52"/>
      <c r="B778" s="52"/>
      <c r="C778" s="53"/>
      <c r="D778" s="1"/>
      <c r="E778" s="1"/>
      <c r="F778" s="1"/>
      <c r="G778" s="1"/>
      <c r="H778" s="1"/>
      <c r="I778" s="1"/>
      <c r="J778" s="1"/>
      <c r="K778" s="1"/>
      <c r="L778" s="1"/>
    </row>
    <row r="779" ht="14.25" customHeight="1">
      <c r="A779" s="52"/>
      <c r="B779" s="52"/>
      <c r="C779" s="53"/>
      <c r="D779" s="1"/>
      <c r="E779" s="1"/>
      <c r="F779" s="1"/>
      <c r="G779" s="1"/>
      <c r="H779" s="1"/>
      <c r="I779" s="1"/>
      <c r="J779" s="1"/>
      <c r="K779" s="1"/>
      <c r="L779" s="1"/>
    </row>
    <row r="780" ht="14.25" customHeight="1">
      <c r="A780" s="52"/>
      <c r="B780" s="52"/>
      <c r="C780" s="53"/>
      <c r="D780" s="1"/>
      <c r="E780" s="1"/>
      <c r="F780" s="1"/>
      <c r="G780" s="1"/>
      <c r="H780" s="1"/>
      <c r="I780" s="1"/>
      <c r="J780" s="1"/>
      <c r="K780" s="1"/>
      <c r="L780" s="1"/>
    </row>
    <row r="781" ht="14.25" customHeight="1">
      <c r="A781" s="52"/>
      <c r="B781" s="52"/>
      <c r="C781" s="53"/>
      <c r="D781" s="1"/>
      <c r="E781" s="1"/>
      <c r="F781" s="1"/>
      <c r="G781" s="1"/>
      <c r="H781" s="1"/>
      <c r="I781" s="1"/>
      <c r="J781" s="1"/>
      <c r="K781" s="1"/>
      <c r="L781" s="1"/>
    </row>
    <row r="782" ht="14.25" customHeight="1">
      <c r="A782" s="52"/>
      <c r="B782" s="52"/>
      <c r="C782" s="53"/>
      <c r="D782" s="1"/>
      <c r="E782" s="1"/>
      <c r="F782" s="1"/>
      <c r="G782" s="1"/>
      <c r="H782" s="1"/>
      <c r="I782" s="1"/>
      <c r="J782" s="1"/>
      <c r="K782" s="1"/>
      <c r="L782" s="1"/>
    </row>
    <row r="783" ht="14.25" customHeight="1">
      <c r="A783" s="52"/>
      <c r="B783" s="52"/>
      <c r="C783" s="53"/>
      <c r="D783" s="1"/>
      <c r="E783" s="1"/>
      <c r="F783" s="1"/>
      <c r="G783" s="1"/>
      <c r="H783" s="1"/>
      <c r="I783" s="1"/>
      <c r="J783" s="1"/>
      <c r="K783" s="1"/>
      <c r="L783" s="1"/>
    </row>
    <row r="784" ht="14.25" customHeight="1">
      <c r="A784" s="52"/>
      <c r="B784" s="52"/>
      <c r="C784" s="53"/>
      <c r="D784" s="1"/>
      <c r="E784" s="1"/>
      <c r="F784" s="1"/>
      <c r="G784" s="1"/>
      <c r="H784" s="1"/>
      <c r="I784" s="1"/>
      <c r="J784" s="1"/>
      <c r="K784" s="1"/>
      <c r="L784" s="1"/>
    </row>
    <row r="785" ht="14.25" customHeight="1">
      <c r="A785" s="52"/>
      <c r="B785" s="52"/>
      <c r="C785" s="53"/>
      <c r="D785" s="1"/>
      <c r="E785" s="1"/>
      <c r="F785" s="1"/>
      <c r="G785" s="1"/>
      <c r="H785" s="1"/>
      <c r="I785" s="1"/>
      <c r="J785" s="1"/>
      <c r="K785" s="1"/>
      <c r="L785" s="1"/>
    </row>
    <row r="786" ht="14.25" customHeight="1">
      <c r="A786" s="52"/>
      <c r="B786" s="52"/>
      <c r="C786" s="53"/>
      <c r="D786" s="1"/>
      <c r="E786" s="1"/>
      <c r="F786" s="1"/>
      <c r="G786" s="1"/>
      <c r="H786" s="1"/>
      <c r="I786" s="1"/>
      <c r="J786" s="1"/>
      <c r="K786" s="1"/>
      <c r="L786" s="1"/>
    </row>
    <row r="787" ht="14.25" customHeight="1">
      <c r="A787" s="52"/>
      <c r="B787" s="52"/>
      <c r="C787" s="53"/>
      <c r="D787" s="1"/>
      <c r="E787" s="1"/>
      <c r="F787" s="1"/>
      <c r="G787" s="1"/>
      <c r="H787" s="1"/>
      <c r="I787" s="1"/>
      <c r="J787" s="1"/>
      <c r="K787" s="1"/>
      <c r="L787" s="1"/>
    </row>
    <row r="788" ht="14.25" customHeight="1">
      <c r="A788" s="52"/>
      <c r="B788" s="52"/>
      <c r="C788" s="53"/>
      <c r="D788" s="1"/>
      <c r="E788" s="1"/>
      <c r="F788" s="1"/>
      <c r="G788" s="1"/>
      <c r="H788" s="1"/>
      <c r="I788" s="1"/>
      <c r="J788" s="1"/>
      <c r="K788" s="1"/>
      <c r="L788" s="1"/>
    </row>
    <row r="789" ht="14.25" customHeight="1">
      <c r="A789" s="52"/>
      <c r="B789" s="52"/>
      <c r="C789" s="53"/>
      <c r="D789" s="1"/>
      <c r="E789" s="1"/>
      <c r="F789" s="1"/>
      <c r="G789" s="1"/>
      <c r="H789" s="1"/>
      <c r="I789" s="1"/>
      <c r="J789" s="1"/>
      <c r="K789" s="1"/>
      <c r="L789" s="1"/>
    </row>
    <row r="790" ht="14.25" customHeight="1">
      <c r="A790" s="52"/>
      <c r="B790" s="52"/>
      <c r="C790" s="53"/>
      <c r="D790" s="1"/>
      <c r="E790" s="1"/>
      <c r="F790" s="1"/>
      <c r="G790" s="1"/>
      <c r="H790" s="1"/>
      <c r="I790" s="1"/>
      <c r="J790" s="1"/>
      <c r="K790" s="1"/>
      <c r="L790" s="1"/>
    </row>
    <row r="791" ht="14.25" customHeight="1">
      <c r="A791" s="52"/>
      <c r="B791" s="52"/>
      <c r="C791" s="53"/>
      <c r="D791" s="1"/>
      <c r="E791" s="1"/>
      <c r="F791" s="1"/>
      <c r="G791" s="1"/>
      <c r="H791" s="1"/>
      <c r="I791" s="1"/>
      <c r="J791" s="1"/>
      <c r="K791" s="1"/>
      <c r="L791" s="1"/>
    </row>
    <row r="792" ht="14.25" customHeight="1">
      <c r="A792" s="52"/>
      <c r="B792" s="52"/>
      <c r="C792" s="53"/>
      <c r="D792" s="1"/>
      <c r="E792" s="1"/>
      <c r="F792" s="1"/>
      <c r="G792" s="1"/>
      <c r="H792" s="1"/>
      <c r="I792" s="1"/>
      <c r="J792" s="1"/>
      <c r="K792" s="1"/>
      <c r="L792" s="1"/>
    </row>
    <row r="793" ht="14.25" customHeight="1">
      <c r="A793" s="52"/>
      <c r="B793" s="52"/>
      <c r="C793" s="53"/>
      <c r="D793" s="1"/>
      <c r="E793" s="1"/>
      <c r="F793" s="1"/>
      <c r="G793" s="1"/>
      <c r="H793" s="1"/>
      <c r="I793" s="1"/>
      <c r="J793" s="1"/>
      <c r="K793" s="1"/>
      <c r="L793" s="1"/>
    </row>
    <row r="794" ht="14.25" customHeight="1">
      <c r="A794" s="52"/>
      <c r="B794" s="52"/>
      <c r="C794" s="53"/>
      <c r="D794" s="1"/>
      <c r="E794" s="1"/>
      <c r="F794" s="1"/>
      <c r="G794" s="1"/>
      <c r="H794" s="1"/>
      <c r="I794" s="1"/>
      <c r="J794" s="1"/>
      <c r="K794" s="1"/>
      <c r="L794" s="1"/>
    </row>
    <row r="795" ht="14.25" customHeight="1">
      <c r="A795" s="52"/>
      <c r="B795" s="52"/>
      <c r="C795" s="53"/>
      <c r="D795" s="1"/>
      <c r="E795" s="1"/>
      <c r="F795" s="1"/>
      <c r="G795" s="1"/>
      <c r="H795" s="1"/>
      <c r="I795" s="1"/>
      <c r="J795" s="1"/>
      <c r="K795" s="1"/>
      <c r="L795" s="1"/>
    </row>
    <row r="796" ht="14.25" customHeight="1">
      <c r="A796" s="52"/>
      <c r="B796" s="52"/>
      <c r="C796" s="53"/>
      <c r="D796" s="1"/>
      <c r="E796" s="1"/>
      <c r="F796" s="1"/>
      <c r="G796" s="1"/>
      <c r="H796" s="1"/>
      <c r="I796" s="1"/>
      <c r="J796" s="1"/>
      <c r="K796" s="1"/>
      <c r="L796" s="1"/>
    </row>
    <row r="797" ht="14.25" customHeight="1">
      <c r="A797" s="52"/>
      <c r="B797" s="52"/>
      <c r="C797" s="53"/>
      <c r="D797" s="1"/>
      <c r="E797" s="1"/>
      <c r="F797" s="1"/>
      <c r="G797" s="1"/>
      <c r="H797" s="1"/>
      <c r="I797" s="1"/>
      <c r="J797" s="1"/>
      <c r="K797" s="1"/>
      <c r="L797" s="1"/>
    </row>
    <row r="798" ht="14.25" customHeight="1">
      <c r="A798" s="52"/>
      <c r="B798" s="52"/>
      <c r="C798" s="53"/>
      <c r="D798" s="1"/>
      <c r="E798" s="1"/>
      <c r="F798" s="1"/>
      <c r="G798" s="1"/>
      <c r="H798" s="1"/>
      <c r="I798" s="1"/>
      <c r="J798" s="1"/>
      <c r="K798" s="1"/>
      <c r="L798" s="1"/>
    </row>
    <row r="799" ht="14.25" customHeight="1">
      <c r="A799" s="52"/>
      <c r="B799" s="52"/>
      <c r="C799" s="53"/>
      <c r="D799" s="1"/>
      <c r="E799" s="1"/>
      <c r="F799" s="1"/>
      <c r="G799" s="1"/>
      <c r="H799" s="1"/>
      <c r="I799" s="1"/>
      <c r="J799" s="1"/>
      <c r="K799" s="1"/>
      <c r="L799" s="1"/>
    </row>
    <row r="800" ht="14.25" customHeight="1">
      <c r="A800" s="52"/>
      <c r="B800" s="52"/>
      <c r="C800" s="53"/>
      <c r="D800" s="1"/>
      <c r="E800" s="1"/>
      <c r="F800" s="1"/>
      <c r="G800" s="1"/>
      <c r="H800" s="1"/>
      <c r="I800" s="1"/>
      <c r="J800" s="1"/>
      <c r="K800" s="1"/>
      <c r="L800" s="1"/>
    </row>
    <row r="801" ht="14.25" customHeight="1">
      <c r="A801" s="52"/>
      <c r="B801" s="52"/>
      <c r="C801" s="53"/>
      <c r="D801" s="1"/>
      <c r="E801" s="1"/>
      <c r="F801" s="1"/>
      <c r="G801" s="1"/>
      <c r="H801" s="1"/>
      <c r="I801" s="1"/>
      <c r="J801" s="1"/>
      <c r="K801" s="1"/>
      <c r="L801" s="1"/>
    </row>
    <row r="802" ht="14.25" customHeight="1">
      <c r="A802" s="52"/>
      <c r="B802" s="52"/>
      <c r="C802" s="53"/>
      <c r="D802" s="1"/>
      <c r="E802" s="1"/>
      <c r="F802" s="1"/>
      <c r="G802" s="1"/>
      <c r="H802" s="1"/>
      <c r="I802" s="1"/>
      <c r="J802" s="1"/>
      <c r="K802" s="1"/>
      <c r="L802" s="1"/>
    </row>
    <row r="803" ht="14.25" customHeight="1">
      <c r="A803" s="52"/>
      <c r="B803" s="52"/>
      <c r="C803" s="53"/>
      <c r="D803" s="1"/>
      <c r="E803" s="1"/>
      <c r="F803" s="1"/>
      <c r="G803" s="1"/>
      <c r="H803" s="1"/>
      <c r="I803" s="1"/>
      <c r="J803" s="1"/>
      <c r="K803" s="1"/>
      <c r="L803" s="1"/>
    </row>
    <row r="804" ht="14.25" customHeight="1">
      <c r="A804" s="52"/>
      <c r="B804" s="52"/>
      <c r="C804" s="53"/>
      <c r="D804" s="1"/>
      <c r="E804" s="1"/>
      <c r="F804" s="1"/>
      <c r="G804" s="1"/>
      <c r="H804" s="1"/>
      <c r="I804" s="1"/>
      <c r="J804" s="1"/>
      <c r="K804" s="1"/>
      <c r="L804" s="1"/>
    </row>
    <row r="805" ht="14.25" customHeight="1">
      <c r="A805" s="52"/>
      <c r="B805" s="52"/>
      <c r="C805" s="53"/>
      <c r="D805" s="1"/>
      <c r="E805" s="1"/>
      <c r="F805" s="1"/>
      <c r="G805" s="1"/>
      <c r="H805" s="1"/>
      <c r="I805" s="1"/>
      <c r="J805" s="1"/>
      <c r="K805" s="1"/>
      <c r="L805" s="1"/>
    </row>
    <row r="806" ht="14.25" customHeight="1">
      <c r="A806" s="52"/>
      <c r="B806" s="52"/>
      <c r="C806" s="53"/>
      <c r="D806" s="1"/>
      <c r="E806" s="1"/>
      <c r="F806" s="1"/>
      <c r="G806" s="1"/>
      <c r="H806" s="1"/>
      <c r="I806" s="1"/>
      <c r="J806" s="1"/>
      <c r="K806" s="1"/>
      <c r="L806" s="1"/>
    </row>
    <row r="807" ht="14.25" customHeight="1">
      <c r="A807" s="52"/>
      <c r="B807" s="52"/>
      <c r="C807" s="53"/>
      <c r="D807" s="1"/>
      <c r="E807" s="1"/>
      <c r="F807" s="1"/>
      <c r="G807" s="1"/>
      <c r="H807" s="1"/>
      <c r="I807" s="1"/>
      <c r="J807" s="1"/>
      <c r="K807" s="1"/>
      <c r="L807" s="1"/>
    </row>
    <row r="808" ht="14.25" customHeight="1">
      <c r="A808" s="52"/>
      <c r="B808" s="52"/>
      <c r="C808" s="53"/>
      <c r="D808" s="1"/>
      <c r="E808" s="1"/>
      <c r="F808" s="1"/>
      <c r="G808" s="1"/>
      <c r="H808" s="1"/>
      <c r="I808" s="1"/>
      <c r="J808" s="1"/>
      <c r="K808" s="1"/>
      <c r="L808" s="1"/>
    </row>
    <row r="809" ht="14.25" customHeight="1">
      <c r="A809" s="52"/>
      <c r="B809" s="52"/>
      <c r="C809" s="53"/>
      <c r="D809" s="1"/>
      <c r="E809" s="1"/>
      <c r="F809" s="1"/>
      <c r="G809" s="1"/>
      <c r="H809" s="1"/>
      <c r="I809" s="1"/>
      <c r="J809" s="1"/>
      <c r="K809" s="1"/>
      <c r="L809" s="1"/>
    </row>
    <row r="810" ht="14.25" customHeight="1">
      <c r="A810" s="52"/>
      <c r="B810" s="52"/>
      <c r="C810" s="53"/>
      <c r="D810" s="1"/>
      <c r="E810" s="1"/>
      <c r="F810" s="1"/>
      <c r="G810" s="1"/>
      <c r="H810" s="1"/>
      <c r="I810" s="1"/>
      <c r="J810" s="1"/>
      <c r="K810" s="1"/>
      <c r="L810" s="1"/>
    </row>
    <row r="811" ht="14.25" customHeight="1">
      <c r="A811" s="52"/>
      <c r="B811" s="52"/>
      <c r="C811" s="53"/>
      <c r="D811" s="1"/>
      <c r="E811" s="1"/>
      <c r="F811" s="1"/>
      <c r="G811" s="1"/>
      <c r="H811" s="1"/>
      <c r="I811" s="1"/>
      <c r="J811" s="1"/>
      <c r="K811" s="1"/>
      <c r="L811" s="1"/>
    </row>
    <row r="812" ht="14.25" customHeight="1">
      <c r="A812" s="52"/>
      <c r="B812" s="52"/>
      <c r="C812" s="53"/>
      <c r="D812" s="1"/>
      <c r="E812" s="1"/>
      <c r="F812" s="1"/>
      <c r="G812" s="1"/>
      <c r="H812" s="1"/>
      <c r="I812" s="1"/>
      <c r="J812" s="1"/>
      <c r="K812" s="1"/>
      <c r="L812" s="1"/>
    </row>
    <row r="813" ht="14.25" customHeight="1">
      <c r="A813" s="52"/>
      <c r="B813" s="52"/>
      <c r="C813" s="53"/>
      <c r="D813" s="1"/>
      <c r="E813" s="1"/>
      <c r="F813" s="1"/>
      <c r="G813" s="1"/>
      <c r="H813" s="1"/>
      <c r="I813" s="1"/>
      <c r="J813" s="1"/>
      <c r="K813" s="1"/>
      <c r="L813" s="1"/>
    </row>
    <row r="814" ht="14.25" customHeight="1">
      <c r="A814" s="52"/>
      <c r="B814" s="52"/>
      <c r="C814" s="53"/>
      <c r="D814" s="1"/>
      <c r="E814" s="1"/>
      <c r="F814" s="1"/>
      <c r="G814" s="1"/>
      <c r="H814" s="1"/>
      <c r="I814" s="1"/>
      <c r="J814" s="1"/>
      <c r="K814" s="1"/>
      <c r="L814" s="1"/>
    </row>
    <row r="815" ht="14.25" customHeight="1">
      <c r="A815" s="52"/>
      <c r="B815" s="52"/>
      <c r="C815" s="53"/>
      <c r="D815" s="1"/>
      <c r="E815" s="1"/>
      <c r="F815" s="1"/>
      <c r="G815" s="1"/>
      <c r="H815" s="1"/>
      <c r="I815" s="1"/>
      <c r="J815" s="1"/>
      <c r="K815" s="1"/>
      <c r="L815" s="1"/>
    </row>
    <row r="816" ht="14.25" customHeight="1">
      <c r="A816" s="52"/>
      <c r="B816" s="52"/>
      <c r="C816" s="53"/>
      <c r="D816" s="1"/>
      <c r="E816" s="1"/>
      <c r="F816" s="1"/>
      <c r="G816" s="1"/>
      <c r="H816" s="1"/>
      <c r="I816" s="1"/>
      <c r="J816" s="1"/>
      <c r="K816" s="1"/>
      <c r="L816" s="1"/>
    </row>
    <row r="817" ht="14.25" customHeight="1">
      <c r="A817" s="52"/>
      <c r="B817" s="52"/>
      <c r="C817" s="53"/>
      <c r="D817" s="1"/>
      <c r="E817" s="1"/>
      <c r="F817" s="1"/>
      <c r="G817" s="1"/>
      <c r="H817" s="1"/>
      <c r="I817" s="1"/>
      <c r="J817" s="1"/>
      <c r="K817" s="1"/>
      <c r="L817" s="1"/>
    </row>
    <row r="818" ht="14.25" customHeight="1">
      <c r="A818" s="52"/>
      <c r="B818" s="52"/>
      <c r="C818" s="53"/>
      <c r="D818" s="1"/>
      <c r="E818" s="1"/>
      <c r="F818" s="1"/>
      <c r="G818" s="1"/>
      <c r="H818" s="1"/>
      <c r="I818" s="1"/>
      <c r="J818" s="1"/>
      <c r="K818" s="1"/>
      <c r="L818" s="1"/>
    </row>
    <row r="819" ht="14.25" customHeight="1">
      <c r="A819" s="52"/>
      <c r="B819" s="52"/>
      <c r="C819" s="53"/>
      <c r="D819" s="1"/>
      <c r="E819" s="1"/>
      <c r="F819" s="1"/>
      <c r="G819" s="1"/>
      <c r="H819" s="1"/>
      <c r="I819" s="1"/>
      <c r="J819" s="1"/>
      <c r="K819" s="1"/>
      <c r="L819" s="1"/>
    </row>
    <row r="820" ht="14.25" customHeight="1">
      <c r="A820" s="52"/>
      <c r="B820" s="52"/>
      <c r="C820" s="53"/>
      <c r="D820" s="1"/>
      <c r="E820" s="1"/>
      <c r="F820" s="1"/>
      <c r="G820" s="1"/>
      <c r="H820" s="1"/>
      <c r="I820" s="1"/>
      <c r="J820" s="1"/>
      <c r="K820" s="1"/>
      <c r="L820" s="1"/>
    </row>
    <row r="821" ht="14.25" customHeight="1">
      <c r="A821" s="52"/>
      <c r="B821" s="52"/>
      <c r="C821" s="53"/>
      <c r="D821" s="1"/>
      <c r="E821" s="1"/>
      <c r="F821" s="1"/>
      <c r="G821" s="1"/>
      <c r="H821" s="1"/>
      <c r="I821" s="1"/>
      <c r="J821" s="1"/>
      <c r="K821" s="1"/>
      <c r="L821" s="1"/>
    </row>
    <row r="822" ht="14.25" customHeight="1">
      <c r="A822" s="52"/>
      <c r="B822" s="52"/>
      <c r="C822" s="53"/>
      <c r="D822" s="1"/>
      <c r="E822" s="1"/>
      <c r="F822" s="1"/>
      <c r="G822" s="1"/>
      <c r="H822" s="1"/>
      <c r="I822" s="1"/>
      <c r="J822" s="1"/>
      <c r="K822" s="1"/>
      <c r="L822" s="1"/>
    </row>
    <row r="823" ht="14.25" customHeight="1">
      <c r="A823" s="52"/>
      <c r="B823" s="52"/>
      <c r="C823" s="53"/>
      <c r="D823" s="1"/>
      <c r="E823" s="1"/>
      <c r="F823" s="1"/>
      <c r="G823" s="1"/>
      <c r="H823" s="1"/>
      <c r="I823" s="1"/>
      <c r="J823" s="1"/>
      <c r="K823" s="1"/>
      <c r="L823" s="1"/>
    </row>
    <row r="824" ht="14.25" customHeight="1">
      <c r="A824" s="52"/>
      <c r="B824" s="52"/>
      <c r="C824" s="53"/>
      <c r="D824" s="1"/>
      <c r="E824" s="1"/>
      <c r="F824" s="1"/>
      <c r="G824" s="1"/>
      <c r="H824" s="1"/>
      <c r="I824" s="1"/>
      <c r="J824" s="1"/>
      <c r="K824" s="1"/>
      <c r="L824" s="1"/>
    </row>
    <row r="825" ht="14.25" customHeight="1">
      <c r="A825" s="52"/>
      <c r="B825" s="52"/>
      <c r="C825" s="53"/>
      <c r="D825" s="1"/>
      <c r="E825" s="1"/>
      <c r="F825" s="1"/>
      <c r="G825" s="1"/>
      <c r="H825" s="1"/>
      <c r="I825" s="1"/>
      <c r="J825" s="1"/>
      <c r="K825" s="1"/>
      <c r="L825" s="1"/>
    </row>
    <row r="826" ht="14.25" customHeight="1">
      <c r="A826" s="52"/>
      <c r="B826" s="52"/>
      <c r="C826" s="53"/>
      <c r="D826" s="1"/>
      <c r="E826" s="1"/>
      <c r="F826" s="1"/>
      <c r="G826" s="1"/>
      <c r="H826" s="1"/>
      <c r="I826" s="1"/>
      <c r="J826" s="1"/>
      <c r="K826" s="1"/>
      <c r="L826" s="1"/>
    </row>
    <row r="827" ht="14.25" customHeight="1">
      <c r="A827" s="52"/>
      <c r="B827" s="52"/>
      <c r="C827" s="53"/>
      <c r="D827" s="1"/>
      <c r="E827" s="1"/>
      <c r="F827" s="1"/>
      <c r="G827" s="1"/>
      <c r="H827" s="1"/>
      <c r="I827" s="1"/>
      <c r="J827" s="1"/>
      <c r="K827" s="1"/>
      <c r="L827" s="1"/>
    </row>
    <row r="828" ht="14.25" customHeight="1">
      <c r="A828" s="52"/>
      <c r="B828" s="52"/>
      <c r="C828" s="53"/>
      <c r="D828" s="1"/>
      <c r="E828" s="1"/>
      <c r="F828" s="1"/>
      <c r="G828" s="1"/>
      <c r="H828" s="1"/>
      <c r="I828" s="1"/>
      <c r="J828" s="1"/>
      <c r="K828" s="1"/>
      <c r="L828" s="1"/>
    </row>
    <row r="829" ht="14.25" customHeight="1">
      <c r="A829" s="52"/>
      <c r="B829" s="52"/>
      <c r="C829" s="53"/>
      <c r="D829" s="1"/>
      <c r="E829" s="1"/>
      <c r="F829" s="1"/>
      <c r="G829" s="1"/>
      <c r="H829" s="1"/>
      <c r="I829" s="1"/>
      <c r="J829" s="1"/>
      <c r="K829" s="1"/>
      <c r="L829" s="1"/>
    </row>
    <row r="830" ht="14.25" customHeight="1">
      <c r="A830" s="52"/>
      <c r="B830" s="52"/>
      <c r="C830" s="53"/>
      <c r="D830" s="1"/>
      <c r="E830" s="1"/>
      <c r="F830" s="1"/>
      <c r="G830" s="1"/>
      <c r="H830" s="1"/>
      <c r="I830" s="1"/>
      <c r="J830" s="1"/>
      <c r="K830" s="1"/>
      <c r="L830" s="1"/>
    </row>
    <row r="831" ht="14.25" customHeight="1">
      <c r="A831" s="52"/>
      <c r="B831" s="52"/>
      <c r="C831" s="53"/>
      <c r="D831" s="1"/>
      <c r="E831" s="1"/>
      <c r="F831" s="1"/>
      <c r="G831" s="1"/>
      <c r="H831" s="1"/>
      <c r="I831" s="1"/>
      <c r="J831" s="1"/>
      <c r="K831" s="1"/>
      <c r="L831" s="1"/>
    </row>
    <row r="832" ht="14.25" customHeight="1">
      <c r="A832" s="52"/>
      <c r="B832" s="52"/>
      <c r="C832" s="53"/>
      <c r="D832" s="1"/>
      <c r="E832" s="1"/>
      <c r="F832" s="1"/>
      <c r="G832" s="1"/>
      <c r="H832" s="1"/>
      <c r="I832" s="1"/>
      <c r="J832" s="1"/>
      <c r="K832" s="1"/>
      <c r="L832" s="1"/>
    </row>
    <row r="833" ht="14.25" customHeight="1">
      <c r="A833" s="52"/>
      <c r="B833" s="52"/>
      <c r="C833" s="53"/>
      <c r="D833" s="1"/>
      <c r="E833" s="1"/>
      <c r="F833" s="1"/>
      <c r="G833" s="1"/>
      <c r="H833" s="1"/>
      <c r="I833" s="1"/>
      <c r="J833" s="1"/>
      <c r="K833" s="1"/>
      <c r="L833" s="1"/>
    </row>
    <row r="834" ht="14.25" customHeight="1">
      <c r="A834" s="52"/>
      <c r="B834" s="52"/>
      <c r="C834" s="53"/>
      <c r="D834" s="1"/>
      <c r="E834" s="1"/>
      <c r="F834" s="1"/>
      <c r="G834" s="1"/>
      <c r="H834" s="1"/>
      <c r="I834" s="1"/>
      <c r="J834" s="1"/>
      <c r="K834" s="1"/>
      <c r="L834" s="1"/>
    </row>
    <row r="835" ht="14.25" customHeight="1">
      <c r="A835" s="52"/>
      <c r="B835" s="52"/>
      <c r="C835" s="53"/>
      <c r="D835" s="1"/>
      <c r="E835" s="1"/>
      <c r="F835" s="1"/>
      <c r="G835" s="1"/>
      <c r="H835" s="1"/>
      <c r="I835" s="1"/>
      <c r="J835" s="1"/>
      <c r="K835" s="1"/>
      <c r="L835" s="1"/>
    </row>
    <row r="836" ht="14.25" customHeight="1">
      <c r="A836" s="52"/>
      <c r="B836" s="52"/>
      <c r="C836" s="53"/>
      <c r="D836" s="1"/>
      <c r="E836" s="1"/>
      <c r="F836" s="1"/>
      <c r="G836" s="1"/>
      <c r="H836" s="1"/>
      <c r="I836" s="1"/>
      <c r="J836" s="1"/>
      <c r="K836" s="1"/>
      <c r="L836" s="1"/>
    </row>
    <row r="837" ht="14.25" customHeight="1">
      <c r="A837" s="52"/>
      <c r="B837" s="52"/>
      <c r="C837" s="53"/>
      <c r="D837" s="1"/>
      <c r="E837" s="1"/>
      <c r="F837" s="1"/>
      <c r="G837" s="1"/>
      <c r="H837" s="1"/>
      <c r="I837" s="1"/>
      <c r="J837" s="1"/>
      <c r="K837" s="1"/>
      <c r="L837" s="1"/>
    </row>
    <row r="838" ht="14.25" customHeight="1">
      <c r="A838" s="52"/>
      <c r="B838" s="52"/>
      <c r="C838" s="53"/>
      <c r="D838" s="1"/>
      <c r="E838" s="1"/>
      <c r="F838" s="1"/>
      <c r="G838" s="1"/>
      <c r="H838" s="1"/>
      <c r="I838" s="1"/>
      <c r="J838" s="1"/>
      <c r="K838" s="1"/>
      <c r="L838" s="1"/>
    </row>
    <row r="839" ht="14.25" customHeight="1">
      <c r="A839" s="52"/>
      <c r="B839" s="52"/>
      <c r="C839" s="53"/>
      <c r="D839" s="1"/>
      <c r="E839" s="1"/>
      <c r="F839" s="1"/>
      <c r="G839" s="1"/>
      <c r="H839" s="1"/>
      <c r="I839" s="1"/>
      <c r="J839" s="1"/>
      <c r="K839" s="1"/>
      <c r="L839" s="1"/>
    </row>
    <row r="840" ht="14.25" customHeight="1">
      <c r="A840" s="52"/>
      <c r="B840" s="52"/>
      <c r="C840" s="53"/>
      <c r="D840" s="1"/>
      <c r="E840" s="1"/>
      <c r="F840" s="1"/>
      <c r="G840" s="1"/>
      <c r="H840" s="1"/>
      <c r="I840" s="1"/>
      <c r="J840" s="1"/>
      <c r="K840" s="1"/>
      <c r="L840" s="1"/>
    </row>
    <row r="841" ht="14.25" customHeight="1">
      <c r="A841" s="52"/>
      <c r="B841" s="52"/>
      <c r="C841" s="53"/>
      <c r="D841" s="1"/>
      <c r="E841" s="1"/>
      <c r="F841" s="1"/>
      <c r="G841" s="1"/>
      <c r="H841" s="1"/>
      <c r="I841" s="1"/>
      <c r="J841" s="1"/>
      <c r="K841" s="1"/>
      <c r="L841" s="1"/>
    </row>
    <row r="842" ht="14.25" customHeight="1">
      <c r="A842" s="52"/>
      <c r="B842" s="52"/>
      <c r="C842" s="53"/>
      <c r="D842" s="1"/>
      <c r="E842" s="1"/>
      <c r="F842" s="1"/>
      <c r="G842" s="1"/>
      <c r="H842" s="1"/>
      <c r="I842" s="1"/>
      <c r="J842" s="1"/>
      <c r="K842" s="1"/>
      <c r="L842" s="1"/>
    </row>
    <row r="843" ht="14.25" customHeight="1">
      <c r="A843" s="52"/>
      <c r="B843" s="52"/>
      <c r="C843" s="53"/>
      <c r="D843" s="1"/>
      <c r="E843" s="1"/>
      <c r="F843" s="1"/>
      <c r="G843" s="1"/>
      <c r="H843" s="1"/>
      <c r="I843" s="1"/>
      <c r="J843" s="1"/>
      <c r="K843" s="1"/>
      <c r="L843" s="1"/>
    </row>
    <row r="844" ht="14.25" customHeight="1">
      <c r="A844" s="52"/>
      <c r="B844" s="52"/>
      <c r="C844" s="53"/>
      <c r="D844" s="1"/>
      <c r="E844" s="1"/>
      <c r="F844" s="1"/>
      <c r="G844" s="1"/>
      <c r="H844" s="1"/>
      <c r="I844" s="1"/>
      <c r="J844" s="1"/>
      <c r="K844" s="1"/>
      <c r="L844" s="1"/>
    </row>
    <row r="845" ht="14.25" customHeight="1">
      <c r="A845" s="52"/>
      <c r="B845" s="52"/>
      <c r="C845" s="53"/>
      <c r="D845" s="1"/>
      <c r="E845" s="1"/>
      <c r="F845" s="1"/>
      <c r="G845" s="1"/>
      <c r="H845" s="1"/>
      <c r="I845" s="1"/>
      <c r="J845" s="1"/>
      <c r="K845" s="1"/>
      <c r="L845" s="1"/>
    </row>
    <row r="846" ht="14.25" customHeight="1">
      <c r="A846" s="52"/>
      <c r="B846" s="52"/>
      <c r="C846" s="53"/>
      <c r="D846" s="1"/>
      <c r="E846" s="1"/>
      <c r="F846" s="1"/>
      <c r="G846" s="1"/>
      <c r="H846" s="1"/>
      <c r="I846" s="1"/>
      <c r="J846" s="1"/>
      <c r="K846" s="1"/>
      <c r="L846" s="1"/>
    </row>
    <row r="847" ht="14.25" customHeight="1">
      <c r="A847" s="52"/>
      <c r="B847" s="52"/>
      <c r="C847" s="53"/>
      <c r="D847" s="1"/>
      <c r="E847" s="1"/>
      <c r="F847" s="1"/>
      <c r="G847" s="1"/>
      <c r="H847" s="1"/>
      <c r="I847" s="1"/>
      <c r="J847" s="1"/>
      <c r="K847" s="1"/>
      <c r="L847" s="1"/>
    </row>
    <row r="848" ht="14.25" customHeight="1">
      <c r="A848" s="52"/>
      <c r="B848" s="52"/>
      <c r="C848" s="53"/>
      <c r="D848" s="1"/>
      <c r="E848" s="1"/>
      <c r="F848" s="1"/>
      <c r="G848" s="1"/>
      <c r="H848" s="1"/>
      <c r="I848" s="1"/>
      <c r="J848" s="1"/>
      <c r="K848" s="1"/>
      <c r="L848" s="1"/>
    </row>
    <row r="849" ht="14.25" customHeight="1">
      <c r="A849" s="52"/>
      <c r="B849" s="52"/>
      <c r="C849" s="53"/>
      <c r="D849" s="1"/>
      <c r="E849" s="1"/>
      <c r="F849" s="1"/>
      <c r="G849" s="1"/>
      <c r="H849" s="1"/>
      <c r="I849" s="1"/>
      <c r="J849" s="1"/>
      <c r="K849" s="1"/>
      <c r="L849" s="1"/>
    </row>
    <row r="850" ht="14.25" customHeight="1">
      <c r="A850" s="52"/>
      <c r="B850" s="52"/>
      <c r="C850" s="53"/>
      <c r="D850" s="1"/>
      <c r="E850" s="1"/>
      <c r="F850" s="1"/>
      <c r="G850" s="1"/>
      <c r="H850" s="1"/>
      <c r="I850" s="1"/>
      <c r="J850" s="1"/>
      <c r="K850" s="1"/>
      <c r="L850" s="1"/>
    </row>
    <row r="851" ht="14.25" customHeight="1">
      <c r="A851" s="52"/>
      <c r="B851" s="52"/>
      <c r="C851" s="53"/>
      <c r="D851" s="1"/>
      <c r="E851" s="1"/>
      <c r="F851" s="1"/>
      <c r="G851" s="1"/>
      <c r="H851" s="1"/>
      <c r="I851" s="1"/>
      <c r="J851" s="1"/>
      <c r="K851" s="1"/>
      <c r="L851" s="1"/>
    </row>
    <row r="852" ht="14.25" customHeight="1">
      <c r="A852" s="52"/>
      <c r="B852" s="52"/>
      <c r="C852" s="53"/>
      <c r="D852" s="1"/>
      <c r="E852" s="1"/>
      <c r="F852" s="1"/>
      <c r="G852" s="1"/>
      <c r="H852" s="1"/>
      <c r="I852" s="1"/>
      <c r="J852" s="1"/>
      <c r="K852" s="1"/>
      <c r="L852" s="1"/>
    </row>
    <row r="853" ht="14.25" customHeight="1">
      <c r="A853" s="52"/>
      <c r="B853" s="52"/>
      <c r="C853" s="53"/>
      <c r="D853" s="1"/>
      <c r="E853" s="1"/>
      <c r="F853" s="1"/>
      <c r="G853" s="1"/>
      <c r="H853" s="1"/>
      <c r="I853" s="1"/>
      <c r="J853" s="1"/>
      <c r="K853" s="1"/>
      <c r="L853" s="1"/>
    </row>
    <row r="854" ht="14.25" customHeight="1">
      <c r="A854" s="52"/>
      <c r="B854" s="52"/>
      <c r="C854" s="53"/>
      <c r="D854" s="1"/>
      <c r="E854" s="1"/>
      <c r="F854" s="1"/>
      <c r="G854" s="1"/>
      <c r="H854" s="1"/>
      <c r="I854" s="1"/>
      <c r="J854" s="1"/>
      <c r="K854" s="1"/>
      <c r="L854" s="1"/>
    </row>
    <row r="855" ht="14.25" customHeight="1">
      <c r="A855" s="52"/>
      <c r="B855" s="52"/>
      <c r="C855" s="53"/>
      <c r="D855" s="1"/>
      <c r="E855" s="1"/>
      <c r="F855" s="1"/>
      <c r="G855" s="1"/>
      <c r="H855" s="1"/>
      <c r="I855" s="1"/>
      <c r="J855" s="1"/>
      <c r="K855" s="1"/>
      <c r="L855" s="1"/>
    </row>
    <row r="856" ht="14.25" customHeight="1">
      <c r="A856" s="52"/>
      <c r="B856" s="52"/>
      <c r="C856" s="53"/>
      <c r="D856" s="1"/>
      <c r="E856" s="1"/>
      <c r="F856" s="1"/>
      <c r="G856" s="1"/>
      <c r="H856" s="1"/>
      <c r="I856" s="1"/>
      <c r="J856" s="1"/>
      <c r="K856" s="1"/>
      <c r="L856" s="1"/>
    </row>
    <row r="857" ht="14.25" customHeight="1">
      <c r="A857" s="52"/>
      <c r="B857" s="52"/>
      <c r="C857" s="53"/>
      <c r="D857" s="1"/>
      <c r="E857" s="1"/>
      <c r="F857" s="1"/>
      <c r="G857" s="1"/>
      <c r="H857" s="1"/>
      <c r="I857" s="1"/>
      <c r="J857" s="1"/>
      <c r="K857" s="1"/>
      <c r="L857" s="1"/>
    </row>
    <row r="858" ht="14.25" customHeight="1">
      <c r="A858" s="52"/>
      <c r="B858" s="52"/>
      <c r="C858" s="53"/>
      <c r="D858" s="1"/>
      <c r="E858" s="1"/>
      <c r="F858" s="1"/>
      <c r="G858" s="1"/>
      <c r="H858" s="1"/>
      <c r="I858" s="1"/>
      <c r="J858" s="1"/>
      <c r="K858" s="1"/>
      <c r="L858" s="1"/>
    </row>
    <row r="859" ht="14.25" customHeight="1">
      <c r="A859" s="52"/>
      <c r="B859" s="52"/>
      <c r="C859" s="53"/>
      <c r="D859" s="1"/>
      <c r="E859" s="1"/>
      <c r="F859" s="1"/>
      <c r="G859" s="1"/>
      <c r="H859" s="1"/>
      <c r="I859" s="1"/>
      <c r="J859" s="1"/>
      <c r="K859" s="1"/>
      <c r="L859" s="1"/>
    </row>
    <row r="860" ht="14.25" customHeight="1">
      <c r="A860" s="52"/>
      <c r="B860" s="52"/>
      <c r="C860" s="53"/>
      <c r="D860" s="1"/>
      <c r="E860" s="1"/>
      <c r="F860" s="1"/>
      <c r="G860" s="1"/>
      <c r="H860" s="1"/>
      <c r="I860" s="1"/>
      <c r="J860" s="1"/>
      <c r="K860" s="1"/>
      <c r="L860" s="1"/>
    </row>
    <row r="861" ht="14.25" customHeight="1">
      <c r="A861" s="52"/>
      <c r="B861" s="52"/>
      <c r="C861" s="53"/>
      <c r="D861" s="1"/>
      <c r="E861" s="1"/>
      <c r="F861" s="1"/>
      <c r="G861" s="1"/>
      <c r="H861" s="1"/>
      <c r="I861" s="1"/>
      <c r="J861" s="1"/>
      <c r="K861" s="1"/>
      <c r="L861" s="1"/>
    </row>
    <row r="862" ht="14.25" customHeight="1">
      <c r="A862" s="52"/>
      <c r="B862" s="52"/>
      <c r="C862" s="53"/>
      <c r="D862" s="1"/>
      <c r="E862" s="1"/>
      <c r="F862" s="1"/>
      <c r="G862" s="1"/>
      <c r="H862" s="1"/>
      <c r="I862" s="1"/>
      <c r="J862" s="1"/>
      <c r="K862" s="1"/>
      <c r="L862" s="1"/>
    </row>
    <row r="863" ht="14.25" customHeight="1">
      <c r="A863" s="52"/>
      <c r="B863" s="52"/>
      <c r="C863" s="53"/>
      <c r="D863" s="1"/>
      <c r="E863" s="1"/>
      <c r="F863" s="1"/>
      <c r="G863" s="1"/>
      <c r="H863" s="1"/>
      <c r="I863" s="1"/>
      <c r="J863" s="1"/>
      <c r="K863" s="1"/>
      <c r="L863" s="1"/>
    </row>
    <row r="864" ht="14.25" customHeight="1">
      <c r="A864" s="52"/>
      <c r="B864" s="52"/>
      <c r="C864" s="53"/>
      <c r="D864" s="1"/>
      <c r="E864" s="1"/>
      <c r="F864" s="1"/>
      <c r="G864" s="1"/>
      <c r="H864" s="1"/>
      <c r="I864" s="1"/>
      <c r="J864" s="1"/>
      <c r="K864" s="1"/>
      <c r="L864" s="1"/>
    </row>
    <row r="865" ht="14.25" customHeight="1">
      <c r="A865" s="52"/>
      <c r="B865" s="52"/>
      <c r="C865" s="53"/>
      <c r="D865" s="1"/>
      <c r="E865" s="1"/>
      <c r="F865" s="1"/>
      <c r="G865" s="1"/>
      <c r="H865" s="1"/>
      <c r="I865" s="1"/>
      <c r="J865" s="1"/>
      <c r="K865" s="1"/>
      <c r="L865" s="1"/>
    </row>
    <row r="866" ht="14.25" customHeight="1">
      <c r="A866" s="52"/>
      <c r="B866" s="52"/>
      <c r="C866" s="53"/>
      <c r="D866" s="1"/>
      <c r="E866" s="1"/>
      <c r="F866" s="1"/>
      <c r="G866" s="1"/>
      <c r="H866" s="1"/>
      <c r="I866" s="1"/>
      <c r="J866" s="1"/>
      <c r="K866" s="1"/>
      <c r="L866" s="1"/>
    </row>
    <row r="867" ht="14.25" customHeight="1">
      <c r="A867" s="52"/>
      <c r="B867" s="52"/>
      <c r="C867" s="53"/>
      <c r="D867" s="1"/>
      <c r="E867" s="1"/>
      <c r="F867" s="1"/>
      <c r="G867" s="1"/>
      <c r="H867" s="1"/>
      <c r="I867" s="1"/>
      <c r="J867" s="1"/>
      <c r="K867" s="1"/>
      <c r="L867" s="1"/>
    </row>
    <row r="868" ht="14.25" customHeight="1">
      <c r="A868" s="52"/>
      <c r="B868" s="52"/>
      <c r="C868" s="53"/>
      <c r="D868" s="1"/>
      <c r="E868" s="1"/>
      <c r="F868" s="1"/>
      <c r="G868" s="1"/>
      <c r="H868" s="1"/>
      <c r="I868" s="1"/>
      <c r="J868" s="1"/>
      <c r="K868" s="1"/>
      <c r="L868" s="1"/>
    </row>
    <row r="869" ht="14.25" customHeight="1">
      <c r="A869" s="52"/>
      <c r="B869" s="52"/>
      <c r="C869" s="53"/>
      <c r="D869" s="1"/>
      <c r="E869" s="1"/>
      <c r="F869" s="1"/>
      <c r="G869" s="1"/>
      <c r="H869" s="1"/>
      <c r="I869" s="1"/>
      <c r="J869" s="1"/>
      <c r="K869" s="1"/>
      <c r="L869" s="1"/>
    </row>
    <row r="870" ht="14.25" customHeight="1">
      <c r="A870" s="52"/>
      <c r="B870" s="52"/>
      <c r="C870" s="53"/>
      <c r="D870" s="1"/>
      <c r="E870" s="1"/>
      <c r="F870" s="1"/>
      <c r="G870" s="1"/>
      <c r="H870" s="1"/>
      <c r="I870" s="1"/>
      <c r="J870" s="1"/>
      <c r="K870" s="1"/>
      <c r="L870" s="1"/>
    </row>
    <row r="871" ht="14.25" customHeight="1">
      <c r="A871" s="52"/>
      <c r="B871" s="52"/>
      <c r="C871" s="53"/>
      <c r="D871" s="1"/>
      <c r="E871" s="1"/>
      <c r="F871" s="1"/>
      <c r="G871" s="1"/>
      <c r="H871" s="1"/>
      <c r="I871" s="1"/>
      <c r="J871" s="1"/>
      <c r="K871" s="1"/>
      <c r="L871" s="1"/>
    </row>
    <row r="872" ht="14.25" customHeight="1">
      <c r="A872" s="52"/>
      <c r="B872" s="52"/>
      <c r="C872" s="53"/>
      <c r="D872" s="1"/>
      <c r="E872" s="1"/>
      <c r="F872" s="1"/>
      <c r="G872" s="1"/>
      <c r="H872" s="1"/>
      <c r="I872" s="1"/>
      <c r="J872" s="1"/>
      <c r="K872" s="1"/>
      <c r="L872" s="1"/>
    </row>
    <row r="873" ht="14.25" customHeight="1">
      <c r="A873" s="52"/>
      <c r="B873" s="52"/>
      <c r="C873" s="53"/>
      <c r="D873" s="1"/>
      <c r="E873" s="1"/>
      <c r="F873" s="1"/>
      <c r="G873" s="1"/>
      <c r="H873" s="1"/>
      <c r="I873" s="1"/>
      <c r="J873" s="1"/>
      <c r="K873" s="1"/>
      <c r="L873" s="1"/>
    </row>
    <row r="874" ht="14.25" customHeight="1">
      <c r="A874" s="52"/>
      <c r="B874" s="52"/>
      <c r="C874" s="53"/>
      <c r="D874" s="1"/>
      <c r="E874" s="1"/>
      <c r="F874" s="1"/>
      <c r="G874" s="1"/>
      <c r="H874" s="1"/>
      <c r="I874" s="1"/>
      <c r="J874" s="1"/>
      <c r="K874" s="1"/>
      <c r="L874" s="1"/>
    </row>
    <row r="875" ht="14.25" customHeight="1">
      <c r="A875" s="52"/>
      <c r="B875" s="52"/>
      <c r="C875" s="53"/>
      <c r="D875" s="1"/>
      <c r="E875" s="1"/>
      <c r="F875" s="1"/>
      <c r="G875" s="1"/>
      <c r="H875" s="1"/>
      <c r="I875" s="1"/>
      <c r="J875" s="1"/>
      <c r="K875" s="1"/>
      <c r="L875" s="1"/>
    </row>
    <row r="876" ht="14.25" customHeight="1">
      <c r="A876" s="52"/>
      <c r="B876" s="52"/>
      <c r="C876" s="53"/>
      <c r="D876" s="1"/>
      <c r="E876" s="1"/>
      <c r="F876" s="1"/>
      <c r="G876" s="1"/>
      <c r="H876" s="1"/>
      <c r="I876" s="1"/>
      <c r="J876" s="1"/>
      <c r="K876" s="1"/>
      <c r="L876" s="1"/>
    </row>
    <row r="877" ht="14.25" customHeight="1">
      <c r="A877" s="52"/>
      <c r="B877" s="52"/>
      <c r="C877" s="53"/>
      <c r="D877" s="1"/>
      <c r="E877" s="1"/>
      <c r="F877" s="1"/>
      <c r="G877" s="1"/>
      <c r="H877" s="1"/>
      <c r="I877" s="1"/>
      <c r="J877" s="1"/>
      <c r="K877" s="1"/>
      <c r="L877" s="1"/>
    </row>
    <row r="878" ht="14.25" customHeight="1">
      <c r="A878" s="52"/>
      <c r="B878" s="52"/>
      <c r="C878" s="53"/>
      <c r="D878" s="1"/>
      <c r="E878" s="1"/>
      <c r="F878" s="1"/>
      <c r="G878" s="1"/>
      <c r="H878" s="1"/>
      <c r="I878" s="1"/>
      <c r="J878" s="1"/>
      <c r="K878" s="1"/>
      <c r="L878" s="1"/>
    </row>
    <row r="879" ht="14.25" customHeight="1">
      <c r="A879" s="52"/>
      <c r="B879" s="52"/>
      <c r="C879" s="53"/>
      <c r="D879" s="1"/>
      <c r="E879" s="1"/>
      <c r="F879" s="1"/>
      <c r="G879" s="1"/>
      <c r="H879" s="1"/>
      <c r="I879" s="1"/>
      <c r="J879" s="1"/>
      <c r="K879" s="1"/>
      <c r="L879" s="1"/>
    </row>
    <row r="880" ht="14.25" customHeight="1">
      <c r="A880" s="52"/>
      <c r="B880" s="52"/>
      <c r="C880" s="53"/>
      <c r="D880" s="1"/>
      <c r="E880" s="1"/>
      <c r="F880" s="1"/>
      <c r="G880" s="1"/>
      <c r="H880" s="1"/>
      <c r="I880" s="1"/>
      <c r="J880" s="1"/>
      <c r="K880" s="1"/>
      <c r="L880" s="1"/>
    </row>
    <row r="881" ht="14.25" customHeight="1">
      <c r="A881" s="52"/>
      <c r="B881" s="52"/>
      <c r="C881" s="53"/>
      <c r="D881" s="1"/>
      <c r="E881" s="1"/>
      <c r="F881" s="1"/>
      <c r="G881" s="1"/>
      <c r="H881" s="1"/>
      <c r="I881" s="1"/>
      <c r="J881" s="1"/>
      <c r="K881" s="1"/>
      <c r="L881" s="1"/>
    </row>
    <row r="882" ht="14.25" customHeight="1">
      <c r="A882" s="52"/>
      <c r="B882" s="52"/>
      <c r="C882" s="53"/>
      <c r="D882" s="1"/>
      <c r="E882" s="1"/>
      <c r="F882" s="1"/>
      <c r="G882" s="1"/>
      <c r="H882" s="1"/>
      <c r="I882" s="1"/>
      <c r="J882" s="1"/>
      <c r="K882" s="1"/>
      <c r="L882" s="1"/>
    </row>
    <row r="883" ht="14.25" customHeight="1">
      <c r="A883" s="52"/>
      <c r="B883" s="52"/>
      <c r="C883" s="53"/>
      <c r="D883" s="1"/>
      <c r="E883" s="1"/>
      <c r="F883" s="1"/>
      <c r="G883" s="1"/>
      <c r="H883" s="1"/>
      <c r="I883" s="1"/>
      <c r="J883" s="1"/>
      <c r="K883" s="1"/>
      <c r="L883" s="1"/>
    </row>
    <row r="884" ht="14.25" customHeight="1">
      <c r="A884" s="52"/>
      <c r="B884" s="52"/>
      <c r="C884" s="53"/>
      <c r="D884" s="1"/>
      <c r="E884" s="1"/>
      <c r="F884" s="1"/>
      <c r="G884" s="1"/>
      <c r="H884" s="1"/>
      <c r="I884" s="1"/>
      <c r="J884" s="1"/>
      <c r="K884" s="1"/>
      <c r="L884" s="1"/>
    </row>
    <row r="885" ht="14.25" customHeight="1">
      <c r="A885" s="52"/>
      <c r="B885" s="52"/>
      <c r="C885" s="53"/>
      <c r="D885" s="1"/>
      <c r="E885" s="1"/>
      <c r="F885" s="1"/>
      <c r="G885" s="1"/>
      <c r="H885" s="1"/>
      <c r="I885" s="1"/>
      <c r="J885" s="1"/>
      <c r="K885" s="1"/>
      <c r="L885" s="1"/>
    </row>
    <row r="886" ht="14.25" customHeight="1">
      <c r="A886" s="52"/>
      <c r="B886" s="52"/>
      <c r="C886" s="53"/>
      <c r="D886" s="1"/>
      <c r="E886" s="1"/>
      <c r="F886" s="1"/>
      <c r="G886" s="1"/>
      <c r="H886" s="1"/>
      <c r="I886" s="1"/>
      <c r="J886" s="1"/>
      <c r="K886" s="1"/>
      <c r="L886" s="1"/>
    </row>
    <row r="887" ht="14.25" customHeight="1">
      <c r="A887" s="52"/>
      <c r="B887" s="52"/>
      <c r="C887" s="53"/>
      <c r="D887" s="1"/>
      <c r="E887" s="1"/>
      <c r="F887" s="1"/>
      <c r="G887" s="1"/>
      <c r="H887" s="1"/>
      <c r="I887" s="1"/>
      <c r="J887" s="1"/>
      <c r="K887" s="1"/>
      <c r="L887" s="1"/>
    </row>
    <row r="888" ht="14.25" customHeight="1">
      <c r="A888" s="52"/>
      <c r="B888" s="52"/>
      <c r="C888" s="53"/>
      <c r="D888" s="1"/>
      <c r="E888" s="1"/>
      <c r="F888" s="1"/>
      <c r="G888" s="1"/>
      <c r="H888" s="1"/>
      <c r="I888" s="1"/>
      <c r="J888" s="1"/>
      <c r="K888" s="1"/>
      <c r="L888" s="1"/>
    </row>
    <row r="889" ht="14.25" customHeight="1">
      <c r="A889" s="52"/>
      <c r="B889" s="52"/>
      <c r="C889" s="53"/>
      <c r="D889" s="1"/>
      <c r="E889" s="1"/>
      <c r="F889" s="1"/>
      <c r="G889" s="1"/>
      <c r="H889" s="1"/>
      <c r="I889" s="1"/>
      <c r="J889" s="1"/>
      <c r="K889" s="1"/>
      <c r="L889" s="1"/>
    </row>
    <row r="890" ht="14.25" customHeight="1">
      <c r="A890" s="52"/>
      <c r="B890" s="52"/>
      <c r="C890" s="53"/>
      <c r="D890" s="1"/>
      <c r="E890" s="1"/>
      <c r="F890" s="1"/>
      <c r="G890" s="1"/>
      <c r="H890" s="1"/>
      <c r="I890" s="1"/>
      <c r="J890" s="1"/>
      <c r="K890" s="1"/>
      <c r="L890" s="1"/>
    </row>
    <row r="891" ht="14.25" customHeight="1">
      <c r="A891" s="52"/>
      <c r="B891" s="52"/>
      <c r="C891" s="53"/>
      <c r="D891" s="1"/>
      <c r="E891" s="1"/>
      <c r="F891" s="1"/>
      <c r="G891" s="1"/>
      <c r="H891" s="1"/>
      <c r="I891" s="1"/>
      <c r="J891" s="1"/>
      <c r="K891" s="1"/>
      <c r="L891" s="1"/>
    </row>
    <row r="892" ht="14.25" customHeight="1">
      <c r="A892" s="52"/>
      <c r="B892" s="52"/>
      <c r="C892" s="53"/>
      <c r="D892" s="1"/>
      <c r="E892" s="1"/>
      <c r="F892" s="1"/>
      <c r="G892" s="1"/>
      <c r="H892" s="1"/>
      <c r="I892" s="1"/>
      <c r="J892" s="1"/>
      <c r="K892" s="1"/>
      <c r="L892" s="1"/>
    </row>
    <row r="893" ht="14.25" customHeight="1">
      <c r="A893" s="52"/>
      <c r="B893" s="52"/>
      <c r="C893" s="53"/>
      <c r="D893" s="1"/>
      <c r="E893" s="1"/>
      <c r="F893" s="1"/>
      <c r="G893" s="1"/>
      <c r="H893" s="1"/>
      <c r="I893" s="1"/>
      <c r="J893" s="1"/>
      <c r="K893" s="1"/>
      <c r="L893" s="1"/>
    </row>
    <row r="894" ht="14.25" customHeight="1">
      <c r="A894" s="52"/>
      <c r="B894" s="52"/>
      <c r="C894" s="53"/>
      <c r="D894" s="1"/>
      <c r="E894" s="1"/>
      <c r="F894" s="1"/>
      <c r="G894" s="1"/>
      <c r="H894" s="1"/>
      <c r="I894" s="1"/>
      <c r="J894" s="1"/>
      <c r="K894" s="1"/>
      <c r="L894" s="1"/>
    </row>
    <row r="895" ht="14.25" customHeight="1">
      <c r="A895" s="52"/>
      <c r="B895" s="52"/>
      <c r="C895" s="53"/>
      <c r="D895" s="1"/>
      <c r="E895" s="1"/>
      <c r="F895" s="1"/>
      <c r="G895" s="1"/>
      <c r="H895" s="1"/>
      <c r="I895" s="1"/>
      <c r="J895" s="1"/>
      <c r="K895" s="1"/>
      <c r="L895" s="1"/>
    </row>
    <row r="896" ht="14.25" customHeight="1">
      <c r="A896" s="52"/>
      <c r="B896" s="52"/>
      <c r="C896" s="53"/>
      <c r="D896" s="1"/>
      <c r="E896" s="1"/>
      <c r="F896" s="1"/>
      <c r="G896" s="1"/>
      <c r="H896" s="1"/>
      <c r="I896" s="1"/>
      <c r="J896" s="1"/>
      <c r="K896" s="1"/>
      <c r="L896" s="1"/>
    </row>
    <row r="897" ht="14.25" customHeight="1">
      <c r="A897" s="52"/>
      <c r="B897" s="52"/>
      <c r="C897" s="53"/>
      <c r="D897" s="1"/>
      <c r="E897" s="1"/>
      <c r="F897" s="1"/>
      <c r="G897" s="1"/>
      <c r="H897" s="1"/>
      <c r="I897" s="1"/>
      <c r="J897" s="1"/>
      <c r="K897" s="1"/>
      <c r="L897" s="1"/>
    </row>
    <row r="898" ht="14.25" customHeight="1">
      <c r="A898" s="52"/>
      <c r="B898" s="52"/>
      <c r="C898" s="53"/>
      <c r="D898" s="1"/>
      <c r="E898" s="1"/>
      <c r="F898" s="1"/>
      <c r="G898" s="1"/>
      <c r="H898" s="1"/>
      <c r="I898" s="1"/>
      <c r="J898" s="1"/>
      <c r="K898" s="1"/>
      <c r="L898" s="1"/>
    </row>
    <row r="899" ht="14.25" customHeight="1">
      <c r="A899" s="52"/>
      <c r="B899" s="52"/>
      <c r="C899" s="53"/>
      <c r="D899" s="1"/>
      <c r="E899" s="1"/>
      <c r="F899" s="1"/>
      <c r="G899" s="1"/>
      <c r="H899" s="1"/>
      <c r="I899" s="1"/>
      <c r="J899" s="1"/>
      <c r="K899" s="1"/>
      <c r="L899" s="1"/>
    </row>
    <row r="900" ht="14.25" customHeight="1">
      <c r="A900" s="52"/>
      <c r="B900" s="52"/>
      <c r="C900" s="53"/>
      <c r="D900" s="1"/>
      <c r="E900" s="1"/>
      <c r="F900" s="1"/>
      <c r="G900" s="1"/>
      <c r="H900" s="1"/>
      <c r="I900" s="1"/>
      <c r="J900" s="1"/>
      <c r="K900" s="1"/>
      <c r="L900" s="1"/>
    </row>
    <row r="901" ht="14.25" customHeight="1">
      <c r="A901" s="52"/>
      <c r="B901" s="52"/>
      <c r="C901" s="53"/>
      <c r="D901" s="1"/>
      <c r="E901" s="1"/>
      <c r="F901" s="1"/>
      <c r="G901" s="1"/>
      <c r="H901" s="1"/>
      <c r="I901" s="1"/>
      <c r="J901" s="1"/>
      <c r="K901" s="1"/>
      <c r="L901" s="1"/>
    </row>
    <row r="902" ht="14.25" customHeight="1">
      <c r="A902" s="52"/>
      <c r="B902" s="52"/>
      <c r="C902" s="53"/>
      <c r="D902" s="1"/>
      <c r="E902" s="1"/>
      <c r="F902" s="1"/>
      <c r="G902" s="1"/>
      <c r="H902" s="1"/>
      <c r="I902" s="1"/>
      <c r="J902" s="1"/>
      <c r="K902" s="1"/>
      <c r="L902" s="1"/>
    </row>
    <row r="903" ht="14.25" customHeight="1">
      <c r="A903" s="52"/>
      <c r="B903" s="52"/>
      <c r="C903" s="53"/>
      <c r="D903" s="1"/>
      <c r="E903" s="1"/>
      <c r="F903" s="1"/>
      <c r="G903" s="1"/>
      <c r="H903" s="1"/>
      <c r="I903" s="1"/>
      <c r="J903" s="1"/>
      <c r="K903" s="1"/>
      <c r="L903" s="1"/>
    </row>
    <row r="904" ht="14.25" customHeight="1">
      <c r="A904" s="52"/>
      <c r="B904" s="52"/>
      <c r="C904" s="53"/>
      <c r="D904" s="1"/>
      <c r="E904" s="1"/>
      <c r="F904" s="1"/>
      <c r="G904" s="1"/>
      <c r="H904" s="1"/>
      <c r="I904" s="1"/>
      <c r="J904" s="1"/>
      <c r="K904" s="1"/>
      <c r="L904" s="1"/>
    </row>
    <row r="905" ht="14.25" customHeight="1">
      <c r="A905" s="52"/>
      <c r="B905" s="52"/>
      <c r="C905" s="53"/>
      <c r="D905" s="1"/>
      <c r="E905" s="1"/>
      <c r="F905" s="1"/>
      <c r="G905" s="1"/>
      <c r="H905" s="1"/>
      <c r="I905" s="1"/>
      <c r="J905" s="1"/>
      <c r="K905" s="1"/>
      <c r="L905" s="1"/>
    </row>
    <row r="906" ht="14.25" customHeight="1">
      <c r="A906" s="52"/>
      <c r="B906" s="52"/>
      <c r="C906" s="53"/>
      <c r="D906" s="1"/>
      <c r="E906" s="1"/>
      <c r="F906" s="1"/>
      <c r="G906" s="1"/>
      <c r="H906" s="1"/>
      <c r="I906" s="1"/>
      <c r="J906" s="1"/>
      <c r="K906" s="1"/>
      <c r="L906" s="1"/>
    </row>
    <row r="907" ht="14.25" customHeight="1">
      <c r="A907" s="52"/>
      <c r="B907" s="52"/>
      <c r="C907" s="53"/>
      <c r="D907" s="1"/>
      <c r="E907" s="1"/>
      <c r="F907" s="1"/>
      <c r="G907" s="1"/>
      <c r="H907" s="1"/>
      <c r="I907" s="1"/>
      <c r="J907" s="1"/>
      <c r="K907" s="1"/>
      <c r="L907" s="1"/>
    </row>
    <row r="908" ht="14.25" customHeight="1">
      <c r="A908" s="52"/>
      <c r="B908" s="52"/>
      <c r="C908" s="53"/>
      <c r="D908" s="1"/>
      <c r="E908" s="1"/>
      <c r="F908" s="1"/>
      <c r="G908" s="1"/>
      <c r="H908" s="1"/>
      <c r="I908" s="1"/>
      <c r="J908" s="1"/>
      <c r="K908" s="1"/>
      <c r="L908" s="1"/>
    </row>
    <row r="909" ht="14.25" customHeight="1">
      <c r="A909" s="52"/>
      <c r="B909" s="52"/>
      <c r="C909" s="53"/>
      <c r="D909" s="1"/>
      <c r="E909" s="1"/>
      <c r="F909" s="1"/>
      <c r="G909" s="1"/>
      <c r="H909" s="1"/>
      <c r="I909" s="1"/>
      <c r="J909" s="1"/>
      <c r="K909" s="1"/>
      <c r="L909" s="1"/>
    </row>
    <row r="910" ht="14.25" customHeight="1">
      <c r="A910" s="52"/>
      <c r="B910" s="52"/>
      <c r="C910" s="53"/>
      <c r="D910" s="1"/>
      <c r="E910" s="1"/>
      <c r="F910" s="1"/>
      <c r="G910" s="1"/>
      <c r="H910" s="1"/>
      <c r="I910" s="1"/>
      <c r="J910" s="1"/>
      <c r="K910" s="1"/>
      <c r="L910" s="1"/>
    </row>
    <row r="911" ht="14.25" customHeight="1">
      <c r="A911" s="52"/>
      <c r="B911" s="52"/>
      <c r="C911" s="53"/>
      <c r="D911" s="1"/>
      <c r="E911" s="1"/>
      <c r="F911" s="1"/>
      <c r="G911" s="1"/>
      <c r="H911" s="1"/>
      <c r="I911" s="1"/>
      <c r="J911" s="1"/>
      <c r="K911" s="1"/>
      <c r="L911" s="1"/>
    </row>
    <row r="912" ht="14.25" customHeight="1">
      <c r="A912" s="52"/>
      <c r="B912" s="52"/>
      <c r="C912" s="53"/>
      <c r="D912" s="1"/>
      <c r="E912" s="1"/>
      <c r="F912" s="1"/>
      <c r="G912" s="1"/>
      <c r="H912" s="1"/>
      <c r="I912" s="1"/>
      <c r="J912" s="1"/>
      <c r="K912" s="1"/>
      <c r="L912" s="1"/>
    </row>
    <row r="913" ht="14.25" customHeight="1">
      <c r="A913" s="52"/>
      <c r="B913" s="52"/>
      <c r="C913" s="53"/>
      <c r="D913" s="1"/>
      <c r="E913" s="1"/>
      <c r="F913" s="1"/>
      <c r="G913" s="1"/>
      <c r="H913" s="1"/>
      <c r="I913" s="1"/>
      <c r="J913" s="1"/>
      <c r="K913" s="1"/>
      <c r="L913" s="1"/>
    </row>
    <row r="914" ht="14.25" customHeight="1">
      <c r="A914" s="52"/>
      <c r="B914" s="52"/>
      <c r="C914" s="53"/>
      <c r="D914" s="1"/>
      <c r="E914" s="1"/>
      <c r="F914" s="1"/>
      <c r="G914" s="1"/>
      <c r="H914" s="1"/>
      <c r="I914" s="1"/>
      <c r="J914" s="1"/>
      <c r="K914" s="1"/>
      <c r="L914" s="1"/>
    </row>
    <row r="915" ht="14.25" customHeight="1">
      <c r="A915" s="52"/>
      <c r="B915" s="52"/>
      <c r="C915" s="53"/>
      <c r="D915" s="1"/>
      <c r="E915" s="1"/>
      <c r="F915" s="1"/>
      <c r="G915" s="1"/>
      <c r="H915" s="1"/>
      <c r="I915" s="1"/>
      <c r="J915" s="1"/>
      <c r="K915" s="1"/>
      <c r="L915" s="1"/>
    </row>
    <row r="916" ht="14.25" customHeight="1">
      <c r="A916" s="52"/>
      <c r="B916" s="52"/>
      <c r="C916" s="53"/>
      <c r="D916" s="1"/>
      <c r="E916" s="1"/>
      <c r="F916" s="1"/>
      <c r="G916" s="1"/>
      <c r="H916" s="1"/>
      <c r="I916" s="1"/>
      <c r="J916" s="1"/>
      <c r="K916" s="1"/>
      <c r="L916" s="1"/>
    </row>
    <row r="917" ht="14.25" customHeight="1">
      <c r="A917" s="52"/>
      <c r="B917" s="52"/>
      <c r="C917" s="53"/>
      <c r="D917" s="1"/>
      <c r="E917" s="1"/>
      <c r="F917" s="1"/>
      <c r="G917" s="1"/>
      <c r="H917" s="1"/>
      <c r="I917" s="1"/>
      <c r="J917" s="1"/>
      <c r="K917" s="1"/>
      <c r="L917" s="1"/>
    </row>
    <row r="918" ht="14.25" customHeight="1">
      <c r="A918" s="52"/>
      <c r="B918" s="52"/>
      <c r="C918" s="53"/>
      <c r="D918" s="1"/>
      <c r="E918" s="1"/>
      <c r="F918" s="1"/>
      <c r="G918" s="1"/>
      <c r="H918" s="1"/>
      <c r="I918" s="1"/>
      <c r="J918" s="1"/>
      <c r="K918" s="1"/>
      <c r="L918" s="1"/>
    </row>
    <row r="919" ht="14.25" customHeight="1">
      <c r="A919" s="52"/>
      <c r="B919" s="52"/>
      <c r="C919" s="53"/>
      <c r="D919" s="1"/>
      <c r="E919" s="1"/>
      <c r="F919" s="1"/>
      <c r="G919" s="1"/>
      <c r="H919" s="1"/>
      <c r="I919" s="1"/>
      <c r="J919" s="1"/>
      <c r="K919" s="1"/>
      <c r="L919" s="1"/>
    </row>
    <row r="920" ht="14.25" customHeight="1">
      <c r="A920" s="52"/>
      <c r="B920" s="52"/>
      <c r="C920" s="53"/>
      <c r="D920" s="1"/>
      <c r="E920" s="1"/>
      <c r="F920" s="1"/>
      <c r="G920" s="1"/>
      <c r="H920" s="1"/>
      <c r="I920" s="1"/>
      <c r="J920" s="1"/>
      <c r="K920" s="1"/>
      <c r="L920" s="1"/>
    </row>
    <row r="921" ht="14.25" customHeight="1">
      <c r="A921" s="52"/>
      <c r="B921" s="52"/>
      <c r="C921" s="53"/>
      <c r="D921" s="1"/>
      <c r="E921" s="1"/>
      <c r="F921" s="1"/>
      <c r="G921" s="1"/>
      <c r="H921" s="1"/>
      <c r="I921" s="1"/>
      <c r="J921" s="1"/>
      <c r="K921" s="1"/>
      <c r="L921" s="1"/>
    </row>
    <row r="922" ht="14.25" customHeight="1">
      <c r="A922" s="52"/>
      <c r="B922" s="52"/>
      <c r="C922" s="53"/>
      <c r="D922" s="1"/>
      <c r="E922" s="1"/>
      <c r="F922" s="1"/>
      <c r="G922" s="1"/>
      <c r="H922" s="1"/>
      <c r="I922" s="1"/>
      <c r="J922" s="1"/>
      <c r="K922" s="1"/>
      <c r="L922" s="1"/>
    </row>
    <row r="923" ht="14.25" customHeight="1">
      <c r="A923" s="52"/>
      <c r="B923" s="52"/>
      <c r="C923" s="53"/>
      <c r="D923" s="1"/>
      <c r="E923" s="1"/>
      <c r="F923" s="1"/>
      <c r="G923" s="1"/>
      <c r="H923" s="1"/>
      <c r="I923" s="1"/>
      <c r="J923" s="1"/>
      <c r="K923" s="1"/>
      <c r="L923" s="1"/>
    </row>
    <row r="924" ht="14.25" customHeight="1">
      <c r="A924" s="52"/>
      <c r="B924" s="52"/>
      <c r="C924" s="53"/>
      <c r="D924" s="1"/>
      <c r="E924" s="1"/>
      <c r="F924" s="1"/>
      <c r="G924" s="1"/>
      <c r="H924" s="1"/>
      <c r="I924" s="1"/>
      <c r="J924" s="1"/>
      <c r="K924" s="1"/>
      <c r="L924" s="1"/>
    </row>
    <row r="925" ht="14.25" customHeight="1">
      <c r="A925" s="52"/>
      <c r="B925" s="52"/>
      <c r="C925" s="53"/>
      <c r="D925" s="1"/>
      <c r="E925" s="1"/>
      <c r="F925" s="1"/>
      <c r="G925" s="1"/>
      <c r="H925" s="1"/>
      <c r="I925" s="1"/>
      <c r="J925" s="1"/>
      <c r="K925" s="1"/>
      <c r="L925" s="1"/>
    </row>
    <row r="926" ht="14.25" customHeight="1">
      <c r="A926" s="52"/>
      <c r="B926" s="52"/>
      <c r="C926" s="53"/>
      <c r="D926" s="1"/>
      <c r="E926" s="1"/>
      <c r="F926" s="1"/>
      <c r="G926" s="1"/>
      <c r="H926" s="1"/>
      <c r="I926" s="1"/>
      <c r="J926" s="1"/>
      <c r="K926" s="1"/>
      <c r="L926" s="1"/>
    </row>
    <row r="927" ht="14.25" customHeight="1">
      <c r="A927" s="52"/>
      <c r="B927" s="52"/>
      <c r="C927" s="53"/>
      <c r="D927" s="1"/>
      <c r="E927" s="1"/>
      <c r="F927" s="1"/>
      <c r="G927" s="1"/>
      <c r="H927" s="1"/>
      <c r="I927" s="1"/>
      <c r="J927" s="1"/>
      <c r="K927" s="1"/>
      <c r="L927" s="1"/>
    </row>
    <row r="928" ht="14.25" customHeight="1">
      <c r="A928" s="52"/>
      <c r="B928" s="52"/>
      <c r="C928" s="53"/>
      <c r="D928" s="1"/>
      <c r="E928" s="1"/>
      <c r="F928" s="1"/>
      <c r="G928" s="1"/>
      <c r="H928" s="1"/>
      <c r="I928" s="1"/>
      <c r="J928" s="1"/>
      <c r="K928" s="1"/>
      <c r="L928" s="1"/>
    </row>
    <row r="929" ht="14.25" customHeight="1">
      <c r="A929" s="52"/>
      <c r="B929" s="52"/>
      <c r="C929" s="53"/>
      <c r="D929" s="1"/>
      <c r="E929" s="1"/>
      <c r="F929" s="1"/>
      <c r="G929" s="1"/>
      <c r="H929" s="1"/>
      <c r="I929" s="1"/>
      <c r="J929" s="1"/>
      <c r="K929" s="1"/>
      <c r="L929" s="1"/>
    </row>
    <row r="930" ht="14.25" customHeight="1">
      <c r="A930" s="52"/>
      <c r="B930" s="52"/>
      <c r="C930" s="53"/>
      <c r="D930" s="1"/>
      <c r="E930" s="1"/>
      <c r="F930" s="1"/>
      <c r="G930" s="1"/>
      <c r="H930" s="1"/>
      <c r="I930" s="1"/>
      <c r="J930" s="1"/>
      <c r="K930" s="1"/>
      <c r="L930" s="1"/>
    </row>
    <row r="931" ht="14.25" customHeight="1">
      <c r="A931" s="52"/>
      <c r="B931" s="52"/>
      <c r="C931" s="53"/>
      <c r="D931" s="1"/>
      <c r="E931" s="1"/>
      <c r="F931" s="1"/>
      <c r="G931" s="1"/>
      <c r="H931" s="1"/>
      <c r="I931" s="1"/>
      <c r="J931" s="1"/>
      <c r="K931" s="1"/>
      <c r="L931" s="1"/>
    </row>
    <row r="932" ht="14.25" customHeight="1">
      <c r="A932" s="52"/>
      <c r="B932" s="52"/>
      <c r="C932" s="53"/>
      <c r="D932" s="1"/>
      <c r="E932" s="1"/>
      <c r="F932" s="1"/>
      <c r="G932" s="1"/>
      <c r="H932" s="1"/>
      <c r="I932" s="1"/>
      <c r="J932" s="1"/>
      <c r="K932" s="1"/>
      <c r="L932" s="1"/>
    </row>
    <row r="933" ht="14.25" customHeight="1">
      <c r="A933" s="52"/>
      <c r="B933" s="52"/>
      <c r="C933" s="53"/>
      <c r="D933" s="1"/>
      <c r="E933" s="1"/>
      <c r="F933" s="1"/>
      <c r="G933" s="1"/>
      <c r="H933" s="1"/>
      <c r="I933" s="1"/>
      <c r="J933" s="1"/>
      <c r="K933" s="1"/>
      <c r="L933" s="1"/>
    </row>
    <row r="934" ht="14.25" customHeight="1">
      <c r="A934" s="52"/>
      <c r="B934" s="52"/>
      <c r="C934" s="53"/>
      <c r="D934" s="1"/>
      <c r="E934" s="1"/>
      <c r="F934" s="1"/>
      <c r="G934" s="1"/>
      <c r="H934" s="1"/>
      <c r="I934" s="1"/>
      <c r="J934" s="1"/>
      <c r="K934" s="1"/>
      <c r="L934" s="1"/>
    </row>
    <row r="935" ht="14.25" customHeight="1">
      <c r="A935" s="52"/>
      <c r="B935" s="52"/>
      <c r="C935" s="53"/>
      <c r="D935" s="1"/>
      <c r="E935" s="1"/>
      <c r="F935" s="1"/>
      <c r="G935" s="1"/>
      <c r="H935" s="1"/>
      <c r="I935" s="1"/>
      <c r="J935" s="1"/>
      <c r="K935" s="1"/>
      <c r="L935" s="1"/>
    </row>
    <row r="936" ht="14.25" customHeight="1">
      <c r="A936" s="52"/>
      <c r="B936" s="52"/>
      <c r="C936" s="53"/>
      <c r="D936" s="1"/>
      <c r="E936" s="1"/>
      <c r="F936" s="1"/>
      <c r="G936" s="1"/>
      <c r="H936" s="1"/>
      <c r="I936" s="1"/>
      <c r="J936" s="1"/>
      <c r="K936" s="1"/>
      <c r="L936" s="1"/>
    </row>
    <row r="937" ht="14.25" customHeight="1">
      <c r="A937" s="52"/>
      <c r="B937" s="52"/>
      <c r="C937" s="53"/>
      <c r="D937" s="1"/>
      <c r="E937" s="1"/>
      <c r="F937" s="1"/>
      <c r="G937" s="1"/>
      <c r="H937" s="1"/>
      <c r="I937" s="1"/>
      <c r="J937" s="1"/>
      <c r="K937" s="1"/>
      <c r="L937" s="1"/>
    </row>
    <row r="938" ht="14.25" customHeight="1">
      <c r="A938" s="52"/>
      <c r="B938" s="52"/>
      <c r="C938" s="53"/>
      <c r="D938" s="1"/>
      <c r="E938" s="1"/>
      <c r="F938" s="1"/>
      <c r="G938" s="1"/>
      <c r="H938" s="1"/>
      <c r="I938" s="1"/>
      <c r="J938" s="1"/>
      <c r="K938" s="1"/>
      <c r="L938" s="1"/>
    </row>
    <row r="939" ht="14.25" customHeight="1">
      <c r="A939" s="52"/>
      <c r="B939" s="52"/>
      <c r="C939" s="53"/>
      <c r="D939" s="1"/>
      <c r="E939" s="1"/>
      <c r="F939" s="1"/>
      <c r="G939" s="1"/>
      <c r="H939" s="1"/>
      <c r="I939" s="1"/>
      <c r="J939" s="1"/>
      <c r="K939" s="1"/>
      <c r="L939" s="1"/>
    </row>
    <row r="940" ht="14.25" customHeight="1">
      <c r="A940" s="52"/>
      <c r="B940" s="52"/>
      <c r="C940" s="53"/>
      <c r="D940" s="1"/>
      <c r="E940" s="1"/>
      <c r="F940" s="1"/>
      <c r="G940" s="1"/>
      <c r="H940" s="1"/>
      <c r="I940" s="1"/>
      <c r="J940" s="1"/>
      <c r="K940" s="1"/>
      <c r="L940" s="1"/>
    </row>
    <row r="941" ht="14.25" customHeight="1">
      <c r="A941" s="52"/>
      <c r="B941" s="52"/>
      <c r="C941" s="53"/>
      <c r="D941" s="1"/>
      <c r="E941" s="1"/>
      <c r="F941" s="1"/>
      <c r="G941" s="1"/>
      <c r="H941" s="1"/>
      <c r="I941" s="1"/>
      <c r="J941" s="1"/>
      <c r="K941" s="1"/>
      <c r="L941" s="1"/>
    </row>
    <row r="942" ht="14.25" customHeight="1">
      <c r="A942" s="52"/>
      <c r="B942" s="52"/>
      <c r="C942" s="53"/>
      <c r="D942" s="1"/>
      <c r="E942" s="1"/>
      <c r="F942" s="1"/>
      <c r="G942" s="1"/>
      <c r="H942" s="1"/>
      <c r="I942" s="1"/>
      <c r="J942" s="1"/>
      <c r="K942" s="1"/>
      <c r="L942" s="1"/>
    </row>
    <row r="943" ht="14.25" customHeight="1">
      <c r="A943" s="52"/>
      <c r="B943" s="52"/>
      <c r="C943" s="53"/>
      <c r="D943" s="1"/>
      <c r="E943" s="1"/>
      <c r="F943" s="1"/>
      <c r="G943" s="1"/>
      <c r="H943" s="1"/>
      <c r="I943" s="1"/>
      <c r="J943" s="1"/>
      <c r="K943" s="1"/>
      <c r="L943" s="1"/>
    </row>
    <row r="944" ht="14.25" customHeight="1">
      <c r="A944" s="52"/>
      <c r="B944" s="52"/>
      <c r="C944" s="53"/>
      <c r="D944" s="1"/>
      <c r="E944" s="1"/>
      <c r="F944" s="1"/>
      <c r="G944" s="1"/>
      <c r="H944" s="1"/>
      <c r="I944" s="1"/>
      <c r="J944" s="1"/>
      <c r="K944" s="1"/>
      <c r="L944" s="1"/>
    </row>
    <row r="945" ht="14.25" customHeight="1">
      <c r="A945" s="52"/>
      <c r="B945" s="52"/>
      <c r="C945" s="53"/>
      <c r="D945" s="1"/>
      <c r="E945" s="1"/>
      <c r="F945" s="1"/>
      <c r="G945" s="1"/>
      <c r="H945" s="1"/>
      <c r="I945" s="1"/>
      <c r="J945" s="1"/>
      <c r="K945" s="1"/>
      <c r="L945" s="1"/>
    </row>
    <row r="946" ht="14.25" customHeight="1">
      <c r="A946" s="52"/>
      <c r="B946" s="52"/>
      <c r="C946" s="53"/>
      <c r="D946" s="1"/>
      <c r="E946" s="1"/>
      <c r="F946" s="1"/>
      <c r="G946" s="1"/>
      <c r="H946" s="1"/>
      <c r="I946" s="1"/>
      <c r="J946" s="1"/>
      <c r="K946" s="1"/>
      <c r="L946" s="1"/>
    </row>
    <row r="947" ht="14.25" customHeight="1">
      <c r="A947" s="52"/>
      <c r="B947" s="52"/>
      <c r="C947" s="53"/>
      <c r="D947" s="1"/>
      <c r="E947" s="1"/>
      <c r="F947" s="1"/>
      <c r="G947" s="1"/>
      <c r="H947" s="1"/>
      <c r="I947" s="1"/>
      <c r="J947" s="1"/>
      <c r="K947" s="1"/>
      <c r="L947" s="1"/>
    </row>
    <row r="948" ht="14.25" customHeight="1">
      <c r="A948" s="52"/>
      <c r="B948" s="52"/>
      <c r="C948" s="53"/>
      <c r="D948" s="1"/>
      <c r="E948" s="1"/>
      <c r="F948" s="1"/>
      <c r="G948" s="1"/>
      <c r="H948" s="1"/>
      <c r="I948" s="1"/>
      <c r="J948" s="1"/>
      <c r="K948" s="1"/>
      <c r="L948" s="1"/>
    </row>
    <row r="949" ht="14.25" customHeight="1">
      <c r="A949" s="52"/>
      <c r="B949" s="52"/>
      <c r="C949" s="53"/>
      <c r="D949" s="1"/>
      <c r="E949" s="1"/>
      <c r="F949" s="1"/>
      <c r="G949" s="1"/>
      <c r="H949" s="1"/>
      <c r="I949" s="1"/>
      <c r="J949" s="1"/>
      <c r="K949" s="1"/>
      <c r="L949" s="1"/>
    </row>
    <row r="950" ht="14.25" customHeight="1">
      <c r="A950" s="52"/>
      <c r="B950" s="52"/>
      <c r="C950" s="53"/>
      <c r="D950" s="1"/>
      <c r="E950" s="1"/>
      <c r="F950" s="1"/>
      <c r="G950" s="1"/>
      <c r="H950" s="1"/>
      <c r="I950" s="1"/>
      <c r="J950" s="1"/>
      <c r="K950" s="1"/>
      <c r="L950" s="1"/>
    </row>
    <row r="951" ht="14.25" customHeight="1">
      <c r="A951" s="52"/>
      <c r="B951" s="52"/>
      <c r="C951" s="53"/>
      <c r="D951" s="1"/>
      <c r="E951" s="1"/>
      <c r="F951" s="1"/>
      <c r="G951" s="1"/>
      <c r="H951" s="1"/>
      <c r="I951" s="1"/>
      <c r="J951" s="1"/>
      <c r="K951" s="1"/>
      <c r="L951" s="1"/>
    </row>
    <row r="952" ht="14.25" customHeight="1">
      <c r="A952" s="52"/>
      <c r="B952" s="52"/>
      <c r="C952" s="53"/>
      <c r="D952" s="1"/>
      <c r="E952" s="1"/>
      <c r="F952" s="1"/>
      <c r="G952" s="1"/>
      <c r="H952" s="1"/>
      <c r="I952" s="1"/>
      <c r="J952" s="1"/>
      <c r="K952" s="1"/>
      <c r="L952" s="1"/>
    </row>
    <row r="953" ht="14.25" customHeight="1">
      <c r="A953" s="52"/>
      <c r="B953" s="52"/>
      <c r="C953" s="53"/>
      <c r="D953" s="1"/>
      <c r="E953" s="1"/>
      <c r="F953" s="1"/>
      <c r="G953" s="1"/>
      <c r="H953" s="1"/>
      <c r="I953" s="1"/>
      <c r="J953" s="1"/>
      <c r="K953" s="1"/>
      <c r="L953" s="1"/>
    </row>
    <row r="954" ht="14.25" customHeight="1">
      <c r="A954" s="52"/>
      <c r="B954" s="52"/>
      <c r="C954" s="53"/>
      <c r="D954" s="1"/>
      <c r="E954" s="1"/>
      <c r="F954" s="1"/>
      <c r="G954" s="1"/>
      <c r="H954" s="1"/>
      <c r="I954" s="1"/>
      <c r="J954" s="1"/>
      <c r="K954" s="1"/>
      <c r="L954" s="1"/>
    </row>
    <row r="955" ht="14.25" customHeight="1">
      <c r="A955" s="52"/>
      <c r="B955" s="52"/>
      <c r="C955" s="53"/>
      <c r="D955" s="1"/>
      <c r="E955" s="1"/>
      <c r="F955" s="1"/>
      <c r="G955" s="1"/>
      <c r="H955" s="1"/>
      <c r="I955" s="1"/>
      <c r="J955" s="1"/>
      <c r="K955" s="1"/>
      <c r="L955" s="1"/>
    </row>
    <row r="956" ht="14.25" customHeight="1">
      <c r="A956" s="52"/>
      <c r="B956" s="52"/>
      <c r="C956" s="53"/>
      <c r="D956" s="1"/>
      <c r="E956" s="1"/>
      <c r="F956" s="1"/>
      <c r="G956" s="1"/>
      <c r="H956" s="1"/>
      <c r="I956" s="1"/>
      <c r="J956" s="1"/>
      <c r="K956" s="1"/>
      <c r="L956" s="1"/>
    </row>
    <row r="957" ht="14.25" customHeight="1">
      <c r="A957" s="52"/>
      <c r="B957" s="52"/>
      <c r="C957" s="53"/>
      <c r="D957" s="1"/>
      <c r="E957" s="1"/>
      <c r="F957" s="1"/>
      <c r="G957" s="1"/>
      <c r="H957" s="1"/>
      <c r="I957" s="1"/>
      <c r="J957" s="1"/>
      <c r="K957" s="1"/>
      <c r="L957" s="1"/>
    </row>
    <row r="958" ht="14.25" customHeight="1">
      <c r="A958" s="52"/>
      <c r="B958" s="52"/>
      <c r="C958" s="53"/>
      <c r="D958" s="1"/>
      <c r="E958" s="1"/>
      <c r="F958" s="1"/>
      <c r="G958" s="1"/>
      <c r="H958" s="1"/>
      <c r="I958" s="1"/>
      <c r="J958" s="1"/>
      <c r="K958" s="1"/>
      <c r="L958" s="1"/>
    </row>
    <row r="959" ht="14.25" customHeight="1">
      <c r="A959" s="52"/>
      <c r="B959" s="52"/>
      <c r="C959" s="53"/>
      <c r="D959" s="1"/>
      <c r="E959" s="1"/>
      <c r="F959" s="1"/>
      <c r="G959" s="1"/>
      <c r="H959" s="1"/>
      <c r="I959" s="1"/>
      <c r="J959" s="1"/>
      <c r="K959" s="1"/>
      <c r="L959" s="1"/>
    </row>
    <row r="960" ht="14.25" customHeight="1">
      <c r="A960" s="52"/>
      <c r="B960" s="52"/>
      <c r="C960" s="53"/>
      <c r="D960" s="1"/>
      <c r="E960" s="1"/>
      <c r="F960" s="1"/>
      <c r="G960" s="1"/>
      <c r="H960" s="1"/>
      <c r="I960" s="1"/>
      <c r="J960" s="1"/>
      <c r="K960" s="1"/>
      <c r="L960" s="1"/>
    </row>
    <row r="961" ht="14.25" customHeight="1">
      <c r="A961" s="52"/>
      <c r="B961" s="52"/>
      <c r="C961" s="53"/>
      <c r="D961" s="1"/>
      <c r="E961" s="1"/>
      <c r="F961" s="1"/>
      <c r="G961" s="1"/>
      <c r="H961" s="1"/>
      <c r="I961" s="1"/>
      <c r="J961" s="1"/>
      <c r="K961" s="1"/>
      <c r="L961" s="1"/>
    </row>
    <row r="962" ht="14.25" customHeight="1">
      <c r="A962" s="52"/>
      <c r="B962" s="52"/>
      <c r="C962" s="53"/>
      <c r="D962" s="1"/>
      <c r="E962" s="1"/>
      <c r="F962" s="1"/>
      <c r="G962" s="1"/>
      <c r="H962" s="1"/>
      <c r="I962" s="1"/>
      <c r="J962" s="1"/>
      <c r="K962" s="1"/>
      <c r="L962" s="1"/>
    </row>
    <row r="963" ht="14.25" customHeight="1">
      <c r="A963" s="52"/>
      <c r="B963" s="52"/>
      <c r="C963" s="53"/>
      <c r="D963" s="1"/>
      <c r="E963" s="1"/>
      <c r="F963" s="1"/>
      <c r="G963" s="1"/>
      <c r="H963" s="1"/>
      <c r="I963" s="1"/>
      <c r="J963" s="1"/>
      <c r="K963" s="1"/>
      <c r="L963" s="1"/>
    </row>
    <row r="964" ht="14.25" customHeight="1">
      <c r="A964" s="52"/>
      <c r="B964" s="52"/>
      <c r="C964" s="53"/>
      <c r="D964" s="1"/>
      <c r="E964" s="1"/>
      <c r="F964" s="1"/>
      <c r="G964" s="1"/>
      <c r="H964" s="1"/>
      <c r="I964" s="1"/>
      <c r="J964" s="1"/>
      <c r="K964" s="1"/>
      <c r="L964" s="1"/>
    </row>
    <row r="965" ht="14.25" customHeight="1">
      <c r="A965" s="52"/>
      <c r="B965" s="52"/>
      <c r="C965" s="53"/>
      <c r="D965" s="1"/>
      <c r="E965" s="1"/>
      <c r="F965" s="1"/>
      <c r="G965" s="1"/>
      <c r="H965" s="1"/>
      <c r="I965" s="1"/>
      <c r="J965" s="1"/>
      <c r="K965" s="1"/>
      <c r="L965" s="1"/>
    </row>
    <row r="966" ht="14.25" customHeight="1">
      <c r="A966" s="52"/>
      <c r="B966" s="52"/>
      <c r="C966" s="53"/>
      <c r="D966" s="1"/>
      <c r="E966" s="1"/>
      <c r="F966" s="1"/>
      <c r="G966" s="1"/>
      <c r="H966" s="1"/>
      <c r="I966" s="1"/>
      <c r="J966" s="1"/>
      <c r="K966" s="1"/>
      <c r="L966" s="1"/>
    </row>
    <row r="967" ht="14.25" customHeight="1">
      <c r="A967" s="52"/>
      <c r="B967" s="52"/>
      <c r="C967" s="53"/>
      <c r="D967" s="1"/>
      <c r="E967" s="1"/>
      <c r="F967" s="1"/>
      <c r="G967" s="1"/>
      <c r="H967" s="1"/>
      <c r="I967" s="1"/>
      <c r="J967" s="1"/>
      <c r="K967" s="1"/>
      <c r="L967" s="1"/>
    </row>
    <row r="968" ht="14.25" customHeight="1">
      <c r="A968" s="52"/>
      <c r="B968" s="52"/>
      <c r="C968" s="53"/>
      <c r="D968" s="1"/>
      <c r="E968" s="1"/>
      <c r="F968" s="1"/>
      <c r="G968" s="1"/>
      <c r="H968" s="1"/>
      <c r="I968" s="1"/>
      <c r="J968" s="1"/>
      <c r="K968" s="1"/>
      <c r="L968" s="1"/>
    </row>
    <row r="969" ht="14.25" customHeight="1">
      <c r="A969" s="52"/>
      <c r="B969" s="52"/>
      <c r="C969" s="53"/>
      <c r="D969" s="1"/>
      <c r="E969" s="1"/>
      <c r="F969" s="1"/>
      <c r="G969" s="1"/>
      <c r="H969" s="1"/>
      <c r="I969" s="1"/>
      <c r="J969" s="1"/>
      <c r="K969" s="1"/>
      <c r="L969" s="1"/>
    </row>
    <row r="970" ht="14.25" customHeight="1">
      <c r="A970" s="52"/>
      <c r="B970" s="52"/>
      <c r="C970" s="53"/>
      <c r="D970" s="1"/>
      <c r="E970" s="1"/>
      <c r="F970" s="1"/>
      <c r="G970" s="1"/>
      <c r="H970" s="1"/>
      <c r="I970" s="1"/>
      <c r="J970" s="1"/>
      <c r="K970" s="1"/>
      <c r="L970" s="1"/>
    </row>
    <row r="971" ht="14.25" customHeight="1">
      <c r="A971" s="52"/>
      <c r="B971" s="52"/>
      <c r="C971" s="53"/>
      <c r="D971" s="1"/>
      <c r="E971" s="1"/>
      <c r="F971" s="1"/>
      <c r="G971" s="1"/>
      <c r="H971" s="1"/>
      <c r="I971" s="1"/>
      <c r="J971" s="1"/>
      <c r="K971" s="1"/>
      <c r="L971" s="1"/>
    </row>
    <row r="972" ht="14.25" customHeight="1">
      <c r="A972" s="52"/>
      <c r="B972" s="52"/>
      <c r="C972" s="53"/>
      <c r="D972" s="1"/>
      <c r="E972" s="1"/>
      <c r="F972" s="1"/>
      <c r="G972" s="1"/>
      <c r="H972" s="1"/>
      <c r="I972" s="1"/>
      <c r="J972" s="1"/>
      <c r="K972" s="1"/>
      <c r="L972" s="1"/>
    </row>
    <row r="973" ht="14.25" customHeight="1">
      <c r="A973" s="52"/>
      <c r="B973" s="52"/>
      <c r="C973" s="53"/>
      <c r="D973" s="1"/>
      <c r="E973" s="1"/>
      <c r="F973" s="1"/>
      <c r="G973" s="1"/>
      <c r="H973" s="1"/>
      <c r="I973" s="1"/>
      <c r="J973" s="1"/>
      <c r="K973" s="1"/>
      <c r="L973" s="1"/>
    </row>
    <row r="974" ht="14.25" customHeight="1">
      <c r="A974" s="52"/>
      <c r="B974" s="52"/>
      <c r="C974" s="53"/>
      <c r="D974" s="1"/>
      <c r="E974" s="1"/>
      <c r="F974" s="1"/>
      <c r="G974" s="1"/>
      <c r="H974" s="1"/>
      <c r="I974" s="1"/>
      <c r="J974" s="1"/>
      <c r="K974" s="1"/>
      <c r="L974" s="1"/>
    </row>
    <row r="975" ht="14.25" customHeight="1">
      <c r="A975" s="52"/>
      <c r="B975" s="52"/>
      <c r="C975" s="53"/>
      <c r="D975" s="1"/>
      <c r="E975" s="1"/>
      <c r="F975" s="1"/>
      <c r="G975" s="1"/>
      <c r="H975" s="1"/>
      <c r="I975" s="1"/>
      <c r="J975" s="1"/>
      <c r="K975" s="1"/>
      <c r="L975" s="1"/>
    </row>
    <row r="976" ht="14.25" customHeight="1">
      <c r="A976" s="52"/>
      <c r="B976" s="52"/>
      <c r="C976" s="53"/>
      <c r="D976" s="1"/>
      <c r="E976" s="1"/>
      <c r="F976" s="1"/>
      <c r="G976" s="1"/>
      <c r="H976" s="1"/>
      <c r="I976" s="1"/>
      <c r="J976" s="1"/>
      <c r="K976" s="1"/>
      <c r="L976" s="1"/>
    </row>
    <row r="977" ht="14.25" customHeight="1">
      <c r="A977" s="52"/>
      <c r="B977" s="52"/>
      <c r="C977" s="53"/>
      <c r="D977" s="1"/>
      <c r="E977" s="1"/>
      <c r="F977" s="1"/>
      <c r="G977" s="1"/>
      <c r="H977" s="1"/>
      <c r="I977" s="1"/>
      <c r="J977" s="1"/>
      <c r="K977" s="1"/>
      <c r="L977" s="1"/>
    </row>
    <row r="978" ht="14.25" customHeight="1">
      <c r="A978" s="52"/>
      <c r="B978" s="52"/>
      <c r="C978" s="53"/>
      <c r="D978" s="1"/>
      <c r="E978" s="1"/>
      <c r="F978" s="1"/>
      <c r="G978" s="1"/>
      <c r="H978" s="1"/>
      <c r="I978" s="1"/>
      <c r="J978" s="1"/>
      <c r="K978" s="1"/>
      <c r="L978" s="1"/>
    </row>
    <row r="979" ht="14.25" customHeight="1">
      <c r="A979" s="52"/>
      <c r="B979" s="52"/>
      <c r="C979" s="53"/>
      <c r="D979" s="1"/>
      <c r="E979" s="1"/>
      <c r="F979" s="1"/>
      <c r="G979" s="1"/>
      <c r="H979" s="1"/>
      <c r="I979" s="1"/>
      <c r="J979" s="1"/>
      <c r="K979" s="1"/>
      <c r="L979" s="1"/>
    </row>
    <row r="980" ht="14.25" customHeight="1">
      <c r="A980" s="52"/>
      <c r="B980" s="52"/>
      <c r="C980" s="53"/>
      <c r="D980" s="1"/>
      <c r="E980" s="1"/>
      <c r="F980" s="1"/>
      <c r="G980" s="1"/>
      <c r="H980" s="1"/>
      <c r="I980" s="1"/>
      <c r="J980" s="1"/>
      <c r="K980" s="1"/>
      <c r="L980" s="1"/>
    </row>
    <row r="981" ht="14.25" customHeight="1">
      <c r="A981" s="52"/>
      <c r="B981" s="52"/>
      <c r="C981" s="53"/>
      <c r="D981" s="1"/>
      <c r="E981" s="1"/>
      <c r="F981" s="1"/>
      <c r="G981" s="1"/>
      <c r="H981" s="1"/>
      <c r="I981" s="1"/>
      <c r="J981" s="1"/>
      <c r="K981" s="1"/>
      <c r="L981" s="1"/>
    </row>
    <row r="982" ht="14.25" customHeight="1">
      <c r="A982" s="52"/>
      <c r="B982" s="52"/>
      <c r="C982" s="53"/>
      <c r="D982" s="1"/>
      <c r="E982" s="1"/>
      <c r="F982" s="1"/>
      <c r="G982" s="1"/>
      <c r="H982" s="1"/>
      <c r="I982" s="1"/>
      <c r="J982" s="1"/>
      <c r="K982" s="1"/>
      <c r="L982" s="1"/>
    </row>
    <row r="983" ht="14.25" customHeight="1">
      <c r="A983" s="52"/>
      <c r="B983" s="52"/>
      <c r="C983" s="53"/>
      <c r="D983" s="1"/>
      <c r="E983" s="1"/>
      <c r="F983" s="1"/>
      <c r="G983" s="1"/>
      <c r="H983" s="1"/>
      <c r="I983" s="1"/>
      <c r="J983" s="1"/>
      <c r="K983" s="1"/>
      <c r="L983" s="1"/>
    </row>
    <row r="984" ht="14.25" customHeight="1">
      <c r="A984" s="52"/>
      <c r="B984" s="52"/>
      <c r="C984" s="53"/>
      <c r="D984" s="1"/>
      <c r="E984" s="1"/>
      <c r="F984" s="1"/>
      <c r="G984" s="1"/>
      <c r="H984" s="1"/>
      <c r="I984" s="1"/>
      <c r="J984" s="1"/>
      <c r="K984" s="1"/>
      <c r="L984" s="1"/>
    </row>
    <row r="985" ht="14.25" customHeight="1">
      <c r="A985" s="52"/>
      <c r="B985" s="52"/>
      <c r="C985" s="53"/>
      <c r="D985" s="1"/>
      <c r="E985" s="1"/>
      <c r="F985" s="1"/>
      <c r="G985" s="1"/>
      <c r="H985" s="1"/>
      <c r="I985" s="1"/>
      <c r="J985" s="1"/>
      <c r="K985" s="1"/>
      <c r="L985" s="1"/>
    </row>
    <row r="986" ht="14.25" customHeight="1">
      <c r="A986" s="52"/>
      <c r="B986" s="52"/>
      <c r="C986" s="53"/>
      <c r="D986" s="1"/>
      <c r="E986" s="1"/>
      <c r="F986" s="1"/>
      <c r="G986" s="1"/>
      <c r="H986" s="1"/>
      <c r="I986" s="1"/>
      <c r="J986" s="1"/>
      <c r="K986" s="1"/>
      <c r="L986" s="1"/>
    </row>
    <row r="987" ht="14.25" customHeight="1">
      <c r="A987" s="52"/>
      <c r="B987" s="52"/>
      <c r="C987" s="53"/>
      <c r="D987" s="1"/>
      <c r="E987" s="1"/>
      <c r="F987" s="1"/>
      <c r="G987" s="1"/>
      <c r="H987" s="1"/>
      <c r="I987" s="1"/>
      <c r="J987" s="1"/>
      <c r="K987" s="1"/>
      <c r="L987" s="1"/>
    </row>
    <row r="988" ht="14.25" customHeight="1">
      <c r="A988" s="52"/>
      <c r="B988" s="52"/>
      <c r="C988" s="53"/>
      <c r="D988" s="1"/>
      <c r="E988" s="1"/>
      <c r="F988" s="1"/>
      <c r="G988" s="1"/>
      <c r="H988" s="1"/>
      <c r="I988" s="1"/>
      <c r="J988" s="1"/>
      <c r="K988" s="1"/>
      <c r="L988" s="1"/>
    </row>
    <row r="989" ht="14.25" customHeight="1">
      <c r="A989" s="52"/>
      <c r="B989" s="52"/>
      <c r="C989" s="53"/>
      <c r="D989" s="1"/>
      <c r="E989" s="1"/>
      <c r="F989" s="1"/>
      <c r="G989" s="1"/>
      <c r="H989" s="1"/>
      <c r="I989" s="1"/>
      <c r="J989" s="1"/>
      <c r="K989" s="1"/>
      <c r="L989" s="1"/>
    </row>
    <row r="990" ht="14.25" customHeight="1">
      <c r="A990" s="52"/>
      <c r="B990" s="52"/>
      <c r="C990" s="53"/>
      <c r="D990" s="1"/>
      <c r="E990" s="1"/>
      <c r="F990" s="1"/>
      <c r="G990" s="1"/>
      <c r="H990" s="1"/>
      <c r="I990" s="1"/>
      <c r="J990" s="1"/>
      <c r="K990" s="1"/>
      <c r="L990" s="1"/>
    </row>
    <row r="991" ht="14.25" customHeight="1">
      <c r="A991" s="52"/>
      <c r="B991" s="52"/>
      <c r="C991" s="53"/>
      <c r="D991" s="1"/>
      <c r="E991" s="1"/>
      <c r="F991" s="1"/>
      <c r="G991" s="1"/>
      <c r="H991" s="1"/>
      <c r="I991" s="1"/>
      <c r="J991" s="1"/>
      <c r="K991" s="1"/>
      <c r="L991" s="1"/>
    </row>
    <row r="992" ht="14.25" customHeight="1">
      <c r="A992" s="52"/>
      <c r="B992" s="52"/>
      <c r="C992" s="53"/>
      <c r="D992" s="1"/>
      <c r="E992" s="1"/>
      <c r="F992" s="1"/>
      <c r="G992" s="1"/>
      <c r="H992" s="1"/>
      <c r="I992" s="1"/>
      <c r="J992" s="1"/>
      <c r="K992" s="1"/>
      <c r="L992" s="1"/>
    </row>
    <row r="993" ht="14.25" customHeight="1">
      <c r="A993" s="52"/>
      <c r="B993" s="52"/>
      <c r="C993" s="53"/>
      <c r="D993" s="1"/>
      <c r="E993" s="1"/>
      <c r="F993" s="1"/>
      <c r="G993" s="1"/>
      <c r="H993" s="1"/>
      <c r="I993" s="1"/>
      <c r="J993" s="1"/>
      <c r="K993" s="1"/>
      <c r="L993" s="1"/>
    </row>
    <row r="994" ht="14.25" customHeight="1">
      <c r="A994" s="52"/>
      <c r="B994" s="52"/>
      <c r="C994" s="53"/>
      <c r="D994" s="1"/>
      <c r="E994" s="1"/>
      <c r="F994" s="1"/>
      <c r="G994" s="1"/>
      <c r="H994" s="1"/>
      <c r="I994" s="1"/>
      <c r="J994" s="1"/>
      <c r="K994" s="1"/>
      <c r="L994" s="1"/>
    </row>
    <row r="995" ht="14.25" customHeight="1">
      <c r="A995" s="52"/>
      <c r="B995" s="52"/>
      <c r="C995" s="53"/>
      <c r="D995" s="1"/>
      <c r="E995" s="1"/>
      <c r="F995" s="1"/>
      <c r="G995" s="1"/>
      <c r="H995" s="1"/>
      <c r="I995" s="1"/>
      <c r="J995" s="1"/>
      <c r="K995" s="1"/>
      <c r="L995" s="1"/>
    </row>
    <row r="996" ht="14.25" customHeight="1">
      <c r="A996" s="52"/>
      <c r="B996" s="52"/>
      <c r="C996" s="53"/>
      <c r="D996" s="1"/>
      <c r="E996" s="1"/>
      <c r="F996" s="1"/>
      <c r="G996" s="1"/>
      <c r="H996" s="1"/>
      <c r="I996" s="1"/>
      <c r="J996" s="1"/>
      <c r="K996" s="1"/>
      <c r="L996" s="1"/>
    </row>
    <row r="997" ht="14.25" customHeight="1">
      <c r="A997" s="52"/>
      <c r="B997" s="52"/>
      <c r="C997" s="53"/>
      <c r="D997" s="1"/>
      <c r="E997" s="1"/>
      <c r="F997" s="1"/>
      <c r="G997" s="1"/>
      <c r="H997" s="1"/>
      <c r="I997" s="1"/>
      <c r="J997" s="1"/>
      <c r="K997" s="1"/>
      <c r="L997" s="1"/>
    </row>
    <row r="998" ht="14.25" customHeight="1">
      <c r="A998" s="52"/>
      <c r="B998" s="52"/>
      <c r="C998" s="53"/>
      <c r="D998" s="1"/>
      <c r="E998" s="1"/>
      <c r="F998" s="1"/>
      <c r="G998" s="1"/>
      <c r="H998" s="1"/>
      <c r="I998" s="1"/>
      <c r="J998" s="1"/>
      <c r="K998" s="1"/>
      <c r="L998" s="1"/>
    </row>
    <row r="999" ht="14.25" customHeight="1">
      <c r="A999" s="52"/>
      <c r="B999" s="52"/>
      <c r="C999" s="53"/>
      <c r="D999" s="1"/>
      <c r="E999" s="1"/>
      <c r="F999" s="1"/>
      <c r="G999" s="1"/>
      <c r="H999" s="1"/>
      <c r="I999" s="1"/>
      <c r="J999" s="1"/>
      <c r="K999" s="1"/>
      <c r="L999" s="1"/>
    </row>
    <row r="1000" ht="14.25" customHeight="1">
      <c r="A1000" s="52"/>
      <c r="B1000" s="52"/>
      <c r="C1000" s="53"/>
      <c r="D1000" s="1"/>
      <c r="E1000" s="1"/>
      <c r="F1000" s="1"/>
      <c r="G1000" s="1"/>
      <c r="H1000" s="1"/>
      <c r="I1000" s="1"/>
      <c r="J1000" s="1"/>
      <c r="K1000" s="1"/>
      <c r="L1000" s="1"/>
    </row>
  </sheetData>
  <mergeCells count="9">
    <mergeCell ref="A10:J10"/>
    <mergeCell ref="A86:J86"/>
    <mergeCell ref="A2:J2"/>
    <mergeCell ref="A4:J4"/>
    <mergeCell ref="A5:J5"/>
    <mergeCell ref="A6:J6"/>
    <mergeCell ref="A7:J7"/>
    <mergeCell ref="A8:J8"/>
    <mergeCell ref="A9:J9"/>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9.86"/>
    <col customWidth="1" min="3" max="3" width="14.0"/>
    <col customWidth="1" min="4" max="4" width="10.0"/>
    <col customWidth="1" min="5" max="5" width="12.43"/>
    <col customWidth="1" min="6" max="6" width="8.43"/>
    <col customWidth="1" min="7" max="7" width="15.71"/>
    <col customWidth="1" min="8" max="8" width="9.14"/>
    <col customWidth="1" min="9" max="9" width="12.43"/>
    <col customWidth="1" min="10" max="10" width="20.86"/>
    <col customWidth="1" min="11" max="30" width="9.14"/>
  </cols>
  <sheetData>
    <row r="1" ht="14.25" customHeight="1">
      <c r="A1" s="52"/>
      <c r="B1" s="52"/>
      <c r="C1" s="53"/>
      <c r="D1" s="1"/>
      <c r="E1" s="1"/>
      <c r="F1" s="1"/>
      <c r="G1" s="1"/>
      <c r="H1" s="1"/>
      <c r="I1" s="1"/>
    </row>
    <row r="2" ht="15.0" customHeight="1">
      <c r="A2" s="54" t="s">
        <v>1600</v>
      </c>
      <c r="B2" s="55"/>
      <c r="C2" s="55"/>
      <c r="D2" s="55"/>
      <c r="E2" s="55"/>
      <c r="F2" s="55"/>
      <c r="G2" s="55"/>
      <c r="H2" s="55"/>
      <c r="I2" s="56"/>
    </row>
    <row r="3" ht="15.0" customHeight="1">
      <c r="A3" s="156"/>
      <c r="B3" s="156"/>
      <c r="C3" s="156"/>
      <c r="D3" s="156"/>
      <c r="E3" s="156"/>
      <c r="F3" s="156"/>
      <c r="G3" s="156"/>
      <c r="H3" s="156"/>
      <c r="I3" s="156"/>
    </row>
    <row r="4" ht="16.5" customHeight="1">
      <c r="A4" s="359" t="s">
        <v>1601</v>
      </c>
      <c r="B4" s="55"/>
      <c r="C4" s="55"/>
      <c r="D4" s="55"/>
      <c r="E4" s="55"/>
      <c r="F4" s="55"/>
      <c r="G4" s="55"/>
      <c r="H4" s="55"/>
      <c r="I4" s="56"/>
    </row>
    <row r="5" ht="14.25" customHeight="1">
      <c r="A5" s="60" t="s">
        <v>1602</v>
      </c>
      <c r="B5" s="55"/>
      <c r="C5" s="55"/>
      <c r="D5" s="55"/>
      <c r="E5" s="55"/>
      <c r="F5" s="55"/>
      <c r="G5" s="55"/>
      <c r="H5" s="55"/>
      <c r="I5" s="56"/>
    </row>
    <row r="6" ht="118.5" customHeight="1">
      <c r="A6" s="60" t="s">
        <v>1603</v>
      </c>
      <c r="B6" s="55"/>
      <c r="C6" s="55"/>
      <c r="D6" s="55"/>
      <c r="E6" s="55"/>
      <c r="F6" s="55"/>
      <c r="G6" s="55"/>
      <c r="H6" s="55"/>
      <c r="I6" s="56"/>
    </row>
    <row r="7" ht="14.25" customHeight="1">
      <c r="A7" s="360" t="s">
        <v>1604</v>
      </c>
      <c r="B7" s="55"/>
      <c r="C7" s="55"/>
      <c r="D7" s="55"/>
      <c r="E7" s="55"/>
      <c r="F7" s="55"/>
      <c r="G7" s="55"/>
      <c r="H7" s="55"/>
      <c r="I7" s="56"/>
      <c r="K7" s="361"/>
    </row>
    <row r="8" ht="181.5" customHeight="1">
      <c r="A8" s="60" t="s">
        <v>1605</v>
      </c>
      <c r="B8" s="55"/>
      <c r="C8" s="55"/>
      <c r="D8" s="55"/>
      <c r="E8" s="55"/>
      <c r="F8" s="55"/>
      <c r="G8" s="55"/>
      <c r="H8" s="55"/>
      <c r="I8" s="56"/>
      <c r="K8" s="361"/>
    </row>
    <row r="9" ht="14.25" customHeight="1">
      <c r="A9" s="61"/>
      <c r="B9" s="61"/>
      <c r="C9" s="62"/>
      <c r="D9" s="61"/>
      <c r="E9" s="61"/>
      <c r="F9" s="61"/>
      <c r="G9" s="61"/>
      <c r="H9" s="61"/>
      <c r="I9" s="61"/>
    </row>
    <row r="10" ht="84.75" customHeight="1">
      <c r="A10" s="203" t="s">
        <v>1606</v>
      </c>
      <c r="B10" s="309" t="s">
        <v>1607</v>
      </c>
      <c r="C10" s="119" t="s">
        <v>9</v>
      </c>
      <c r="D10" s="160" t="s">
        <v>1608</v>
      </c>
      <c r="E10" s="204" t="s">
        <v>1293</v>
      </c>
      <c r="F10" s="204" t="s">
        <v>205</v>
      </c>
      <c r="G10" s="204" t="s">
        <v>1609</v>
      </c>
      <c r="H10" s="203" t="s">
        <v>1610</v>
      </c>
      <c r="I10" s="203" t="s">
        <v>209</v>
      </c>
      <c r="J10" s="65" t="s">
        <v>210</v>
      </c>
      <c r="K10" s="361"/>
    </row>
    <row r="11" ht="41.25" customHeight="1">
      <c r="A11" s="101" t="s">
        <v>1611</v>
      </c>
      <c r="B11" s="101" t="s">
        <v>395</v>
      </c>
      <c r="C11" s="71" t="s">
        <v>38</v>
      </c>
      <c r="D11" s="75" t="s">
        <v>1612</v>
      </c>
      <c r="E11" s="75" t="s">
        <v>1613</v>
      </c>
      <c r="F11" s="75">
        <v>2020.0</v>
      </c>
      <c r="G11" s="75"/>
      <c r="H11" s="185">
        <v>100.0</v>
      </c>
      <c r="I11" s="77">
        <v>100.0</v>
      </c>
      <c r="J11" s="77" t="s">
        <v>42</v>
      </c>
    </row>
    <row r="12" ht="57.0" customHeight="1">
      <c r="A12" s="101" t="s">
        <v>1614</v>
      </c>
      <c r="B12" s="101" t="s">
        <v>1615</v>
      </c>
      <c r="C12" s="71" t="s">
        <v>38</v>
      </c>
      <c r="D12" s="75" t="s">
        <v>1520</v>
      </c>
      <c r="E12" s="75" t="s">
        <v>1616</v>
      </c>
      <c r="F12" s="75">
        <v>2020.0</v>
      </c>
      <c r="G12" s="362" t="s">
        <v>1617</v>
      </c>
      <c r="H12" s="185">
        <v>50.0</v>
      </c>
      <c r="I12" s="77">
        <v>50.0</v>
      </c>
      <c r="J12" s="77" t="s">
        <v>54</v>
      </c>
    </row>
    <row r="13" ht="41.25" customHeight="1">
      <c r="A13" s="363" t="s">
        <v>1618</v>
      </c>
      <c r="B13" s="363" t="s">
        <v>1619</v>
      </c>
      <c r="C13" s="71" t="s">
        <v>38</v>
      </c>
      <c r="D13" s="75" t="s">
        <v>1620</v>
      </c>
      <c r="E13" s="75" t="s">
        <v>1621</v>
      </c>
      <c r="F13" s="75">
        <v>2020.0</v>
      </c>
      <c r="G13" s="75"/>
      <c r="H13" s="185">
        <v>100.0</v>
      </c>
      <c r="I13" s="77">
        <v>33.33</v>
      </c>
      <c r="J13" s="77" t="s">
        <v>59</v>
      </c>
    </row>
    <row r="14" ht="26.25" customHeight="1">
      <c r="A14" s="170" t="s">
        <v>1622</v>
      </c>
      <c r="B14" s="170" t="s">
        <v>650</v>
      </c>
      <c r="C14" s="171" t="s">
        <v>1623</v>
      </c>
      <c r="D14" s="148" t="s">
        <v>1624</v>
      </c>
      <c r="E14" s="148" t="s">
        <v>1625</v>
      </c>
      <c r="F14" s="148">
        <v>2020.0</v>
      </c>
      <c r="G14" s="148" t="s">
        <v>1626</v>
      </c>
      <c r="H14" s="364">
        <v>200.0</v>
      </c>
      <c r="I14" s="154">
        <v>200.0</v>
      </c>
      <c r="J14" s="154" t="s">
        <v>72</v>
      </c>
    </row>
    <row r="15" ht="22.5" customHeight="1">
      <c r="A15" s="170" t="s">
        <v>1425</v>
      </c>
      <c r="B15" s="170" t="s">
        <v>650</v>
      </c>
      <c r="C15" s="171" t="s">
        <v>1623</v>
      </c>
      <c r="D15" s="148" t="s">
        <v>1624</v>
      </c>
      <c r="E15" s="342" t="s">
        <v>1419</v>
      </c>
      <c r="F15" s="148">
        <v>2020.0</v>
      </c>
      <c r="G15" s="148"/>
      <c r="H15" s="364">
        <v>200.0</v>
      </c>
      <c r="I15" s="154"/>
      <c r="J15" s="154" t="s">
        <v>72</v>
      </c>
    </row>
    <row r="16" ht="52.5" customHeight="1">
      <c r="A16" s="170" t="s">
        <v>80</v>
      </c>
      <c r="B16" s="170" t="s">
        <v>80</v>
      </c>
      <c r="C16" s="171" t="s">
        <v>73</v>
      </c>
      <c r="D16" s="365" t="s">
        <v>1627</v>
      </c>
      <c r="E16" s="148" t="s">
        <v>1628</v>
      </c>
      <c r="F16" s="148">
        <v>2020.0</v>
      </c>
      <c r="G16" s="148" t="s">
        <v>1629</v>
      </c>
      <c r="H16" s="364">
        <v>100.0</v>
      </c>
      <c r="I16" s="154">
        <v>100.0</v>
      </c>
      <c r="J16" s="154" t="s">
        <v>882</v>
      </c>
    </row>
    <row r="17" ht="52.5" customHeight="1">
      <c r="A17" s="366" t="s">
        <v>1630</v>
      </c>
      <c r="B17" s="170" t="s">
        <v>1631</v>
      </c>
      <c r="C17" s="171" t="s">
        <v>73</v>
      </c>
      <c r="D17" s="366" t="s">
        <v>1632</v>
      </c>
      <c r="E17" s="367" t="s">
        <v>1633</v>
      </c>
      <c r="F17" s="148">
        <v>2020.0</v>
      </c>
      <c r="G17" s="368" t="s">
        <v>1634</v>
      </c>
      <c r="H17" s="364">
        <v>200.0</v>
      </c>
      <c r="I17" s="154">
        <v>100.0</v>
      </c>
      <c r="J17" s="154" t="s">
        <v>81</v>
      </c>
    </row>
    <row r="18" ht="26.25" customHeight="1">
      <c r="A18" s="170" t="s">
        <v>1635</v>
      </c>
      <c r="B18" s="170" t="s">
        <v>1636</v>
      </c>
      <c r="C18" s="171" t="s">
        <v>73</v>
      </c>
      <c r="D18" s="148" t="s">
        <v>1637</v>
      </c>
      <c r="E18" s="148" t="s">
        <v>1638</v>
      </c>
      <c r="F18" s="148">
        <v>2020.0</v>
      </c>
      <c r="G18" s="369" t="s">
        <v>1639</v>
      </c>
      <c r="H18" s="364">
        <v>200.0</v>
      </c>
      <c r="I18" s="154">
        <v>100.0</v>
      </c>
      <c r="J18" s="154" t="s">
        <v>82</v>
      </c>
    </row>
    <row r="19" ht="66.0" customHeight="1">
      <c r="A19" s="170" t="s">
        <v>1640</v>
      </c>
      <c r="B19" s="170" t="s">
        <v>1641</v>
      </c>
      <c r="C19" s="171" t="s">
        <v>73</v>
      </c>
      <c r="D19" s="148" t="s">
        <v>1642</v>
      </c>
      <c r="E19" s="148" t="s">
        <v>1643</v>
      </c>
      <c r="F19" s="148">
        <v>2020.0</v>
      </c>
      <c r="G19" s="368" t="s">
        <v>1644</v>
      </c>
      <c r="H19" s="364">
        <v>200.0</v>
      </c>
      <c r="I19" s="154">
        <v>200.0</v>
      </c>
      <c r="J19" s="154" t="s">
        <v>89</v>
      </c>
    </row>
    <row r="20" ht="66.0" customHeight="1">
      <c r="A20" s="170" t="s">
        <v>1645</v>
      </c>
      <c r="B20" s="170" t="s">
        <v>1641</v>
      </c>
      <c r="C20" s="171" t="s">
        <v>73</v>
      </c>
      <c r="D20" s="148" t="s">
        <v>1642</v>
      </c>
      <c r="E20" s="148" t="s">
        <v>1646</v>
      </c>
      <c r="F20" s="148">
        <v>2020.0</v>
      </c>
      <c r="G20" s="368" t="s">
        <v>1647</v>
      </c>
      <c r="H20" s="364"/>
      <c r="I20" s="154"/>
      <c r="J20" s="154" t="s">
        <v>89</v>
      </c>
    </row>
    <row r="21" ht="39.0" customHeight="1">
      <c r="A21" s="170" t="s">
        <v>1648</v>
      </c>
      <c r="B21" s="170" t="s">
        <v>1649</v>
      </c>
      <c r="C21" s="148" t="s">
        <v>142</v>
      </c>
      <c r="D21" s="170" t="s">
        <v>1650</v>
      </c>
      <c r="E21" s="148" t="s">
        <v>1651</v>
      </c>
      <c r="F21" s="370">
        <v>2020.0</v>
      </c>
      <c r="G21" s="148"/>
      <c r="H21" s="148">
        <v>100.0</v>
      </c>
      <c r="I21" s="324">
        <v>100.0</v>
      </c>
      <c r="J21" s="154" t="s">
        <v>94</v>
      </c>
    </row>
    <row r="22" ht="78.75" customHeight="1">
      <c r="A22" s="87" t="s">
        <v>1652</v>
      </c>
      <c r="B22" s="90" t="s">
        <v>1653</v>
      </c>
      <c r="C22" s="346" t="s">
        <v>100</v>
      </c>
      <c r="D22" s="90" t="s">
        <v>1654</v>
      </c>
      <c r="E22" s="90" t="s">
        <v>1655</v>
      </c>
      <c r="F22" s="90">
        <v>2020.0</v>
      </c>
      <c r="G22" s="371" t="s">
        <v>1656</v>
      </c>
      <c r="H22" s="372">
        <v>200.0</v>
      </c>
      <c r="I22" s="92">
        <v>200.0</v>
      </c>
      <c r="J22" s="90" t="s">
        <v>1653</v>
      </c>
    </row>
    <row r="23" ht="69.0" customHeight="1">
      <c r="A23" s="101" t="s">
        <v>1504</v>
      </c>
      <c r="B23" s="101" t="s">
        <v>566</v>
      </c>
      <c r="C23" s="71" t="s">
        <v>567</v>
      </c>
      <c r="D23" s="75" t="s">
        <v>1506</v>
      </c>
      <c r="E23" s="75" t="s">
        <v>1507</v>
      </c>
      <c r="F23" s="75">
        <v>2020.0</v>
      </c>
      <c r="G23" s="75">
        <v>0.0</v>
      </c>
      <c r="H23" s="185">
        <v>100.0</v>
      </c>
      <c r="I23" s="77">
        <v>33.0</v>
      </c>
      <c r="J23" s="77" t="s">
        <v>125</v>
      </c>
    </row>
    <row r="24" ht="69.0" customHeight="1">
      <c r="A24" s="101" t="s">
        <v>1504</v>
      </c>
      <c r="B24" s="101" t="s">
        <v>566</v>
      </c>
      <c r="C24" s="71" t="s">
        <v>567</v>
      </c>
      <c r="D24" s="75" t="s">
        <v>1506</v>
      </c>
      <c r="E24" s="75" t="s">
        <v>1507</v>
      </c>
      <c r="F24" s="75">
        <v>2020.0</v>
      </c>
      <c r="G24" s="75">
        <v>0.0</v>
      </c>
      <c r="H24" s="185">
        <v>100.0</v>
      </c>
      <c r="I24" s="77">
        <v>33.0</v>
      </c>
      <c r="J24" s="77" t="s">
        <v>131</v>
      </c>
    </row>
    <row r="25" ht="69.0" customHeight="1">
      <c r="A25" s="101" t="s">
        <v>1504</v>
      </c>
      <c r="B25" s="101" t="s">
        <v>566</v>
      </c>
      <c r="C25" s="71" t="s">
        <v>567</v>
      </c>
      <c r="D25" s="75" t="s">
        <v>1506</v>
      </c>
      <c r="E25" s="75" t="s">
        <v>1507</v>
      </c>
      <c r="F25" s="75">
        <v>2020.0</v>
      </c>
      <c r="G25" s="75">
        <v>0.0</v>
      </c>
      <c r="H25" s="185">
        <v>100.0</v>
      </c>
      <c r="I25" s="77">
        <v>33.0</v>
      </c>
      <c r="J25" s="77" t="s">
        <v>133</v>
      </c>
    </row>
    <row r="26" ht="54.75" customHeight="1">
      <c r="A26" s="101" t="s">
        <v>1657</v>
      </c>
      <c r="B26" s="101" t="s">
        <v>1658</v>
      </c>
      <c r="C26" s="71" t="s">
        <v>123</v>
      </c>
      <c r="D26" s="75" t="s">
        <v>1659</v>
      </c>
      <c r="E26" s="75" t="s">
        <v>1660</v>
      </c>
      <c r="F26" s="75" t="s">
        <v>1661</v>
      </c>
      <c r="G26" s="75" t="s">
        <v>1662</v>
      </c>
      <c r="H26" s="185">
        <v>750.0</v>
      </c>
      <c r="I26" s="77">
        <v>750.0</v>
      </c>
      <c r="J26" s="77" t="s">
        <v>139</v>
      </c>
    </row>
    <row r="27" ht="41.25" customHeight="1">
      <c r="A27" s="101" t="s">
        <v>1663</v>
      </c>
      <c r="B27" s="101" t="s">
        <v>1664</v>
      </c>
      <c r="C27" s="71" t="s">
        <v>142</v>
      </c>
      <c r="D27" s="75" t="s">
        <v>1665</v>
      </c>
      <c r="E27" s="75" t="s">
        <v>1666</v>
      </c>
      <c r="F27" s="75">
        <v>2020.0</v>
      </c>
      <c r="G27" s="75" t="s">
        <v>1667</v>
      </c>
      <c r="H27" s="185">
        <v>100.0</v>
      </c>
      <c r="I27" s="77">
        <v>33.0</v>
      </c>
      <c r="J27" s="77" t="s">
        <v>159</v>
      </c>
    </row>
    <row r="28" ht="41.25" customHeight="1">
      <c r="A28" s="101" t="s">
        <v>1668</v>
      </c>
      <c r="B28" s="101" t="s">
        <v>1669</v>
      </c>
      <c r="C28" s="71" t="s">
        <v>142</v>
      </c>
      <c r="D28" s="75" t="s">
        <v>1520</v>
      </c>
      <c r="E28" s="75" t="s">
        <v>1569</v>
      </c>
      <c r="F28" s="75">
        <v>2020.0</v>
      </c>
      <c r="G28" s="75" t="s">
        <v>1670</v>
      </c>
      <c r="H28" s="185">
        <v>100.0</v>
      </c>
      <c r="I28" s="77">
        <v>33.3</v>
      </c>
      <c r="J28" s="77" t="s">
        <v>172</v>
      </c>
    </row>
    <row r="29" ht="14.25" customHeight="1">
      <c r="A29" s="101"/>
      <c r="B29" s="101"/>
      <c r="C29" s="71"/>
      <c r="D29" s="75"/>
      <c r="E29" s="75"/>
      <c r="F29" s="75"/>
      <c r="G29" s="75"/>
      <c r="H29" s="185"/>
      <c r="I29" s="77"/>
      <c r="J29" s="77"/>
    </row>
    <row r="30" ht="14.25" customHeight="1">
      <c r="A30" s="101"/>
      <c r="B30" s="101"/>
      <c r="C30" s="75"/>
      <c r="D30" s="75"/>
      <c r="E30" s="75"/>
      <c r="F30" s="75"/>
      <c r="G30" s="75"/>
      <c r="H30" s="373"/>
      <c r="I30" s="77"/>
      <c r="J30" s="77"/>
    </row>
    <row r="31" ht="14.25" customHeight="1">
      <c r="A31" s="101"/>
      <c r="B31" s="101"/>
      <c r="C31" s="75"/>
      <c r="D31" s="75"/>
      <c r="E31" s="75"/>
      <c r="F31" s="75"/>
      <c r="G31" s="75"/>
      <c r="H31" s="373"/>
      <c r="I31" s="77"/>
      <c r="J31" s="77"/>
    </row>
    <row r="32" ht="14.25" customHeight="1">
      <c r="A32" s="101"/>
      <c r="B32" s="101"/>
      <c r="C32" s="75"/>
      <c r="D32" s="75"/>
      <c r="E32" s="75"/>
      <c r="F32" s="75"/>
      <c r="G32" s="75"/>
      <c r="H32" s="373"/>
      <c r="I32" s="77"/>
      <c r="J32" s="77"/>
    </row>
    <row r="33" ht="14.25" customHeight="1">
      <c r="A33" s="104" t="s">
        <v>180</v>
      </c>
      <c r="B33" s="104"/>
      <c r="C33" s="53"/>
      <c r="D33" s="1"/>
      <c r="E33" s="1"/>
      <c r="F33" s="1"/>
      <c r="G33" s="1"/>
      <c r="H33" s="57"/>
      <c r="I33" s="105">
        <f>SUM(I11:I32)</f>
        <v>2098.63</v>
      </c>
    </row>
    <row r="34" ht="14.25" customHeight="1">
      <c r="A34" s="52"/>
      <c r="B34" s="52"/>
      <c r="C34" s="53"/>
      <c r="D34" s="1"/>
      <c r="E34" s="1"/>
      <c r="F34" s="1"/>
      <c r="G34" s="1"/>
      <c r="H34" s="1"/>
      <c r="I34" s="1"/>
    </row>
    <row r="35" ht="14.25" customHeight="1">
      <c r="A35" s="106" t="s">
        <v>330</v>
      </c>
      <c r="B35" s="107"/>
      <c r="C35" s="107"/>
      <c r="D35" s="107"/>
      <c r="E35" s="107"/>
      <c r="F35" s="107"/>
      <c r="G35" s="107"/>
      <c r="H35" s="107"/>
      <c r="I35" s="108"/>
    </row>
    <row r="36" ht="14.25" customHeight="1">
      <c r="A36" s="52"/>
      <c r="B36" s="52"/>
      <c r="C36" s="53"/>
      <c r="D36" s="1"/>
      <c r="E36" s="1"/>
      <c r="F36" s="1"/>
      <c r="G36" s="1"/>
      <c r="H36" s="1"/>
      <c r="I36" s="1"/>
    </row>
    <row r="37" ht="14.25" customHeight="1">
      <c r="A37" s="52"/>
      <c r="B37" s="52"/>
      <c r="C37" s="53"/>
      <c r="D37" s="1"/>
      <c r="E37" s="1"/>
      <c r="F37" s="1"/>
      <c r="G37" s="1"/>
      <c r="H37" s="1"/>
      <c r="I37" s="1"/>
    </row>
    <row r="38" ht="14.25" customHeight="1">
      <c r="A38" s="52"/>
      <c r="B38" s="52"/>
      <c r="C38" s="53"/>
      <c r="D38" s="1"/>
      <c r="E38" s="1"/>
      <c r="F38" s="1"/>
      <c r="G38" s="1"/>
      <c r="H38" s="1"/>
      <c r="I38" s="1"/>
    </row>
    <row r="39" ht="14.25" customHeight="1">
      <c r="A39" s="52"/>
      <c r="B39" s="52"/>
      <c r="C39" s="53"/>
      <c r="D39" s="1"/>
      <c r="E39" s="1"/>
      <c r="F39" s="1"/>
      <c r="G39" s="1"/>
      <c r="H39" s="1"/>
      <c r="I39" s="1"/>
    </row>
    <row r="40" ht="14.25" customHeight="1">
      <c r="A40" s="52"/>
      <c r="B40" s="52"/>
      <c r="C40" s="53"/>
      <c r="D40" s="1"/>
      <c r="E40" s="1"/>
      <c r="F40" s="1"/>
      <c r="G40" s="1"/>
      <c r="H40" s="1"/>
      <c r="I40" s="1"/>
    </row>
    <row r="41" ht="14.25" customHeight="1">
      <c r="A41" s="52"/>
      <c r="B41" s="52"/>
      <c r="C41" s="53"/>
      <c r="D41" s="1"/>
      <c r="E41" s="1"/>
      <c r="F41" s="1"/>
      <c r="G41" s="1"/>
      <c r="H41" s="1"/>
      <c r="I41" s="1"/>
    </row>
    <row r="42" ht="14.25" customHeight="1">
      <c r="A42" s="52"/>
      <c r="B42" s="52"/>
      <c r="C42" s="53"/>
      <c r="D42" s="1"/>
      <c r="E42" s="1"/>
      <c r="F42" s="1"/>
      <c r="G42" s="1"/>
      <c r="H42" s="1"/>
      <c r="I42" s="1"/>
    </row>
    <row r="43" ht="14.25" customHeight="1">
      <c r="A43" s="52"/>
      <c r="B43" s="52"/>
      <c r="C43" s="53"/>
      <c r="D43" s="1"/>
      <c r="E43" s="1"/>
      <c r="F43" s="1"/>
      <c r="G43" s="1"/>
      <c r="H43" s="1"/>
      <c r="I43" s="1"/>
    </row>
    <row r="44" ht="14.25" customHeight="1">
      <c r="A44" s="52"/>
      <c r="B44" s="52"/>
      <c r="C44" s="53"/>
      <c r="D44" s="1"/>
      <c r="E44" s="1"/>
      <c r="F44" s="1"/>
      <c r="G44" s="1"/>
      <c r="H44" s="1"/>
      <c r="I44" s="1"/>
    </row>
    <row r="45" ht="14.25" customHeight="1">
      <c r="A45" s="52"/>
      <c r="B45" s="52"/>
      <c r="C45" s="53"/>
      <c r="D45" s="1"/>
      <c r="E45" s="1"/>
      <c r="F45" s="1"/>
      <c r="G45" s="1"/>
      <c r="H45" s="1"/>
      <c r="I45" s="1"/>
    </row>
    <row r="46" ht="14.25" customHeight="1">
      <c r="A46" s="52"/>
      <c r="B46" s="52"/>
      <c r="C46" s="53"/>
      <c r="D46" s="1"/>
      <c r="E46" s="1"/>
      <c r="F46" s="1"/>
      <c r="G46" s="1"/>
      <c r="H46" s="1"/>
      <c r="I46" s="1"/>
    </row>
    <row r="47" ht="14.25" customHeight="1">
      <c r="A47" s="52"/>
      <c r="B47" s="52"/>
      <c r="C47" s="53"/>
      <c r="D47" s="1"/>
      <c r="E47" s="1"/>
      <c r="F47" s="1"/>
      <c r="G47" s="1"/>
      <c r="H47" s="1"/>
      <c r="I47" s="1"/>
    </row>
    <row r="48" ht="14.25" customHeight="1">
      <c r="A48" s="52"/>
      <c r="B48" s="52"/>
      <c r="C48" s="53"/>
      <c r="D48" s="1"/>
      <c r="E48" s="1"/>
      <c r="F48" s="1"/>
      <c r="G48" s="1"/>
      <c r="H48" s="1"/>
      <c r="I48" s="1"/>
    </row>
    <row r="49" ht="14.25" customHeight="1">
      <c r="A49" s="52"/>
      <c r="B49" s="52"/>
      <c r="C49" s="53"/>
      <c r="D49" s="1"/>
      <c r="E49" s="1"/>
      <c r="F49" s="1"/>
      <c r="G49" s="1"/>
      <c r="H49" s="1"/>
      <c r="I49" s="1"/>
    </row>
    <row r="50" ht="14.25" customHeight="1">
      <c r="A50" s="52"/>
      <c r="B50" s="52"/>
      <c r="C50" s="53"/>
      <c r="D50" s="1"/>
      <c r="E50" s="1"/>
      <c r="F50" s="1"/>
      <c r="G50" s="1"/>
      <c r="H50" s="1"/>
      <c r="I50" s="1"/>
    </row>
    <row r="51" ht="14.25" customHeight="1">
      <c r="A51" s="52"/>
      <c r="B51" s="52"/>
      <c r="C51" s="53"/>
      <c r="D51" s="1"/>
      <c r="E51" s="1"/>
      <c r="F51" s="1"/>
      <c r="G51" s="1"/>
      <c r="H51" s="1"/>
      <c r="I51" s="1"/>
    </row>
    <row r="52" ht="14.25" customHeight="1">
      <c r="A52" s="52"/>
      <c r="B52" s="52"/>
      <c r="C52" s="53"/>
      <c r="D52" s="1"/>
      <c r="E52" s="1"/>
      <c r="F52" s="1"/>
      <c r="G52" s="1"/>
      <c r="H52" s="1"/>
      <c r="I52" s="1"/>
    </row>
    <row r="53" ht="14.25" customHeight="1">
      <c r="A53" s="52"/>
      <c r="B53" s="52"/>
      <c r="C53" s="53"/>
      <c r="D53" s="1"/>
      <c r="E53" s="1"/>
      <c r="F53" s="1"/>
      <c r="G53" s="1"/>
      <c r="H53" s="1"/>
      <c r="I53" s="1"/>
    </row>
    <row r="54" ht="14.25" customHeight="1">
      <c r="A54" s="52"/>
      <c r="B54" s="52"/>
      <c r="C54" s="53"/>
      <c r="D54" s="1"/>
      <c r="E54" s="1"/>
      <c r="F54" s="1"/>
      <c r="G54" s="1"/>
      <c r="H54" s="1"/>
      <c r="I54" s="1"/>
    </row>
    <row r="55" ht="14.25" customHeight="1">
      <c r="A55" s="52"/>
      <c r="B55" s="52"/>
      <c r="C55" s="53"/>
      <c r="D55" s="1"/>
      <c r="E55" s="1"/>
      <c r="F55" s="1"/>
      <c r="G55" s="1"/>
      <c r="H55" s="1"/>
      <c r="I55" s="1"/>
    </row>
    <row r="56" ht="14.25" customHeight="1">
      <c r="A56" s="52"/>
      <c r="B56" s="52"/>
      <c r="C56" s="53"/>
      <c r="D56" s="1"/>
      <c r="E56" s="1"/>
      <c r="F56" s="1"/>
      <c r="G56" s="1"/>
      <c r="H56" s="1"/>
      <c r="I56" s="1"/>
    </row>
    <row r="57" ht="14.25" customHeight="1">
      <c r="A57" s="52"/>
      <c r="B57" s="52"/>
      <c r="C57" s="53"/>
      <c r="D57" s="1"/>
      <c r="E57" s="1"/>
      <c r="F57" s="1"/>
      <c r="G57" s="1"/>
      <c r="H57" s="1"/>
      <c r="I57" s="1"/>
    </row>
    <row r="58" ht="14.25" customHeight="1">
      <c r="A58" s="52"/>
      <c r="B58" s="52"/>
      <c r="C58" s="53"/>
      <c r="D58" s="1"/>
      <c r="E58" s="1"/>
      <c r="F58" s="1"/>
      <c r="G58" s="1"/>
      <c r="H58" s="1"/>
      <c r="I58" s="1"/>
    </row>
    <row r="59" ht="14.25" customHeight="1">
      <c r="A59" s="52"/>
      <c r="B59" s="52"/>
      <c r="C59" s="53"/>
      <c r="D59" s="1"/>
      <c r="E59" s="1"/>
      <c r="F59" s="1"/>
      <c r="G59" s="1"/>
      <c r="H59" s="1"/>
      <c r="I59" s="1"/>
    </row>
    <row r="60" ht="14.25" customHeight="1">
      <c r="A60" s="52"/>
      <c r="B60" s="52"/>
      <c r="C60" s="53"/>
      <c r="D60" s="1"/>
      <c r="E60" s="1"/>
      <c r="F60" s="1"/>
      <c r="G60" s="1"/>
      <c r="H60" s="1"/>
      <c r="I60" s="1"/>
    </row>
    <row r="61" ht="14.25" customHeight="1">
      <c r="A61" s="52"/>
      <c r="B61" s="52"/>
      <c r="C61" s="53"/>
      <c r="D61" s="1"/>
      <c r="E61" s="1"/>
      <c r="F61" s="1"/>
      <c r="G61" s="1"/>
      <c r="H61" s="1"/>
      <c r="I61" s="1"/>
    </row>
    <row r="62" ht="14.25" customHeight="1">
      <c r="A62" s="52"/>
      <c r="B62" s="52"/>
      <c r="C62" s="53"/>
      <c r="D62" s="1"/>
      <c r="E62" s="1"/>
      <c r="F62" s="1"/>
      <c r="G62" s="1"/>
      <c r="H62" s="1"/>
      <c r="I62" s="1"/>
    </row>
    <row r="63" ht="14.25" customHeight="1">
      <c r="A63" s="52"/>
      <c r="B63" s="52"/>
      <c r="C63" s="53"/>
      <c r="D63" s="1"/>
      <c r="E63" s="1"/>
      <c r="F63" s="1"/>
      <c r="G63" s="1"/>
      <c r="H63" s="1"/>
      <c r="I63" s="1"/>
    </row>
    <row r="64" ht="14.25" customHeight="1">
      <c r="A64" s="52"/>
      <c r="B64" s="52"/>
      <c r="C64" s="53"/>
      <c r="D64" s="1"/>
      <c r="E64" s="1"/>
      <c r="F64" s="1"/>
      <c r="G64" s="1"/>
      <c r="H64" s="1"/>
      <c r="I64" s="1"/>
    </row>
    <row r="65" ht="14.25" customHeight="1">
      <c r="A65" s="52"/>
      <c r="B65" s="52"/>
      <c r="C65" s="53"/>
      <c r="D65" s="1"/>
      <c r="E65" s="1"/>
      <c r="F65" s="1"/>
      <c r="G65" s="1"/>
      <c r="H65" s="1"/>
      <c r="I65" s="1"/>
    </row>
    <row r="66" ht="14.25" customHeight="1">
      <c r="A66" s="52"/>
      <c r="B66" s="52"/>
      <c r="C66" s="53"/>
      <c r="D66" s="1"/>
      <c r="E66" s="1"/>
      <c r="F66" s="1"/>
      <c r="G66" s="1"/>
      <c r="H66" s="1"/>
      <c r="I66" s="1"/>
    </row>
    <row r="67" ht="14.25" customHeight="1">
      <c r="A67" s="52"/>
      <c r="B67" s="52"/>
      <c r="C67" s="53"/>
      <c r="D67" s="1"/>
      <c r="E67" s="1"/>
      <c r="F67" s="1"/>
      <c r="G67" s="1"/>
      <c r="H67" s="1"/>
      <c r="I67" s="1"/>
    </row>
    <row r="68" ht="14.25" customHeight="1">
      <c r="A68" s="52"/>
      <c r="B68" s="52"/>
      <c r="C68" s="53"/>
      <c r="D68" s="1"/>
      <c r="E68" s="1"/>
      <c r="F68" s="1"/>
      <c r="G68" s="1"/>
      <c r="H68" s="1"/>
      <c r="I68" s="1"/>
    </row>
    <row r="69" ht="14.25" customHeight="1">
      <c r="A69" s="52"/>
      <c r="B69" s="52"/>
      <c r="C69" s="53"/>
      <c r="D69" s="1"/>
      <c r="E69" s="1"/>
      <c r="F69" s="1"/>
      <c r="G69" s="1"/>
      <c r="H69" s="1"/>
      <c r="I69" s="1"/>
    </row>
    <row r="70" ht="14.25" customHeight="1">
      <c r="A70" s="52"/>
      <c r="B70" s="52"/>
      <c r="C70" s="53"/>
      <c r="D70" s="1"/>
      <c r="E70" s="1"/>
      <c r="F70" s="1"/>
      <c r="G70" s="1"/>
      <c r="H70" s="1"/>
      <c r="I70" s="1"/>
    </row>
    <row r="71" ht="14.25" customHeight="1">
      <c r="A71" s="52"/>
      <c r="B71" s="52"/>
      <c r="C71" s="53"/>
      <c r="D71" s="1"/>
      <c r="E71" s="1"/>
      <c r="F71" s="1"/>
      <c r="G71" s="1"/>
      <c r="H71" s="1"/>
      <c r="I71" s="1"/>
    </row>
    <row r="72" ht="14.25" customHeight="1">
      <c r="A72" s="52"/>
      <c r="B72" s="52"/>
      <c r="C72" s="53"/>
      <c r="D72" s="1"/>
      <c r="E72" s="1"/>
      <c r="F72" s="1"/>
      <c r="G72" s="1"/>
      <c r="H72" s="1"/>
      <c r="I72" s="1"/>
    </row>
    <row r="73" ht="14.25" customHeight="1">
      <c r="A73" s="52"/>
      <c r="B73" s="52"/>
      <c r="C73" s="53"/>
      <c r="D73" s="1"/>
      <c r="E73" s="1"/>
      <c r="F73" s="1"/>
      <c r="G73" s="1"/>
      <c r="H73" s="1"/>
      <c r="I73" s="1"/>
    </row>
    <row r="74" ht="14.25" customHeight="1">
      <c r="A74" s="52"/>
      <c r="B74" s="52"/>
      <c r="C74" s="53"/>
      <c r="D74" s="1"/>
      <c r="E74" s="1"/>
      <c r="F74" s="1"/>
      <c r="G74" s="1"/>
      <c r="H74" s="1"/>
      <c r="I74" s="1"/>
    </row>
    <row r="75" ht="14.25" customHeight="1">
      <c r="A75" s="52"/>
      <c r="B75" s="52"/>
      <c r="C75" s="53"/>
      <c r="D75" s="1"/>
      <c r="E75" s="1"/>
      <c r="F75" s="1"/>
      <c r="G75" s="1"/>
      <c r="H75" s="1"/>
      <c r="I75" s="1"/>
    </row>
    <row r="76" ht="14.25" customHeight="1">
      <c r="A76" s="52"/>
      <c r="B76" s="52"/>
      <c r="C76" s="53"/>
      <c r="D76" s="1"/>
      <c r="E76" s="1"/>
      <c r="F76" s="1"/>
      <c r="G76" s="1"/>
      <c r="H76" s="1"/>
      <c r="I76" s="1"/>
    </row>
    <row r="77" ht="14.25" customHeight="1">
      <c r="A77" s="52"/>
      <c r="B77" s="52"/>
      <c r="C77" s="53"/>
      <c r="D77" s="1"/>
      <c r="E77" s="1"/>
      <c r="F77" s="1"/>
      <c r="G77" s="1"/>
      <c r="H77" s="1"/>
      <c r="I77" s="1"/>
    </row>
    <row r="78" ht="14.25" customHeight="1">
      <c r="A78" s="52"/>
      <c r="B78" s="52"/>
      <c r="C78" s="53"/>
      <c r="D78" s="1"/>
      <c r="E78" s="1"/>
      <c r="F78" s="1"/>
      <c r="G78" s="1"/>
      <c r="H78" s="1"/>
      <c r="I78" s="1"/>
    </row>
    <row r="79" ht="14.25" customHeight="1">
      <c r="A79" s="52"/>
      <c r="B79" s="52"/>
      <c r="C79" s="53"/>
      <c r="D79" s="1"/>
      <c r="E79" s="1"/>
      <c r="F79" s="1"/>
      <c r="G79" s="1"/>
      <c r="H79" s="1"/>
      <c r="I79" s="1"/>
    </row>
    <row r="80" ht="14.25" customHeight="1">
      <c r="A80" s="52"/>
      <c r="B80" s="52"/>
      <c r="C80" s="53"/>
      <c r="D80" s="1"/>
      <c r="E80" s="1"/>
      <c r="F80" s="1"/>
      <c r="G80" s="1"/>
      <c r="H80" s="1"/>
      <c r="I80" s="1"/>
    </row>
    <row r="81" ht="14.25" customHeight="1">
      <c r="A81" s="52"/>
      <c r="B81" s="52"/>
      <c r="C81" s="53"/>
      <c r="D81" s="1"/>
      <c r="E81" s="1"/>
      <c r="F81" s="1"/>
      <c r="G81" s="1"/>
      <c r="H81" s="1"/>
      <c r="I81" s="1"/>
    </row>
    <row r="82" ht="14.25" customHeight="1">
      <c r="A82" s="52"/>
      <c r="B82" s="52"/>
      <c r="C82" s="53"/>
      <c r="D82" s="1"/>
      <c r="E82" s="1"/>
      <c r="F82" s="1"/>
      <c r="G82" s="1"/>
      <c r="H82" s="1"/>
      <c r="I82" s="1"/>
    </row>
    <row r="83" ht="14.25" customHeight="1">
      <c r="A83" s="52"/>
      <c r="B83" s="52"/>
      <c r="C83" s="53"/>
      <c r="D83" s="1"/>
      <c r="E83" s="1"/>
      <c r="F83" s="1"/>
      <c r="G83" s="1"/>
      <c r="H83" s="1"/>
      <c r="I83" s="1"/>
    </row>
    <row r="84" ht="14.25" customHeight="1">
      <c r="A84" s="52"/>
      <c r="B84" s="52"/>
      <c r="C84" s="53"/>
      <c r="D84" s="1"/>
      <c r="E84" s="1"/>
      <c r="F84" s="1"/>
      <c r="G84" s="1"/>
      <c r="H84" s="1"/>
      <c r="I84" s="1"/>
    </row>
    <row r="85" ht="14.25" customHeight="1">
      <c r="A85" s="52"/>
      <c r="B85" s="52"/>
      <c r="C85" s="53"/>
      <c r="D85" s="1"/>
      <c r="E85" s="1"/>
      <c r="F85" s="1"/>
      <c r="G85" s="1"/>
      <c r="H85" s="1"/>
      <c r="I85" s="1"/>
    </row>
    <row r="86" ht="14.25" customHeight="1">
      <c r="A86" s="52"/>
      <c r="B86" s="52"/>
      <c r="C86" s="53"/>
      <c r="D86" s="1"/>
      <c r="E86" s="1"/>
      <c r="F86" s="1"/>
      <c r="G86" s="1"/>
      <c r="H86" s="1"/>
      <c r="I86" s="1"/>
    </row>
    <row r="87" ht="14.25" customHeight="1">
      <c r="A87" s="52"/>
      <c r="B87" s="52"/>
      <c r="C87" s="53"/>
      <c r="D87" s="1"/>
      <c r="E87" s="1"/>
      <c r="F87" s="1"/>
      <c r="G87" s="1"/>
      <c r="H87" s="1"/>
      <c r="I87" s="1"/>
    </row>
    <row r="88" ht="14.25" customHeight="1">
      <c r="A88" s="52"/>
      <c r="B88" s="52"/>
      <c r="C88" s="53"/>
      <c r="D88" s="1"/>
      <c r="E88" s="1"/>
      <c r="F88" s="1"/>
      <c r="G88" s="1"/>
      <c r="H88" s="1"/>
      <c r="I88" s="1"/>
    </row>
    <row r="89" ht="14.25" customHeight="1">
      <c r="A89" s="52"/>
      <c r="B89" s="52"/>
      <c r="C89" s="53"/>
      <c r="D89" s="1"/>
      <c r="E89" s="1"/>
      <c r="F89" s="1"/>
      <c r="G89" s="1"/>
      <c r="H89" s="1"/>
      <c r="I89" s="1"/>
    </row>
    <row r="90" ht="14.25" customHeight="1">
      <c r="A90" s="52"/>
      <c r="B90" s="52"/>
      <c r="C90" s="53"/>
      <c r="D90" s="1"/>
      <c r="E90" s="1"/>
      <c r="F90" s="1"/>
      <c r="G90" s="1"/>
      <c r="H90" s="1"/>
      <c r="I90" s="1"/>
    </row>
    <row r="91" ht="14.25" customHeight="1">
      <c r="A91" s="52"/>
      <c r="B91" s="52"/>
      <c r="C91" s="53"/>
      <c r="D91" s="1"/>
      <c r="E91" s="1"/>
      <c r="F91" s="1"/>
      <c r="G91" s="1"/>
      <c r="H91" s="1"/>
      <c r="I91" s="1"/>
    </row>
    <row r="92" ht="14.25" customHeight="1">
      <c r="A92" s="52"/>
      <c r="B92" s="52"/>
      <c r="C92" s="53"/>
      <c r="D92" s="1"/>
      <c r="E92" s="1"/>
      <c r="F92" s="1"/>
      <c r="G92" s="1"/>
      <c r="H92" s="1"/>
      <c r="I92" s="1"/>
    </row>
    <row r="93" ht="14.25" customHeight="1">
      <c r="A93" s="52"/>
      <c r="B93" s="52"/>
      <c r="C93" s="53"/>
      <c r="D93" s="1"/>
      <c r="E93" s="1"/>
      <c r="F93" s="1"/>
      <c r="G93" s="1"/>
      <c r="H93" s="1"/>
      <c r="I93" s="1"/>
    </row>
    <row r="94" ht="14.25" customHeight="1">
      <c r="A94" s="52"/>
      <c r="B94" s="52"/>
      <c r="C94" s="53"/>
      <c r="D94" s="1"/>
      <c r="E94" s="1"/>
      <c r="F94" s="1"/>
      <c r="G94" s="1"/>
      <c r="H94" s="1"/>
      <c r="I94" s="1"/>
    </row>
    <row r="95" ht="14.25" customHeight="1">
      <c r="A95" s="52"/>
      <c r="B95" s="52"/>
      <c r="C95" s="53"/>
      <c r="D95" s="1"/>
      <c r="E95" s="1"/>
      <c r="F95" s="1"/>
      <c r="G95" s="1"/>
      <c r="H95" s="1"/>
      <c r="I95" s="1"/>
    </row>
    <row r="96" ht="14.25" customHeight="1">
      <c r="A96" s="52"/>
      <c r="B96" s="52"/>
      <c r="C96" s="53"/>
      <c r="D96" s="1"/>
      <c r="E96" s="1"/>
      <c r="F96" s="1"/>
      <c r="G96" s="1"/>
      <c r="H96" s="1"/>
      <c r="I96" s="1"/>
    </row>
    <row r="97" ht="14.25" customHeight="1">
      <c r="A97" s="52"/>
      <c r="B97" s="52"/>
      <c r="C97" s="53"/>
      <c r="D97" s="1"/>
      <c r="E97" s="1"/>
      <c r="F97" s="1"/>
      <c r="G97" s="1"/>
      <c r="H97" s="1"/>
      <c r="I97" s="1"/>
    </row>
    <row r="98" ht="14.25" customHeight="1">
      <c r="A98" s="52"/>
      <c r="B98" s="52"/>
      <c r="C98" s="53"/>
      <c r="D98" s="1"/>
      <c r="E98" s="1"/>
      <c r="F98" s="1"/>
      <c r="G98" s="1"/>
      <c r="H98" s="1"/>
      <c r="I98" s="1"/>
    </row>
    <row r="99" ht="14.25" customHeight="1">
      <c r="A99" s="52"/>
      <c r="B99" s="52"/>
      <c r="C99" s="53"/>
      <c r="D99" s="1"/>
      <c r="E99" s="1"/>
      <c r="F99" s="1"/>
      <c r="G99" s="1"/>
      <c r="H99" s="1"/>
      <c r="I99" s="1"/>
    </row>
    <row r="100" ht="14.25" customHeight="1">
      <c r="A100" s="52"/>
      <c r="B100" s="52"/>
      <c r="C100" s="53"/>
      <c r="D100" s="1"/>
      <c r="E100" s="1"/>
      <c r="F100" s="1"/>
      <c r="G100" s="1"/>
      <c r="H100" s="1"/>
      <c r="I100" s="1"/>
    </row>
    <row r="101" ht="14.25" customHeight="1">
      <c r="A101" s="52"/>
      <c r="B101" s="52"/>
      <c r="C101" s="53"/>
      <c r="D101" s="1"/>
      <c r="E101" s="1"/>
      <c r="F101" s="1"/>
      <c r="G101" s="1"/>
      <c r="H101" s="1"/>
      <c r="I101" s="1"/>
    </row>
    <row r="102" ht="14.25" customHeight="1">
      <c r="A102" s="52"/>
      <c r="B102" s="52"/>
      <c r="C102" s="53"/>
      <c r="D102" s="1"/>
      <c r="E102" s="1"/>
      <c r="F102" s="1"/>
      <c r="G102" s="1"/>
      <c r="H102" s="1"/>
      <c r="I102" s="1"/>
    </row>
    <row r="103" ht="14.25" customHeight="1">
      <c r="A103" s="52"/>
      <c r="B103" s="52"/>
      <c r="C103" s="53"/>
      <c r="D103" s="1"/>
      <c r="E103" s="1"/>
      <c r="F103" s="1"/>
      <c r="G103" s="1"/>
      <c r="H103" s="1"/>
      <c r="I103" s="1"/>
    </row>
    <row r="104" ht="14.25" customHeight="1">
      <c r="A104" s="52"/>
      <c r="B104" s="52"/>
      <c r="C104" s="53"/>
      <c r="D104" s="1"/>
      <c r="E104" s="1"/>
      <c r="F104" s="1"/>
      <c r="G104" s="1"/>
      <c r="H104" s="1"/>
      <c r="I104" s="1"/>
    </row>
    <row r="105" ht="14.25" customHeight="1">
      <c r="A105" s="52"/>
      <c r="B105" s="52"/>
      <c r="C105" s="53"/>
      <c r="D105" s="1"/>
      <c r="E105" s="1"/>
      <c r="F105" s="1"/>
      <c r="G105" s="1"/>
      <c r="H105" s="1"/>
      <c r="I105" s="1"/>
    </row>
    <row r="106" ht="14.25" customHeight="1">
      <c r="A106" s="52"/>
      <c r="B106" s="52"/>
      <c r="C106" s="53"/>
      <c r="D106" s="1"/>
      <c r="E106" s="1"/>
      <c r="F106" s="1"/>
      <c r="G106" s="1"/>
      <c r="H106" s="1"/>
      <c r="I106" s="1"/>
    </row>
    <row r="107" ht="14.25" customHeight="1">
      <c r="A107" s="52"/>
      <c r="B107" s="52"/>
      <c r="C107" s="53"/>
      <c r="D107" s="1"/>
      <c r="E107" s="1"/>
      <c r="F107" s="1"/>
      <c r="G107" s="1"/>
      <c r="H107" s="1"/>
      <c r="I107" s="1"/>
    </row>
    <row r="108" ht="14.25" customHeight="1">
      <c r="A108" s="52"/>
      <c r="B108" s="52"/>
      <c r="C108" s="53"/>
      <c r="D108" s="1"/>
      <c r="E108" s="1"/>
      <c r="F108" s="1"/>
      <c r="G108" s="1"/>
      <c r="H108" s="1"/>
      <c r="I108" s="1"/>
    </row>
    <row r="109" ht="14.25" customHeight="1">
      <c r="A109" s="52"/>
      <c r="B109" s="52"/>
      <c r="C109" s="53"/>
      <c r="D109" s="1"/>
      <c r="E109" s="1"/>
      <c r="F109" s="1"/>
      <c r="G109" s="1"/>
      <c r="H109" s="1"/>
      <c r="I109" s="1"/>
    </row>
    <row r="110" ht="14.25" customHeight="1">
      <c r="A110" s="52"/>
      <c r="B110" s="52"/>
      <c r="C110" s="53"/>
      <c r="D110" s="1"/>
      <c r="E110" s="1"/>
      <c r="F110" s="1"/>
      <c r="G110" s="1"/>
      <c r="H110" s="1"/>
      <c r="I110" s="1"/>
    </row>
    <row r="111" ht="14.25" customHeight="1">
      <c r="A111" s="52"/>
      <c r="B111" s="52"/>
      <c r="C111" s="53"/>
      <c r="D111" s="1"/>
      <c r="E111" s="1"/>
      <c r="F111" s="1"/>
      <c r="G111" s="1"/>
      <c r="H111" s="1"/>
      <c r="I111" s="1"/>
    </row>
    <row r="112" ht="14.25" customHeight="1">
      <c r="A112" s="52"/>
      <c r="B112" s="52"/>
      <c r="C112" s="53"/>
      <c r="D112" s="1"/>
      <c r="E112" s="1"/>
      <c r="F112" s="1"/>
      <c r="G112" s="1"/>
      <c r="H112" s="1"/>
      <c r="I112" s="1"/>
    </row>
    <row r="113" ht="14.25" customHeight="1">
      <c r="A113" s="52"/>
      <c r="B113" s="52"/>
      <c r="C113" s="53"/>
      <c r="D113" s="1"/>
      <c r="E113" s="1"/>
      <c r="F113" s="1"/>
      <c r="G113" s="1"/>
      <c r="H113" s="1"/>
      <c r="I113" s="1"/>
    </row>
    <row r="114" ht="14.25" customHeight="1">
      <c r="A114" s="52"/>
      <c r="B114" s="52"/>
      <c r="C114" s="53"/>
      <c r="D114" s="1"/>
      <c r="E114" s="1"/>
      <c r="F114" s="1"/>
      <c r="G114" s="1"/>
      <c r="H114" s="1"/>
      <c r="I114" s="1"/>
    </row>
    <row r="115" ht="14.25" customHeight="1">
      <c r="A115" s="52"/>
      <c r="B115" s="52"/>
      <c r="C115" s="53"/>
      <c r="D115" s="1"/>
      <c r="E115" s="1"/>
      <c r="F115" s="1"/>
      <c r="G115" s="1"/>
      <c r="H115" s="1"/>
      <c r="I115" s="1"/>
    </row>
    <row r="116" ht="14.25" customHeight="1">
      <c r="A116" s="52"/>
      <c r="B116" s="52"/>
      <c r="C116" s="53"/>
      <c r="D116" s="1"/>
      <c r="E116" s="1"/>
      <c r="F116" s="1"/>
      <c r="G116" s="1"/>
      <c r="H116" s="1"/>
      <c r="I116" s="1"/>
    </row>
    <row r="117" ht="14.25" customHeight="1">
      <c r="A117" s="52"/>
      <c r="B117" s="52"/>
      <c r="C117" s="53"/>
      <c r="D117" s="1"/>
      <c r="E117" s="1"/>
      <c r="F117" s="1"/>
      <c r="G117" s="1"/>
      <c r="H117" s="1"/>
      <c r="I117" s="1"/>
    </row>
    <row r="118" ht="14.25" customHeight="1">
      <c r="A118" s="52"/>
      <c r="B118" s="52"/>
      <c r="C118" s="53"/>
      <c r="D118" s="1"/>
      <c r="E118" s="1"/>
      <c r="F118" s="1"/>
      <c r="G118" s="1"/>
      <c r="H118" s="1"/>
      <c r="I118" s="1"/>
    </row>
    <row r="119" ht="14.25" customHeight="1">
      <c r="A119" s="52"/>
      <c r="B119" s="52"/>
      <c r="C119" s="53"/>
      <c r="D119" s="1"/>
      <c r="E119" s="1"/>
      <c r="F119" s="1"/>
      <c r="G119" s="1"/>
      <c r="H119" s="1"/>
      <c r="I119" s="1"/>
    </row>
    <row r="120" ht="14.25" customHeight="1">
      <c r="A120" s="52"/>
      <c r="B120" s="52"/>
      <c r="C120" s="53"/>
      <c r="D120" s="1"/>
      <c r="E120" s="1"/>
      <c r="F120" s="1"/>
      <c r="G120" s="1"/>
      <c r="H120" s="1"/>
      <c r="I120" s="1"/>
    </row>
    <row r="121" ht="14.25" customHeight="1">
      <c r="A121" s="52"/>
      <c r="B121" s="52"/>
      <c r="C121" s="53"/>
      <c r="D121" s="1"/>
      <c r="E121" s="1"/>
      <c r="F121" s="1"/>
      <c r="G121" s="1"/>
      <c r="H121" s="1"/>
      <c r="I121" s="1"/>
    </row>
    <row r="122" ht="14.25" customHeight="1">
      <c r="A122" s="52"/>
      <c r="B122" s="52"/>
      <c r="C122" s="53"/>
      <c r="D122" s="1"/>
      <c r="E122" s="1"/>
      <c r="F122" s="1"/>
      <c r="G122" s="1"/>
      <c r="H122" s="1"/>
      <c r="I122" s="1"/>
    </row>
    <row r="123" ht="14.25" customHeight="1">
      <c r="A123" s="52"/>
      <c r="B123" s="52"/>
      <c r="C123" s="53"/>
      <c r="D123" s="1"/>
      <c r="E123" s="1"/>
      <c r="F123" s="1"/>
      <c r="G123" s="1"/>
      <c r="H123" s="1"/>
      <c r="I123" s="1"/>
    </row>
    <row r="124" ht="14.25" customHeight="1">
      <c r="A124" s="52"/>
      <c r="B124" s="52"/>
      <c r="C124" s="53"/>
      <c r="D124" s="1"/>
      <c r="E124" s="1"/>
      <c r="F124" s="1"/>
      <c r="G124" s="1"/>
      <c r="H124" s="1"/>
      <c r="I124" s="1"/>
    </row>
    <row r="125" ht="14.25" customHeight="1">
      <c r="A125" s="52"/>
      <c r="B125" s="52"/>
      <c r="C125" s="53"/>
      <c r="D125" s="1"/>
      <c r="E125" s="1"/>
      <c r="F125" s="1"/>
      <c r="G125" s="1"/>
      <c r="H125" s="1"/>
      <c r="I125" s="1"/>
    </row>
    <row r="126" ht="14.25" customHeight="1">
      <c r="A126" s="52"/>
      <c r="B126" s="52"/>
      <c r="C126" s="53"/>
      <c r="D126" s="1"/>
      <c r="E126" s="1"/>
      <c r="F126" s="1"/>
      <c r="G126" s="1"/>
      <c r="H126" s="1"/>
      <c r="I126" s="1"/>
    </row>
    <row r="127" ht="14.25" customHeight="1">
      <c r="A127" s="52"/>
      <c r="B127" s="52"/>
      <c r="C127" s="53"/>
      <c r="D127" s="1"/>
      <c r="E127" s="1"/>
      <c r="F127" s="1"/>
      <c r="G127" s="1"/>
      <c r="H127" s="1"/>
      <c r="I127" s="1"/>
    </row>
    <row r="128" ht="14.25" customHeight="1">
      <c r="A128" s="52"/>
      <c r="B128" s="52"/>
      <c r="C128" s="53"/>
      <c r="D128" s="1"/>
      <c r="E128" s="1"/>
      <c r="F128" s="1"/>
      <c r="G128" s="1"/>
      <c r="H128" s="1"/>
      <c r="I128" s="1"/>
    </row>
    <row r="129" ht="14.25" customHeight="1">
      <c r="A129" s="52"/>
      <c r="B129" s="52"/>
      <c r="C129" s="53"/>
      <c r="D129" s="1"/>
      <c r="E129" s="1"/>
      <c r="F129" s="1"/>
      <c r="G129" s="1"/>
      <c r="H129" s="1"/>
      <c r="I129" s="1"/>
    </row>
    <row r="130" ht="14.25" customHeight="1">
      <c r="A130" s="52"/>
      <c r="B130" s="52"/>
      <c r="C130" s="53"/>
      <c r="D130" s="1"/>
      <c r="E130" s="1"/>
      <c r="F130" s="1"/>
      <c r="G130" s="1"/>
      <c r="H130" s="1"/>
      <c r="I130" s="1"/>
    </row>
    <row r="131" ht="14.25" customHeight="1">
      <c r="A131" s="52"/>
      <c r="B131" s="52"/>
      <c r="C131" s="53"/>
      <c r="D131" s="1"/>
      <c r="E131" s="1"/>
      <c r="F131" s="1"/>
      <c r="G131" s="1"/>
      <c r="H131" s="1"/>
      <c r="I131" s="1"/>
    </row>
    <row r="132" ht="14.25" customHeight="1">
      <c r="A132" s="52"/>
      <c r="B132" s="52"/>
      <c r="C132" s="53"/>
      <c r="D132" s="1"/>
      <c r="E132" s="1"/>
      <c r="F132" s="1"/>
      <c r="G132" s="1"/>
      <c r="H132" s="1"/>
      <c r="I132" s="1"/>
    </row>
    <row r="133" ht="14.25" customHeight="1">
      <c r="A133" s="52"/>
      <c r="B133" s="52"/>
      <c r="C133" s="53"/>
      <c r="D133" s="1"/>
      <c r="E133" s="1"/>
      <c r="F133" s="1"/>
      <c r="G133" s="1"/>
      <c r="H133" s="1"/>
      <c r="I133" s="1"/>
    </row>
    <row r="134" ht="14.25" customHeight="1">
      <c r="A134" s="52"/>
      <c r="B134" s="52"/>
      <c r="C134" s="53"/>
      <c r="D134" s="1"/>
      <c r="E134" s="1"/>
      <c r="F134" s="1"/>
      <c r="G134" s="1"/>
      <c r="H134" s="1"/>
      <c r="I134" s="1"/>
    </row>
    <row r="135" ht="14.25" customHeight="1">
      <c r="A135" s="52"/>
      <c r="B135" s="52"/>
      <c r="C135" s="53"/>
      <c r="D135" s="1"/>
      <c r="E135" s="1"/>
      <c r="F135" s="1"/>
      <c r="G135" s="1"/>
      <c r="H135" s="1"/>
      <c r="I135" s="1"/>
    </row>
    <row r="136" ht="14.25" customHeight="1">
      <c r="A136" s="52"/>
      <c r="B136" s="52"/>
      <c r="C136" s="53"/>
      <c r="D136" s="1"/>
      <c r="E136" s="1"/>
      <c r="F136" s="1"/>
      <c r="G136" s="1"/>
      <c r="H136" s="1"/>
      <c r="I136" s="1"/>
    </row>
    <row r="137" ht="14.25" customHeight="1">
      <c r="A137" s="52"/>
      <c r="B137" s="52"/>
      <c r="C137" s="53"/>
      <c r="D137" s="1"/>
      <c r="E137" s="1"/>
      <c r="F137" s="1"/>
      <c r="G137" s="1"/>
      <c r="H137" s="1"/>
      <c r="I137" s="1"/>
    </row>
    <row r="138" ht="14.25" customHeight="1">
      <c r="A138" s="52"/>
      <c r="B138" s="52"/>
      <c r="C138" s="53"/>
      <c r="D138" s="1"/>
      <c r="E138" s="1"/>
      <c r="F138" s="1"/>
      <c r="G138" s="1"/>
      <c r="H138" s="1"/>
      <c r="I138" s="1"/>
    </row>
    <row r="139" ht="14.25" customHeight="1">
      <c r="A139" s="52"/>
      <c r="B139" s="52"/>
      <c r="C139" s="53"/>
      <c r="D139" s="1"/>
      <c r="E139" s="1"/>
      <c r="F139" s="1"/>
      <c r="G139" s="1"/>
      <c r="H139" s="1"/>
      <c r="I139" s="1"/>
    </row>
    <row r="140" ht="14.25" customHeight="1">
      <c r="A140" s="52"/>
      <c r="B140" s="52"/>
      <c r="C140" s="53"/>
      <c r="D140" s="1"/>
      <c r="E140" s="1"/>
      <c r="F140" s="1"/>
      <c r="G140" s="1"/>
      <c r="H140" s="1"/>
      <c r="I140" s="1"/>
    </row>
    <row r="141" ht="14.25" customHeight="1">
      <c r="A141" s="52"/>
      <c r="B141" s="52"/>
      <c r="C141" s="53"/>
      <c r="D141" s="1"/>
      <c r="E141" s="1"/>
      <c r="F141" s="1"/>
      <c r="G141" s="1"/>
      <c r="H141" s="1"/>
      <c r="I141" s="1"/>
    </row>
    <row r="142" ht="14.25" customHeight="1">
      <c r="A142" s="52"/>
      <c r="B142" s="52"/>
      <c r="C142" s="53"/>
      <c r="D142" s="1"/>
      <c r="E142" s="1"/>
      <c r="F142" s="1"/>
      <c r="G142" s="1"/>
      <c r="H142" s="1"/>
      <c r="I142" s="1"/>
    </row>
    <row r="143" ht="14.25" customHeight="1">
      <c r="A143" s="52"/>
      <c r="B143" s="52"/>
      <c r="C143" s="53"/>
      <c r="D143" s="1"/>
      <c r="E143" s="1"/>
      <c r="F143" s="1"/>
      <c r="G143" s="1"/>
      <c r="H143" s="1"/>
      <c r="I143" s="1"/>
    </row>
    <row r="144" ht="14.25" customHeight="1">
      <c r="A144" s="52"/>
      <c r="B144" s="52"/>
      <c r="C144" s="53"/>
      <c r="D144" s="1"/>
      <c r="E144" s="1"/>
      <c r="F144" s="1"/>
      <c r="G144" s="1"/>
      <c r="H144" s="1"/>
      <c r="I144" s="1"/>
    </row>
    <row r="145" ht="14.25" customHeight="1">
      <c r="A145" s="52"/>
      <c r="B145" s="52"/>
      <c r="C145" s="53"/>
      <c r="D145" s="1"/>
      <c r="E145" s="1"/>
      <c r="F145" s="1"/>
      <c r="G145" s="1"/>
      <c r="H145" s="1"/>
      <c r="I145" s="1"/>
    </row>
    <row r="146" ht="14.25" customHeight="1">
      <c r="A146" s="52"/>
      <c r="B146" s="52"/>
      <c r="C146" s="53"/>
      <c r="D146" s="1"/>
      <c r="E146" s="1"/>
      <c r="F146" s="1"/>
      <c r="G146" s="1"/>
      <c r="H146" s="1"/>
      <c r="I146" s="1"/>
    </row>
    <row r="147" ht="14.25" customHeight="1">
      <c r="A147" s="52"/>
      <c r="B147" s="52"/>
      <c r="C147" s="53"/>
      <c r="D147" s="1"/>
      <c r="E147" s="1"/>
      <c r="F147" s="1"/>
      <c r="G147" s="1"/>
      <c r="H147" s="1"/>
      <c r="I147" s="1"/>
    </row>
    <row r="148" ht="14.25" customHeight="1">
      <c r="A148" s="52"/>
      <c r="B148" s="52"/>
      <c r="C148" s="53"/>
      <c r="D148" s="1"/>
      <c r="E148" s="1"/>
      <c r="F148" s="1"/>
      <c r="G148" s="1"/>
      <c r="H148" s="1"/>
      <c r="I148" s="1"/>
    </row>
    <row r="149" ht="14.25" customHeight="1">
      <c r="A149" s="52"/>
      <c r="B149" s="52"/>
      <c r="C149" s="53"/>
      <c r="D149" s="1"/>
      <c r="E149" s="1"/>
      <c r="F149" s="1"/>
      <c r="G149" s="1"/>
      <c r="H149" s="1"/>
      <c r="I149" s="1"/>
    </row>
    <row r="150" ht="14.25" customHeight="1">
      <c r="A150" s="52"/>
      <c r="B150" s="52"/>
      <c r="C150" s="53"/>
      <c r="D150" s="1"/>
      <c r="E150" s="1"/>
      <c r="F150" s="1"/>
      <c r="G150" s="1"/>
      <c r="H150" s="1"/>
      <c r="I150" s="1"/>
    </row>
    <row r="151" ht="14.25" customHeight="1">
      <c r="A151" s="52"/>
      <c r="B151" s="52"/>
      <c r="C151" s="53"/>
      <c r="D151" s="1"/>
      <c r="E151" s="1"/>
      <c r="F151" s="1"/>
      <c r="G151" s="1"/>
      <c r="H151" s="1"/>
      <c r="I151" s="1"/>
    </row>
    <row r="152" ht="14.25" customHeight="1">
      <c r="A152" s="52"/>
      <c r="B152" s="52"/>
      <c r="C152" s="53"/>
      <c r="D152" s="1"/>
      <c r="E152" s="1"/>
      <c r="F152" s="1"/>
      <c r="G152" s="1"/>
      <c r="H152" s="1"/>
      <c r="I152" s="1"/>
    </row>
    <row r="153" ht="14.25" customHeight="1">
      <c r="A153" s="52"/>
      <c r="B153" s="52"/>
      <c r="C153" s="53"/>
      <c r="D153" s="1"/>
      <c r="E153" s="1"/>
      <c r="F153" s="1"/>
      <c r="G153" s="1"/>
      <c r="H153" s="1"/>
      <c r="I153" s="1"/>
    </row>
    <row r="154" ht="14.25" customHeight="1">
      <c r="A154" s="52"/>
      <c r="B154" s="52"/>
      <c r="C154" s="53"/>
      <c r="D154" s="1"/>
      <c r="E154" s="1"/>
      <c r="F154" s="1"/>
      <c r="G154" s="1"/>
      <c r="H154" s="1"/>
      <c r="I154" s="1"/>
    </row>
    <row r="155" ht="14.25" customHeight="1">
      <c r="A155" s="52"/>
      <c r="B155" s="52"/>
      <c r="C155" s="53"/>
      <c r="D155" s="1"/>
      <c r="E155" s="1"/>
      <c r="F155" s="1"/>
      <c r="G155" s="1"/>
      <c r="H155" s="1"/>
      <c r="I155" s="1"/>
    </row>
    <row r="156" ht="14.25" customHeight="1">
      <c r="A156" s="52"/>
      <c r="B156" s="52"/>
      <c r="C156" s="53"/>
      <c r="D156" s="1"/>
      <c r="E156" s="1"/>
      <c r="F156" s="1"/>
      <c r="G156" s="1"/>
      <c r="H156" s="1"/>
      <c r="I156" s="1"/>
    </row>
    <row r="157" ht="14.25" customHeight="1">
      <c r="A157" s="52"/>
      <c r="B157" s="52"/>
      <c r="C157" s="53"/>
      <c r="D157" s="1"/>
      <c r="E157" s="1"/>
      <c r="F157" s="1"/>
      <c r="G157" s="1"/>
      <c r="H157" s="1"/>
      <c r="I157" s="1"/>
    </row>
    <row r="158" ht="14.25" customHeight="1">
      <c r="A158" s="52"/>
      <c r="B158" s="52"/>
      <c r="C158" s="53"/>
      <c r="D158" s="1"/>
      <c r="E158" s="1"/>
      <c r="F158" s="1"/>
      <c r="G158" s="1"/>
      <c r="H158" s="1"/>
      <c r="I158" s="1"/>
    </row>
    <row r="159" ht="14.25" customHeight="1">
      <c r="A159" s="52"/>
      <c r="B159" s="52"/>
      <c r="C159" s="53"/>
      <c r="D159" s="1"/>
      <c r="E159" s="1"/>
      <c r="F159" s="1"/>
      <c r="G159" s="1"/>
      <c r="H159" s="1"/>
      <c r="I159" s="1"/>
    </row>
    <row r="160" ht="14.25" customHeight="1">
      <c r="A160" s="52"/>
      <c r="B160" s="52"/>
      <c r="C160" s="53"/>
      <c r="D160" s="1"/>
      <c r="E160" s="1"/>
      <c r="F160" s="1"/>
      <c r="G160" s="1"/>
      <c r="H160" s="1"/>
      <c r="I160" s="1"/>
    </row>
    <row r="161" ht="14.25" customHeight="1">
      <c r="A161" s="52"/>
      <c r="B161" s="52"/>
      <c r="C161" s="53"/>
      <c r="D161" s="1"/>
      <c r="E161" s="1"/>
      <c r="F161" s="1"/>
      <c r="G161" s="1"/>
      <c r="H161" s="1"/>
      <c r="I161" s="1"/>
    </row>
    <row r="162" ht="14.25" customHeight="1">
      <c r="A162" s="52"/>
      <c r="B162" s="52"/>
      <c r="C162" s="53"/>
      <c r="D162" s="1"/>
      <c r="E162" s="1"/>
      <c r="F162" s="1"/>
      <c r="G162" s="1"/>
      <c r="H162" s="1"/>
      <c r="I162" s="1"/>
    </row>
    <row r="163" ht="14.25" customHeight="1">
      <c r="A163" s="52"/>
      <c r="B163" s="52"/>
      <c r="C163" s="53"/>
      <c r="D163" s="1"/>
      <c r="E163" s="1"/>
      <c r="F163" s="1"/>
      <c r="G163" s="1"/>
      <c r="H163" s="1"/>
      <c r="I163" s="1"/>
    </row>
    <row r="164" ht="14.25" customHeight="1">
      <c r="A164" s="52"/>
      <c r="B164" s="52"/>
      <c r="C164" s="53"/>
      <c r="D164" s="1"/>
      <c r="E164" s="1"/>
      <c r="F164" s="1"/>
      <c r="G164" s="1"/>
      <c r="H164" s="1"/>
      <c r="I164" s="1"/>
    </row>
    <row r="165" ht="14.25" customHeight="1">
      <c r="A165" s="52"/>
      <c r="B165" s="52"/>
      <c r="C165" s="53"/>
      <c r="D165" s="1"/>
      <c r="E165" s="1"/>
      <c r="F165" s="1"/>
      <c r="G165" s="1"/>
      <c r="H165" s="1"/>
      <c r="I165" s="1"/>
    </row>
    <row r="166" ht="14.25" customHeight="1">
      <c r="A166" s="52"/>
      <c r="B166" s="52"/>
      <c r="C166" s="53"/>
      <c r="D166" s="1"/>
      <c r="E166" s="1"/>
      <c r="F166" s="1"/>
      <c r="G166" s="1"/>
      <c r="H166" s="1"/>
      <c r="I166" s="1"/>
    </row>
    <row r="167" ht="14.25" customHeight="1">
      <c r="A167" s="52"/>
      <c r="B167" s="52"/>
      <c r="C167" s="53"/>
      <c r="D167" s="1"/>
      <c r="E167" s="1"/>
      <c r="F167" s="1"/>
      <c r="G167" s="1"/>
      <c r="H167" s="1"/>
      <c r="I167" s="1"/>
    </row>
    <row r="168" ht="14.25" customHeight="1">
      <c r="A168" s="52"/>
      <c r="B168" s="52"/>
      <c r="C168" s="53"/>
      <c r="D168" s="1"/>
      <c r="E168" s="1"/>
      <c r="F168" s="1"/>
      <c r="G168" s="1"/>
      <c r="H168" s="1"/>
      <c r="I168" s="1"/>
    </row>
    <row r="169" ht="14.25" customHeight="1">
      <c r="A169" s="52"/>
      <c r="B169" s="52"/>
      <c r="C169" s="53"/>
      <c r="D169" s="1"/>
      <c r="E169" s="1"/>
      <c r="F169" s="1"/>
      <c r="G169" s="1"/>
      <c r="H169" s="1"/>
      <c r="I169" s="1"/>
    </row>
    <row r="170" ht="14.25" customHeight="1">
      <c r="A170" s="52"/>
      <c r="B170" s="52"/>
      <c r="C170" s="53"/>
      <c r="D170" s="1"/>
      <c r="E170" s="1"/>
      <c r="F170" s="1"/>
      <c r="G170" s="1"/>
      <c r="H170" s="1"/>
      <c r="I170" s="1"/>
    </row>
    <row r="171" ht="14.25" customHeight="1">
      <c r="A171" s="52"/>
      <c r="B171" s="52"/>
      <c r="C171" s="53"/>
      <c r="D171" s="1"/>
      <c r="E171" s="1"/>
      <c r="F171" s="1"/>
      <c r="G171" s="1"/>
      <c r="H171" s="1"/>
      <c r="I171" s="1"/>
    </row>
    <row r="172" ht="14.25" customHeight="1">
      <c r="A172" s="52"/>
      <c r="B172" s="52"/>
      <c r="C172" s="53"/>
      <c r="D172" s="1"/>
      <c r="E172" s="1"/>
      <c r="F172" s="1"/>
      <c r="G172" s="1"/>
      <c r="H172" s="1"/>
      <c r="I172" s="1"/>
    </row>
    <row r="173" ht="14.25" customHeight="1">
      <c r="A173" s="52"/>
      <c r="B173" s="52"/>
      <c r="C173" s="53"/>
      <c r="D173" s="1"/>
      <c r="E173" s="1"/>
      <c r="F173" s="1"/>
      <c r="G173" s="1"/>
      <c r="H173" s="1"/>
      <c r="I173" s="1"/>
    </row>
    <row r="174" ht="14.25" customHeight="1">
      <c r="A174" s="52"/>
      <c r="B174" s="52"/>
      <c r="C174" s="53"/>
      <c r="D174" s="1"/>
      <c r="E174" s="1"/>
      <c r="F174" s="1"/>
      <c r="G174" s="1"/>
      <c r="H174" s="1"/>
      <c r="I174" s="1"/>
    </row>
    <row r="175" ht="14.25" customHeight="1">
      <c r="A175" s="52"/>
      <c r="B175" s="52"/>
      <c r="C175" s="53"/>
      <c r="D175" s="1"/>
      <c r="E175" s="1"/>
      <c r="F175" s="1"/>
      <c r="G175" s="1"/>
      <c r="H175" s="1"/>
      <c r="I175" s="1"/>
    </row>
    <row r="176" ht="14.25" customHeight="1">
      <c r="A176" s="52"/>
      <c r="B176" s="52"/>
      <c r="C176" s="53"/>
      <c r="D176" s="1"/>
      <c r="E176" s="1"/>
      <c r="F176" s="1"/>
      <c r="G176" s="1"/>
      <c r="H176" s="1"/>
      <c r="I176" s="1"/>
    </row>
    <row r="177" ht="14.25" customHeight="1">
      <c r="A177" s="52"/>
      <c r="B177" s="52"/>
      <c r="C177" s="53"/>
      <c r="D177" s="1"/>
      <c r="E177" s="1"/>
      <c r="F177" s="1"/>
      <c r="G177" s="1"/>
      <c r="H177" s="1"/>
      <c r="I177" s="1"/>
    </row>
    <row r="178" ht="14.25" customHeight="1">
      <c r="A178" s="52"/>
      <c r="B178" s="52"/>
      <c r="C178" s="53"/>
      <c r="D178" s="1"/>
      <c r="E178" s="1"/>
      <c r="F178" s="1"/>
      <c r="G178" s="1"/>
      <c r="H178" s="1"/>
      <c r="I178" s="1"/>
    </row>
    <row r="179" ht="14.25" customHeight="1">
      <c r="A179" s="52"/>
      <c r="B179" s="52"/>
      <c r="C179" s="53"/>
      <c r="D179" s="1"/>
      <c r="E179" s="1"/>
      <c r="F179" s="1"/>
      <c r="G179" s="1"/>
      <c r="H179" s="1"/>
      <c r="I179" s="1"/>
    </row>
    <row r="180" ht="14.25" customHeight="1">
      <c r="A180" s="52"/>
      <c r="B180" s="52"/>
      <c r="C180" s="53"/>
      <c r="D180" s="1"/>
      <c r="E180" s="1"/>
      <c r="F180" s="1"/>
      <c r="G180" s="1"/>
      <c r="H180" s="1"/>
      <c r="I180" s="1"/>
    </row>
    <row r="181" ht="14.25" customHeight="1">
      <c r="A181" s="52"/>
      <c r="B181" s="52"/>
      <c r="C181" s="53"/>
      <c r="D181" s="1"/>
      <c r="E181" s="1"/>
      <c r="F181" s="1"/>
      <c r="G181" s="1"/>
      <c r="H181" s="1"/>
      <c r="I181" s="1"/>
    </row>
    <row r="182" ht="14.25" customHeight="1">
      <c r="A182" s="52"/>
      <c r="B182" s="52"/>
      <c r="C182" s="53"/>
      <c r="D182" s="1"/>
      <c r="E182" s="1"/>
      <c r="F182" s="1"/>
      <c r="G182" s="1"/>
      <c r="H182" s="1"/>
      <c r="I182" s="1"/>
    </row>
    <row r="183" ht="14.25" customHeight="1">
      <c r="A183" s="52"/>
      <c r="B183" s="52"/>
      <c r="C183" s="53"/>
      <c r="D183" s="1"/>
      <c r="E183" s="1"/>
      <c r="F183" s="1"/>
      <c r="G183" s="1"/>
      <c r="H183" s="1"/>
      <c r="I183" s="1"/>
    </row>
    <row r="184" ht="14.25" customHeight="1">
      <c r="A184" s="52"/>
      <c r="B184" s="52"/>
      <c r="C184" s="53"/>
      <c r="D184" s="1"/>
      <c r="E184" s="1"/>
      <c r="F184" s="1"/>
      <c r="G184" s="1"/>
      <c r="H184" s="1"/>
      <c r="I184" s="1"/>
    </row>
    <row r="185" ht="14.25" customHeight="1">
      <c r="A185" s="52"/>
      <c r="B185" s="52"/>
      <c r="C185" s="53"/>
      <c r="D185" s="1"/>
      <c r="E185" s="1"/>
      <c r="F185" s="1"/>
      <c r="G185" s="1"/>
      <c r="H185" s="1"/>
      <c r="I185" s="1"/>
    </row>
    <row r="186" ht="14.25" customHeight="1">
      <c r="A186" s="52"/>
      <c r="B186" s="52"/>
      <c r="C186" s="53"/>
      <c r="D186" s="1"/>
      <c r="E186" s="1"/>
      <c r="F186" s="1"/>
      <c r="G186" s="1"/>
      <c r="H186" s="1"/>
      <c r="I186" s="1"/>
    </row>
    <row r="187" ht="14.25" customHeight="1">
      <c r="A187" s="52"/>
      <c r="B187" s="52"/>
      <c r="C187" s="53"/>
      <c r="D187" s="1"/>
      <c r="E187" s="1"/>
      <c r="F187" s="1"/>
      <c r="G187" s="1"/>
      <c r="H187" s="1"/>
      <c r="I187" s="1"/>
    </row>
    <row r="188" ht="14.25" customHeight="1">
      <c r="A188" s="52"/>
      <c r="B188" s="52"/>
      <c r="C188" s="53"/>
      <c r="D188" s="1"/>
      <c r="E188" s="1"/>
      <c r="F188" s="1"/>
      <c r="G188" s="1"/>
      <c r="H188" s="1"/>
      <c r="I188" s="1"/>
    </row>
    <row r="189" ht="14.25" customHeight="1">
      <c r="A189" s="52"/>
      <c r="B189" s="52"/>
      <c r="C189" s="53"/>
      <c r="D189" s="1"/>
      <c r="E189" s="1"/>
      <c r="F189" s="1"/>
      <c r="G189" s="1"/>
      <c r="H189" s="1"/>
      <c r="I189" s="1"/>
    </row>
    <row r="190" ht="14.25" customHeight="1">
      <c r="A190" s="52"/>
      <c r="B190" s="52"/>
      <c r="C190" s="53"/>
      <c r="D190" s="1"/>
      <c r="E190" s="1"/>
      <c r="F190" s="1"/>
      <c r="G190" s="1"/>
      <c r="H190" s="1"/>
      <c r="I190" s="1"/>
    </row>
    <row r="191" ht="14.25" customHeight="1">
      <c r="A191" s="52"/>
      <c r="B191" s="52"/>
      <c r="C191" s="53"/>
      <c r="D191" s="1"/>
      <c r="E191" s="1"/>
      <c r="F191" s="1"/>
      <c r="G191" s="1"/>
      <c r="H191" s="1"/>
      <c r="I191" s="1"/>
    </row>
    <row r="192" ht="14.25" customHeight="1">
      <c r="A192" s="52"/>
      <c r="B192" s="52"/>
      <c r="C192" s="53"/>
      <c r="D192" s="1"/>
      <c r="E192" s="1"/>
      <c r="F192" s="1"/>
      <c r="G192" s="1"/>
      <c r="H192" s="1"/>
      <c r="I192" s="1"/>
    </row>
    <row r="193" ht="14.25" customHeight="1">
      <c r="A193" s="52"/>
      <c r="B193" s="52"/>
      <c r="C193" s="53"/>
      <c r="D193" s="1"/>
      <c r="E193" s="1"/>
      <c r="F193" s="1"/>
      <c r="G193" s="1"/>
      <c r="H193" s="1"/>
      <c r="I193" s="1"/>
    </row>
    <row r="194" ht="14.25" customHeight="1">
      <c r="A194" s="52"/>
      <c r="B194" s="52"/>
      <c r="C194" s="53"/>
      <c r="D194" s="1"/>
      <c r="E194" s="1"/>
      <c r="F194" s="1"/>
      <c r="G194" s="1"/>
      <c r="H194" s="1"/>
      <c r="I194" s="1"/>
    </row>
    <row r="195" ht="14.25" customHeight="1">
      <c r="A195" s="52"/>
      <c r="B195" s="52"/>
      <c r="C195" s="53"/>
      <c r="D195" s="1"/>
      <c r="E195" s="1"/>
      <c r="F195" s="1"/>
      <c r="G195" s="1"/>
      <c r="H195" s="1"/>
      <c r="I195" s="1"/>
    </row>
    <row r="196" ht="14.25" customHeight="1">
      <c r="A196" s="52"/>
      <c r="B196" s="52"/>
      <c r="C196" s="53"/>
      <c r="D196" s="1"/>
      <c r="E196" s="1"/>
      <c r="F196" s="1"/>
      <c r="G196" s="1"/>
      <c r="H196" s="1"/>
      <c r="I196" s="1"/>
    </row>
    <row r="197" ht="14.25" customHeight="1">
      <c r="A197" s="52"/>
      <c r="B197" s="52"/>
      <c r="C197" s="53"/>
      <c r="D197" s="1"/>
      <c r="E197" s="1"/>
      <c r="F197" s="1"/>
      <c r="G197" s="1"/>
      <c r="H197" s="1"/>
      <c r="I197" s="1"/>
    </row>
    <row r="198" ht="14.25" customHeight="1">
      <c r="A198" s="52"/>
      <c r="B198" s="52"/>
      <c r="C198" s="53"/>
      <c r="D198" s="1"/>
      <c r="E198" s="1"/>
      <c r="F198" s="1"/>
      <c r="G198" s="1"/>
      <c r="H198" s="1"/>
      <c r="I198" s="1"/>
    </row>
    <row r="199" ht="14.25" customHeight="1">
      <c r="A199" s="52"/>
      <c r="B199" s="52"/>
      <c r="C199" s="53"/>
      <c r="D199" s="1"/>
      <c r="E199" s="1"/>
      <c r="F199" s="1"/>
      <c r="G199" s="1"/>
      <c r="H199" s="1"/>
      <c r="I199" s="1"/>
    </row>
    <row r="200" ht="14.25" customHeight="1">
      <c r="A200" s="52"/>
      <c r="B200" s="52"/>
      <c r="C200" s="53"/>
      <c r="D200" s="1"/>
      <c r="E200" s="1"/>
      <c r="F200" s="1"/>
      <c r="G200" s="1"/>
      <c r="H200" s="1"/>
      <c r="I200" s="1"/>
    </row>
    <row r="201" ht="14.25" customHeight="1">
      <c r="A201" s="52"/>
      <c r="B201" s="52"/>
      <c r="C201" s="53"/>
      <c r="D201" s="1"/>
      <c r="E201" s="1"/>
      <c r="F201" s="1"/>
      <c r="G201" s="1"/>
      <c r="H201" s="1"/>
      <c r="I201" s="1"/>
    </row>
    <row r="202" ht="14.25" customHeight="1">
      <c r="A202" s="52"/>
      <c r="B202" s="52"/>
      <c r="C202" s="53"/>
      <c r="D202" s="1"/>
      <c r="E202" s="1"/>
      <c r="F202" s="1"/>
      <c r="G202" s="1"/>
      <c r="H202" s="1"/>
      <c r="I202" s="1"/>
    </row>
    <row r="203" ht="14.25" customHeight="1">
      <c r="A203" s="52"/>
      <c r="B203" s="52"/>
      <c r="C203" s="53"/>
      <c r="D203" s="1"/>
      <c r="E203" s="1"/>
      <c r="F203" s="1"/>
      <c r="G203" s="1"/>
      <c r="H203" s="1"/>
      <c r="I203" s="1"/>
    </row>
    <row r="204" ht="14.25" customHeight="1">
      <c r="A204" s="52"/>
      <c r="B204" s="52"/>
      <c r="C204" s="53"/>
      <c r="D204" s="1"/>
      <c r="E204" s="1"/>
      <c r="F204" s="1"/>
      <c r="G204" s="1"/>
      <c r="H204" s="1"/>
      <c r="I204" s="1"/>
    </row>
    <row r="205" ht="14.25" customHeight="1">
      <c r="A205" s="52"/>
      <c r="B205" s="52"/>
      <c r="C205" s="53"/>
      <c r="D205" s="1"/>
      <c r="E205" s="1"/>
      <c r="F205" s="1"/>
      <c r="G205" s="1"/>
      <c r="H205" s="1"/>
      <c r="I205" s="1"/>
    </row>
    <row r="206" ht="14.25" customHeight="1">
      <c r="A206" s="52"/>
      <c r="B206" s="52"/>
      <c r="C206" s="53"/>
      <c r="D206" s="1"/>
      <c r="E206" s="1"/>
      <c r="F206" s="1"/>
      <c r="G206" s="1"/>
      <c r="H206" s="1"/>
      <c r="I206" s="1"/>
    </row>
    <row r="207" ht="14.25" customHeight="1">
      <c r="A207" s="52"/>
      <c r="B207" s="52"/>
      <c r="C207" s="53"/>
      <c r="D207" s="1"/>
      <c r="E207" s="1"/>
      <c r="F207" s="1"/>
      <c r="G207" s="1"/>
      <c r="H207" s="1"/>
      <c r="I207" s="1"/>
    </row>
    <row r="208" ht="14.25" customHeight="1">
      <c r="A208" s="52"/>
      <c r="B208" s="52"/>
      <c r="C208" s="53"/>
      <c r="D208" s="1"/>
      <c r="E208" s="1"/>
      <c r="F208" s="1"/>
      <c r="G208" s="1"/>
      <c r="H208" s="1"/>
      <c r="I208" s="1"/>
    </row>
    <row r="209" ht="14.25" customHeight="1">
      <c r="A209" s="52"/>
      <c r="B209" s="52"/>
      <c r="C209" s="53"/>
      <c r="D209" s="1"/>
      <c r="E209" s="1"/>
      <c r="F209" s="1"/>
      <c r="G209" s="1"/>
      <c r="H209" s="1"/>
      <c r="I209" s="1"/>
    </row>
    <row r="210" ht="14.25" customHeight="1">
      <c r="A210" s="52"/>
      <c r="B210" s="52"/>
      <c r="C210" s="53"/>
      <c r="D210" s="1"/>
      <c r="E210" s="1"/>
      <c r="F210" s="1"/>
      <c r="G210" s="1"/>
      <c r="H210" s="1"/>
      <c r="I210" s="1"/>
    </row>
    <row r="211" ht="14.25" customHeight="1">
      <c r="A211" s="52"/>
      <c r="B211" s="52"/>
      <c r="C211" s="53"/>
      <c r="D211" s="1"/>
      <c r="E211" s="1"/>
      <c r="F211" s="1"/>
      <c r="G211" s="1"/>
      <c r="H211" s="1"/>
      <c r="I211" s="1"/>
    </row>
    <row r="212" ht="14.25" customHeight="1">
      <c r="A212" s="52"/>
      <c r="B212" s="52"/>
      <c r="C212" s="53"/>
      <c r="D212" s="1"/>
      <c r="E212" s="1"/>
      <c r="F212" s="1"/>
      <c r="G212" s="1"/>
      <c r="H212" s="1"/>
      <c r="I212" s="1"/>
    </row>
    <row r="213" ht="14.25" customHeight="1">
      <c r="A213" s="52"/>
      <c r="B213" s="52"/>
      <c r="C213" s="53"/>
      <c r="D213" s="1"/>
      <c r="E213" s="1"/>
      <c r="F213" s="1"/>
      <c r="G213" s="1"/>
      <c r="H213" s="1"/>
      <c r="I213" s="1"/>
    </row>
    <row r="214" ht="14.25" customHeight="1">
      <c r="A214" s="52"/>
      <c r="B214" s="52"/>
      <c r="C214" s="53"/>
      <c r="D214" s="1"/>
      <c r="E214" s="1"/>
      <c r="F214" s="1"/>
      <c r="G214" s="1"/>
      <c r="H214" s="1"/>
      <c r="I214" s="1"/>
    </row>
    <row r="215" ht="14.25" customHeight="1">
      <c r="A215" s="52"/>
      <c r="B215" s="52"/>
      <c r="C215" s="53"/>
      <c r="D215" s="1"/>
      <c r="E215" s="1"/>
      <c r="F215" s="1"/>
      <c r="G215" s="1"/>
      <c r="H215" s="1"/>
      <c r="I215" s="1"/>
    </row>
    <row r="216" ht="14.25" customHeight="1">
      <c r="A216" s="52"/>
      <c r="B216" s="52"/>
      <c r="C216" s="53"/>
      <c r="D216" s="1"/>
      <c r="E216" s="1"/>
      <c r="F216" s="1"/>
      <c r="G216" s="1"/>
      <c r="H216" s="1"/>
      <c r="I216" s="1"/>
    </row>
    <row r="217" ht="14.25" customHeight="1">
      <c r="A217" s="52"/>
      <c r="B217" s="52"/>
      <c r="C217" s="53"/>
      <c r="D217" s="1"/>
      <c r="E217" s="1"/>
      <c r="F217" s="1"/>
      <c r="G217" s="1"/>
      <c r="H217" s="1"/>
      <c r="I217" s="1"/>
    </row>
    <row r="218" ht="14.25" customHeight="1">
      <c r="A218" s="52"/>
      <c r="B218" s="52"/>
      <c r="C218" s="53"/>
      <c r="D218" s="1"/>
      <c r="E218" s="1"/>
      <c r="F218" s="1"/>
      <c r="G218" s="1"/>
      <c r="H218" s="1"/>
      <c r="I218" s="1"/>
    </row>
    <row r="219" ht="14.25" customHeight="1">
      <c r="A219" s="52"/>
      <c r="B219" s="52"/>
      <c r="C219" s="53"/>
      <c r="D219" s="1"/>
      <c r="E219" s="1"/>
      <c r="F219" s="1"/>
      <c r="G219" s="1"/>
      <c r="H219" s="1"/>
      <c r="I219" s="1"/>
    </row>
    <row r="220" ht="14.25" customHeight="1">
      <c r="A220" s="52"/>
      <c r="B220" s="52"/>
      <c r="C220" s="53"/>
      <c r="D220" s="1"/>
      <c r="E220" s="1"/>
      <c r="F220" s="1"/>
      <c r="G220" s="1"/>
      <c r="H220" s="1"/>
      <c r="I220" s="1"/>
    </row>
    <row r="221" ht="14.25" customHeight="1">
      <c r="A221" s="52"/>
      <c r="B221" s="52"/>
      <c r="C221" s="53"/>
      <c r="D221" s="1"/>
      <c r="E221" s="1"/>
      <c r="F221" s="1"/>
      <c r="G221" s="1"/>
      <c r="H221" s="1"/>
      <c r="I221" s="1"/>
    </row>
    <row r="222" ht="14.25" customHeight="1">
      <c r="A222" s="52"/>
      <c r="B222" s="52"/>
      <c r="C222" s="53"/>
      <c r="D222" s="1"/>
      <c r="E222" s="1"/>
      <c r="F222" s="1"/>
      <c r="G222" s="1"/>
      <c r="H222" s="1"/>
      <c r="I222" s="1"/>
    </row>
    <row r="223" ht="14.25" customHeight="1">
      <c r="A223" s="52"/>
      <c r="B223" s="52"/>
      <c r="C223" s="53"/>
      <c r="D223" s="1"/>
      <c r="E223" s="1"/>
      <c r="F223" s="1"/>
      <c r="G223" s="1"/>
      <c r="H223" s="1"/>
      <c r="I223" s="1"/>
    </row>
    <row r="224" ht="14.25" customHeight="1">
      <c r="A224" s="52"/>
      <c r="B224" s="52"/>
      <c r="C224" s="53"/>
      <c r="D224" s="1"/>
      <c r="E224" s="1"/>
      <c r="F224" s="1"/>
      <c r="G224" s="1"/>
      <c r="H224" s="1"/>
      <c r="I224" s="1"/>
    </row>
    <row r="225" ht="14.25" customHeight="1">
      <c r="A225" s="52"/>
      <c r="B225" s="52"/>
      <c r="C225" s="53"/>
      <c r="D225" s="1"/>
      <c r="E225" s="1"/>
      <c r="F225" s="1"/>
      <c r="G225" s="1"/>
      <c r="H225" s="1"/>
      <c r="I225" s="1"/>
    </row>
    <row r="226" ht="14.25" customHeight="1">
      <c r="A226" s="52"/>
      <c r="B226" s="52"/>
      <c r="C226" s="53"/>
      <c r="D226" s="1"/>
      <c r="E226" s="1"/>
      <c r="F226" s="1"/>
      <c r="G226" s="1"/>
      <c r="H226" s="1"/>
      <c r="I226" s="1"/>
    </row>
    <row r="227" ht="14.25" customHeight="1">
      <c r="A227" s="52"/>
      <c r="B227" s="52"/>
      <c r="C227" s="53"/>
      <c r="D227" s="1"/>
      <c r="E227" s="1"/>
      <c r="F227" s="1"/>
      <c r="G227" s="1"/>
      <c r="H227" s="1"/>
      <c r="I227" s="1"/>
    </row>
    <row r="228" ht="14.25" customHeight="1">
      <c r="A228" s="52"/>
      <c r="B228" s="52"/>
      <c r="C228" s="53"/>
      <c r="D228" s="1"/>
      <c r="E228" s="1"/>
      <c r="F228" s="1"/>
      <c r="G228" s="1"/>
      <c r="H228" s="1"/>
      <c r="I228" s="1"/>
    </row>
    <row r="229" ht="14.25" customHeight="1">
      <c r="A229" s="52"/>
      <c r="B229" s="52"/>
      <c r="C229" s="53"/>
      <c r="D229" s="1"/>
      <c r="E229" s="1"/>
      <c r="F229" s="1"/>
      <c r="G229" s="1"/>
      <c r="H229" s="1"/>
      <c r="I229" s="1"/>
    </row>
    <row r="230" ht="14.25" customHeight="1">
      <c r="A230" s="52"/>
      <c r="B230" s="52"/>
      <c r="C230" s="53"/>
      <c r="D230" s="1"/>
      <c r="E230" s="1"/>
      <c r="F230" s="1"/>
      <c r="G230" s="1"/>
      <c r="H230" s="1"/>
      <c r="I230" s="1"/>
    </row>
    <row r="231" ht="14.25" customHeight="1">
      <c r="A231" s="52"/>
      <c r="B231" s="52"/>
      <c r="C231" s="53"/>
      <c r="D231" s="1"/>
      <c r="E231" s="1"/>
      <c r="F231" s="1"/>
      <c r="G231" s="1"/>
      <c r="H231" s="1"/>
      <c r="I231" s="1"/>
    </row>
    <row r="232" ht="14.25" customHeight="1">
      <c r="A232" s="52"/>
      <c r="B232" s="52"/>
      <c r="C232" s="53"/>
      <c r="D232" s="1"/>
      <c r="E232" s="1"/>
      <c r="F232" s="1"/>
      <c r="G232" s="1"/>
      <c r="H232" s="1"/>
      <c r="I232" s="1"/>
    </row>
    <row r="233" ht="14.25" customHeight="1">
      <c r="A233" s="52"/>
      <c r="B233" s="52"/>
      <c r="C233" s="53"/>
      <c r="D233" s="1"/>
      <c r="E233" s="1"/>
      <c r="F233" s="1"/>
      <c r="G233" s="1"/>
      <c r="H233" s="1"/>
      <c r="I233" s="1"/>
    </row>
    <row r="234" ht="14.25" customHeight="1">
      <c r="A234" s="52"/>
      <c r="B234" s="52"/>
      <c r="C234" s="53"/>
      <c r="D234" s="1"/>
      <c r="E234" s="1"/>
      <c r="F234" s="1"/>
      <c r="G234" s="1"/>
      <c r="H234" s="1"/>
      <c r="I234" s="1"/>
    </row>
    <row r="235" ht="14.25" customHeight="1">
      <c r="A235" s="52"/>
      <c r="B235" s="52"/>
      <c r="C235" s="53"/>
      <c r="D235" s="1"/>
      <c r="E235" s="1"/>
      <c r="F235" s="1"/>
      <c r="G235" s="1"/>
      <c r="H235" s="1"/>
      <c r="I235" s="1"/>
    </row>
    <row r="236" ht="14.25" customHeight="1">
      <c r="A236" s="52"/>
      <c r="B236" s="52"/>
      <c r="C236" s="53"/>
      <c r="D236" s="1"/>
      <c r="E236" s="1"/>
      <c r="F236" s="1"/>
      <c r="G236" s="1"/>
      <c r="H236" s="1"/>
      <c r="I236" s="1"/>
    </row>
    <row r="237" ht="14.25" customHeight="1">
      <c r="A237" s="52"/>
      <c r="B237" s="52"/>
      <c r="C237" s="53"/>
      <c r="D237" s="1"/>
      <c r="E237" s="1"/>
      <c r="F237" s="1"/>
      <c r="G237" s="1"/>
      <c r="H237" s="1"/>
      <c r="I237" s="1"/>
    </row>
    <row r="238" ht="14.25" customHeight="1">
      <c r="A238" s="52"/>
      <c r="B238" s="52"/>
      <c r="C238" s="53"/>
      <c r="D238" s="1"/>
      <c r="E238" s="1"/>
      <c r="F238" s="1"/>
      <c r="G238" s="1"/>
      <c r="H238" s="1"/>
      <c r="I238" s="1"/>
    </row>
    <row r="239" ht="14.25" customHeight="1">
      <c r="A239" s="52"/>
      <c r="B239" s="52"/>
      <c r="C239" s="53"/>
      <c r="D239" s="1"/>
      <c r="E239" s="1"/>
      <c r="F239" s="1"/>
      <c r="G239" s="1"/>
      <c r="H239" s="1"/>
      <c r="I239" s="1"/>
    </row>
    <row r="240" ht="14.25" customHeight="1">
      <c r="A240" s="52"/>
      <c r="B240" s="52"/>
      <c r="C240" s="53"/>
      <c r="D240" s="1"/>
      <c r="E240" s="1"/>
      <c r="F240" s="1"/>
      <c r="G240" s="1"/>
      <c r="H240" s="1"/>
      <c r="I240" s="1"/>
    </row>
    <row r="241" ht="14.25" customHeight="1">
      <c r="A241" s="52"/>
      <c r="B241" s="52"/>
      <c r="C241" s="53"/>
      <c r="D241" s="1"/>
      <c r="E241" s="1"/>
      <c r="F241" s="1"/>
      <c r="G241" s="1"/>
      <c r="H241" s="1"/>
      <c r="I241" s="1"/>
    </row>
    <row r="242" ht="14.25" customHeight="1">
      <c r="A242" s="52"/>
      <c r="B242" s="52"/>
      <c r="C242" s="53"/>
      <c r="D242" s="1"/>
      <c r="E242" s="1"/>
      <c r="F242" s="1"/>
      <c r="G242" s="1"/>
      <c r="H242" s="1"/>
      <c r="I242" s="1"/>
    </row>
    <row r="243" ht="14.25" customHeight="1">
      <c r="A243" s="52"/>
      <c r="B243" s="52"/>
      <c r="C243" s="53"/>
      <c r="D243" s="1"/>
      <c r="E243" s="1"/>
      <c r="F243" s="1"/>
      <c r="G243" s="1"/>
      <c r="H243" s="1"/>
      <c r="I243" s="1"/>
    </row>
    <row r="244" ht="14.25" customHeight="1">
      <c r="A244" s="52"/>
      <c r="B244" s="52"/>
      <c r="C244" s="53"/>
      <c r="D244" s="1"/>
      <c r="E244" s="1"/>
      <c r="F244" s="1"/>
      <c r="G244" s="1"/>
      <c r="H244" s="1"/>
      <c r="I244" s="1"/>
    </row>
    <row r="245" ht="14.25" customHeight="1">
      <c r="A245" s="52"/>
      <c r="B245" s="52"/>
      <c r="C245" s="53"/>
      <c r="D245" s="1"/>
      <c r="E245" s="1"/>
      <c r="F245" s="1"/>
      <c r="G245" s="1"/>
      <c r="H245" s="1"/>
      <c r="I245" s="1"/>
    </row>
    <row r="246" ht="14.25" customHeight="1">
      <c r="A246" s="52"/>
      <c r="B246" s="52"/>
      <c r="C246" s="53"/>
      <c r="D246" s="1"/>
      <c r="E246" s="1"/>
      <c r="F246" s="1"/>
      <c r="G246" s="1"/>
      <c r="H246" s="1"/>
      <c r="I246" s="1"/>
    </row>
    <row r="247" ht="14.25" customHeight="1">
      <c r="A247" s="52"/>
      <c r="B247" s="52"/>
      <c r="C247" s="53"/>
      <c r="D247" s="1"/>
      <c r="E247" s="1"/>
      <c r="F247" s="1"/>
      <c r="G247" s="1"/>
      <c r="H247" s="1"/>
      <c r="I247" s="1"/>
    </row>
    <row r="248" ht="14.25" customHeight="1">
      <c r="A248" s="52"/>
      <c r="B248" s="52"/>
      <c r="C248" s="53"/>
      <c r="D248" s="1"/>
      <c r="E248" s="1"/>
      <c r="F248" s="1"/>
      <c r="G248" s="1"/>
      <c r="H248" s="1"/>
      <c r="I248" s="1"/>
    </row>
    <row r="249" ht="14.25" customHeight="1">
      <c r="A249" s="52"/>
      <c r="B249" s="52"/>
      <c r="C249" s="53"/>
      <c r="D249" s="1"/>
      <c r="E249" s="1"/>
      <c r="F249" s="1"/>
      <c r="G249" s="1"/>
      <c r="H249" s="1"/>
      <c r="I249" s="1"/>
    </row>
    <row r="250" ht="14.25" customHeight="1">
      <c r="A250" s="52"/>
      <c r="B250" s="52"/>
      <c r="C250" s="53"/>
      <c r="D250" s="1"/>
      <c r="E250" s="1"/>
      <c r="F250" s="1"/>
      <c r="G250" s="1"/>
      <c r="H250" s="1"/>
      <c r="I250" s="1"/>
    </row>
    <row r="251" ht="14.25" customHeight="1">
      <c r="A251" s="52"/>
      <c r="B251" s="52"/>
      <c r="C251" s="53"/>
      <c r="D251" s="1"/>
      <c r="E251" s="1"/>
      <c r="F251" s="1"/>
      <c r="G251" s="1"/>
      <c r="H251" s="1"/>
      <c r="I251" s="1"/>
    </row>
    <row r="252" ht="14.25" customHeight="1">
      <c r="A252" s="52"/>
      <c r="B252" s="52"/>
      <c r="C252" s="53"/>
      <c r="D252" s="1"/>
      <c r="E252" s="1"/>
      <c r="F252" s="1"/>
      <c r="G252" s="1"/>
      <c r="H252" s="1"/>
      <c r="I252" s="1"/>
    </row>
    <row r="253" ht="14.25" customHeight="1">
      <c r="A253" s="52"/>
      <c r="B253" s="52"/>
      <c r="C253" s="53"/>
      <c r="D253" s="1"/>
      <c r="E253" s="1"/>
      <c r="F253" s="1"/>
      <c r="G253" s="1"/>
      <c r="H253" s="1"/>
      <c r="I253" s="1"/>
    </row>
    <row r="254" ht="14.25" customHeight="1">
      <c r="A254" s="52"/>
      <c r="B254" s="52"/>
      <c r="C254" s="53"/>
      <c r="D254" s="1"/>
      <c r="E254" s="1"/>
      <c r="F254" s="1"/>
      <c r="G254" s="1"/>
      <c r="H254" s="1"/>
      <c r="I254" s="1"/>
    </row>
    <row r="255" ht="14.25" customHeight="1">
      <c r="A255" s="52"/>
      <c r="B255" s="52"/>
      <c r="C255" s="53"/>
      <c r="D255" s="1"/>
      <c r="E255" s="1"/>
      <c r="F255" s="1"/>
      <c r="G255" s="1"/>
      <c r="H255" s="1"/>
      <c r="I255" s="1"/>
    </row>
    <row r="256" ht="14.25" customHeight="1">
      <c r="A256" s="52"/>
      <c r="B256" s="52"/>
      <c r="C256" s="53"/>
      <c r="D256" s="1"/>
      <c r="E256" s="1"/>
      <c r="F256" s="1"/>
      <c r="G256" s="1"/>
      <c r="H256" s="1"/>
      <c r="I256" s="1"/>
    </row>
    <row r="257" ht="14.25" customHeight="1">
      <c r="A257" s="52"/>
      <c r="B257" s="52"/>
      <c r="C257" s="53"/>
      <c r="D257" s="1"/>
      <c r="E257" s="1"/>
      <c r="F257" s="1"/>
      <c r="G257" s="1"/>
      <c r="H257" s="1"/>
      <c r="I257" s="1"/>
    </row>
    <row r="258" ht="14.25" customHeight="1">
      <c r="A258" s="52"/>
      <c r="B258" s="52"/>
      <c r="C258" s="53"/>
      <c r="D258" s="1"/>
      <c r="E258" s="1"/>
      <c r="F258" s="1"/>
      <c r="G258" s="1"/>
      <c r="H258" s="1"/>
      <c r="I258" s="1"/>
    </row>
    <row r="259" ht="14.25" customHeight="1">
      <c r="A259" s="52"/>
      <c r="B259" s="52"/>
      <c r="C259" s="53"/>
      <c r="D259" s="1"/>
      <c r="E259" s="1"/>
      <c r="F259" s="1"/>
      <c r="G259" s="1"/>
      <c r="H259" s="1"/>
      <c r="I259" s="1"/>
    </row>
    <row r="260" ht="14.25" customHeight="1">
      <c r="A260" s="52"/>
      <c r="B260" s="52"/>
      <c r="C260" s="53"/>
      <c r="D260" s="1"/>
      <c r="E260" s="1"/>
      <c r="F260" s="1"/>
      <c r="G260" s="1"/>
      <c r="H260" s="1"/>
      <c r="I260" s="1"/>
    </row>
    <row r="261" ht="14.25" customHeight="1">
      <c r="A261" s="52"/>
      <c r="B261" s="52"/>
      <c r="C261" s="53"/>
      <c r="D261" s="1"/>
      <c r="E261" s="1"/>
      <c r="F261" s="1"/>
      <c r="G261" s="1"/>
      <c r="H261" s="1"/>
      <c r="I261" s="1"/>
    </row>
    <row r="262" ht="14.25" customHeight="1">
      <c r="A262" s="52"/>
      <c r="B262" s="52"/>
      <c r="C262" s="53"/>
      <c r="D262" s="1"/>
      <c r="E262" s="1"/>
      <c r="F262" s="1"/>
      <c r="G262" s="1"/>
      <c r="H262" s="1"/>
      <c r="I262" s="1"/>
    </row>
    <row r="263" ht="14.25" customHeight="1">
      <c r="A263" s="52"/>
      <c r="B263" s="52"/>
      <c r="C263" s="53"/>
      <c r="D263" s="1"/>
      <c r="E263" s="1"/>
      <c r="F263" s="1"/>
      <c r="G263" s="1"/>
      <c r="H263" s="1"/>
      <c r="I263" s="1"/>
    </row>
    <row r="264" ht="14.25" customHeight="1">
      <c r="A264" s="52"/>
      <c r="B264" s="52"/>
      <c r="C264" s="53"/>
      <c r="D264" s="1"/>
      <c r="E264" s="1"/>
      <c r="F264" s="1"/>
      <c r="G264" s="1"/>
      <c r="H264" s="1"/>
      <c r="I264" s="1"/>
    </row>
    <row r="265" ht="14.25" customHeight="1">
      <c r="A265" s="52"/>
      <c r="B265" s="52"/>
      <c r="C265" s="53"/>
      <c r="D265" s="1"/>
      <c r="E265" s="1"/>
      <c r="F265" s="1"/>
      <c r="G265" s="1"/>
      <c r="H265" s="1"/>
      <c r="I265" s="1"/>
    </row>
    <row r="266" ht="14.25" customHeight="1">
      <c r="A266" s="52"/>
      <c r="B266" s="52"/>
      <c r="C266" s="53"/>
      <c r="D266" s="1"/>
      <c r="E266" s="1"/>
      <c r="F266" s="1"/>
      <c r="G266" s="1"/>
      <c r="H266" s="1"/>
      <c r="I266" s="1"/>
    </row>
    <row r="267" ht="14.25" customHeight="1">
      <c r="A267" s="52"/>
      <c r="B267" s="52"/>
      <c r="C267" s="53"/>
      <c r="D267" s="1"/>
      <c r="E267" s="1"/>
      <c r="F267" s="1"/>
      <c r="G267" s="1"/>
      <c r="H267" s="1"/>
      <c r="I267" s="1"/>
    </row>
    <row r="268" ht="14.25" customHeight="1">
      <c r="A268" s="52"/>
      <c r="B268" s="52"/>
      <c r="C268" s="53"/>
      <c r="D268" s="1"/>
      <c r="E268" s="1"/>
      <c r="F268" s="1"/>
      <c r="G268" s="1"/>
      <c r="H268" s="1"/>
      <c r="I268" s="1"/>
    </row>
    <row r="269" ht="14.25" customHeight="1">
      <c r="A269" s="52"/>
      <c r="B269" s="52"/>
      <c r="C269" s="53"/>
      <c r="D269" s="1"/>
      <c r="E269" s="1"/>
      <c r="F269" s="1"/>
      <c r="G269" s="1"/>
      <c r="H269" s="1"/>
      <c r="I269" s="1"/>
    </row>
    <row r="270" ht="14.25" customHeight="1">
      <c r="A270" s="52"/>
      <c r="B270" s="52"/>
      <c r="C270" s="53"/>
      <c r="D270" s="1"/>
      <c r="E270" s="1"/>
      <c r="F270" s="1"/>
      <c r="G270" s="1"/>
      <c r="H270" s="1"/>
      <c r="I270" s="1"/>
    </row>
    <row r="271" ht="14.25" customHeight="1">
      <c r="A271" s="52"/>
      <c r="B271" s="52"/>
      <c r="C271" s="53"/>
      <c r="D271" s="1"/>
      <c r="E271" s="1"/>
      <c r="F271" s="1"/>
      <c r="G271" s="1"/>
      <c r="H271" s="1"/>
      <c r="I271" s="1"/>
    </row>
    <row r="272" ht="14.25" customHeight="1">
      <c r="A272" s="52"/>
      <c r="B272" s="52"/>
      <c r="C272" s="53"/>
      <c r="D272" s="1"/>
      <c r="E272" s="1"/>
      <c r="F272" s="1"/>
      <c r="G272" s="1"/>
      <c r="H272" s="1"/>
      <c r="I272" s="1"/>
    </row>
    <row r="273" ht="14.25" customHeight="1">
      <c r="A273" s="52"/>
      <c r="B273" s="52"/>
      <c r="C273" s="53"/>
      <c r="D273" s="1"/>
      <c r="E273" s="1"/>
      <c r="F273" s="1"/>
      <c r="G273" s="1"/>
      <c r="H273" s="1"/>
      <c r="I273" s="1"/>
    </row>
    <row r="274" ht="14.25" customHeight="1">
      <c r="A274" s="52"/>
      <c r="B274" s="52"/>
      <c r="C274" s="53"/>
      <c r="D274" s="1"/>
      <c r="E274" s="1"/>
      <c r="F274" s="1"/>
      <c r="G274" s="1"/>
      <c r="H274" s="1"/>
      <c r="I274" s="1"/>
    </row>
    <row r="275" ht="14.25" customHeight="1">
      <c r="A275" s="52"/>
      <c r="B275" s="52"/>
      <c r="C275" s="53"/>
      <c r="D275" s="1"/>
      <c r="E275" s="1"/>
      <c r="F275" s="1"/>
      <c r="G275" s="1"/>
      <c r="H275" s="1"/>
      <c r="I275" s="1"/>
    </row>
    <row r="276" ht="14.25" customHeight="1">
      <c r="A276" s="52"/>
      <c r="B276" s="52"/>
      <c r="C276" s="53"/>
      <c r="D276" s="1"/>
      <c r="E276" s="1"/>
      <c r="F276" s="1"/>
      <c r="G276" s="1"/>
      <c r="H276" s="1"/>
      <c r="I276" s="1"/>
    </row>
    <row r="277" ht="14.25" customHeight="1">
      <c r="A277" s="52"/>
      <c r="B277" s="52"/>
      <c r="C277" s="53"/>
      <c r="D277" s="1"/>
      <c r="E277" s="1"/>
      <c r="F277" s="1"/>
      <c r="G277" s="1"/>
      <c r="H277" s="1"/>
      <c r="I277" s="1"/>
    </row>
    <row r="278" ht="14.25" customHeight="1">
      <c r="A278" s="52"/>
      <c r="B278" s="52"/>
      <c r="C278" s="53"/>
      <c r="D278" s="1"/>
      <c r="E278" s="1"/>
      <c r="F278" s="1"/>
      <c r="G278" s="1"/>
      <c r="H278" s="1"/>
      <c r="I278" s="1"/>
    </row>
    <row r="279" ht="14.25" customHeight="1">
      <c r="A279" s="52"/>
      <c r="B279" s="52"/>
      <c r="C279" s="53"/>
      <c r="D279" s="1"/>
      <c r="E279" s="1"/>
      <c r="F279" s="1"/>
      <c r="G279" s="1"/>
      <c r="H279" s="1"/>
      <c r="I279" s="1"/>
    </row>
    <row r="280" ht="14.25" customHeight="1">
      <c r="A280" s="52"/>
      <c r="B280" s="52"/>
      <c r="C280" s="53"/>
      <c r="D280" s="1"/>
      <c r="E280" s="1"/>
      <c r="F280" s="1"/>
      <c r="G280" s="1"/>
      <c r="H280" s="1"/>
      <c r="I280" s="1"/>
    </row>
    <row r="281" ht="14.25" customHeight="1">
      <c r="A281" s="52"/>
      <c r="B281" s="52"/>
      <c r="C281" s="53"/>
      <c r="D281" s="1"/>
      <c r="E281" s="1"/>
      <c r="F281" s="1"/>
      <c r="G281" s="1"/>
      <c r="H281" s="1"/>
      <c r="I281" s="1"/>
    </row>
    <row r="282" ht="14.25" customHeight="1">
      <c r="A282" s="52"/>
      <c r="B282" s="52"/>
      <c r="C282" s="53"/>
      <c r="D282" s="1"/>
      <c r="E282" s="1"/>
      <c r="F282" s="1"/>
      <c r="G282" s="1"/>
      <c r="H282" s="1"/>
      <c r="I282" s="1"/>
    </row>
    <row r="283" ht="14.25" customHeight="1">
      <c r="A283" s="52"/>
      <c r="B283" s="52"/>
      <c r="C283" s="53"/>
      <c r="D283" s="1"/>
      <c r="E283" s="1"/>
      <c r="F283" s="1"/>
      <c r="G283" s="1"/>
      <c r="H283" s="1"/>
      <c r="I283" s="1"/>
    </row>
    <row r="284" ht="14.25" customHeight="1">
      <c r="A284" s="52"/>
      <c r="B284" s="52"/>
      <c r="C284" s="53"/>
      <c r="D284" s="1"/>
      <c r="E284" s="1"/>
      <c r="F284" s="1"/>
      <c r="G284" s="1"/>
      <c r="H284" s="1"/>
      <c r="I284" s="1"/>
    </row>
    <row r="285" ht="14.25" customHeight="1">
      <c r="A285" s="52"/>
      <c r="B285" s="52"/>
      <c r="C285" s="53"/>
      <c r="D285" s="1"/>
      <c r="E285" s="1"/>
      <c r="F285" s="1"/>
      <c r="G285" s="1"/>
      <c r="H285" s="1"/>
      <c r="I285" s="1"/>
    </row>
    <row r="286" ht="14.25" customHeight="1">
      <c r="A286" s="52"/>
      <c r="B286" s="52"/>
      <c r="C286" s="53"/>
      <c r="D286" s="1"/>
      <c r="E286" s="1"/>
      <c r="F286" s="1"/>
      <c r="G286" s="1"/>
      <c r="H286" s="1"/>
      <c r="I286" s="1"/>
    </row>
    <row r="287" ht="14.25" customHeight="1">
      <c r="A287" s="52"/>
      <c r="B287" s="52"/>
      <c r="C287" s="53"/>
      <c r="D287" s="1"/>
      <c r="E287" s="1"/>
      <c r="F287" s="1"/>
      <c r="G287" s="1"/>
      <c r="H287" s="1"/>
      <c r="I287" s="1"/>
    </row>
    <row r="288" ht="14.25" customHeight="1">
      <c r="A288" s="52"/>
      <c r="B288" s="52"/>
      <c r="C288" s="53"/>
      <c r="D288" s="1"/>
      <c r="E288" s="1"/>
      <c r="F288" s="1"/>
      <c r="G288" s="1"/>
      <c r="H288" s="1"/>
      <c r="I288" s="1"/>
    </row>
    <row r="289" ht="14.25" customHeight="1">
      <c r="A289" s="52"/>
      <c r="B289" s="52"/>
      <c r="C289" s="53"/>
      <c r="D289" s="1"/>
      <c r="E289" s="1"/>
      <c r="F289" s="1"/>
      <c r="G289" s="1"/>
      <c r="H289" s="1"/>
      <c r="I289" s="1"/>
    </row>
    <row r="290" ht="14.25" customHeight="1">
      <c r="A290" s="52"/>
      <c r="B290" s="52"/>
      <c r="C290" s="53"/>
      <c r="D290" s="1"/>
      <c r="E290" s="1"/>
      <c r="F290" s="1"/>
      <c r="G290" s="1"/>
      <c r="H290" s="1"/>
      <c r="I290" s="1"/>
    </row>
    <row r="291" ht="14.25" customHeight="1">
      <c r="A291" s="52"/>
      <c r="B291" s="52"/>
      <c r="C291" s="53"/>
      <c r="D291" s="1"/>
      <c r="E291" s="1"/>
      <c r="F291" s="1"/>
      <c r="G291" s="1"/>
      <c r="H291" s="1"/>
      <c r="I291" s="1"/>
    </row>
    <row r="292" ht="14.25" customHeight="1">
      <c r="A292" s="52"/>
      <c r="B292" s="52"/>
      <c r="C292" s="53"/>
      <c r="D292" s="1"/>
      <c r="E292" s="1"/>
      <c r="F292" s="1"/>
      <c r="G292" s="1"/>
      <c r="H292" s="1"/>
      <c r="I292" s="1"/>
    </row>
    <row r="293" ht="14.25" customHeight="1">
      <c r="A293" s="52"/>
      <c r="B293" s="52"/>
      <c r="C293" s="53"/>
      <c r="D293" s="1"/>
      <c r="E293" s="1"/>
      <c r="F293" s="1"/>
      <c r="G293" s="1"/>
      <c r="H293" s="1"/>
      <c r="I293" s="1"/>
    </row>
    <row r="294" ht="14.25" customHeight="1">
      <c r="A294" s="52"/>
      <c r="B294" s="52"/>
      <c r="C294" s="53"/>
      <c r="D294" s="1"/>
      <c r="E294" s="1"/>
      <c r="F294" s="1"/>
      <c r="G294" s="1"/>
      <c r="H294" s="1"/>
      <c r="I294" s="1"/>
    </row>
    <row r="295" ht="14.25" customHeight="1">
      <c r="A295" s="52"/>
      <c r="B295" s="52"/>
      <c r="C295" s="53"/>
      <c r="D295" s="1"/>
      <c r="E295" s="1"/>
      <c r="F295" s="1"/>
      <c r="G295" s="1"/>
      <c r="H295" s="1"/>
      <c r="I295" s="1"/>
    </row>
    <row r="296" ht="14.25" customHeight="1">
      <c r="A296" s="52"/>
      <c r="B296" s="52"/>
      <c r="C296" s="53"/>
      <c r="D296" s="1"/>
      <c r="E296" s="1"/>
      <c r="F296" s="1"/>
      <c r="G296" s="1"/>
      <c r="H296" s="1"/>
      <c r="I296" s="1"/>
    </row>
    <row r="297" ht="14.25" customHeight="1">
      <c r="A297" s="52"/>
      <c r="B297" s="52"/>
      <c r="C297" s="53"/>
      <c r="D297" s="1"/>
      <c r="E297" s="1"/>
      <c r="F297" s="1"/>
      <c r="G297" s="1"/>
      <c r="H297" s="1"/>
      <c r="I297" s="1"/>
    </row>
    <row r="298" ht="14.25" customHeight="1">
      <c r="A298" s="52"/>
      <c r="B298" s="52"/>
      <c r="C298" s="53"/>
      <c r="D298" s="1"/>
      <c r="E298" s="1"/>
      <c r="F298" s="1"/>
      <c r="G298" s="1"/>
      <c r="H298" s="1"/>
      <c r="I298" s="1"/>
    </row>
    <row r="299" ht="14.25" customHeight="1">
      <c r="A299" s="52"/>
      <c r="B299" s="52"/>
      <c r="C299" s="53"/>
      <c r="D299" s="1"/>
      <c r="E299" s="1"/>
      <c r="F299" s="1"/>
      <c r="G299" s="1"/>
      <c r="H299" s="1"/>
      <c r="I299" s="1"/>
    </row>
    <row r="300" ht="14.25" customHeight="1">
      <c r="A300" s="52"/>
      <c r="B300" s="52"/>
      <c r="C300" s="53"/>
      <c r="D300" s="1"/>
      <c r="E300" s="1"/>
      <c r="F300" s="1"/>
      <c r="G300" s="1"/>
      <c r="H300" s="1"/>
      <c r="I300" s="1"/>
    </row>
    <row r="301" ht="14.25" customHeight="1">
      <c r="A301" s="52"/>
      <c r="B301" s="52"/>
      <c r="C301" s="53"/>
      <c r="D301" s="1"/>
      <c r="E301" s="1"/>
      <c r="F301" s="1"/>
      <c r="G301" s="1"/>
      <c r="H301" s="1"/>
      <c r="I301" s="1"/>
    </row>
    <row r="302" ht="14.25" customHeight="1">
      <c r="A302" s="52"/>
      <c r="B302" s="52"/>
      <c r="C302" s="53"/>
      <c r="D302" s="1"/>
      <c r="E302" s="1"/>
      <c r="F302" s="1"/>
      <c r="G302" s="1"/>
      <c r="H302" s="1"/>
      <c r="I302" s="1"/>
    </row>
    <row r="303" ht="14.25" customHeight="1">
      <c r="A303" s="52"/>
      <c r="B303" s="52"/>
      <c r="C303" s="53"/>
      <c r="D303" s="1"/>
      <c r="E303" s="1"/>
      <c r="F303" s="1"/>
      <c r="G303" s="1"/>
      <c r="H303" s="1"/>
      <c r="I303" s="1"/>
    </row>
    <row r="304" ht="14.25" customHeight="1">
      <c r="A304" s="52"/>
      <c r="B304" s="52"/>
      <c r="C304" s="53"/>
      <c r="D304" s="1"/>
      <c r="E304" s="1"/>
      <c r="F304" s="1"/>
      <c r="G304" s="1"/>
      <c r="H304" s="1"/>
      <c r="I304" s="1"/>
    </row>
    <row r="305" ht="14.25" customHeight="1">
      <c r="A305" s="52"/>
      <c r="B305" s="52"/>
      <c r="C305" s="53"/>
      <c r="D305" s="1"/>
      <c r="E305" s="1"/>
      <c r="F305" s="1"/>
      <c r="G305" s="1"/>
      <c r="H305" s="1"/>
      <c r="I305" s="1"/>
    </row>
    <row r="306" ht="14.25" customHeight="1">
      <c r="A306" s="52"/>
      <c r="B306" s="52"/>
      <c r="C306" s="53"/>
      <c r="D306" s="1"/>
      <c r="E306" s="1"/>
      <c r="F306" s="1"/>
      <c r="G306" s="1"/>
      <c r="H306" s="1"/>
      <c r="I306" s="1"/>
    </row>
    <row r="307" ht="14.25" customHeight="1">
      <c r="A307" s="52"/>
      <c r="B307" s="52"/>
      <c r="C307" s="53"/>
      <c r="D307" s="1"/>
      <c r="E307" s="1"/>
      <c r="F307" s="1"/>
      <c r="G307" s="1"/>
      <c r="H307" s="1"/>
      <c r="I307" s="1"/>
    </row>
    <row r="308" ht="14.25" customHeight="1">
      <c r="A308" s="52"/>
      <c r="B308" s="52"/>
      <c r="C308" s="53"/>
      <c r="D308" s="1"/>
      <c r="E308" s="1"/>
      <c r="F308" s="1"/>
      <c r="G308" s="1"/>
      <c r="H308" s="1"/>
      <c r="I308" s="1"/>
    </row>
    <row r="309" ht="14.25" customHeight="1">
      <c r="A309" s="52"/>
      <c r="B309" s="52"/>
      <c r="C309" s="53"/>
      <c r="D309" s="1"/>
      <c r="E309" s="1"/>
      <c r="F309" s="1"/>
      <c r="G309" s="1"/>
      <c r="H309" s="1"/>
      <c r="I309" s="1"/>
    </row>
    <row r="310" ht="14.25" customHeight="1">
      <c r="A310" s="52"/>
      <c r="B310" s="52"/>
      <c r="C310" s="53"/>
      <c r="D310" s="1"/>
      <c r="E310" s="1"/>
      <c r="F310" s="1"/>
      <c r="G310" s="1"/>
      <c r="H310" s="1"/>
      <c r="I310" s="1"/>
    </row>
    <row r="311" ht="14.25" customHeight="1">
      <c r="A311" s="52"/>
      <c r="B311" s="52"/>
      <c r="C311" s="53"/>
      <c r="D311" s="1"/>
      <c r="E311" s="1"/>
      <c r="F311" s="1"/>
      <c r="G311" s="1"/>
      <c r="H311" s="1"/>
      <c r="I311" s="1"/>
    </row>
    <row r="312" ht="14.25" customHeight="1">
      <c r="A312" s="52"/>
      <c r="B312" s="52"/>
      <c r="C312" s="53"/>
      <c r="D312" s="1"/>
      <c r="E312" s="1"/>
      <c r="F312" s="1"/>
      <c r="G312" s="1"/>
      <c r="H312" s="1"/>
      <c r="I312" s="1"/>
    </row>
    <row r="313" ht="14.25" customHeight="1">
      <c r="A313" s="52"/>
      <c r="B313" s="52"/>
      <c r="C313" s="53"/>
      <c r="D313" s="1"/>
      <c r="E313" s="1"/>
      <c r="F313" s="1"/>
      <c r="G313" s="1"/>
      <c r="H313" s="1"/>
      <c r="I313" s="1"/>
    </row>
    <row r="314" ht="14.25" customHeight="1">
      <c r="A314" s="52"/>
      <c r="B314" s="52"/>
      <c r="C314" s="53"/>
      <c r="D314" s="1"/>
      <c r="E314" s="1"/>
      <c r="F314" s="1"/>
      <c r="G314" s="1"/>
      <c r="H314" s="1"/>
      <c r="I314" s="1"/>
    </row>
    <row r="315" ht="14.25" customHeight="1">
      <c r="A315" s="52"/>
      <c r="B315" s="52"/>
      <c r="C315" s="53"/>
      <c r="D315" s="1"/>
      <c r="E315" s="1"/>
      <c r="F315" s="1"/>
      <c r="G315" s="1"/>
      <c r="H315" s="1"/>
      <c r="I315" s="1"/>
    </row>
    <row r="316" ht="14.25" customHeight="1">
      <c r="A316" s="52"/>
      <c r="B316" s="52"/>
      <c r="C316" s="53"/>
      <c r="D316" s="1"/>
      <c r="E316" s="1"/>
      <c r="F316" s="1"/>
      <c r="G316" s="1"/>
      <c r="H316" s="1"/>
      <c r="I316" s="1"/>
    </row>
    <row r="317" ht="14.25" customHeight="1">
      <c r="A317" s="52"/>
      <c r="B317" s="52"/>
      <c r="C317" s="53"/>
      <c r="D317" s="1"/>
      <c r="E317" s="1"/>
      <c r="F317" s="1"/>
      <c r="G317" s="1"/>
      <c r="H317" s="1"/>
      <c r="I317" s="1"/>
    </row>
    <row r="318" ht="14.25" customHeight="1">
      <c r="A318" s="52"/>
      <c r="B318" s="52"/>
      <c r="C318" s="53"/>
      <c r="D318" s="1"/>
      <c r="E318" s="1"/>
      <c r="F318" s="1"/>
      <c r="G318" s="1"/>
      <c r="H318" s="1"/>
      <c r="I318" s="1"/>
    </row>
    <row r="319" ht="14.25" customHeight="1">
      <c r="A319" s="52"/>
      <c r="B319" s="52"/>
      <c r="C319" s="53"/>
      <c r="D319" s="1"/>
      <c r="E319" s="1"/>
      <c r="F319" s="1"/>
      <c r="G319" s="1"/>
      <c r="H319" s="1"/>
      <c r="I319" s="1"/>
    </row>
    <row r="320" ht="14.25" customHeight="1">
      <c r="A320" s="52"/>
      <c r="B320" s="52"/>
      <c r="C320" s="53"/>
      <c r="D320" s="1"/>
      <c r="E320" s="1"/>
      <c r="F320" s="1"/>
      <c r="G320" s="1"/>
      <c r="H320" s="1"/>
      <c r="I320" s="1"/>
    </row>
    <row r="321" ht="14.25" customHeight="1">
      <c r="A321" s="52"/>
      <c r="B321" s="52"/>
      <c r="C321" s="53"/>
      <c r="D321" s="1"/>
      <c r="E321" s="1"/>
      <c r="F321" s="1"/>
      <c r="G321" s="1"/>
      <c r="H321" s="1"/>
      <c r="I321" s="1"/>
    </row>
    <row r="322" ht="14.25" customHeight="1">
      <c r="A322" s="52"/>
      <c r="B322" s="52"/>
      <c r="C322" s="53"/>
      <c r="D322" s="1"/>
      <c r="E322" s="1"/>
      <c r="F322" s="1"/>
      <c r="G322" s="1"/>
      <c r="H322" s="1"/>
      <c r="I322" s="1"/>
    </row>
    <row r="323" ht="14.25" customHeight="1">
      <c r="A323" s="52"/>
      <c r="B323" s="52"/>
      <c r="C323" s="53"/>
      <c r="D323" s="1"/>
      <c r="E323" s="1"/>
      <c r="F323" s="1"/>
      <c r="G323" s="1"/>
      <c r="H323" s="1"/>
      <c r="I323" s="1"/>
    </row>
    <row r="324" ht="14.25" customHeight="1">
      <c r="A324" s="52"/>
      <c r="B324" s="52"/>
      <c r="C324" s="53"/>
      <c r="D324" s="1"/>
      <c r="E324" s="1"/>
      <c r="F324" s="1"/>
      <c r="G324" s="1"/>
      <c r="H324" s="1"/>
      <c r="I324" s="1"/>
    </row>
    <row r="325" ht="14.25" customHeight="1">
      <c r="A325" s="52"/>
      <c r="B325" s="52"/>
      <c r="C325" s="53"/>
      <c r="D325" s="1"/>
      <c r="E325" s="1"/>
      <c r="F325" s="1"/>
      <c r="G325" s="1"/>
      <c r="H325" s="1"/>
      <c r="I325" s="1"/>
    </row>
    <row r="326" ht="14.25" customHeight="1">
      <c r="A326" s="52"/>
      <c r="B326" s="52"/>
      <c r="C326" s="53"/>
      <c r="D326" s="1"/>
      <c r="E326" s="1"/>
      <c r="F326" s="1"/>
      <c r="G326" s="1"/>
      <c r="H326" s="1"/>
      <c r="I326" s="1"/>
    </row>
    <row r="327" ht="14.25" customHeight="1">
      <c r="A327" s="52"/>
      <c r="B327" s="52"/>
      <c r="C327" s="53"/>
      <c r="D327" s="1"/>
      <c r="E327" s="1"/>
      <c r="F327" s="1"/>
      <c r="G327" s="1"/>
      <c r="H327" s="1"/>
      <c r="I327" s="1"/>
    </row>
    <row r="328" ht="14.25" customHeight="1">
      <c r="A328" s="52"/>
      <c r="B328" s="52"/>
      <c r="C328" s="53"/>
      <c r="D328" s="1"/>
      <c r="E328" s="1"/>
      <c r="F328" s="1"/>
      <c r="G328" s="1"/>
      <c r="H328" s="1"/>
      <c r="I328" s="1"/>
    </row>
    <row r="329" ht="14.25" customHeight="1">
      <c r="A329" s="52"/>
      <c r="B329" s="52"/>
      <c r="C329" s="53"/>
      <c r="D329" s="1"/>
      <c r="E329" s="1"/>
      <c r="F329" s="1"/>
      <c r="G329" s="1"/>
      <c r="H329" s="1"/>
      <c r="I329" s="1"/>
    </row>
    <row r="330" ht="14.25" customHeight="1">
      <c r="A330" s="52"/>
      <c r="B330" s="52"/>
      <c r="C330" s="53"/>
      <c r="D330" s="1"/>
      <c r="E330" s="1"/>
      <c r="F330" s="1"/>
      <c r="G330" s="1"/>
      <c r="H330" s="1"/>
      <c r="I330" s="1"/>
    </row>
    <row r="331" ht="14.25" customHeight="1">
      <c r="A331" s="52"/>
      <c r="B331" s="52"/>
      <c r="C331" s="53"/>
      <c r="D331" s="1"/>
      <c r="E331" s="1"/>
      <c r="F331" s="1"/>
      <c r="G331" s="1"/>
      <c r="H331" s="1"/>
      <c r="I331" s="1"/>
    </row>
    <row r="332" ht="14.25" customHeight="1">
      <c r="A332" s="52"/>
      <c r="B332" s="52"/>
      <c r="C332" s="53"/>
      <c r="D332" s="1"/>
      <c r="E332" s="1"/>
      <c r="F332" s="1"/>
      <c r="G332" s="1"/>
      <c r="H332" s="1"/>
      <c r="I332" s="1"/>
    </row>
    <row r="333" ht="14.25" customHeight="1">
      <c r="A333" s="52"/>
      <c r="B333" s="52"/>
      <c r="C333" s="53"/>
      <c r="D333" s="1"/>
      <c r="E333" s="1"/>
      <c r="F333" s="1"/>
      <c r="G333" s="1"/>
      <c r="H333" s="1"/>
      <c r="I333" s="1"/>
    </row>
    <row r="334" ht="14.25" customHeight="1">
      <c r="A334" s="52"/>
      <c r="B334" s="52"/>
      <c r="C334" s="53"/>
      <c r="D334" s="1"/>
      <c r="E334" s="1"/>
      <c r="F334" s="1"/>
      <c r="G334" s="1"/>
      <c r="H334" s="1"/>
      <c r="I334" s="1"/>
    </row>
    <row r="335" ht="14.25" customHeight="1">
      <c r="A335" s="52"/>
      <c r="B335" s="52"/>
      <c r="C335" s="53"/>
      <c r="D335" s="1"/>
      <c r="E335" s="1"/>
      <c r="F335" s="1"/>
      <c r="G335" s="1"/>
      <c r="H335" s="1"/>
      <c r="I335" s="1"/>
    </row>
    <row r="336" ht="14.25" customHeight="1">
      <c r="A336" s="52"/>
      <c r="B336" s="52"/>
      <c r="C336" s="53"/>
      <c r="D336" s="1"/>
      <c r="E336" s="1"/>
      <c r="F336" s="1"/>
      <c r="G336" s="1"/>
      <c r="H336" s="1"/>
      <c r="I336" s="1"/>
    </row>
    <row r="337" ht="14.25" customHeight="1">
      <c r="A337" s="52"/>
      <c r="B337" s="52"/>
      <c r="C337" s="53"/>
      <c r="D337" s="1"/>
      <c r="E337" s="1"/>
      <c r="F337" s="1"/>
      <c r="G337" s="1"/>
      <c r="H337" s="1"/>
      <c r="I337" s="1"/>
    </row>
    <row r="338" ht="14.25" customHeight="1">
      <c r="A338" s="52"/>
      <c r="B338" s="52"/>
      <c r="C338" s="53"/>
      <c r="D338" s="1"/>
      <c r="E338" s="1"/>
      <c r="F338" s="1"/>
      <c r="G338" s="1"/>
      <c r="H338" s="1"/>
      <c r="I338" s="1"/>
    </row>
    <row r="339" ht="14.25" customHeight="1">
      <c r="A339" s="52"/>
      <c r="B339" s="52"/>
      <c r="C339" s="53"/>
      <c r="D339" s="1"/>
      <c r="E339" s="1"/>
      <c r="F339" s="1"/>
      <c r="G339" s="1"/>
      <c r="H339" s="1"/>
      <c r="I339" s="1"/>
    </row>
    <row r="340" ht="14.25" customHeight="1">
      <c r="A340" s="52"/>
      <c r="B340" s="52"/>
      <c r="C340" s="53"/>
      <c r="D340" s="1"/>
      <c r="E340" s="1"/>
      <c r="F340" s="1"/>
      <c r="G340" s="1"/>
      <c r="H340" s="1"/>
      <c r="I340" s="1"/>
    </row>
    <row r="341" ht="14.25" customHeight="1">
      <c r="A341" s="52"/>
      <c r="B341" s="52"/>
      <c r="C341" s="53"/>
      <c r="D341" s="1"/>
      <c r="E341" s="1"/>
      <c r="F341" s="1"/>
      <c r="G341" s="1"/>
      <c r="H341" s="1"/>
      <c r="I341" s="1"/>
    </row>
    <row r="342" ht="14.25" customHeight="1">
      <c r="A342" s="52"/>
      <c r="B342" s="52"/>
      <c r="C342" s="53"/>
      <c r="D342" s="1"/>
      <c r="E342" s="1"/>
      <c r="F342" s="1"/>
      <c r="G342" s="1"/>
      <c r="H342" s="1"/>
      <c r="I342" s="1"/>
    </row>
    <row r="343" ht="14.25" customHeight="1">
      <c r="A343" s="52"/>
      <c r="B343" s="52"/>
      <c r="C343" s="53"/>
      <c r="D343" s="1"/>
      <c r="E343" s="1"/>
      <c r="F343" s="1"/>
      <c r="G343" s="1"/>
      <c r="H343" s="1"/>
      <c r="I343" s="1"/>
    </row>
    <row r="344" ht="14.25" customHeight="1">
      <c r="A344" s="52"/>
      <c r="B344" s="52"/>
      <c r="C344" s="53"/>
      <c r="D344" s="1"/>
      <c r="E344" s="1"/>
      <c r="F344" s="1"/>
      <c r="G344" s="1"/>
      <c r="H344" s="1"/>
      <c r="I344" s="1"/>
    </row>
    <row r="345" ht="14.25" customHeight="1">
      <c r="A345" s="52"/>
      <c r="B345" s="52"/>
      <c r="C345" s="53"/>
      <c r="D345" s="1"/>
      <c r="E345" s="1"/>
      <c r="F345" s="1"/>
      <c r="G345" s="1"/>
      <c r="H345" s="1"/>
      <c r="I345" s="1"/>
    </row>
    <row r="346" ht="14.25" customHeight="1">
      <c r="A346" s="52"/>
      <c r="B346" s="52"/>
      <c r="C346" s="53"/>
      <c r="D346" s="1"/>
      <c r="E346" s="1"/>
      <c r="F346" s="1"/>
      <c r="G346" s="1"/>
      <c r="H346" s="1"/>
      <c r="I346" s="1"/>
    </row>
    <row r="347" ht="14.25" customHeight="1">
      <c r="A347" s="52"/>
      <c r="B347" s="52"/>
      <c r="C347" s="53"/>
      <c r="D347" s="1"/>
      <c r="E347" s="1"/>
      <c r="F347" s="1"/>
      <c r="G347" s="1"/>
      <c r="H347" s="1"/>
      <c r="I347" s="1"/>
    </row>
    <row r="348" ht="14.25" customHeight="1">
      <c r="A348" s="52"/>
      <c r="B348" s="52"/>
      <c r="C348" s="53"/>
      <c r="D348" s="1"/>
      <c r="E348" s="1"/>
      <c r="F348" s="1"/>
      <c r="G348" s="1"/>
      <c r="H348" s="1"/>
      <c r="I348" s="1"/>
    </row>
    <row r="349" ht="14.25" customHeight="1">
      <c r="A349" s="52"/>
      <c r="B349" s="52"/>
      <c r="C349" s="53"/>
      <c r="D349" s="1"/>
      <c r="E349" s="1"/>
      <c r="F349" s="1"/>
      <c r="G349" s="1"/>
      <c r="H349" s="1"/>
      <c r="I349" s="1"/>
    </row>
    <row r="350" ht="14.25" customHeight="1">
      <c r="A350" s="52"/>
      <c r="B350" s="52"/>
      <c r="C350" s="53"/>
      <c r="D350" s="1"/>
      <c r="E350" s="1"/>
      <c r="F350" s="1"/>
      <c r="G350" s="1"/>
      <c r="H350" s="1"/>
      <c r="I350" s="1"/>
    </row>
    <row r="351" ht="14.25" customHeight="1">
      <c r="A351" s="52"/>
      <c r="B351" s="52"/>
      <c r="C351" s="53"/>
      <c r="D351" s="1"/>
      <c r="E351" s="1"/>
      <c r="F351" s="1"/>
      <c r="G351" s="1"/>
      <c r="H351" s="1"/>
      <c r="I351" s="1"/>
    </row>
    <row r="352" ht="14.25" customHeight="1">
      <c r="A352" s="52"/>
      <c r="B352" s="52"/>
      <c r="C352" s="53"/>
      <c r="D352" s="1"/>
      <c r="E352" s="1"/>
      <c r="F352" s="1"/>
      <c r="G352" s="1"/>
      <c r="H352" s="1"/>
      <c r="I352" s="1"/>
    </row>
    <row r="353" ht="14.25" customHeight="1">
      <c r="A353" s="52"/>
      <c r="B353" s="52"/>
      <c r="C353" s="53"/>
      <c r="D353" s="1"/>
      <c r="E353" s="1"/>
      <c r="F353" s="1"/>
      <c r="G353" s="1"/>
      <c r="H353" s="1"/>
      <c r="I353" s="1"/>
    </row>
    <row r="354" ht="14.25" customHeight="1">
      <c r="A354" s="52"/>
      <c r="B354" s="52"/>
      <c r="C354" s="53"/>
      <c r="D354" s="1"/>
      <c r="E354" s="1"/>
      <c r="F354" s="1"/>
      <c r="G354" s="1"/>
      <c r="H354" s="1"/>
      <c r="I354" s="1"/>
    </row>
    <row r="355" ht="14.25" customHeight="1">
      <c r="A355" s="52"/>
      <c r="B355" s="52"/>
      <c r="C355" s="53"/>
      <c r="D355" s="1"/>
      <c r="E355" s="1"/>
      <c r="F355" s="1"/>
      <c r="G355" s="1"/>
      <c r="H355" s="1"/>
      <c r="I355" s="1"/>
    </row>
    <row r="356" ht="14.25" customHeight="1">
      <c r="A356" s="52"/>
      <c r="B356" s="52"/>
      <c r="C356" s="53"/>
      <c r="D356" s="1"/>
      <c r="E356" s="1"/>
      <c r="F356" s="1"/>
      <c r="G356" s="1"/>
      <c r="H356" s="1"/>
      <c r="I356" s="1"/>
    </row>
    <row r="357" ht="14.25" customHeight="1">
      <c r="A357" s="52"/>
      <c r="B357" s="52"/>
      <c r="C357" s="53"/>
      <c r="D357" s="1"/>
      <c r="E357" s="1"/>
      <c r="F357" s="1"/>
      <c r="G357" s="1"/>
      <c r="H357" s="1"/>
      <c r="I357" s="1"/>
    </row>
    <row r="358" ht="14.25" customHeight="1">
      <c r="A358" s="52"/>
      <c r="B358" s="52"/>
      <c r="C358" s="53"/>
      <c r="D358" s="1"/>
      <c r="E358" s="1"/>
      <c r="F358" s="1"/>
      <c r="G358" s="1"/>
      <c r="H358" s="1"/>
      <c r="I358" s="1"/>
    </row>
    <row r="359" ht="14.25" customHeight="1">
      <c r="A359" s="52"/>
      <c r="B359" s="52"/>
      <c r="C359" s="53"/>
      <c r="D359" s="1"/>
      <c r="E359" s="1"/>
      <c r="F359" s="1"/>
      <c r="G359" s="1"/>
      <c r="H359" s="1"/>
      <c r="I359" s="1"/>
    </row>
    <row r="360" ht="14.25" customHeight="1">
      <c r="A360" s="52"/>
      <c r="B360" s="52"/>
      <c r="C360" s="53"/>
      <c r="D360" s="1"/>
      <c r="E360" s="1"/>
      <c r="F360" s="1"/>
      <c r="G360" s="1"/>
      <c r="H360" s="1"/>
      <c r="I360" s="1"/>
    </row>
    <row r="361" ht="14.25" customHeight="1">
      <c r="A361" s="52"/>
      <c r="B361" s="52"/>
      <c r="C361" s="53"/>
      <c r="D361" s="1"/>
      <c r="E361" s="1"/>
      <c r="F361" s="1"/>
      <c r="G361" s="1"/>
      <c r="H361" s="1"/>
      <c r="I361" s="1"/>
    </row>
    <row r="362" ht="14.25" customHeight="1">
      <c r="A362" s="52"/>
      <c r="B362" s="52"/>
      <c r="C362" s="53"/>
      <c r="D362" s="1"/>
      <c r="E362" s="1"/>
      <c r="F362" s="1"/>
      <c r="G362" s="1"/>
      <c r="H362" s="1"/>
      <c r="I362" s="1"/>
    </row>
    <row r="363" ht="14.25" customHeight="1">
      <c r="A363" s="52"/>
      <c r="B363" s="52"/>
      <c r="C363" s="53"/>
      <c r="D363" s="1"/>
      <c r="E363" s="1"/>
      <c r="F363" s="1"/>
      <c r="G363" s="1"/>
      <c r="H363" s="1"/>
      <c r="I363" s="1"/>
    </row>
    <row r="364" ht="14.25" customHeight="1">
      <c r="A364" s="52"/>
      <c r="B364" s="52"/>
      <c r="C364" s="53"/>
      <c r="D364" s="1"/>
      <c r="E364" s="1"/>
      <c r="F364" s="1"/>
      <c r="G364" s="1"/>
      <c r="H364" s="1"/>
      <c r="I364" s="1"/>
    </row>
    <row r="365" ht="14.25" customHeight="1">
      <c r="A365" s="52"/>
      <c r="B365" s="52"/>
      <c r="C365" s="53"/>
      <c r="D365" s="1"/>
      <c r="E365" s="1"/>
      <c r="F365" s="1"/>
      <c r="G365" s="1"/>
      <c r="H365" s="1"/>
      <c r="I365" s="1"/>
    </row>
    <row r="366" ht="14.25" customHeight="1">
      <c r="A366" s="52"/>
      <c r="B366" s="52"/>
      <c r="C366" s="53"/>
      <c r="D366" s="1"/>
      <c r="E366" s="1"/>
      <c r="F366" s="1"/>
      <c r="G366" s="1"/>
      <c r="H366" s="1"/>
      <c r="I366" s="1"/>
    </row>
    <row r="367" ht="14.25" customHeight="1">
      <c r="A367" s="52"/>
      <c r="B367" s="52"/>
      <c r="C367" s="53"/>
      <c r="D367" s="1"/>
      <c r="E367" s="1"/>
      <c r="F367" s="1"/>
      <c r="G367" s="1"/>
      <c r="H367" s="1"/>
      <c r="I367" s="1"/>
    </row>
    <row r="368" ht="14.25" customHeight="1">
      <c r="A368" s="52"/>
      <c r="B368" s="52"/>
      <c r="C368" s="53"/>
      <c r="D368" s="1"/>
      <c r="E368" s="1"/>
      <c r="F368" s="1"/>
      <c r="G368" s="1"/>
      <c r="H368" s="1"/>
      <c r="I368" s="1"/>
    </row>
    <row r="369" ht="14.25" customHeight="1">
      <c r="A369" s="52"/>
      <c r="B369" s="52"/>
      <c r="C369" s="53"/>
      <c r="D369" s="1"/>
      <c r="E369" s="1"/>
      <c r="F369" s="1"/>
      <c r="G369" s="1"/>
      <c r="H369" s="1"/>
      <c r="I369" s="1"/>
    </row>
    <row r="370" ht="14.25" customHeight="1">
      <c r="A370" s="52"/>
      <c r="B370" s="52"/>
      <c r="C370" s="53"/>
      <c r="D370" s="1"/>
      <c r="E370" s="1"/>
      <c r="F370" s="1"/>
      <c r="G370" s="1"/>
      <c r="H370" s="1"/>
      <c r="I370" s="1"/>
    </row>
    <row r="371" ht="14.25" customHeight="1">
      <c r="A371" s="52"/>
      <c r="B371" s="52"/>
      <c r="C371" s="53"/>
      <c r="D371" s="1"/>
      <c r="E371" s="1"/>
      <c r="F371" s="1"/>
      <c r="G371" s="1"/>
      <c r="H371" s="1"/>
      <c r="I371" s="1"/>
    </row>
    <row r="372" ht="14.25" customHeight="1">
      <c r="A372" s="52"/>
      <c r="B372" s="52"/>
      <c r="C372" s="53"/>
      <c r="D372" s="1"/>
      <c r="E372" s="1"/>
      <c r="F372" s="1"/>
      <c r="G372" s="1"/>
      <c r="H372" s="1"/>
      <c r="I372" s="1"/>
    </row>
    <row r="373" ht="14.25" customHeight="1">
      <c r="A373" s="52"/>
      <c r="B373" s="52"/>
      <c r="C373" s="53"/>
      <c r="D373" s="1"/>
      <c r="E373" s="1"/>
      <c r="F373" s="1"/>
      <c r="G373" s="1"/>
      <c r="H373" s="1"/>
      <c r="I373" s="1"/>
    </row>
    <row r="374" ht="14.25" customHeight="1">
      <c r="A374" s="52"/>
      <c r="B374" s="52"/>
      <c r="C374" s="53"/>
      <c r="D374" s="1"/>
      <c r="E374" s="1"/>
      <c r="F374" s="1"/>
      <c r="G374" s="1"/>
      <c r="H374" s="1"/>
      <c r="I374" s="1"/>
    </row>
    <row r="375" ht="14.25" customHeight="1">
      <c r="A375" s="52"/>
      <c r="B375" s="52"/>
      <c r="C375" s="53"/>
      <c r="D375" s="1"/>
      <c r="E375" s="1"/>
      <c r="F375" s="1"/>
      <c r="G375" s="1"/>
      <c r="H375" s="1"/>
      <c r="I375" s="1"/>
    </row>
    <row r="376" ht="14.25" customHeight="1">
      <c r="A376" s="52"/>
      <c r="B376" s="52"/>
      <c r="C376" s="53"/>
      <c r="D376" s="1"/>
      <c r="E376" s="1"/>
      <c r="F376" s="1"/>
      <c r="G376" s="1"/>
      <c r="H376" s="1"/>
      <c r="I376" s="1"/>
    </row>
    <row r="377" ht="14.25" customHeight="1">
      <c r="A377" s="52"/>
      <c r="B377" s="52"/>
      <c r="C377" s="53"/>
      <c r="D377" s="1"/>
      <c r="E377" s="1"/>
      <c r="F377" s="1"/>
      <c r="G377" s="1"/>
      <c r="H377" s="1"/>
      <c r="I377" s="1"/>
    </row>
    <row r="378" ht="14.25" customHeight="1">
      <c r="A378" s="52"/>
      <c r="B378" s="52"/>
      <c r="C378" s="53"/>
      <c r="D378" s="1"/>
      <c r="E378" s="1"/>
      <c r="F378" s="1"/>
      <c r="G378" s="1"/>
      <c r="H378" s="1"/>
      <c r="I378" s="1"/>
    </row>
    <row r="379" ht="14.25" customHeight="1">
      <c r="A379" s="52"/>
      <c r="B379" s="52"/>
      <c r="C379" s="53"/>
      <c r="D379" s="1"/>
      <c r="E379" s="1"/>
      <c r="F379" s="1"/>
      <c r="G379" s="1"/>
      <c r="H379" s="1"/>
      <c r="I379" s="1"/>
    </row>
    <row r="380" ht="14.25" customHeight="1">
      <c r="A380" s="52"/>
      <c r="B380" s="52"/>
      <c r="C380" s="53"/>
      <c r="D380" s="1"/>
      <c r="E380" s="1"/>
      <c r="F380" s="1"/>
      <c r="G380" s="1"/>
      <c r="H380" s="1"/>
      <c r="I380" s="1"/>
    </row>
    <row r="381" ht="14.25" customHeight="1">
      <c r="A381" s="52"/>
      <c r="B381" s="52"/>
      <c r="C381" s="53"/>
      <c r="D381" s="1"/>
      <c r="E381" s="1"/>
      <c r="F381" s="1"/>
      <c r="G381" s="1"/>
      <c r="H381" s="1"/>
      <c r="I381" s="1"/>
    </row>
    <row r="382" ht="14.25" customHeight="1">
      <c r="A382" s="52"/>
      <c r="B382" s="52"/>
      <c r="C382" s="53"/>
      <c r="D382" s="1"/>
      <c r="E382" s="1"/>
      <c r="F382" s="1"/>
      <c r="G382" s="1"/>
      <c r="H382" s="1"/>
      <c r="I382" s="1"/>
    </row>
    <row r="383" ht="14.25" customHeight="1">
      <c r="A383" s="52"/>
      <c r="B383" s="52"/>
      <c r="C383" s="53"/>
      <c r="D383" s="1"/>
      <c r="E383" s="1"/>
      <c r="F383" s="1"/>
      <c r="G383" s="1"/>
      <c r="H383" s="1"/>
      <c r="I383" s="1"/>
    </row>
    <row r="384" ht="14.25" customHeight="1">
      <c r="A384" s="52"/>
      <c r="B384" s="52"/>
      <c r="C384" s="53"/>
      <c r="D384" s="1"/>
      <c r="E384" s="1"/>
      <c r="F384" s="1"/>
      <c r="G384" s="1"/>
      <c r="H384" s="1"/>
      <c r="I384" s="1"/>
    </row>
    <row r="385" ht="14.25" customHeight="1">
      <c r="A385" s="52"/>
      <c r="B385" s="52"/>
      <c r="C385" s="53"/>
      <c r="D385" s="1"/>
      <c r="E385" s="1"/>
      <c r="F385" s="1"/>
      <c r="G385" s="1"/>
      <c r="H385" s="1"/>
      <c r="I385" s="1"/>
    </row>
    <row r="386" ht="14.25" customHeight="1">
      <c r="A386" s="52"/>
      <c r="B386" s="52"/>
      <c r="C386" s="53"/>
      <c r="D386" s="1"/>
      <c r="E386" s="1"/>
      <c r="F386" s="1"/>
      <c r="G386" s="1"/>
      <c r="H386" s="1"/>
      <c r="I386" s="1"/>
    </row>
    <row r="387" ht="14.25" customHeight="1">
      <c r="A387" s="52"/>
      <c r="B387" s="52"/>
      <c r="C387" s="53"/>
      <c r="D387" s="1"/>
      <c r="E387" s="1"/>
      <c r="F387" s="1"/>
      <c r="G387" s="1"/>
      <c r="H387" s="1"/>
      <c r="I387" s="1"/>
    </row>
    <row r="388" ht="14.25" customHeight="1">
      <c r="A388" s="52"/>
      <c r="B388" s="52"/>
      <c r="C388" s="53"/>
      <c r="D388" s="1"/>
      <c r="E388" s="1"/>
      <c r="F388" s="1"/>
      <c r="G388" s="1"/>
      <c r="H388" s="1"/>
      <c r="I388" s="1"/>
    </row>
    <row r="389" ht="14.25" customHeight="1">
      <c r="A389" s="52"/>
      <c r="B389" s="52"/>
      <c r="C389" s="53"/>
      <c r="D389" s="1"/>
      <c r="E389" s="1"/>
      <c r="F389" s="1"/>
      <c r="G389" s="1"/>
      <c r="H389" s="1"/>
      <c r="I389" s="1"/>
    </row>
    <row r="390" ht="14.25" customHeight="1">
      <c r="A390" s="52"/>
      <c r="B390" s="52"/>
      <c r="C390" s="53"/>
      <c r="D390" s="1"/>
      <c r="E390" s="1"/>
      <c r="F390" s="1"/>
      <c r="G390" s="1"/>
      <c r="H390" s="1"/>
      <c r="I390" s="1"/>
    </row>
    <row r="391" ht="14.25" customHeight="1">
      <c r="A391" s="52"/>
      <c r="B391" s="52"/>
      <c r="C391" s="53"/>
      <c r="D391" s="1"/>
      <c r="E391" s="1"/>
      <c r="F391" s="1"/>
      <c r="G391" s="1"/>
      <c r="H391" s="1"/>
      <c r="I391" s="1"/>
    </row>
    <row r="392" ht="14.25" customHeight="1">
      <c r="A392" s="52"/>
      <c r="B392" s="52"/>
      <c r="C392" s="53"/>
      <c r="D392" s="1"/>
      <c r="E392" s="1"/>
      <c r="F392" s="1"/>
      <c r="G392" s="1"/>
      <c r="H392" s="1"/>
      <c r="I392" s="1"/>
    </row>
    <row r="393" ht="14.25" customHeight="1">
      <c r="A393" s="52"/>
      <c r="B393" s="52"/>
      <c r="C393" s="53"/>
      <c r="D393" s="1"/>
      <c r="E393" s="1"/>
      <c r="F393" s="1"/>
      <c r="G393" s="1"/>
      <c r="H393" s="1"/>
      <c r="I393" s="1"/>
    </row>
    <row r="394" ht="14.25" customHeight="1">
      <c r="A394" s="52"/>
      <c r="B394" s="52"/>
      <c r="C394" s="53"/>
      <c r="D394" s="1"/>
      <c r="E394" s="1"/>
      <c r="F394" s="1"/>
      <c r="G394" s="1"/>
      <c r="H394" s="1"/>
      <c r="I394" s="1"/>
    </row>
    <row r="395" ht="14.25" customHeight="1">
      <c r="A395" s="52"/>
      <c r="B395" s="52"/>
      <c r="C395" s="53"/>
      <c r="D395" s="1"/>
      <c r="E395" s="1"/>
      <c r="F395" s="1"/>
      <c r="G395" s="1"/>
      <c r="H395" s="1"/>
      <c r="I395" s="1"/>
    </row>
    <row r="396" ht="14.25" customHeight="1">
      <c r="A396" s="52"/>
      <c r="B396" s="52"/>
      <c r="C396" s="53"/>
      <c r="D396" s="1"/>
      <c r="E396" s="1"/>
      <c r="F396" s="1"/>
      <c r="G396" s="1"/>
      <c r="H396" s="1"/>
      <c r="I396" s="1"/>
    </row>
    <row r="397" ht="14.25" customHeight="1">
      <c r="A397" s="52"/>
      <c r="B397" s="52"/>
      <c r="C397" s="53"/>
      <c r="D397" s="1"/>
      <c r="E397" s="1"/>
      <c r="F397" s="1"/>
      <c r="G397" s="1"/>
      <c r="H397" s="1"/>
      <c r="I397" s="1"/>
    </row>
    <row r="398" ht="14.25" customHeight="1">
      <c r="A398" s="52"/>
      <c r="B398" s="52"/>
      <c r="C398" s="53"/>
      <c r="D398" s="1"/>
      <c r="E398" s="1"/>
      <c r="F398" s="1"/>
      <c r="G398" s="1"/>
      <c r="H398" s="1"/>
      <c r="I398" s="1"/>
    </row>
    <row r="399" ht="14.25" customHeight="1">
      <c r="A399" s="52"/>
      <c r="B399" s="52"/>
      <c r="C399" s="53"/>
      <c r="D399" s="1"/>
      <c r="E399" s="1"/>
      <c r="F399" s="1"/>
      <c r="G399" s="1"/>
      <c r="H399" s="1"/>
      <c r="I399" s="1"/>
    </row>
    <row r="400" ht="14.25" customHeight="1">
      <c r="A400" s="52"/>
      <c r="B400" s="52"/>
      <c r="C400" s="53"/>
      <c r="D400" s="1"/>
      <c r="E400" s="1"/>
      <c r="F400" s="1"/>
      <c r="G400" s="1"/>
      <c r="H400" s="1"/>
      <c r="I400" s="1"/>
    </row>
    <row r="401" ht="14.25" customHeight="1">
      <c r="A401" s="52"/>
      <c r="B401" s="52"/>
      <c r="C401" s="53"/>
      <c r="D401" s="1"/>
      <c r="E401" s="1"/>
      <c r="F401" s="1"/>
      <c r="G401" s="1"/>
      <c r="H401" s="1"/>
      <c r="I401" s="1"/>
    </row>
    <row r="402" ht="14.25" customHeight="1">
      <c r="A402" s="52"/>
      <c r="B402" s="52"/>
      <c r="C402" s="53"/>
      <c r="D402" s="1"/>
      <c r="E402" s="1"/>
      <c r="F402" s="1"/>
      <c r="G402" s="1"/>
      <c r="H402" s="1"/>
      <c r="I402" s="1"/>
    </row>
    <row r="403" ht="14.25" customHeight="1">
      <c r="A403" s="52"/>
      <c r="B403" s="52"/>
      <c r="C403" s="53"/>
      <c r="D403" s="1"/>
      <c r="E403" s="1"/>
      <c r="F403" s="1"/>
      <c r="G403" s="1"/>
      <c r="H403" s="1"/>
      <c r="I403" s="1"/>
    </row>
    <row r="404" ht="14.25" customHeight="1">
      <c r="A404" s="52"/>
      <c r="B404" s="52"/>
      <c r="C404" s="53"/>
      <c r="D404" s="1"/>
      <c r="E404" s="1"/>
      <c r="F404" s="1"/>
      <c r="G404" s="1"/>
      <c r="H404" s="1"/>
      <c r="I404" s="1"/>
    </row>
    <row r="405" ht="14.25" customHeight="1">
      <c r="A405" s="52"/>
      <c r="B405" s="52"/>
      <c r="C405" s="53"/>
      <c r="D405" s="1"/>
      <c r="E405" s="1"/>
      <c r="F405" s="1"/>
      <c r="G405" s="1"/>
      <c r="H405" s="1"/>
      <c r="I405" s="1"/>
    </row>
    <row r="406" ht="14.25" customHeight="1">
      <c r="A406" s="52"/>
      <c r="B406" s="52"/>
      <c r="C406" s="53"/>
      <c r="D406" s="1"/>
      <c r="E406" s="1"/>
      <c r="F406" s="1"/>
      <c r="G406" s="1"/>
      <c r="H406" s="1"/>
      <c r="I406" s="1"/>
    </row>
    <row r="407" ht="14.25" customHeight="1">
      <c r="A407" s="52"/>
      <c r="B407" s="52"/>
      <c r="C407" s="53"/>
      <c r="D407" s="1"/>
      <c r="E407" s="1"/>
      <c r="F407" s="1"/>
      <c r="G407" s="1"/>
      <c r="H407" s="1"/>
      <c r="I407" s="1"/>
    </row>
    <row r="408" ht="14.25" customHeight="1">
      <c r="A408" s="52"/>
      <c r="B408" s="52"/>
      <c r="C408" s="53"/>
      <c r="D408" s="1"/>
      <c r="E408" s="1"/>
      <c r="F408" s="1"/>
      <c r="G408" s="1"/>
      <c r="H408" s="1"/>
      <c r="I408" s="1"/>
    </row>
    <row r="409" ht="14.25" customHeight="1">
      <c r="A409" s="52"/>
      <c r="B409" s="52"/>
      <c r="C409" s="53"/>
      <c r="D409" s="1"/>
      <c r="E409" s="1"/>
      <c r="F409" s="1"/>
      <c r="G409" s="1"/>
      <c r="H409" s="1"/>
      <c r="I409" s="1"/>
    </row>
    <row r="410" ht="14.25" customHeight="1">
      <c r="A410" s="52"/>
      <c r="B410" s="52"/>
      <c r="C410" s="53"/>
      <c r="D410" s="1"/>
      <c r="E410" s="1"/>
      <c r="F410" s="1"/>
      <c r="G410" s="1"/>
      <c r="H410" s="1"/>
      <c r="I410" s="1"/>
    </row>
    <row r="411" ht="14.25" customHeight="1">
      <c r="A411" s="52"/>
      <c r="B411" s="52"/>
      <c r="C411" s="53"/>
      <c r="D411" s="1"/>
      <c r="E411" s="1"/>
      <c r="F411" s="1"/>
      <c r="G411" s="1"/>
      <c r="H411" s="1"/>
      <c r="I411" s="1"/>
    </row>
    <row r="412" ht="14.25" customHeight="1">
      <c r="A412" s="52"/>
      <c r="B412" s="52"/>
      <c r="C412" s="53"/>
      <c r="D412" s="1"/>
      <c r="E412" s="1"/>
      <c r="F412" s="1"/>
      <c r="G412" s="1"/>
      <c r="H412" s="1"/>
      <c r="I412" s="1"/>
    </row>
    <row r="413" ht="14.25" customHeight="1">
      <c r="A413" s="52"/>
      <c r="B413" s="52"/>
      <c r="C413" s="53"/>
      <c r="D413" s="1"/>
      <c r="E413" s="1"/>
      <c r="F413" s="1"/>
      <c r="G413" s="1"/>
      <c r="H413" s="1"/>
      <c r="I413" s="1"/>
    </row>
    <row r="414" ht="14.25" customHeight="1">
      <c r="A414" s="52"/>
      <c r="B414" s="52"/>
      <c r="C414" s="53"/>
      <c r="D414" s="1"/>
      <c r="E414" s="1"/>
      <c r="F414" s="1"/>
      <c r="G414" s="1"/>
      <c r="H414" s="1"/>
      <c r="I414" s="1"/>
    </row>
    <row r="415" ht="14.25" customHeight="1">
      <c r="A415" s="52"/>
      <c r="B415" s="52"/>
      <c r="C415" s="53"/>
      <c r="D415" s="1"/>
      <c r="E415" s="1"/>
      <c r="F415" s="1"/>
      <c r="G415" s="1"/>
      <c r="H415" s="1"/>
      <c r="I415" s="1"/>
    </row>
    <row r="416" ht="14.25" customHeight="1">
      <c r="A416" s="52"/>
      <c r="B416" s="52"/>
      <c r="C416" s="53"/>
      <c r="D416" s="1"/>
      <c r="E416" s="1"/>
      <c r="F416" s="1"/>
      <c r="G416" s="1"/>
      <c r="H416" s="1"/>
      <c r="I416" s="1"/>
    </row>
    <row r="417" ht="14.25" customHeight="1">
      <c r="A417" s="52"/>
      <c r="B417" s="52"/>
      <c r="C417" s="53"/>
      <c r="D417" s="1"/>
      <c r="E417" s="1"/>
      <c r="F417" s="1"/>
      <c r="G417" s="1"/>
      <c r="H417" s="1"/>
      <c r="I417" s="1"/>
    </row>
    <row r="418" ht="14.25" customHeight="1">
      <c r="A418" s="52"/>
      <c r="B418" s="52"/>
      <c r="C418" s="53"/>
      <c r="D418" s="1"/>
      <c r="E418" s="1"/>
      <c r="F418" s="1"/>
      <c r="G418" s="1"/>
      <c r="H418" s="1"/>
      <c r="I418" s="1"/>
    </row>
    <row r="419" ht="14.25" customHeight="1">
      <c r="A419" s="52"/>
      <c r="B419" s="52"/>
      <c r="C419" s="53"/>
      <c r="D419" s="1"/>
      <c r="E419" s="1"/>
      <c r="F419" s="1"/>
      <c r="G419" s="1"/>
      <c r="H419" s="1"/>
      <c r="I419" s="1"/>
    </row>
    <row r="420" ht="14.25" customHeight="1">
      <c r="A420" s="52"/>
      <c r="B420" s="52"/>
      <c r="C420" s="53"/>
      <c r="D420" s="1"/>
      <c r="E420" s="1"/>
      <c r="F420" s="1"/>
      <c r="G420" s="1"/>
      <c r="H420" s="1"/>
      <c r="I420" s="1"/>
    </row>
    <row r="421" ht="14.25" customHeight="1">
      <c r="A421" s="52"/>
      <c r="B421" s="52"/>
      <c r="C421" s="53"/>
      <c r="D421" s="1"/>
      <c r="E421" s="1"/>
      <c r="F421" s="1"/>
      <c r="G421" s="1"/>
      <c r="H421" s="1"/>
      <c r="I421" s="1"/>
    </row>
    <row r="422" ht="14.25" customHeight="1">
      <c r="A422" s="52"/>
      <c r="B422" s="52"/>
      <c r="C422" s="53"/>
      <c r="D422" s="1"/>
      <c r="E422" s="1"/>
      <c r="F422" s="1"/>
      <c r="G422" s="1"/>
      <c r="H422" s="1"/>
      <c r="I422" s="1"/>
    </row>
    <row r="423" ht="14.25" customHeight="1">
      <c r="A423" s="52"/>
      <c r="B423" s="52"/>
      <c r="C423" s="53"/>
      <c r="D423" s="1"/>
      <c r="E423" s="1"/>
      <c r="F423" s="1"/>
      <c r="G423" s="1"/>
      <c r="H423" s="1"/>
      <c r="I423" s="1"/>
    </row>
    <row r="424" ht="14.25" customHeight="1">
      <c r="A424" s="52"/>
      <c r="B424" s="52"/>
      <c r="C424" s="53"/>
      <c r="D424" s="1"/>
      <c r="E424" s="1"/>
      <c r="F424" s="1"/>
      <c r="G424" s="1"/>
      <c r="H424" s="1"/>
      <c r="I424" s="1"/>
    </row>
    <row r="425" ht="14.25" customHeight="1">
      <c r="A425" s="52"/>
      <c r="B425" s="52"/>
      <c r="C425" s="53"/>
      <c r="D425" s="1"/>
      <c r="E425" s="1"/>
      <c r="F425" s="1"/>
      <c r="G425" s="1"/>
      <c r="H425" s="1"/>
      <c r="I425" s="1"/>
    </row>
    <row r="426" ht="14.25" customHeight="1">
      <c r="A426" s="52"/>
      <c r="B426" s="52"/>
      <c r="C426" s="53"/>
      <c r="D426" s="1"/>
      <c r="E426" s="1"/>
      <c r="F426" s="1"/>
      <c r="G426" s="1"/>
      <c r="H426" s="1"/>
      <c r="I426" s="1"/>
    </row>
    <row r="427" ht="14.25" customHeight="1">
      <c r="A427" s="52"/>
      <c r="B427" s="52"/>
      <c r="C427" s="53"/>
      <c r="D427" s="1"/>
      <c r="E427" s="1"/>
      <c r="F427" s="1"/>
      <c r="G427" s="1"/>
      <c r="H427" s="1"/>
      <c r="I427" s="1"/>
    </row>
    <row r="428" ht="14.25" customHeight="1">
      <c r="A428" s="52"/>
      <c r="B428" s="52"/>
      <c r="C428" s="53"/>
      <c r="D428" s="1"/>
      <c r="E428" s="1"/>
      <c r="F428" s="1"/>
      <c r="G428" s="1"/>
      <c r="H428" s="1"/>
      <c r="I428" s="1"/>
    </row>
    <row r="429" ht="14.25" customHeight="1">
      <c r="A429" s="52"/>
      <c r="B429" s="52"/>
      <c r="C429" s="53"/>
      <c r="D429" s="1"/>
      <c r="E429" s="1"/>
      <c r="F429" s="1"/>
      <c r="G429" s="1"/>
      <c r="H429" s="1"/>
      <c r="I429" s="1"/>
    </row>
    <row r="430" ht="14.25" customHeight="1">
      <c r="A430" s="52"/>
      <c r="B430" s="52"/>
      <c r="C430" s="53"/>
      <c r="D430" s="1"/>
      <c r="E430" s="1"/>
      <c r="F430" s="1"/>
      <c r="G430" s="1"/>
      <c r="H430" s="1"/>
      <c r="I430" s="1"/>
    </row>
    <row r="431" ht="14.25" customHeight="1">
      <c r="A431" s="52"/>
      <c r="B431" s="52"/>
      <c r="C431" s="53"/>
      <c r="D431" s="1"/>
      <c r="E431" s="1"/>
      <c r="F431" s="1"/>
      <c r="G431" s="1"/>
      <c r="H431" s="1"/>
      <c r="I431" s="1"/>
    </row>
    <row r="432" ht="14.25" customHeight="1">
      <c r="A432" s="52"/>
      <c r="B432" s="52"/>
      <c r="C432" s="53"/>
      <c r="D432" s="1"/>
      <c r="E432" s="1"/>
      <c r="F432" s="1"/>
      <c r="G432" s="1"/>
      <c r="H432" s="1"/>
      <c r="I432" s="1"/>
    </row>
    <row r="433" ht="14.25" customHeight="1">
      <c r="A433" s="52"/>
      <c r="B433" s="52"/>
      <c r="C433" s="53"/>
      <c r="D433" s="1"/>
      <c r="E433" s="1"/>
      <c r="F433" s="1"/>
      <c r="G433" s="1"/>
      <c r="H433" s="1"/>
      <c r="I433" s="1"/>
    </row>
    <row r="434" ht="14.25" customHeight="1">
      <c r="A434" s="52"/>
      <c r="B434" s="52"/>
      <c r="C434" s="53"/>
      <c r="D434" s="1"/>
      <c r="E434" s="1"/>
      <c r="F434" s="1"/>
      <c r="G434" s="1"/>
      <c r="H434" s="1"/>
      <c r="I434" s="1"/>
    </row>
    <row r="435" ht="14.25" customHeight="1">
      <c r="A435" s="52"/>
      <c r="B435" s="52"/>
      <c r="C435" s="53"/>
      <c r="D435" s="1"/>
      <c r="E435" s="1"/>
      <c r="F435" s="1"/>
      <c r="G435" s="1"/>
      <c r="H435" s="1"/>
      <c r="I435" s="1"/>
    </row>
    <row r="436" ht="14.25" customHeight="1">
      <c r="A436" s="52"/>
      <c r="B436" s="52"/>
      <c r="C436" s="53"/>
      <c r="D436" s="1"/>
      <c r="E436" s="1"/>
      <c r="F436" s="1"/>
      <c r="G436" s="1"/>
      <c r="H436" s="1"/>
      <c r="I436" s="1"/>
    </row>
    <row r="437" ht="14.25" customHeight="1">
      <c r="A437" s="52"/>
      <c r="B437" s="52"/>
      <c r="C437" s="53"/>
      <c r="D437" s="1"/>
      <c r="E437" s="1"/>
      <c r="F437" s="1"/>
      <c r="G437" s="1"/>
      <c r="H437" s="1"/>
      <c r="I437" s="1"/>
    </row>
    <row r="438" ht="14.25" customHeight="1">
      <c r="A438" s="52"/>
      <c r="B438" s="52"/>
      <c r="C438" s="53"/>
      <c r="D438" s="1"/>
      <c r="E438" s="1"/>
      <c r="F438" s="1"/>
      <c r="G438" s="1"/>
      <c r="H438" s="1"/>
      <c r="I438" s="1"/>
    </row>
    <row r="439" ht="14.25" customHeight="1">
      <c r="A439" s="52"/>
      <c r="B439" s="52"/>
      <c r="C439" s="53"/>
      <c r="D439" s="1"/>
      <c r="E439" s="1"/>
      <c r="F439" s="1"/>
      <c r="G439" s="1"/>
      <c r="H439" s="1"/>
      <c r="I439" s="1"/>
    </row>
    <row r="440" ht="14.25" customHeight="1">
      <c r="A440" s="52"/>
      <c r="B440" s="52"/>
      <c r="C440" s="53"/>
      <c r="D440" s="1"/>
      <c r="E440" s="1"/>
      <c r="F440" s="1"/>
      <c r="G440" s="1"/>
      <c r="H440" s="1"/>
      <c r="I440" s="1"/>
    </row>
    <row r="441" ht="14.25" customHeight="1">
      <c r="A441" s="52"/>
      <c r="B441" s="52"/>
      <c r="C441" s="53"/>
      <c r="D441" s="1"/>
      <c r="E441" s="1"/>
      <c r="F441" s="1"/>
      <c r="G441" s="1"/>
      <c r="H441" s="1"/>
      <c r="I441" s="1"/>
    </row>
    <row r="442" ht="14.25" customHeight="1">
      <c r="A442" s="52"/>
      <c r="B442" s="52"/>
      <c r="C442" s="53"/>
      <c r="D442" s="1"/>
      <c r="E442" s="1"/>
      <c r="F442" s="1"/>
      <c r="G442" s="1"/>
      <c r="H442" s="1"/>
      <c r="I442" s="1"/>
    </row>
    <row r="443" ht="14.25" customHeight="1">
      <c r="A443" s="52"/>
      <c r="B443" s="52"/>
      <c r="C443" s="53"/>
      <c r="D443" s="1"/>
      <c r="E443" s="1"/>
      <c r="F443" s="1"/>
      <c r="G443" s="1"/>
      <c r="H443" s="1"/>
      <c r="I443" s="1"/>
    </row>
    <row r="444" ht="14.25" customHeight="1">
      <c r="A444" s="52"/>
      <c r="B444" s="52"/>
      <c r="C444" s="53"/>
      <c r="D444" s="1"/>
      <c r="E444" s="1"/>
      <c r="F444" s="1"/>
      <c r="G444" s="1"/>
      <c r="H444" s="1"/>
      <c r="I444" s="1"/>
    </row>
    <row r="445" ht="14.25" customHeight="1">
      <c r="A445" s="52"/>
      <c r="B445" s="52"/>
      <c r="C445" s="53"/>
      <c r="D445" s="1"/>
      <c r="E445" s="1"/>
      <c r="F445" s="1"/>
      <c r="G445" s="1"/>
      <c r="H445" s="1"/>
      <c r="I445" s="1"/>
    </row>
    <row r="446" ht="14.25" customHeight="1">
      <c r="A446" s="52"/>
      <c r="B446" s="52"/>
      <c r="C446" s="53"/>
      <c r="D446" s="1"/>
      <c r="E446" s="1"/>
      <c r="F446" s="1"/>
      <c r="G446" s="1"/>
      <c r="H446" s="1"/>
      <c r="I446" s="1"/>
    </row>
    <row r="447" ht="14.25" customHeight="1">
      <c r="A447" s="52"/>
      <c r="B447" s="52"/>
      <c r="C447" s="53"/>
      <c r="D447" s="1"/>
      <c r="E447" s="1"/>
      <c r="F447" s="1"/>
      <c r="G447" s="1"/>
      <c r="H447" s="1"/>
      <c r="I447" s="1"/>
    </row>
    <row r="448" ht="14.25" customHeight="1">
      <c r="A448" s="52"/>
      <c r="B448" s="52"/>
      <c r="C448" s="53"/>
      <c r="D448" s="1"/>
      <c r="E448" s="1"/>
      <c r="F448" s="1"/>
      <c r="G448" s="1"/>
      <c r="H448" s="1"/>
      <c r="I448" s="1"/>
    </row>
    <row r="449" ht="14.25" customHeight="1">
      <c r="A449" s="52"/>
      <c r="B449" s="52"/>
      <c r="C449" s="53"/>
      <c r="D449" s="1"/>
      <c r="E449" s="1"/>
      <c r="F449" s="1"/>
      <c r="G449" s="1"/>
      <c r="H449" s="1"/>
      <c r="I449" s="1"/>
    </row>
    <row r="450" ht="14.25" customHeight="1">
      <c r="A450" s="52"/>
      <c r="B450" s="52"/>
      <c r="C450" s="53"/>
      <c r="D450" s="1"/>
      <c r="E450" s="1"/>
      <c r="F450" s="1"/>
      <c r="G450" s="1"/>
      <c r="H450" s="1"/>
      <c r="I450" s="1"/>
    </row>
    <row r="451" ht="14.25" customHeight="1">
      <c r="A451" s="52"/>
      <c r="B451" s="52"/>
      <c r="C451" s="53"/>
      <c r="D451" s="1"/>
      <c r="E451" s="1"/>
      <c r="F451" s="1"/>
      <c r="G451" s="1"/>
      <c r="H451" s="1"/>
      <c r="I451" s="1"/>
    </row>
    <row r="452" ht="14.25" customHeight="1">
      <c r="A452" s="52"/>
      <c r="B452" s="52"/>
      <c r="C452" s="53"/>
      <c r="D452" s="1"/>
      <c r="E452" s="1"/>
      <c r="F452" s="1"/>
      <c r="G452" s="1"/>
      <c r="H452" s="1"/>
      <c r="I452" s="1"/>
    </row>
    <row r="453" ht="14.25" customHeight="1">
      <c r="A453" s="52"/>
      <c r="B453" s="52"/>
      <c r="C453" s="53"/>
      <c r="D453" s="1"/>
      <c r="E453" s="1"/>
      <c r="F453" s="1"/>
      <c r="G453" s="1"/>
      <c r="H453" s="1"/>
      <c r="I453" s="1"/>
    </row>
    <row r="454" ht="14.25" customHeight="1">
      <c r="A454" s="52"/>
      <c r="B454" s="52"/>
      <c r="C454" s="53"/>
      <c r="D454" s="1"/>
      <c r="E454" s="1"/>
      <c r="F454" s="1"/>
      <c r="G454" s="1"/>
      <c r="H454" s="1"/>
      <c r="I454" s="1"/>
    </row>
    <row r="455" ht="14.25" customHeight="1">
      <c r="A455" s="52"/>
      <c r="B455" s="52"/>
      <c r="C455" s="53"/>
      <c r="D455" s="1"/>
      <c r="E455" s="1"/>
      <c r="F455" s="1"/>
      <c r="G455" s="1"/>
      <c r="H455" s="1"/>
      <c r="I455" s="1"/>
    </row>
    <row r="456" ht="14.25" customHeight="1">
      <c r="A456" s="52"/>
      <c r="B456" s="52"/>
      <c r="C456" s="53"/>
      <c r="D456" s="1"/>
      <c r="E456" s="1"/>
      <c r="F456" s="1"/>
      <c r="G456" s="1"/>
      <c r="H456" s="1"/>
      <c r="I456" s="1"/>
    </row>
    <row r="457" ht="14.25" customHeight="1">
      <c r="A457" s="52"/>
      <c r="B457" s="52"/>
      <c r="C457" s="53"/>
      <c r="D457" s="1"/>
      <c r="E457" s="1"/>
      <c r="F457" s="1"/>
      <c r="G457" s="1"/>
      <c r="H457" s="1"/>
      <c r="I457" s="1"/>
    </row>
    <row r="458" ht="14.25" customHeight="1">
      <c r="A458" s="52"/>
      <c r="B458" s="52"/>
      <c r="C458" s="53"/>
      <c r="D458" s="1"/>
      <c r="E458" s="1"/>
      <c r="F458" s="1"/>
      <c r="G458" s="1"/>
      <c r="H458" s="1"/>
      <c r="I458" s="1"/>
    </row>
    <row r="459" ht="14.25" customHeight="1">
      <c r="A459" s="52"/>
      <c r="B459" s="52"/>
      <c r="C459" s="53"/>
      <c r="D459" s="1"/>
      <c r="E459" s="1"/>
      <c r="F459" s="1"/>
      <c r="G459" s="1"/>
      <c r="H459" s="1"/>
      <c r="I459" s="1"/>
    </row>
    <row r="460" ht="14.25" customHeight="1">
      <c r="A460" s="52"/>
      <c r="B460" s="52"/>
      <c r="C460" s="53"/>
      <c r="D460" s="1"/>
      <c r="E460" s="1"/>
      <c r="F460" s="1"/>
      <c r="G460" s="1"/>
      <c r="H460" s="1"/>
      <c r="I460" s="1"/>
    </row>
    <row r="461" ht="14.25" customHeight="1">
      <c r="A461" s="52"/>
      <c r="B461" s="52"/>
      <c r="C461" s="53"/>
      <c r="D461" s="1"/>
      <c r="E461" s="1"/>
      <c r="F461" s="1"/>
      <c r="G461" s="1"/>
      <c r="H461" s="1"/>
      <c r="I461" s="1"/>
    </row>
    <row r="462" ht="14.25" customHeight="1">
      <c r="A462" s="52"/>
      <c r="B462" s="52"/>
      <c r="C462" s="53"/>
      <c r="D462" s="1"/>
      <c r="E462" s="1"/>
      <c r="F462" s="1"/>
      <c r="G462" s="1"/>
      <c r="H462" s="1"/>
      <c r="I462" s="1"/>
    </row>
    <row r="463" ht="14.25" customHeight="1">
      <c r="A463" s="52"/>
      <c r="B463" s="52"/>
      <c r="C463" s="53"/>
      <c r="D463" s="1"/>
      <c r="E463" s="1"/>
      <c r="F463" s="1"/>
      <c r="G463" s="1"/>
      <c r="H463" s="1"/>
      <c r="I463" s="1"/>
    </row>
    <row r="464" ht="14.25" customHeight="1">
      <c r="A464" s="52"/>
      <c r="B464" s="52"/>
      <c r="C464" s="53"/>
      <c r="D464" s="1"/>
      <c r="E464" s="1"/>
      <c r="F464" s="1"/>
      <c r="G464" s="1"/>
      <c r="H464" s="1"/>
      <c r="I464" s="1"/>
    </row>
    <row r="465" ht="14.25" customHeight="1">
      <c r="A465" s="52"/>
      <c r="B465" s="52"/>
      <c r="C465" s="53"/>
      <c r="D465" s="1"/>
      <c r="E465" s="1"/>
      <c r="F465" s="1"/>
      <c r="G465" s="1"/>
      <c r="H465" s="1"/>
      <c r="I465" s="1"/>
    </row>
    <row r="466" ht="14.25" customHeight="1">
      <c r="A466" s="52"/>
      <c r="B466" s="52"/>
      <c r="C466" s="53"/>
      <c r="D466" s="1"/>
      <c r="E466" s="1"/>
      <c r="F466" s="1"/>
      <c r="G466" s="1"/>
      <c r="H466" s="1"/>
      <c r="I466" s="1"/>
    </row>
    <row r="467" ht="14.25" customHeight="1">
      <c r="A467" s="52"/>
      <c r="B467" s="52"/>
      <c r="C467" s="53"/>
      <c r="D467" s="1"/>
      <c r="E467" s="1"/>
      <c r="F467" s="1"/>
      <c r="G467" s="1"/>
      <c r="H467" s="1"/>
      <c r="I467" s="1"/>
    </row>
    <row r="468" ht="14.25" customHeight="1">
      <c r="A468" s="52"/>
      <c r="B468" s="52"/>
      <c r="C468" s="53"/>
      <c r="D468" s="1"/>
      <c r="E468" s="1"/>
      <c r="F468" s="1"/>
      <c r="G468" s="1"/>
      <c r="H468" s="1"/>
      <c r="I468" s="1"/>
    </row>
    <row r="469" ht="14.25" customHeight="1">
      <c r="A469" s="52"/>
      <c r="B469" s="52"/>
      <c r="C469" s="53"/>
      <c r="D469" s="1"/>
      <c r="E469" s="1"/>
      <c r="F469" s="1"/>
      <c r="G469" s="1"/>
      <c r="H469" s="1"/>
      <c r="I469" s="1"/>
    </row>
    <row r="470" ht="14.25" customHeight="1">
      <c r="A470" s="52"/>
      <c r="B470" s="52"/>
      <c r="C470" s="53"/>
      <c r="D470" s="1"/>
      <c r="E470" s="1"/>
      <c r="F470" s="1"/>
      <c r="G470" s="1"/>
      <c r="H470" s="1"/>
      <c r="I470" s="1"/>
    </row>
    <row r="471" ht="14.25" customHeight="1">
      <c r="A471" s="52"/>
      <c r="B471" s="52"/>
      <c r="C471" s="53"/>
      <c r="D471" s="1"/>
      <c r="E471" s="1"/>
      <c r="F471" s="1"/>
      <c r="G471" s="1"/>
      <c r="H471" s="1"/>
      <c r="I471" s="1"/>
    </row>
    <row r="472" ht="14.25" customHeight="1">
      <c r="A472" s="52"/>
      <c r="B472" s="52"/>
      <c r="C472" s="53"/>
      <c r="D472" s="1"/>
      <c r="E472" s="1"/>
      <c r="F472" s="1"/>
      <c r="G472" s="1"/>
      <c r="H472" s="1"/>
      <c r="I472" s="1"/>
    </row>
    <row r="473" ht="14.25" customHeight="1">
      <c r="A473" s="52"/>
      <c r="B473" s="52"/>
      <c r="C473" s="53"/>
      <c r="D473" s="1"/>
      <c r="E473" s="1"/>
      <c r="F473" s="1"/>
      <c r="G473" s="1"/>
      <c r="H473" s="1"/>
      <c r="I473" s="1"/>
    </row>
    <row r="474" ht="14.25" customHeight="1">
      <c r="A474" s="52"/>
      <c r="B474" s="52"/>
      <c r="C474" s="53"/>
      <c r="D474" s="1"/>
      <c r="E474" s="1"/>
      <c r="F474" s="1"/>
      <c r="G474" s="1"/>
      <c r="H474" s="1"/>
      <c r="I474" s="1"/>
    </row>
    <row r="475" ht="14.25" customHeight="1">
      <c r="A475" s="52"/>
      <c r="B475" s="52"/>
      <c r="C475" s="53"/>
      <c r="D475" s="1"/>
      <c r="E475" s="1"/>
      <c r="F475" s="1"/>
      <c r="G475" s="1"/>
      <c r="H475" s="1"/>
      <c r="I475" s="1"/>
    </row>
    <row r="476" ht="14.25" customHeight="1">
      <c r="A476" s="52"/>
      <c r="B476" s="52"/>
      <c r="C476" s="53"/>
      <c r="D476" s="1"/>
      <c r="E476" s="1"/>
      <c r="F476" s="1"/>
      <c r="G476" s="1"/>
      <c r="H476" s="1"/>
      <c r="I476" s="1"/>
    </row>
    <row r="477" ht="14.25" customHeight="1">
      <c r="A477" s="52"/>
      <c r="B477" s="52"/>
      <c r="C477" s="53"/>
      <c r="D477" s="1"/>
      <c r="E477" s="1"/>
      <c r="F477" s="1"/>
      <c r="G477" s="1"/>
      <c r="H477" s="1"/>
      <c r="I477" s="1"/>
    </row>
    <row r="478" ht="14.25" customHeight="1">
      <c r="A478" s="52"/>
      <c r="B478" s="52"/>
      <c r="C478" s="53"/>
      <c r="D478" s="1"/>
      <c r="E478" s="1"/>
      <c r="F478" s="1"/>
      <c r="G478" s="1"/>
      <c r="H478" s="1"/>
      <c r="I478" s="1"/>
    </row>
    <row r="479" ht="14.25" customHeight="1">
      <c r="A479" s="52"/>
      <c r="B479" s="52"/>
      <c r="C479" s="53"/>
      <c r="D479" s="1"/>
      <c r="E479" s="1"/>
      <c r="F479" s="1"/>
      <c r="G479" s="1"/>
      <c r="H479" s="1"/>
      <c r="I479" s="1"/>
    </row>
    <row r="480" ht="14.25" customHeight="1">
      <c r="A480" s="52"/>
      <c r="B480" s="52"/>
      <c r="C480" s="53"/>
      <c r="D480" s="1"/>
      <c r="E480" s="1"/>
      <c r="F480" s="1"/>
      <c r="G480" s="1"/>
      <c r="H480" s="1"/>
      <c r="I480" s="1"/>
    </row>
    <row r="481" ht="14.25" customHeight="1">
      <c r="A481" s="52"/>
      <c r="B481" s="52"/>
      <c r="C481" s="53"/>
      <c r="D481" s="1"/>
      <c r="E481" s="1"/>
      <c r="F481" s="1"/>
      <c r="G481" s="1"/>
      <c r="H481" s="1"/>
      <c r="I481" s="1"/>
    </row>
    <row r="482" ht="14.25" customHeight="1">
      <c r="A482" s="52"/>
      <c r="B482" s="52"/>
      <c r="C482" s="53"/>
      <c r="D482" s="1"/>
      <c r="E482" s="1"/>
      <c r="F482" s="1"/>
      <c r="G482" s="1"/>
      <c r="H482" s="1"/>
      <c r="I482" s="1"/>
    </row>
    <row r="483" ht="14.25" customHeight="1">
      <c r="A483" s="52"/>
      <c r="B483" s="52"/>
      <c r="C483" s="53"/>
      <c r="D483" s="1"/>
      <c r="E483" s="1"/>
      <c r="F483" s="1"/>
      <c r="G483" s="1"/>
      <c r="H483" s="1"/>
      <c r="I483" s="1"/>
    </row>
    <row r="484" ht="14.25" customHeight="1">
      <c r="A484" s="52"/>
      <c r="B484" s="52"/>
      <c r="C484" s="53"/>
      <c r="D484" s="1"/>
      <c r="E484" s="1"/>
      <c r="F484" s="1"/>
      <c r="G484" s="1"/>
      <c r="H484" s="1"/>
      <c r="I484" s="1"/>
    </row>
    <row r="485" ht="14.25" customHeight="1">
      <c r="A485" s="52"/>
      <c r="B485" s="52"/>
      <c r="C485" s="53"/>
      <c r="D485" s="1"/>
      <c r="E485" s="1"/>
      <c r="F485" s="1"/>
      <c r="G485" s="1"/>
      <c r="H485" s="1"/>
      <c r="I485" s="1"/>
    </row>
    <row r="486" ht="14.25" customHeight="1">
      <c r="A486" s="52"/>
      <c r="B486" s="52"/>
      <c r="C486" s="53"/>
      <c r="D486" s="1"/>
      <c r="E486" s="1"/>
      <c r="F486" s="1"/>
      <c r="G486" s="1"/>
      <c r="H486" s="1"/>
      <c r="I486" s="1"/>
    </row>
    <row r="487" ht="14.25" customHeight="1">
      <c r="A487" s="52"/>
      <c r="B487" s="52"/>
      <c r="C487" s="53"/>
      <c r="D487" s="1"/>
      <c r="E487" s="1"/>
      <c r="F487" s="1"/>
      <c r="G487" s="1"/>
      <c r="H487" s="1"/>
      <c r="I487" s="1"/>
    </row>
    <row r="488" ht="14.25" customHeight="1">
      <c r="A488" s="52"/>
      <c r="B488" s="52"/>
      <c r="C488" s="53"/>
      <c r="D488" s="1"/>
      <c r="E488" s="1"/>
      <c r="F488" s="1"/>
      <c r="G488" s="1"/>
      <c r="H488" s="1"/>
      <c r="I488" s="1"/>
    </row>
    <row r="489" ht="14.25" customHeight="1">
      <c r="A489" s="52"/>
      <c r="B489" s="52"/>
      <c r="C489" s="53"/>
      <c r="D489" s="1"/>
      <c r="E489" s="1"/>
      <c r="F489" s="1"/>
      <c r="G489" s="1"/>
      <c r="H489" s="1"/>
      <c r="I489" s="1"/>
    </row>
    <row r="490" ht="14.25" customHeight="1">
      <c r="A490" s="52"/>
      <c r="B490" s="52"/>
      <c r="C490" s="53"/>
      <c r="D490" s="1"/>
      <c r="E490" s="1"/>
      <c r="F490" s="1"/>
      <c r="G490" s="1"/>
      <c r="H490" s="1"/>
      <c r="I490" s="1"/>
    </row>
    <row r="491" ht="14.25" customHeight="1">
      <c r="A491" s="52"/>
      <c r="B491" s="52"/>
      <c r="C491" s="53"/>
      <c r="D491" s="1"/>
      <c r="E491" s="1"/>
      <c r="F491" s="1"/>
      <c r="G491" s="1"/>
      <c r="H491" s="1"/>
      <c r="I491" s="1"/>
    </row>
    <row r="492" ht="14.25" customHeight="1">
      <c r="A492" s="52"/>
      <c r="B492" s="52"/>
      <c r="C492" s="53"/>
      <c r="D492" s="1"/>
      <c r="E492" s="1"/>
      <c r="F492" s="1"/>
      <c r="G492" s="1"/>
      <c r="H492" s="1"/>
      <c r="I492" s="1"/>
    </row>
    <row r="493" ht="14.25" customHeight="1">
      <c r="A493" s="52"/>
      <c r="B493" s="52"/>
      <c r="C493" s="53"/>
      <c r="D493" s="1"/>
      <c r="E493" s="1"/>
      <c r="F493" s="1"/>
      <c r="G493" s="1"/>
      <c r="H493" s="1"/>
      <c r="I493" s="1"/>
    </row>
    <row r="494" ht="14.25" customHeight="1">
      <c r="A494" s="52"/>
      <c r="B494" s="52"/>
      <c r="C494" s="53"/>
      <c r="D494" s="1"/>
      <c r="E494" s="1"/>
      <c r="F494" s="1"/>
      <c r="G494" s="1"/>
      <c r="H494" s="1"/>
      <c r="I494" s="1"/>
    </row>
    <row r="495" ht="14.25" customHeight="1">
      <c r="A495" s="52"/>
      <c r="B495" s="52"/>
      <c r="C495" s="53"/>
      <c r="D495" s="1"/>
      <c r="E495" s="1"/>
      <c r="F495" s="1"/>
      <c r="G495" s="1"/>
      <c r="H495" s="1"/>
      <c r="I495" s="1"/>
    </row>
    <row r="496" ht="14.25" customHeight="1">
      <c r="A496" s="52"/>
      <c r="B496" s="52"/>
      <c r="C496" s="53"/>
      <c r="D496" s="1"/>
      <c r="E496" s="1"/>
      <c r="F496" s="1"/>
      <c r="G496" s="1"/>
      <c r="H496" s="1"/>
      <c r="I496" s="1"/>
    </row>
    <row r="497" ht="14.25" customHeight="1">
      <c r="A497" s="52"/>
      <c r="B497" s="52"/>
      <c r="C497" s="53"/>
      <c r="D497" s="1"/>
      <c r="E497" s="1"/>
      <c r="F497" s="1"/>
      <c r="G497" s="1"/>
      <c r="H497" s="1"/>
      <c r="I497" s="1"/>
    </row>
    <row r="498" ht="14.25" customHeight="1">
      <c r="A498" s="52"/>
      <c r="B498" s="52"/>
      <c r="C498" s="53"/>
      <c r="D498" s="1"/>
      <c r="E498" s="1"/>
      <c r="F498" s="1"/>
      <c r="G498" s="1"/>
      <c r="H498" s="1"/>
      <c r="I498" s="1"/>
    </row>
    <row r="499" ht="14.25" customHeight="1">
      <c r="A499" s="52"/>
      <c r="B499" s="52"/>
      <c r="C499" s="53"/>
      <c r="D499" s="1"/>
      <c r="E499" s="1"/>
      <c r="F499" s="1"/>
      <c r="G499" s="1"/>
      <c r="H499" s="1"/>
      <c r="I499" s="1"/>
    </row>
    <row r="500" ht="14.25" customHeight="1">
      <c r="A500" s="52"/>
      <c r="B500" s="52"/>
      <c r="C500" s="53"/>
      <c r="D500" s="1"/>
      <c r="E500" s="1"/>
      <c r="F500" s="1"/>
      <c r="G500" s="1"/>
      <c r="H500" s="1"/>
      <c r="I500" s="1"/>
    </row>
    <row r="501" ht="14.25" customHeight="1">
      <c r="A501" s="52"/>
      <c r="B501" s="52"/>
      <c r="C501" s="53"/>
      <c r="D501" s="1"/>
      <c r="E501" s="1"/>
      <c r="F501" s="1"/>
      <c r="G501" s="1"/>
      <c r="H501" s="1"/>
      <c r="I501" s="1"/>
    </row>
    <row r="502" ht="14.25" customHeight="1">
      <c r="A502" s="52"/>
      <c r="B502" s="52"/>
      <c r="C502" s="53"/>
      <c r="D502" s="1"/>
      <c r="E502" s="1"/>
      <c r="F502" s="1"/>
      <c r="G502" s="1"/>
      <c r="H502" s="1"/>
      <c r="I502" s="1"/>
    </row>
    <row r="503" ht="14.25" customHeight="1">
      <c r="A503" s="52"/>
      <c r="B503" s="52"/>
      <c r="C503" s="53"/>
      <c r="D503" s="1"/>
      <c r="E503" s="1"/>
      <c r="F503" s="1"/>
      <c r="G503" s="1"/>
      <c r="H503" s="1"/>
      <c r="I503" s="1"/>
    </row>
    <row r="504" ht="14.25" customHeight="1">
      <c r="A504" s="52"/>
      <c r="B504" s="52"/>
      <c r="C504" s="53"/>
      <c r="D504" s="1"/>
      <c r="E504" s="1"/>
      <c r="F504" s="1"/>
      <c r="G504" s="1"/>
      <c r="H504" s="1"/>
      <c r="I504" s="1"/>
    </row>
    <row r="505" ht="14.25" customHeight="1">
      <c r="A505" s="52"/>
      <c r="B505" s="52"/>
      <c r="C505" s="53"/>
      <c r="D505" s="1"/>
      <c r="E505" s="1"/>
      <c r="F505" s="1"/>
      <c r="G505" s="1"/>
      <c r="H505" s="1"/>
      <c r="I505" s="1"/>
    </row>
    <row r="506" ht="14.25" customHeight="1">
      <c r="A506" s="52"/>
      <c r="B506" s="52"/>
      <c r="C506" s="53"/>
      <c r="D506" s="1"/>
      <c r="E506" s="1"/>
      <c r="F506" s="1"/>
      <c r="G506" s="1"/>
      <c r="H506" s="1"/>
      <c r="I506" s="1"/>
    </row>
    <row r="507" ht="14.25" customHeight="1">
      <c r="A507" s="52"/>
      <c r="B507" s="52"/>
      <c r="C507" s="53"/>
      <c r="D507" s="1"/>
      <c r="E507" s="1"/>
      <c r="F507" s="1"/>
      <c r="G507" s="1"/>
      <c r="H507" s="1"/>
      <c r="I507" s="1"/>
    </row>
    <row r="508" ht="14.25" customHeight="1">
      <c r="A508" s="52"/>
      <c r="B508" s="52"/>
      <c r="C508" s="53"/>
      <c r="D508" s="1"/>
      <c r="E508" s="1"/>
      <c r="F508" s="1"/>
      <c r="G508" s="1"/>
      <c r="H508" s="1"/>
      <c r="I508" s="1"/>
    </row>
    <row r="509" ht="14.25" customHeight="1">
      <c r="A509" s="52"/>
      <c r="B509" s="52"/>
      <c r="C509" s="53"/>
      <c r="D509" s="1"/>
      <c r="E509" s="1"/>
      <c r="F509" s="1"/>
      <c r="G509" s="1"/>
      <c r="H509" s="1"/>
      <c r="I509" s="1"/>
    </row>
    <row r="510" ht="14.25" customHeight="1">
      <c r="A510" s="52"/>
      <c r="B510" s="52"/>
      <c r="C510" s="53"/>
      <c r="D510" s="1"/>
      <c r="E510" s="1"/>
      <c r="F510" s="1"/>
      <c r="G510" s="1"/>
      <c r="H510" s="1"/>
      <c r="I510" s="1"/>
    </row>
    <row r="511" ht="14.25" customHeight="1">
      <c r="A511" s="52"/>
      <c r="B511" s="52"/>
      <c r="C511" s="53"/>
      <c r="D511" s="1"/>
      <c r="E511" s="1"/>
      <c r="F511" s="1"/>
      <c r="G511" s="1"/>
      <c r="H511" s="1"/>
      <c r="I511" s="1"/>
    </row>
    <row r="512" ht="14.25" customHeight="1">
      <c r="A512" s="52"/>
      <c r="B512" s="52"/>
      <c r="C512" s="53"/>
      <c r="D512" s="1"/>
      <c r="E512" s="1"/>
      <c r="F512" s="1"/>
      <c r="G512" s="1"/>
      <c r="H512" s="1"/>
      <c r="I512" s="1"/>
    </row>
    <row r="513" ht="14.25" customHeight="1">
      <c r="A513" s="52"/>
      <c r="B513" s="52"/>
      <c r="C513" s="53"/>
      <c r="D513" s="1"/>
      <c r="E513" s="1"/>
      <c r="F513" s="1"/>
      <c r="G513" s="1"/>
      <c r="H513" s="1"/>
      <c r="I513" s="1"/>
    </row>
    <row r="514" ht="14.25" customHeight="1">
      <c r="A514" s="52"/>
      <c r="B514" s="52"/>
      <c r="C514" s="53"/>
      <c r="D514" s="1"/>
      <c r="E514" s="1"/>
      <c r="F514" s="1"/>
      <c r="G514" s="1"/>
      <c r="H514" s="1"/>
      <c r="I514" s="1"/>
    </row>
    <row r="515" ht="14.25" customHeight="1">
      <c r="A515" s="52"/>
      <c r="B515" s="52"/>
      <c r="C515" s="53"/>
      <c r="D515" s="1"/>
      <c r="E515" s="1"/>
      <c r="F515" s="1"/>
      <c r="G515" s="1"/>
      <c r="H515" s="1"/>
      <c r="I515" s="1"/>
    </row>
    <row r="516" ht="14.25" customHeight="1">
      <c r="A516" s="52"/>
      <c r="B516" s="52"/>
      <c r="C516" s="53"/>
      <c r="D516" s="1"/>
      <c r="E516" s="1"/>
      <c r="F516" s="1"/>
      <c r="G516" s="1"/>
      <c r="H516" s="1"/>
      <c r="I516" s="1"/>
    </row>
    <row r="517" ht="14.25" customHeight="1">
      <c r="A517" s="52"/>
      <c r="B517" s="52"/>
      <c r="C517" s="53"/>
      <c r="D517" s="1"/>
      <c r="E517" s="1"/>
      <c r="F517" s="1"/>
      <c r="G517" s="1"/>
      <c r="H517" s="1"/>
      <c r="I517" s="1"/>
    </row>
    <row r="518" ht="14.25" customHeight="1">
      <c r="A518" s="52"/>
      <c r="B518" s="52"/>
      <c r="C518" s="53"/>
      <c r="D518" s="1"/>
      <c r="E518" s="1"/>
      <c r="F518" s="1"/>
      <c r="G518" s="1"/>
      <c r="H518" s="1"/>
      <c r="I518" s="1"/>
    </row>
    <row r="519" ht="14.25" customHeight="1">
      <c r="A519" s="52"/>
      <c r="B519" s="52"/>
      <c r="C519" s="53"/>
      <c r="D519" s="1"/>
      <c r="E519" s="1"/>
      <c r="F519" s="1"/>
      <c r="G519" s="1"/>
      <c r="H519" s="1"/>
      <c r="I519" s="1"/>
    </row>
    <row r="520" ht="14.25" customHeight="1">
      <c r="A520" s="52"/>
      <c r="B520" s="52"/>
      <c r="C520" s="53"/>
      <c r="D520" s="1"/>
      <c r="E520" s="1"/>
      <c r="F520" s="1"/>
      <c r="G520" s="1"/>
      <c r="H520" s="1"/>
      <c r="I520" s="1"/>
    </row>
    <row r="521" ht="14.25" customHeight="1">
      <c r="A521" s="52"/>
      <c r="B521" s="52"/>
      <c r="C521" s="53"/>
      <c r="D521" s="1"/>
      <c r="E521" s="1"/>
      <c r="F521" s="1"/>
      <c r="G521" s="1"/>
      <c r="H521" s="1"/>
      <c r="I521" s="1"/>
    </row>
    <row r="522" ht="14.25" customHeight="1">
      <c r="A522" s="52"/>
      <c r="B522" s="52"/>
      <c r="C522" s="53"/>
      <c r="D522" s="1"/>
      <c r="E522" s="1"/>
      <c r="F522" s="1"/>
      <c r="G522" s="1"/>
      <c r="H522" s="1"/>
      <c r="I522" s="1"/>
    </row>
    <row r="523" ht="14.25" customHeight="1">
      <c r="A523" s="52"/>
      <c r="B523" s="52"/>
      <c r="C523" s="53"/>
      <c r="D523" s="1"/>
      <c r="E523" s="1"/>
      <c r="F523" s="1"/>
      <c r="G523" s="1"/>
      <c r="H523" s="1"/>
      <c r="I523" s="1"/>
    </row>
    <row r="524" ht="14.25" customHeight="1">
      <c r="A524" s="52"/>
      <c r="B524" s="52"/>
      <c r="C524" s="53"/>
      <c r="D524" s="1"/>
      <c r="E524" s="1"/>
      <c r="F524" s="1"/>
      <c r="G524" s="1"/>
      <c r="H524" s="1"/>
      <c r="I524" s="1"/>
    </row>
    <row r="525" ht="14.25" customHeight="1">
      <c r="A525" s="52"/>
      <c r="B525" s="52"/>
      <c r="C525" s="53"/>
      <c r="D525" s="1"/>
      <c r="E525" s="1"/>
      <c r="F525" s="1"/>
      <c r="G525" s="1"/>
      <c r="H525" s="1"/>
      <c r="I525" s="1"/>
    </row>
    <row r="526" ht="14.25" customHeight="1">
      <c r="A526" s="52"/>
      <c r="B526" s="52"/>
      <c r="C526" s="53"/>
      <c r="D526" s="1"/>
      <c r="E526" s="1"/>
      <c r="F526" s="1"/>
      <c r="G526" s="1"/>
      <c r="H526" s="1"/>
      <c r="I526" s="1"/>
    </row>
    <row r="527" ht="14.25" customHeight="1">
      <c r="A527" s="52"/>
      <c r="B527" s="52"/>
      <c r="C527" s="53"/>
      <c r="D527" s="1"/>
      <c r="E527" s="1"/>
      <c r="F527" s="1"/>
      <c r="G527" s="1"/>
      <c r="H527" s="1"/>
      <c r="I527" s="1"/>
    </row>
    <row r="528" ht="14.25" customHeight="1">
      <c r="A528" s="52"/>
      <c r="B528" s="52"/>
      <c r="C528" s="53"/>
      <c r="D528" s="1"/>
      <c r="E528" s="1"/>
      <c r="F528" s="1"/>
      <c r="G528" s="1"/>
      <c r="H528" s="1"/>
      <c r="I528" s="1"/>
    </row>
    <row r="529" ht="14.25" customHeight="1">
      <c r="A529" s="52"/>
      <c r="B529" s="52"/>
      <c r="C529" s="53"/>
      <c r="D529" s="1"/>
      <c r="E529" s="1"/>
      <c r="F529" s="1"/>
      <c r="G529" s="1"/>
      <c r="H529" s="1"/>
      <c r="I529" s="1"/>
    </row>
    <row r="530" ht="14.25" customHeight="1">
      <c r="A530" s="52"/>
      <c r="B530" s="52"/>
      <c r="C530" s="53"/>
      <c r="D530" s="1"/>
      <c r="E530" s="1"/>
      <c r="F530" s="1"/>
      <c r="G530" s="1"/>
      <c r="H530" s="1"/>
      <c r="I530" s="1"/>
    </row>
    <row r="531" ht="14.25" customHeight="1">
      <c r="A531" s="52"/>
      <c r="B531" s="52"/>
      <c r="C531" s="53"/>
      <c r="D531" s="1"/>
      <c r="E531" s="1"/>
      <c r="F531" s="1"/>
      <c r="G531" s="1"/>
      <c r="H531" s="1"/>
      <c r="I531" s="1"/>
    </row>
    <row r="532" ht="14.25" customHeight="1">
      <c r="A532" s="52"/>
      <c r="B532" s="52"/>
      <c r="C532" s="53"/>
      <c r="D532" s="1"/>
      <c r="E532" s="1"/>
      <c r="F532" s="1"/>
      <c r="G532" s="1"/>
      <c r="H532" s="1"/>
      <c r="I532" s="1"/>
    </row>
    <row r="533" ht="14.25" customHeight="1">
      <c r="A533" s="52"/>
      <c r="B533" s="52"/>
      <c r="C533" s="53"/>
      <c r="D533" s="1"/>
      <c r="E533" s="1"/>
      <c r="F533" s="1"/>
      <c r="G533" s="1"/>
      <c r="H533" s="1"/>
      <c r="I533" s="1"/>
    </row>
    <row r="534" ht="14.25" customHeight="1">
      <c r="A534" s="52"/>
      <c r="B534" s="52"/>
      <c r="C534" s="53"/>
      <c r="D534" s="1"/>
      <c r="E534" s="1"/>
      <c r="F534" s="1"/>
      <c r="G534" s="1"/>
      <c r="H534" s="1"/>
      <c r="I534" s="1"/>
    </row>
    <row r="535" ht="14.25" customHeight="1">
      <c r="A535" s="52"/>
      <c r="B535" s="52"/>
      <c r="C535" s="53"/>
      <c r="D535" s="1"/>
      <c r="E535" s="1"/>
      <c r="F535" s="1"/>
      <c r="G535" s="1"/>
      <c r="H535" s="1"/>
      <c r="I535" s="1"/>
    </row>
    <row r="536" ht="14.25" customHeight="1">
      <c r="A536" s="52"/>
      <c r="B536" s="52"/>
      <c r="C536" s="53"/>
      <c r="D536" s="1"/>
      <c r="E536" s="1"/>
      <c r="F536" s="1"/>
      <c r="G536" s="1"/>
      <c r="H536" s="1"/>
      <c r="I536" s="1"/>
    </row>
    <row r="537" ht="14.25" customHeight="1">
      <c r="A537" s="52"/>
      <c r="B537" s="52"/>
      <c r="C537" s="53"/>
      <c r="D537" s="1"/>
      <c r="E537" s="1"/>
      <c r="F537" s="1"/>
      <c r="G537" s="1"/>
      <c r="H537" s="1"/>
      <c r="I537" s="1"/>
    </row>
    <row r="538" ht="14.25" customHeight="1">
      <c r="A538" s="52"/>
      <c r="B538" s="52"/>
      <c r="C538" s="53"/>
      <c r="D538" s="1"/>
      <c r="E538" s="1"/>
      <c r="F538" s="1"/>
      <c r="G538" s="1"/>
      <c r="H538" s="1"/>
      <c r="I538" s="1"/>
    </row>
    <row r="539" ht="14.25" customHeight="1">
      <c r="A539" s="52"/>
      <c r="B539" s="52"/>
      <c r="C539" s="53"/>
      <c r="D539" s="1"/>
      <c r="E539" s="1"/>
      <c r="F539" s="1"/>
      <c r="G539" s="1"/>
      <c r="H539" s="1"/>
      <c r="I539" s="1"/>
    </row>
    <row r="540" ht="14.25" customHeight="1">
      <c r="A540" s="52"/>
      <c r="B540" s="52"/>
      <c r="C540" s="53"/>
      <c r="D540" s="1"/>
      <c r="E540" s="1"/>
      <c r="F540" s="1"/>
      <c r="G540" s="1"/>
      <c r="H540" s="1"/>
      <c r="I540" s="1"/>
    </row>
    <row r="541" ht="14.25" customHeight="1">
      <c r="A541" s="52"/>
      <c r="B541" s="52"/>
      <c r="C541" s="53"/>
      <c r="D541" s="1"/>
      <c r="E541" s="1"/>
      <c r="F541" s="1"/>
      <c r="G541" s="1"/>
      <c r="H541" s="1"/>
      <c r="I541" s="1"/>
    </row>
    <row r="542" ht="14.25" customHeight="1">
      <c r="A542" s="52"/>
      <c r="B542" s="52"/>
      <c r="C542" s="53"/>
      <c r="D542" s="1"/>
      <c r="E542" s="1"/>
      <c r="F542" s="1"/>
      <c r="G542" s="1"/>
      <c r="H542" s="1"/>
      <c r="I542" s="1"/>
    </row>
    <row r="543" ht="14.25" customHeight="1">
      <c r="A543" s="52"/>
      <c r="B543" s="52"/>
      <c r="C543" s="53"/>
      <c r="D543" s="1"/>
      <c r="E543" s="1"/>
      <c r="F543" s="1"/>
      <c r="G543" s="1"/>
      <c r="H543" s="1"/>
      <c r="I543" s="1"/>
    </row>
    <row r="544" ht="14.25" customHeight="1">
      <c r="A544" s="52"/>
      <c r="B544" s="52"/>
      <c r="C544" s="53"/>
      <c r="D544" s="1"/>
      <c r="E544" s="1"/>
      <c r="F544" s="1"/>
      <c r="G544" s="1"/>
      <c r="H544" s="1"/>
      <c r="I544" s="1"/>
    </row>
    <row r="545" ht="14.25" customHeight="1">
      <c r="A545" s="52"/>
      <c r="B545" s="52"/>
      <c r="C545" s="53"/>
      <c r="D545" s="1"/>
      <c r="E545" s="1"/>
      <c r="F545" s="1"/>
      <c r="G545" s="1"/>
      <c r="H545" s="1"/>
      <c r="I545" s="1"/>
    </row>
    <row r="546" ht="14.25" customHeight="1">
      <c r="A546" s="52"/>
      <c r="B546" s="52"/>
      <c r="C546" s="53"/>
      <c r="D546" s="1"/>
      <c r="E546" s="1"/>
      <c r="F546" s="1"/>
      <c r="G546" s="1"/>
      <c r="H546" s="1"/>
      <c r="I546" s="1"/>
    </row>
    <row r="547" ht="14.25" customHeight="1">
      <c r="A547" s="52"/>
      <c r="B547" s="52"/>
      <c r="C547" s="53"/>
      <c r="D547" s="1"/>
      <c r="E547" s="1"/>
      <c r="F547" s="1"/>
      <c r="G547" s="1"/>
      <c r="H547" s="1"/>
      <c r="I547" s="1"/>
    </row>
    <row r="548" ht="14.25" customHeight="1">
      <c r="A548" s="52"/>
      <c r="B548" s="52"/>
      <c r="C548" s="53"/>
      <c r="D548" s="1"/>
      <c r="E548" s="1"/>
      <c r="F548" s="1"/>
      <c r="G548" s="1"/>
      <c r="H548" s="1"/>
      <c r="I548" s="1"/>
    </row>
    <row r="549" ht="14.25" customHeight="1">
      <c r="A549" s="52"/>
      <c r="B549" s="52"/>
      <c r="C549" s="53"/>
      <c r="D549" s="1"/>
      <c r="E549" s="1"/>
      <c r="F549" s="1"/>
      <c r="G549" s="1"/>
      <c r="H549" s="1"/>
      <c r="I549" s="1"/>
    </row>
    <row r="550" ht="14.25" customHeight="1">
      <c r="A550" s="52"/>
      <c r="B550" s="52"/>
      <c r="C550" s="53"/>
      <c r="D550" s="1"/>
      <c r="E550" s="1"/>
      <c r="F550" s="1"/>
      <c r="G550" s="1"/>
      <c r="H550" s="1"/>
      <c r="I550" s="1"/>
    </row>
    <row r="551" ht="14.25" customHeight="1">
      <c r="A551" s="52"/>
      <c r="B551" s="52"/>
      <c r="C551" s="53"/>
      <c r="D551" s="1"/>
      <c r="E551" s="1"/>
      <c r="F551" s="1"/>
      <c r="G551" s="1"/>
      <c r="H551" s="1"/>
      <c r="I551" s="1"/>
    </row>
    <row r="552" ht="14.25" customHeight="1">
      <c r="A552" s="52"/>
      <c r="B552" s="52"/>
      <c r="C552" s="53"/>
      <c r="D552" s="1"/>
      <c r="E552" s="1"/>
      <c r="F552" s="1"/>
      <c r="G552" s="1"/>
      <c r="H552" s="1"/>
      <c r="I552" s="1"/>
    </row>
    <row r="553" ht="14.25" customHeight="1">
      <c r="A553" s="52"/>
      <c r="B553" s="52"/>
      <c r="C553" s="53"/>
      <c r="D553" s="1"/>
      <c r="E553" s="1"/>
      <c r="F553" s="1"/>
      <c r="G553" s="1"/>
      <c r="H553" s="1"/>
      <c r="I553" s="1"/>
    </row>
    <row r="554" ht="14.25" customHeight="1">
      <c r="A554" s="52"/>
      <c r="B554" s="52"/>
      <c r="C554" s="53"/>
      <c r="D554" s="1"/>
      <c r="E554" s="1"/>
      <c r="F554" s="1"/>
      <c r="G554" s="1"/>
      <c r="H554" s="1"/>
      <c r="I554" s="1"/>
    </row>
    <row r="555" ht="14.25" customHeight="1">
      <c r="A555" s="52"/>
      <c r="B555" s="52"/>
      <c r="C555" s="53"/>
      <c r="D555" s="1"/>
      <c r="E555" s="1"/>
      <c r="F555" s="1"/>
      <c r="G555" s="1"/>
      <c r="H555" s="1"/>
      <c r="I555" s="1"/>
    </row>
    <row r="556" ht="14.25" customHeight="1">
      <c r="A556" s="52"/>
      <c r="B556" s="52"/>
      <c r="C556" s="53"/>
      <c r="D556" s="1"/>
      <c r="E556" s="1"/>
      <c r="F556" s="1"/>
      <c r="G556" s="1"/>
      <c r="H556" s="1"/>
      <c r="I556" s="1"/>
    </row>
    <row r="557" ht="14.25" customHeight="1">
      <c r="A557" s="52"/>
      <c r="B557" s="52"/>
      <c r="C557" s="53"/>
      <c r="D557" s="1"/>
      <c r="E557" s="1"/>
      <c r="F557" s="1"/>
      <c r="G557" s="1"/>
      <c r="H557" s="1"/>
      <c r="I557" s="1"/>
    </row>
    <row r="558" ht="14.25" customHeight="1">
      <c r="A558" s="52"/>
      <c r="B558" s="52"/>
      <c r="C558" s="53"/>
      <c r="D558" s="1"/>
      <c r="E558" s="1"/>
      <c r="F558" s="1"/>
      <c r="G558" s="1"/>
      <c r="H558" s="1"/>
      <c r="I558" s="1"/>
    </row>
    <row r="559" ht="14.25" customHeight="1">
      <c r="A559" s="52"/>
      <c r="B559" s="52"/>
      <c r="C559" s="53"/>
      <c r="D559" s="1"/>
      <c r="E559" s="1"/>
      <c r="F559" s="1"/>
      <c r="G559" s="1"/>
      <c r="H559" s="1"/>
      <c r="I559" s="1"/>
    </row>
    <row r="560" ht="14.25" customHeight="1">
      <c r="A560" s="52"/>
      <c r="B560" s="52"/>
      <c r="C560" s="53"/>
      <c r="D560" s="1"/>
      <c r="E560" s="1"/>
      <c r="F560" s="1"/>
      <c r="G560" s="1"/>
      <c r="H560" s="1"/>
      <c r="I560" s="1"/>
    </row>
    <row r="561" ht="14.25" customHeight="1">
      <c r="A561" s="52"/>
      <c r="B561" s="52"/>
      <c r="C561" s="53"/>
      <c r="D561" s="1"/>
      <c r="E561" s="1"/>
      <c r="F561" s="1"/>
      <c r="G561" s="1"/>
      <c r="H561" s="1"/>
      <c r="I561" s="1"/>
    </row>
    <row r="562" ht="14.25" customHeight="1">
      <c r="A562" s="52"/>
      <c r="B562" s="52"/>
      <c r="C562" s="53"/>
      <c r="D562" s="1"/>
      <c r="E562" s="1"/>
      <c r="F562" s="1"/>
      <c r="G562" s="1"/>
      <c r="H562" s="1"/>
      <c r="I562" s="1"/>
    </row>
    <row r="563" ht="14.25" customHeight="1">
      <c r="A563" s="52"/>
      <c r="B563" s="52"/>
      <c r="C563" s="53"/>
      <c r="D563" s="1"/>
      <c r="E563" s="1"/>
      <c r="F563" s="1"/>
      <c r="G563" s="1"/>
      <c r="H563" s="1"/>
      <c r="I563" s="1"/>
    </row>
    <row r="564" ht="14.25" customHeight="1">
      <c r="A564" s="52"/>
      <c r="B564" s="52"/>
      <c r="C564" s="53"/>
      <c r="D564" s="1"/>
      <c r="E564" s="1"/>
      <c r="F564" s="1"/>
      <c r="G564" s="1"/>
      <c r="H564" s="1"/>
      <c r="I564" s="1"/>
    </row>
    <row r="565" ht="14.25" customHeight="1">
      <c r="A565" s="52"/>
      <c r="B565" s="52"/>
      <c r="C565" s="53"/>
      <c r="D565" s="1"/>
      <c r="E565" s="1"/>
      <c r="F565" s="1"/>
      <c r="G565" s="1"/>
      <c r="H565" s="1"/>
      <c r="I565" s="1"/>
    </row>
    <row r="566" ht="14.25" customHeight="1">
      <c r="A566" s="52"/>
      <c r="B566" s="52"/>
      <c r="C566" s="53"/>
      <c r="D566" s="1"/>
      <c r="E566" s="1"/>
      <c r="F566" s="1"/>
      <c r="G566" s="1"/>
      <c r="H566" s="1"/>
      <c r="I566" s="1"/>
    </row>
    <row r="567" ht="14.25" customHeight="1">
      <c r="A567" s="52"/>
      <c r="B567" s="52"/>
      <c r="C567" s="53"/>
      <c r="D567" s="1"/>
      <c r="E567" s="1"/>
      <c r="F567" s="1"/>
      <c r="G567" s="1"/>
      <c r="H567" s="1"/>
      <c r="I567" s="1"/>
    </row>
    <row r="568" ht="14.25" customHeight="1">
      <c r="A568" s="52"/>
      <c r="B568" s="52"/>
      <c r="C568" s="53"/>
      <c r="D568" s="1"/>
      <c r="E568" s="1"/>
      <c r="F568" s="1"/>
      <c r="G568" s="1"/>
      <c r="H568" s="1"/>
      <c r="I568" s="1"/>
    </row>
    <row r="569" ht="14.25" customHeight="1">
      <c r="A569" s="52"/>
      <c r="B569" s="52"/>
      <c r="C569" s="53"/>
      <c r="D569" s="1"/>
      <c r="E569" s="1"/>
      <c r="F569" s="1"/>
      <c r="G569" s="1"/>
      <c r="H569" s="1"/>
      <c r="I569" s="1"/>
    </row>
    <row r="570" ht="14.25" customHeight="1">
      <c r="A570" s="52"/>
      <c r="B570" s="52"/>
      <c r="C570" s="53"/>
      <c r="D570" s="1"/>
      <c r="E570" s="1"/>
      <c r="F570" s="1"/>
      <c r="G570" s="1"/>
      <c r="H570" s="1"/>
      <c r="I570" s="1"/>
    </row>
    <row r="571" ht="14.25" customHeight="1">
      <c r="A571" s="52"/>
      <c r="B571" s="52"/>
      <c r="C571" s="53"/>
      <c r="D571" s="1"/>
      <c r="E571" s="1"/>
      <c r="F571" s="1"/>
      <c r="G571" s="1"/>
      <c r="H571" s="1"/>
      <c r="I571" s="1"/>
    </row>
    <row r="572" ht="14.25" customHeight="1">
      <c r="A572" s="52"/>
      <c r="B572" s="52"/>
      <c r="C572" s="53"/>
      <c r="D572" s="1"/>
      <c r="E572" s="1"/>
      <c r="F572" s="1"/>
      <c r="G572" s="1"/>
      <c r="H572" s="1"/>
      <c r="I572" s="1"/>
    </row>
    <row r="573" ht="14.25" customHeight="1">
      <c r="A573" s="52"/>
      <c r="B573" s="52"/>
      <c r="C573" s="53"/>
      <c r="D573" s="1"/>
      <c r="E573" s="1"/>
      <c r="F573" s="1"/>
      <c r="G573" s="1"/>
      <c r="H573" s="1"/>
      <c r="I573" s="1"/>
    </row>
    <row r="574" ht="14.25" customHeight="1">
      <c r="A574" s="52"/>
      <c r="B574" s="52"/>
      <c r="C574" s="53"/>
      <c r="D574" s="1"/>
      <c r="E574" s="1"/>
      <c r="F574" s="1"/>
      <c r="G574" s="1"/>
      <c r="H574" s="1"/>
      <c r="I574" s="1"/>
    </row>
    <row r="575" ht="14.25" customHeight="1">
      <c r="A575" s="52"/>
      <c r="B575" s="52"/>
      <c r="C575" s="53"/>
      <c r="D575" s="1"/>
      <c r="E575" s="1"/>
      <c r="F575" s="1"/>
      <c r="G575" s="1"/>
      <c r="H575" s="1"/>
      <c r="I575" s="1"/>
    </row>
    <row r="576" ht="14.25" customHeight="1">
      <c r="A576" s="52"/>
      <c r="B576" s="52"/>
      <c r="C576" s="53"/>
      <c r="D576" s="1"/>
      <c r="E576" s="1"/>
      <c r="F576" s="1"/>
      <c r="G576" s="1"/>
      <c r="H576" s="1"/>
      <c r="I576" s="1"/>
    </row>
    <row r="577" ht="14.25" customHeight="1">
      <c r="A577" s="52"/>
      <c r="B577" s="52"/>
      <c r="C577" s="53"/>
      <c r="D577" s="1"/>
      <c r="E577" s="1"/>
      <c r="F577" s="1"/>
      <c r="G577" s="1"/>
      <c r="H577" s="1"/>
      <c r="I577" s="1"/>
    </row>
    <row r="578" ht="14.25" customHeight="1">
      <c r="A578" s="52"/>
      <c r="B578" s="52"/>
      <c r="C578" s="53"/>
      <c r="D578" s="1"/>
      <c r="E578" s="1"/>
      <c r="F578" s="1"/>
      <c r="G578" s="1"/>
      <c r="H578" s="1"/>
      <c r="I578" s="1"/>
    </row>
    <row r="579" ht="14.25" customHeight="1">
      <c r="A579" s="52"/>
      <c r="B579" s="52"/>
      <c r="C579" s="53"/>
      <c r="D579" s="1"/>
      <c r="E579" s="1"/>
      <c r="F579" s="1"/>
      <c r="G579" s="1"/>
      <c r="H579" s="1"/>
      <c r="I579" s="1"/>
    </row>
    <row r="580" ht="14.25" customHeight="1">
      <c r="A580" s="52"/>
      <c r="B580" s="52"/>
      <c r="C580" s="53"/>
      <c r="D580" s="1"/>
      <c r="E580" s="1"/>
      <c r="F580" s="1"/>
      <c r="G580" s="1"/>
      <c r="H580" s="1"/>
      <c r="I580" s="1"/>
    </row>
    <row r="581" ht="14.25" customHeight="1">
      <c r="A581" s="52"/>
      <c r="B581" s="52"/>
      <c r="C581" s="53"/>
      <c r="D581" s="1"/>
      <c r="E581" s="1"/>
      <c r="F581" s="1"/>
      <c r="G581" s="1"/>
      <c r="H581" s="1"/>
      <c r="I581" s="1"/>
    </row>
    <row r="582" ht="14.25" customHeight="1">
      <c r="A582" s="52"/>
      <c r="B582" s="52"/>
      <c r="C582" s="53"/>
      <c r="D582" s="1"/>
      <c r="E582" s="1"/>
      <c r="F582" s="1"/>
      <c r="G582" s="1"/>
      <c r="H582" s="1"/>
      <c r="I582" s="1"/>
    </row>
    <row r="583" ht="14.25" customHeight="1">
      <c r="A583" s="52"/>
      <c r="B583" s="52"/>
      <c r="C583" s="53"/>
      <c r="D583" s="1"/>
      <c r="E583" s="1"/>
      <c r="F583" s="1"/>
      <c r="G583" s="1"/>
      <c r="H583" s="1"/>
      <c r="I583" s="1"/>
    </row>
    <row r="584" ht="14.25" customHeight="1">
      <c r="A584" s="52"/>
      <c r="B584" s="52"/>
      <c r="C584" s="53"/>
      <c r="D584" s="1"/>
      <c r="E584" s="1"/>
      <c r="F584" s="1"/>
      <c r="G584" s="1"/>
      <c r="H584" s="1"/>
      <c r="I584" s="1"/>
    </row>
    <row r="585" ht="14.25" customHeight="1">
      <c r="A585" s="52"/>
      <c r="B585" s="52"/>
      <c r="C585" s="53"/>
      <c r="D585" s="1"/>
      <c r="E585" s="1"/>
      <c r="F585" s="1"/>
      <c r="G585" s="1"/>
      <c r="H585" s="1"/>
      <c r="I585" s="1"/>
    </row>
    <row r="586" ht="14.25" customHeight="1">
      <c r="A586" s="52"/>
      <c r="B586" s="52"/>
      <c r="C586" s="53"/>
      <c r="D586" s="1"/>
      <c r="E586" s="1"/>
      <c r="F586" s="1"/>
      <c r="G586" s="1"/>
      <c r="H586" s="1"/>
      <c r="I586" s="1"/>
    </row>
    <row r="587" ht="14.25" customHeight="1">
      <c r="A587" s="52"/>
      <c r="B587" s="52"/>
      <c r="C587" s="53"/>
      <c r="D587" s="1"/>
      <c r="E587" s="1"/>
      <c r="F587" s="1"/>
      <c r="G587" s="1"/>
      <c r="H587" s="1"/>
      <c r="I587" s="1"/>
    </row>
    <row r="588" ht="14.25" customHeight="1">
      <c r="A588" s="52"/>
      <c r="B588" s="52"/>
      <c r="C588" s="53"/>
      <c r="D588" s="1"/>
      <c r="E588" s="1"/>
      <c r="F588" s="1"/>
      <c r="G588" s="1"/>
      <c r="H588" s="1"/>
      <c r="I588" s="1"/>
    </row>
    <row r="589" ht="14.25" customHeight="1">
      <c r="A589" s="52"/>
      <c r="B589" s="52"/>
      <c r="C589" s="53"/>
      <c r="D589" s="1"/>
      <c r="E589" s="1"/>
      <c r="F589" s="1"/>
      <c r="G589" s="1"/>
      <c r="H589" s="1"/>
      <c r="I589" s="1"/>
    </row>
    <row r="590" ht="14.25" customHeight="1">
      <c r="A590" s="52"/>
      <c r="B590" s="52"/>
      <c r="C590" s="53"/>
      <c r="D590" s="1"/>
      <c r="E590" s="1"/>
      <c r="F590" s="1"/>
      <c r="G590" s="1"/>
      <c r="H590" s="1"/>
      <c r="I590" s="1"/>
    </row>
    <row r="591" ht="14.25" customHeight="1">
      <c r="A591" s="52"/>
      <c r="B591" s="52"/>
      <c r="C591" s="53"/>
      <c r="D591" s="1"/>
      <c r="E591" s="1"/>
      <c r="F591" s="1"/>
      <c r="G591" s="1"/>
      <c r="H591" s="1"/>
      <c r="I591" s="1"/>
    </row>
    <row r="592" ht="14.25" customHeight="1">
      <c r="A592" s="52"/>
      <c r="B592" s="52"/>
      <c r="C592" s="53"/>
      <c r="D592" s="1"/>
      <c r="E592" s="1"/>
      <c r="F592" s="1"/>
      <c r="G592" s="1"/>
      <c r="H592" s="1"/>
      <c r="I592" s="1"/>
    </row>
    <row r="593" ht="14.25" customHeight="1">
      <c r="A593" s="52"/>
      <c r="B593" s="52"/>
      <c r="C593" s="53"/>
      <c r="D593" s="1"/>
      <c r="E593" s="1"/>
      <c r="F593" s="1"/>
      <c r="G593" s="1"/>
      <c r="H593" s="1"/>
      <c r="I593" s="1"/>
    </row>
    <row r="594" ht="14.25" customHeight="1">
      <c r="A594" s="52"/>
      <c r="B594" s="52"/>
      <c r="C594" s="53"/>
      <c r="D594" s="1"/>
      <c r="E594" s="1"/>
      <c r="F594" s="1"/>
      <c r="G594" s="1"/>
      <c r="H594" s="1"/>
      <c r="I594" s="1"/>
    </row>
    <row r="595" ht="14.25" customHeight="1">
      <c r="A595" s="52"/>
      <c r="B595" s="52"/>
      <c r="C595" s="53"/>
      <c r="D595" s="1"/>
      <c r="E595" s="1"/>
      <c r="F595" s="1"/>
      <c r="G595" s="1"/>
      <c r="H595" s="1"/>
      <c r="I595" s="1"/>
    </row>
    <row r="596" ht="14.25" customHeight="1">
      <c r="A596" s="52"/>
      <c r="B596" s="52"/>
      <c r="C596" s="53"/>
      <c r="D596" s="1"/>
      <c r="E596" s="1"/>
      <c r="F596" s="1"/>
      <c r="G596" s="1"/>
      <c r="H596" s="1"/>
      <c r="I596" s="1"/>
    </row>
    <row r="597" ht="14.25" customHeight="1">
      <c r="A597" s="52"/>
      <c r="B597" s="52"/>
      <c r="C597" s="53"/>
      <c r="D597" s="1"/>
      <c r="E597" s="1"/>
      <c r="F597" s="1"/>
      <c r="G597" s="1"/>
      <c r="H597" s="1"/>
      <c r="I597" s="1"/>
    </row>
    <row r="598" ht="14.25" customHeight="1">
      <c r="A598" s="52"/>
      <c r="B598" s="52"/>
      <c r="C598" s="53"/>
      <c r="D598" s="1"/>
      <c r="E598" s="1"/>
      <c r="F598" s="1"/>
      <c r="G598" s="1"/>
      <c r="H598" s="1"/>
      <c r="I598" s="1"/>
    </row>
    <row r="599" ht="14.25" customHeight="1">
      <c r="A599" s="52"/>
      <c r="B599" s="52"/>
      <c r="C599" s="53"/>
      <c r="D599" s="1"/>
      <c r="E599" s="1"/>
      <c r="F599" s="1"/>
      <c r="G599" s="1"/>
      <c r="H599" s="1"/>
      <c r="I599" s="1"/>
    </row>
    <row r="600" ht="14.25" customHeight="1">
      <c r="A600" s="52"/>
      <c r="B600" s="52"/>
      <c r="C600" s="53"/>
      <c r="D600" s="1"/>
      <c r="E600" s="1"/>
      <c r="F600" s="1"/>
      <c r="G600" s="1"/>
      <c r="H600" s="1"/>
      <c r="I600" s="1"/>
    </row>
    <row r="601" ht="14.25" customHeight="1">
      <c r="A601" s="52"/>
      <c r="B601" s="52"/>
      <c r="C601" s="53"/>
      <c r="D601" s="1"/>
      <c r="E601" s="1"/>
      <c r="F601" s="1"/>
      <c r="G601" s="1"/>
      <c r="H601" s="1"/>
      <c r="I601" s="1"/>
    </row>
    <row r="602" ht="14.25" customHeight="1">
      <c r="A602" s="52"/>
      <c r="B602" s="52"/>
      <c r="C602" s="53"/>
      <c r="D602" s="1"/>
      <c r="E602" s="1"/>
      <c r="F602" s="1"/>
      <c r="G602" s="1"/>
      <c r="H602" s="1"/>
      <c r="I602" s="1"/>
    </row>
    <row r="603" ht="14.25" customHeight="1">
      <c r="A603" s="52"/>
      <c r="B603" s="52"/>
      <c r="C603" s="53"/>
      <c r="D603" s="1"/>
      <c r="E603" s="1"/>
      <c r="F603" s="1"/>
      <c r="G603" s="1"/>
      <c r="H603" s="1"/>
      <c r="I603" s="1"/>
    </row>
    <row r="604" ht="14.25" customHeight="1">
      <c r="A604" s="52"/>
      <c r="B604" s="52"/>
      <c r="C604" s="53"/>
      <c r="D604" s="1"/>
      <c r="E604" s="1"/>
      <c r="F604" s="1"/>
      <c r="G604" s="1"/>
      <c r="H604" s="1"/>
      <c r="I604" s="1"/>
    </row>
    <row r="605" ht="14.25" customHeight="1">
      <c r="A605" s="52"/>
      <c r="B605" s="52"/>
      <c r="C605" s="53"/>
      <c r="D605" s="1"/>
      <c r="E605" s="1"/>
      <c r="F605" s="1"/>
      <c r="G605" s="1"/>
      <c r="H605" s="1"/>
      <c r="I605" s="1"/>
    </row>
    <row r="606" ht="14.25" customHeight="1">
      <c r="A606" s="52"/>
      <c r="B606" s="52"/>
      <c r="C606" s="53"/>
      <c r="D606" s="1"/>
      <c r="E606" s="1"/>
      <c r="F606" s="1"/>
      <c r="G606" s="1"/>
      <c r="H606" s="1"/>
      <c r="I606" s="1"/>
    </row>
    <row r="607" ht="14.25" customHeight="1">
      <c r="A607" s="52"/>
      <c r="B607" s="52"/>
      <c r="C607" s="53"/>
      <c r="D607" s="1"/>
      <c r="E607" s="1"/>
      <c r="F607" s="1"/>
      <c r="G607" s="1"/>
      <c r="H607" s="1"/>
      <c r="I607" s="1"/>
    </row>
    <row r="608" ht="14.25" customHeight="1">
      <c r="A608" s="52"/>
      <c r="B608" s="52"/>
      <c r="C608" s="53"/>
      <c r="D608" s="1"/>
      <c r="E608" s="1"/>
      <c r="F608" s="1"/>
      <c r="G608" s="1"/>
      <c r="H608" s="1"/>
      <c r="I608" s="1"/>
    </row>
    <row r="609" ht="14.25" customHeight="1">
      <c r="A609" s="52"/>
      <c r="B609" s="52"/>
      <c r="C609" s="53"/>
      <c r="D609" s="1"/>
      <c r="E609" s="1"/>
      <c r="F609" s="1"/>
      <c r="G609" s="1"/>
      <c r="H609" s="1"/>
      <c r="I609" s="1"/>
    </row>
    <row r="610" ht="14.25" customHeight="1">
      <c r="A610" s="52"/>
      <c r="B610" s="52"/>
      <c r="C610" s="53"/>
      <c r="D610" s="1"/>
      <c r="E610" s="1"/>
      <c r="F610" s="1"/>
      <c r="G610" s="1"/>
      <c r="H610" s="1"/>
      <c r="I610" s="1"/>
    </row>
    <row r="611" ht="14.25" customHeight="1">
      <c r="A611" s="52"/>
      <c r="B611" s="52"/>
      <c r="C611" s="53"/>
      <c r="D611" s="1"/>
      <c r="E611" s="1"/>
      <c r="F611" s="1"/>
      <c r="G611" s="1"/>
      <c r="H611" s="1"/>
      <c r="I611" s="1"/>
    </row>
    <row r="612" ht="14.25" customHeight="1">
      <c r="A612" s="52"/>
      <c r="B612" s="52"/>
      <c r="C612" s="53"/>
      <c r="D612" s="1"/>
      <c r="E612" s="1"/>
      <c r="F612" s="1"/>
      <c r="G612" s="1"/>
      <c r="H612" s="1"/>
      <c r="I612" s="1"/>
    </row>
    <row r="613" ht="14.25" customHeight="1">
      <c r="A613" s="52"/>
      <c r="B613" s="52"/>
      <c r="C613" s="53"/>
      <c r="D613" s="1"/>
      <c r="E613" s="1"/>
      <c r="F613" s="1"/>
      <c r="G613" s="1"/>
      <c r="H613" s="1"/>
      <c r="I613" s="1"/>
    </row>
    <row r="614" ht="14.25" customHeight="1">
      <c r="A614" s="52"/>
      <c r="B614" s="52"/>
      <c r="C614" s="53"/>
      <c r="D614" s="1"/>
      <c r="E614" s="1"/>
      <c r="F614" s="1"/>
      <c r="G614" s="1"/>
      <c r="H614" s="1"/>
      <c r="I614" s="1"/>
    </row>
    <row r="615" ht="14.25" customHeight="1">
      <c r="A615" s="52"/>
      <c r="B615" s="52"/>
      <c r="C615" s="53"/>
      <c r="D615" s="1"/>
      <c r="E615" s="1"/>
      <c r="F615" s="1"/>
      <c r="G615" s="1"/>
      <c r="H615" s="1"/>
      <c r="I615" s="1"/>
    </row>
    <row r="616" ht="14.25" customHeight="1">
      <c r="A616" s="52"/>
      <c r="B616" s="52"/>
      <c r="C616" s="53"/>
      <c r="D616" s="1"/>
      <c r="E616" s="1"/>
      <c r="F616" s="1"/>
      <c r="G616" s="1"/>
      <c r="H616" s="1"/>
      <c r="I616" s="1"/>
    </row>
    <row r="617" ht="14.25" customHeight="1">
      <c r="A617" s="52"/>
      <c r="B617" s="52"/>
      <c r="C617" s="53"/>
      <c r="D617" s="1"/>
      <c r="E617" s="1"/>
      <c r="F617" s="1"/>
      <c r="G617" s="1"/>
      <c r="H617" s="1"/>
      <c r="I617" s="1"/>
    </row>
    <row r="618" ht="14.25" customHeight="1">
      <c r="A618" s="52"/>
      <c r="B618" s="52"/>
      <c r="C618" s="53"/>
      <c r="D618" s="1"/>
      <c r="E618" s="1"/>
      <c r="F618" s="1"/>
      <c r="G618" s="1"/>
      <c r="H618" s="1"/>
      <c r="I618" s="1"/>
    </row>
    <row r="619" ht="14.25" customHeight="1">
      <c r="A619" s="52"/>
      <c r="B619" s="52"/>
      <c r="C619" s="53"/>
      <c r="D619" s="1"/>
      <c r="E619" s="1"/>
      <c r="F619" s="1"/>
      <c r="G619" s="1"/>
      <c r="H619" s="1"/>
      <c r="I619" s="1"/>
    </row>
    <row r="620" ht="14.25" customHeight="1">
      <c r="A620" s="52"/>
      <c r="B620" s="52"/>
      <c r="C620" s="53"/>
      <c r="D620" s="1"/>
      <c r="E620" s="1"/>
      <c r="F620" s="1"/>
      <c r="G620" s="1"/>
      <c r="H620" s="1"/>
      <c r="I620" s="1"/>
    </row>
    <row r="621" ht="14.25" customHeight="1">
      <c r="A621" s="52"/>
      <c r="B621" s="52"/>
      <c r="C621" s="53"/>
      <c r="D621" s="1"/>
      <c r="E621" s="1"/>
      <c r="F621" s="1"/>
      <c r="G621" s="1"/>
      <c r="H621" s="1"/>
      <c r="I621" s="1"/>
    </row>
    <row r="622" ht="14.25" customHeight="1">
      <c r="A622" s="52"/>
      <c r="B622" s="52"/>
      <c r="C622" s="53"/>
      <c r="D622" s="1"/>
      <c r="E622" s="1"/>
      <c r="F622" s="1"/>
      <c r="G622" s="1"/>
      <c r="H622" s="1"/>
      <c r="I622" s="1"/>
    </row>
    <row r="623" ht="14.25" customHeight="1">
      <c r="A623" s="52"/>
      <c r="B623" s="52"/>
      <c r="C623" s="53"/>
      <c r="D623" s="1"/>
      <c r="E623" s="1"/>
      <c r="F623" s="1"/>
      <c r="G623" s="1"/>
      <c r="H623" s="1"/>
      <c r="I623" s="1"/>
    </row>
    <row r="624" ht="14.25" customHeight="1">
      <c r="A624" s="52"/>
      <c r="B624" s="52"/>
      <c r="C624" s="53"/>
      <c r="D624" s="1"/>
      <c r="E624" s="1"/>
      <c r="F624" s="1"/>
      <c r="G624" s="1"/>
      <c r="H624" s="1"/>
      <c r="I624" s="1"/>
    </row>
    <row r="625" ht="14.25" customHeight="1">
      <c r="A625" s="52"/>
      <c r="B625" s="52"/>
      <c r="C625" s="53"/>
      <c r="D625" s="1"/>
      <c r="E625" s="1"/>
      <c r="F625" s="1"/>
      <c r="G625" s="1"/>
      <c r="H625" s="1"/>
      <c r="I625" s="1"/>
    </row>
    <row r="626" ht="14.25" customHeight="1">
      <c r="A626" s="52"/>
      <c r="B626" s="52"/>
      <c r="C626" s="53"/>
      <c r="D626" s="1"/>
      <c r="E626" s="1"/>
      <c r="F626" s="1"/>
      <c r="G626" s="1"/>
      <c r="H626" s="1"/>
      <c r="I626" s="1"/>
    </row>
    <row r="627" ht="14.25" customHeight="1">
      <c r="A627" s="52"/>
      <c r="B627" s="52"/>
      <c r="C627" s="53"/>
      <c r="D627" s="1"/>
      <c r="E627" s="1"/>
      <c r="F627" s="1"/>
      <c r="G627" s="1"/>
      <c r="H627" s="1"/>
      <c r="I627" s="1"/>
    </row>
    <row r="628" ht="14.25" customHeight="1">
      <c r="A628" s="52"/>
      <c r="B628" s="52"/>
      <c r="C628" s="53"/>
      <c r="D628" s="1"/>
      <c r="E628" s="1"/>
      <c r="F628" s="1"/>
      <c r="G628" s="1"/>
      <c r="H628" s="1"/>
      <c r="I628" s="1"/>
    </row>
    <row r="629" ht="14.25" customHeight="1">
      <c r="A629" s="52"/>
      <c r="B629" s="52"/>
      <c r="C629" s="53"/>
      <c r="D629" s="1"/>
      <c r="E629" s="1"/>
      <c r="F629" s="1"/>
      <c r="G629" s="1"/>
      <c r="H629" s="1"/>
      <c r="I629" s="1"/>
    </row>
    <row r="630" ht="14.25" customHeight="1">
      <c r="A630" s="52"/>
      <c r="B630" s="52"/>
      <c r="C630" s="53"/>
      <c r="D630" s="1"/>
      <c r="E630" s="1"/>
      <c r="F630" s="1"/>
      <c r="G630" s="1"/>
      <c r="H630" s="1"/>
      <c r="I630" s="1"/>
    </row>
    <row r="631" ht="14.25" customHeight="1">
      <c r="A631" s="52"/>
      <c r="B631" s="52"/>
      <c r="C631" s="53"/>
      <c r="D631" s="1"/>
      <c r="E631" s="1"/>
      <c r="F631" s="1"/>
      <c r="G631" s="1"/>
      <c r="H631" s="1"/>
      <c r="I631" s="1"/>
    </row>
    <row r="632" ht="14.25" customHeight="1">
      <c r="A632" s="52"/>
      <c r="B632" s="52"/>
      <c r="C632" s="53"/>
      <c r="D632" s="1"/>
      <c r="E632" s="1"/>
      <c r="F632" s="1"/>
      <c r="G632" s="1"/>
      <c r="H632" s="1"/>
      <c r="I632" s="1"/>
    </row>
    <row r="633" ht="14.25" customHeight="1">
      <c r="A633" s="52"/>
      <c r="B633" s="52"/>
      <c r="C633" s="53"/>
      <c r="D633" s="1"/>
      <c r="E633" s="1"/>
      <c r="F633" s="1"/>
      <c r="G633" s="1"/>
      <c r="H633" s="1"/>
      <c r="I633" s="1"/>
    </row>
    <row r="634" ht="14.25" customHeight="1">
      <c r="A634" s="52"/>
      <c r="B634" s="52"/>
      <c r="C634" s="53"/>
      <c r="D634" s="1"/>
      <c r="E634" s="1"/>
      <c r="F634" s="1"/>
      <c r="G634" s="1"/>
      <c r="H634" s="1"/>
      <c r="I634" s="1"/>
    </row>
    <row r="635" ht="14.25" customHeight="1">
      <c r="A635" s="52"/>
      <c r="B635" s="52"/>
      <c r="C635" s="53"/>
      <c r="D635" s="1"/>
      <c r="E635" s="1"/>
      <c r="F635" s="1"/>
      <c r="G635" s="1"/>
      <c r="H635" s="1"/>
      <c r="I635" s="1"/>
    </row>
    <row r="636" ht="14.25" customHeight="1">
      <c r="A636" s="52"/>
      <c r="B636" s="52"/>
      <c r="C636" s="53"/>
      <c r="D636" s="1"/>
      <c r="E636" s="1"/>
      <c r="F636" s="1"/>
      <c r="G636" s="1"/>
      <c r="H636" s="1"/>
      <c r="I636" s="1"/>
    </row>
    <row r="637" ht="14.25" customHeight="1">
      <c r="A637" s="52"/>
      <c r="B637" s="52"/>
      <c r="C637" s="53"/>
      <c r="D637" s="1"/>
      <c r="E637" s="1"/>
      <c r="F637" s="1"/>
      <c r="G637" s="1"/>
      <c r="H637" s="1"/>
      <c r="I637" s="1"/>
    </row>
    <row r="638" ht="14.25" customHeight="1">
      <c r="A638" s="52"/>
      <c r="B638" s="52"/>
      <c r="C638" s="53"/>
      <c r="D638" s="1"/>
      <c r="E638" s="1"/>
      <c r="F638" s="1"/>
      <c r="G638" s="1"/>
      <c r="H638" s="1"/>
      <c r="I638" s="1"/>
    </row>
    <row r="639" ht="14.25" customHeight="1">
      <c r="A639" s="52"/>
      <c r="B639" s="52"/>
      <c r="C639" s="53"/>
      <c r="D639" s="1"/>
      <c r="E639" s="1"/>
      <c r="F639" s="1"/>
      <c r="G639" s="1"/>
      <c r="H639" s="1"/>
      <c r="I639" s="1"/>
    </row>
    <row r="640" ht="14.25" customHeight="1">
      <c r="A640" s="52"/>
      <c r="B640" s="52"/>
      <c r="C640" s="53"/>
      <c r="D640" s="1"/>
      <c r="E640" s="1"/>
      <c r="F640" s="1"/>
      <c r="G640" s="1"/>
      <c r="H640" s="1"/>
      <c r="I640" s="1"/>
    </row>
    <row r="641" ht="14.25" customHeight="1">
      <c r="A641" s="52"/>
      <c r="B641" s="52"/>
      <c r="C641" s="53"/>
      <c r="D641" s="1"/>
      <c r="E641" s="1"/>
      <c r="F641" s="1"/>
      <c r="G641" s="1"/>
      <c r="H641" s="1"/>
      <c r="I641" s="1"/>
    </row>
    <row r="642" ht="14.25" customHeight="1">
      <c r="A642" s="52"/>
      <c r="B642" s="52"/>
      <c r="C642" s="53"/>
      <c r="D642" s="1"/>
      <c r="E642" s="1"/>
      <c r="F642" s="1"/>
      <c r="G642" s="1"/>
      <c r="H642" s="1"/>
      <c r="I642" s="1"/>
    </row>
    <row r="643" ht="14.25" customHeight="1">
      <c r="A643" s="52"/>
      <c r="B643" s="52"/>
      <c r="C643" s="53"/>
      <c r="D643" s="1"/>
      <c r="E643" s="1"/>
      <c r="F643" s="1"/>
      <c r="G643" s="1"/>
      <c r="H643" s="1"/>
      <c r="I643" s="1"/>
    </row>
    <row r="644" ht="14.25" customHeight="1">
      <c r="A644" s="52"/>
      <c r="B644" s="52"/>
      <c r="C644" s="53"/>
      <c r="D644" s="1"/>
      <c r="E644" s="1"/>
      <c r="F644" s="1"/>
      <c r="G644" s="1"/>
      <c r="H644" s="1"/>
      <c r="I644" s="1"/>
    </row>
    <row r="645" ht="14.25" customHeight="1">
      <c r="A645" s="52"/>
      <c r="B645" s="52"/>
      <c r="C645" s="53"/>
      <c r="D645" s="1"/>
      <c r="E645" s="1"/>
      <c r="F645" s="1"/>
      <c r="G645" s="1"/>
      <c r="H645" s="1"/>
      <c r="I645" s="1"/>
    </row>
    <row r="646" ht="14.25" customHeight="1">
      <c r="A646" s="52"/>
      <c r="B646" s="52"/>
      <c r="C646" s="53"/>
      <c r="D646" s="1"/>
      <c r="E646" s="1"/>
      <c r="F646" s="1"/>
      <c r="G646" s="1"/>
      <c r="H646" s="1"/>
      <c r="I646" s="1"/>
    </row>
    <row r="647" ht="14.25" customHeight="1">
      <c r="A647" s="52"/>
      <c r="B647" s="52"/>
      <c r="C647" s="53"/>
      <c r="D647" s="1"/>
      <c r="E647" s="1"/>
      <c r="F647" s="1"/>
      <c r="G647" s="1"/>
      <c r="H647" s="1"/>
      <c r="I647" s="1"/>
    </row>
    <row r="648" ht="14.25" customHeight="1">
      <c r="A648" s="52"/>
      <c r="B648" s="52"/>
      <c r="C648" s="53"/>
      <c r="D648" s="1"/>
      <c r="E648" s="1"/>
      <c r="F648" s="1"/>
      <c r="G648" s="1"/>
      <c r="H648" s="1"/>
      <c r="I648" s="1"/>
    </row>
    <row r="649" ht="14.25" customHeight="1">
      <c r="A649" s="52"/>
      <c r="B649" s="52"/>
      <c r="C649" s="53"/>
      <c r="D649" s="1"/>
      <c r="E649" s="1"/>
      <c r="F649" s="1"/>
      <c r="G649" s="1"/>
      <c r="H649" s="1"/>
      <c r="I649" s="1"/>
    </row>
    <row r="650" ht="14.25" customHeight="1">
      <c r="A650" s="52"/>
      <c r="B650" s="52"/>
      <c r="C650" s="53"/>
      <c r="D650" s="1"/>
      <c r="E650" s="1"/>
      <c r="F650" s="1"/>
      <c r="G650" s="1"/>
      <c r="H650" s="1"/>
      <c r="I650" s="1"/>
    </row>
    <row r="651" ht="14.25" customHeight="1">
      <c r="A651" s="52"/>
      <c r="B651" s="52"/>
      <c r="C651" s="53"/>
      <c r="D651" s="1"/>
      <c r="E651" s="1"/>
      <c r="F651" s="1"/>
      <c r="G651" s="1"/>
      <c r="H651" s="1"/>
      <c r="I651" s="1"/>
    </row>
    <row r="652" ht="14.25" customHeight="1">
      <c r="A652" s="52"/>
      <c r="B652" s="52"/>
      <c r="C652" s="53"/>
      <c r="D652" s="1"/>
      <c r="E652" s="1"/>
      <c r="F652" s="1"/>
      <c r="G652" s="1"/>
      <c r="H652" s="1"/>
      <c r="I652" s="1"/>
    </row>
    <row r="653" ht="14.25" customHeight="1">
      <c r="A653" s="52"/>
      <c r="B653" s="52"/>
      <c r="C653" s="53"/>
      <c r="D653" s="1"/>
      <c r="E653" s="1"/>
      <c r="F653" s="1"/>
      <c r="G653" s="1"/>
      <c r="H653" s="1"/>
      <c r="I653" s="1"/>
    </row>
    <row r="654" ht="14.25" customHeight="1">
      <c r="A654" s="52"/>
      <c r="B654" s="52"/>
      <c r="C654" s="53"/>
      <c r="D654" s="1"/>
      <c r="E654" s="1"/>
      <c r="F654" s="1"/>
      <c r="G654" s="1"/>
      <c r="H654" s="1"/>
      <c r="I654" s="1"/>
    </row>
    <row r="655" ht="14.25" customHeight="1">
      <c r="A655" s="52"/>
      <c r="B655" s="52"/>
      <c r="C655" s="53"/>
      <c r="D655" s="1"/>
      <c r="E655" s="1"/>
      <c r="F655" s="1"/>
      <c r="G655" s="1"/>
      <c r="H655" s="1"/>
      <c r="I655" s="1"/>
    </row>
    <row r="656" ht="14.25" customHeight="1">
      <c r="A656" s="52"/>
      <c r="B656" s="52"/>
      <c r="C656" s="53"/>
      <c r="D656" s="1"/>
      <c r="E656" s="1"/>
      <c r="F656" s="1"/>
      <c r="G656" s="1"/>
      <c r="H656" s="1"/>
      <c r="I656" s="1"/>
    </row>
    <row r="657" ht="14.25" customHeight="1">
      <c r="A657" s="52"/>
      <c r="B657" s="52"/>
      <c r="C657" s="53"/>
      <c r="D657" s="1"/>
      <c r="E657" s="1"/>
      <c r="F657" s="1"/>
      <c r="G657" s="1"/>
      <c r="H657" s="1"/>
      <c r="I657" s="1"/>
    </row>
    <row r="658" ht="14.25" customHeight="1">
      <c r="A658" s="52"/>
      <c r="B658" s="52"/>
      <c r="C658" s="53"/>
      <c r="D658" s="1"/>
      <c r="E658" s="1"/>
      <c r="F658" s="1"/>
      <c r="G658" s="1"/>
      <c r="H658" s="1"/>
      <c r="I658" s="1"/>
    </row>
    <row r="659" ht="14.25" customHeight="1">
      <c r="A659" s="52"/>
      <c r="B659" s="52"/>
      <c r="C659" s="53"/>
      <c r="D659" s="1"/>
      <c r="E659" s="1"/>
      <c r="F659" s="1"/>
      <c r="G659" s="1"/>
      <c r="H659" s="1"/>
      <c r="I659" s="1"/>
    </row>
    <row r="660" ht="14.25" customHeight="1">
      <c r="A660" s="52"/>
      <c r="B660" s="52"/>
      <c r="C660" s="53"/>
      <c r="D660" s="1"/>
      <c r="E660" s="1"/>
      <c r="F660" s="1"/>
      <c r="G660" s="1"/>
      <c r="H660" s="1"/>
      <c r="I660" s="1"/>
    </row>
    <row r="661" ht="14.25" customHeight="1">
      <c r="A661" s="52"/>
      <c r="B661" s="52"/>
      <c r="C661" s="53"/>
      <c r="D661" s="1"/>
      <c r="E661" s="1"/>
      <c r="F661" s="1"/>
      <c r="G661" s="1"/>
      <c r="H661" s="1"/>
      <c r="I661" s="1"/>
    </row>
    <row r="662" ht="14.25" customHeight="1">
      <c r="A662" s="52"/>
      <c r="B662" s="52"/>
      <c r="C662" s="53"/>
      <c r="D662" s="1"/>
      <c r="E662" s="1"/>
      <c r="F662" s="1"/>
      <c r="G662" s="1"/>
      <c r="H662" s="1"/>
      <c r="I662" s="1"/>
    </row>
    <row r="663" ht="14.25" customHeight="1">
      <c r="A663" s="52"/>
      <c r="B663" s="52"/>
      <c r="C663" s="53"/>
      <c r="D663" s="1"/>
      <c r="E663" s="1"/>
      <c r="F663" s="1"/>
      <c r="G663" s="1"/>
      <c r="H663" s="1"/>
      <c r="I663" s="1"/>
    </row>
    <row r="664" ht="14.25" customHeight="1">
      <c r="A664" s="52"/>
      <c r="B664" s="52"/>
      <c r="C664" s="53"/>
      <c r="D664" s="1"/>
      <c r="E664" s="1"/>
      <c r="F664" s="1"/>
      <c r="G664" s="1"/>
      <c r="H664" s="1"/>
      <c r="I664" s="1"/>
    </row>
    <row r="665" ht="14.25" customHeight="1">
      <c r="A665" s="52"/>
      <c r="B665" s="52"/>
      <c r="C665" s="53"/>
      <c r="D665" s="1"/>
      <c r="E665" s="1"/>
      <c r="F665" s="1"/>
      <c r="G665" s="1"/>
      <c r="H665" s="1"/>
      <c r="I665" s="1"/>
    </row>
    <row r="666" ht="14.25" customHeight="1">
      <c r="A666" s="52"/>
      <c r="B666" s="52"/>
      <c r="C666" s="53"/>
      <c r="D666" s="1"/>
      <c r="E666" s="1"/>
      <c r="F666" s="1"/>
      <c r="G666" s="1"/>
      <c r="H666" s="1"/>
      <c r="I666" s="1"/>
    </row>
    <row r="667" ht="14.25" customHeight="1">
      <c r="A667" s="52"/>
      <c r="B667" s="52"/>
      <c r="C667" s="53"/>
      <c r="D667" s="1"/>
      <c r="E667" s="1"/>
      <c r="F667" s="1"/>
      <c r="G667" s="1"/>
      <c r="H667" s="1"/>
      <c r="I667" s="1"/>
    </row>
    <row r="668" ht="14.25" customHeight="1">
      <c r="A668" s="52"/>
      <c r="B668" s="52"/>
      <c r="C668" s="53"/>
      <c r="D668" s="1"/>
      <c r="E668" s="1"/>
      <c r="F668" s="1"/>
      <c r="G668" s="1"/>
      <c r="H668" s="1"/>
      <c r="I668" s="1"/>
    </row>
    <row r="669" ht="14.25" customHeight="1">
      <c r="A669" s="52"/>
      <c r="B669" s="52"/>
      <c r="C669" s="53"/>
      <c r="D669" s="1"/>
      <c r="E669" s="1"/>
      <c r="F669" s="1"/>
      <c r="G669" s="1"/>
      <c r="H669" s="1"/>
      <c r="I669" s="1"/>
    </row>
    <row r="670" ht="14.25" customHeight="1">
      <c r="A670" s="52"/>
      <c r="B670" s="52"/>
      <c r="C670" s="53"/>
      <c r="D670" s="1"/>
      <c r="E670" s="1"/>
      <c r="F670" s="1"/>
      <c r="G670" s="1"/>
      <c r="H670" s="1"/>
      <c r="I670" s="1"/>
    </row>
    <row r="671" ht="14.25" customHeight="1">
      <c r="A671" s="52"/>
      <c r="B671" s="52"/>
      <c r="C671" s="53"/>
      <c r="D671" s="1"/>
      <c r="E671" s="1"/>
      <c r="F671" s="1"/>
      <c r="G671" s="1"/>
      <c r="H671" s="1"/>
      <c r="I671" s="1"/>
    </row>
    <row r="672" ht="14.25" customHeight="1">
      <c r="A672" s="52"/>
      <c r="B672" s="52"/>
      <c r="C672" s="53"/>
      <c r="D672" s="1"/>
      <c r="E672" s="1"/>
      <c r="F672" s="1"/>
      <c r="G672" s="1"/>
      <c r="H672" s="1"/>
      <c r="I672" s="1"/>
    </row>
    <row r="673" ht="14.25" customHeight="1">
      <c r="A673" s="52"/>
      <c r="B673" s="52"/>
      <c r="C673" s="53"/>
      <c r="D673" s="1"/>
      <c r="E673" s="1"/>
      <c r="F673" s="1"/>
      <c r="G673" s="1"/>
      <c r="H673" s="1"/>
      <c r="I673" s="1"/>
    </row>
    <row r="674" ht="14.25" customHeight="1">
      <c r="A674" s="52"/>
      <c r="B674" s="52"/>
      <c r="C674" s="53"/>
      <c r="D674" s="1"/>
      <c r="E674" s="1"/>
      <c r="F674" s="1"/>
      <c r="G674" s="1"/>
      <c r="H674" s="1"/>
      <c r="I674" s="1"/>
    </row>
    <row r="675" ht="14.25" customHeight="1">
      <c r="A675" s="52"/>
      <c r="B675" s="52"/>
      <c r="C675" s="53"/>
      <c r="D675" s="1"/>
      <c r="E675" s="1"/>
      <c r="F675" s="1"/>
      <c r="G675" s="1"/>
      <c r="H675" s="1"/>
      <c r="I675" s="1"/>
    </row>
    <row r="676" ht="14.25" customHeight="1">
      <c r="A676" s="52"/>
      <c r="B676" s="52"/>
      <c r="C676" s="53"/>
      <c r="D676" s="1"/>
      <c r="E676" s="1"/>
      <c r="F676" s="1"/>
      <c r="G676" s="1"/>
      <c r="H676" s="1"/>
      <c r="I676" s="1"/>
    </row>
    <row r="677" ht="14.25" customHeight="1">
      <c r="A677" s="52"/>
      <c r="B677" s="52"/>
      <c r="C677" s="53"/>
      <c r="D677" s="1"/>
      <c r="E677" s="1"/>
      <c r="F677" s="1"/>
      <c r="G677" s="1"/>
      <c r="H677" s="1"/>
      <c r="I677" s="1"/>
    </row>
    <row r="678" ht="14.25" customHeight="1">
      <c r="A678" s="52"/>
      <c r="B678" s="52"/>
      <c r="C678" s="53"/>
      <c r="D678" s="1"/>
      <c r="E678" s="1"/>
      <c r="F678" s="1"/>
      <c r="G678" s="1"/>
      <c r="H678" s="1"/>
      <c r="I678" s="1"/>
    </row>
    <row r="679" ht="14.25" customHeight="1">
      <c r="A679" s="52"/>
      <c r="B679" s="52"/>
      <c r="C679" s="53"/>
      <c r="D679" s="1"/>
      <c r="E679" s="1"/>
      <c r="F679" s="1"/>
      <c r="G679" s="1"/>
      <c r="H679" s="1"/>
      <c r="I679" s="1"/>
    </row>
    <row r="680" ht="14.25" customHeight="1">
      <c r="A680" s="52"/>
      <c r="B680" s="52"/>
      <c r="C680" s="53"/>
      <c r="D680" s="1"/>
      <c r="E680" s="1"/>
      <c r="F680" s="1"/>
      <c r="G680" s="1"/>
      <c r="H680" s="1"/>
      <c r="I680" s="1"/>
    </row>
    <row r="681" ht="14.25" customHeight="1">
      <c r="A681" s="52"/>
      <c r="B681" s="52"/>
      <c r="C681" s="53"/>
      <c r="D681" s="1"/>
      <c r="E681" s="1"/>
      <c r="F681" s="1"/>
      <c r="G681" s="1"/>
      <c r="H681" s="1"/>
      <c r="I681" s="1"/>
    </row>
    <row r="682" ht="14.25" customHeight="1">
      <c r="A682" s="52"/>
      <c r="B682" s="52"/>
      <c r="C682" s="53"/>
      <c r="D682" s="1"/>
      <c r="E682" s="1"/>
      <c r="F682" s="1"/>
      <c r="G682" s="1"/>
      <c r="H682" s="1"/>
      <c r="I682" s="1"/>
    </row>
    <row r="683" ht="14.25" customHeight="1">
      <c r="A683" s="52"/>
      <c r="B683" s="52"/>
      <c r="C683" s="53"/>
      <c r="D683" s="1"/>
      <c r="E683" s="1"/>
      <c r="F683" s="1"/>
      <c r="G683" s="1"/>
      <c r="H683" s="1"/>
      <c r="I683" s="1"/>
    </row>
    <row r="684" ht="14.25" customHeight="1">
      <c r="A684" s="52"/>
      <c r="B684" s="52"/>
      <c r="C684" s="53"/>
      <c r="D684" s="1"/>
      <c r="E684" s="1"/>
      <c r="F684" s="1"/>
      <c r="G684" s="1"/>
      <c r="H684" s="1"/>
      <c r="I684" s="1"/>
    </row>
    <row r="685" ht="14.25" customHeight="1">
      <c r="A685" s="52"/>
      <c r="B685" s="52"/>
      <c r="C685" s="53"/>
      <c r="D685" s="1"/>
      <c r="E685" s="1"/>
      <c r="F685" s="1"/>
      <c r="G685" s="1"/>
      <c r="H685" s="1"/>
      <c r="I685" s="1"/>
    </row>
    <row r="686" ht="14.25" customHeight="1">
      <c r="A686" s="52"/>
      <c r="B686" s="52"/>
      <c r="C686" s="53"/>
      <c r="D686" s="1"/>
      <c r="E686" s="1"/>
      <c r="F686" s="1"/>
      <c r="G686" s="1"/>
      <c r="H686" s="1"/>
      <c r="I686" s="1"/>
    </row>
    <row r="687" ht="14.25" customHeight="1">
      <c r="A687" s="52"/>
      <c r="B687" s="52"/>
      <c r="C687" s="53"/>
      <c r="D687" s="1"/>
      <c r="E687" s="1"/>
      <c r="F687" s="1"/>
      <c r="G687" s="1"/>
      <c r="H687" s="1"/>
      <c r="I687" s="1"/>
    </row>
    <row r="688" ht="14.25" customHeight="1">
      <c r="A688" s="52"/>
      <c r="B688" s="52"/>
      <c r="C688" s="53"/>
      <c r="D688" s="1"/>
      <c r="E688" s="1"/>
      <c r="F688" s="1"/>
      <c r="G688" s="1"/>
      <c r="H688" s="1"/>
      <c r="I688" s="1"/>
    </row>
    <row r="689" ht="14.25" customHeight="1">
      <c r="A689" s="52"/>
      <c r="B689" s="52"/>
      <c r="C689" s="53"/>
      <c r="D689" s="1"/>
      <c r="E689" s="1"/>
      <c r="F689" s="1"/>
      <c r="G689" s="1"/>
      <c r="H689" s="1"/>
      <c r="I689" s="1"/>
    </row>
    <row r="690" ht="14.25" customHeight="1">
      <c r="A690" s="52"/>
      <c r="B690" s="52"/>
      <c r="C690" s="53"/>
      <c r="D690" s="1"/>
      <c r="E690" s="1"/>
      <c r="F690" s="1"/>
      <c r="G690" s="1"/>
      <c r="H690" s="1"/>
      <c r="I690" s="1"/>
    </row>
    <row r="691" ht="14.25" customHeight="1">
      <c r="A691" s="52"/>
      <c r="B691" s="52"/>
      <c r="C691" s="53"/>
      <c r="D691" s="1"/>
      <c r="E691" s="1"/>
      <c r="F691" s="1"/>
      <c r="G691" s="1"/>
      <c r="H691" s="1"/>
      <c r="I691" s="1"/>
    </row>
    <row r="692" ht="14.25" customHeight="1">
      <c r="A692" s="52"/>
      <c r="B692" s="52"/>
      <c r="C692" s="53"/>
      <c r="D692" s="1"/>
      <c r="E692" s="1"/>
      <c r="F692" s="1"/>
      <c r="G692" s="1"/>
      <c r="H692" s="1"/>
      <c r="I692" s="1"/>
    </row>
    <row r="693" ht="14.25" customHeight="1">
      <c r="A693" s="52"/>
      <c r="B693" s="52"/>
      <c r="C693" s="53"/>
      <c r="D693" s="1"/>
      <c r="E693" s="1"/>
      <c r="F693" s="1"/>
      <c r="G693" s="1"/>
      <c r="H693" s="1"/>
      <c r="I693" s="1"/>
    </row>
    <row r="694" ht="14.25" customHeight="1">
      <c r="A694" s="52"/>
      <c r="B694" s="52"/>
      <c r="C694" s="53"/>
      <c r="D694" s="1"/>
      <c r="E694" s="1"/>
      <c r="F694" s="1"/>
      <c r="G694" s="1"/>
      <c r="H694" s="1"/>
      <c r="I694" s="1"/>
    </row>
    <row r="695" ht="14.25" customHeight="1">
      <c r="A695" s="52"/>
      <c r="B695" s="52"/>
      <c r="C695" s="53"/>
      <c r="D695" s="1"/>
      <c r="E695" s="1"/>
      <c r="F695" s="1"/>
      <c r="G695" s="1"/>
      <c r="H695" s="1"/>
      <c r="I695" s="1"/>
    </row>
    <row r="696" ht="14.25" customHeight="1">
      <c r="A696" s="52"/>
      <c r="B696" s="52"/>
      <c r="C696" s="53"/>
      <c r="D696" s="1"/>
      <c r="E696" s="1"/>
      <c r="F696" s="1"/>
      <c r="G696" s="1"/>
      <c r="H696" s="1"/>
      <c r="I696" s="1"/>
    </row>
    <row r="697" ht="14.25" customHeight="1">
      <c r="A697" s="52"/>
      <c r="B697" s="52"/>
      <c r="C697" s="53"/>
      <c r="D697" s="1"/>
      <c r="E697" s="1"/>
      <c r="F697" s="1"/>
      <c r="G697" s="1"/>
      <c r="H697" s="1"/>
      <c r="I697" s="1"/>
    </row>
    <row r="698" ht="14.25" customHeight="1">
      <c r="A698" s="52"/>
      <c r="B698" s="52"/>
      <c r="C698" s="53"/>
      <c r="D698" s="1"/>
      <c r="E698" s="1"/>
      <c r="F698" s="1"/>
      <c r="G698" s="1"/>
      <c r="H698" s="1"/>
      <c r="I698" s="1"/>
    </row>
    <row r="699" ht="14.25" customHeight="1">
      <c r="A699" s="52"/>
      <c r="B699" s="52"/>
      <c r="C699" s="53"/>
      <c r="D699" s="1"/>
      <c r="E699" s="1"/>
      <c r="F699" s="1"/>
      <c r="G699" s="1"/>
      <c r="H699" s="1"/>
      <c r="I699" s="1"/>
    </row>
    <row r="700" ht="14.25" customHeight="1">
      <c r="A700" s="52"/>
      <c r="B700" s="52"/>
      <c r="C700" s="53"/>
      <c r="D700" s="1"/>
      <c r="E700" s="1"/>
      <c r="F700" s="1"/>
      <c r="G700" s="1"/>
      <c r="H700" s="1"/>
      <c r="I700" s="1"/>
    </row>
    <row r="701" ht="14.25" customHeight="1">
      <c r="A701" s="52"/>
      <c r="B701" s="52"/>
      <c r="C701" s="53"/>
      <c r="D701" s="1"/>
      <c r="E701" s="1"/>
      <c r="F701" s="1"/>
      <c r="G701" s="1"/>
      <c r="H701" s="1"/>
      <c r="I701" s="1"/>
    </row>
    <row r="702" ht="14.25" customHeight="1">
      <c r="A702" s="52"/>
      <c r="B702" s="52"/>
      <c r="C702" s="53"/>
      <c r="D702" s="1"/>
      <c r="E702" s="1"/>
      <c r="F702" s="1"/>
      <c r="G702" s="1"/>
      <c r="H702" s="1"/>
      <c r="I702" s="1"/>
    </row>
    <row r="703" ht="14.25" customHeight="1">
      <c r="A703" s="52"/>
      <c r="B703" s="52"/>
      <c r="C703" s="53"/>
      <c r="D703" s="1"/>
      <c r="E703" s="1"/>
      <c r="F703" s="1"/>
      <c r="G703" s="1"/>
      <c r="H703" s="1"/>
      <c r="I703" s="1"/>
    </row>
    <row r="704" ht="14.25" customHeight="1">
      <c r="A704" s="52"/>
      <c r="B704" s="52"/>
      <c r="C704" s="53"/>
      <c r="D704" s="1"/>
      <c r="E704" s="1"/>
      <c r="F704" s="1"/>
      <c r="G704" s="1"/>
      <c r="H704" s="1"/>
      <c r="I704" s="1"/>
    </row>
    <row r="705" ht="14.25" customHeight="1">
      <c r="A705" s="52"/>
      <c r="B705" s="52"/>
      <c r="C705" s="53"/>
      <c r="D705" s="1"/>
      <c r="E705" s="1"/>
      <c r="F705" s="1"/>
      <c r="G705" s="1"/>
      <c r="H705" s="1"/>
      <c r="I705" s="1"/>
    </row>
    <row r="706" ht="14.25" customHeight="1">
      <c r="A706" s="52"/>
      <c r="B706" s="52"/>
      <c r="C706" s="53"/>
      <c r="D706" s="1"/>
      <c r="E706" s="1"/>
      <c r="F706" s="1"/>
      <c r="G706" s="1"/>
      <c r="H706" s="1"/>
      <c r="I706" s="1"/>
    </row>
    <row r="707" ht="14.25" customHeight="1">
      <c r="A707" s="52"/>
      <c r="B707" s="52"/>
      <c r="C707" s="53"/>
      <c r="D707" s="1"/>
      <c r="E707" s="1"/>
      <c r="F707" s="1"/>
      <c r="G707" s="1"/>
      <c r="H707" s="1"/>
      <c r="I707" s="1"/>
    </row>
    <row r="708" ht="14.25" customHeight="1">
      <c r="A708" s="52"/>
      <c r="B708" s="52"/>
      <c r="C708" s="53"/>
      <c r="D708" s="1"/>
      <c r="E708" s="1"/>
      <c r="F708" s="1"/>
      <c r="G708" s="1"/>
      <c r="H708" s="1"/>
      <c r="I708" s="1"/>
    </row>
    <row r="709" ht="14.25" customHeight="1">
      <c r="A709" s="52"/>
      <c r="B709" s="52"/>
      <c r="C709" s="53"/>
      <c r="D709" s="1"/>
      <c r="E709" s="1"/>
      <c r="F709" s="1"/>
      <c r="G709" s="1"/>
      <c r="H709" s="1"/>
      <c r="I709" s="1"/>
    </row>
    <row r="710" ht="14.25" customHeight="1">
      <c r="A710" s="52"/>
      <c r="B710" s="52"/>
      <c r="C710" s="53"/>
      <c r="D710" s="1"/>
      <c r="E710" s="1"/>
      <c r="F710" s="1"/>
      <c r="G710" s="1"/>
      <c r="H710" s="1"/>
      <c r="I710" s="1"/>
    </row>
    <row r="711" ht="14.25" customHeight="1">
      <c r="A711" s="52"/>
      <c r="B711" s="52"/>
      <c r="C711" s="53"/>
      <c r="D711" s="1"/>
      <c r="E711" s="1"/>
      <c r="F711" s="1"/>
      <c r="G711" s="1"/>
      <c r="H711" s="1"/>
      <c r="I711" s="1"/>
    </row>
    <row r="712" ht="14.25" customHeight="1">
      <c r="A712" s="52"/>
      <c r="B712" s="52"/>
      <c r="C712" s="53"/>
      <c r="D712" s="1"/>
      <c r="E712" s="1"/>
      <c r="F712" s="1"/>
      <c r="G712" s="1"/>
      <c r="H712" s="1"/>
      <c r="I712" s="1"/>
    </row>
    <row r="713" ht="14.25" customHeight="1">
      <c r="A713" s="52"/>
      <c r="B713" s="52"/>
      <c r="C713" s="53"/>
      <c r="D713" s="1"/>
      <c r="E713" s="1"/>
      <c r="F713" s="1"/>
      <c r="G713" s="1"/>
      <c r="H713" s="1"/>
      <c r="I713" s="1"/>
    </row>
    <row r="714" ht="14.25" customHeight="1">
      <c r="A714" s="52"/>
      <c r="B714" s="52"/>
      <c r="C714" s="53"/>
      <c r="D714" s="1"/>
      <c r="E714" s="1"/>
      <c r="F714" s="1"/>
      <c r="G714" s="1"/>
      <c r="H714" s="1"/>
      <c r="I714" s="1"/>
    </row>
    <row r="715" ht="14.25" customHeight="1">
      <c r="A715" s="52"/>
      <c r="B715" s="52"/>
      <c r="C715" s="53"/>
      <c r="D715" s="1"/>
      <c r="E715" s="1"/>
      <c r="F715" s="1"/>
      <c r="G715" s="1"/>
      <c r="H715" s="1"/>
      <c r="I715" s="1"/>
    </row>
    <row r="716" ht="14.25" customHeight="1">
      <c r="A716" s="52"/>
      <c r="B716" s="52"/>
      <c r="C716" s="53"/>
      <c r="D716" s="1"/>
      <c r="E716" s="1"/>
      <c r="F716" s="1"/>
      <c r="G716" s="1"/>
      <c r="H716" s="1"/>
      <c r="I716" s="1"/>
    </row>
    <row r="717" ht="14.25" customHeight="1">
      <c r="A717" s="52"/>
      <c r="B717" s="52"/>
      <c r="C717" s="53"/>
      <c r="D717" s="1"/>
      <c r="E717" s="1"/>
      <c r="F717" s="1"/>
      <c r="G717" s="1"/>
      <c r="H717" s="1"/>
      <c r="I717" s="1"/>
    </row>
    <row r="718" ht="14.25" customHeight="1">
      <c r="A718" s="52"/>
      <c r="B718" s="52"/>
      <c r="C718" s="53"/>
      <c r="D718" s="1"/>
      <c r="E718" s="1"/>
      <c r="F718" s="1"/>
      <c r="G718" s="1"/>
      <c r="H718" s="1"/>
      <c r="I718" s="1"/>
    </row>
    <row r="719" ht="14.25" customHeight="1">
      <c r="A719" s="52"/>
      <c r="B719" s="52"/>
      <c r="C719" s="53"/>
      <c r="D719" s="1"/>
      <c r="E719" s="1"/>
      <c r="F719" s="1"/>
      <c r="G719" s="1"/>
      <c r="H719" s="1"/>
      <c r="I719" s="1"/>
    </row>
    <row r="720" ht="14.25" customHeight="1">
      <c r="A720" s="52"/>
      <c r="B720" s="52"/>
      <c r="C720" s="53"/>
      <c r="D720" s="1"/>
      <c r="E720" s="1"/>
      <c r="F720" s="1"/>
      <c r="G720" s="1"/>
      <c r="H720" s="1"/>
      <c r="I720" s="1"/>
    </row>
    <row r="721" ht="14.25" customHeight="1">
      <c r="A721" s="52"/>
      <c r="B721" s="52"/>
      <c r="C721" s="53"/>
      <c r="D721" s="1"/>
      <c r="E721" s="1"/>
      <c r="F721" s="1"/>
      <c r="G721" s="1"/>
      <c r="H721" s="1"/>
      <c r="I721" s="1"/>
    </row>
    <row r="722" ht="14.25" customHeight="1">
      <c r="A722" s="52"/>
      <c r="B722" s="52"/>
      <c r="C722" s="53"/>
      <c r="D722" s="1"/>
      <c r="E722" s="1"/>
      <c r="F722" s="1"/>
      <c r="G722" s="1"/>
      <c r="H722" s="1"/>
      <c r="I722" s="1"/>
    </row>
    <row r="723" ht="14.25" customHeight="1">
      <c r="A723" s="52"/>
      <c r="B723" s="52"/>
      <c r="C723" s="53"/>
      <c r="D723" s="1"/>
      <c r="E723" s="1"/>
      <c r="F723" s="1"/>
      <c r="G723" s="1"/>
      <c r="H723" s="1"/>
      <c r="I723" s="1"/>
    </row>
    <row r="724" ht="14.25" customHeight="1">
      <c r="A724" s="52"/>
      <c r="B724" s="52"/>
      <c r="C724" s="53"/>
      <c r="D724" s="1"/>
      <c r="E724" s="1"/>
      <c r="F724" s="1"/>
      <c r="G724" s="1"/>
      <c r="H724" s="1"/>
      <c r="I724" s="1"/>
    </row>
    <row r="725" ht="14.25" customHeight="1">
      <c r="A725" s="52"/>
      <c r="B725" s="52"/>
      <c r="C725" s="53"/>
      <c r="D725" s="1"/>
      <c r="E725" s="1"/>
      <c r="F725" s="1"/>
      <c r="G725" s="1"/>
      <c r="H725" s="1"/>
      <c r="I725" s="1"/>
    </row>
    <row r="726" ht="14.25" customHeight="1">
      <c r="A726" s="52"/>
      <c r="B726" s="52"/>
      <c r="C726" s="53"/>
      <c r="D726" s="1"/>
      <c r="E726" s="1"/>
      <c r="F726" s="1"/>
      <c r="G726" s="1"/>
      <c r="H726" s="1"/>
      <c r="I726" s="1"/>
    </row>
    <row r="727" ht="14.25" customHeight="1">
      <c r="A727" s="52"/>
      <c r="B727" s="52"/>
      <c r="C727" s="53"/>
      <c r="D727" s="1"/>
      <c r="E727" s="1"/>
      <c r="F727" s="1"/>
      <c r="G727" s="1"/>
      <c r="H727" s="1"/>
      <c r="I727" s="1"/>
    </row>
    <row r="728" ht="14.25" customHeight="1">
      <c r="A728" s="52"/>
      <c r="B728" s="52"/>
      <c r="C728" s="53"/>
      <c r="D728" s="1"/>
      <c r="E728" s="1"/>
      <c r="F728" s="1"/>
      <c r="G728" s="1"/>
      <c r="H728" s="1"/>
      <c r="I728" s="1"/>
    </row>
    <row r="729" ht="14.25" customHeight="1">
      <c r="A729" s="52"/>
      <c r="B729" s="52"/>
      <c r="C729" s="53"/>
      <c r="D729" s="1"/>
      <c r="E729" s="1"/>
      <c r="F729" s="1"/>
      <c r="G729" s="1"/>
      <c r="H729" s="1"/>
      <c r="I729" s="1"/>
    </row>
    <row r="730" ht="14.25" customHeight="1">
      <c r="A730" s="52"/>
      <c r="B730" s="52"/>
      <c r="C730" s="53"/>
      <c r="D730" s="1"/>
      <c r="E730" s="1"/>
      <c r="F730" s="1"/>
      <c r="G730" s="1"/>
      <c r="H730" s="1"/>
      <c r="I730" s="1"/>
    </row>
    <row r="731" ht="14.25" customHeight="1">
      <c r="A731" s="52"/>
      <c r="B731" s="52"/>
      <c r="C731" s="53"/>
      <c r="D731" s="1"/>
      <c r="E731" s="1"/>
      <c r="F731" s="1"/>
      <c r="G731" s="1"/>
      <c r="H731" s="1"/>
      <c r="I731" s="1"/>
    </row>
    <row r="732" ht="14.25" customHeight="1">
      <c r="A732" s="52"/>
      <c r="B732" s="52"/>
      <c r="C732" s="53"/>
      <c r="D732" s="1"/>
      <c r="E732" s="1"/>
      <c r="F732" s="1"/>
      <c r="G732" s="1"/>
      <c r="H732" s="1"/>
      <c r="I732" s="1"/>
    </row>
    <row r="733" ht="14.25" customHeight="1">
      <c r="A733" s="52"/>
      <c r="B733" s="52"/>
      <c r="C733" s="53"/>
      <c r="D733" s="1"/>
      <c r="E733" s="1"/>
      <c r="F733" s="1"/>
      <c r="G733" s="1"/>
      <c r="H733" s="1"/>
      <c r="I733" s="1"/>
    </row>
    <row r="734" ht="14.25" customHeight="1">
      <c r="A734" s="52"/>
      <c r="B734" s="52"/>
      <c r="C734" s="53"/>
      <c r="D734" s="1"/>
      <c r="E734" s="1"/>
      <c r="F734" s="1"/>
      <c r="G734" s="1"/>
      <c r="H734" s="1"/>
      <c r="I734" s="1"/>
    </row>
    <row r="735" ht="14.25" customHeight="1">
      <c r="A735" s="52"/>
      <c r="B735" s="52"/>
      <c r="C735" s="53"/>
      <c r="D735" s="1"/>
      <c r="E735" s="1"/>
      <c r="F735" s="1"/>
      <c r="G735" s="1"/>
      <c r="H735" s="1"/>
      <c r="I735" s="1"/>
    </row>
    <row r="736" ht="14.25" customHeight="1">
      <c r="A736" s="52"/>
      <c r="B736" s="52"/>
      <c r="C736" s="53"/>
      <c r="D736" s="1"/>
      <c r="E736" s="1"/>
      <c r="F736" s="1"/>
      <c r="G736" s="1"/>
      <c r="H736" s="1"/>
      <c r="I736" s="1"/>
    </row>
    <row r="737" ht="14.25" customHeight="1">
      <c r="A737" s="52"/>
      <c r="B737" s="52"/>
      <c r="C737" s="53"/>
      <c r="D737" s="1"/>
      <c r="E737" s="1"/>
      <c r="F737" s="1"/>
      <c r="G737" s="1"/>
      <c r="H737" s="1"/>
      <c r="I737" s="1"/>
    </row>
    <row r="738" ht="14.25" customHeight="1">
      <c r="A738" s="52"/>
      <c r="B738" s="52"/>
      <c r="C738" s="53"/>
      <c r="D738" s="1"/>
      <c r="E738" s="1"/>
      <c r="F738" s="1"/>
      <c r="G738" s="1"/>
      <c r="H738" s="1"/>
      <c r="I738" s="1"/>
    </row>
    <row r="739" ht="14.25" customHeight="1">
      <c r="A739" s="52"/>
      <c r="B739" s="52"/>
      <c r="C739" s="53"/>
      <c r="D739" s="1"/>
      <c r="E739" s="1"/>
      <c r="F739" s="1"/>
      <c r="G739" s="1"/>
      <c r="H739" s="1"/>
      <c r="I739" s="1"/>
    </row>
    <row r="740" ht="14.25" customHeight="1">
      <c r="A740" s="52"/>
      <c r="B740" s="52"/>
      <c r="C740" s="53"/>
      <c r="D740" s="1"/>
      <c r="E740" s="1"/>
      <c r="F740" s="1"/>
      <c r="G740" s="1"/>
      <c r="H740" s="1"/>
      <c r="I740" s="1"/>
    </row>
    <row r="741" ht="14.25" customHeight="1">
      <c r="A741" s="52"/>
      <c r="B741" s="52"/>
      <c r="C741" s="53"/>
      <c r="D741" s="1"/>
      <c r="E741" s="1"/>
      <c r="F741" s="1"/>
      <c r="G741" s="1"/>
      <c r="H741" s="1"/>
      <c r="I741" s="1"/>
    </row>
    <row r="742" ht="14.25" customHeight="1">
      <c r="A742" s="52"/>
      <c r="B742" s="52"/>
      <c r="C742" s="53"/>
      <c r="D742" s="1"/>
      <c r="E742" s="1"/>
      <c r="F742" s="1"/>
      <c r="G742" s="1"/>
      <c r="H742" s="1"/>
      <c r="I742" s="1"/>
    </row>
    <row r="743" ht="14.25" customHeight="1">
      <c r="A743" s="52"/>
      <c r="B743" s="52"/>
      <c r="C743" s="53"/>
      <c r="D743" s="1"/>
      <c r="E743" s="1"/>
      <c r="F743" s="1"/>
      <c r="G743" s="1"/>
      <c r="H743" s="1"/>
      <c r="I743" s="1"/>
    </row>
    <row r="744" ht="14.25" customHeight="1">
      <c r="A744" s="52"/>
      <c r="B744" s="52"/>
      <c r="C744" s="53"/>
      <c r="D744" s="1"/>
      <c r="E744" s="1"/>
      <c r="F744" s="1"/>
      <c r="G744" s="1"/>
      <c r="H744" s="1"/>
      <c r="I744" s="1"/>
    </row>
    <row r="745" ht="14.25" customHeight="1">
      <c r="A745" s="52"/>
      <c r="B745" s="52"/>
      <c r="C745" s="53"/>
      <c r="D745" s="1"/>
      <c r="E745" s="1"/>
      <c r="F745" s="1"/>
      <c r="G745" s="1"/>
      <c r="H745" s="1"/>
      <c r="I745" s="1"/>
    </row>
    <row r="746" ht="14.25" customHeight="1">
      <c r="A746" s="52"/>
      <c r="B746" s="52"/>
      <c r="C746" s="53"/>
      <c r="D746" s="1"/>
      <c r="E746" s="1"/>
      <c r="F746" s="1"/>
      <c r="G746" s="1"/>
      <c r="H746" s="1"/>
      <c r="I746" s="1"/>
    </row>
    <row r="747" ht="14.25" customHeight="1">
      <c r="A747" s="52"/>
      <c r="B747" s="52"/>
      <c r="C747" s="53"/>
      <c r="D747" s="1"/>
      <c r="E747" s="1"/>
      <c r="F747" s="1"/>
      <c r="G747" s="1"/>
      <c r="H747" s="1"/>
      <c r="I747" s="1"/>
    </row>
    <row r="748" ht="14.25" customHeight="1">
      <c r="A748" s="52"/>
      <c r="B748" s="52"/>
      <c r="C748" s="53"/>
      <c r="D748" s="1"/>
      <c r="E748" s="1"/>
      <c r="F748" s="1"/>
      <c r="G748" s="1"/>
      <c r="H748" s="1"/>
      <c r="I748" s="1"/>
    </row>
    <row r="749" ht="14.25" customHeight="1">
      <c r="A749" s="52"/>
      <c r="B749" s="52"/>
      <c r="C749" s="53"/>
      <c r="D749" s="1"/>
      <c r="E749" s="1"/>
      <c r="F749" s="1"/>
      <c r="G749" s="1"/>
      <c r="H749" s="1"/>
      <c r="I749" s="1"/>
    </row>
    <row r="750" ht="14.25" customHeight="1">
      <c r="A750" s="52"/>
      <c r="B750" s="52"/>
      <c r="C750" s="53"/>
      <c r="D750" s="1"/>
      <c r="E750" s="1"/>
      <c r="F750" s="1"/>
      <c r="G750" s="1"/>
      <c r="H750" s="1"/>
      <c r="I750" s="1"/>
    </row>
    <row r="751" ht="14.25" customHeight="1">
      <c r="A751" s="52"/>
      <c r="B751" s="52"/>
      <c r="C751" s="53"/>
      <c r="D751" s="1"/>
      <c r="E751" s="1"/>
      <c r="F751" s="1"/>
      <c r="G751" s="1"/>
      <c r="H751" s="1"/>
      <c r="I751" s="1"/>
    </row>
    <row r="752" ht="14.25" customHeight="1">
      <c r="A752" s="52"/>
      <c r="B752" s="52"/>
      <c r="C752" s="53"/>
      <c r="D752" s="1"/>
      <c r="E752" s="1"/>
      <c r="F752" s="1"/>
      <c r="G752" s="1"/>
      <c r="H752" s="1"/>
      <c r="I752" s="1"/>
    </row>
    <row r="753" ht="14.25" customHeight="1">
      <c r="A753" s="52"/>
      <c r="B753" s="52"/>
      <c r="C753" s="53"/>
      <c r="D753" s="1"/>
      <c r="E753" s="1"/>
      <c r="F753" s="1"/>
      <c r="G753" s="1"/>
      <c r="H753" s="1"/>
      <c r="I753" s="1"/>
    </row>
    <row r="754" ht="14.25" customHeight="1">
      <c r="A754" s="52"/>
      <c r="B754" s="52"/>
      <c r="C754" s="53"/>
      <c r="D754" s="1"/>
      <c r="E754" s="1"/>
      <c r="F754" s="1"/>
      <c r="G754" s="1"/>
      <c r="H754" s="1"/>
      <c r="I754" s="1"/>
    </row>
    <row r="755" ht="14.25" customHeight="1">
      <c r="A755" s="52"/>
      <c r="B755" s="52"/>
      <c r="C755" s="53"/>
      <c r="D755" s="1"/>
      <c r="E755" s="1"/>
      <c r="F755" s="1"/>
      <c r="G755" s="1"/>
      <c r="H755" s="1"/>
      <c r="I755" s="1"/>
    </row>
    <row r="756" ht="14.25" customHeight="1">
      <c r="A756" s="52"/>
      <c r="B756" s="52"/>
      <c r="C756" s="53"/>
      <c r="D756" s="1"/>
      <c r="E756" s="1"/>
      <c r="F756" s="1"/>
      <c r="G756" s="1"/>
      <c r="H756" s="1"/>
      <c r="I756" s="1"/>
    </row>
    <row r="757" ht="14.25" customHeight="1">
      <c r="A757" s="52"/>
      <c r="B757" s="52"/>
      <c r="C757" s="53"/>
      <c r="D757" s="1"/>
      <c r="E757" s="1"/>
      <c r="F757" s="1"/>
      <c r="G757" s="1"/>
      <c r="H757" s="1"/>
      <c r="I757" s="1"/>
    </row>
    <row r="758" ht="14.25" customHeight="1">
      <c r="A758" s="52"/>
      <c r="B758" s="52"/>
      <c r="C758" s="53"/>
      <c r="D758" s="1"/>
      <c r="E758" s="1"/>
      <c r="F758" s="1"/>
      <c r="G758" s="1"/>
      <c r="H758" s="1"/>
      <c r="I758" s="1"/>
    </row>
    <row r="759" ht="14.25" customHeight="1">
      <c r="A759" s="52"/>
      <c r="B759" s="52"/>
      <c r="C759" s="53"/>
      <c r="D759" s="1"/>
      <c r="E759" s="1"/>
      <c r="F759" s="1"/>
      <c r="G759" s="1"/>
      <c r="H759" s="1"/>
      <c r="I759" s="1"/>
    </row>
    <row r="760" ht="14.25" customHeight="1">
      <c r="A760" s="52"/>
      <c r="B760" s="52"/>
      <c r="C760" s="53"/>
      <c r="D760" s="1"/>
      <c r="E760" s="1"/>
      <c r="F760" s="1"/>
      <c r="G760" s="1"/>
      <c r="H760" s="1"/>
      <c r="I760" s="1"/>
    </row>
    <row r="761" ht="14.25" customHeight="1">
      <c r="A761" s="52"/>
      <c r="B761" s="52"/>
      <c r="C761" s="53"/>
      <c r="D761" s="1"/>
      <c r="E761" s="1"/>
      <c r="F761" s="1"/>
      <c r="G761" s="1"/>
      <c r="H761" s="1"/>
      <c r="I761" s="1"/>
    </row>
    <row r="762" ht="14.25" customHeight="1">
      <c r="A762" s="52"/>
      <c r="B762" s="52"/>
      <c r="C762" s="53"/>
      <c r="D762" s="1"/>
      <c r="E762" s="1"/>
      <c r="F762" s="1"/>
      <c r="G762" s="1"/>
      <c r="H762" s="1"/>
      <c r="I762" s="1"/>
    </row>
    <row r="763" ht="14.25" customHeight="1">
      <c r="A763" s="52"/>
      <c r="B763" s="52"/>
      <c r="C763" s="53"/>
      <c r="D763" s="1"/>
      <c r="E763" s="1"/>
      <c r="F763" s="1"/>
      <c r="G763" s="1"/>
      <c r="H763" s="1"/>
      <c r="I763" s="1"/>
    </row>
    <row r="764" ht="14.25" customHeight="1">
      <c r="A764" s="52"/>
      <c r="B764" s="52"/>
      <c r="C764" s="53"/>
      <c r="D764" s="1"/>
      <c r="E764" s="1"/>
      <c r="F764" s="1"/>
      <c r="G764" s="1"/>
      <c r="H764" s="1"/>
      <c r="I764" s="1"/>
    </row>
    <row r="765" ht="14.25" customHeight="1">
      <c r="A765" s="52"/>
      <c r="B765" s="52"/>
      <c r="C765" s="53"/>
      <c r="D765" s="1"/>
      <c r="E765" s="1"/>
      <c r="F765" s="1"/>
      <c r="G765" s="1"/>
      <c r="H765" s="1"/>
      <c r="I765" s="1"/>
    </row>
    <row r="766" ht="14.25" customHeight="1">
      <c r="A766" s="52"/>
      <c r="B766" s="52"/>
      <c r="C766" s="53"/>
      <c r="D766" s="1"/>
      <c r="E766" s="1"/>
      <c r="F766" s="1"/>
      <c r="G766" s="1"/>
      <c r="H766" s="1"/>
      <c r="I766" s="1"/>
    </row>
    <row r="767" ht="14.25" customHeight="1">
      <c r="A767" s="52"/>
      <c r="B767" s="52"/>
      <c r="C767" s="53"/>
      <c r="D767" s="1"/>
      <c r="E767" s="1"/>
      <c r="F767" s="1"/>
      <c r="G767" s="1"/>
      <c r="H767" s="1"/>
      <c r="I767" s="1"/>
    </row>
    <row r="768" ht="14.25" customHeight="1">
      <c r="A768" s="52"/>
      <c r="B768" s="52"/>
      <c r="C768" s="53"/>
      <c r="D768" s="1"/>
      <c r="E768" s="1"/>
      <c r="F768" s="1"/>
      <c r="G768" s="1"/>
      <c r="H768" s="1"/>
      <c r="I768" s="1"/>
    </row>
    <row r="769" ht="14.25" customHeight="1">
      <c r="A769" s="52"/>
      <c r="B769" s="52"/>
      <c r="C769" s="53"/>
      <c r="D769" s="1"/>
      <c r="E769" s="1"/>
      <c r="F769" s="1"/>
      <c r="G769" s="1"/>
      <c r="H769" s="1"/>
      <c r="I769" s="1"/>
    </row>
    <row r="770" ht="14.25" customHeight="1">
      <c r="A770" s="52"/>
      <c r="B770" s="52"/>
      <c r="C770" s="53"/>
      <c r="D770" s="1"/>
      <c r="E770" s="1"/>
      <c r="F770" s="1"/>
      <c r="G770" s="1"/>
      <c r="H770" s="1"/>
      <c r="I770" s="1"/>
    </row>
    <row r="771" ht="14.25" customHeight="1">
      <c r="A771" s="52"/>
      <c r="B771" s="52"/>
      <c r="C771" s="53"/>
      <c r="D771" s="1"/>
      <c r="E771" s="1"/>
      <c r="F771" s="1"/>
      <c r="G771" s="1"/>
      <c r="H771" s="1"/>
      <c r="I771" s="1"/>
    </row>
    <row r="772" ht="14.25" customHeight="1">
      <c r="A772" s="52"/>
      <c r="B772" s="52"/>
      <c r="C772" s="53"/>
      <c r="D772" s="1"/>
      <c r="E772" s="1"/>
      <c r="F772" s="1"/>
      <c r="G772" s="1"/>
      <c r="H772" s="1"/>
      <c r="I772" s="1"/>
    </row>
    <row r="773" ht="14.25" customHeight="1">
      <c r="A773" s="52"/>
      <c r="B773" s="52"/>
      <c r="C773" s="53"/>
      <c r="D773" s="1"/>
      <c r="E773" s="1"/>
      <c r="F773" s="1"/>
      <c r="G773" s="1"/>
      <c r="H773" s="1"/>
      <c r="I773" s="1"/>
    </row>
    <row r="774" ht="14.25" customHeight="1">
      <c r="A774" s="52"/>
      <c r="B774" s="52"/>
      <c r="C774" s="53"/>
      <c r="D774" s="1"/>
      <c r="E774" s="1"/>
      <c r="F774" s="1"/>
      <c r="G774" s="1"/>
      <c r="H774" s="1"/>
      <c r="I774" s="1"/>
    </row>
    <row r="775" ht="14.25" customHeight="1">
      <c r="A775" s="52"/>
      <c r="B775" s="52"/>
      <c r="C775" s="53"/>
      <c r="D775" s="1"/>
      <c r="E775" s="1"/>
      <c r="F775" s="1"/>
      <c r="G775" s="1"/>
      <c r="H775" s="1"/>
      <c r="I775" s="1"/>
    </row>
    <row r="776" ht="14.25" customHeight="1">
      <c r="A776" s="52"/>
      <c r="B776" s="52"/>
      <c r="C776" s="53"/>
      <c r="D776" s="1"/>
      <c r="E776" s="1"/>
      <c r="F776" s="1"/>
      <c r="G776" s="1"/>
      <c r="H776" s="1"/>
      <c r="I776" s="1"/>
    </row>
    <row r="777" ht="14.25" customHeight="1">
      <c r="A777" s="52"/>
      <c r="B777" s="52"/>
      <c r="C777" s="53"/>
      <c r="D777" s="1"/>
      <c r="E777" s="1"/>
      <c r="F777" s="1"/>
      <c r="G777" s="1"/>
      <c r="H777" s="1"/>
      <c r="I777" s="1"/>
    </row>
    <row r="778" ht="14.25" customHeight="1">
      <c r="A778" s="52"/>
      <c r="B778" s="52"/>
      <c r="C778" s="53"/>
      <c r="D778" s="1"/>
      <c r="E778" s="1"/>
      <c r="F778" s="1"/>
      <c r="G778" s="1"/>
      <c r="H778" s="1"/>
      <c r="I778" s="1"/>
    </row>
    <row r="779" ht="14.25" customHeight="1">
      <c r="A779" s="52"/>
      <c r="B779" s="52"/>
      <c r="C779" s="53"/>
      <c r="D779" s="1"/>
      <c r="E779" s="1"/>
      <c r="F779" s="1"/>
      <c r="G779" s="1"/>
      <c r="H779" s="1"/>
      <c r="I779" s="1"/>
    </row>
    <row r="780" ht="14.25" customHeight="1">
      <c r="A780" s="52"/>
      <c r="B780" s="52"/>
      <c r="C780" s="53"/>
      <c r="D780" s="1"/>
      <c r="E780" s="1"/>
      <c r="F780" s="1"/>
      <c r="G780" s="1"/>
      <c r="H780" s="1"/>
      <c r="I780" s="1"/>
    </row>
    <row r="781" ht="14.25" customHeight="1">
      <c r="A781" s="52"/>
      <c r="B781" s="52"/>
      <c r="C781" s="53"/>
      <c r="D781" s="1"/>
      <c r="E781" s="1"/>
      <c r="F781" s="1"/>
      <c r="G781" s="1"/>
      <c r="H781" s="1"/>
      <c r="I781" s="1"/>
    </row>
    <row r="782" ht="14.25" customHeight="1">
      <c r="A782" s="52"/>
      <c r="B782" s="52"/>
      <c r="C782" s="53"/>
      <c r="D782" s="1"/>
      <c r="E782" s="1"/>
      <c r="F782" s="1"/>
      <c r="G782" s="1"/>
      <c r="H782" s="1"/>
      <c r="I782" s="1"/>
    </row>
    <row r="783" ht="14.25" customHeight="1">
      <c r="A783" s="52"/>
      <c r="B783" s="52"/>
      <c r="C783" s="53"/>
      <c r="D783" s="1"/>
      <c r="E783" s="1"/>
      <c r="F783" s="1"/>
      <c r="G783" s="1"/>
      <c r="H783" s="1"/>
      <c r="I783" s="1"/>
    </row>
    <row r="784" ht="14.25" customHeight="1">
      <c r="A784" s="52"/>
      <c r="B784" s="52"/>
      <c r="C784" s="53"/>
      <c r="D784" s="1"/>
      <c r="E784" s="1"/>
      <c r="F784" s="1"/>
      <c r="G784" s="1"/>
      <c r="H784" s="1"/>
      <c r="I784" s="1"/>
    </row>
    <row r="785" ht="14.25" customHeight="1">
      <c r="A785" s="52"/>
      <c r="B785" s="52"/>
      <c r="C785" s="53"/>
      <c r="D785" s="1"/>
      <c r="E785" s="1"/>
      <c r="F785" s="1"/>
      <c r="G785" s="1"/>
      <c r="H785" s="1"/>
      <c r="I785" s="1"/>
    </row>
    <row r="786" ht="14.25" customHeight="1">
      <c r="A786" s="52"/>
      <c r="B786" s="52"/>
      <c r="C786" s="53"/>
      <c r="D786" s="1"/>
      <c r="E786" s="1"/>
      <c r="F786" s="1"/>
      <c r="G786" s="1"/>
      <c r="H786" s="1"/>
      <c r="I786" s="1"/>
    </row>
    <row r="787" ht="14.25" customHeight="1">
      <c r="A787" s="52"/>
      <c r="B787" s="52"/>
      <c r="C787" s="53"/>
      <c r="D787" s="1"/>
      <c r="E787" s="1"/>
      <c r="F787" s="1"/>
      <c r="G787" s="1"/>
      <c r="H787" s="1"/>
      <c r="I787" s="1"/>
    </row>
    <row r="788" ht="14.25" customHeight="1">
      <c r="A788" s="52"/>
      <c r="B788" s="52"/>
      <c r="C788" s="53"/>
      <c r="D788" s="1"/>
      <c r="E788" s="1"/>
      <c r="F788" s="1"/>
      <c r="G788" s="1"/>
      <c r="H788" s="1"/>
      <c r="I788" s="1"/>
    </row>
    <row r="789" ht="14.25" customHeight="1">
      <c r="A789" s="52"/>
      <c r="B789" s="52"/>
      <c r="C789" s="53"/>
      <c r="D789" s="1"/>
      <c r="E789" s="1"/>
      <c r="F789" s="1"/>
      <c r="G789" s="1"/>
      <c r="H789" s="1"/>
      <c r="I789" s="1"/>
    </row>
    <row r="790" ht="14.25" customHeight="1">
      <c r="A790" s="52"/>
      <c r="B790" s="52"/>
      <c r="C790" s="53"/>
      <c r="D790" s="1"/>
      <c r="E790" s="1"/>
      <c r="F790" s="1"/>
      <c r="G790" s="1"/>
      <c r="H790" s="1"/>
      <c r="I790" s="1"/>
    </row>
    <row r="791" ht="14.25" customHeight="1">
      <c r="A791" s="52"/>
      <c r="B791" s="52"/>
      <c r="C791" s="53"/>
      <c r="D791" s="1"/>
      <c r="E791" s="1"/>
      <c r="F791" s="1"/>
      <c r="G791" s="1"/>
      <c r="H791" s="1"/>
      <c r="I791" s="1"/>
    </row>
    <row r="792" ht="14.25" customHeight="1">
      <c r="A792" s="52"/>
      <c r="B792" s="52"/>
      <c r="C792" s="53"/>
      <c r="D792" s="1"/>
      <c r="E792" s="1"/>
      <c r="F792" s="1"/>
      <c r="G792" s="1"/>
      <c r="H792" s="1"/>
      <c r="I792" s="1"/>
    </row>
    <row r="793" ht="14.25" customHeight="1">
      <c r="A793" s="52"/>
      <c r="B793" s="52"/>
      <c r="C793" s="53"/>
      <c r="D793" s="1"/>
      <c r="E793" s="1"/>
      <c r="F793" s="1"/>
      <c r="G793" s="1"/>
      <c r="H793" s="1"/>
      <c r="I793" s="1"/>
    </row>
    <row r="794" ht="14.25" customHeight="1">
      <c r="A794" s="52"/>
      <c r="B794" s="52"/>
      <c r="C794" s="53"/>
      <c r="D794" s="1"/>
      <c r="E794" s="1"/>
      <c r="F794" s="1"/>
      <c r="G794" s="1"/>
      <c r="H794" s="1"/>
      <c r="I794" s="1"/>
    </row>
    <row r="795" ht="14.25" customHeight="1">
      <c r="A795" s="52"/>
      <c r="B795" s="52"/>
      <c r="C795" s="53"/>
      <c r="D795" s="1"/>
      <c r="E795" s="1"/>
      <c r="F795" s="1"/>
      <c r="G795" s="1"/>
      <c r="H795" s="1"/>
      <c r="I795" s="1"/>
    </row>
    <row r="796" ht="14.25" customHeight="1">
      <c r="A796" s="52"/>
      <c r="B796" s="52"/>
      <c r="C796" s="53"/>
      <c r="D796" s="1"/>
      <c r="E796" s="1"/>
      <c r="F796" s="1"/>
      <c r="G796" s="1"/>
      <c r="H796" s="1"/>
      <c r="I796" s="1"/>
    </row>
    <row r="797" ht="14.25" customHeight="1">
      <c r="A797" s="52"/>
      <c r="B797" s="52"/>
      <c r="C797" s="53"/>
      <c r="D797" s="1"/>
      <c r="E797" s="1"/>
      <c r="F797" s="1"/>
      <c r="G797" s="1"/>
      <c r="H797" s="1"/>
      <c r="I797" s="1"/>
    </row>
    <row r="798" ht="14.25" customHeight="1">
      <c r="A798" s="52"/>
      <c r="B798" s="52"/>
      <c r="C798" s="53"/>
      <c r="D798" s="1"/>
      <c r="E798" s="1"/>
      <c r="F798" s="1"/>
      <c r="G798" s="1"/>
      <c r="H798" s="1"/>
      <c r="I798" s="1"/>
    </row>
    <row r="799" ht="14.25" customHeight="1">
      <c r="A799" s="52"/>
      <c r="B799" s="52"/>
      <c r="C799" s="53"/>
      <c r="D799" s="1"/>
      <c r="E799" s="1"/>
      <c r="F799" s="1"/>
      <c r="G799" s="1"/>
      <c r="H799" s="1"/>
      <c r="I799" s="1"/>
    </row>
    <row r="800" ht="14.25" customHeight="1">
      <c r="A800" s="52"/>
      <c r="B800" s="52"/>
      <c r="C800" s="53"/>
      <c r="D800" s="1"/>
      <c r="E800" s="1"/>
      <c r="F800" s="1"/>
      <c r="G800" s="1"/>
      <c r="H800" s="1"/>
      <c r="I800" s="1"/>
    </row>
    <row r="801" ht="14.25" customHeight="1">
      <c r="A801" s="52"/>
      <c r="B801" s="52"/>
      <c r="C801" s="53"/>
      <c r="D801" s="1"/>
      <c r="E801" s="1"/>
      <c r="F801" s="1"/>
      <c r="G801" s="1"/>
      <c r="H801" s="1"/>
      <c r="I801" s="1"/>
    </row>
    <row r="802" ht="14.25" customHeight="1">
      <c r="A802" s="52"/>
      <c r="B802" s="52"/>
      <c r="C802" s="53"/>
      <c r="D802" s="1"/>
      <c r="E802" s="1"/>
      <c r="F802" s="1"/>
      <c r="G802" s="1"/>
      <c r="H802" s="1"/>
      <c r="I802" s="1"/>
    </row>
    <row r="803" ht="14.25" customHeight="1">
      <c r="A803" s="52"/>
      <c r="B803" s="52"/>
      <c r="C803" s="53"/>
      <c r="D803" s="1"/>
      <c r="E803" s="1"/>
      <c r="F803" s="1"/>
      <c r="G803" s="1"/>
      <c r="H803" s="1"/>
      <c r="I803" s="1"/>
    </row>
    <row r="804" ht="14.25" customHeight="1">
      <c r="A804" s="52"/>
      <c r="B804" s="52"/>
      <c r="C804" s="53"/>
      <c r="D804" s="1"/>
      <c r="E804" s="1"/>
      <c r="F804" s="1"/>
      <c r="G804" s="1"/>
      <c r="H804" s="1"/>
      <c r="I804" s="1"/>
    </row>
    <row r="805" ht="14.25" customHeight="1">
      <c r="A805" s="52"/>
      <c r="B805" s="52"/>
      <c r="C805" s="53"/>
      <c r="D805" s="1"/>
      <c r="E805" s="1"/>
      <c r="F805" s="1"/>
      <c r="G805" s="1"/>
      <c r="H805" s="1"/>
      <c r="I805" s="1"/>
    </row>
    <row r="806" ht="14.25" customHeight="1">
      <c r="A806" s="52"/>
      <c r="B806" s="52"/>
      <c r="C806" s="53"/>
      <c r="D806" s="1"/>
      <c r="E806" s="1"/>
      <c r="F806" s="1"/>
      <c r="G806" s="1"/>
      <c r="H806" s="1"/>
      <c r="I806" s="1"/>
    </row>
    <row r="807" ht="14.25" customHeight="1">
      <c r="A807" s="52"/>
      <c r="B807" s="52"/>
      <c r="C807" s="53"/>
      <c r="D807" s="1"/>
      <c r="E807" s="1"/>
      <c r="F807" s="1"/>
      <c r="G807" s="1"/>
      <c r="H807" s="1"/>
      <c r="I807" s="1"/>
    </row>
    <row r="808" ht="14.25" customHeight="1">
      <c r="A808" s="52"/>
      <c r="B808" s="52"/>
      <c r="C808" s="53"/>
      <c r="D808" s="1"/>
      <c r="E808" s="1"/>
      <c r="F808" s="1"/>
      <c r="G808" s="1"/>
      <c r="H808" s="1"/>
      <c r="I808" s="1"/>
    </row>
    <row r="809" ht="14.25" customHeight="1">
      <c r="A809" s="52"/>
      <c r="B809" s="52"/>
      <c r="C809" s="53"/>
      <c r="D809" s="1"/>
      <c r="E809" s="1"/>
      <c r="F809" s="1"/>
      <c r="G809" s="1"/>
      <c r="H809" s="1"/>
      <c r="I809" s="1"/>
    </row>
    <row r="810" ht="14.25" customHeight="1">
      <c r="A810" s="52"/>
      <c r="B810" s="52"/>
      <c r="C810" s="53"/>
      <c r="D810" s="1"/>
      <c r="E810" s="1"/>
      <c r="F810" s="1"/>
      <c r="G810" s="1"/>
      <c r="H810" s="1"/>
      <c r="I810" s="1"/>
    </row>
    <row r="811" ht="14.25" customHeight="1">
      <c r="A811" s="52"/>
      <c r="B811" s="52"/>
      <c r="C811" s="53"/>
      <c r="D811" s="1"/>
      <c r="E811" s="1"/>
      <c r="F811" s="1"/>
      <c r="G811" s="1"/>
      <c r="H811" s="1"/>
      <c r="I811" s="1"/>
    </row>
    <row r="812" ht="14.25" customHeight="1">
      <c r="A812" s="52"/>
      <c r="B812" s="52"/>
      <c r="C812" s="53"/>
      <c r="D812" s="1"/>
      <c r="E812" s="1"/>
      <c r="F812" s="1"/>
      <c r="G812" s="1"/>
      <c r="H812" s="1"/>
      <c r="I812" s="1"/>
    </row>
    <row r="813" ht="14.25" customHeight="1">
      <c r="A813" s="52"/>
      <c r="B813" s="52"/>
      <c r="C813" s="53"/>
      <c r="D813" s="1"/>
      <c r="E813" s="1"/>
      <c r="F813" s="1"/>
      <c r="G813" s="1"/>
      <c r="H813" s="1"/>
      <c r="I813" s="1"/>
    </row>
    <row r="814" ht="14.25" customHeight="1">
      <c r="A814" s="52"/>
      <c r="B814" s="52"/>
      <c r="C814" s="53"/>
      <c r="D814" s="1"/>
      <c r="E814" s="1"/>
      <c r="F814" s="1"/>
      <c r="G814" s="1"/>
      <c r="H814" s="1"/>
      <c r="I814" s="1"/>
    </row>
    <row r="815" ht="14.25" customHeight="1">
      <c r="A815" s="52"/>
      <c r="B815" s="52"/>
      <c r="C815" s="53"/>
      <c r="D815" s="1"/>
      <c r="E815" s="1"/>
      <c r="F815" s="1"/>
      <c r="G815" s="1"/>
      <c r="H815" s="1"/>
      <c r="I815" s="1"/>
    </row>
    <row r="816" ht="14.25" customHeight="1">
      <c r="A816" s="52"/>
      <c r="B816" s="52"/>
      <c r="C816" s="53"/>
      <c r="D816" s="1"/>
      <c r="E816" s="1"/>
      <c r="F816" s="1"/>
      <c r="G816" s="1"/>
      <c r="H816" s="1"/>
      <c r="I816" s="1"/>
    </row>
    <row r="817" ht="14.25" customHeight="1">
      <c r="A817" s="52"/>
      <c r="B817" s="52"/>
      <c r="C817" s="53"/>
      <c r="D817" s="1"/>
      <c r="E817" s="1"/>
      <c r="F817" s="1"/>
      <c r="G817" s="1"/>
      <c r="H817" s="1"/>
      <c r="I817" s="1"/>
    </row>
    <row r="818" ht="14.25" customHeight="1">
      <c r="A818" s="52"/>
      <c r="B818" s="52"/>
      <c r="C818" s="53"/>
      <c r="D818" s="1"/>
      <c r="E818" s="1"/>
      <c r="F818" s="1"/>
      <c r="G818" s="1"/>
      <c r="H818" s="1"/>
      <c r="I818" s="1"/>
    </row>
    <row r="819" ht="14.25" customHeight="1">
      <c r="A819" s="52"/>
      <c r="B819" s="52"/>
      <c r="C819" s="53"/>
      <c r="D819" s="1"/>
      <c r="E819" s="1"/>
      <c r="F819" s="1"/>
      <c r="G819" s="1"/>
      <c r="H819" s="1"/>
      <c r="I819" s="1"/>
    </row>
    <row r="820" ht="14.25" customHeight="1">
      <c r="A820" s="52"/>
      <c r="B820" s="52"/>
      <c r="C820" s="53"/>
      <c r="D820" s="1"/>
      <c r="E820" s="1"/>
      <c r="F820" s="1"/>
      <c r="G820" s="1"/>
      <c r="H820" s="1"/>
      <c r="I820" s="1"/>
    </row>
    <row r="821" ht="14.25" customHeight="1">
      <c r="A821" s="52"/>
      <c r="B821" s="52"/>
      <c r="C821" s="53"/>
      <c r="D821" s="1"/>
      <c r="E821" s="1"/>
      <c r="F821" s="1"/>
      <c r="G821" s="1"/>
      <c r="H821" s="1"/>
      <c r="I821" s="1"/>
    </row>
    <row r="822" ht="14.25" customHeight="1">
      <c r="A822" s="52"/>
      <c r="B822" s="52"/>
      <c r="C822" s="53"/>
      <c r="D822" s="1"/>
      <c r="E822" s="1"/>
      <c r="F822" s="1"/>
      <c r="G822" s="1"/>
      <c r="H822" s="1"/>
      <c r="I822" s="1"/>
    </row>
    <row r="823" ht="14.25" customHeight="1">
      <c r="A823" s="52"/>
      <c r="B823" s="52"/>
      <c r="C823" s="53"/>
      <c r="D823" s="1"/>
      <c r="E823" s="1"/>
      <c r="F823" s="1"/>
      <c r="G823" s="1"/>
      <c r="H823" s="1"/>
      <c r="I823" s="1"/>
    </row>
    <row r="824" ht="14.25" customHeight="1">
      <c r="A824" s="52"/>
      <c r="B824" s="52"/>
      <c r="C824" s="53"/>
      <c r="D824" s="1"/>
      <c r="E824" s="1"/>
      <c r="F824" s="1"/>
      <c r="G824" s="1"/>
      <c r="H824" s="1"/>
      <c r="I824" s="1"/>
    </row>
    <row r="825" ht="14.25" customHeight="1">
      <c r="A825" s="52"/>
      <c r="B825" s="52"/>
      <c r="C825" s="53"/>
      <c r="D825" s="1"/>
      <c r="E825" s="1"/>
      <c r="F825" s="1"/>
      <c r="G825" s="1"/>
      <c r="H825" s="1"/>
      <c r="I825" s="1"/>
    </row>
    <row r="826" ht="14.25" customHeight="1">
      <c r="A826" s="52"/>
      <c r="B826" s="52"/>
      <c r="C826" s="53"/>
      <c r="D826" s="1"/>
      <c r="E826" s="1"/>
      <c r="F826" s="1"/>
      <c r="G826" s="1"/>
      <c r="H826" s="1"/>
      <c r="I826" s="1"/>
    </row>
    <row r="827" ht="14.25" customHeight="1">
      <c r="A827" s="52"/>
      <c r="B827" s="52"/>
      <c r="C827" s="53"/>
      <c r="D827" s="1"/>
      <c r="E827" s="1"/>
      <c r="F827" s="1"/>
      <c r="G827" s="1"/>
      <c r="H827" s="1"/>
      <c r="I827" s="1"/>
    </row>
    <row r="828" ht="14.25" customHeight="1">
      <c r="A828" s="52"/>
      <c r="B828" s="52"/>
      <c r="C828" s="53"/>
      <c r="D828" s="1"/>
      <c r="E828" s="1"/>
      <c r="F828" s="1"/>
      <c r="G828" s="1"/>
      <c r="H828" s="1"/>
      <c r="I828" s="1"/>
    </row>
    <row r="829" ht="14.25" customHeight="1">
      <c r="A829" s="52"/>
      <c r="B829" s="52"/>
      <c r="C829" s="53"/>
      <c r="D829" s="1"/>
      <c r="E829" s="1"/>
      <c r="F829" s="1"/>
      <c r="G829" s="1"/>
      <c r="H829" s="1"/>
      <c r="I829" s="1"/>
    </row>
    <row r="830" ht="14.25" customHeight="1">
      <c r="A830" s="52"/>
      <c r="B830" s="52"/>
      <c r="C830" s="53"/>
      <c r="D830" s="1"/>
      <c r="E830" s="1"/>
      <c r="F830" s="1"/>
      <c r="G830" s="1"/>
      <c r="H830" s="1"/>
      <c r="I830" s="1"/>
    </row>
    <row r="831" ht="14.25" customHeight="1">
      <c r="A831" s="52"/>
      <c r="B831" s="52"/>
      <c r="C831" s="53"/>
      <c r="D831" s="1"/>
      <c r="E831" s="1"/>
      <c r="F831" s="1"/>
      <c r="G831" s="1"/>
      <c r="H831" s="1"/>
      <c r="I831" s="1"/>
    </row>
    <row r="832" ht="14.25" customHeight="1">
      <c r="A832" s="52"/>
      <c r="B832" s="52"/>
      <c r="C832" s="53"/>
      <c r="D832" s="1"/>
      <c r="E832" s="1"/>
      <c r="F832" s="1"/>
      <c r="G832" s="1"/>
      <c r="H832" s="1"/>
      <c r="I832" s="1"/>
    </row>
    <row r="833" ht="14.25" customHeight="1">
      <c r="A833" s="52"/>
      <c r="B833" s="52"/>
      <c r="C833" s="53"/>
      <c r="D833" s="1"/>
      <c r="E833" s="1"/>
      <c r="F833" s="1"/>
      <c r="G833" s="1"/>
      <c r="H833" s="1"/>
      <c r="I833" s="1"/>
    </row>
    <row r="834" ht="14.25" customHeight="1">
      <c r="A834" s="52"/>
      <c r="B834" s="52"/>
      <c r="C834" s="53"/>
      <c r="D834" s="1"/>
      <c r="E834" s="1"/>
      <c r="F834" s="1"/>
      <c r="G834" s="1"/>
      <c r="H834" s="1"/>
      <c r="I834" s="1"/>
    </row>
    <row r="835" ht="14.25" customHeight="1">
      <c r="A835" s="52"/>
      <c r="B835" s="52"/>
      <c r="C835" s="53"/>
      <c r="D835" s="1"/>
      <c r="E835" s="1"/>
      <c r="F835" s="1"/>
      <c r="G835" s="1"/>
      <c r="H835" s="1"/>
      <c r="I835" s="1"/>
    </row>
    <row r="836" ht="14.25" customHeight="1">
      <c r="A836" s="52"/>
      <c r="B836" s="52"/>
      <c r="C836" s="53"/>
      <c r="D836" s="1"/>
      <c r="E836" s="1"/>
      <c r="F836" s="1"/>
      <c r="G836" s="1"/>
      <c r="H836" s="1"/>
      <c r="I836" s="1"/>
    </row>
    <row r="837" ht="14.25" customHeight="1">
      <c r="A837" s="52"/>
      <c r="B837" s="52"/>
      <c r="C837" s="53"/>
      <c r="D837" s="1"/>
      <c r="E837" s="1"/>
      <c r="F837" s="1"/>
      <c r="G837" s="1"/>
      <c r="H837" s="1"/>
      <c r="I837" s="1"/>
    </row>
    <row r="838" ht="14.25" customHeight="1">
      <c r="A838" s="52"/>
      <c r="B838" s="52"/>
      <c r="C838" s="53"/>
      <c r="D838" s="1"/>
      <c r="E838" s="1"/>
      <c r="F838" s="1"/>
      <c r="G838" s="1"/>
      <c r="H838" s="1"/>
      <c r="I838" s="1"/>
    </row>
    <row r="839" ht="14.25" customHeight="1">
      <c r="A839" s="52"/>
      <c r="B839" s="52"/>
      <c r="C839" s="53"/>
      <c r="D839" s="1"/>
      <c r="E839" s="1"/>
      <c r="F839" s="1"/>
      <c r="G839" s="1"/>
      <c r="H839" s="1"/>
      <c r="I839" s="1"/>
    </row>
    <row r="840" ht="14.25" customHeight="1">
      <c r="A840" s="52"/>
      <c r="B840" s="52"/>
      <c r="C840" s="53"/>
      <c r="D840" s="1"/>
      <c r="E840" s="1"/>
      <c r="F840" s="1"/>
      <c r="G840" s="1"/>
      <c r="H840" s="1"/>
      <c r="I840" s="1"/>
    </row>
    <row r="841" ht="14.25" customHeight="1">
      <c r="A841" s="52"/>
      <c r="B841" s="52"/>
      <c r="C841" s="53"/>
      <c r="D841" s="1"/>
      <c r="E841" s="1"/>
      <c r="F841" s="1"/>
      <c r="G841" s="1"/>
      <c r="H841" s="1"/>
      <c r="I841" s="1"/>
    </row>
    <row r="842" ht="14.25" customHeight="1">
      <c r="A842" s="52"/>
      <c r="B842" s="52"/>
      <c r="C842" s="53"/>
      <c r="D842" s="1"/>
      <c r="E842" s="1"/>
      <c r="F842" s="1"/>
      <c r="G842" s="1"/>
      <c r="H842" s="1"/>
      <c r="I842" s="1"/>
    </row>
    <row r="843" ht="14.25" customHeight="1">
      <c r="A843" s="52"/>
      <c r="B843" s="52"/>
      <c r="C843" s="53"/>
      <c r="D843" s="1"/>
      <c r="E843" s="1"/>
      <c r="F843" s="1"/>
      <c r="G843" s="1"/>
      <c r="H843" s="1"/>
      <c r="I843" s="1"/>
    </row>
    <row r="844" ht="14.25" customHeight="1">
      <c r="A844" s="52"/>
      <c r="B844" s="52"/>
      <c r="C844" s="53"/>
      <c r="D844" s="1"/>
      <c r="E844" s="1"/>
      <c r="F844" s="1"/>
      <c r="G844" s="1"/>
      <c r="H844" s="1"/>
      <c r="I844" s="1"/>
    </row>
    <row r="845" ht="14.25" customHeight="1">
      <c r="A845" s="52"/>
      <c r="B845" s="52"/>
      <c r="C845" s="53"/>
      <c r="D845" s="1"/>
      <c r="E845" s="1"/>
      <c r="F845" s="1"/>
      <c r="G845" s="1"/>
      <c r="H845" s="1"/>
      <c r="I845" s="1"/>
    </row>
    <row r="846" ht="14.25" customHeight="1">
      <c r="A846" s="52"/>
      <c r="B846" s="52"/>
      <c r="C846" s="53"/>
      <c r="D846" s="1"/>
      <c r="E846" s="1"/>
      <c r="F846" s="1"/>
      <c r="G846" s="1"/>
      <c r="H846" s="1"/>
      <c r="I846" s="1"/>
    </row>
    <row r="847" ht="14.25" customHeight="1">
      <c r="A847" s="52"/>
      <c r="B847" s="52"/>
      <c r="C847" s="53"/>
      <c r="D847" s="1"/>
      <c r="E847" s="1"/>
      <c r="F847" s="1"/>
      <c r="G847" s="1"/>
      <c r="H847" s="1"/>
      <c r="I847" s="1"/>
    </row>
    <row r="848" ht="14.25" customHeight="1">
      <c r="A848" s="52"/>
      <c r="B848" s="52"/>
      <c r="C848" s="53"/>
      <c r="D848" s="1"/>
      <c r="E848" s="1"/>
      <c r="F848" s="1"/>
      <c r="G848" s="1"/>
      <c r="H848" s="1"/>
      <c r="I848" s="1"/>
    </row>
    <row r="849" ht="14.25" customHeight="1">
      <c r="A849" s="52"/>
      <c r="B849" s="52"/>
      <c r="C849" s="53"/>
      <c r="D849" s="1"/>
      <c r="E849" s="1"/>
      <c r="F849" s="1"/>
      <c r="G849" s="1"/>
      <c r="H849" s="1"/>
      <c r="I849" s="1"/>
    </row>
    <row r="850" ht="14.25" customHeight="1">
      <c r="A850" s="52"/>
      <c r="B850" s="52"/>
      <c r="C850" s="53"/>
      <c r="D850" s="1"/>
      <c r="E850" s="1"/>
      <c r="F850" s="1"/>
      <c r="G850" s="1"/>
      <c r="H850" s="1"/>
      <c r="I850" s="1"/>
    </row>
    <row r="851" ht="14.25" customHeight="1">
      <c r="A851" s="52"/>
      <c r="B851" s="52"/>
      <c r="C851" s="53"/>
      <c r="D851" s="1"/>
      <c r="E851" s="1"/>
      <c r="F851" s="1"/>
      <c r="G851" s="1"/>
      <c r="H851" s="1"/>
      <c r="I851" s="1"/>
    </row>
    <row r="852" ht="14.25" customHeight="1">
      <c r="A852" s="52"/>
      <c r="B852" s="52"/>
      <c r="C852" s="53"/>
      <c r="D852" s="1"/>
      <c r="E852" s="1"/>
      <c r="F852" s="1"/>
      <c r="G852" s="1"/>
      <c r="H852" s="1"/>
      <c r="I852" s="1"/>
    </row>
    <row r="853" ht="14.25" customHeight="1">
      <c r="A853" s="52"/>
      <c r="B853" s="52"/>
      <c r="C853" s="53"/>
      <c r="D853" s="1"/>
      <c r="E853" s="1"/>
      <c r="F853" s="1"/>
      <c r="G853" s="1"/>
      <c r="H853" s="1"/>
      <c r="I853" s="1"/>
    </row>
    <row r="854" ht="14.25" customHeight="1">
      <c r="A854" s="52"/>
      <c r="B854" s="52"/>
      <c r="C854" s="53"/>
      <c r="D854" s="1"/>
      <c r="E854" s="1"/>
      <c r="F854" s="1"/>
      <c r="G854" s="1"/>
      <c r="H854" s="1"/>
      <c r="I854" s="1"/>
    </row>
    <row r="855" ht="14.25" customHeight="1">
      <c r="A855" s="52"/>
      <c r="B855" s="52"/>
      <c r="C855" s="53"/>
      <c r="D855" s="1"/>
      <c r="E855" s="1"/>
      <c r="F855" s="1"/>
      <c r="G855" s="1"/>
      <c r="H855" s="1"/>
      <c r="I855" s="1"/>
    </row>
    <row r="856" ht="14.25" customHeight="1">
      <c r="A856" s="52"/>
      <c r="B856" s="52"/>
      <c r="C856" s="53"/>
      <c r="D856" s="1"/>
      <c r="E856" s="1"/>
      <c r="F856" s="1"/>
      <c r="G856" s="1"/>
      <c r="H856" s="1"/>
      <c r="I856" s="1"/>
    </row>
    <row r="857" ht="14.25" customHeight="1">
      <c r="A857" s="52"/>
      <c r="B857" s="52"/>
      <c r="C857" s="53"/>
      <c r="D857" s="1"/>
      <c r="E857" s="1"/>
      <c r="F857" s="1"/>
      <c r="G857" s="1"/>
      <c r="H857" s="1"/>
      <c r="I857" s="1"/>
    </row>
    <row r="858" ht="14.25" customHeight="1">
      <c r="A858" s="52"/>
      <c r="B858" s="52"/>
      <c r="C858" s="53"/>
      <c r="D858" s="1"/>
      <c r="E858" s="1"/>
      <c r="F858" s="1"/>
      <c r="G858" s="1"/>
      <c r="H858" s="1"/>
      <c r="I858" s="1"/>
    </row>
    <row r="859" ht="14.25" customHeight="1">
      <c r="A859" s="52"/>
      <c r="B859" s="52"/>
      <c r="C859" s="53"/>
      <c r="D859" s="1"/>
      <c r="E859" s="1"/>
      <c r="F859" s="1"/>
      <c r="G859" s="1"/>
      <c r="H859" s="1"/>
      <c r="I859" s="1"/>
    </row>
    <row r="860" ht="14.25" customHeight="1">
      <c r="A860" s="52"/>
      <c r="B860" s="52"/>
      <c r="C860" s="53"/>
      <c r="D860" s="1"/>
      <c r="E860" s="1"/>
      <c r="F860" s="1"/>
      <c r="G860" s="1"/>
      <c r="H860" s="1"/>
      <c r="I860" s="1"/>
    </row>
    <row r="861" ht="14.25" customHeight="1">
      <c r="A861" s="52"/>
      <c r="B861" s="52"/>
      <c r="C861" s="53"/>
      <c r="D861" s="1"/>
      <c r="E861" s="1"/>
      <c r="F861" s="1"/>
      <c r="G861" s="1"/>
      <c r="H861" s="1"/>
      <c r="I861" s="1"/>
    </row>
    <row r="862" ht="14.25" customHeight="1">
      <c r="A862" s="52"/>
      <c r="B862" s="52"/>
      <c r="C862" s="53"/>
      <c r="D862" s="1"/>
      <c r="E862" s="1"/>
      <c r="F862" s="1"/>
      <c r="G862" s="1"/>
      <c r="H862" s="1"/>
      <c r="I862" s="1"/>
    </row>
    <row r="863" ht="14.25" customHeight="1">
      <c r="A863" s="52"/>
      <c r="B863" s="52"/>
      <c r="C863" s="53"/>
      <c r="D863" s="1"/>
      <c r="E863" s="1"/>
      <c r="F863" s="1"/>
      <c r="G863" s="1"/>
      <c r="H863" s="1"/>
      <c r="I863" s="1"/>
    </row>
    <row r="864" ht="14.25" customHeight="1">
      <c r="A864" s="52"/>
      <c r="B864" s="52"/>
      <c r="C864" s="53"/>
      <c r="D864" s="1"/>
      <c r="E864" s="1"/>
      <c r="F864" s="1"/>
      <c r="G864" s="1"/>
      <c r="H864" s="1"/>
      <c r="I864" s="1"/>
    </row>
    <row r="865" ht="14.25" customHeight="1">
      <c r="A865" s="52"/>
      <c r="B865" s="52"/>
      <c r="C865" s="53"/>
      <c r="D865" s="1"/>
      <c r="E865" s="1"/>
      <c r="F865" s="1"/>
      <c r="G865" s="1"/>
      <c r="H865" s="1"/>
      <c r="I865" s="1"/>
    </row>
    <row r="866" ht="14.25" customHeight="1">
      <c r="A866" s="52"/>
      <c r="B866" s="52"/>
      <c r="C866" s="53"/>
      <c r="D866" s="1"/>
      <c r="E866" s="1"/>
      <c r="F866" s="1"/>
      <c r="G866" s="1"/>
      <c r="H866" s="1"/>
      <c r="I866" s="1"/>
    </row>
    <row r="867" ht="14.25" customHeight="1">
      <c r="A867" s="52"/>
      <c r="B867" s="52"/>
      <c r="C867" s="53"/>
      <c r="D867" s="1"/>
      <c r="E867" s="1"/>
      <c r="F867" s="1"/>
      <c r="G867" s="1"/>
      <c r="H867" s="1"/>
      <c r="I867" s="1"/>
    </row>
    <row r="868" ht="14.25" customHeight="1">
      <c r="A868" s="52"/>
      <c r="B868" s="52"/>
      <c r="C868" s="53"/>
      <c r="D868" s="1"/>
      <c r="E868" s="1"/>
      <c r="F868" s="1"/>
      <c r="G868" s="1"/>
      <c r="H868" s="1"/>
      <c r="I868" s="1"/>
    </row>
    <row r="869" ht="14.25" customHeight="1">
      <c r="A869" s="52"/>
      <c r="B869" s="52"/>
      <c r="C869" s="53"/>
      <c r="D869" s="1"/>
      <c r="E869" s="1"/>
      <c r="F869" s="1"/>
      <c r="G869" s="1"/>
      <c r="H869" s="1"/>
      <c r="I869" s="1"/>
    </row>
    <row r="870" ht="14.25" customHeight="1">
      <c r="A870" s="52"/>
      <c r="B870" s="52"/>
      <c r="C870" s="53"/>
      <c r="D870" s="1"/>
      <c r="E870" s="1"/>
      <c r="F870" s="1"/>
      <c r="G870" s="1"/>
      <c r="H870" s="1"/>
      <c r="I870" s="1"/>
    </row>
    <row r="871" ht="14.25" customHeight="1">
      <c r="A871" s="52"/>
      <c r="B871" s="52"/>
      <c r="C871" s="53"/>
      <c r="D871" s="1"/>
      <c r="E871" s="1"/>
      <c r="F871" s="1"/>
      <c r="G871" s="1"/>
      <c r="H871" s="1"/>
      <c r="I871" s="1"/>
    </row>
    <row r="872" ht="14.25" customHeight="1">
      <c r="A872" s="52"/>
      <c r="B872" s="52"/>
      <c r="C872" s="53"/>
      <c r="D872" s="1"/>
      <c r="E872" s="1"/>
      <c r="F872" s="1"/>
      <c r="G872" s="1"/>
      <c r="H872" s="1"/>
      <c r="I872" s="1"/>
    </row>
    <row r="873" ht="14.25" customHeight="1">
      <c r="A873" s="52"/>
      <c r="B873" s="52"/>
      <c r="C873" s="53"/>
      <c r="D873" s="1"/>
      <c r="E873" s="1"/>
      <c r="F873" s="1"/>
      <c r="G873" s="1"/>
      <c r="H873" s="1"/>
      <c r="I873" s="1"/>
    </row>
    <row r="874" ht="14.25" customHeight="1">
      <c r="A874" s="52"/>
      <c r="B874" s="52"/>
      <c r="C874" s="53"/>
      <c r="D874" s="1"/>
      <c r="E874" s="1"/>
      <c r="F874" s="1"/>
      <c r="G874" s="1"/>
      <c r="H874" s="1"/>
      <c r="I874" s="1"/>
    </row>
    <row r="875" ht="14.25" customHeight="1">
      <c r="A875" s="52"/>
      <c r="B875" s="52"/>
      <c r="C875" s="53"/>
      <c r="D875" s="1"/>
      <c r="E875" s="1"/>
      <c r="F875" s="1"/>
      <c r="G875" s="1"/>
      <c r="H875" s="1"/>
      <c r="I875" s="1"/>
    </row>
    <row r="876" ht="14.25" customHeight="1">
      <c r="A876" s="52"/>
      <c r="B876" s="52"/>
      <c r="C876" s="53"/>
      <c r="D876" s="1"/>
      <c r="E876" s="1"/>
      <c r="F876" s="1"/>
      <c r="G876" s="1"/>
      <c r="H876" s="1"/>
      <c r="I876" s="1"/>
    </row>
    <row r="877" ht="14.25" customHeight="1">
      <c r="A877" s="52"/>
      <c r="B877" s="52"/>
      <c r="C877" s="53"/>
      <c r="D877" s="1"/>
      <c r="E877" s="1"/>
      <c r="F877" s="1"/>
      <c r="G877" s="1"/>
      <c r="H877" s="1"/>
      <c r="I877" s="1"/>
    </row>
    <row r="878" ht="14.25" customHeight="1">
      <c r="A878" s="52"/>
      <c r="B878" s="52"/>
      <c r="C878" s="53"/>
      <c r="D878" s="1"/>
      <c r="E878" s="1"/>
      <c r="F878" s="1"/>
      <c r="G878" s="1"/>
      <c r="H878" s="1"/>
      <c r="I878" s="1"/>
    </row>
    <row r="879" ht="14.25" customHeight="1">
      <c r="A879" s="52"/>
      <c r="B879" s="52"/>
      <c r="C879" s="53"/>
      <c r="D879" s="1"/>
      <c r="E879" s="1"/>
      <c r="F879" s="1"/>
      <c r="G879" s="1"/>
      <c r="H879" s="1"/>
      <c r="I879" s="1"/>
    </row>
    <row r="880" ht="14.25" customHeight="1">
      <c r="A880" s="52"/>
      <c r="B880" s="52"/>
      <c r="C880" s="53"/>
      <c r="D880" s="1"/>
      <c r="E880" s="1"/>
      <c r="F880" s="1"/>
      <c r="G880" s="1"/>
      <c r="H880" s="1"/>
      <c r="I880" s="1"/>
    </row>
    <row r="881" ht="14.25" customHeight="1">
      <c r="A881" s="52"/>
      <c r="B881" s="52"/>
      <c r="C881" s="53"/>
      <c r="D881" s="1"/>
      <c r="E881" s="1"/>
      <c r="F881" s="1"/>
      <c r="G881" s="1"/>
      <c r="H881" s="1"/>
      <c r="I881" s="1"/>
    </row>
    <row r="882" ht="14.25" customHeight="1">
      <c r="A882" s="52"/>
      <c r="B882" s="52"/>
      <c r="C882" s="53"/>
      <c r="D882" s="1"/>
      <c r="E882" s="1"/>
      <c r="F882" s="1"/>
      <c r="G882" s="1"/>
      <c r="H882" s="1"/>
      <c r="I882" s="1"/>
    </row>
    <row r="883" ht="14.25" customHeight="1">
      <c r="A883" s="52"/>
      <c r="B883" s="52"/>
      <c r="C883" s="53"/>
      <c r="D883" s="1"/>
      <c r="E883" s="1"/>
      <c r="F883" s="1"/>
      <c r="G883" s="1"/>
      <c r="H883" s="1"/>
      <c r="I883" s="1"/>
    </row>
    <row r="884" ht="14.25" customHeight="1">
      <c r="A884" s="52"/>
      <c r="B884" s="52"/>
      <c r="C884" s="53"/>
      <c r="D884" s="1"/>
      <c r="E884" s="1"/>
      <c r="F884" s="1"/>
      <c r="G884" s="1"/>
      <c r="H884" s="1"/>
      <c r="I884" s="1"/>
    </row>
    <row r="885" ht="14.25" customHeight="1">
      <c r="A885" s="52"/>
      <c r="B885" s="52"/>
      <c r="C885" s="53"/>
      <c r="D885" s="1"/>
      <c r="E885" s="1"/>
      <c r="F885" s="1"/>
      <c r="G885" s="1"/>
      <c r="H885" s="1"/>
      <c r="I885" s="1"/>
    </row>
    <row r="886" ht="14.25" customHeight="1">
      <c r="A886" s="52"/>
      <c r="B886" s="52"/>
      <c r="C886" s="53"/>
      <c r="D886" s="1"/>
      <c r="E886" s="1"/>
      <c r="F886" s="1"/>
      <c r="G886" s="1"/>
      <c r="H886" s="1"/>
      <c r="I886" s="1"/>
    </row>
    <row r="887" ht="14.25" customHeight="1">
      <c r="A887" s="52"/>
      <c r="B887" s="52"/>
      <c r="C887" s="53"/>
      <c r="D887" s="1"/>
      <c r="E887" s="1"/>
      <c r="F887" s="1"/>
      <c r="G887" s="1"/>
      <c r="H887" s="1"/>
      <c r="I887" s="1"/>
    </row>
    <row r="888" ht="14.25" customHeight="1">
      <c r="A888" s="52"/>
      <c r="B888" s="52"/>
      <c r="C888" s="53"/>
      <c r="D888" s="1"/>
      <c r="E888" s="1"/>
      <c r="F888" s="1"/>
      <c r="G888" s="1"/>
      <c r="H888" s="1"/>
      <c r="I888" s="1"/>
    </row>
    <row r="889" ht="14.25" customHeight="1">
      <c r="A889" s="52"/>
      <c r="B889" s="52"/>
      <c r="C889" s="53"/>
      <c r="D889" s="1"/>
      <c r="E889" s="1"/>
      <c r="F889" s="1"/>
      <c r="G889" s="1"/>
      <c r="H889" s="1"/>
      <c r="I889" s="1"/>
    </row>
    <row r="890" ht="14.25" customHeight="1">
      <c r="A890" s="52"/>
      <c r="B890" s="52"/>
      <c r="C890" s="53"/>
      <c r="D890" s="1"/>
      <c r="E890" s="1"/>
      <c r="F890" s="1"/>
      <c r="G890" s="1"/>
      <c r="H890" s="1"/>
      <c r="I890" s="1"/>
    </row>
    <row r="891" ht="14.25" customHeight="1">
      <c r="A891" s="52"/>
      <c r="B891" s="52"/>
      <c r="C891" s="53"/>
      <c r="D891" s="1"/>
      <c r="E891" s="1"/>
      <c r="F891" s="1"/>
      <c r="G891" s="1"/>
      <c r="H891" s="1"/>
      <c r="I891" s="1"/>
    </row>
    <row r="892" ht="14.25" customHeight="1">
      <c r="A892" s="52"/>
      <c r="B892" s="52"/>
      <c r="C892" s="53"/>
      <c r="D892" s="1"/>
      <c r="E892" s="1"/>
      <c r="F892" s="1"/>
      <c r="G892" s="1"/>
      <c r="H892" s="1"/>
      <c r="I892" s="1"/>
    </row>
    <row r="893" ht="14.25" customHeight="1">
      <c r="A893" s="52"/>
      <c r="B893" s="52"/>
      <c r="C893" s="53"/>
      <c r="D893" s="1"/>
      <c r="E893" s="1"/>
      <c r="F893" s="1"/>
      <c r="G893" s="1"/>
      <c r="H893" s="1"/>
      <c r="I893" s="1"/>
    </row>
    <row r="894" ht="14.25" customHeight="1">
      <c r="A894" s="52"/>
      <c r="B894" s="52"/>
      <c r="C894" s="53"/>
      <c r="D894" s="1"/>
      <c r="E894" s="1"/>
      <c r="F894" s="1"/>
      <c r="G894" s="1"/>
      <c r="H894" s="1"/>
      <c r="I894" s="1"/>
    </row>
    <row r="895" ht="14.25" customHeight="1">
      <c r="A895" s="52"/>
      <c r="B895" s="52"/>
      <c r="C895" s="53"/>
      <c r="D895" s="1"/>
      <c r="E895" s="1"/>
      <c r="F895" s="1"/>
      <c r="G895" s="1"/>
      <c r="H895" s="1"/>
      <c r="I895" s="1"/>
    </row>
    <row r="896" ht="14.25" customHeight="1">
      <c r="A896" s="52"/>
      <c r="B896" s="52"/>
      <c r="C896" s="53"/>
      <c r="D896" s="1"/>
      <c r="E896" s="1"/>
      <c r="F896" s="1"/>
      <c r="G896" s="1"/>
      <c r="H896" s="1"/>
      <c r="I896" s="1"/>
    </row>
    <row r="897" ht="14.25" customHeight="1">
      <c r="A897" s="52"/>
      <c r="B897" s="52"/>
      <c r="C897" s="53"/>
      <c r="D897" s="1"/>
      <c r="E897" s="1"/>
      <c r="F897" s="1"/>
      <c r="G897" s="1"/>
      <c r="H897" s="1"/>
      <c r="I897" s="1"/>
    </row>
    <row r="898" ht="14.25" customHeight="1">
      <c r="A898" s="52"/>
      <c r="B898" s="52"/>
      <c r="C898" s="53"/>
      <c r="D898" s="1"/>
      <c r="E898" s="1"/>
      <c r="F898" s="1"/>
      <c r="G898" s="1"/>
      <c r="H898" s="1"/>
      <c r="I898" s="1"/>
    </row>
    <row r="899" ht="14.25" customHeight="1">
      <c r="A899" s="52"/>
      <c r="B899" s="52"/>
      <c r="C899" s="53"/>
      <c r="D899" s="1"/>
      <c r="E899" s="1"/>
      <c r="F899" s="1"/>
      <c r="G899" s="1"/>
      <c r="H899" s="1"/>
      <c r="I899" s="1"/>
    </row>
    <row r="900" ht="14.25" customHeight="1">
      <c r="A900" s="52"/>
      <c r="B900" s="52"/>
      <c r="C900" s="53"/>
      <c r="D900" s="1"/>
      <c r="E900" s="1"/>
      <c r="F900" s="1"/>
      <c r="G900" s="1"/>
      <c r="H900" s="1"/>
      <c r="I900" s="1"/>
    </row>
    <row r="901" ht="14.25" customHeight="1">
      <c r="A901" s="52"/>
      <c r="B901" s="52"/>
      <c r="C901" s="53"/>
      <c r="D901" s="1"/>
      <c r="E901" s="1"/>
      <c r="F901" s="1"/>
      <c r="G901" s="1"/>
      <c r="H901" s="1"/>
      <c r="I901" s="1"/>
    </row>
    <row r="902" ht="14.25" customHeight="1">
      <c r="A902" s="52"/>
      <c r="B902" s="52"/>
      <c r="C902" s="53"/>
      <c r="D902" s="1"/>
      <c r="E902" s="1"/>
      <c r="F902" s="1"/>
      <c r="G902" s="1"/>
      <c r="H902" s="1"/>
      <c r="I902" s="1"/>
    </row>
    <row r="903" ht="14.25" customHeight="1">
      <c r="A903" s="52"/>
      <c r="B903" s="52"/>
      <c r="C903" s="53"/>
      <c r="D903" s="1"/>
      <c r="E903" s="1"/>
      <c r="F903" s="1"/>
      <c r="G903" s="1"/>
      <c r="H903" s="1"/>
      <c r="I903" s="1"/>
    </row>
    <row r="904" ht="14.25" customHeight="1">
      <c r="A904" s="52"/>
      <c r="B904" s="52"/>
      <c r="C904" s="53"/>
      <c r="D904" s="1"/>
      <c r="E904" s="1"/>
      <c r="F904" s="1"/>
      <c r="G904" s="1"/>
      <c r="H904" s="1"/>
      <c r="I904" s="1"/>
    </row>
    <row r="905" ht="14.25" customHeight="1">
      <c r="A905" s="52"/>
      <c r="B905" s="52"/>
      <c r="C905" s="53"/>
      <c r="D905" s="1"/>
      <c r="E905" s="1"/>
      <c r="F905" s="1"/>
      <c r="G905" s="1"/>
      <c r="H905" s="1"/>
      <c r="I905" s="1"/>
    </row>
    <row r="906" ht="14.25" customHeight="1">
      <c r="A906" s="52"/>
      <c r="B906" s="52"/>
      <c r="C906" s="53"/>
      <c r="D906" s="1"/>
      <c r="E906" s="1"/>
      <c r="F906" s="1"/>
      <c r="G906" s="1"/>
      <c r="H906" s="1"/>
      <c r="I906" s="1"/>
    </row>
    <row r="907" ht="14.25" customHeight="1">
      <c r="A907" s="52"/>
      <c r="B907" s="52"/>
      <c r="C907" s="53"/>
      <c r="D907" s="1"/>
      <c r="E907" s="1"/>
      <c r="F907" s="1"/>
      <c r="G907" s="1"/>
      <c r="H907" s="1"/>
      <c r="I907" s="1"/>
    </row>
    <row r="908" ht="14.25" customHeight="1">
      <c r="A908" s="52"/>
      <c r="B908" s="52"/>
      <c r="C908" s="53"/>
      <c r="D908" s="1"/>
      <c r="E908" s="1"/>
      <c r="F908" s="1"/>
      <c r="G908" s="1"/>
      <c r="H908" s="1"/>
      <c r="I908" s="1"/>
    </row>
    <row r="909" ht="14.25" customHeight="1">
      <c r="A909" s="52"/>
      <c r="B909" s="52"/>
      <c r="C909" s="53"/>
      <c r="D909" s="1"/>
      <c r="E909" s="1"/>
      <c r="F909" s="1"/>
      <c r="G909" s="1"/>
      <c r="H909" s="1"/>
      <c r="I909" s="1"/>
    </row>
    <row r="910" ht="14.25" customHeight="1">
      <c r="A910" s="52"/>
      <c r="B910" s="52"/>
      <c r="C910" s="53"/>
      <c r="D910" s="1"/>
      <c r="E910" s="1"/>
      <c r="F910" s="1"/>
      <c r="G910" s="1"/>
      <c r="H910" s="1"/>
      <c r="I910" s="1"/>
    </row>
    <row r="911" ht="14.25" customHeight="1">
      <c r="A911" s="52"/>
      <c r="B911" s="52"/>
      <c r="C911" s="53"/>
      <c r="D911" s="1"/>
      <c r="E911" s="1"/>
      <c r="F911" s="1"/>
      <c r="G911" s="1"/>
      <c r="H911" s="1"/>
      <c r="I911" s="1"/>
    </row>
    <row r="912" ht="14.25" customHeight="1">
      <c r="A912" s="52"/>
      <c r="B912" s="52"/>
      <c r="C912" s="53"/>
      <c r="D912" s="1"/>
      <c r="E912" s="1"/>
      <c r="F912" s="1"/>
      <c r="G912" s="1"/>
      <c r="H912" s="1"/>
      <c r="I912" s="1"/>
    </row>
    <row r="913" ht="14.25" customHeight="1">
      <c r="A913" s="52"/>
      <c r="B913" s="52"/>
      <c r="C913" s="53"/>
      <c r="D913" s="1"/>
      <c r="E913" s="1"/>
      <c r="F913" s="1"/>
      <c r="G913" s="1"/>
      <c r="H913" s="1"/>
      <c r="I913" s="1"/>
    </row>
    <row r="914" ht="14.25" customHeight="1">
      <c r="A914" s="52"/>
      <c r="B914" s="52"/>
      <c r="C914" s="53"/>
      <c r="D914" s="1"/>
      <c r="E914" s="1"/>
      <c r="F914" s="1"/>
      <c r="G914" s="1"/>
      <c r="H914" s="1"/>
      <c r="I914" s="1"/>
    </row>
    <row r="915" ht="14.25" customHeight="1">
      <c r="A915" s="52"/>
      <c r="B915" s="52"/>
      <c r="C915" s="53"/>
      <c r="D915" s="1"/>
      <c r="E915" s="1"/>
      <c r="F915" s="1"/>
      <c r="G915" s="1"/>
      <c r="H915" s="1"/>
      <c r="I915" s="1"/>
    </row>
    <row r="916" ht="14.25" customHeight="1">
      <c r="A916" s="52"/>
      <c r="B916" s="52"/>
      <c r="C916" s="53"/>
      <c r="D916" s="1"/>
      <c r="E916" s="1"/>
      <c r="F916" s="1"/>
      <c r="G916" s="1"/>
      <c r="H916" s="1"/>
      <c r="I916" s="1"/>
    </row>
    <row r="917" ht="14.25" customHeight="1">
      <c r="A917" s="52"/>
      <c r="B917" s="52"/>
      <c r="C917" s="53"/>
      <c r="D917" s="1"/>
      <c r="E917" s="1"/>
      <c r="F917" s="1"/>
      <c r="G917" s="1"/>
      <c r="H917" s="1"/>
      <c r="I917" s="1"/>
    </row>
    <row r="918" ht="14.25" customHeight="1">
      <c r="A918" s="52"/>
      <c r="B918" s="52"/>
      <c r="C918" s="53"/>
      <c r="D918" s="1"/>
      <c r="E918" s="1"/>
      <c r="F918" s="1"/>
      <c r="G918" s="1"/>
      <c r="H918" s="1"/>
      <c r="I918" s="1"/>
    </row>
    <row r="919" ht="14.25" customHeight="1">
      <c r="A919" s="52"/>
      <c r="B919" s="52"/>
      <c r="C919" s="53"/>
      <c r="D919" s="1"/>
      <c r="E919" s="1"/>
      <c r="F919" s="1"/>
      <c r="G919" s="1"/>
      <c r="H919" s="1"/>
      <c r="I919" s="1"/>
    </row>
    <row r="920" ht="14.25" customHeight="1">
      <c r="A920" s="52"/>
      <c r="B920" s="52"/>
      <c r="C920" s="53"/>
      <c r="D920" s="1"/>
      <c r="E920" s="1"/>
      <c r="F920" s="1"/>
      <c r="G920" s="1"/>
      <c r="H920" s="1"/>
      <c r="I920" s="1"/>
    </row>
    <row r="921" ht="14.25" customHeight="1">
      <c r="A921" s="52"/>
      <c r="B921" s="52"/>
      <c r="C921" s="53"/>
      <c r="D921" s="1"/>
      <c r="E921" s="1"/>
      <c r="F921" s="1"/>
      <c r="G921" s="1"/>
      <c r="H921" s="1"/>
      <c r="I921" s="1"/>
    </row>
    <row r="922" ht="14.25" customHeight="1">
      <c r="A922" s="52"/>
      <c r="B922" s="52"/>
      <c r="C922" s="53"/>
      <c r="D922" s="1"/>
      <c r="E922" s="1"/>
      <c r="F922" s="1"/>
      <c r="G922" s="1"/>
      <c r="H922" s="1"/>
      <c r="I922" s="1"/>
    </row>
    <row r="923" ht="14.25" customHeight="1">
      <c r="A923" s="52"/>
      <c r="B923" s="52"/>
      <c r="C923" s="53"/>
      <c r="D923" s="1"/>
      <c r="E923" s="1"/>
      <c r="F923" s="1"/>
      <c r="G923" s="1"/>
      <c r="H923" s="1"/>
      <c r="I923" s="1"/>
    </row>
    <row r="924" ht="14.25" customHeight="1">
      <c r="A924" s="52"/>
      <c r="B924" s="52"/>
      <c r="C924" s="53"/>
      <c r="D924" s="1"/>
      <c r="E924" s="1"/>
      <c r="F924" s="1"/>
      <c r="G924" s="1"/>
      <c r="H924" s="1"/>
      <c r="I924" s="1"/>
    </row>
    <row r="925" ht="14.25" customHeight="1">
      <c r="A925" s="52"/>
      <c r="B925" s="52"/>
      <c r="C925" s="53"/>
      <c r="D925" s="1"/>
      <c r="E925" s="1"/>
      <c r="F925" s="1"/>
      <c r="G925" s="1"/>
      <c r="H925" s="1"/>
      <c r="I925" s="1"/>
    </row>
    <row r="926" ht="14.25" customHeight="1">
      <c r="A926" s="52"/>
      <c r="B926" s="52"/>
      <c r="C926" s="53"/>
      <c r="D926" s="1"/>
      <c r="E926" s="1"/>
      <c r="F926" s="1"/>
      <c r="G926" s="1"/>
      <c r="H926" s="1"/>
      <c r="I926" s="1"/>
    </row>
    <row r="927" ht="14.25" customHeight="1">
      <c r="A927" s="52"/>
      <c r="B927" s="52"/>
      <c r="C927" s="53"/>
      <c r="D927" s="1"/>
      <c r="E927" s="1"/>
      <c r="F927" s="1"/>
      <c r="G927" s="1"/>
      <c r="H927" s="1"/>
      <c r="I927" s="1"/>
    </row>
    <row r="928" ht="14.25" customHeight="1">
      <c r="A928" s="52"/>
      <c r="B928" s="52"/>
      <c r="C928" s="53"/>
      <c r="D928" s="1"/>
      <c r="E928" s="1"/>
      <c r="F928" s="1"/>
      <c r="G928" s="1"/>
      <c r="H928" s="1"/>
      <c r="I928" s="1"/>
    </row>
    <row r="929" ht="14.25" customHeight="1">
      <c r="A929" s="52"/>
      <c r="B929" s="52"/>
      <c r="C929" s="53"/>
      <c r="D929" s="1"/>
      <c r="E929" s="1"/>
      <c r="F929" s="1"/>
      <c r="G929" s="1"/>
      <c r="H929" s="1"/>
      <c r="I929" s="1"/>
    </row>
    <row r="930" ht="14.25" customHeight="1">
      <c r="A930" s="52"/>
      <c r="B930" s="52"/>
      <c r="C930" s="53"/>
      <c r="D930" s="1"/>
      <c r="E930" s="1"/>
      <c r="F930" s="1"/>
      <c r="G930" s="1"/>
      <c r="H930" s="1"/>
      <c r="I930" s="1"/>
    </row>
    <row r="931" ht="14.25" customHeight="1">
      <c r="A931" s="52"/>
      <c r="B931" s="52"/>
      <c r="C931" s="53"/>
      <c r="D931" s="1"/>
      <c r="E931" s="1"/>
      <c r="F931" s="1"/>
      <c r="G931" s="1"/>
      <c r="H931" s="1"/>
      <c r="I931" s="1"/>
    </row>
    <row r="932" ht="14.25" customHeight="1">
      <c r="A932" s="52"/>
      <c r="B932" s="52"/>
      <c r="C932" s="53"/>
      <c r="D932" s="1"/>
      <c r="E932" s="1"/>
      <c r="F932" s="1"/>
      <c r="G932" s="1"/>
      <c r="H932" s="1"/>
      <c r="I932" s="1"/>
    </row>
    <row r="933" ht="14.25" customHeight="1">
      <c r="A933" s="52"/>
      <c r="B933" s="52"/>
      <c r="C933" s="53"/>
      <c r="D933" s="1"/>
      <c r="E933" s="1"/>
      <c r="F933" s="1"/>
      <c r="G933" s="1"/>
      <c r="H933" s="1"/>
      <c r="I933" s="1"/>
    </row>
    <row r="934" ht="14.25" customHeight="1">
      <c r="A934" s="52"/>
      <c r="B934" s="52"/>
      <c r="C934" s="53"/>
      <c r="D934" s="1"/>
      <c r="E934" s="1"/>
      <c r="F934" s="1"/>
      <c r="G934" s="1"/>
      <c r="H934" s="1"/>
      <c r="I934" s="1"/>
    </row>
    <row r="935" ht="14.25" customHeight="1">
      <c r="A935" s="52"/>
      <c r="B935" s="52"/>
      <c r="C935" s="53"/>
      <c r="D935" s="1"/>
      <c r="E935" s="1"/>
      <c r="F935" s="1"/>
      <c r="G935" s="1"/>
      <c r="H935" s="1"/>
      <c r="I935" s="1"/>
    </row>
    <row r="936" ht="14.25" customHeight="1">
      <c r="A936" s="52"/>
      <c r="B936" s="52"/>
      <c r="C936" s="53"/>
      <c r="D936" s="1"/>
      <c r="E936" s="1"/>
      <c r="F936" s="1"/>
      <c r="G936" s="1"/>
      <c r="H936" s="1"/>
      <c r="I936" s="1"/>
    </row>
    <row r="937" ht="14.25" customHeight="1">
      <c r="A937" s="52"/>
      <c r="B937" s="52"/>
      <c r="C937" s="53"/>
      <c r="D937" s="1"/>
      <c r="E937" s="1"/>
      <c r="F937" s="1"/>
      <c r="G937" s="1"/>
      <c r="H937" s="1"/>
      <c r="I937" s="1"/>
    </row>
    <row r="938" ht="14.25" customHeight="1">
      <c r="A938" s="52"/>
      <c r="B938" s="52"/>
      <c r="C938" s="53"/>
      <c r="D938" s="1"/>
      <c r="E938" s="1"/>
      <c r="F938" s="1"/>
      <c r="G938" s="1"/>
      <c r="H938" s="1"/>
      <c r="I938" s="1"/>
    </row>
    <row r="939" ht="14.25" customHeight="1">
      <c r="A939" s="52"/>
      <c r="B939" s="52"/>
      <c r="C939" s="53"/>
      <c r="D939" s="1"/>
      <c r="E939" s="1"/>
      <c r="F939" s="1"/>
      <c r="G939" s="1"/>
      <c r="H939" s="1"/>
      <c r="I939" s="1"/>
    </row>
    <row r="940" ht="14.25" customHeight="1">
      <c r="A940" s="52"/>
      <c r="B940" s="52"/>
      <c r="C940" s="53"/>
      <c r="D940" s="1"/>
      <c r="E940" s="1"/>
      <c r="F940" s="1"/>
      <c r="G940" s="1"/>
      <c r="H940" s="1"/>
      <c r="I940" s="1"/>
    </row>
    <row r="941" ht="14.25" customHeight="1">
      <c r="A941" s="52"/>
      <c r="B941" s="52"/>
      <c r="C941" s="53"/>
      <c r="D941" s="1"/>
      <c r="E941" s="1"/>
      <c r="F941" s="1"/>
      <c r="G941" s="1"/>
      <c r="H941" s="1"/>
      <c r="I941" s="1"/>
    </row>
    <row r="942" ht="14.25" customHeight="1">
      <c r="A942" s="52"/>
      <c r="B942" s="52"/>
      <c r="C942" s="53"/>
      <c r="D942" s="1"/>
      <c r="E942" s="1"/>
      <c r="F942" s="1"/>
      <c r="G942" s="1"/>
      <c r="H942" s="1"/>
      <c r="I942" s="1"/>
    </row>
    <row r="943" ht="14.25" customHeight="1">
      <c r="A943" s="52"/>
      <c r="B943" s="52"/>
      <c r="C943" s="53"/>
      <c r="D943" s="1"/>
      <c r="E943" s="1"/>
      <c r="F943" s="1"/>
      <c r="G943" s="1"/>
      <c r="H943" s="1"/>
      <c r="I943" s="1"/>
    </row>
    <row r="944" ht="14.25" customHeight="1">
      <c r="A944" s="52"/>
      <c r="B944" s="52"/>
      <c r="C944" s="53"/>
      <c r="D944" s="1"/>
      <c r="E944" s="1"/>
      <c r="F944" s="1"/>
      <c r="G944" s="1"/>
      <c r="H944" s="1"/>
      <c r="I944" s="1"/>
    </row>
    <row r="945" ht="14.25" customHeight="1">
      <c r="A945" s="52"/>
      <c r="B945" s="52"/>
      <c r="C945" s="53"/>
      <c r="D945" s="1"/>
      <c r="E945" s="1"/>
      <c r="F945" s="1"/>
      <c r="G945" s="1"/>
      <c r="H945" s="1"/>
      <c r="I945" s="1"/>
    </row>
    <row r="946" ht="14.25" customHeight="1">
      <c r="A946" s="52"/>
      <c r="B946" s="52"/>
      <c r="C946" s="53"/>
      <c r="D946" s="1"/>
      <c r="E946" s="1"/>
      <c r="F946" s="1"/>
      <c r="G946" s="1"/>
      <c r="H946" s="1"/>
      <c r="I946" s="1"/>
    </row>
    <row r="947" ht="14.25" customHeight="1">
      <c r="A947" s="52"/>
      <c r="B947" s="52"/>
      <c r="C947" s="53"/>
      <c r="D947" s="1"/>
      <c r="E947" s="1"/>
      <c r="F947" s="1"/>
      <c r="G947" s="1"/>
      <c r="H947" s="1"/>
      <c r="I947" s="1"/>
    </row>
    <row r="948" ht="14.25" customHeight="1">
      <c r="A948" s="52"/>
      <c r="B948" s="52"/>
      <c r="C948" s="53"/>
      <c r="D948" s="1"/>
      <c r="E948" s="1"/>
      <c r="F948" s="1"/>
      <c r="G948" s="1"/>
      <c r="H948" s="1"/>
      <c r="I948" s="1"/>
    </row>
    <row r="949" ht="14.25" customHeight="1">
      <c r="A949" s="52"/>
      <c r="B949" s="52"/>
      <c r="C949" s="53"/>
      <c r="D949" s="1"/>
      <c r="E949" s="1"/>
      <c r="F949" s="1"/>
      <c r="G949" s="1"/>
      <c r="H949" s="1"/>
      <c r="I949" s="1"/>
    </row>
    <row r="950" ht="14.25" customHeight="1">
      <c r="A950" s="52"/>
      <c r="B950" s="52"/>
      <c r="C950" s="53"/>
      <c r="D950" s="1"/>
      <c r="E950" s="1"/>
      <c r="F950" s="1"/>
      <c r="G950" s="1"/>
      <c r="H950" s="1"/>
      <c r="I950" s="1"/>
    </row>
    <row r="951" ht="14.25" customHeight="1">
      <c r="A951" s="52"/>
      <c r="B951" s="52"/>
      <c r="C951" s="53"/>
      <c r="D951" s="1"/>
      <c r="E951" s="1"/>
      <c r="F951" s="1"/>
      <c r="G951" s="1"/>
      <c r="H951" s="1"/>
      <c r="I951" s="1"/>
    </row>
    <row r="952" ht="14.25" customHeight="1">
      <c r="A952" s="52"/>
      <c r="B952" s="52"/>
      <c r="C952" s="53"/>
      <c r="D952" s="1"/>
      <c r="E952" s="1"/>
      <c r="F952" s="1"/>
      <c r="G952" s="1"/>
      <c r="H952" s="1"/>
      <c r="I952" s="1"/>
    </row>
    <row r="953" ht="14.25" customHeight="1">
      <c r="A953" s="52"/>
      <c r="B953" s="52"/>
      <c r="C953" s="53"/>
      <c r="D953" s="1"/>
      <c r="E953" s="1"/>
      <c r="F953" s="1"/>
      <c r="G953" s="1"/>
      <c r="H953" s="1"/>
      <c r="I953" s="1"/>
    </row>
    <row r="954" ht="14.25" customHeight="1">
      <c r="A954" s="52"/>
      <c r="B954" s="52"/>
      <c r="C954" s="53"/>
      <c r="D954" s="1"/>
      <c r="E954" s="1"/>
      <c r="F954" s="1"/>
      <c r="G954" s="1"/>
      <c r="H954" s="1"/>
      <c r="I954" s="1"/>
    </row>
    <row r="955" ht="14.25" customHeight="1">
      <c r="A955" s="52"/>
      <c r="B955" s="52"/>
      <c r="C955" s="53"/>
      <c r="D955" s="1"/>
      <c r="E955" s="1"/>
      <c r="F955" s="1"/>
      <c r="G955" s="1"/>
      <c r="H955" s="1"/>
      <c r="I955" s="1"/>
    </row>
    <row r="956" ht="14.25" customHeight="1">
      <c r="A956" s="52"/>
      <c r="B956" s="52"/>
      <c r="C956" s="53"/>
      <c r="D956" s="1"/>
      <c r="E956" s="1"/>
      <c r="F956" s="1"/>
      <c r="G956" s="1"/>
      <c r="H956" s="1"/>
      <c r="I956" s="1"/>
    </row>
    <row r="957" ht="14.25" customHeight="1">
      <c r="A957" s="52"/>
      <c r="B957" s="52"/>
      <c r="C957" s="53"/>
      <c r="D957" s="1"/>
      <c r="E957" s="1"/>
      <c r="F957" s="1"/>
      <c r="G957" s="1"/>
      <c r="H957" s="1"/>
      <c r="I957" s="1"/>
    </row>
    <row r="958" ht="14.25" customHeight="1">
      <c r="A958" s="52"/>
      <c r="B958" s="52"/>
      <c r="C958" s="53"/>
      <c r="D958" s="1"/>
      <c r="E958" s="1"/>
      <c r="F958" s="1"/>
      <c r="G958" s="1"/>
      <c r="H958" s="1"/>
      <c r="I958" s="1"/>
    </row>
    <row r="959" ht="14.25" customHeight="1">
      <c r="A959" s="52"/>
      <c r="B959" s="52"/>
      <c r="C959" s="53"/>
      <c r="D959" s="1"/>
      <c r="E959" s="1"/>
      <c r="F959" s="1"/>
      <c r="G959" s="1"/>
      <c r="H959" s="1"/>
      <c r="I959" s="1"/>
    </row>
    <row r="960" ht="14.25" customHeight="1">
      <c r="A960" s="52"/>
      <c r="B960" s="52"/>
      <c r="C960" s="53"/>
      <c r="D960" s="1"/>
      <c r="E960" s="1"/>
      <c r="F960" s="1"/>
      <c r="G960" s="1"/>
      <c r="H960" s="1"/>
      <c r="I960" s="1"/>
    </row>
    <row r="961" ht="14.25" customHeight="1">
      <c r="A961" s="52"/>
      <c r="B961" s="52"/>
      <c r="C961" s="53"/>
      <c r="D961" s="1"/>
      <c r="E961" s="1"/>
      <c r="F961" s="1"/>
      <c r="G961" s="1"/>
      <c r="H961" s="1"/>
      <c r="I961" s="1"/>
    </row>
    <row r="962" ht="14.25" customHeight="1">
      <c r="A962" s="52"/>
      <c r="B962" s="52"/>
      <c r="C962" s="53"/>
      <c r="D962" s="1"/>
      <c r="E962" s="1"/>
      <c r="F962" s="1"/>
      <c r="G962" s="1"/>
      <c r="H962" s="1"/>
      <c r="I962" s="1"/>
    </row>
    <row r="963" ht="14.25" customHeight="1">
      <c r="A963" s="52"/>
      <c r="B963" s="52"/>
      <c r="C963" s="53"/>
      <c r="D963" s="1"/>
      <c r="E963" s="1"/>
      <c r="F963" s="1"/>
      <c r="G963" s="1"/>
      <c r="H963" s="1"/>
      <c r="I963" s="1"/>
    </row>
    <row r="964" ht="14.25" customHeight="1">
      <c r="A964" s="52"/>
      <c r="B964" s="52"/>
      <c r="C964" s="53"/>
      <c r="D964" s="1"/>
      <c r="E964" s="1"/>
      <c r="F964" s="1"/>
      <c r="G964" s="1"/>
      <c r="H964" s="1"/>
      <c r="I964" s="1"/>
    </row>
    <row r="965" ht="14.25" customHeight="1">
      <c r="A965" s="52"/>
      <c r="B965" s="52"/>
      <c r="C965" s="53"/>
      <c r="D965" s="1"/>
      <c r="E965" s="1"/>
      <c r="F965" s="1"/>
      <c r="G965" s="1"/>
      <c r="H965" s="1"/>
      <c r="I965" s="1"/>
    </row>
    <row r="966" ht="14.25" customHeight="1">
      <c r="A966" s="52"/>
      <c r="B966" s="52"/>
      <c r="C966" s="53"/>
      <c r="D966" s="1"/>
      <c r="E966" s="1"/>
      <c r="F966" s="1"/>
      <c r="G966" s="1"/>
      <c r="H966" s="1"/>
      <c r="I966" s="1"/>
    </row>
    <row r="967" ht="14.25" customHeight="1">
      <c r="A967" s="52"/>
      <c r="B967" s="52"/>
      <c r="C967" s="53"/>
      <c r="D967" s="1"/>
      <c r="E967" s="1"/>
      <c r="F967" s="1"/>
      <c r="G967" s="1"/>
      <c r="H967" s="1"/>
      <c r="I967" s="1"/>
    </row>
    <row r="968" ht="14.25" customHeight="1">
      <c r="A968" s="52"/>
      <c r="B968" s="52"/>
      <c r="C968" s="53"/>
      <c r="D968" s="1"/>
      <c r="E968" s="1"/>
      <c r="F968" s="1"/>
      <c r="G968" s="1"/>
      <c r="H968" s="1"/>
      <c r="I968" s="1"/>
    </row>
    <row r="969" ht="14.25" customHeight="1">
      <c r="A969" s="52"/>
      <c r="B969" s="52"/>
      <c r="C969" s="53"/>
      <c r="D969" s="1"/>
      <c r="E969" s="1"/>
      <c r="F969" s="1"/>
      <c r="G969" s="1"/>
      <c r="H969" s="1"/>
      <c r="I969" s="1"/>
    </row>
    <row r="970" ht="14.25" customHeight="1">
      <c r="A970" s="52"/>
      <c r="B970" s="52"/>
      <c r="C970" s="53"/>
      <c r="D970" s="1"/>
      <c r="E970" s="1"/>
      <c r="F970" s="1"/>
      <c r="G970" s="1"/>
      <c r="H970" s="1"/>
      <c r="I970" s="1"/>
    </row>
    <row r="971" ht="14.25" customHeight="1">
      <c r="A971" s="52"/>
      <c r="B971" s="52"/>
      <c r="C971" s="53"/>
      <c r="D971" s="1"/>
      <c r="E971" s="1"/>
      <c r="F971" s="1"/>
      <c r="G971" s="1"/>
      <c r="H971" s="1"/>
      <c r="I971" s="1"/>
    </row>
    <row r="972" ht="14.25" customHeight="1">
      <c r="A972" s="52"/>
      <c r="B972" s="52"/>
      <c r="C972" s="53"/>
      <c r="D972" s="1"/>
      <c r="E972" s="1"/>
      <c r="F972" s="1"/>
      <c r="G972" s="1"/>
      <c r="H972" s="1"/>
      <c r="I972" s="1"/>
    </row>
    <row r="973" ht="14.25" customHeight="1">
      <c r="A973" s="52"/>
      <c r="B973" s="52"/>
      <c r="C973" s="53"/>
      <c r="D973" s="1"/>
      <c r="E973" s="1"/>
      <c r="F973" s="1"/>
      <c r="G973" s="1"/>
      <c r="H973" s="1"/>
      <c r="I973" s="1"/>
    </row>
    <row r="974" ht="14.25" customHeight="1">
      <c r="A974" s="52"/>
      <c r="B974" s="52"/>
      <c r="C974" s="53"/>
      <c r="D974" s="1"/>
      <c r="E974" s="1"/>
      <c r="F974" s="1"/>
      <c r="G974" s="1"/>
      <c r="H974" s="1"/>
      <c r="I974" s="1"/>
    </row>
    <row r="975" ht="14.25" customHeight="1">
      <c r="A975" s="52"/>
      <c r="B975" s="52"/>
      <c r="C975" s="53"/>
      <c r="D975" s="1"/>
      <c r="E975" s="1"/>
      <c r="F975" s="1"/>
      <c r="G975" s="1"/>
      <c r="H975" s="1"/>
      <c r="I975" s="1"/>
    </row>
    <row r="976" ht="14.25" customHeight="1">
      <c r="A976" s="52"/>
      <c r="B976" s="52"/>
      <c r="C976" s="53"/>
      <c r="D976" s="1"/>
      <c r="E976" s="1"/>
      <c r="F976" s="1"/>
      <c r="G976" s="1"/>
      <c r="H976" s="1"/>
      <c r="I976" s="1"/>
    </row>
    <row r="977" ht="14.25" customHeight="1">
      <c r="A977" s="52"/>
      <c r="B977" s="52"/>
      <c r="C977" s="53"/>
      <c r="D977" s="1"/>
      <c r="E977" s="1"/>
      <c r="F977" s="1"/>
      <c r="G977" s="1"/>
      <c r="H977" s="1"/>
      <c r="I977" s="1"/>
    </row>
    <row r="978" ht="14.25" customHeight="1">
      <c r="A978" s="52"/>
      <c r="B978" s="52"/>
      <c r="C978" s="53"/>
      <c r="D978" s="1"/>
      <c r="E978" s="1"/>
      <c r="F978" s="1"/>
      <c r="G978" s="1"/>
      <c r="H978" s="1"/>
      <c r="I978" s="1"/>
    </row>
    <row r="979" ht="14.25" customHeight="1">
      <c r="A979" s="52"/>
      <c r="B979" s="52"/>
      <c r="C979" s="53"/>
      <c r="D979" s="1"/>
      <c r="E979" s="1"/>
      <c r="F979" s="1"/>
      <c r="G979" s="1"/>
      <c r="H979" s="1"/>
      <c r="I979" s="1"/>
    </row>
    <row r="980" ht="14.25" customHeight="1">
      <c r="A980" s="52"/>
      <c r="B980" s="52"/>
      <c r="C980" s="53"/>
      <c r="D980" s="1"/>
      <c r="E980" s="1"/>
      <c r="F980" s="1"/>
      <c r="G980" s="1"/>
      <c r="H980" s="1"/>
      <c r="I980" s="1"/>
    </row>
    <row r="981" ht="14.25" customHeight="1">
      <c r="A981" s="52"/>
      <c r="B981" s="52"/>
      <c r="C981" s="53"/>
      <c r="D981" s="1"/>
      <c r="E981" s="1"/>
      <c r="F981" s="1"/>
      <c r="G981" s="1"/>
      <c r="H981" s="1"/>
      <c r="I981" s="1"/>
    </row>
    <row r="982" ht="14.25" customHeight="1">
      <c r="A982" s="52"/>
      <c r="B982" s="52"/>
      <c r="C982" s="53"/>
      <c r="D982" s="1"/>
      <c r="E982" s="1"/>
      <c r="F982" s="1"/>
      <c r="G982" s="1"/>
      <c r="H982" s="1"/>
      <c r="I982" s="1"/>
    </row>
    <row r="983" ht="14.25" customHeight="1">
      <c r="A983" s="52"/>
      <c r="B983" s="52"/>
      <c r="C983" s="53"/>
      <c r="D983" s="1"/>
      <c r="E983" s="1"/>
      <c r="F983" s="1"/>
      <c r="G983" s="1"/>
      <c r="H983" s="1"/>
      <c r="I983" s="1"/>
    </row>
    <row r="984" ht="14.25" customHeight="1">
      <c r="A984" s="52"/>
      <c r="B984" s="52"/>
      <c r="C984" s="53"/>
      <c r="D984" s="1"/>
      <c r="E984" s="1"/>
      <c r="F984" s="1"/>
      <c r="G984" s="1"/>
      <c r="H984" s="1"/>
      <c r="I984" s="1"/>
    </row>
    <row r="985" ht="14.25" customHeight="1">
      <c r="A985" s="52"/>
      <c r="B985" s="52"/>
      <c r="C985" s="53"/>
      <c r="D985" s="1"/>
      <c r="E985" s="1"/>
      <c r="F985" s="1"/>
      <c r="G985" s="1"/>
      <c r="H985" s="1"/>
      <c r="I985" s="1"/>
    </row>
    <row r="986" ht="14.25" customHeight="1">
      <c r="A986" s="52"/>
      <c r="B986" s="52"/>
      <c r="C986" s="53"/>
      <c r="D986" s="1"/>
      <c r="E986" s="1"/>
      <c r="F986" s="1"/>
      <c r="G986" s="1"/>
      <c r="H986" s="1"/>
      <c r="I986" s="1"/>
    </row>
    <row r="987" ht="14.25" customHeight="1">
      <c r="A987" s="52"/>
      <c r="B987" s="52"/>
      <c r="C987" s="53"/>
      <c r="D987" s="1"/>
      <c r="E987" s="1"/>
      <c r="F987" s="1"/>
      <c r="G987" s="1"/>
      <c r="H987" s="1"/>
      <c r="I987" s="1"/>
    </row>
    <row r="988" ht="14.25" customHeight="1">
      <c r="A988" s="52"/>
      <c r="B988" s="52"/>
      <c r="C988" s="53"/>
      <c r="D988" s="1"/>
      <c r="E988" s="1"/>
      <c r="F988" s="1"/>
      <c r="G988" s="1"/>
      <c r="H988" s="1"/>
      <c r="I988" s="1"/>
    </row>
    <row r="989" ht="14.25" customHeight="1">
      <c r="A989" s="52"/>
      <c r="B989" s="52"/>
      <c r="C989" s="53"/>
      <c r="D989" s="1"/>
      <c r="E989" s="1"/>
      <c r="F989" s="1"/>
      <c r="G989" s="1"/>
      <c r="H989" s="1"/>
      <c r="I989" s="1"/>
    </row>
    <row r="990" ht="14.25" customHeight="1">
      <c r="A990" s="52"/>
      <c r="B990" s="52"/>
      <c r="C990" s="53"/>
      <c r="D990" s="1"/>
      <c r="E990" s="1"/>
      <c r="F990" s="1"/>
      <c r="G990" s="1"/>
      <c r="H990" s="1"/>
      <c r="I990" s="1"/>
    </row>
    <row r="991" ht="14.25" customHeight="1">
      <c r="A991" s="52"/>
      <c r="B991" s="52"/>
      <c r="C991" s="53"/>
      <c r="D991" s="1"/>
      <c r="E991" s="1"/>
      <c r="F991" s="1"/>
      <c r="G991" s="1"/>
      <c r="H991" s="1"/>
      <c r="I991" s="1"/>
    </row>
    <row r="992" ht="14.25" customHeight="1">
      <c r="A992" s="52"/>
      <c r="B992" s="52"/>
      <c r="C992" s="53"/>
      <c r="D992" s="1"/>
      <c r="E992" s="1"/>
      <c r="F992" s="1"/>
      <c r="G992" s="1"/>
      <c r="H992" s="1"/>
      <c r="I992" s="1"/>
    </row>
    <row r="993" ht="14.25" customHeight="1">
      <c r="A993" s="52"/>
      <c r="B993" s="52"/>
      <c r="C993" s="53"/>
      <c r="D993" s="1"/>
      <c r="E993" s="1"/>
      <c r="F993" s="1"/>
      <c r="G993" s="1"/>
      <c r="H993" s="1"/>
      <c r="I993" s="1"/>
    </row>
    <row r="994" ht="14.25" customHeight="1">
      <c r="A994" s="52"/>
      <c r="B994" s="52"/>
      <c r="C994" s="53"/>
      <c r="D994" s="1"/>
      <c r="E994" s="1"/>
      <c r="F994" s="1"/>
      <c r="G994" s="1"/>
      <c r="H994" s="1"/>
      <c r="I994" s="1"/>
    </row>
    <row r="995" ht="14.25" customHeight="1">
      <c r="A995" s="52"/>
      <c r="B995" s="52"/>
      <c r="C995" s="53"/>
      <c r="D995" s="1"/>
      <c r="E995" s="1"/>
      <c r="F995" s="1"/>
      <c r="G995" s="1"/>
      <c r="H995" s="1"/>
      <c r="I995" s="1"/>
    </row>
    <row r="996" ht="14.25" customHeight="1">
      <c r="A996" s="52"/>
      <c r="B996" s="52"/>
      <c r="C996" s="53"/>
      <c r="D996" s="1"/>
      <c r="E996" s="1"/>
      <c r="F996" s="1"/>
      <c r="G996" s="1"/>
      <c r="H996" s="1"/>
      <c r="I996" s="1"/>
    </row>
    <row r="997" ht="14.25" customHeight="1">
      <c r="A997" s="52"/>
      <c r="B997" s="52"/>
      <c r="C997" s="53"/>
      <c r="D997" s="1"/>
      <c r="E997" s="1"/>
      <c r="F997" s="1"/>
      <c r="G997" s="1"/>
      <c r="H997" s="1"/>
      <c r="I997" s="1"/>
    </row>
    <row r="998" ht="14.25" customHeight="1">
      <c r="A998" s="52"/>
      <c r="B998" s="52"/>
      <c r="C998" s="53"/>
      <c r="D998" s="1"/>
      <c r="E998" s="1"/>
      <c r="F998" s="1"/>
      <c r="G998" s="1"/>
      <c r="H998" s="1"/>
      <c r="I998" s="1"/>
    </row>
    <row r="999" ht="14.25" customHeight="1">
      <c r="A999" s="52"/>
      <c r="B999" s="52"/>
      <c r="C999" s="53"/>
      <c r="D999" s="1"/>
      <c r="E999" s="1"/>
      <c r="F999" s="1"/>
      <c r="G999" s="1"/>
      <c r="H999" s="1"/>
      <c r="I999" s="1"/>
    </row>
    <row r="1000" ht="14.25" customHeight="1">
      <c r="A1000" s="52"/>
      <c r="B1000" s="52"/>
      <c r="C1000" s="53"/>
      <c r="D1000" s="1"/>
      <c r="E1000" s="1"/>
      <c r="F1000" s="1"/>
      <c r="G1000" s="1"/>
      <c r="H1000" s="1"/>
      <c r="I1000" s="1"/>
    </row>
  </sheetData>
  <mergeCells count="7">
    <mergeCell ref="A2:I2"/>
    <mergeCell ref="A4:I4"/>
    <mergeCell ref="A5:I5"/>
    <mergeCell ref="A6:I6"/>
    <mergeCell ref="A7:I7"/>
    <mergeCell ref="A8:I8"/>
    <mergeCell ref="A35:I35"/>
  </mergeCells>
  <hyperlinks>
    <hyperlink r:id="rId1" ref="G12"/>
    <hyperlink r:id="rId2" ref="G17"/>
    <hyperlink r:id="rId3" ref="G18"/>
    <hyperlink r:id="rId4" ref="G19"/>
    <hyperlink r:id="rId5" ref="G20"/>
    <hyperlink r:id="rId6" ref="G22"/>
  </hyperlinks>
  <printOptions/>
  <pageMargins bottom="0.75" footer="0.0" header="0.0" left="0.7" right="0.7" top="0.75"/>
  <pageSetup orientation="landscape"/>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11.43"/>
    <col customWidth="1" min="3" max="3" width="19.0"/>
    <col customWidth="1" min="4" max="4" width="19.86"/>
    <col customWidth="1" min="5" max="5" width="18.14"/>
    <col customWidth="1" min="6" max="6" width="19.43"/>
    <col customWidth="1" min="7" max="7" width="11.43"/>
    <col customWidth="1" min="8" max="8" width="10.86"/>
    <col customWidth="1" min="9" max="9" width="20.86"/>
    <col customWidth="1" min="10" max="26" width="10.0"/>
  </cols>
  <sheetData>
    <row r="1" ht="14.25" customHeight="1">
      <c r="A1" s="52"/>
      <c r="B1" s="53"/>
      <c r="C1" s="53"/>
      <c r="D1" s="1"/>
      <c r="E1" s="1"/>
      <c r="F1" s="1"/>
      <c r="G1" s="1"/>
      <c r="H1" s="1"/>
    </row>
    <row r="2" ht="15.0" customHeight="1">
      <c r="A2" s="54" t="s">
        <v>1671</v>
      </c>
      <c r="B2" s="55"/>
      <c r="C2" s="55"/>
      <c r="D2" s="55"/>
      <c r="E2" s="55"/>
      <c r="F2" s="55"/>
      <c r="G2" s="55"/>
      <c r="H2" s="56"/>
      <c r="I2" s="58"/>
      <c r="J2" s="58"/>
      <c r="K2" s="58"/>
      <c r="L2" s="58"/>
      <c r="M2" s="58"/>
      <c r="N2" s="58"/>
      <c r="O2" s="58"/>
      <c r="P2" s="58"/>
      <c r="Q2" s="58"/>
      <c r="R2" s="58"/>
      <c r="S2" s="58"/>
      <c r="T2" s="58"/>
      <c r="U2" s="58"/>
      <c r="V2" s="58"/>
      <c r="W2" s="58"/>
      <c r="X2" s="58"/>
      <c r="Y2" s="58"/>
      <c r="Z2" s="58"/>
    </row>
    <row r="3" ht="15.0" customHeight="1">
      <c r="A3" s="156"/>
      <c r="B3" s="156"/>
      <c r="C3" s="156"/>
      <c r="D3" s="156"/>
      <c r="E3" s="156"/>
      <c r="F3" s="156"/>
      <c r="G3" s="156"/>
      <c r="H3" s="156"/>
      <c r="I3" s="58"/>
      <c r="J3" s="58"/>
      <c r="K3" s="58"/>
      <c r="L3" s="58"/>
      <c r="M3" s="58"/>
      <c r="N3" s="58"/>
      <c r="O3" s="58"/>
      <c r="P3" s="58"/>
      <c r="Q3" s="58"/>
      <c r="R3" s="58"/>
      <c r="S3" s="58"/>
      <c r="T3" s="58"/>
      <c r="U3" s="58"/>
      <c r="V3" s="58"/>
      <c r="W3" s="58"/>
      <c r="X3" s="58"/>
      <c r="Y3" s="58"/>
      <c r="Z3" s="58"/>
    </row>
    <row r="4" ht="15.0" customHeight="1">
      <c r="A4" s="59" t="s">
        <v>1672</v>
      </c>
      <c r="B4" s="55"/>
      <c r="C4" s="55"/>
      <c r="D4" s="55"/>
      <c r="E4" s="55"/>
      <c r="F4" s="55"/>
      <c r="G4" s="55"/>
      <c r="H4" s="56"/>
      <c r="I4" s="58"/>
      <c r="J4" s="58"/>
      <c r="K4" s="58"/>
      <c r="L4" s="58"/>
      <c r="M4" s="58"/>
      <c r="N4" s="58"/>
      <c r="O4" s="58"/>
      <c r="P4" s="58"/>
      <c r="Q4" s="58"/>
      <c r="R4" s="58"/>
      <c r="S4" s="58"/>
      <c r="T4" s="58"/>
      <c r="U4" s="58"/>
      <c r="V4" s="58"/>
      <c r="W4" s="58"/>
      <c r="X4" s="58"/>
      <c r="Y4" s="58"/>
      <c r="Z4" s="58"/>
    </row>
    <row r="5" ht="15.0" customHeight="1">
      <c r="A5" s="59" t="s">
        <v>1673</v>
      </c>
      <c r="B5" s="55"/>
      <c r="C5" s="55"/>
      <c r="D5" s="55"/>
      <c r="E5" s="55"/>
      <c r="F5" s="55"/>
      <c r="G5" s="55"/>
      <c r="H5" s="56"/>
      <c r="I5" s="58"/>
      <c r="J5" s="58"/>
      <c r="K5" s="58"/>
      <c r="L5" s="58"/>
      <c r="M5" s="58"/>
      <c r="N5" s="58"/>
      <c r="O5" s="58"/>
      <c r="P5" s="58"/>
      <c r="Q5" s="58"/>
      <c r="R5" s="58"/>
      <c r="S5" s="58"/>
      <c r="T5" s="58"/>
      <c r="U5" s="58"/>
      <c r="V5" s="58"/>
      <c r="W5" s="58"/>
      <c r="X5" s="58"/>
      <c r="Y5" s="58"/>
      <c r="Z5" s="58"/>
    </row>
    <row r="6" ht="69.0" customHeight="1">
      <c r="A6" s="59" t="s">
        <v>1674</v>
      </c>
      <c r="B6" s="55"/>
      <c r="C6" s="55"/>
      <c r="D6" s="55"/>
      <c r="E6" s="55"/>
      <c r="F6" s="55"/>
      <c r="G6" s="55"/>
      <c r="H6" s="56"/>
      <c r="I6" s="58"/>
      <c r="J6" s="58"/>
      <c r="K6" s="58"/>
      <c r="L6" s="58"/>
      <c r="M6" s="58"/>
      <c r="N6" s="58"/>
      <c r="O6" s="58"/>
      <c r="P6" s="58"/>
      <c r="Q6" s="58"/>
      <c r="R6" s="58"/>
      <c r="S6" s="58"/>
      <c r="T6" s="58"/>
      <c r="U6" s="58"/>
      <c r="V6" s="58"/>
      <c r="W6" s="58"/>
      <c r="X6" s="58"/>
      <c r="Y6" s="58"/>
      <c r="Z6" s="58"/>
    </row>
    <row r="7" ht="14.25" customHeight="1">
      <c r="A7" s="61"/>
      <c r="B7" s="62"/>
      <c r="C7" s="62"/>
      <c r="D7" s="61"/>
      <c r="E7" s="61"/>
      <c r="F7" s="61"/>
      <c r="G7" s="61"/>
      <c r="H7" s="61"/>
      <c r="I7" s="58"/>
      <c r="J7" s="58"/>
      <c r="K7" s="58"/>
      <c r="L7" s="58"/>
      <c r="M7" s="58"/>
      <c r="N7" s="58"/>
      <c r="O7" s="58"/>
      <c r="P7" s="58"/>
      <c r="Q7" s="58"/>
      <c r="R7" s="58"/>
      <c r="S7" s="58"/>
      <c r="T7" s="58"/>
      <c r="U7" s="58"/>
      <c r="V7" s="58"/>
      <c r="W7" s="58"/>
      <c r="X7" s="58"/>
      <c r="Y7" s="58"/>
      <c r="Z7" s="58"/>
    </row>
    <row r="8" ht="54.75" customHeight="1">
      <c r="A8" s="203" t="s">
        <v>1675</v>
      </c>
      <c r="B8" s="309" t="s">
        <v>196</v>
      </c>
      <c r="C8" s="119" t="s">
        <v>1676</v>
      </c>
      <c r="D8" s="310" t="s">
        <v>1677</v>
      </c>
      <c r="E8" s="309" t="s">
        <v>1678</v>
      </c>
      <c r="F8" s="310" t="s">
        <v>1679</v>
      </c>
      <c r="G8" s="203" t="s">
        <v>208</v>
      </c>
      <c r="H8" s="203" t="s">
        <v>209</v>
      </c>
      <c r="I8" s="65" t="s">
        <v>210</v>
      </c>
      <c r="J8" s="58"/>
      <c r="K8" s="58"/>
      <c r="L8" s="58"/>
      <c r="M8" s="58"/>
      <c r="N8" s="58"/>
      <c r="O8" s="58"/>
      <c r="P8" s="58"/>
      <c r="Q8" s="58"/>
      <c r="R8" s="58"/>
      <c r="S8" s="58"/>
      <c r="T8" s="58"/>
      <c r="U8" s="58"/>
      <c r="V8" s="58"/>
      <c r="W8" s="58"/>
      <c r="X8" s="58"/>
      <c r="Y8" s="58"/>
      <c r="Z8" s="58"/>
    </row>
    <row r="9" ht="138.0" customHeight="1">
      <c r="A9" s="101" t="s">
        <v>1680</v>
      </c>
      <c r="B9" s="176" t="s">
        <v>38</v>
      </c>
      <c r="C9" s="75" t="s">
        <v>1681</v>
      </c>
      <c r="D9" s="75" t="s">
        <v>1682</v>
      </c>
      <c r="E9" s="362" t="s">
        <v>1683</v>
      </c>
      <c r="F9" s="75" t="s">
        <v>1684</v>
      </c>
      <c r="G9" s="76">
        <v>15.0</v>
      </c>
      <c r="H9" s="77">
        <v>15.0</v>
      </c>
      <c r="I9" s="77" t="s">
        <v>37</v>
      </c>
      <c r="J9" s="58"/>
      <c r="K9" s="58"/>
      <c r="L9" s="58"/>
      <c r="M9" s="58"/>
      <c r="N9" s="58"/>
      <c r="O9" s="58"/>
      <c r="P9" s="58"/>
      <c r="Q9" s="58"/>
      <c r="R9" s="58"/>
      <c r="S9" s="58"/>
      <c r="T9" s="58"/>
      <c r="U9" s="58"/>
      <c r="V9" s="58"/>
      <c r="W9" s="58"/>
      <c r="X9" s="58"/>
      <c r="Y9" s="58"/>
      <c r="Z9" s="58"/>
    </row>
    <row r="10" ht="138.0" customHeight="1">
      <c r="A10" s="101" t="s">
        <v>1680</v>
      </c>
      <c r="B10" s="176" t="s">
        <v>38</v>
      </c>
      <c r="C10" s="75" t="s">
        <v>1685</v>
      </c>
      <c r="D10" s="75" t="s">
        <v>1686</v>
      </c>
      <c r="E10" s="362" t="s">
        <v>1687</v>
      </c>
      <c r="F10" s="75"/>
      <c r="G10" s="76">
        <v>15.0</v>
      </c>
      <c r="H10" s="77">
        <v>15.0</v>
      </c>
      <c r="I10" s="77" t="s">
        <v>37</v>
      </c>
      <c r="J10" s="58"/>
      <c r="K10" s="58"/>
      <c r="L10" s="58"/>
      <c r="M10" s="58"/>
      <c r="N10" s="58"/>
      <c r="O10" s="58"/>
      <c r="P10" s="58"/>
      <c r="Q10" s="58"/>
      <c r="R10" s="58"/>
      <c r="S10" s="58"/>
      <c r="T10" s="58"/>
      <c r="U10" s="58"/>
      <c r="V10" s="58"/>
      <c r="W10" s="58"/>
      <c r="X10" s="58"/>
      <c r="Y10" s="58"/>
      <c r="Z10" s="58"/>
    </row>
    <row r="11" ht="138.0" customHeight="1">
      <c r="A11" s="101" t="s">
        <v>1680</v>
      </c>
      <c r="B11" s="176" t="s">
        <v>38</v>
      </c>
      <c r="C11" s="75" t="s">
        <v>1688</v>
      </c>
      <c r="D11" s="75" t="s">
        <v>1686</v>
      </c>
      <c r="E11" s="362" t="s">
        <v>1687</v>
      </c>
      <c r="F11" s="75"/>
      <c r="G11" s="76">
        <v>15.0</v>
      </c>
      <c r="H11" s="77">
        <v>15.0</v>
      </c>
      <c r="I11" s="77" t="s">
        <v>37</v>
      </c>
      <c r="J11" s="58"/>
      <c r="K11" s="58"/>
      <c r="L11" s="58"/>
      <c r="M11" s="58"/>
      <c r="N11" s="58"/>
      <c r="O11" s="58"/>
      <c r="P11" s="58"/>
      <c r="Q11" s="58"/>
      <c r="R11" s="58"/>
      <c r="S11" s="58"/>
      <c r="T11" s="58"/>
      <c r="U11" s="58"/>
      <c r="V11" s="58"/>
      <c r="W11" s="58"/>
      <c r="X11" s="58"/>
      <c r="Y11" s="58"/>
      <c r="Z11" s="58"/>
    </row>
    <row r="12" ht="110.25" customHeight="1">
      <c r="A12" s="101" t="s">
        <v>1680</v>
      </c>
      <c r="B12" s="176" t="s">
        <v>38</v>
      </c>
      <c r="C12" s="75" t="s">
        <v>1689</v>
      </c>
      <c r="D12" s="75" t="s">
        <v>1690</v>
      </c>
      <c r="E12" s="362" t="s">
        <v>1691</v>
      </c>
      <c r="F12" s="75" t="s">
        <v>1684</v>
      </c>
      <c r="G12" s="76">
        <v>50.0</v>
      </c>
      <c r="H12" s="77">
        <v>50.0</v>
      </c>
      <c r="I12" s="77" t="s">
        <v>37</v>
      </c>
      <c r="J12" s="58"/>
      <c r="K12" s="58"/>
      <c r="L12" s="58"/>
      <c r="M12" s="58"/>
      <c r="N12" s="58"/>
      <c r="O12" s="58"/>
      <c r="P12" s="58"/>
      <c r="Q12" s="58"/>
      <c r="R12" s="58"/>
      <c r="S12" s="58"/>
      <c r="T12" s="58"/>
      <c r="U12" s="58"/>
      <c r="V12" s="58"/>
      <c r="W12" s="58"/>
      <c r="X12" s="58"/>
      <c r="Y12" s="58"/>
      <c r="Z12" s="58"/>
    </row>
    <row r="13" ht="192.75" customHeight="1">
      <c r="A13" s="101" t="s">
        <v>1680</v>
      </c>
      <c r="B13" s="176" t="s">
        <v>38</v>
      </c>
      <c r="C13" s="75" t="s">
        <v>1685</v>
      </c>
      <c r="D13" s="75" t="s">
        <v>1692</v>
      </c>
      <c r="E13" s="362" t="s">
        <v>1693</v>
      </c>
      <c r="F13" s="75" t="s">
        <v>1694</v>
      </c>
      <c r="G13" s="76">
        <v>50.0</v>
      </c>
      <c r="H13" s="77">
        <v>50.0</v>
      </c>
      <c r="I13" s="77" t="s">
        <v>37</v>
      </c>
      <c r="J13" s="58"/>
      <c r="K13" s="58"/>
      <c r="L13" s="58"/>
      <c r="M13" s="58"/>
      <c r="N13" s="58"/>
      <c r="O13" s="58"/>
      <c r="P13" s="58"/>
      <c r="Q13" s="58"/>
      <c r="R13" s="58"/>
      <c r="S13" s="58"/>
      <c r="T13" s="58"/>
      <c r="U13" s="58"/>
      <c r="V13" s="58"/>
      <c r="W13" s="58"/>
      <c r="X13" s="58"/>
      <c r="Y13" s="58"/>
      <c r="Z13" s="58"/>
    </row>
    <row r="14" ht="123.75" customHeight="1">
      <c r="A14" s="101" t="s">
        <v>1680</v>
      </c>
      <c r="B14" s="176" t="s">
        <v>38</v>
      </c>
      <c r="C14" s="75" t="s">
        <v>1695</v>
      </c>
      <c r="D14" s="75" t="s">
        <v>1696</v>
      </c>
      <c r="E14" s="362" t="s">
        <v>1697</v>
      </c>
      <c r="F14" s="75" t="s">
        <v>1684</v>
      </c>
      <c r="G14" s="76">
        <v>50.0</v>
      </c>
      <c r="H14" s="77">
        <v>50.0</v>
      </c>
      <c r="I14" s="77" t="s">
        <v>37</v>
      </c>
      <c r="J14" s="58"/>
      <c r="K14" s="58"/>
      <c r="L14" s="58"/>
      <c r="M14" s="58"/>
      <c r="N14" s="58"/>
      <c r="O14" s="58"/>
      <c r="P14" s="58"/>
      <c r="Q14" s="58"/>
      <c r="R14" s="58"/>
      <c r="S14" s="58"/>
      <c r="T14" s="58"/>
      <c r="U14" s="58"/>
      <c r="V14" s="58"/>
      <c r="W14" s="58"/>
      <c r="X14" s="58"/>
      <c r="Y14" s="58"/>
      <c r="Z14" s="58"/>
    </row>
    <row r="15" ht="96.0" customHeight="1">
      <c r="A15" s="101" t="s">
        <v>1680</v>
      </c>
      <c r="B15" s="176" t="s">
        <v>38</v>
      </c>
      <c r="C15" s="75" t="s">
        <v>1698</v>
      </c>
      <c r="D15" s="75" t="s">
        <v>1699</v>
      </c>
      <c r="E15" s="362" t="s">
        <v>515</v>
      </c>
      <c r="F15" s="75" t="s">
        <v>1684</v>
      </c>
      <c r="G15" s="76">
        <v>50.0</v>
      </c>
      <c r="H15" s="77">
        <v>50.0</v>
      </c>
      <c r="I15" s="77" t="s">
        <v>37</v>
      </c>
      <c r="J15" s="58"/>
      <c r="K15" s="58"/>
      <c r="L15" s="58"/>
      <c r="M15" s="58"/>
      <c r="N15" s="58"/>
      <c r="O15" s="58"/>
      <c r="P15" s="58"/>
      <c r="Q15" s="58"/>
      <c r="R15" s="58"/>
      <c r="S15" s="58"/>
      <c r="T15" s="58"/>
      <c r="U15" s="58"/>
      <c r="V15" s="58"/>
      <c r="W15" s="58"/>
      <c r="X15" s="58"/>
      <c r="Y15" s="58"/>
      <c r="Z15" s="58"/>
    </row>
    <row r="16" ht="96.0" customHeight="1">
      <c r="A16" s="101" t="s">
        <v>1680</v>
      </c>
      <c r="B16" s="176" t="s">
        <v>38</v>
      </c>
      <c r="C16" s="75" t="s">
        <v>1700</v>
      </c>
      <c r="D16" s="75" t="s">
        <v>1699</v>
      </c>
      <c r="E16" s="362" t="s">
        <v>515</v>
      </c>
      <c r="F16" s="75" t="s">
        <v>1684</v>
      </c>
      <c r="G16" s="76">
        <v>50.0</v>
      </c>
      <c r="H16" s="77">
        <v>50.0</v>
      </c>
      <c r="I16" s="77" t="s">
        <v>37</v>
      </c>
      <c r="J16" s="58"/>
      <c r="K16" s="58"/>
      <c r="L16" s="58"/>
      <c r="M16" s="58"/>
      <c r="N16" s="58"/>
      <c r="O16" s="58"/>
      <c r="P16" s="58"/>
      <c r="Q16" s="58"/>
      <c r="R16" s="58"/>
      <c r="S16" s="58"/>
      <c r="T16" s="58"/>
      <c r="U16" s="58"/>
      <c r="V16" s="58"/>
      <c r="W16" s="58"/>
      <c r="X16" s="58"/>
      <c r="Y16" s="58"/>
      <c r="Z16" s="58"/>
    </row>
    <row r="17" ht="96.0" customHeight="1">
      <c r="A17" s="101" t="s">
        <v>1680</v>
      </c>
      <c r="B17" s="176" t="s">
        <v>38</v>
      </c>
      <c r="C17" s="75" t="s">
        <v>1701</v>
      </c>
      <c r="D17" s="75" t="s">
        <v>1699</v>
      </c>
      <c r="E17" s="362" t="s">
        <v>515</v>
      </c>
      <c r="F17" s="75" t="s">
        <v>1684</v>
      </c>
      <c r="G17" s="76">
        <v>50.0</v>
      </c>
      <c r="H17" s="77">
        <v>50.0</v>
      </c>
      <c r="I17" s="77" t="s">
        <v>37</v>
      </c>
      <c r="J17" s="58"/>
      <c r="K17" s="58"/>
      <c r="L17" s="58"/>
      <c r="M17" s="58"/>
      <c r="N17" s="58"/>
      <c r="O17" s="58"/>
      <c r="P17" s="58"/>
      <c r="Q17" s="58"/>
      <c r="R17" s="58"/>
      <c r="S17" s="58"/>
      <c r="T17" s="58"/>
      <c r="U17" s="58"/>
      <c r="V17" s="58"/>
      <c r="W17" s="58"/>
      <c r="X17" s="58"/>
      <c r="Y17" s="58"/>
      <c r="Z17" s="58"/>
    </row>
    <row r="18" ht="96.0" customHeight="1">
      <c r="A18" s="101" t="s">
        <v>1680</v>
      </c>
      <c r="B18" s="176" t="s">
        <v>38</v>
      </c>
      <c r="C18" s="75" t="s">
        <v>1702</v>
      </c>
      <c r="D18" s="75" t="s">
        <v>1699</v>
      </c>
      <c r="E18" s="362" t="s">
        <v>515</v>
      </c>
      <c r="F18" s="75" t="s">
        <v>1684</v>
      </c>
      <c r="G18" s="76">
        <v>50.0</v>
      </c>
      <c r="H18" s="77">
        <v>50.0</v>
      </c>
      <c r="I18" s="77" t="s">
        <v>37</v>
      </c>
      <c r="J18" s="58"/>
      <c r="K18" s="58"/>
      <c r="L18" s="58"/>
      <c r="M18" s="58"/>
      <c r="N18" s="58"/>
      <c r="O18" s="58"/>
      <c r="P18" s="58"/>
      <c r="Q18" s="58"/>
      <c r="R18" s="58"/>
      <c r="S18" s="58"/>
      <c r="T18" s="58"/>
      <c r="U18" s="58"/>
      <c r="V18" s="58"/>
      <c r="W18" s="58"/>
      <c r="X18" s="58"/>
      <c r="Y18" s="58"/>
      <c r="Z18" s="58"/>
    </row>
    <row r="19" ht="123.75" customHeight="1">
      <c r="A19" s="101" t="s">
        <v>1680</v>
      </c>
      <c r="B19" s="176" t="s">
        <v>38</v>
      </c>
      <c r="C19" s="75" t="s">
        <v>1703</v>
      </c>
      <c r="D19" s="75" t="s">
        <v>1699</v>
      </c>
      <c r="E19" s="362" t="s">
        <v>515</v>
      </c>
      <c r="F19" s="75" t="s">
        <v>1684</v>
      </c>
      <c r="G19" s="76">
        <v>50.0</v>
      </c>
      <c r="H19" s="77">
        <v>50.0</v>
      </c>
      <c r="I19" s="77" t="s">
        <v>37</v>
      </c>
      <c r="J19" s="58"/>
      <c r="K19" s="58"/>
      <c r="L19" s="58"/>
      <c r="M19" s="58"/>
      <c r="N19" s="58"/>
      <c r="O19" s="58"/>
      <c r="P19" s="58"/>
      <c r="Q19" s="58"/>
      <c r="R19" s="58"/>
      <c r="S19" s="58"/>
      <c r="T19" s="58"/>
      <c r="U19" s="58"/>
      <c r="V19" s="58"/>
      <c r="W19" s="58"/>
      <c r="X19" s="58"/>
      <c r="Y19" s="58"/>
      <c r="Z19" s="58"/>
    </row>
    <row r="20" ht="234.0" customHeight="1">
      <c r="A20" s="101" t="s">
        <v>1680</v>
      </c>
      <c r="B20" s="176" t="s">
        <v>38</v>
      </c>
      <c r="C20" s="75" t="s">
        <v>1704</v>
      </c>
      <c r="D20" s="75" t="s">
        <v>1699</v>
      </c>
      <c r="E20" s="362" t="s">
        <v>515</v>
      </c>
      <c r="F20" s="75" t="s">
        <v>1684</v>
      </c>
      <c r="G20" s="76">
        <v>50.0</v>
      </c>
      <c r="H20" s="77">
        <v>50.0</v>
      </c>
      <c r="I20" s="77" t="s">
        <v>37</v>
      </c>
      <c r="J20" s="58"/>
      <c r="K20" s="58"/>
      <c r="L20" s="58"/>
      <c r="M20" s="58"/>
      <c r="N20" s="58"/>
      <c r="O20" s="58"/>
      <c r="P20" s="58"/>
      <c r="Q20" s="58"/>
      <c r="R20" s="58"/>
      <c r="S20" s="58"/>
      <c r="T20" s="58"/>
      <c r="U20" s="58"/>
      <c r="V20" s="58"/>
      <c r="W20" s="58"/>
      <c r="X20" s="58"/>
      <c r="Y20" s="58"/>
      <c r="Z20" s="58"/>
    </row>
    <row r="21" ht="110.25" customHeight="1">
      <c r="A21" s="101" t="s">
        <v>1680</v>
      </c>
      <c r="B21" s="176" t="s">
        <v>38</v>
      </c>
      <c r="C21" s="75" t="s">
        <v>1705</v>
      </c>
      <c r="D21" s="75" t="s">
        <v>1706</v>
      </c>
      <c r="E21" s="362" t="s">
        <v>515</v>
      </c>
      <c r="F21" s="75" t="s">
        <v>1684</v>
      </c>
      <c r="G21" s="76">
        <v>50.0</v>
      </c>
      <c r="H21" s="77">
        <v>50.0</v>
      </c>
      <c r="I21" s="77" t="s">
        <v>37</v>
      </c>
      <c r="J21" s="58"/>
      <c r="K21" s="58"/>
      <c r="L21" s="58"/>
      <c r="M21" s="58"/>
      <c r="N21" s="58"/>
      <c r="O21" s="58"/>
      <c r="P21" s="58"/>
      <c r="Q21" s="58"/>
      <c r="R21" s="58"/>
      <c r="S21" s="58"/>
      <c r="T21" s="58"/>
      <c r="U21" s="58"/>
      <c r="V21" s="58"/>
      <c r="W21" s="58"/>
      <c r="X21" s="58"/>
      <c r="Y21" s="58"/>
      <c r="Z21" s="58"/>
    </row>
    <row r="22" ht="96.0" customHeight="1">
      <c r="A22" s="101" t="s">
        <v>1680</v>
      </c>
      <c r="B22" s="176" t="s">
        <v>38</v>
      </c>
      <c r="C22" s="75" t="s">
        <v>1707</v>
      </c>
      <c r="D22" s="75" t="s">
        <v>1708</v>
      </c>
      <c r="E22" s="362" t="s">
        <v>1709</v>
      </c>
      <c r="F22" s="75" t="s">
        <v>1710</v>
      </c>
      <c r="G22" s="76">
        <v>50.0</v>
      </c>
      <c r="H22" s="77">
        <v>50.0</v>
      </c>
      <c r="I22" s="77" t="s">
        <v>37</v>
      </c>
      <c r="J22" s="58"/>
      <c r="K22" s="58"/>
      <c r="L22" s="58"/>
      <c r="M22" s="58"/>
      <c r="N22" s="58"/>
      <c r="O22" s="58"/>
      <c r="P22" s="58"/>
      <c r="Q22" s="58"/>
      <c r="R22" s="58"/>
      <c r="S22" s="58"/>
      <c r="T22" s="58"/>
      <c r="U22" s="58"/>
      <c r="V22" s="58"/>
      <c r="W22" s="58"/>
      <c r="X22" s="58"/>
      <c r="Y22" s="58"/>
      <c r="Z22" s="58"/>
    </row>
    <row r="23" ht="192.75" customHeight="1">
      <c r="A23" s="101" t="s">
        <v>719</v>
      </c>
      <c r="B23" s="176" t="s">
        <v>38</v>
      </c>
      <c r="C23" s="75" t="s">
        <v>1711</v>
      </c>
      <c r="D23" s="75" t="s">
        <v>1712</v>
      </c>
      <c r="E23" s="75" t="s">
        <v>1713</v>
      </c>
      <c r="F23" s="75" t="s">
        <v>1714</v>
      </c>
      <c r="G23" s="76">
        <v>50.0</v>
      </c>
      <c r="H23" s="77">
        <v>50.0</v>
      </c>
      <c r="I23" s="77" t="s">
        <v>49</v>
      </c>
      <c r="J23" s="58"/>
      <c r="K23" s="58"/>
      <c r="L23" s="58"/>
      <c r="M23" s="58"/>
      <c r="N23" s="58"/>
      <c r="O23" s="58"/>
      <c r="P23" s="58"/>
      <c r="Q23" s="58"/>
      <c r="R23" s="58"/>
      <c r="S23" s="58"/>
      <c r="T23" s="58"/>
      <c r="U23" s="58"/>
      <c r="V23" s="58"/>
      <c r="W23" s="58"/>
      <c r="X23" s="58"/>
      <c r="Y23" s="58"/>
      <c r="Z23" s="58"/>
    </row>
    <row r="24" ht="151.5" customHeight="1">
      <c r="A24" s="101" t="s">
        <v>444</v>
      </c>
      <c r="B24" s="176" t="s">
        <v>38</v>
      </c>
      <c r="C24" s="374" t="s">
        <v>1715</v>
      </c>
      <c r="D24" s="101" t="s">
        <v>1716</v>
      </c>
      <c r="E24" s="75" t="s">
        <v>1717</v>
      </c>
      <c r="F24" s="75"/>
      <c r="G24" s="76">
        <v>15.0</v>
      </c>
      <c r="H24" s="77">
        <v>15.0</v>
      </c>
      <c r="I24" s="77" t="s">
        <v>50</v>
      </c>
      <c r="J24" s="58"/>
      <c r="K24" s="58"/>
      <c r="L24" s="58"/>
      <c r="M24" s="58"/>
      <c r="N24" s="58"/>
      <c r="O24" s="58"/>
      <c r="P24" s="58"/>
      <c r="Q24" s="58"/>
      <c r="R24" s="58"/>
      <c r="S24" s="58"/>
      <c r="T24" s="58"/>
      <c r="U24" s="58"/>
      <c r="V24" s="58"/>
      <c r="W24" s="58"/>
      <c r="X24" s="58"/>
      <c r="Y24" s="58"/>
      <c r="Z24" s="58"/>
    </row>
    <row r="25" ht="69.0" customHeight="1">
      <c r="A25" s="101" t="s">
        <v>460</v>
      </c>
      <c r="B25" s="176" t="s">
        <v>38</v>
      </c>
      <c r="C25" s="75" t="s">
        <v>1718</v>
      </c>
      <c r="D25" s="75" t="s">
        <v>1719</v>
      </c>
      <c r="E25" s="362"/>
      <c r="F25" s="362" t="s">
        <v>1720</v>
      </c>
      <c r="G25" s="76">
        <v>15.0</v>
      </c>
      <c r="H25" s="77">
        <v>15.0</v>
      </c>
      <c r="I25" s="77" t="s">
        <v>1721</v>
      </c>
      <c r="J25" s="58"/>
      <c r="K25" s="58"/>
      <c r="L25" s="58"/>
      <c r="M25" s="58"/>
      <c r="N25" s="58"/>
      <c r="O25" s="58"/>
      <c r="P25" s="58"/>
      <c r="Q25" s="58"/>
      <c r="R25" s="58"/>
      <c r="S25" s="58"/>
      <c r="T25" s="58"/>
      <c r="U25" s="58"/>
      <c r="V25" s="58"/>
      <c r="W25" s="58"/>
      <c r="X25" s="58"/>
      <c r="Y25" s="58"/>
      <c r="Z25" s="58"/>
    </row>
    <row r="26" ht="123.75" customHeight="1">
      <c r="A26" s="101" t="s">
        <v>1722</v>
      </c>
      <c r="B26" s="176" t="s">
        <v>38</v>
      </c>
      <c r="C26" s="75" t="s">
        <v>1723</v>
      </c>
      <c r="D26" s="75" t="s">
        <v>1724</v>
      </c>
      <c r="E26" s="362" t="s">
        <v>1725</v>
      </c>
      <c r="F26" s="362" t="s">
        <v>1726</v>
      </c>
      <c r="G26" s="76">
        <v>25.0</v>
      </c>
      <c r="H26" s="77">
        <v>25.0</v>
      </c>
      <c r="I26" s="77" t="s">
        <v>1721</v>
      </c>
      <c r="J26" s="58"/>
      <c r="K26" s="58"/>
      <c r="L26" s="58"/>
      <c r="M26" s="58"/>
      <c r="N26" s="58"/>
      <c r="O26" s="58"/>
      <c r="P26" s="58"/>
      <c r="Q26" s="58"/>
      <c r="R26" s="58"/>
      <c r="S26" s="58"/>
      <c r="T26" s="58"/>
      <c r="U26" s="58"/>
      <c r="V26" s="58"/>
      <c r="W26" s="58"/>
      <c r="X26" s="58"/>
      <c r="Y26" s="58"/>
      <c r="Z26" s="58"/>
    </row>
    <row r="27" ht="96.0" customHeight="1">
      <c r="A27" s="101" t="s">
        <v>460</v>
      </c>
      <c r="B27" s="176" t="s">
        <v>38</v>
      </c>
      <c r="C27" s="75" t="s">
        <v>1727</v>
      </c>
      <c r="D27" s="101" t="s">
        <v>1728</v>
      </c>
      <c r="E27" s="362" t="s">
        <v>1729</v>
      </c>
      <c r="F27" s="362" t="s">
        <v>1730</v>
      </c>
      <c r="G27" s="76">
        <v>50.0</v>
      </c>
      <c r="H27" s="77">
        <v>50.0</v>
      </c>
      <c r="I27" s="77" t="s">
        <v>1721</v>
      </c>
      <c r="J27" s="58"/>
      <c r="K27" s="58"/>
      <c r="L27" s="58"/>
      <c r="M27" s="58"/>
      <c r="N27" s="58"/>
      <c r="O27" s="58"/>
      <c r="P27" s="58"/>
      <c r="Q27" s="58"/>
      <c r="R27" s="58"/>
      <c r="S27" s="58"/>
      <c r="T27" s="58"/>
      <c r="U27" s="58"/>
      <c r="V27" s="58"/>
      <c r="W27" s="58"/>
      <c r="X27" s="58"/>
      <c r="Y27" s="58"/>
      <c r="Z27" s="58"/>
    </row>
    <row r="28" ht="110.25" customHeight="1">
      <c r="A28" s="101" t="s">
        <v>460</v>
      </c>
      <c r="B28" s="176" t="s">
        <v>38</v>
      </c>
      <c r="C28" s="75" t="s">
        <v>1731</v>
      </c>
      <c r="D28" s="75" t="s">
        <v>1732</v>
      </c>
      <c r="E28" s="75" t="s">
        <v>1733</v>
      </c>
      <c r="F28" s="75" t="s">
        <v>1734</v>
      </c>
      <c r="G28" s="76">
        <v>15.0</v>
      </c>
      <c r="H28" s="77">
        <v>15.0</v>
      </c>
      <c r="I28" s="77" t="s">
        <v>1721</v>
      </c>
      <c r="J28" s="58"/>
      <c r="K28" s="58"/>
      <c r="L28" s="58"/>
      <c r="M28" s="58"/>
      <c r="N28" s="58"/>
      <c r="O28" s="58"/>
      <c r="P28" s="58"/>
      <c r="Q28" s="58"/>
      <c r="R28" s="58"/>
      <c r="S28" s="58"/>
      <c r="T28" s="58"/>
      <c r="U28" s="58"/>
      <c r="V28" s="58"/>
      <c r="W28" s="58"/>
      <c r="X28" s="58"/>
      <c r="Y28" s="58"/>
      <c r="Z28" s="58"/>
    </row>
    <row r="29" ht="138.0" customHeight="1">
      <c r="A29" s="101" t="s">
        <v>460</v>
      </c>
      <c r="B29" s="176" t="s">
        <v>38</v>
      </c>
      <c r="C29" s="75" t="s">
        <v>1735</v>
      </c>
      <c r="D29" s="75" t="s">
        <v>1736</v>
      </c>
      <c r="E29" s="362" t="s">
        <v>1737</v>
      </c>
      <c r="F29" s="75" t="s">
        <v>1738</v>
      </c>
      <c r="G29" s="76">
        <v>15.0</v>
      </c>
      <c r="H29" s="77">
        <v>15.0</v>
      </c>
      <c r="I29" s="77" t="s">
        <v>1721</v>
      </c>
      <c r="J29" s="58"/>
      <c r="K29" s="58"/>
      <c r="L29" s="58"/>
      <c r="M29" s="58"/>
      <c r="N29" s="58"/>
      <c r="O29" s="58"/>
      <c r="P29" s="58"/>
      <c r="Q29" s="58"/>
      <c r="R29" s="58"/>
      <c r="S29" s="58"/>
      <c r="T29" s="58"/>
      <c r="U29" s="58"/>
      <c r="V29" s="58"/>
      <c r="W29" s="58"/>
      <c r="X29" s="58"/>
      <c r="Y29" s="58"/>
      <c r="Z29" s="58"/>
    </row>
    <row r="30" ht="110.25" customHeight="1">
      <c r="A30" s="101" t="s">
        <v>1739</v>
      </c>
      <c r="B30" s="176" t="s">
        <v>38</v>
      </c>
      <c r="C30" s="75" t="s">
        <v>1740</v>
      </c>
      <c r="D30" s="75" t="s">
        <v>1741</v>
      </c>
      <c r="E30" s="362" t="s">
        <v>1742</v>
      </c>
      <c r="F30" s="75" t="s">
        <v>1743</v>
      </c>
      <c r="G30" s="76">
        <v>15.0</v>
      </c>
      <c r="H30" s="77">
        <v>7.5</v>
      </c>
      <c r="I30" s="77" t="s">
        <v>1721</v>
      </c>
      <c r="J30" s="58"/>
      <c r="K30" s="58"/>
      <c r="L30" s="58"/>
      <c r="M30" s="58"/>
      <c r="N30" s="58"/>
      <c r="O30" s="58"/>
      <c r="P30" s="58"/>
      <c r="Q30" s="58"/>
      <c r="R30" s="58"/>
      <c r="S30" s="58"/>
      <c r="T30" s="58"/>
      <c r="U30" s="58"/>
      <c r="V30" s="58"/>
      <c r="W30" s="58"/>
      <c r="X30" s="58"/>
      <c r="Y30" s="58"/>
      <c r="Z30" s="58"/>
    </row>
    <row r="31" ht="123.75" customHeight="1">
      <c r="A31" s="101" t="s">
        <v>1744</v>
      </c>
      <c r="B31" s="53" t="s">
        <v>38</v>
      </c>
      <c r="C31" s="53" t="s">
        <v>1745</v>
      </c>
      <c r="D31" s="75" t="s">
        <v>1746</v>
      </c>
      <c r="E31" s="362" t="s">
        <v>1747</v>
      </c>
      <c r="F31" s="362" t="s">
        <v>1748</v>
      </c>
      <c r="G31" s="76">
        <v>25.0</v>
      </c>
      <c r="H31" s="375">
        <v>25.0</v>
      </c>
      <c r="I31" s="77" t="s">
        <v>1721</v>
      </c>
      <c r="J31" s="58"/>
      <c r="K31" s="58"/>
      <c r="L31" s="58"/>
      <c r="M31" s="58"/>
      <c r="N31" s="58"/>
      <c r="O31" s="58"/>
      <c r="P31" s="58"/>
      <c r="Q31" s="58"/>
      <c r="R31" s="58"/>
      <c r="S31" s="58"/>
      <c r="T31" s="58"/>
      <c r="U31" s="58"/>
      <c r="V31" s="58"/>
      <c r="W31" s="58"/>
      <c r="X31" s="58"/>
      <c r="Y31" s="58"/>
      <c r="Z31" s="58"/>
    </row>
    <row r="32" ht="110.25" customHeight="1">
      <c r="A32" s="101" t="s">
        <v>1744</v>
      </c>
      <c r="B32" s="53" t="s">
        <v>38</v>
      </c>
      <c r="C32" s="53" t="s">
        <v>1749</v>
      </c>
      <c r="D32" s="75" t="s">
        <v>1750</v>
      </c>
      <c r="E32" s="75" t="s">
        <v>1751</v>
      </c>
      <c r="F32" s="362" t="s">
        <v>1752</v>
      </c>
      <c r="G32" s="76">
        <v>7.5</v>
      </c>
      <c r="H32" s="375">
        <v>7.5</v>
      </c>
      <c r="I32" s="77" t="s">
        <v>1721</v>
      </c>
      <c r="J32" s="58"/>
      <c r="K32" s="58"/>
      <c r="L32" s="58"/>
      <c r="M32" s="58"/>
      <c r="N32" s="58"/>
      <c r="O32" s="58"/>
      <c r="P32" s="58"/>
      <c r="Q32" s="58"/>
      <c r="R32" s="58"/>
      <c r="S32" s="58"/>
      <c r="T32" s="58"/>
      <c r="U32" s="58"/>
      <c r="V32" s="58"/>
      <c r="W32" s="58"/>
      <c r="X32" s="58"/>
      <c r="Y32" s="58"/>
      <c r="Z32" s="58"/>
    </row>
    <row r="33" ht="110.25" customHeight="1">
      <c r="A33" s="101" t="s">
        <v>460</v>
      </c>
      <c r="B33" s="53" t="s">
        <v>38</v>
      </c>
      <c r="C33" s="53" t="s">
        <v>1753</v>
      </c>
      <c r="D33" s="75" t="s">
        <v>1754</v>
      </c>
      <c r="E33" s="75" t="s">
        <v>1755</v>
      </c>
      <c r="F33" s="362" t="s">
        <v>1756</v>
      </c>
      <c r="G33" s="76">
        <v>15.0</v>
      </c>
      <c r="H33" s="375">
        <v>15.0</v>
      </c>
      <c r="I33" s="77" t="s">
        <v>1721</v>
      </c>
      <c r="J33" s="58"/>
      <c r="K33" s="58"/>
      <c r="L33" s="58"/>
      <c r="M33" s="58"/>
      <c r="N33" s="58"/>
      <c r="O33" s="58"/>
      <c r="P33" s="58"/>
      <c r="Q33" s="58"/>
      <c r="R33" s="58"/>
      <c r="S33" s="58"/>
      <c r="T33" s="58"/>
      <c r="U33" s="58"/>
      <c r="V33" s="58"/>
      <c r="W33" s="58"/>
      <c r="X33" s="58"/>
      <c r="Y33" s="58"/>
      <c r="Z33" s="58"/>
    </row>
    <row r="34" ht="110.25" customHeight="1">
      <c r="A34" s="101" t="s">
        <v>460</v>
      </c>
      <c r="B34" s="53" t="s">
        <v>38</v>
      </c>
      <c r="C34" s="53" t="s">
        <v>1757</v>
      </c>
      <c r="D34" s="75" t="s">
        <v>1758</v>
      </c>
      <c r="E34" s="362" t="s">
        <v>1759</v>
      </c>
      <c r="F34" s="75" t="s">
        <v>1760</v>
      </c>
      <c r="G34" s="76">
        <v>15.0</v>
      </c>
      <c r="H34" s="375">
        <v>15.0</v>
      </c>
      <c r="I34" s="77" t="s">
        <v>1721</v>
      </c>
      <c r="J34" s="58"/>
      <c r="K34" s="58"/>
      <c r="L34" s="58"/>
      <c r="M34" s="58"/>
      <c r="N34" s="58"/>
      <c r="O34" s="58"/>
      <c r="P34" s="58"/>
      <c r="Q34" s="58"/>
      <c r="R34" s="58"/>
      <c r="S34" s="58"/>
      <c r="T34" s="58"/>
      <c r="U34" s="58"/>
      <c r="V34" s="58"/>
      <c r="W34" s="58"/>
      <c r="X34" s="58"/>
      <c r="Y34" s="58"/>
      <c r="Z34" s="58"/>
    </row>
    <row r="35" ht="123.75" customHeight="1">
      <c r="A35" s="101" t="s">
        <v>1761</v>
      </c>
      <c r="B35" s="53" t="s">
        <v>38</v>
      </c>
      <c r="C35" s="53" t="s">
        <v>1762</v>
      </c>
      <c r="D35" s="75" t="s">
        <v>1763</v>
      </c>
      <c r="E35" s="376" t="s">
        <v>1764</v>
      </c>
      <c r="F35" s="377" t="s">
        <v>1765</v>
      </c>
      <c r="G35" s="76">
        <v>15.0</v>
      </c>
      <c r="H35" s="375">
        <v>7.5</v>
      </c>
      <c r="I35" s="77" t="s">
        <v>1721</v>
      </c>
      <c r="J35" s="58"/>
      <c r="K35" s="58"/>
      <c r="L35" s="58"/>
      <c r="M35" s="58"/>
      <c r="N35" s="58"/>
      <c r="O35" s="58"/>
      <c r="P35" s="58"/>
      <c r="Q35" s="58"/>
      <c r="R35" s="58"/>
      <c r="S35" s="58"/>
      <c r="T35" s="58"/>
      <c r="U35" s="58"/>
      <c r="V35" s="58"/>
      <c r="W35" s="58"/>
      <c r="X35" s="58"/>
      <c r="Y35" s="58"/>
      <c r="Z35" s="58"/>
    </row>
    <row r="36" ht="165.0" customHeight="1">
      <c r="A36" s="101" t="s">
        <v>1761</v>
      </c>
      <c r="B36" s="53" t="s">
        <v>38</v>
      </c>
      <c r="C36" s="53" t="s">
        <v>1762</v>
      </c>
      <c r="D36" s="75" t="s">
        <v>1766</v>
      </c>
      <c r="E36" s="376" t="s">
        <v>440</v>
      </c>
      <c r="F36" s="376" t="s">
        <v>1767</v>
      </c>
      <c r="G36" s="76">
        <v>25.0</v>
      </c>
      <c r="H36" s="375">
        <v>25.0</v>
      </c>
      <c r="I36" s="77" t="s">
        <v>1721</v>
      </c>
      <c r="J36" s="58"/>
      <c r="K36" s="58"/>
      <c r="L36" s="58"/>
      <c r="M36" s="58"/>
      <c r="N36" s="58"/>
      <c r="O36" s="58"/>
      <c r="P36" s="58"/>
      <c r="Q36" s="58"/>
      <c r="R36" s="58"/>
      <c r="S36" s="58"/>
      <c r="T36" s="58"/>
      <c r="U36" s="58"/>
      <c r="V36" s="58"/>
      <c r="W36" s="58"/>
      <c r="X36" s="58"/>
      <c r="Y36" s="58"/>
      <c r="Z36" s="58"/>
    </row>
    <row r="37" ht="192.75" customHeight="1">
      <c r="A37" s="101" t="s">
        <v>460</v>
      </c>
      <c r="B37" s="53" t="s">
        <v>38</v>
      </c>
      <c r="C37" s="53" t="s">
        <v>1768</v>
      </c>
      <c r="D37" s="75" t="s">
        <v>1769</v>
      </c>
      <c r="E37" s="376" t="s">
        <v>440</v>
      </c>
      <c r="F37" s="377" t="s">
        <v>1770</v>
      </c>
      <c r="G37" s="76">
        <v>50.0</v>
      </c>
      <c r="H37" s="375">
        <v>50.0</v>
      </c>
      <c r="I37" s="77" t="s">
        <v>1721</v>
      </c>
      <c r="J37" s="58"/>
      <c r="K37" s="58"/>
      <c r="L37" s="58"/>
      <c r="M37" s="58"/>
      <c r="N37" s="58"/>
      <c r="O37" s="58"/>
      <c r="P37" s="58"/>
      <c r="Q37" s="58"/>
      <c r="R37" s="58"/>
      <c r="S37" s="58"/>
      <c r="T37" s="58"/>
      <c r="U37" s="58"/>
      <c r="V37" s="58"/>
      <c r="W37" s="58"/>
      <c r="X37" s="58"/>
      <c r="Y37" s="58"/>
      <c r="Z37" s="58"/>
    </row>
    <row r="38" ht="179.25" customHeight="1">
      <c r="A38" s="101" t="s">
        <v>1761</v>
      </c>
      <c r="B38" s="53" t="s">
        <v>38</v>
      </c>
      <c r="C38" s="53" t="s">
        <v>1762</v>
      </c>
      <c r="D38" s="75" t="s">
        <v>1771</v>
      </c>
      <c r="E38" s="378" t="s">
        <v>1772</v>
      </c>
      <c r="F38" s="378" t="s">
        <v>1773</v>
      </c>
      <c r="G38" s="76">
        <v>15.0</v>
      </c>
      <c r="H38" s="1">
        <v>7.5</v>
      </c>
      <c r="I38" s="77" t="s">
        <v>1721</v>
      </c>
      <c r="J38" s="58"/>
      <c r="K38" s="58"/>
      <c r="L38" s="58"/>
      <c r="M38" s="58"/>
      <c r="N38" s="58"/>
      <c r="O38" s="58"/>
      <c r="P38" s="58"/>
      <c r="Q38" s="58"/>
      <c r="R38" s="58"/>
      <c r="S38" s="58"/>
      <c r="T38" s="58"/>
      <c r="U38" s="58"/>
      <c r="V38" s="58"/>
      <c r="W38" s="58"/>
      <c r="X38" s="58"/>
      <c r="Y38" s="58"/>
      <c r="Z38" s="58"/>
    </row>
    <row r="39" ht="107.25" customHeight="1">
      <c r="A39" s="101" t="s">
        <v>1774</v>
      </c>
      <c r="B39" s="176" t="s">
        <v>38</v>
      </c>
      <c r="C39" s="75" t="s">
        <v>1775</v>
      </c>
      <c r="D39" s="75" t="s">
        <v>1776</v>
      </c>
      <c r="E39" s="75" t="s">
        <v>1777</v>
      </c>
      <c r="F39" s="75"/>
      <c r="G39" s="76">
        <v>15.0</v>
      </c>
      <c r="H39" s="77">
        <v>7.5</v>
      </c>
      <c r="I39" s="77" t="s">
        <v>1778</v>
      </c>
      <c r="J39" s="58"/>
      <c r="K39" s="58"/>
      <c r="L39" s="58"/>
      <c r="M39" s="58"/>
      <c r="N39" s="58"/>
      <c r="O39" s="58"/>
      <c r="P39" s="58"/>
      <c r="Q39" s="58"/>
      <c r="R39" s="58"/>
      <c r="S39" s="58"/>
      <c r="T39" s="58"/>
      <c r="U39" s="58"/>
      <c r="V39" s="58"/>
      <c r="W39" s="58"/>
      <c r="X39" s="58"/>
      <c r="Y39" s="58"/>
      <c r="Z39" s="58"/>
    </row>
    <row r="40" ht="69.0" customHeight="1">
      <c r="A40" s="101" t="s">
        <v>1779</v>
      </c>
      <c r="B40" s="176" t="s">
        <v>38</v>
      </c>
      <c r="C40" s="75" t="s">
        <v>1780</v>
      </c>
      <c r="D40" s="75" t="s">
        <v>1781</v>
      </c>
      <c r="E40" s="379" t="s">
        <v>1782</v>
      </c>
      <c r="F40" s="75"/>
      <c r="G40" s="76">
        <v>15.0</v>
      </c>
      <c r="H40" s="77">
        <v>15.0</v>
      </c>
      <c r="I40" s="77" t="s">
        <v>1783</v>
      </c>
      <c r="J40" s="58"/>
      <c r="K40" s="58"/>
      <c r="L40" s="58"/>
      <c r="M40" s="58"/>
      <c r="N40" s="58"/>
      <c r="O40" s="58"/>
      <c r="P40" s="58"/>
      <c r="Q40" s="58"/>
      <c r="R40" s="58"/>
      <c r="S40" s="58"/>
      <c r="T40" s="58"/>
      <c r="U40" s="58"/>
      <c r="V40" s="58"/>
      <c r="W40" s="58"/>
      <c r="X40" s="58"/>
      <c r="Y40" s="58"/>
      <c r="Z40" s="58"/>
    </row>
    <row r="41" ht="248.25" customHeight="1">
      <c r="A41" s="101" t="s">
        <v>1779</v>
      </c>
      <c r="B41" s="176" t="s">
        <v>38</v>
      </c>
      <c r="C41" s="75" t="s">
        <v>1780</v>
      </c>
      <c r="D41" s="75" t="s">
        <v>1784</v>
      </c>
      <c r="E41" s="379" t="s">
        <v>1785</v>
      </c>
      <c r="F41" s="75"/>
      <c r="G41" s="76">
        <v>15.0</v>
      </c>
      <c r="H41" s="77">
        <v>15.0</v>
      </c>
      <c r="I41" s="77" t="s">
        <v>1786</v>
      </c>
      <c r="J41" s="58"/>
      <c r="K41" s="58"/>
      <c r="L41" s="58"/>
      <c r="M41" s="58"/>
      <c r="N41" s="58"/>
      <c r="O41" s="58"/>
      <c r="P41" s="58"/>
      <c r="Q41" s="58"/>
      <c r="R41" s="58"/>
      <c r="S41" s="58"/>
      <c r="T41" s="58"/>
      <c r="U41" s="58"/>
      <c r="V41" s="58"/>
      <c r="W41" s="58"/>
      <c r="X41" s="58"/>
      <c r="Y41" s="58"/>
      <c r="Z41" s="58"/>
    </row>
    <row r="42" ht="138.0" customHeight="1">
      <c r="A42" s="101" t="s">
        <v>1787</v>
      </c>
      <c r="B42" s="176" t="s">
        <v>38</v>
      </c>
      <c r="C42" s="75" t="s">
        <v>1788</v>
      </c>
      <c r="D42" s="75" t="s">
        <v>1789</v>
      </c>
      <c r="E42" s="75" t="s">
        <v>1790</v>
      </c>
      <c r="F42" s="75" t="s">
        <v>1791</v>
      </c>
      <c r="G42" s="76">
        <v>50.0</v>
      </c>
      <c r="H42" s="77">
        <v>50.0</v>
      </c>
      <c r="I42" s="77" t="s">
        <v>53</v>
      </c>
      <c r="J42" s="58"/>
      <c r="K42" s="58"/>
      <c r="L42" s="58"/>
      <c r="M42" s="58"/>
      <c r="N42" s="58"/>
      <c r="O42" s="58"/>
      <c r="P42" s="58"/>
      <c r="Q42" s="58"/>
      <c r="R42" s="58"/>
      <c r="S42" s="58"/>
      <c r="T42" s="58"/>
      <c r="U42" s="58"/>
      <c r="V42" s="58"/>
      <c r="W42" s="58"/>
      <c r="X42" s="58"/>
      <c r="Y42" s="58"/>
      <c r="Z42" s="58"/>
    </row>
    <row r="43" ht="100.5" customHeight="1">
      <c r="A43" s="101" t="s">
        <v>1792</v>
      </c>
      <c r="B43" s="176" t="s">
        <v>38</v>
      </c>
      <c r="C43" s="75" t="s">
        <v>1793</v>
      </c>
      <c r="D43" s="75" t="s">
        <v>1794</v>
      </c>
      <c r="E43" s="362" t="s">
        <v>1795</v>
      </c>
      <c r="F43" s="75" t="s">
        <v>1796</v>
      </c>
      <c r="G43" s="76">
        <v>15.0</v>
      </c>
      <c r="H43" s="77">
        <v>15.0</v>
      </c>
      <c r="I43" s="77" t="s">
        <v>54</v>
      </c>
      <c r="J43" s="58"/>
      <c r="K43" s="58"/>
      <c r="L43" s="58"/>
      <c r="M43" s="58"/>
      <c r="N43" s="58"/>
      <c r="O43" s="58"/>
      <c r="P43" s="58"/>
      <c r="Q43" s="58"/>
      <c r="R43" s="58"/>
      <c r="S43" s="58"/>
      <c r="T43" s="58"/>
      <c r="U43" s="58"/>
      <c r="V43" s="58"/>
      <c r="W43" s="58"/>
      <c r="X43" s="58"/>
      <c r="Y43" s="58"/>
      <c r="Z43" s="58"/>
    </row>
    <row r="44" ht="138.0" customHeight="1">
      <c r="A44" s="101" t="s">
        <v>1792</v>
      </c>
      <c r="B44" s="176" t="s">
        <v>38</v>
      </c>
      <c r="C44" s="75" t="s">
        <v>1797</v>
      </c>
      <c r="D44" s="75" t="s">
        <v>1798</v>
      </c>
      <c r="E44" s="362" t="s">
        <v>1799</v>
      </c>
      <c r="F44" s="75" t="s">
        <v>1800</v>
      </c>
      <c r="G44" s="76">
        <v>15.0</v>
      </c>
      <c r="H44" s="77">
        <v>15.0</v>
      </c>
      <c r="I44" s="77" t="s">
        <v>54</v>
      </c>
      <c r="J44" s="58"/>
      <c r="K44" s="58"/>
      <c r="L44" s="58"/>
      <c r="M44" s="58"/>
      <c r="N44" s="58"/>
      <c r="O44" s="58"/>
      <c r="P44" s="58"/>
      <c r="Q44" s="58"/>
      <c r="R44" s="58"/>
      <c r="S44" s="58"/>
      <c r="T44" s="58"/>
      <c r="U44" s="58"/>
      <c r="V44" s="58"/>
      <c r="W44" s="58"/>
      <c r="X44" s="58"/>
      <c r="Y44" s="58"/>
      <c r="Z44" s="58"/>
    </row>
    <row r="45" ht="123.75" customHeight="1">
      <c r="A45" s="101" t="s">
        <v>1792</v>
      </c>
      <c r="B45" s="176" t="s">
        <v>38</v>
      </c>
      <c r="C45" s="75" t="s">
        <v>1797</v>
      </c>
      <c r="D45" s="75" t="s">
        <v>1801</v>
      </c>
      <c r="E45" s="362" t="s">
        <v>1802</v>
      </c>
      <c r="F45" s="75" t="s">
        <v>1800</v>
      </c>
      <c r="G45" s="76">
        <v>15.0</v>
      </c>
      <c r="H45" s="77">
        <v>15.0</v>
      </c>
      <c r="I45" s="77" t="s">
        <v>54</v>
      </c>
      <c r="J45" s="58"/>
      <c r="K45" s="58"/>
      <c r="L45" s="58"/>
      <c r="M45" s="58"/>
      <c r="N45" s="58"/>
      <c r="O45" s="58"/>
      <c r="P45" s="58"/>
      <c r="Q45" s="58"/>
      <c r="R45" s="58"/>
      <c r="S45" s="58"/>
      <c r="T45" s="58"/>
      <c r="U45" s="58"/>
      <c r="V45" s="58"/>
      <c r="W45" s="58"/>
      <c r="X45" s="58"/>
      <c r="Y45" s="58"/>
      <c r="Z45" s="58"/>
    </row>
    <row r="46" ht="110.25" customHeight="1">
      <c r="A46" s="101" t="s">
        <v>1792</v>
      </c>
      <c r="B46" s="176" t="s">
        <v>38</v>
      </c>
      <c r="C46" s="75" t="s">
        <v>1803</v>
      </c>
      <c r="D46" s="75" t="s">
        <v>1804</v>
      </c>
      <c r="E46" s="362" t="s">
        <v>1805</v>
      </c>
      <c r="F46" s="75" t="s">
        <v>1806</v>
      </c>
      <c r="G46" s="76">
        <v>15.0</v>
      </c>
      <c r="H46" s="77">
        <v>15.0</v>
      </c>
      <c r="I46" s="77" t="s">
        <v>54</v>
      </c>
      <c r="J46" s="58"/>
      <c r="K46" s="58"/>
      <c r="L46" s="58"/>
      <c r="M46" s="58"/>
      <c r="N46" s="58"/>
      <c r="O46" s="58"/>
      <c r="P46" s="58"/>
      <c r="Q46" s="58"/>
      <c r="R46" s="58"/>
      <c r="S46" s="58"/>
      <c r="T46" s="58"/>
      <c r="U46" s="58"/>
      <c r="V46" s="58"/>
      <c r="W46" s="58"/>
      <c r="X46" s="58"/>
      <c r="Y46" s="58"/>
      <c r="Z46" s="58"/>
    </row>
    <row r="47" ht="144.0" customHeight="1">
      <c r="A47" s="101" t="s">
        <v>1807</v>
      </c>
      <c r="B47" s="176" t="s">
        <v>38</v>
      </c>
      <c r="C47" s="75" t="s">
        <v>1808</v>
      </c>
      <c r="D47" s="75" t="s">
        <v>1809</v>
      </c>
      <c r="E47" s="362" t="s">
        <v>1810</v>
      </c>
      <c r="F47" s="75" t="s">
        <v>1796</v>
      </c>
      <c r="G47" s="76">
        <v>15.0</v>
      </c>
      <c r="H47" s="77">
        <v>15.0</v>
      </c>
      <c r="I47" s="77" t="s">
        <v>59</v>
      </c>
      <c r="J47" s="58"/>
      <c r="K47" s="58"/>
      <c r="L47" s="58"/>
      <c r="M47" s="58"/>
      <c r="N47" s="58"/>
      <c r="O47" s="58"/>
      <c r="P47" s="58"/>
      <c r="Q47" s="58"/>
      <c r="R47" s="58"/>
      <c r="S47" s="58"/>
      <c r="T47" s="58"/>
      <c r="U47" s="58"/>
      <c r="V47" s="58"/>
      <c r="W47" s="58"/>
      <c r="X47" s="58"/>
      <c r="Y47" s="58"/>
      <c r="Z47" s="58"/>
    </row>
    <row r="48" ht="144.0" customHeight="1">
      <c r="A48" s="101" t="s">
        <v>1807</v>
      </c>
      <c r="B48" s="176" t="s">
        <v>38</v>
      </c>
      <c r="C48" s="75" t="s">
        <v>1808</v>
      </c>
      <c r="D48" s="75" t="s">
        <v>1811</v>
      </c>
      <c r="E48" s="362" t="s">
        <v>1812</v>
      </c>
      <c r="F48" s="75" t="s">
        <v>1796</v>
      </c>
      <c r="G48" s="76">
        <v>15.0</v>
      </c>
      <c r="H48" s="77">
        <v>15.0</v>
      </c>
      <c r="I48" s="77" t="s">
        <v>59</v>
      </c>
      <c r="J48" s="58"/>
      <c r="K48" s="58"/>
      <c r="L48" s="58"/>
      <c r="M48" s="58"/>
      <c r="N48" s="58"/>
      <c r="O48" s="58"/>
      <c r="P48" s="58"/>
      <c r="Q48" s="58"/>
      <c r="R48" s="58"/>
      <c r="S48" s="58"/>
      <c r="T48" s="58"/>
      <c r="U48" s="58"/>
      <c r="V48" s="58"/>
      <c r="W48" s="58"/>
      <c r="X48" s="58"/>
      <c r="Y48" s="58"/>
      <c r="Z48" s="58"/>
    </row>
    <row r="49" ht="144.0" customHeight="1">
      <c r="A49" s="101" t="s">
        <v>1807</v>
      </c>
      <c r="B49" s="176" t="s">
        <v>38</v>
      </c>
      <c r="C49" s="75" t="s">
        <v>1813</v>
      </c>
      <c r="D49" s="75" t="s">
        <v>1814</v>
      </c>
      <c r="E49" s="362" t="s">
        <v>1815</v>
      </c>
      <c r="F49" s="75" t="s">
        <v>1796</v>
      </c>
      <c r="G49" s="76">
        <v>15.0</v>
      </c>
      <c r="H49" s="77">
        <v>15.0</v>
      </c>
      <c r="I49" s="77" t="s">
        <v>59</v>
      </c>
      <c r="J49" s="58"/>
      <c r="K49" s="58"/>
      <c r="L49" s="58"/>
      <c r="M49" s="58"/>
      <c r="N49" s="58"/>
      <c r="O49" s="58"/>
      <c r="P49" s="58"/>
      <c r="Q49" s="58"/>
      <c r="R49" s="58"/>
      <c r="S49" s="58"/>
      <c r="T49" s="58"/>
      <c r="U49" s="58"/>
      <c r="V49" s="58"/>
      <c r="W49" s="58"/>
      <c r="X49" s="58"/>
      <c r="Y49" s="58"/>
      <c r="Z49" s="58"/>
    </row>
    <row r="50" ht="165.0" customHeight="1">
      <c r="A50" s="101" t="s">
        <v>1816</v>
      </c>
      <c r="B50" s="176" t="s">
        <v>38</v>
      </c>
      <c r="C50" s="380" t="s">
        <v>1817</v>
      </c>
      <c r="D50" s="75" t="s">
        <v>1818</v>
      </c>
      <c r="E50" s="362" t="s">
        <v>1819</v>
      </c>
      <c r="F50" s="75" t="s">
        <v>1820</v>
      </c>
      <c r="G50" s="76">
        <v>50.0</v>
      </c>
      <c r="H50" s="77">
        <v>25.0</v>
      </c>
      <c r="I50" s="77" t="s">
        <v>59</v>
      </c>
      <c r="J50" s="58"/>
      <c r="K50" s="58"/>
      <c r="L50" s="58"/>
      <c r="M50" s="58"/>
      <c r="N50" s="58"/>
      <c r="O50" s="58"/>
      <c r="P50" s="58"/>
      <c r="Q50" s="58"/>
      <c r="R50" s="58"/>
      <c r="S50" s="58"/>
      <c r="T50" s="58"/>
      <c r="U50" s="58"/>
      <c r="V50" s="58"/>
      <c r="W50" s="58"/>
      <c r="X50" s="58"/>
      <c r="Y50" s="58"/>
      <c r="Z50" s="58"/>
    </row>
    <row r="51" ht="144.0" customHeight="1">
      <c r="A51" s="101" t="s">
        <v>1821</v>
      </c>
      <c r="B51" s="176" t="s">
        <v>38</v>
      </c>
      <c r="C51" s="75" t="s">
        <v>1822</v>
      </c>
      <c r="D51" s="75" t="s">
        <v>1823</v>
      </c>
      <c r="E51" s="362" t="s">
        <v>1815</v>
      </c>
      <c r="F51" s="75" t="s">
        <v>1796</v>
      </c>
      <c r="G51" s="76">
        <v>15.0</v>
      </c>
      <c r="H51" s="77">
        <v>3.0</v>
      </c>
      <c r="I51" s="77" t="s">
        <v>59</v>
      </c>
      <c r="J51" s="58"/>
      <c r="K51" s="58"/>
      <c r="L51" s="58"/>
      <c r="M51" s="58"/>
      <c r="N51" s="58"/>
      <c r="O51" s="58"/>
      <c r="P51" s="58"/>
      <c r="Q51" s="58"/>
      <c r="R51" s="58"/>
      <c r="S51" s="58"/>
      <c r="T51" s="58"/>
      <c r="U51" s="58"/>
      <c r="V51" s="58"/>
      <c r="W51" s="58"/>
      <c r="X51" s="58"/>
      <c r="Y51" s="58"/>
      <c r="Z51" s="58"/>
    </row>
    <row r="52" ht="144.0" customHeight="1">
      <c r="A52" s="101" t="s">
        <v>59</v>
      </c>
      <c r="B52" s="176" t="s">
        <v>38</v>
      </c>
      <c r="C52" s="75" t="s">
        <v>1824</v>
      </c>
      <c r="D52" s="75" t="s">
        <v>1825</v>
      </c>
      <c r="E52" s="362" t="s">
        <v>1815</v>
      </c>
      <c r="F52" s="75" t="s">
        <v>1796</v>
      </c>
      <c r="G52" s="76">
        <v>15.0</v>
      </c>
      <c r="H52" s="77">
        <v>15.0</v>
      </c>
      <c r="I52" s="77" t="s">
        <v>59</v>
      </c>
      <c r="J52" s="58"/>
      <c r="K52" s="58"/>
      <c r="L52" s="58"/>
      <c r="M52" s="58"/>
      <c r="N52" s="58"/>
      <c r="O52" s="58"/>
      <c r="P52" s="58"/>
      <c r="Q52" s="58"/>
      <c r="R52" s="58"/>
      <c r="S52" s="58"/>
      <c r="T52" s="58"/>
      <c r="U52" s="58"/>
      <c r="V52" s="58"/>
      <c r="W52" s="58"/>
      <c r="X52" s="58"/>
      <c r="Y52" s="58"/>
      <c r="Z52" s="58"/>
    </row>
    <row r="53" ht="192.75" customHeight="1">
      <c r="A53" s="53" t="s">
        <v>59</v>
      </c>
      <c r="B53" s="53" t="s">
        <v>38</v>
      </c>
      <c r="C53" s="53" t="s">
        <v>1826</v>
      </c>
      <c r="D53" s="52" t="s">
        <v>1827</v>
      </c>
      <c r="E53" s="381" t="s">
        <v>1828</v>
      </c>
      <c r="F53" s="382" t="s">
        <v>1829</v>
      </c>
      <c r="G53" s="382">
        <v>50.0</v>
      </c>
      <c r="H53" s="382">
        <v>50.0</v>
      </c>
      <c r="I53" s="77" t="s">
        <v>59</v>
      </c>
      <c r="J53" s="58"/>
      <c r="K53" s="58"/>
      <c r="L53" s="58"/>
      <c r="M53" s="58"/>
      <c r="N53" s="58"/>
      <c r="O53" s="58"/>
      <c r="P53" s="58"/>
      <c r="Q53" s="58"/>
      <c r="R53" s="58"/>
      <c r="S53" s="58"/>
      <c r="T53" s="58"/>
      <c r="U53" s="58"/>
      <c r="V53" s="58"/>
      <c r="W53" s="58"/>
      <c r="X53" s="58"/>
      <c r="Y53" s="58"/>
      <c r="Z53" s="58"/>
    </row>
    <row r="54" ht="165.0" customHeight="1">
      <c r="A54" s="383" t="s">
        <v>1830</v>
      </c>
      <c r="B54" s="53" t="s">
        <v>38</v>
      </c>
      <c r="C54" s="53" t="s">
        <v>1831</v>
      </c>
      <c r="D54" s="53" t="s">
        <v>1832</v>
      </c>
      <c r="E54" s="381" t="s">
        <v>1833</v>
      </c>
      <c r="F54" s="382" t="s">
        <v>1834</v>
      </c>
      <c r="G54" s="382">
        <v>50.0</v>
      </c>
      <c r="H54" s="382">
        <v>3.33</v>
      </c>
      <c r="I54" s="77" t="s">
        <v>59</v>
      </c>
      <c r="J54" s="58"/>
      <c r="K54" s="58"/>
      <c r="L54" s="58"/>
      <c r="M54" s="58"/>
      <c r="N54" s="58"/>
      <c r="O54" s="58"/>
      <c r="P54" s="58"/>
      <c r="Q54" s="58"/>
      <c r="R54" s="58"/>
      <c r="S54" s="58"/>
      <c r="T54" s="58"/>
      <c r="U54" s="58"/>
      <c r="V54" s="58"/>
      <c r="W54" s="58"/>
      <c r="X54" s="58"/>
      <c r="Y54" s="58"/>
      <c r="Z54" s="58"/>
    </row>
    <row r="55" ht="216.0" customHeight="1">
      <c r="A55" s="53" t="s">
        <v>1835</v>
      </c>
      <c r="B55" s="53" t="s">
        <v>38</v>
      </c>
      <c r="C55" s="53" t="s">
        <v>1836</v>
      </c>
      <c r="D55" s="53" t="s">
        <v>1837</v>
      </c>
      <c r="E55" s="381" t="s">
        <v>1838</v>
      </c>
      <c r="F55" s="53" t="s">
        <v>1839</v>
      </c>
      <c r="G55" s="382">
        <v>50.0</v>
      </c>
      <c r="H55" s="382">
        <v>16.66</v>
      </c>
      <c r="I55" s="77" t="s">
        <v>59</v>
      </c>
      <c r="J55" s="58"/>
      <c r="K55" s="58"/>
      <c r="L55" s="58"/>
      <c r="M55" s="58"/>
      <c r="N55" s="58"/>
      <c r="O55" s="58"/>
      <c r="P55" s="58"/>
      <c r="Q55" s="58"/>
      <c r="R55" s="58"/>
      <c r="S55" s="58"/>
      <c r="T55" s="58"/>
      <c r="U55" s="58"/>
      <c r="V55" s="58"/>
      <c r="W55" s="58"/>
      <c r="X55" s="58"/>
      <c r="Y55" s="58"/>
      <c r="Z55" s="58"/>
    </row>
    <row r="56" ht="123.75" customHeight="1">
      <c r="A56" s="53" t="s">
        <v>1835</v>
      </c>
      <c r="B56" s="53" t="s">
        <v>38</v>
      </c>
      <c r="C56" s="53" t="s">
        <v>1840</v>
      </c>
      <c r="D56" s="53" t="s">
        <v>1841</v>
      </c>
      <c r="E56" s="381" t="s">
        <v>1842</v>
      </c>
      <c r="F56" s="382" t="s">
        <v>1796</v>
      </c>
      <c r="G56" s="382">
        <v>15.0</v>
      </c>
      <c r="H56" s="382">
        <v>5.0</v>
      </c>
      <c r="I56" s="77" t="s">
        <v>59</v>
      </c>
      <c r="J56" s="58"/>
      <c r="K56" s="58"/>
      <c r="L56" s="58"/>
      <c r="M56" s="58"/>
      <c r="N56" s="58"/>
      <c r="O56" s="58"/>
      <c r="P56" s="58"/>
      <c r="Q56" s="58"/>
      <c r="R56" s="58"/>
      <c r="S56" s="58"/>
      <c r="T56" s="58"/>
      <c r="U56" s="58"/>
      <c r="V56" s="58"/>
      <c r="W56" s="58"/>
      <c r="X56" s="58"/>
      <c r="Y56" s="58"/>
      <c r="Z56" s="58"/>
    </row>
    <row r="57" ht="123.75" customHeight="1">
      <c r="A57" s="53" t="s">
        <v>1843</v>
      </c>
      <c r="B57" s="53" t="s">
        <v>38</v>
      </c>
      <c r="C57" s="53" t="s">
        <v>1844</v>
      </c>
      <c r="D57" s="53" t="s">
        <v>1845</v>
      </c>
      <c r="E57" s="381" t="s">
        <v>1842</v>
      </c>
      <c r="F57" s="384" t="s">
        <v>1796</v>
      </c>
      <c r="G57" s="382">
        <v>15.0</v>
      </c>
      <c r="H57" s="382">
        <v>7.5</v>
      </c>
      <c r="I57" s="77" t="s">
        <v>59</v>
      </c>
      <c r="J57" s="58"/>
      <c r="K57" s="58"/>
      <c r="L57" s="58"/>
      <c r="M57" s="58"/>
      <c r="N57" s="58"/>
      <c r="O57" s="58"/>
      <c r="P57" s="58"/>
      <c r="Q57" s="58"/>
      <c r="R57" s="58"/>
      <c r="S57" s="58"/>
      <c r="T57" s="58"/>
      <c r="U57" s="58"/>
      <c r="V57" s="58"/>
      <c r="W57" s="58"/>
      <c r="X57" s="58"/>
      <c r="Y57" s="58"/>
      <c r="Z57" s="58"/>
    </row>
    <row r="58" ht="186.75" customHeight="1">
      <c r="A58" s="53" t="s">
        <v>1846</v>
      </c>
      <c r="B58" s="53" t="s">
        <v>38</v>
      </c>
      <c r="C58" s="53" t="s">
        <v>1847</v>
      </c>
      <c r="D58" s="53" t="s">
        <v>1848</v>
      </c>
      <c r="E58" s="381" t="s">
        <v>1849</v>
      </c>
      <c r="F58" s="53" t="s">
        <v>1850</v>
      </c>
      <c r="G58" s="382">
        <v>50.0</v>
      </c>
      <c r="H58" s="382">
        <v>10.0</v>
      </c>
      <c r="I58" s="77" t="s">
        <v>59</v>
      </c>
      <c r="J58" s="58"/>
      <c r="K58" s="58"/>
      <c r="L58" s="58"/>
      <c r="M58" s="58"/>
      <c r="N58" s="58"/>
      <c r="O58" s="58"/>
      <c r="P58" s="58"/>
      <c r="Q58" s="58"/>
      <c r="R58" s="58"/>
      <c r="S58" s="58"/>
      <c r="T58" s="58"/>
      <c r="U58" s="58"/>
      <c r="V58" s="58"/>
      <c r="W58" s="58"/>
      <c r="X58" s="58"/>
      <c r="Y58" s="58"/>
      <c r="Z58" s="58"/>
    </row>
    <row r="59" ht="123.75" customHeight="1">
      <c r="A59" s="53" t="s">
        <v>1851</v>
      </c>
      <c r="B59" s="53" t="s">
        <v>38</v>
      </c>
      <c r="C59" s="53" t="s">
        <v>1852</v>
      </c>
      <c r="D59" s="53" t="s">
        <v>1853</v>
      </c>
      <c r="E59" s="381" t="s">
        <v>1854</v>
      </c>
      <c r="F59" s="53" t="s">
        <v>1855</v>
      </c>
      <c r="G59" s="382">
        <v>15.0</v>
      </c>
      <c r="H59" s="382">
        <v>15.0</v>
      </c>
      <c r="I59" s="77" t="s">
        <v>59</v>
      </c>
      <c r="J59" s="58"/>
      <c r="K59" s="58"/>
      <c r="L59" s="58"/>
      <c r="M59" s="58"/>
      <c r="N59" s="58"/>
      <c r="O59" s="58"/>
      <c r="P59" s="58"/>
      <c r="Q59" s="58"/>
      <c r="R59" s="58"/>
      <c r="S59" s="58"/>
      <c r="T59" s="58"/>
      <c r="U59" s="58"/>
      <c r="V59" s="58"/>
      <c r="W59" s="58"/>
      <c r="X59" s="58"/>
      <c r="Y59" s="58"/>
      <c r="Z59" s="58"/>
    </row>
    <row r="60" ht="172.5" customHeight="1">
      <c r="A60" s="53" t="s">
        <v>1851</v>
      </c>
      <c r="B60" s="53" t="s">
        <v>38</v>
      </c>
      <c r="C60" s="53" t="s">
        <v>1856</v>
      </c>
      <c r="D60" s="53" t="s">
        <v>1857</v>
      </c>
      <c r="E60" s="381" t="s">
        <v>1858</v>
      </c>
      <c r="F60" s="384" t="s">
        <v>1796</v>
      </c>
      <c r="G60" s="382">
        <v>15.0</v>
      </c>
      <c r="H60" s="382">
        <v>15.0</v>
      </c>
      <c r="I60" s="77" t="s">
        <v>59</v>
      </c>
      <c r="J60" s="58"/>
      <c r="K60" s="58"/>
      <c r="L60" s="58"/>
      <c r="M60" s="58"/>
      <c r="N60" s="58"/>
      <c r="O60" s="58"/>
      <c r="P60" s="58"/>
      <c r="Q60" s="58"/>
      <c r="R60" s="58"/>
      <c r="S60" s="58"/>
      <c r="T60" s="58"/>
      <c r="U60" s="58"/>
      <c r="V60" s="58"/>
      <c r="W60" s="58"/>
      <c r="X60" s="58"/>
      <c r="Y60" s="58"/>
      <c r="Z60" s="58"/>
    </row>
    <row r="61" ht="316.5" customHeight="1">
      <c r="A61" s="53" t="s">
        <v>1835</v>
      </c>
      <c r="B61" s="53" t="s">
        <v>38</v>
      </c>
      <c r="C61" s="53" t="s">
        <v>1840</v>
      </c>
      <c r="D61" s="53" t="s">
        <v>1859</v>
      </c>
      <c r="E61" s="381" t="s">
        <v>1860</v>
      </c>
      <c r="F61" s="384" t="s">
        <v>1796</v>
      </c>
      <c r="G61" s="382">
        <v>15.0</v>
      </c>
      <c r="H61" s="382">
        <v>5.0</v>
      </c>
      <c r="I61" s="77" t="s">
        <v>59</v>
      </c>
      <c r="J61" s="58"/>
      <c r="K61" s="58"/>
      <c r="L61" s="58"/>
      <c r="M61" s="58"/>
      <c r="N61" s="58"/>
      <c r="O61" s="58"/>
      <c r="P61" s="58"/>
      <c r="Q61" s="58"/>
      <c r="R61" s="58"/>
      <c r="S61" s="58"/>
      <c r="T61" s="58"/>
      <c r="U61" s="58"/>
      <c r="V61" s="58"/>
      <c r="W61" s="58"/>
      <c r="X61" s="58"/>
      <c r="Y61" s="58"/>
      <c r="Z61" s="58"/>
    </row>
    <row r="62" ht="110.25" customHeight="1">
      <c r="A62" s="101" t="s">
        <v>491</v>
      </c>
      <c r="B62" s="176" t="s">
        <v>38</v>
      </c>
      <c r="C62" s="75" t="s">
        <v>1861</v>
      </c>
      <c r="D62" s="75" t="s">
        <v>1862</v>
      </c>
      <c r="E62" s="362" t="s">
        <v>1863</v>
      </c>
      <c r="F62" s="75" t="s">
        <v>1864</v>
      </c>
      <c r="G62" s="76">
        <v>15.0</v>
      </c>
      <c r="H62" s="77">
        <v>15.0</v>
      </c>
      <c r="I62" s="77" t="s">
        <v>498</v>
      </c>
      <c r="J62" s="58"/>
      <c r="K62" s="58"/>
      <c r="L62" s="58"/>
      <c r="M62" s="58"/>
      <c r="N62" s="58"/>
      <c r="O62" s="58"/>
      <c r="P62" s="58"/>
      <c r="Q62" s="58"/>
      <c r="R62" s="58"/>
      <c r="S62" s="58"/>
      <c r="T62" s="58"/>
      <c r="U62" s="58"/>
      <c r="V62" s="58"/>
      <c r="W62" s="58"/>
      <c r="X62" s="58"/>
      <c r="Y62" s="58"/>
      <c r="Z62" s="58"/>
    </row>
    <row r="63" ht="123.75" customHeight="1">
      <c r="A63" s="101" t="s">
        <v>491</v>
      </c>
      <c r="B63" s="176" t="s">
        <v>38</v>
      </c>
      <c r="C63" s="75" t="s">
        <v>1865</v>
      </c>
      <c r="D63" s="75" t="s">
        <v>1866</v>
      </c>
      <c r="E63" s="362" t="s">
        <v>1863</v>
      </c>
      <c r="F63" s="75" t="s">
        <v>1864</v>
      </c>
      <c r="G63" s="76">
        <v>15.0</v>
      </c>
      <c r="H63" s="77">
        <v>15.0</v>
      </c>
      <c r="I63" s="77" t="s">
        <v>498</v>
      </c>
      <c r="J63" s="58"/>
      <c r="K63" s="58"/>
      <c r="L63" s="58"/>
      <c r="M63" s="58"/>
      <c r="N63" s="58"/>
      <c r="O63" s="58"/>
      <c r="P63" s="58"/>
      <c r="Q63" s="58"/>
      <c r="R63" s="58"/>
      <c r="S63" s="58"/>
      <c r="T63" s="58"/>
      <c r="U63" s="58"/>
      <c r="V63" s="58"/>
      <c r="W63" s="58"/>
      <c r="X63" s="58"/>
      <c r="Y63" s="58"/>
      <c r="Z63" s="58"/>
    </row>
    <row r="64" ht="110.25" customHeight="1">
      <c r="A64" s="101" t="s">
        <v>491</v>
      </c>
      <c r="B64" s="176" t="s">
        <v>38</v>
      </c>
      <c r="C64" s="75" t="s">
        <v>1867</v>
      </c>
      <c r="D64" s="75" t="s">
        <v>1868</v>
      </c>
      <c r="E64" s="362" t="s">
        <v>1863</v>
      </c>
      <c r="F64" s="75" t="s">
        <v>1864</v>
      </c>
      <c r="G64" s="76">
        <v>15.0</v>
      </c>
      <c r="H64" s="77">
        <v>15.0</v>
      </c>
      <c r="I64" s="77" t="s">
        <v>498</v>
      </c>
      <c r="J64" s="58"/>
      <c r="K64" s="58"/>
      <c r="L64" s="58"/>
      <c r="M64" s="58"/>
      <c r="N64" s="58"/>
      <c r="O64" s="58"/>
      <c r="P64" s="58"/>
      <c r="Q64" s="58"/>
      <c r="R64" s="58"/>
      <c r="S64" s="58"/>
      <c r="T64" s="58"/>
      <c r="U64" s="58"/>
      <c r="V64" s="58"/>
      <c r="W64" s="58"/>
      <c r="X64" s="58"/>
      <c r="Y64" s="58"/>
      <c r="Z64" s="58"/>
    </row>
    <row r="65" ht="110.25" customHeight="1">
      <c r="A65" s="101" t="s">
        <v>491</v>
      </c>
      <c r="B65" s="176" t="s">
        <v>38</v>
      </c>
      <c r="C65" s="75" t="s">
        <v>1869</v>
      </c>
      <c r="D65" s="75" t="s">
        <v>1870</v>
      </c>
      <c r="E65" s="362" t="s">
        <v>1863</v>
      </c>
      <c r="F65" s="75" t="s">
        <v>1864</v>
      </c>
      <c r="G65" s="76">
        <v>15.0</v>
      </c>
      <c r="H65" s="77">
        <v>15.0</v>
      </c>
      <c r="I65" s="77" t="s">
        <v>498</v>
      </c>
      <c r="J65" s="58"/>
      <c r="K65" s="58"/>
      <c r="L65" s="58"/>
      <c r="M65" s="58"/>
      <c r="N65" s="58"/>
      <c r="O65" s="58"/>
      <c r="P65" s="58"/>
      <c r="Q65" s="58"/>
      <c r="R65" s="58"/>
      <c r="S65" s="58"/>
      <c r="T65" s="58"/>
      <c r="U65" s="58"/>
      <c r="V65" s="58"/>
      <c r="W65" s="58"/>
      <c r="X65" s="58"/>
      <c r="Y65" s="58"/>
      <c r="Z65" s="58"/>
    </row>
    <row r="66" ht="110.25" customHeight="1">
      <c r="A66" s="101" t="s">
        <v>491</v>
      </c>
      <c r="B66" s="176" t="s">
        <v>38</v>
      </c>
      <c r="C66" s="75" t="s">
        <v>1871</v>
      </c>
      <c r="D66" s="75" t="s">
        <v>1872</v>
      </c>
      <c r="E66" s="362" t="s">
        <v>1863</v>
      </c>
      <c r="F66" s="75" t="s">
        <v>1864</v>
      </c>
      <c r="G66" s="76">
        <v>15.0</v>
      </c>
      <c r="H66" s="77">
        <v>15.0</v>
      </c>
      <c r="I66" s="77" t="s">
        <v>498</v>
      </c>
      <c r="J66" s="58"/>
      <c r="K66" s="58"/>
      <c r="L66" s="58"/>
      <c r="M66" s="58"/>
      <c r="N66" s="58"/>
      <c r="O66" s="58"/>
      <c r="P66" s="58"/>
      <c r="Q66" s="58"/>
      <c r="R66" s="58"/>
      <c r="S66" s="58"/>
      <c r="T66" s="58"/>
      <c r="U66" s="58"/>
      <c r="V66" s="58"/>
      <c r="W66" s="58"/>
      <c r="X66" s="58"/>
      <c r="Y66" s="58"/>
      <c r="Z66" s="58"/>
    </row>
    <row r="67" ht="138.0" customHeight="1">
      <c r="A67" s="101" t="s">
        <v>491</v>
      </c>
      <c r="B67" s="176" t="s">
        <v>38</v>
      </c>
      <c r="C67" s="75" t="s">
        <v>1873</v>
      </c>
      <c r="D67" s="75" t="s">
        <v>1874</v>
      </c>
      <c r="E67" s="362" t="s">
        <v>1863</v>
      </c>
      <c r="F67" s="75" t="s">
        <v>1864</v>
      </c>
      <c r="G67" s="76">
        <v>15.0</v>
      </c>
      <c r="H67" s="77">
        <v>15.0</v>
      </c>
      <c r="I67" s="77" t="s">
        <v>498</v>
      </c>
      <c r="J67" s="58"/>
      <c r="K67" s="58"/>
      <c r="L67" s="58"/>
      <c r="M67" s="58"/>
      <c r="N67" s="58"/>
      <c r="O67" s="58"/>
      <c r="P67" s="58"/>
      <c r="Q67" s="58"/>
      <c r="R67" s="58"/>
      <c r="S67" s="58"/>
      <c r="T67" s="58"/>
      <c r="U67" s="58"/>
      <c r="V67" s="58"/>
      <c r="W67" s="58"/>
      <c r="X67" s="58"/>
      <c r="Y67" s="58"/>
      <c r="Z67" s="58"/>
    </row>
    <row r="68" ht="110.25" customHeight="1">
      <c r="A68" s="101" t="s">
        <v>491</v>
      </c>
      <c r="B68" s="176" t="s">
        <v>38</v>
      </c>
      <c r="C68" s="75" t="s">
        <v>1875</v>
      </c>
      <c r="D68" s="75" t="s">
        <v>1874</v>
      </c>
      <c r="E68" s="362" t="s">
        <v>1863</v>
      </c>
      <c r="F68" s="75" t="s">
        <v>1864</v>
      </c>
      <c r="G68" s="76">
        <v>15.0</v>
      </c>
      <c r="H68" s="77">
        <v>15.0</v>
      </c>
      <c r="I68" s="77" t="s">
        <v>498</v>
      </c>
      <c r="J68" s="58"/>
      <c r="K68" s="58"/>
      <c r="L68" s="58"/>
      <c r="M68" s="58"/>
      <c r="N68" s="58"/>
      <c r="O68" s="58"/>
      <c r="P68" s="58"/>
      <c r="Q68" s="58"/>
      <c r="R68" s="58"/>
      <c r="S68" s="58"/>
      <c r="T68" s="58"/>
      <c r="U68" s="58"/>
      <c r="V68" s="58"/>
      <c r="W68" s="58"/>
      <c r="X68" s="58"/>
      <c r="Y68" s="58"/>
      <c r="Z68" s="58"/>
    </row>
    <row r="69" ht="138.0" customHeight="1">
      <c r="A69" s="101" t="s">
        <v>491</v>
      </c>
      <c r="B69" s="176" t="s">
        <v>38</v>
      </c>
      <c r="C69" s="75" t="s">
        <v>1876</v>
      </c>
      <c r="D69" s="75" t="s">
        <v>1874</v>
      </c>
      <c r="E69" s="362" t="s">
        <v>1863</v>
      </c>
      <c r="F69" s="75" t="s">
        <v>1864</v>
      </c>
      <c r="G69" s="76">
        <v>15.0</v>
      </c>
      <c r="H69" s="77">
        <v>15.0</v>
      </c>
      <c r="I69" s="77" t="s">
        <v>498</v>
      </c>
      <c r="J69" s="58"/>
      <c r="K69" s="58"/>
      <c r="L69" s="58"/>
      <c r="M69" s="58"/>
      <c r="N69" s="58"/>
      <c r="O69" s="58"/>
      <c r="P69" s="58"/>
      <c r="Q69" s="58"/>
      <c r="R69" s="58"/>
      <c r="S69" s="58"/>
      <c r="T69" s="58"/>
      <c r="U69" s="58"/>
      <c r="V69" s="58"/>
      <c r="W69" s="58"/>
      <c r="X69" s="58"/>
      <c r="Y69" s="58"/>
      <c r="Z69" s="58"/>
    </row>
    <row r="70" ht="110.25" customHeight="1">
      <c r="A70" s="101" t="s">
        <v>1877</v>
      </c>
      <c r="B70" s="176" t="s">
        <v>38</v>
      </c>
      <c r="C70" s="75" t="s">
        <v>1878</v>
      </c>
      <c r="D70" s="75" t="s">
        <v>1874</v>
      </c>
      <c r="E70" s="362" t="s">
        <v>1863</v>
      </c>
      <c r="F70" s="75" t="s">
        <v>1864</v>
      </c>
      <c r="G70" s="76">
        <v>15.0</v>
      </c>
      <c r="H70" s="77">
        <v>7.5</v>
      </c>
      <c r="I70" s="77" t="s">
        <v>498</v>
      </c>
      <c r="J70" s="58"/>
      <c r="K70" s="58"/>
      <c r="L70" s="58"/>
      <c r="M70" s="58"/>
      <c r="N70" s="58"/>
      <c r="O70" s="58"/>
      <c r="P70" s="58"/>
      <c r="Q70" s="58"/>
      <c r="R70" s="58"/>
      <c r="S70" s="58"/>
      <c r="T70" s="58"/>
      <c r="U70" s="58"/>
      <c r="V70" s="58"/>
      <c r="W70" s="58"/>
      <c r="X70" s="58"/>
      <c r="Y70" s="58"/>
      <c r="Z70" s="58"/>
    </row>
    <row r="71" ht="96.0" customHeight="1">
      <c r="A71" s="101" t="s">
        <v>491</v>
      </c>
      <c r="B71" s="176" t="s">
        <v>38</v>
      </c>
      <c r="C71" s="75" t="s">
        <v>1879</v>
      </c>
      <c r="D71" s="75" t="s">
        <v>1880</v>
      </c>
      <c r="E71" s="362" t="s">
        <v>1863</v>
      </c>
      <c r="F71" s="75" t="s">
        <v>1864</v>
      </c>
      <c r="G71" s="76">
        <v>15.0</v>
      </c>
      <c r="H71" s="77">
        <v>15.0</v>
      </c>
      <c r="I71" s="77" t="s">
        <v>498</v>
      </c>
      <c r="J71" s="58"/>
      <c r="K71" s="58"/>
      <c r="L71" s="58"/>
      <c r="M71" s="58"/>
      <c r="N71" s="58"/>
      <c r="O71" s="58"/>
      <c r="P71" s="58"/>
      <c r="Q71" s="58"/>
      <c r="R71" s="58"/>
      <c r="S71" s="58"/>
      <c r="T71" s="58"/>
      <c r="U71" s="58"/>
      <c r="V71" s="58"/>
      <c r="W71" s="58"/>
      <c r="X71" s="58"/>
      <c r="Y71" s="58"/>
      <c r="Z71" s="58"/>
    </row>
    <row r="72" ht="110.25" customHeight="1">
      <c r="A72" s="101" t="s">
        <v>491</v>
      </c>
      <c r="B72" s="176" t="s">
        <v>38</v>
      </c>
      <c r="C72" s="75" t="s">
        <v>1881</v>
      </c>
      <c r="D72" s="75" t="s">
        <v>1874</v>
      </c>
      <c r="E72" s="362" t="s">
        <v>1863</v>
      </c>
      <c r="F72" s="75" t="s">
        <v>1864</v>
      </c>
      <c r="G72" s="76">
        <v>15.0</v>
      </c>
      <c r="H72" s="77">
        <v>15.0</v>
      </c>
      <c r="I72" s="77" t="s">
        <v>498</v>
      </c>
      <c r="J72" s="58"/>
      <c r="K72" s="58"/>
      <c r="L72" s="58"/>
      <c r="M72" s="58"/>
      <c r="N72" s="58"/>
      <c r="O72" s="58"/>
      <c r="P72" s="58"/>
      <c r="Q72" s="58"/>
      <c r="R72" s="58"/>
      <c r="S72" s="58"/>
      <c r="T72" s="58"/>
      <c r="U72" s="58"/>
      <c r="V72" s="58"/>
      <c r="W72" s="58"/>
      <c r="X72" s="58"/>
      <c r="Y72" s="58"/>
      <c r="Z72" s="58"/>
    </row>
    <row r="73" ht="110.25" customHeight="1">
      <c r="A73" s="101" t="s">
        <v>491</v>
      </c>
      <c r="B73" s="176" t="s">
        <v>38</v>
      </c>
      <c r="C73" s="75" t="s">
        <v>1861</v>
      </c>
      <c r="D73" s="75" t="s">
        <v>1874</v>
      </c>
      <c r="E73" s="362" t="s">
        <v>1863</v>
      </c>
      <c r="F73" s="75" t="s">
        <v>1864</v>
      </c>
      <c r="G73" s="76">
        <v>15.0</v>
      </c>
      <c r="H73" s="77">
        <v>15.0</v>
      </c>
      <c r="I73" s="77" t="s">
        <v>498</v>
      </c>
      <c r="J73" s="58"/>
      <c r="K73" s="58"/>
      <c r="L73" s="58"/>
      <c r="M73" s="58"/>
      <c r="N73" s="58"/>
      <c r="O73" s="58"/>
      <c r="P73" s="58"/>
      <c r="Q73" s="58"/>
      <c r="R73" s="58"/>
      <c r="S73" s="58"/>
      <c r="T73" s="58"/>
      <c r="U73" s="58"/>
      <c r="V73" s="58"/>
      <c r="W73" s="58"/>
      <c r="X73" s="58"/>
      <c r="Y73" s="58"/>
      <c r="Z73" s="58"/>
    </row>
    <row r="74" ht="96.0" customHeight="1">
      <c r="A74" s="101" t="s">
        <v>491</v>
      </c>
      <c r="B74" s="176" t="s">
        <v>38</v>
      </c>
      <c r="C74" s="75" t="s">
        <v>1882</v>
      </c>
      <c r="D74" s="75" t="s">
        <v>1883</v>
      </c>
      <c r="E74" s="362" t="s">
        <v>1863</v>
      </c>
      <c r="F74" s="75" t="s">
        <v>1864</v>
      </c>
      <c r="G74" s="76">
        <v>15.0</v>
      </c>
      <c r="H74" s="77">
        <v>15.0</v>
      </c>
      <c r="I74" s="77" t="s">
        <v>498</v>
      </c>
      <c r="J74" s="58"/>
      <c r="K74" s="58"/>
      <c r="L74" s="58"/>
      <c r="M74" s="58"/>
      <c r="N74" s="58"/>
      <c r="O74" s="58"/>
      <c r="P74" s="58"/>
      <c r="Q74" s="58"/>
      <c r="R74" s="58"/>
      <c r="S74" s="58"/>
      <c r="T74" s="58"/>
      <c r="U74" s="58"/>
      <c r="V74" s="58"/>
      <c r="W74" s="58"/>
      <c r="X74" s="58"/>
      <c r="Y74" s="58"/>
      <c r="Z74" s="58"/>
    </row>
    <row r="75" ht="123.75" customHeight="1">
      <c r="A75" s="101" t="s">
        <v>491</v>
      </c>
      <c r="B75" s="176" t="s">
        <v>38</v>
      </c>
      <c r="C75" s="75" t="s">
        <v>1884</v>
      </c>
      <c r="D75" s="75" t="s">
        <v>1862</v>
      </c>
      <c r="E75" s="362" t="s">
        <v>1863</v>
      </c>
      <c r="F75" s="75" t="s">
        <v>1864</v>
      </c>
      <c r="G75" s="76">
        <v>15.0</v>
      </c>
      <c r="H75" s="77">
        <v>15.0</v>
      </c>
      <c r="I75" s="77" t="s">
        <v>498</v>
      </c>
      <c r="J75" s="58"/>
      <c r="K75" s="58"/>
      <c r="L75" s="58"/>
      <c r="M75" s="58"/>
      <c r="N75" s="58"/>
      <c r="O75" s="58"/>
      <c r="P75" s="58"/>
      <c r="Q75" s="58"/>
      <c r="R75" s="58"/>
      <c r="S75" s="58"/>
      <c r="T75" s="58"/>
      <c r="U75" s="58"/>
      <c r="V75" s="58"/>
      <c r="W75" s="58"/>
      <c r="X75" s="58"/>
      <c r="Y75" s="58"/>
      <c r="Z75" s="58"/>
    </row>
    <row r="76" ht="110.25" customHeight="1">
      <c r="A76" s="101" t="s">
        <v>491</v>
      </c>
      <c r="B76" s="176" t="s">
        <v>38</v>
      </c>
      <c r="C76" s="75" t="s">
        <v>1885</v>
      </c>
      <c r="D76" s="75" t="s">
        <v>1874</v>
      </c>
      <c r="E76" s="362" t="s">
        <v>1863</v>
      </c>
      <c r="F76" s="75" t="s">
        <v>1864</v>
      </c>
      <c r="G76" s="76">
        <v>15.0</v>
      </c>
      <c r="H76" s="77">
        <v>15.0</v>
      </c>
      <c r="I76" s="77" t="s">
        <v>498</v>
      </c>
      <c r="J76" s="58"/>
      <c r="K76" s="58"/>
      <c r="L76" s="58"/>
      <c r="M76" s="58"/>
      <c r="N76" s="58"/>
      <c r="O76" s="58"/>
      <c r="P76" s="58"/>
      <c r="Q76" s="58"/>
      <c r="R76" s="58"/>
      <c r="S76" s="58"/>
      <c r="T76" s="58"/>
      <c r="U76" s="58"/>
      <c r="V76" s="58"/>
      <c r="W76" s="58"/>
      <c r="X76" s="58"/>
      <c r="Y76" s="58"/>
      <c r="Z76" s="58"/>
    </row>
    <row r="77" ht="110.25" customHeight="1">
      <c r="A77" s="101" t="s">
        <v>1886</v>
      </c>
      <c r="B77" s="176" t="s">
        <v>38</v>
      </c>
      <c r="C77" s="75" t="s">
        <v>1887</v>
      </c>
      <c r="D77" s="75" t="s">
        <v>1888</v>
      </c>
      <c r="E77" s="362" t="s">
        <v>1889</v>
      </c>
      <c r="F77" s="75" t="s">
        <v>1890</v>
      </c>
      <c r="G77" s="76">
        <v>50.0</v>
      </c>
      <c r="H77" s="77">
        <v>16.67</v>
      </c>
      <c r="I77" s="77" t="s">
        <v>498</v>
      </c>
      <c r="J77" s="58"/>
      <c r="K77" s="58"/>
      <c r="L77" s="58"/>
      <c r="M77" s="58"/>
      <c r="N77" s="58"/>
      <c r="O77" s="58"/>
      <c r="P77" s="58"/>
      <c r="Q77" s="58"/>
      <c r="R77" s="58"/>
      <c r="S77" s="58"/>
      <c r="T77" s="58"/>
      <c r="U77" s="58"/>
      <c r="V77" s="58"/>
      <c r="W77" s="58"/>
      <c r="X77" s="58"/>
      <c r="Y77" s="58"/>
      <c r="Z77" s="58"/>
    </row>
    <row r="78" ht="110.25" customHeight="1">
      <c r="A78" s="101" t="s">
        <v>491</v>
      </c>
      <c r="B78" s="176" t="s">
        <v>38</v>
      </c>
      <c r="C78" s="75" t="s">
        <v>1891</v>
      </c>
      <c r="D78" s="75" t="s">
        <v>1874</v>
      </c>
      <c r="E78" s="362" t="s">
        <v>1863</v>
      </c>
      <c r="F78" s="75" t="s">
        <v>1864</v>
      </c>
      <c r="G78" s="76">
        <v>15.0</v>
      </c>
      <c r="H78" s="77">
        <v>15.0</v>
      </c>
      <c r="I78" s="77" t="s">
        <v>498</v>
      </c>
      <c r="J78" s="58"/>
      <c r="K78" s="58"/>
      <c r="L78" s="58"/>
      <c r="M78" s="58"/>
      <c r="N78" s="58"/>
      <c r="O78" s="58"/>
      <c r="P78" s="58"/>
      <c r="Q78" s="58"/>
      <c r="R78" s="58"/>
      <c r="S78" s="58"/>
      <c r="T78" s="58"/>
      <c r="U78" s="58"/>
      <c r="V78" s="58"/>
      <c r="W78" s="58"/>
      <c r="X78" s="58"/>
      <c r="Y78" s="58"/>
      <c r="Z78" s="58"/>
    </row>
    <row r="79" ht="96.0" customHeight="1">
      <c r="A79" s="101" t="s">
        <v>518</v>
      </c>
      <c r="B79" s="176" t="s">
        <v>38</v>
      </c>
      <c r="C79" s="75" t="s">
        <v>1892</v>
      </c>
      <c r="D79" s="75" t="s">
        <v>1893</v>
      </c>
      <c r="E79" s="362" t="s">
        <v>1894</v>
      </c>
      <c r="F79" s="75" t="s">
        <v>1895</v>
      </c>
      <c r="G79" s="76">
        <v>50.0</v>
      </c>
      <c r="H79" s="77">
        <v>50.0</v>
      </c>
      <c r="I79" s="77" t="s">
        <v>62</v>
      </c>
      <c r="J79" s="58"/>
      <c r="K79" s="58"/>
      <c r="L79" s="58"/>
      <c r="M79" s="58"/>
      <c r="N79" s="58"/>
      <c r="O79" s="58"/>
      <c r="P79" s="58"/>
      <c r="Q79" s="58"/>
      <c r="R79" s="58"/>
      <c r="S79" s="58"/>
      <c r="T79" s="58"/>
      <c r="U79" s="58"/>
      <c r="V79" s="58"/>
      <c r="W79" s="58"/>
      <c r="X79" s="58"/>
      <c r="Y79" s="58"/>
      <c r="Z79" s="58"/>
    </row>
    <row r="80" ht="138.0" customHeight="1">
      <c r="A80" s="101" t="s">
        <v>518</v>
      </c>
      <c r="B80" s="176" t="s">
        <v>38</v>
      </c>
      <c r="C80" s="75" t="s">
        <v>1892</v>
      </c>
      <c r="D80" s="75" t="s">
        <v>1896</v>
      </c>
      <c r="E80" s="362" t="s">
        <v>1897</v>
      </c>
      <c r="F80" s="75" t="s">
        <v>1890</v>
      </c>
      <c r="G80" s="76">
        <v>50.0</v>
      </c>
      <c r="H80" s="77">
        <v>50.0</v>
      </c>
      <c r="I80" s="77" t="s">
        <v>62</v>
      </c>
      <c r="J80" s="58"/>
      <c r="K80" s="58"/>
      <c r="L80" s="58"/>
      <c r="M80" s="58"/>
      <c r="N80" s="58"/>
      <c r="O80" s="58"/>
      <c r="P80" s="58"/>
      <c r="Q80" s="58"/>
      <c r="R80" s="58"/>
      <c r="S80" s="58"/>
      <c r="T80" s="58"/>
      <c r="U80" s="58"/>
      <c r="V80" s="58"/>
      <c r="W80" s="58"/>
      <c r="X80" s="58"/>
      <c r="Y80" s="58"/>
      <c r="Z80" s="58"/>
    </row>
    <row r="81" ht="123.75" customHeight="1">
      <c r="A81" s="101" t="s">
        <v>518</v>
      </c>
      <c r="B81" s="176" t="s">
        <v>38</v>
      </c>
      <c r="C81" s="75" t="s">
        <v>1892</v>
      </c>
      <c r="D81" s="75" t="s">
        <v>1898</v>
      </c>
      <c r="E81" s="362" t="s">
        <v>1899</v>
      </c>
      <c r="F81" s="75" t="s">
        <v>1890</v>
      </c>
      <c r="G81" s="76">
        <v>50.0</v>
      </c>
      <c r="H81" s="77">
        <v>50.0</v>
      </c>
      <c r="I81" s="77" t="s">
        <v>62</v>
      </c>
      <c r="J81" s="58"/>
      <c r="K81" s="58"/>
      <c r="L81" s="58"/>
      <c r="M81" s="58"/>
      <c r="N81" s="58"/>
      <c r="O81" s="58"/>
      <c r="P81" s="58"/>
      <c r="Q81" s="58"/>
      <c r="R81" s="58"/>
      <c r="S81" s="58"/>
      <c r="T81" s="58"/>
      <c r="U81" s="58"/>
      <c r="V81" s="58"/>
      <c r="W81" s="58"/>
      <c r="X81" s="58"/>
      <c r="Y81" s="58"/>
      <c r="Z81" s="58"/>
    </row>
    <row r="82" ht="151.5" customHeight="1">
      <c r="A82" s="101" t="s">
        <v>518</v>
      </c>
      <c r="B82" s="176" t="s">
        <v>38</v>
      </c>
      <c r="C82" s="75" t="s">
        <v>1892</v>
      </c>
      <c r="D82" s="75" t="s">
        <v>1900</v>
      </c>
      <c r="E82" s="362" t="s">
        <v>1901</v>
      </c>
      <c r="F82" s="75" t="s">
        <v>1902</v>
      </c>
      <c r="G82" s="76">
        <v>50.0</v>
      </c>
      <c r="H82" s="77">
        <v>50.0</v>
      </c>
      <c r="I82" s="77" t="s">
        <v>62</v>
      </c>
      <c r="J82" s="58"/>
      <c r="K82" s="58"/>
      <c r="L82" s="58"/>
      <c r="M82" s="58"/>
      <c r="N82" s="58"/>
      <c r="O82" s="58"/>
      <c r="P82" s="58"/>
      <c r="Q82" s="58"/>
      <c r="R82" s="58"/>
      <c r="S82" s="58"/>
      <c r="T82" s="58"/>
      <c r="U82" s="58"/>
      <c r="V82" s="58"/>
      <c r="W82" s="58"/>
      <c r="X82" s="58"/>
      <c r="Y82" s="58"/>
      <c r="Z82" s="58"/>
    </row>
    <row r="83" ht="138.0" customHeight="1">
      <c r="A83" s="101" t="s">
        <v>518</v>
      </c>
      <c r="B83" s="176" t="s">
        <v>38</v>
      </c>
      <c r="C83" s="75" t="s">
        <v>1892</v>
      </c>
      <c r="D83" s="75" t="s">
        <v>1903</v>
      </c>
      <c r="E83" s="362" t="s">
        <v>1904</v>
      </c>
      <c r="F83" s="75" t="s">
        <v>1902</v>
      </c>
      <c r="G83" s="76">
        <v>50.0</v>
      </c>
      <c r="H83" s="77">
        <v>50.0</v>
      </c>
      <c r="I83" s="77" t="s">
        <v>62</v>
      </c>
      <c r="J83" s="58"/>
      <c r="K83" s="58"/>
      <c r="L83" s="58"/>
      <c r="M83" s="58"/>
      <c r="N83" s="58"/>
      <c r="O83" s="58"/>
      <c r="P83" s="58"/>
      <c r="Q83" s="58"/>
      <c r="R83" s="58"/>
      <c r="S83" s="58"/>
      <c r="T83" s="58"/>
      <c r="U83" s="58"/>
      <c r="V83" s="58"/>
      <c r="W83" s="58"/>
      <c r="X83" s="58"/>
      <c r="Y83" s="58"/>
      <c r="Z83" s="58"/>
    </row>
    <row r="84" ht="138.0" customHeight="1">
      <c r="A84" s="101" t="s">
        <v>518</v>
      </c>
      <c r="B84" s="176" t="s">
        <v>38</v>
      </c>
      <c r="C84" s="75" t="s">
        <v>1905</v>
      </c>
      <c r="D84" s="75" t="s">
        <v>1906</v>
      </c>
      <c r="E84" s="362" t="s">
        <v>1904</v>
      </c>
      <c r="F84" s="75" t="s">
        <v>1902</v>
      </c>
      <c r="G84" s="76">
        <v>50.0</v>
      </c>
      <c r="H84" s="77">
        <v>25.0</v>
      </c>
      <c r="I84" s="77" t="s">
        <v>62</v>
      </c>
      <c r="J84" s="58"/>
      <c r="K84" s="58"/>
      <c r="L84" s="58"/>
      <c r="M84" s="58"/>
      <c r="N84" s="58"/>
      <c r="O84" s="58"/>
      <c r="P84" s="58"/>
      <c r="Q84" s="58"/>
      <c r="R84" s="58"/>
      <c r="S84" s="58"/>
      <c r="T84" s="58"/>
      <c r="U84" s="58"/>
      <c r="V84" s="58"/>
      <c r="W84" s="58"/>
      <c r="X84" s="58"/>
      <c r="Y84" s="58"/>
      <c r="Z84" s="58"/>
    </row>
    <row r="85" ht="138.0" customHeight="1">
      <c r="A85" s="101" t="s">
        <v>518</v>
      </c>
      <c r="B85" s="176" t="s">
        <v>38</v>
      </c>
      <c r="C85" s="75" t="s">
        <v>1905</v>
      </c>
      <c r="D85" s="75" t="s">
        <v>1907</v>
      </c>
      <c r="E85" s="362" t="s">
        <v>1904</v>
      </c>
      <c r="F85" s="75" t="s">
        <v>1902</v>
      </c>
      <c r="G85" s="76">
        <v>50.0</v>
      </c>
      <c r="H85" s="77">
        <v>25.0</v>
      </c>
      <c r="I85" s="77" t="s">
        <v>62</v>
      </c>
      <c r="J85" s="58"/>
      <c r="K85" s="58"/>
      <c r="L85" s="58"/>
      <c r="M85" s="58"/>
      <c r="N85" s="58"/>
      <c r="O85" s="58"/>
      <c r="P85" s="58"/>
      <c r="Q85" s="58"/>
      <c r="R85" s="58"/>
      <c r="S85" s="58"/>
      <c r="T85" s="58"/>
      <c r="U85" s="58"/>
      <c r="V85" s="58"/>
      <c r="W85" s="58"/>
      <c r="X85" s="58"/>
      <c r="Y85" s="58"/>
      <c r="Z85" s="58"/>
    </row>
    <row r="86" ht="110.25" customHeight="1">
      <c r="A86" s="101" t="s">
        <v>1908</v>
      </c>
      <c r="B86" s="176" t="s">
        <v>38</v>
      </c>
      <c r="C86" s="75" t="s">
        <v>1909</v>
      </c>
      <c r="D86" s="75" t="s">
        <v>1910</v>
      </c>
      <c r="E86" s="362" t="s">
        <v>1911</v>
      </c>
      <c r="F86" s="75" t="s">
        <v>1912</v>
      </c>
      <c r="G86" s="76">
        <v>50.0</v>
      </c>
      <c r="H86" s="77">
        <v>25.0</v>
      </c>
      <c r="I86" s="77" t="s">
        <v>62</v>
      </c>
      <c r="J86" s="58"/>
      <c r="K86" s="58"/>
      <c r="L86" s="58"/>
      <c r="M86" s="58"/>
      <c r="N86" s="58"/>
      <c r="O86" s="58"/>
      <c r="P86" s="58"/>
      <c r="Q86" s="58"/>
      <c r="R86" s="58"/>
      <c r="S86" s="58"/>
      <c r="T86" s="58"/>
      <c r="U86" s="58"/>
      <c r="V86" s="58"/>
      <c r="W86" s="58"/>
      <c r="X86" s="58"/>
      <c r="Y86" s="58"/>
      <c r="Z86" s="58"/>
    </row>
    <row r="87" ht="123.75" customHeight="1">
      <c r="A87" s="101" t="s">
        <v>1908</v>
      </c>
      <c r="B87" s="176" t="s">
        <v>38</v>
      </c>
      <c r="C87" s="75" t="s">
        <v>1909</v>
      </c>
      <c r="D87" s="75" t="s">
        <v>1913</v>
      </c>
      <c r="E87" s="362" t="s">
        <v>1914</v>
      </c>
      <c r="F87" s="75" t="s">
        <v>1915</v>
      </c>
      <c r="G87" s="76">
        <v>15.0</v>
      </c>
      <c r="H87" s="77">
        <v>7.5</v>
      </c>
      <c r="I87" s="77" t="s">
        <v>62</v>
      </c>
      <c r="J87" s="58"/>
      <c r="K87" s="58"/>
      <c r="L87" s="58"/>
      <c r="M87" s="58"/>
      <c r="N87" s="58"/>
      <c r="O87" s="58"/>
      <c r="P87" s="58"/>
      <c r="Q87" s="58"/>
      <c r="R87" s="58"/>
      <c r="S87" s="58"/>
      <c r="T87" s="58"/>
      <c r="U87" s="58"/>
      <c r="V87" s="58"/>
      <c r="W87" s="58"/>
      <c r="X87" s="58"/>
      <c r="Y87" s="58"/>
      <c r="Z87" s="58"/>
    </row>
    <row r="88" ht="110.25" customHeight="1">
      <c r="A88" s="101" t="s">
        <v>1908</v>
      </c>
      <c r="B88" s="176" t="s">
        <v>38</v>
      </c>
      <c r="C88" s="75" t="s">
        <v>1909</v>
      </c>
      <c r="D88" s="385" t="s">
        <v>1916</v>
      </c>
      <c r="E88" s="362" t="s">
        <v>1917</v>
      </c>
      <c r="F88" s="75"/>
      <c r="G88" s="76" t="s">
        <v>1918</v>
      </c>
      <c r="H88" s="77">
        <v>30.0</v>
      </c>
      <c r="I88" s="77" t="s">
        <v>62</v>
      </c>
      <c r="J88" s="58"/>
      <c r="K88" s="58"/>
      <c r="L88" s="58"/>
      <c r="M88" s="58"/>
      <c r="N88" s="58"/>
      <c r="O88" s="58"/>
      <c r="P88" s="58"/>
      <c r="Q88" s="58"/>
      <c r="R88" s="58"/>
      <c r="S88" s="58"/>
      <c r="T88" s="58"/>
      <c r="U88" s="58"/>
      <c r="V88" s="58"/>
      <c r="W88" s="58"/>
      <c r="X88" s="58"/>
      <c r="Y88" s="58"/>
      <c r="Z88" s="58"/>
    </row>
    <row r="89" ht="96.0" customHeight="1">
      <c r="A89" s="101" t="s">
        <v>1908</v>
      </c>
      <c r="B89" s="176" t="s">
        <v>38</v>
      </c>
      <c r="C89" s="75" t="s">
        <v>1919</v>
      </c>
      <c r="D89" s="75" t="s">
        <v>1920</v>
      </c>
      <c r="E89" s="362" t="s">
        <v>1894</v>
      </c>
      <c r="F89" s="75" t="s">
        <v>1895</v>
      </c>
      <c r="G89" s="76">
        <v>50.0</v>
      </c>
      <c r="H89" s="77">
        <v>50.0</v>
      </c>
      <c r="I89" s="77" t="s">
        <v>62</v>
      </c>
      <c r="J89" s="58"/>
      <c r="K89" s="58"/>
      <c r="L89" s="58"/>
      <c r="M89" s="58"/>
      <c r="N89" s="58"/>
      <c r="O89" s="58"/>
      <c r="P89" s="58"/>
      <c r="Q89" s="58"/>
      <c r="R89" s="58"/>
      <c r="S89" s="58"/>
      <c r="T89" s="58"/>
      <c r="U89" s="58"/>
      <c r="V89" s="58"/>
      <c r="W89" s="58"/>
      <c r="X89" s="58"/>
      <c r="Y89" s="58"/>
      <c r="Z89" s="58"/>
    </row>
    <row r="90" ht="14.25" customHeight="1">
      <c r="A90" s="101"/>
      <c r="B90" s="176"/>
      <c r="C90" s="75"/>
      <c r="D90" s="75"/>
      <c r="E90" s="362"/>
      <c r="F90" s="75"/>
      <c r="G90" s="76"/>
      <c r="H90" s="77"/>
      <c r="I90" s="77"/>
      <c r="J90" s="58"/>
      <c r="K90" s="58"/>
      <c r="L90" s="58"/>
      <c r="M90" s="58"/>
      <c r="N90" s="58"/>
      <c r="O90" s="58"/>
      <c r="P90" s="58"/>
      <c r="Q90" s="58"/>
      <c r="R90" s="58"/>
      <c r="S90" s="58"/>
      <c r="T90" s="58"/>
      <c r="U90" s="58"/>
      <c r="V90" s="58"/>
      <c r="W90" s="58"/>
      <c r="X90" s="58"/>
      <c r="Y90" s="58"/>
      <c r="Z90" s="58"/>
    </row>
    <row r="91" ht="151.5" customHeight="1">
      <c r="A91" s="101" t="s">
        <v>1908</v>
      </c>
      <c r="B91" s="176" t="s">
        <v>38</v>
      </c>
      <c r="C91" s="75" t="s">
        <v>1921</v>
      </c>
      <c r="D91" s="75" t="s">
        <v>1922</v>
      </c>
      <c r="E91" s="362" t="s">
        <v>1923</v>
      </c>
      <c r="F91" s="75" t="s">
        <v>1902</v>
      </c>
      <c r="G91" s="76">
        <v>50.0</v>
      </c>
      <c r="H91" s="77">
        <v>25.0</v>
      </c>
      <c r="I91" s="77" t="s">
        <v>62</v>
      </c>
      <c r="J91" s="58"/>
      <c r="K91" s="58"/>
      <c r="L91" s="58"/>
      <c r="M91" s="58"/>
      <c r="N91" s="58"/>
      <c r="O91" s="58"/>
      <c r="P91" s="58"/>
      <c r="Q91" s="58"/>
      <c r="R91" s="58"/>
      <c r="S91" s="58"/>
      <c r="T91" s="58"/>
      <c r="U91" s="58"/>
      <c r="V91" s="58"/>
      <c r="W91" s="58"/>
      <c r="X91" s="58"/>
      <c r="Y91" s="58"/>
      <c r="Z91" s="58"/>
    </row>
    <row r="92" ht="151.5" customHeight="1">
      <c r="A92" s="101" t="s">
        <v>1908</v>
      </c>
      <c r="B92" s="176" t="s">
        <v>38</v>
      </c>
      <c r="C92" s="75" t="s">
        <v>1924</v>
      </c>
      <c r="D92" s="75" t="s">
        <v>1925</v>
      </c>
      <c r="E92" s="362" t="s">
        <v>1923</v>
      </c>
      <c r="F92" s="75" t="s">
        <v>1902</v>
      </c>
      <c r="G92" s="76">
        <v>50.0</v>
      </c>
      <c r="H92" s="77">
        <v>25.0</v>
      </c>
      <c r="I92" s="77" t="s">
        <v>62</v>
      </c>
      <c r="J92" s="58"/>
      <c r="K92" s="58"/>
      <c r="L92" s="58"/>
      <c r="M92" s="58"/>
      <c r="N92" s="58"/>
      <c r="O92" s="58"/>
      <c r="P92" s="58"/>
      <c r="Q92" s="58"/>
      <c r="R92" s="58"/>
      <c r="S92" s="58"/>
      <c r="T92" s="58"/>
      <c r="U92" s="58"/>
      <c r="V92" s="58"/>
      <c r="W92" s="58"/>
      <c r="X92" s="58"/>
      <c r="Y92" s="58"/>
      <c r="Z92" s="58"/>
    </row>
    <row r="93" ht="151.5" customHeight="1">
      <c r="A93" s="101" t="s">
        <v>1908</v>
      </c>
      <c r="B93" s="176" t="s">
        <v>38</v>
      </c>
      <c r="C93" s="75" t="s">
        <v>1926</v>
      </c>
      <c r="D93" s="75" t="s">
        <v>1927</v>
      </c>
      <c r="E93" s="362" t="s">
        <v>1901</v>
      </c>
      <c r="F93" s="75" t="s">
        <v>1902</v>
      </c>
      <c r="G93" s="76">
        <v>50.0</v>
      </c>
      <c r="H93" s="77">
        <v>25.0</v>
      </c>
      <c r="I93" s="77" t="s">
        <v>62</v>
      </c>
      <c r="J93" s="58"/>
      <c r="K93" s="58"/>
      <c r="L93" s="58"/>
      <c r="M93" s="58"/>
      <c r="N93" s="58"/>
      <c r="O93" s="58"/>
      <c r="P93" s="58"/>
      <c r="Q93" s="58"/>
      <c r="R93" s="58"/>
      <c r="S93" s="58"/>
      <c r="T93" s="58"/>
      <c r="U93" s="58"/>
      <c r="V93" s="58"/>
      <c r="W93" s="58"/>
      <c r="X93" s="58"/>
      <c r="Y93" s="58"/>
      <c r="Z93" s="58"/>
    </row>
    <row r="94" ht="151.5" customHeight="1">
      <c r="A94" s="101" t="s">
        <v>1908</v>
      </c>
      <c r="B94" s="176" t="s">
        <v>38</v>
      </c>
      <c r="C94" s="75" t="s">
        <v>1928</v>
      </c>
      <c r="D94" s="75" t="s">
        <v>1929</v>
      </c>
      <c r="E94" s="362" t="s">
        <v>1901</v>
      </c>
      <c r="F94" s="75" t="s">
        <v>1902</v>
      </c>
      <c r="G94" s="76">
        <v>50.0</v>
      </c>
      <c r="H94" s="77">
        <v>50.0</v>
      </c>
      <c r="I94" s="77" t="s">
        <v>62</v>
      </c>
      <c r="J94" s="58"/>
      <c r="K94" s="58"/>
      <c r="L94" s="58"/>
      <c r="M94" s="58"/>
      <c r="N94" s="58"/>
      <c r="O94" s="58"/>
      <c r="P94" s="58"/>
      <c r="Q94" s="58"/>
      <c r="R94" s="58"/>
      <c r="S94" s="58"/>
      <c r="T94" s="58"/>
      <c r="U94" s="58"/>
      <c r="V94" s="58"/>
      <c r="W94" s="58"/>
      <c r="X94" s="58"/>
      <c r="Y94" s="58"/>
      <c r="Z94" s="58"/>
    </row>
    <row r="95" ht="110.25" customHeight="1">
      <c r="A95" s="101" t="s">
        <v>1908</v>
      </c>
      <c r="B95" s="176" t="s">
        <v>38</v>
      </c>
      <c r="C95" s="385" t="s">
        <v>1930</v>
      </c>
      <c r="D95" s="75" t="s">
        <v>1931</v>
      </c>
      <c r="E95" s="362" t="s">
        <v>1932</v>
      </c>
      <c r="F95" s="75" t="s">
        <v>1933</v>
      </c>
      <c r="G95" s="76">
        <v>50.0</v>
      </c>
      <c r="H95" s="77">
        <v>50.0</v>
      </c>
      <c r="I95" s="77" t="s">
        <v>62</v>
      </c>
      <c r="J95" s="58"/>
      <c r="K95" s="58"/>
      <c r="L95" s="58"/>
      <c r="M95" s="58"/>
      <c r="N95" s="58"/>
      <c r="O95" s="58"/>
      <c r="P95" s="58"/>
      <c r="Q95" s="58"/>
      <c r="R95" s="58"/>
      <c r="S95" s="58"/>
      <c r="T95" s="58"/>
      <c r="U95" s="58"/>
      <c r="V95" s="58"/>
      <c r="W95" s="58"/>
      <c r="X95" s="58"/>
      <c r="Y95" s="58"/>
      <c r="Z95" s="58"/>
    </row>
    <row r="96" ht="110.25" customHeight="1">
      <c r="A96" s="101" t="s">
        <v>1908</v>
      </c>
      <c r="B96" s="176" t="s">
        <v>38</v>
      </c>
      <c r="C96" s="385" t="s">
        <v>1934</v>
      </c>
      <c r="D96" s="75" t="s">
        <v>1931</v>
      </c>
      <c r="E96" s="362" t="s">
        <v>1932</v>
      </c>
      <c r="F96" s="75" t="s">
        <v>1933</v>
      </c>
      <c r="G96" s="76">
        <v>50.0</v>
      </c>
      <c r="H96" s="77">
        <v>50.0</v>
      </c>
      <c r="I96" s="77" t="s">
        <v>62</v>
      </c>
      <c r="J96" s="58"/>
      <c r="K96" s="58"/>
      <c r="L96" s="58"/>
      <c r="M96" s="58"/>
      <c r="N96" s="58"/>
      <c r="O96" s="58"/>
      <c r="P96" s="58"/>
      <c r="Q96" s="58"/>
      <c r="R96" s="58"/>
      <c r="S96" s="58"/>
      <c r="T96" s="58"/>
      <c r="U96" s="58"/>
      <c r="V96" s="58"/>
      <c r="W96" s="58"/>
      <c r="X96" s="58"/>
      <c r="Y96" s="58"/>
      <c r="Z96" s="58"/>
    </row>
    <row r="97" ht="110.25" customHeight="1">
      <c r="A97" s="101" t="s">
        <v>1908</v>
      </c>
      <c r="B97" s="176" t="s">
        <v>38</v>
      </c>
      <c r="C97" s="385" t="s">
        <v>1935</v>
      </c>
      <c r="D97" s="75" t="s">
        <v>1931</v>
      </c>
      <c r="E97" s="362" t="s">
        <v>1932</v>
      </c>
      <c r="F97" s="75" t="s">
        <v>1933</v>
      </c>
      <c r="G97" s="76">
        <v>50.0</v>
      </c>
      <c r="H97" s="77">
        <v>50.0</v>
      </c>
      <c r="I97" s="77" t="s">
        <v>62</v>
      </c>
      <c r="J97" s="58"/>
      <c r="K97" s="58"/>
      <c r="L97" s="58"/>
      <c r="M97" s="58"/>
      <c r="N97" s="58"/>
      <c r="O97" s="58"/>
      <c r="P97" s="58"/>
      <c r="Q97" s="58"/>
      <c r="R97" s="58"/>
      <c r="S97" s="58"/>
      <c r="T97" s="58"/>
      <c r="U97" s="58"/>
      <c r="V97" s="58"/>
      <c r="W97" s="58"/>
      <c r="X97" s="58"/>
      <c r="Y97" s="58"/>
      <c r="Z97" s="58"/>
    </row>
    <row r="98" ht="110.25" customHeight="1">
      <c r="A98" s="101" t="s">
        <v>1908</v>
      </c>
      <c r="B98" s="176" t="s">
        <v>38</v>
      </c>
      <c r="C98" s="385" t="s">
        <v>1935</v>
      </c>
      <c r="D98" s="75" t="s">
        <v>1936</v>
      </c>
      <c r="E98" s="362" t="s">
        <v>1932</v>
      </c>
      <c r="F98" s="75" t="s">
        <v>1933</v>
      </c>
      <c r="G98" s="76">
        <v>50.0</v>
      </c>
      <c r="H98" s="77">
        <v>50.0</v>
      </c>
      <c r="I98" s="77" t="s">
        <v>62</v>
      </c>
      <c r="J98" s="58"/>
      <c r="K98" s="58"/>
      <c r="L98" s="58"/>
      <c r="M98" s="58"/>
      <c r="N98" s="58"/>
      <c r="O98" s="58"/>
      <c r="P98" s="58"/>
      <c r="Q98" s="58"/>
      <c r="R98" s="58"/>
      <c r="S98" s="58"/>
      <c r="T98" s="58"/>
      <c r="U98" s="58"/>
      <c r="V98" s="58"/>
      <c r="W98" s="58"/>
      <c r="X98" s="58"/>
      <c r="Y98" s="58"/>
      <c r="Z98" s="58"/>
    </row>
    <row r="99" ht="110.25" customHeight="1">
      <c r="A99" s="101" t="s">
        <v>1908</v>
      </c>
      <c r="B99" s="176" t="s">
        <v>38</v>
      </c>
      <c r="C99" s="385" t="s">
        <v>1930</v>
      </c>
      <c r="D99" s="75" t="s">
        <v>1937</v>
      </c>
      <c r="E99" s="362" t="s">
        <v>1932</v>
      </c>
      <c r="F99" s="75" t="s">
        <v>1933</v>
      </c>
      <c r="G99" s="76">
        <v>50.0</v>
      </c>
      <c r="H99" s="77">
        <v>50.0</v>
      </c>
      <c r="I99" s="77" t="s">
        <v>62</v>
      </c>
      <c r="J99" s="58"/>
      <c r="K99" s="58"/>
      <c r="L99" s="58"/>
      <c r="M99" s="58"/>
      <c r="N99" s="58"/>
      <c r="O99" s="58"/>
      <c r="P99" s="58"/>
      <c r="Q99" s="58"/>
      <c r="R99" s="58"/>
      <c r="S99" s="58"/>
      <c r="T99" s="58"/>
      <c r="U99" s="58"/>
      <c r="V99" s="58"/>
      <c r="W99" s="58"/>
      <c r="X99" s="58"/>
      <c r="Y99" s="58"/>
      <c r="Z99" s="58"/>
    </row>
    <row r="100" ht="110.25" customHeight="1">
      <c r="A100" s="101" t="s">
        <v>1908</v>
      </c>
      <c r="B100" s="176" t="s">
        <v>38</v>
      </c>
      <c r="C100" s="385" t="s">
        <v>1930</v>
      </c>
      <c r="D100" s="75" t="s">
        <v>1937</v>
      </c>
      <c r="E100" s="362" t="s">
        <v>1932</v>
      </c>
      <c r="F100" s="75" t="s">
        <v>1933</v>
      </c>
      <c r="G100" s="76">
        <v>50.0</v>
      </c>
      <c r="H100" s="77">
        <v>50.0</v>
      </c>
      <c r="I100" s="77" t="s">
        <v>62</v>
      </c>
      <c r="J100" s="58"/>
      <c r="K100" s="58"/>
      <c r="L100" s="58"/>
      <c r="M100" s="58"/>
      <c r="N100" s="58"/>
      <c r="O100" s="58"/>
      <c r="P100" s="58"/>
      <c r="Q100" s="58"/>
      <c r="R100" s="58"/>
      <c r="S100" s="58"/>
      <c r="T100" s="58"/>
      <c r="U100" s="58"/>
      <c r="V100" s="58"/>
      <c r="W100" s="58"/>
      <c r="X100" s="58"/>
      <c r="Y100" s="58"/>
      <c r="Z100" s="58"/>
    </row>
    <row r="101" ht="110.25" customHeight="1">
      <c r="A101" s="101" t="s">
        <v>1908</v>
      </c>
      <c r="B101" s="176" t="s">
        <v>38</v>
      </c>
      <c r="C101" s="385" t="s">
        <v>1938</v>
      </c>
      <c r="D101" s="75" t="s">
        <v>1939</v>
      </c>
      <c r="E101" s="362" t="s">
        <v>1932</v>
      </c>
      <c r="F101" s="75" t="s">
        <v>1933</v>
      </c>
      <c r="G101" s="76">
        <v>50.0</v>
      </c>
      <c r="H101" s="77">
        <v>50.0</v>
      </c>
      <c r="I101" s="77" t="s">
        <v>62</v>
      </c>
      <c r="J101" s="58"/>
      <c r="K101" s="58"/>
      <c r="L101" s="58"/>
      <c r="M101" s="58"/>
      <c r="N101" s="58"/>
      <c r="O101" s="58"/>
      <c r="P101" s="58"/>
      <c r="Q101" s="58"/>
      <c r="R101" s="58"/>
      <c r="S101" s="58"/>
      <c r="T101" s="58"/>
      <c r="U101" s="58"/>
      <c r="V101" s="58"/>
      <c r="W101" s="58"/>
      <c r="X101" s="58"/>
      <c r="Y101" s="58"/>
      <c r="Z101" s="58"/>
    </row>
    <row r="102" ht="110.25" customHeight="1">
      <c r="A102" s="101" t="s">
        <v>1908</v>
      </c>
      <c r="B102" s="176" t="s">
        <v>38</v>
      </c>
      <c r="C102" s="385" t="s">
        <v>1930</v>
      </c>
      <c r="D102" s="75" t="s">
        <v>1940</v>
      </c>
      <c r="E102" s="362" t="s">
        <v>1932</v>
      </c>
      <c r="F102" s="75" t="s">
        <v>1933</v>
      </c>
      <c r="G102" s="76">
        <v>50.0</v>
      </c>
      <c r="H102" s="77">
        <v>50.0</v>
      </c>
      <c r="I102" s="77" t="s">
        <v>62</v>
      </c>
      <c r="J102" s="58"/>
      <c r="K102" s="58"/>
      <c r="L102" s="58"/>
      <c r="M102" s="58"/>
      <c r="N102" s="58"/>
      <c r="O102" s="58"/>
      <c r="P102" s="58"/>
      <c r="Q102" s="58"/>
      <c r="R102" s="58"/>
      <c r="S102" s="58"/>
      <c r="T102" s="58"/>
      <c r="U102" s="58"/>
      <c r="V102" s="58"/>
      <c r="W102" s="58"/>
      <c r="X102" s="58"/>
      <c r="Y102" s="58"/>
      <c r="Z102" s="58"/>
    </row>
    <row r="103" ht="110.25" customHeight="1">
      <c r="A103" s="101" t="s">
        <v>1908</v>
      </c>
      <c r="B103" s="176" t="s">
        <v>38</v>
      </c>
      <c r="C103" s="385" t="s">
        <v>1941</v>
      </c>
      <c r="D103" s="75" t="s">
        <v>1942</v>
      </c>
      <c r="E103" s="362" t="s">
        <v>1932</v>
      </c>
      <c r="F103" s="75" t="s">
        <v>1933</v>
      </c>
      <c r="G103" s="76">
        <v>50.0</v>
      </c>
      <c r="H103" s="77">
        <v>50.0</v>
      </c>
      <c r="I103" s="77" t="s">
        <v>62</v>
      </c>
      <c r="J103" s="58"/>
      <c r="K103" s="58"/>
      <c r="L103" s="58"/>
      <c r="M103" s="58"/>
      <c r="N103" s="58"/>
      <c r="O103" s="58"/>
      <c r="P103" s="58"/>
      <c r="Q103" s="58"/>
      <c r="R103" s="58"/>
      <c r="S103" s="58"/>
      <c r="T103" s="58"/>
      <c r="U103" s="58"/>
      <c r="V103" s="58"/>
      <c r="W103" s="58"/>
      <c r="X103" s="58"/>
      <c r="Y103" s="58"/>
      <c r="Z103" s="58"/>
    </row>
    <row r="104" ht="110.25" customHeight="1">
      <c r="A104" s="101" t="s">
        <v>1908</v>
      </c>
      <c r="B104" s="176" t="s">
        <v>38</v>
      </c>
      <c r="C104" s="385" t="s">
        <v>1938</v>
      </c>
      <c r="D104" s="75" t="s">
        <v>1943</v>
      </c>
      <c r="E104" s="362" t="s">
        <v>1932</v>
      </c>
      <c r="F104" s="75" t="s">
        <v>1933</v>
      </c>
      <c r="G104" s="76">
        <v>50.0</v>
      </c>
      <c r="H104" s="77">
        <v>50.0</v>
      </c>
      <c r="I104" s="77" t="s">
        <v>62</v>
      </c>
      <c r="J104" s="58"/>
      <c r="K104" s="58"/>
      <c r="L104" s="58"/>
      <c r="M104" s="58"/>
      <c r="N104" s="58"/>
      <c r="O104" s="58"/>
      <c r="P104" s="58"/>
      <c r="Q104" s="58"/>
      <c r="R104" s="58"/>
      <c r="S104" s="58"/>
      <c r="T104" s="58"/>
      <c r="U104" s="58"/>
      <c r="V104" s="58"/>
      <c r="W104" s="58"/>
      <c r="X104" s="58"/>
      <c r="Y104" s="58"/>
      <c r="Z104" s="58"/>
    </row>
    <row r="105" ht="110.25" customHeight="1">
      <c r="A105" s="101" t="s">
        <v>1908</v>
      </c>
      <c r="B105" s="176" t="s">
        <v>38</v>
      </c>
      <c r="C105" s="385" t="s">
        <v>1938</v>
      </c>
      <c r="D105" s="75" t="s">
        <v>1944</v>
      </c>
      <c r="E105" s="362" t="s">
        <v>1932</v>
      </c>
      <c r="F105" s="75" t="s">
        <v>1933</v>
      </c>
      <c r="G105" s="76">
        <v>50.0</v>
      </c>
      <c r="H105" s="77">
        <v>50.0</v>
      </c>
      <c r="I105" s="77" t="s">
        <v>62</v>
      </c>
      <c r="J105" s="58"/>
      <c r="K105" s="58"/>
      <c r="L105" s="58"/>
      <c r="M105" s="58"/>
      <c r="N105" s="58"/>
      <c r="O105" s="58"/>
      <c r="P105" s="58"/>
      <c r="Q105" s="58"/>
      <c r="R105" s="58"/>
      <c r="S105" s="58"/>
      <c r="T105" s="58"/>
      <c r="U105" s="58"/>
      <c r="V105" s="58"/>
      <c r="W105" s="58"/>
      <c r="X105" s="58"/>
      <c r="Y105" s="58"/>
      <c r="Z105" s="58"/>
    </row>
    <row r="106" ht="144.0" customHeight="1">
      <c r="A106" s="101" t="s">
        <v>1908</v>
      </c>
      <c r="B106" s="176" t="s">
        <v>38</v>
      </c>
      <c r="C106" s="385" t="s">
        <v>1945</v>
      </c>
      <c r="D106" s="75" t="s">
        <v>1946</v>
      </c>
      <c r="E106" s="362" t="s">
        <v>1947</v>
      </c>
      <c r="F106" s="75" t="s">
        <v>1933</v>
      </c>
      <c r="G106" s="76">
        <v>50.0</v>
      </c>
      <c r="H106" s="77">
        <v>50.0</v>
      </c>
      <c r="I106" s="77" t="s">
        <v>62</v>
      </c>
      <c r="J106" s="58"/>
      <c r="K106" s="58"/>
      <c r="L106" s="58"/>
      <c r="M106" s="58"/>
      <c r="N106" s="58"/>
      <c r="O106" s="58"/>
      <c r="P106" s="58"/>
      <c r="Q106" s="58"/>
      <c r="R106" s="58"/>
      <c r="S106" s="58"/>
      <c r="T106" s="58"/>
      <c r="U106" s="58"/>
      <c r="V106" s="58"/>
      <c r="W106" s="58"/>
      <c r="X106" s="58"/>
      <c r="Y106" s="58"/>
      <c r="Z106" s="58"/>
    </row>
    <row r="107" ht="303.0" customHeight="1">
      <c r="A107" s="101" t="s">
        <v>1908</v>
      </c>
      <c r="B107" s="176" t="s">
        <v>38</v>
      </c>
      <c r="C107" s="385" t="s">
        <v>1948</v>
      </c>
      <c r="D107" s="75" t="s">
        <v>1946</v>
      </c>
      <c r="E107" s="362" t="s">
        <v>1947</v>
      </c>
      <c r="F107" s="75" t="s">
        <v>1933</v>
      </c>
      <c r="G107" s="76">
        <v>50.0</v>
      </c>
      <c r="H107" s="77">
        <v>16.0</v>
      </c>
      <c r="I107" s="77" t="s">
        <v>62</v>
      </c>
      <c r="J107" s="58"/>
      <c r="K107" s="58"/>
      <c r="L107" s="58"/>
      <c r="M107" s="58"/>
      <c r="N107" s="58"/>
      <c r="O107" s="58"/>
      <c r="P107" s="58"/>
      <c r="Q107" s="58"/>
      <c r="R107" s="58"/>
      <c r="S107" s="58"/>
      <c r="T107" s="58"/>
      <c r="U107" s="58"/>
      <c r="V107" s="58"/>
      <c r="W107" s="58"/>
      <c r="X107" s="58"/>
      <c r="Y107" s="58"/>
      <c r="Z107" s="58"/>
    </row>
    <row r="108" ht="138.0" customHeight="1">
      <c r="A108" s="101" t="s">
        <v>1908</v>
      </c>
      <c r="B108" s="176" t="s">
        <v>38</v>
      </c>
      <c r="C108" s="385" t="s">
        <v>1949</v>
      </c>
      <c r="D108" s="75" t="s">
        <v>1950</v>
      </c>
      <c r="E108" s="362" t="s">
        <v>1951</v>
      </c>
      <c r="F108" s="75" t="s">
        <v>1933</v>
      </c>
      <c r="G108" s="76">
        <v>50.0</v>
      </c>
      <c r="H108" s="77">
        <v>50.0</v>
      </c>
      <c r="I108" s="77" t="s">
        <v>62</v>
      </c>
      <c r="J108" s="58"/>
      <c r="K108" s="58"/>
      <c r="L108" s="58"/>
      <c r="M108" s="58"/>
      <c r="N108" s="58"/>
      <c r="O108" s="58"/>
      <c r="P108" s="58"/>
      <c r="Q108" s="58"/>
      <c r="R108" s="58"/>
      <c r="S108" s="58"/>
      <c r="T108" s="58"/>
      <c r="U108" s="58"/>
      <c r="V108" s="58"/>
      <c r="W108" s="58"/>
      <c r="X108" s="58"/>
      <c r="Y108" s="58"/>
      <c r="Z108" s="58"/>
    </row>
    <row r="109" ht="138.0" customHeight="1">
      <c r="A109" s="101" t="s">
        <v>1908</v>
      </c>
      <c r="B109" s="176" t="s">
        <v>38</v>
      </c>
      <c r="C109" s="385" t="s">
        <v>1949</v>
      </c>
      <c r="D109" s="75" t="s">
        <v>1950</v>
      </c>
      <c r="E109" s="362" t="s">
        <v>1951</v>
      </c>
      <c r="F109" s="75" t="s">
        <v>1933</v>
      </c>
      <c r="G109" s="76">
        <v>50.0</v>
      </c>
      <c r="H109" s="77">
        <v>50.0</v>
      </c>
      <c r="I109" s="77" t="s">
        <v>62</v>
      </c>
      <c r="J109" s="58"/>
      <c r="K109" s="58"/>
      <c r="L109" s="58"/>
      <c r="M109" s="58"/>
      <c r="N109" s="58"/>
      <c r="O109" s="58"/>
      <c r="P109" s="58"/>
      <c r="Q109" s="58"/>
      <c r="R109" s="58"/>
      <c r="S109" s="58"/>
      <c r="T109" s="58"/>
      <c r="U109" s="58"/>
      <c r="V109" s="58"/>
      <c r="W109" s="58"/>
      <c r="X109" s="58"/>
      <c r="Y109" s="58"/>
      <c r="Z109" s="58"/>
    </row>
    <row r="110" ht="138.0" customHeight="1">
      <c r="A110" s="101" t="s">
        <v>1908</v>
      </c>
      <c r="B110" s="176" t="s">
        <v>38</v>
      </c>
      <c r="C110" s="385" t="s">
        <v>1949</v>
      </c>
      <c r="D110" s="75" t="s">
        <v>1952</v>
      </c>
      <c r="E110" s="362" t="s">
        <v>1951</v>
      </c>
      <c r="F110" s="75" t="s">
        <v>1933</v>
      </c>
      <c r="G110" s="76">
        <v>50.0</v>
      </c>
      <c r="H110" s="77">
        <v>50.0</v>
      </c>
      <c r="I110" s="77" t="s">
        <v>62</v>
      </c>
      <c r="J110" s="58"/>
      <c r="K110" s="58"/>
      <c r="L110" s="58"/>
      <c r="M110" s="58"/>
      <c r="N110" s="58"/>
      <c r="O110" s="58"/>
      <c r="P110" s="58"/>
      <c r="Q110" s="58"/>
      <c r="R110" s="58"/>
      <c r="S110" s="58"/>
      <c r="T110" s="58"/>
      <c r="U110" s="58"/>
      <c r="V110" s="58"/>
      <c r="W110" s="58"/>
      <c r="X110" s="58"/>
      <c r="Y110" s="58"/>
      <c r="Z110" s="58"/>
    </row>
    <row r="111" ht="179.25" customHeight="1">
      <c r="A111" s="101" t="s">
        <v>1908</v>
      </c>
      <c r="B111" s="176" t="s">
        <v>38</v>
      </c>
      <c r="C111" s="385" t="s">
        <v>1953</v>
      </c>
      <c r="D111" s="75" t="s">
        <v>1952</v>
      </c>
      <c r="E111" s="362" t="s">
        <v>1951</v>
      </c>
      <c r="F111" s="75" t="s">
        <v>1933</v>
      </c>
      <c r="G111" s="76">
        <v>50.0</v>
      </c>
      <c r="H111" s="77">
        <v>25.0</v>
      </c>
      <c r="I111" s="77" t="s">
        <v>62</v>
      </c>
      <c r="J111" s="58"/>
      <c r="K111" s="58"/>
      <c r="L111" s="58"/>
      <c r="M111" s="58"/>
      <c r="N111" s="58"/>
      <c r="O111" s="58"/>
      <c r="P111" s="58"/>
      <c r="Q111" s="58"/>
      <c r="R111" s="58"/>
      <c r="S111" s="58"/>
      <c r="T111" s="58"/>
      <c r="U111" s="58"/>
      <c r="V111" s="58"/>
      <c r="W111" s="58"/>
      <c r="X111" s="58"/>
      <c r="Y111" s="58"/>
      <c r="Z111" s="58"/>
    </row>
    <row r="112" ht="151.5" customHeight="1">
      <c r="A112" s="101" t="s">
        <v>1908</v>
      </c>
      <c r="B112" s="176" t="s">
        <v>38</v>
      </c>
      <c r="C112" s="385" t="s">
        <v>1930</v>
      </c>
      <c r="D112" s="75" t="s">
        <v>1954</v>
      </c>
      <c r="E112" s="362" t="s">
        <v>515</v>
      </c>
      <c r="F112" s="75" t="s">
        <v>1933</v>
      </c>
      <c r="G112" s="76">
        <v>50.0</v>
      </c>
      <c r="H112" s="77">
        <v>50.0</v>
      </c>
      <c r="I112" s="77" t="s">
        <v>62</v>
      </c>
      <c r="J112" s="58"/>
      <c r="K112" s="58"/>
      <c r="L112" s="58"/>
      <c r="M112" s="58"/>
      <c r="N112" s="58"/>
      <c r="O112" s="58"/>
      <c r="P112" s="58"/>
      <c r="Q112" s="58"/>
      <c r="R112" s="58"/>
      <c r="S112" s="58"/>
      <c r="T112" s="58"/>
      <c r="U112" s="58"/>
      <c r="V112" s="58"/>
      <c r="W112" s="58"/>
      <c r="X112" s="58"/>
      <c r="Y112" s="58"/>
      <c r="Z112" s="58"/>
    </row>
    <row r="113" ht="110.25" customHeight="1">
      <c r="A113" s="101" t="s">
        <v>1908</v>
      </c>
      <c r="B113" s="176" t="s">
        <v>38</v>
      </c>
      <c r="C113" s="385" t="s">
        <v>1955</v>
      </c>
      <c r="D113" s="75" t="s">
        <v>1956</v>
      </c>
      <c r="E113" s="362" t="s">
        <v>515</v>
      </c>
      <c r="F113" s="75" t="s">
        <v>1933</v>
      </c>
      <c r="G113" s="76">
        <v>50.0</v>
      </c>
      <c r="H113" s="77">
        <v>50.0</v>
      </c>
      <c r="I113" s="77" t="s">
        <v>62</v>
      </c>
      <c r="J113" s="58"/>
      <c r="K113" s="58"/>
      <c r="L113" s="58"/>
      <c r="M113" s="58"/>
      <c r="N113" s="58"/>
      <c r="O113" s="58"/>
      <c r="P113" s="58"/>
      <c r="Q113" s="58"/>
      <c r="R113" s="58"/>
      <c r="S113" s="58"/>
      <c r="T113" s="58"/>
      <c r="U113" s="58"/>
      <c r="V113" s="58"/>
      <c r="W113" s="58"/>
      <c r="X113" s="58"/>
      <c r="Y113" s="58"/>
      <c r="Z113" s="58"/>
    </row>
    <row r="114" ht="41.25" customHeight="1">
      <c r="A114" s="219" t="s">
        <v>1957</v>
      </c>
      <c r="B114" s="176" t="s">
        <v>38</v>
      </c>
      <c r="C114" s="386" t="s">
        <v>1958</v>
      </c>
      <c r="D114" s="387" t="s">
        <v>1959</v>
      </c>
      <c r="E114" s="75" t="s">
        <v>1960</v>
      </c>
      <c r="F114" s="75" t="s">
        <v>1961</v>
      </c>
      <c r="G114" s="76">
        <v>50.0</v>
      </c>
      <c r="H114" s="77">
        <v>8.33</v>
      </c>
      <c r="I114" s="388" t="s">
        <v>66</v>
      </c>
      <c r="J114" s="58"/>
      <c r="K114" s="58"/>
      <c r="L114" s="58"/>
      <c r="M114" s="58"/>
      <c r="N114" s="58"/>
      <c r="O114" s="58"/>
      <c r="P114" s="58"/>
      <c r="Q114" s="58"/>
      <c r="R114" s="58"/>
      <c r="S114" s="58"/>
      <c r="T114" s="58"/>
      <c r="U114" s="58"/>
      <c r="V114" s="58"/>
      <c r="W114" s="58"/>
      <c r="X114" s="58"/>
      <c r="Y114" s="58"/>
      <c r="Z114" s="58"/>
    </row>
    <row r="115" ht="138.0" customHeight="1">
      <c r="A115" s="219" t="s">
        <v>1957</v>
      </c>
      <c r="B115" s="176" t="s">
        <v>38</v>
      </c>
      <c r="C115" s="386" t="s">
        <v>1958</v>
      </c>
      <c r="D115" s="389" t="s">
        <v>1962</v>
      </c>
      <c r="E115" s="75" t="s">
        <v>1963</v>
      </c>
      <c r="F115" s="75" t="s">
        <v>1961</v>
      </c>
      <c r="G115" s="76">
        <v>50.0</v>
      </c>
      <c r="H115" s="77">
        <v>8.33</v>
      </c>
      <c r="I115" s="388" t="s">
        <v>66</v>
      </c>
      <c r="J115" s="58"/>
      <c r="K115" s="58"/>
      <c r="L115" s="58"/>
      <c r="M115" s="58"/>
      <c r="N115" s="58"/>
      <c r="O115" s="58"/>
      <c r="P115" s="58"/>
      <c r="Q115" s="58"/>
      <c r="R115" s="58"/>
      <c r="S115" s="58"/>
      <c r="T115" s="58"/>
      <c r="U115" s="58"/>
      <c r="V115" s="58"/>
      <c r="W115" s="58"/>
      <c r="X115" s="58"/>
      <c r="Y115" s="58"/>
      <c r="Z115" s="58"/>
    </row>
    <row r="116" ht="54.75" customHeight="1">
      <c r="A116" s="219" t="s">
        <v>1957</v>
      </c>
      <c r="B116" s="176" t="s">
        <v>38</v>
      </c>
      <c r="C116" s="386" t="s">
        <v>1958</v>
      </c>
      <c r="D116" s="390" t="s">
        <v>1964</v>
      </c>
      <c r="E116" s="75" t="s">
        <v>1965</v>
      </c>
      <c r="F116" s="75" t="s">
        <v>1966</v>
      </c>
      <c r="G116" s="76">
        <v>15.0</v>
      </c>
      <c r="H116" s="77">
        <v>2.5</v>
      </c>
      <c r="I116" s="388" t="s">
        <v>66</v>
      </c>
      <c r="J116" s="58"/>
      <c r="K116" s="58"/>
      <c r="L116" s="58"/>
      <c r="M116" s="58"/>
      <c r="N116" s="58"/>
      <c r="O116" s="58"/>
      <c r="P116" s="58"/>
      <c r="Q116" s="58"/>
      <c r="R116" s="58"/>
      <c r="S116" s="58"/>
      <c r="T116" s="58"/>
      <c r="U116" s="58"/>
      <c r="V116" s="58"/>
      <c r="W116" s="58"/>
      <c r="X116" s="58"/>
      <c r="Y116" s="58"/>
      <c r="Z116" s="58"/>
    </row>
    <row r="117" ht="41.25" customHeight="1">
      <c r="A117" s="219" t="s">
        <v>1957</v>
      </c>
      <c r="B117" s="176" t="s">
        <v>38</v>
      </c>
      <c r="C117" s="386" t="s">
        <v>1958</v>
      </c>
      <c r="D117" s="391" t="s">
        <v>1967</v>
      </c>
      <c r="E117" s="75" t="s">
        <v>1968</v>
      </c>
      <c r="F117" s="75" t="s">
        <v>1969</v>
      </c>
      <c r="G117" s="76">
        <v>15.0</v>
      </c>
      <c r="H117" s="77">
        <v>2.5</v>
      </c>
      <c r="I117" s="388" t="s">
        <v>66</v>
      </c>
      <c r="J117" s="58"/>
      <c r="K117" s="58"/>
      <c r="L117" s="58"/>
      <c r="M117" s="58"/>
      <c r="N117" s="58"/>
      <c r="O117" s="58"/>
      <c r="P117" s="58"/>
      <c r="Q117" s="58"/>
      <c r="R117" s="58"/>
      <c r="S117" s="58"/>
      <c r="T117" s="58"/>
      <c r="U117" s="58"/>
      <c r="V117" s="58"/>
      <c r="W117" s="58"/>
      <c r="X117" s="58"/>
      <c r="Y117" s="58"/>
      <c r="Z117" s="58"/>
    </row>
    <row r="118" ht="220.5" customHeight="1">
      <c r="A118" s="219" t="s">
        <v>1957</v>
      </c>
      <c r="B118" s="176" t="s">
        <v>38</v>
      </c>
      <c r="C118" s="386" t="s">
        <v>1958</v>
      </c>
      <c r="D118" s="392" t="s">
        <v>1970</v>
      </c>
      <c r="E118" s="75" t="s">
        <v>1971</v>
      </c>
      <c r="F118" s="75" t="s">
        <v>1820</v>
      </c>
      <c r="G118" s="76">
        <v>50.0</v>
      </c>
      <c r="H118" s="77">
        <v>8.33</v>
      </c>
      <c r="I118" s="388" t="s">
        <v>66</v>
      </c>
      <c r="J118" s="58"/>
      <c r="K118" s="58"/>
      <c r="L118" s="58"/>
      <c r="M118" s="58"/>
      <c r="N118" s="58"/>
      <c r="O118" s="58"/>
      <c r="P118" s="58"/>
      <c r="Q118" s="58"/>
      <c r="R118" s="58"/>
      <c r="S118" s="58"/>
      <c r="T118" s="58"/>
      <c r="U118" s="58"/>
      <c r="V118" s="58"/>
      <c r="W118" s="58"/>
      <c r="X118" s="58"/>
      <c r="Y118" s="58"/>
      <c r="Z118" s="58"/>
    </row>
    <row r="119" ht="276.0" customHeight="1">
      <c r="A119" s="101" t="s">
        <v>528</v>
      </c>
      <c r="B119" s="176" t="s">
        <v>38</v>
      </c>
      <c r="C119" s="393" t="s">
        <v>1972</v>
      </c>
      <c r="D119" s="394" t="s">
        <v>1973</v>
      </c>
      <c r="E119" s="75" t="s">
        <v>1974</v>
      </c>
      <c r="F119" s="75" t="s">
        <v>1975</v>
      </c>
      <c r="G119" s="76">
        <v>50.0</v>
      </c>
      <c r="H119" s="77">
        <v>50.0</v>
      </c>
      <c r="I119" s="388" t="s">
        <v>66</v>
      </c>
      <c r="J119" s="58"/>
      <c r="K119" s="58"/>
      <c r="L119" s="58"/>
      <c r="M119" s="58"/>
      <c r="N119" s="58"/>
      <c r="O119" s="58"/>
      <c r="P119" s="58"/>
      <c r="Q119" s="58"/>
      <c r="R119" s="58"/>
      <c r="S119" s="58"/>
      <c r="T119" s="58"/>
      <c r="U119" s="58"/>
      <c r="V119" s="58"/>
      <c r="W119" s="58"/>
      <c r="X119" s="58"/>
      <c r="Y119" s="58"/>
      <c r="Z119" s="58"/>
    </row>
    <row r="120" ht="374.25" customHeight="1">
      <c r="A120" s="393" t="s">
        <v>1976</v>
      </c>
      <c r="B120" s="176" t="s">
        <v>38</v>
      </c>
      <c r="C120" s="395" t="s">
        <v>1977</v>
      </c>
      <c r="D120" s="396" t="s">
        <v>1978</v>
      </c>
      <c r="E120" s="75" t="s">
        <v>1979</v>
      </c>
      <c r="F120" s="75" t="s">
        <v>1975</v>
      </c>
      <c r="G120" s="76">
        <v>50.0</v>
      </c>
      <c r="H120" s="77">
        <v>16.66</v>
      </c>
      <c r="I120" s="388" t="s">
        <v>66</v>
      </c>
      <c r="J120" s="58"/>
      <c r="K120" s="58"/>
      <c r="L120" s="58"/>
      <c r="M120" s="58"/>
      <c r="N120" s="58"/>
      <c r="O120" s="58"/>
      <c r="P120" s="58"/>
      <c r="Q120" s="58"/>
      <c r="R120" s="58"/>
      <c r="S120" s="58"/>
      <c r="T120" s="58"/>
      <c r="U120" s="58"/>
      <c r="V120" s="58"/>
      <c r="W120" s="58"/>
      <c r="X120" s="58"/>
      <c r="Y120" s="58"/>
      <c r="Z120" s="58"/>
    </row>
    <row r="121" ht="132.0" customHeight="1">
      <c r="A121" s="101" t="s">
        <v>790</v>
      </c>
      <c r="B121" s="176" t="s">
        <v>38</v>
      </c>
      <c r="C121" s="397" t="s">
        <v>1980</v>
      </c>
      <c r="D121" s="397" t="s">
        <v>1981</v>
      </c>
      <c r="E121" s="75" t="s">
        <v>1982</v>
      </c>
      <c r="F121" s="75" t="s">
        <v>1796</v>
      </c>
      <c r="G121" s="76">
        <v>15.0</v>
      </c>
      <c r="H121" s="77">
        <v>15.0</v>
      </c>
      <c r="I121" s="388" t="s">
        <v>67</v>
      </c>
      <c r="J121" s="58"/>
      <c r="K121" s="58"/>
      <c r="L121" s="58"/>
      <c r="M121" s="58"/>
      <c r="N121" s="58"/>
      <c r="O121" s="58"/>
      <c r="P121" s="58"/>
      <c r="Q121" s="58"/>
      <c r="R121" s="58"/>
      <c r="S121" s="58"/>
      <c r="T121" s="58"/>
      <c r="U121" s="58"/>
      <c r="V121" s="58"/>
      <c r="W121" s="58"/>
      <c r="X121" s="58"/>
      <c r="Y121" s="58"/>
      <c r="Z121" s="58"/>
    </row>
    <row r="122" ht="138.0" customHeight="1">
      <c r="A122" s="101" t="s">
        <v>790</v>
      </c>
      <c r="B122" s="176" t="s">
        <v>38</v>
      </c>
      <c r="C122" s="131" t="s">
        <v>1983</v>
      </c>
      <c r="D122" s="331" t="s">
        <v>1984</v>
      </c>
      <c r="E122" s="75" t="s">
        <v>1985</v>
      </c>
      <c r="F122" s="75" t="s">
        <v>1796</v>
      </c>
      <c r="G122" s="76">
        <v>15.0</v>
      </c>
      <c r="H122" s="77">
        <v>15.0</v>
      </c>
      <c r="I122" s="388" t="s">
        <v>67</v>
      </c>
      <c r="J122" s="58"/>
      <c r="K122" s="58"/>
      <c r="L122" s="58"/>
      <c r="M122" s="58"/>
      <c r="N122" s="58"/>
      <c r="O122" s="58"/>
      <c r="P122" s="58"/>
      <c r="Q122" s="58"/>
      <c r="R122" s="58"/>
      <c r="S122" s="58"/>
      <c r="T122" s="58"/>
      <c r="U122" s="58"/>
      <c r="V122" s="58"/>
      <c r="W122" s="58"/>
      <c r="X122" s="58"/>
      <c r="Y122" s="58"/>
      <c r="Z122" s="58"/>
    </row>
    <row r="123" ht="96.0" customHeight="1">
      <c r="A123" s="101" t="s">
        <v>790</v>
      </c>
      <c r="B123" s="176" t="s">
        <v>38</v>
      </c>
      <c r="C123" s="75" t="s">
        <v>1986</v>
      </c>
      <c r="D123" s="176" t="s">
        <v>1987</v>
      </c>
      <c r="E123" s="75" t="s">
        <v>1988</v>
      </c>
      <c r="F123" s="75" t="s">
        <v>1796</v>
      </c>
      <c r="G123" s="76">
        <v>15.0</v>
      </c>
      <c r="H123" s="77">
        <v>15.0</v>
      </c>
      <c r="I123" s="388" t="s">
        <v>67</v>
      </c>
      <c r="J123" s="58"/>
      <c r="K123" s="58"/>
      <c r="L123" s="58"/>
      <c r="M123" s="58"/>
      <c r="N123" s="58"/>
      <c r="O123" s="58"/>
      <c r="P123" s="58"/>
      <c r="Q123" s="58"/>
      <c r="R123" s="58"/>
      <c r="S123" s="58"/>
      <c r="T123" s="58"/>
      <c r="U123" s="58"/>
      <c r="V123" s="58"/>
      <c r="W123" s="58"/>
      <c r="X123" s="58"/>
      <c r="Y123" s="58"/>
      <c r="Z123" s="58"/>
    </row>
    <row r="124" ht="110.25" customHeight="1">
      <c r="A124" s="101" t="s">
        <v>803</v>
      </c>
      <c r="B124" s="176" t="s">
        <v>38</v>
      </c>
      <c r="C124" s="398" t="s">
        <v>1989</v>
      </c>
      <c r="D124" s="390" t="s">
        <v>1990</v>
      </c>
      <c r="E124" s="75" t="s">
        <v>1991</v>
      </c>
      <c r="F124" s="399" t="s">
        <v>1992</v>
      </c>
      <c r="G124" s="76">
        <v>15.0</v>
      </c>
      <c r="H124" s="77">
        <v>15.0</v>
      </c>
      <c r="I124" s="388" t="s">
        <v>68</v>
      </c>
      <c r="J124" s="58"/>
      <c r="K124" s="58"/>
      <c r="L124" s="58"/>
      <c r="M124" s="58"/>
      <c r="N124" s="58"/>
      <c r="O124" s="58"/>
      <c r="P124" s="58"/>
      <c r="Q124" s="58"/>
      <c r="R124" s="58"/>
      <c r="S124" s="58"/>
      <c r="T124" s="58"/>
      <c r="U124" s="58"/>
      <c r="V124" s="58"/>
      <c r="W124" s="58"/>
      <c r="X124" s="58"/>
      <c r="Y124" s="58"/>
      <c r="Z124" s="58"/>
    </row>
    <row r="125" ht="82.5" customHeight="1">
      <c r="A125" s="101" t="s">
        <v>803</v>
      </c>
      <c r="B125" s="176" t="s">
        <v>1993</v>
      </c>
      <c r="C125" s="400" t="s">
        <v>1994</v>
      </c>
      <c r="D125" s="390" t="s">
        <v>1995</v>
      </c>
      <c r="E125" s="176" t="s">
        <v>1996</v>
      </c>
      <c r="F125" s="401" t="s">
        <v>1997</v>
      </c>
      <c r="G125" s="76">
        <v>15.0</v>
      </c>
      <c r="H125" s="77">
        <v>15.0</v>
      </c>
      <c r="I125" s="388" t="s">
        <v>68</v>
      </c>
      <c r="J125" s="58"/>
      <c r="K125" s="58"/>
      <c r="L125" s="58"/>
      <c r="M125" s="58"/>
      <c r="N125" s="58"/>
      <c r="O125" s="58"/>
      <c r="P125" s="58"/>
      <c r="Q125" s="58"/>
      <c r="R125" s="58"/>
      <c r="S125" s="58"/>
      <c r="T125" s="58"/>
      <c r="U125" s="58"/>
      <c r="V125" s="58"/>
      <c r="W125" s="58"/>
      <c r="X125" s="58"/>
      <c r="Y125" s="58"/>
      <c r="Z125" s="58"/>
    </row>
    <row r="126" ht="144.0" customHeight="1">
      <c r="A126" s="101" t="s">
        <v>1998</v>
      </c>
      <c r="B126" s="176" t="s">
        <v>38</v>
      </c>
      <c r="C126" s="402" t="s">
        <v>1999</v>
      </c>
      <c r="D126" s="403" t="s">
        <v>2000</v>
      </c>
      <c r="E126" s="362" t="s">
        <v>2001</v>
      </c>
      <c r="F126" s="404" t="s">
        <v>1820</v>
      </c>
      <c r="G126" s="76">
        <v>50.0</v>
      </c>
      <c r="H126" s="77">
        <v>8.0</v>
      </c>
      <c r="I126" s="405" t="s">
        <v>68</v>
      </c>
      <c r="J126" s="58"/>
      <c r="K126" s="58"/>
      <c r="L126" s="58"/>
      <c r="M126" s="58"/>
      <c r="N126" s="58"/>
      <c r="O126" s="58"/>
      <c r="P126" s="58"/>
      <c r="Q126" s="58"/>
      <c r="R126" s="58"/>
      <c r="S126" s="58"/>
      <c r="T126" s="58"/>
      <c r="U126" s="58"/>
      <c r="V126" s="58"/>
      <c r="W126" s="58"/>
      <c r="X126" s="58"/>
      <c r="Y126" s="58"/>
      <c r="Z126" s="58"/>
    </row>
    <row r="127" ht="26.25" customHeight="1">
      <c r="A127" s="170" t="s">
        <v>650</v>
      </c>
      <c r="B127" s="162" t="s">
        <v>651</v>
      </c>
      <c r="C127" s="148" t="s">
        <v>2002</v>
      </c>
      <c r="D127" s="148" t="s">
        <v>2003</v>
      </c>
      <c r="E127" s="148" t="s">
        <v>2004</v>
      </c>
      <c r="F127" s="148"/>
      <c r="G127" s="232">
        <v>15.0</v>
      </c>
      <c r="H127" s="154">
        <v>15.0</v>
      </c>
      <c r="I127" s="77" t="s">
        <v>2005</v>
      </c>
      <c r="J127" s="58"/>
      <c r="K127" s="58"/>
      <c r="L127" s="58"/>
      <c r="M127" s="58"/>
      <c r="N127" s="58"/>
      <c r="O127" s="58"/>
      <c r="P127" s="58"/>
      <c r="Q127" s="58"/>
      <c r="R127" s="58"/>
      <c r="S127" s="58"/>
      <c r="T127" s="58"/>
      <c r="U127" s="58"/>
      <c r="V127" s="58"/>
      <c r="W127" s="58"/>
      <c r="X127" s="58"/>
      <c r="Y127" s="58"/>
      <c r="Z127" s="58"/>
    </row>
    <row r="128" ht="57.0" customHeight="1">
      <c r="A128" s="170" t="s">
        <v>650</v>
      </c>
      <c r="B128" s="162" t="s">
        <v>73</v>
      </c>
      <c r="C128" s="406" t="s">
        <v>2006</v>
      </c>
      <c r="D128" s="148" t="s">
        <v>2007</v>
      </c>
      <c r="E128" s="362" t="s">
        <v>2008</v>
      </c>
      <c r="F128" s="148" t="s">
        <v>1820</v>
      </c>
      <c r="G128" s="232">
        <v>50.0</v>
      </c>
      <c r="H128" s="154">
        <v>50.0</v>
      </c>
      <c r="I128" s="77" t="s">
        <v>2005</v>
      </c>
      <c r="J128" s="58"/>
      <c r="K128" s="58"/>
      <c r="L128" s="58"/>
      <c r="M128" s="58"/>
      <c r="N128" s="58"/>
      <c r="O128" s="58"/>
      <c r="P128" s="58"/>
      <c r="Q128" s="58"/>
      <c r="R128" s="58"/>
      <c r="S128" s="58"/>
      <c r="T128" s="58"/>
      <c r="U128" s="58"/>
      <c r="V128" s="58"/>
      <c r="W128" s="58"/>
      <c r="X128" s="58"/>
      <c r="Y128" s="58"/>
      <c r="Z128" s="58"/>
    </row>
    <row r="129" ht="78.75" customHeight="1">
      <c r="A129" s="170" t="s">
        <v>650</v>
      </c>
      <c r="B129" s="162" t="s">
        <v>73</v>
      </c>
      <c r="C129" s="148" t="s">
        <v>2009</v>
      </c>
      <c r="D129" s="366" t="s">
        <v>2010</v>
      </c>
      <c r="E129" s="369" t="s">
        <v>2011</v>
      </c>
      <c r="F129" s="148" t="s">
        <v>2012</v>
      </c>
      <c r="G129" s="232">
        <v>15.0</v>
      </c>
      <c r="H129" s="154">
        <v>15.0</v>
      </c>
      <c r="I129" s="77" t="s">
        <v>2005</v>
      </c>
      <c r="J129" s="58"/>
      <c r="K129" s="58"/>
      <c r="L129" s="58"/>
      <c r="M129" s="58"/>
      <c r="N129" s="58"/>
      <c r="O129" s="58"/>
      <c r="P129" s="58"/>
      <c r="Q129" s="58"/>
      <c r="R129" s="58"/>
      <c r="S129" s="58"/>
      <c r="T129" s="58"/>
      <c r="U129" s="58"/>
      <c r="V129" s="58"/>
      <c r="W129" s="58"/>
      <c r="X129" s="58"/>
      <c r="Y129" s="58"/>
      <c r="Z129" s="58"/>
    </row>
    <row r="130" ht="39.0" customHeight="1">
      <c r="A130" s="170" t="s">
        <v>650</v>
      </c>
      <c r="B130" s="162" t="s">
        <v>73</v>
      </c>
      <c r="C130" s="407" t="s">
        <v>2013</v>
      </c>
      <c r="D130" s="148" t="s">
        <v>2014</v>
      </c>
      <c r="E130" s="369" t="s">
        <v>2015</v>
      </c>
      <c r="F130" s="148" t="s">
        <v>1820</v>
      </c>
      <c r="G130" s="232">
        <v>50.0</v>
      </c>
      <c r="H130" s="154">
        <v>50.0</v>
      </c>
      <c r="I130" s="77" t="s">
        <v>2005</v>
      </c>
      <c r="J130" s="58"/>
      <c r="K130" s="58"/>
      <c r="L130" s="58"/>
      <c r="M130" s="58"/>
      <c r="N130" s="58"/>
      <c r="O130" s="58"/>
      <c r="P130" s="58"/>
      <c r="Q130" s="58"/>
      <c r="R130" s="58"/>
      <c r="S130" s="58"/>
      <c r="T130" s="58"/>
      <c r="U130" s="58"/>
      <c r="V130" s="58"/>
      <c r="W130" s="58"/>
      <c r="X130" s="58"/>
      <c r="Y130" s="58"/>
      <c r="Z130" s="58"/>
    </row>
    <row r="131" ht="52.5" customHeight="1">
      <c r="A131" s="170" t="s">
        <v>650</v>
      </c>
      <c r="B131" s="162" t="s">
        <v>73</v>
      </c>
      <c r="C131" s="408" t="s">
        <v>2016</v>
      </c>
      <c r="D131" s="248" t="s">
        <v>2017</v>
      </c>
      <c r="E131" s="368" t="s">
        <v>2018</v>
      </c>
      <c r="F131" s="148" t="s">
        <v>2019</v>
      </c>
      <c r="G131" s="232">
        <v>15.0</v>
      </c>
      <c r="H131" s="154">
        <v>15.0</v>
      </c>
      <c r="I131" s="77" t="s">
        <v>2005</v>
      </c>
      <c r="J131" s="58"/>
      <c r="K131" s="58"/>
      <c r="L131" s="58"/>
      <c r="M131" s="58"/>
      <c r="N131" s="58"/>
      <c r="O131" s="58"/>
      <c r="P131" s="58"/>
      <c r="Q131" s="58"/>
      <c r="R131" s="58"/>
      <c r="S131" s="58"/>
      <c r="T131" s="58"/>
      <c r="U131" s="58"/>
      <c r="V131" s="58"/>
      <c r="W131" s="58"/>
      <c r="X131" s="58"/>
      <c r="Y131" s="58"/>
      <c r="Z131" s="58"/>
    </row>
    <row r="132" ht="72.0" customHeight="1">
      <c r="A132" s="170" t="s">
        <v>650</v>
      </c>
      <c r="B132" s="162" t="s">
        <v>73</v>
      </c>
      <c r="C132" s="409" t="s">
        <v>2006</v>
      </c>
      <c r="D132" s="410" t="s">
        <v>2020</v>
      </c>
      <c r="E132" s="362" t="s">
        <v>2021</v>
      </c>
      <c r="F132" s="148" t="s">
        <v>2022</v>
      </c>
      <c r="G132" s="232">
        <v>15.0</v>
      </c>
      <c r="H132" s="154">
        <v>15.0</v>
      </c>
      <c r="I132" s="77" t="s">
        <v>2005</v>
      </c>
      <c r="J132" s="58"/>
      <c r="K132" s="58"/>
      <c r="L132" s="58"/>
      <c r="M132" s="58"/>
      <c r="N132" s="58"/>
      <c r="O132" s="58"/>
      <c r="P132" s="58"/>
      <c r="Q132" s="58"/>
      <c r="R132" s="58"/>
      <c r="S132" s="58"/>
      <c r="T132" s="58"/>
      <c r="U132" s="58"/>
      <c r="V132" s="58"/>
      <c r="W132" s="58"/>
      <c r="X132" s="58"/>
      <c r="Y132" s="58"/>
      <c r="Z132" s="58"/>
    </row>
    <row r="133" ht="220.5" customHeight="1">
      <c r="A133" s="101" t="s">
        <v>2023</v>
      </c>
      <c r="B133" s="176" t="s">
        <v>73</v>
      </c>
      <c r="C133" s="75" t="s">
        <v>2024</v>
      </c>
      <c r="D133" s="75" t="s">
        <v>2025</v>
      </c>
      <c r="E133" s="75" t="s">
        <v>2026</v>
      </c>
      <c r="F133" s="75" t="s">
        <v>2027</v>
      </c>
      <c r="G133" s="76">
        <v>50.0</v>
      </c>
      <c r="H133" s="77">
        <v>25.0</v>
      </c>
      <c r="I133" s="77" t="s">
        <v>75</v>
      </c>
      <c r="J133" s="58"/>
      <c r="K133" s="58"/>
      <c r="L133" s="58"/>
      <c r="M133" s="58"/>
      <c r="N133" s="58"/>
      <c r="O133" s="58"/>
      <c r="P133" s="58"/>
      <c r="Q133" s="58"/>
      <c r="R133" s="58"/>
      <c r="S133" s="58"/>
      <c r="T133" s="58"/>
      <c r="U133" s="58"/>
      <c r="V133" s="58"/>
      <c r="W133" s="58"/>
      <c r="X133" s="58"/>
      <c r="Y133" s="58"/>
      <c r="Z133" s="58"/>
    </row>
    <row r="134" ht="82.5" customHeight="1">
      <c r="A134" s="101" t="s">
        <v>2023</v>
      </c>
      <c r="B134" s="176" t="s">
        <v>73</v>
      </c>
      <c r="C134" s="75" t="s">
        <v>2028</v>
      </c>
      <c r="D134" s="75" t="s">
        <v>2029</v>
      </c>
      <c r="E134" s="75" t="s">
        <v>2030</v>
      </c>
      <c r="F134" s="75" t="s">
        <v>2031</v>
      </c>
      <c r="G134" s="76">
        <v>50.0</v>
      </c>
      <c r="H134" s="77">
        <v>25.0</v>
      </c>
      <c r="I134" s="77" t="s">
        <v>75</v>
      </c>
      <c r="J134" s="58"/>
      <c r="K134" s="58"/>
      <c r="L134" s="58"/>
      <c r="M134" s="58"/>
      <c r="N134" s="58"/>
      <c r="O134" s="58"/>
      <c r="P134" s="58"/>
      <c r="Q134" s="58"/>
      <c r="R134" s="58"/>
      <c r="S134" s="58"/>
      <c r="T134" s="58"/>
      <c r="U134" s="58"/>
      <c r="V134" s="58"/>
      <c r="W134" s="58"/>
      <c r="X134" s="58"/>
      <c r="Y134" s="58"/>
      <c r="Z134" s="58"/>
    </row>
    <row r="135" ht="96.0" customHeight="1">
      <c r="A135" s="101" t="s">
        <v>2023</v>
      </c>
      <c r="B135" s="176" t="s">
        <v>73</v>
      </c>
      <c r="C135" s="75" t="s">
        <v>2032</v>
      </c>
      <c r="D135" s="75" t="s">
        <v>2033</v>
      </c>
      <c r="E135" s="75" t="s">
        <v>2034</v>
      </c>
      <c r="F135" s="75"/>
      <c r="G135" s="76">
        <v>50.0</v>
      </c>
      <c r="H135" s="77">
        <v>25.0</v>
      </c>
      <c r="I135" s="77" t="s">
        <v>75</v>
      </c>
      <c r="J135" s="58"/>
      <c r="K135" s="58"/>
      <c r="L135" s="58"/>
      <c r="M135" s="58"/>
      <c r="N135" s="58"/>
      <c r="O135" s="58"/>
      <c r="P135" s="58"/>
      <c r="Q135" s="58"/>
      <c r="R135" s="58"/>
      <c r="S135" s="58"/>
      <c r="T135" s="58"/>
      <c r="U135" s="58"/>
      <c r="V135" s="58"/>
      <c r="W135" s="58"/>
      <c r="X135" s="58"/>
      <c r="Y135" s="58"/>
      <c r="Z135" s="58"/>
    </row>
    <row r="136" ht="110.25" customHeight="1">
      <c r="A136" s="101" t="s">
        <v>2023</v>
      </c>
      <c r="B136" s="176" t="s">
        <v>73</v>
      </c>
      <c r="C136" s="75" t="s">
        <v>2035</v>
      </c>
      <c r="D136" s="75" t="s">
        <v>2036</v>
      </c>
      <c r="E136" s="75" t="s">
        <v>2037</v>
      </c>
      <c r="F136" s="75" t="s">
        <v>2038</v>
      </c>
      <c r="G136" s="76">
        <v>50.0</v>
      </c>
      <c r="H136" s="77">
        <v>25.0</v>
      </c>
      <c r="I136" s="77" t="s">
        <v>75</v>
      </c>
      <c r="J136" s="58"/>
      <c r="K136" s="58"/>
      <c r="L136" s="58"/>
      <c r="M136" s="58"/>
      <c r="N136" s="58"/>
      <c r="O136" s="58"/>
      <c r="P136" s="58"/>
      <c r="Q136" s="58"/>
      <c r="R136" s="58"/>
      <c r="S136" s="58"/>
      <c r="T136" s="58"/>
      <c r="U136" s="58"/>
      <c r="V136" s="58"/>
      <c r="W136" s="58"/>
      <c r="X136" s="58"/>
      <c r="Y136" s="58"/>
      <c r="Z136" s="58"/>
    </row>
    <row r="137" ht="110.25" customHeight="1">
      <c r="A137" s="101" t="s">
        <v>2023</v>
      </c>
      <c r="B137" s="176" t="s">
        <v>73</v>
      </c>
      <c r="C137" s="75" t="s">
        <v>2035</v>
      </c>
      <c r="D137" s="75" t="s">
        <v>2039</v>
      </c>
      <c r="E137" s="75" t="s">
        <v>2040</v>
      </c>
      <c r="F137" s="75" t="s">
        <v>2041</v>
      </c>
      <c r="G137" s="76">
        <v>50.0</v>
      </c>
      <c r="H137" s="77">
        <v>25.0</v>
      </c>
      <c r="I137" s="77" t="s">
        <v>75</v>
      </c>
      <c r="J137" s="58"/>
      <c r="K137" s="58"/>
      <c r="L137" s="58"/>
      <c r="M137" s="58"/>
      <c r="N137" s="58"/>
      <c r="O137" s="58"/>
      <c r="P137" s="58"/>
      <c r="Q137" s="58"/>
      <c r="R137" s="58"/>
      <c r="S137" s="58"/>
      <c r="T137" s="58"/>
      <c r="U137" s="58"/>
      <c r="V137" s="58"/>
      <c r="W137" s="58"/>
      <c r="X137" s="58"/>
      <c r="Y137" s="58"/>
      <c r="Z137" s="58"/>
    </row>
    <row r="138" ht="192.75" customHeight="1">
      <c r="A138" s="101" t="s">
        <v>2023</v>
      </c>
      <c r="B138" s="176" t="s">
        <v>73</v>
      </c>
      <c r="C138" s="75" t="s">
        <v>2024</v>
      </c>
      <c r="D138" s="75" t="s">
        <v>2042</v>
      </c>
      <c r="E138" s="75" t="s">
        <v>2043</v>
      </c>
      <c r="F138" s="75" t="s">
        <v>2044</v>
      </c>
      <c r="G138" s="76">
        <v>50.0</v>
      </c>
      <c r="H138" s="77">
        <v>25.0</v>
      </c>
      <c r="I138" s="77" t="s">
        <v>75</v>
      </c>
      <c r="J138" s="58"/>
      <c r="K138" s="58"/>
      <c r="L138" s="58"/>
      <c r="M138" s="58"/>
      <c r="N138" s="58"/>
      <c r="O138" s="58"/>
      <c r="P138" s="58"/>
      <c r="Q138" s="58"/>
      <c r="R138" s="58"/>
      <c r="S138" s="58"/>
      <c r="T138" s="58"/>
      <c r="U138" s="58"/>
      <c r="V138" s="58"/>
      <c r="W138" s="58"/>
      <c r="X138" s="58"/>
      <c r="Y138" s="58"/>
      <c r="Z138" s="58"/>
    </row>
    <row r="139" ht="192.75" customHeight="1">
      <c r="A139" s="101" t="s">
        <v>2045</v>
      </c>
      <c r="B139" s="176" t="s">
        <v>73</v>
      </c>
      <c r="C139" s="75" t="s">
        <v>2046</v>
      </c>
      <c r="D139" s="75" t="s">
        <v>2047</v>
      </c>
      <c r="E139" s="75" t="s">
        <v>2048</v>
      </c>
      <c r="F139" s="75" t="s">
        <v>2049</v>
      </c>
      <c r="G139" s="76">
        <v>50.0</v>
      </c>
      <c r="H139" s="77">
        <v>17.0</v>
      </c>
      <c r="I139" s="77" t="s">
        <v>75</v>
      </c>
      <c r="J139" s="58"/>
      <c r="K139" s="58"/>
      <c r="L139" s="58"/>
      <c r="M139" s="58"/>
      <c r="N139" s="58"/>
      <c r="O139" s="58"/>
      <c r="P139" s="58"/>
      <c r="Q139" s="58"/>
      <c r="R139" s="58"/>
      <c r="S139" s="58"/>
      <c r="T139" s="58"/>
      <c r="U139" s="58"/>
      <c r="V139" s="58"/>
      <c r="W139" s="58"/>
      <c r="X139" s="58"/>
      <c r="Y139" s="58"/>
      <c r="Z139" s="58"/>
    </row>
    <row r="140" ht="220.5" customHeight="1">
      <c r="A140" s="101" t="s">
        <v>2023</v>
      </c>
      <c r="B140" s="176" t="s">
        <v>73</v>
      </c>
      <c r="C140" s="75" t="s">
        <v>2024</v>
      </c>
      <c r="D140" s="75" t="s">
        <v>2025</v>
      </c>
      <c r="E140" s="362" t="s">
        <v>2026</v>
      </c>
      <c r="F140" s="75" t="s">
        <v>2027</v>
      </c>
      <c r="G140" s="76">
        <v>50.0</v>
      </c>
      <c r="H140" s="77">
        <v>25.0</v>
      </c>
      <c r="I140" s="77" t="s">
        <v>76</v>
      </c>
      <c r="J140" s="58"/>
      <c r="K140" s="58"/>
      <c r="L140" s="58"/>
      <c r="M140" s="58"/>
      <c r="N140" s="58"/>
      <c r="O140" s="58"/>
      <c r="P140" s="58"/>
      <c r="Q140" s="58"/>
      <c r="R140" s="58"/>
      <c r="S140" s="58"/>
      <c r="T140" s="58"/>
      <c r="U140" s="58"/>
      <c r="V140" s="58"/>
      <c r="W140" s="58"/>
      <c r="X140" s="58"/>
      <c r="Y140" s="58"/>
      <c r="Z140" s="58"/>
    </row>
    <row r="141" ht="82.5" customHeight="1">
      <c r="A141" s="101" t="s">
        <v>2023</v>
      </c>
      <c r="B141" s="176" t="s">
        <v>73</v>
      </c>
      <c r="C141" s="75" t="s">
        <v>2028</v>
      </c>
      <c r="D141" s="75" t="s">
        <v>2029</v>
      </c>
      <c r="E141" s="362" t="s">
        <v>2030</v>
      </c>
      <c r="F141" s="75" t="s">
        <v>2031</v>
      </c>
      <c r="G141" s="76">
        <v>50.0</v>
      </c>
      <c r="H141" s="77">
        <v>25.0</v>
      </c>
      <c r="I141" s="77" t="s">
        <v>76</v>
      </c>
      <c r="J141" s="58"/>
      <c r="K141" s="58"/>
      <c r="L141" s="58"/>
      <c r="M141" s="58"/>
      <c r="N141" s="58"/>
      <c r="O141" s="58"/>
      <c r="P141" s="58"/>
      <c r="Q141" s="58"/>
      <c r="R141" s="58"/>
      <c r="S141" s="58"/>
      <c r="T141" s="58"/>
      <c r="U141" s="58"/>
      <c r="V141" s="58"/>
      <c r="W141" s="58"/>
      <c r="X141" s="58"/>
      <c r="Y141" s="58"/>
      <c r="Z141" s="58"/>
    </row>
    <row r="142" ht="96.0" customHeight="1">
      <c r="A142" s="101" t="s">
        <v>2023</v>
      </c>
      <c r="B142" s="176" t="s">
        <v>73</v>
      </c>
      <c r="C142" s="75" t="s">
        <v>2032</v>
      </c>
      <c r="D142" s="75" t="s">
        <v>2033</v>
      </c>
      <c r="E142" s="362" t="s">
        <v>2034</v>
      </c>
      <c r="F142" s="378"/>
      <c r="G142" s="76">
        <v>50.0</v>
      </c>
      <c r="H142" s="77">
        <v>25.0</v>
      </c>
      <c r="I142" s="77" t="s">
        <v>76</v>
      </c>
      <c r="J142" s="58"/>
      <c r="K142" s="58"/>
      <c r="L142" s="58"/>
      <c r="M142" s="58"/>
      <c r="N142" s="58"/>
      <c r="O142" s="58"/>
      <c r="P142" s="58"/>
      <c r="Q142" s="58"/>
      <c r="R142" s="58"/>
      <c r="S142" s="58"/>
      <c r="T142" s="58"/>
      <c r="U142" s="58"/>
      <c r="V142" s="58"/>
      <c r="W142" s="58"/>
      <c r="X142" s="58"/>
      <c r="Y142" s="58"/>
      <c r="Z142" s="58"/>
    </row>
    <row r="143" ht="110.25" customHeight="1">
      <c r="A143" s="101" t="s">
        <v>2023</v>
      </c>
      <c r="B143" s="176" t="s">
        <v>73</v>
      </c>
      <c r="C143" s="75" t="s">
        <v>2035</v>
      </c>
      <c r="D143" s="75" t="s">
        <v>2036</v>
      </c>
      <c r="E143" s="362" t="s">
        <v>2037</v>
      </c>
      <c r="F143" s="75" t="s">
        <v>2038</v>
      </c>
      <c r="G143" s="76">
        <v>50.0</v>
      </c>
      <c r="H143" s="77">
        <v>25.0</v>
      </c>
      <c r="I143" s="77" t="s">
        <v>76</v>
      </c>
      <c r="J143" s="58"/>
      <c r="K143" s="58"/>
      <c r="L143" s="58"/>
      <c r="M143" s="58"/>
      <c r="N143" s="58"/>
      <c r="O143" s="58"/>
      <c r="P143" s="58"/>
      <c r="Q143" s="58"/>
      <c r="R143" s="58"/>
      <c r="S143" s="58"/>
      <c r="T143" s="58"/>
      <c r="U143" s="58"/>
      <c r="V143" s="58"/>
      <c r="W143" s="58"/>
      <c r="X143" s="58"/>
      <c r="Y143" s="58"/>
      <c r="Z143" s="58"/>
    </row>
    <row r="144" ht="110.25" customHeight="1">
      <c r="A144" s="101" t="s">
        <v>2023</v>
      </c>
      <c r="B144" s="176" t="s">
        <v>73</v>
      </c>
      <c r="C144" s="75" t="s">
        <v>2035</v>
      </c>
      <c r="D144" s="75" t="s">
        <v>2039</v>
      </c>
      <c r="E144" s="362" t="s">
        <v>2040</v>
      </c>
      <c r="F144" s="75" t="s">
        <v>2041</v>
      </c>
      <c r="G144" s="76">
        <v>50.0</v>
      </c>
      <c r="H144" s="77">
        <v>25.0</v>
      </c>
      <c r="I144" s="77" t="s">
        <v>76</v>
      </c>
      <c r="J144" s="58"/>
      <c r="K144" s="58"/>
      <c r="L144" s="58"/>
      <c r="M144" s="58"/>
      <c r="N144" s="58"/>
      <c r="O144" s="58"/>
      <c r="P144" s="58"/>
      <c r="Q144" s="58"/>
      <c r="R144" s="58"/>
      <c r="S144" s="58"/>
      <c r="T144" s="58"/>
      <c r="U144" s="58"/>
      <c r="V144" s="58"/>
      <c r="W144" s="58"/>
      <c r="X144" s="58"/>
      <c r="Y144" s="58"/>
      <c r="Z144" s="58"/>
    </row>
    <row r="145" ht="244.5" customHeight="1">
      <c r="A145" s="101" t="s">
        <v>2023</v>
      </c>
      <c r="B145" s="176" t="s">
        <v>73</v>
      </c>
      <c r="C145" s="75" t="s">
        <v>2024</v>
      </c>
      <c r="D145" s="75" t="s">
        <v>2042</v>
      </c>
      <c r="E145" s="362" t="s">
        <v>2043</v>
      </c>
      <c r="F145" s="411" t="s">
        <v>2044</v>
      </c>
      <c r="G145" s="76">
        <v>50.0</v>
      </c>
      <c r="H145" s="77">
        <v>25.0</v>
      </c>
      <c r="I145" s="77" t="s">
        <v>76</v>
      </c>
      <c r="J145" s="58"/>
      <c r="K145" s="58"/>
      <c r="L145" s="58"/>
      <c r="M145" s="58"/>
      <c r="N145" s="58"/>
      <c r="O145" s="58"/>
      <c r="P145" s="58"/>
      <c r="Q145" s="58"/>
      <c r="R145" s="58"/>
      <c r="S145" s="58"/>
      <c r="T145" s="58"/>
      <c r="U145" s="58"/>
      <c r="V145" s="58"/>
      <c r="W145" s="58"/>
      <c r="X145" s="58"/>
      <c r="Y145" s="58"/>
      <c r="Z145" s="58"/>
    </row>
    <row r="146" ht="151.5" customHeight="1">
      <c r="A146" s="101" t="s">
        <v>2045</v>
      </c>
      <c r="B146" s="176" t="s">
        <v>73</v>
      </c>
      <c r="C146" s="75" t="s">
        <v>2050</v>
      </c>
      <c r="D146" s="412" t="s">
        <v>2047</v>
      </c>
      <c r="E146" s="362" t="s">
        <v>2048</v>
      </c>
      <c r="F146" s="413" t="s">
        <v>2051</v>
      </c>
      <c r="G146" s="76">
        <v>15.0</v>
      </c>
      <c r="H146" s="77">
        <v>5.0</v>
      </c>
      <c r="I146" s="77" t="s">
        <v>76</v>
      </c>
      <c r="J146" s="58"/>
      <c r="K146" s="58"/>
      <c r="L146" s="58"/>
      <c r="M146" s="58"/>
      <c r="N146" s="58"/>
      <c r="O146" s="58"/>
      <c r="P146" s="58"/>
      <c r="Q146" s="58"/>
      <c r="R146" s="58"/>
      <c r="S146" s="58"/>
      <c r="T146" s="58"/>
      <c r="U146" s="58"/>
      <c r="V146" s="58"/>
      <c r="W146" s="58"/>
      <c r="X146" s="58"/>
      <c r="Y146" s="58"/>
      <c r="Z146" s="58"/>
    </row>
    <row r="147" ht="138.0" customHeight="1">
      <c r="A147" s="101" t="s">
        <v>2052</v>
      </c>
      <c r="B147" s="176" t="s">
        <v>73</v>
      </c>
      <c r="C147" s="176" t="s">
        <v>2053</v>
      </c>
      <c r="D147" s="75" t="s">
        <v>2054</v>
      </c>
      <c r="E147" s="362" t="s">
        <v>2055</v>
      </c>
      <c r="F147" s="101" t="s">
        <v>2056</v>
      </c>
      <c r="G147" s="76">
        <v>15.0</v>
      </c>
      <c r="H147" s="77">
        <v>15.0</v>
      </c>
      <c r="I147" s="77" t="s">
        <v>2057</v>
      </c>
      <c r="J147" s="58"/>
      <c r="K147" s="58"/>
      <c r="L147" s="58"/>
      <c r="M147" s="58"/>
      <c r="N147" s="58"/>
      <c r="O147" s="58"/>
      <c r="P147" s="58"/>
      <c r="Q147" s="58"/>
      <c r="R147" s="58"/>
      <c r="S147" s="58"/>
      <c r="T147" s="58"/>
      <c r="U147" s="58"/>
      <c r="V147" s="58"/>
      <c r="W147" s="58"/>
      <c r="X147" s="58"/>
      <c r="Y147" s="58"/>
      <c r="Z147" s="58"/>
    </row>
    <row r="148" ht="138.0" customHeight="1">
      <c r="A148" s="101" t="s">
        <v>2052</v>
      </c>
      <c r="B148" s="176" t="s">
        <v>73</v>
      </c>
      <c r="C148" s="176" t="s">
        <v>2053</v>
      </c>
      <c r="D148" s="75" t="s">
        <v>2058</v>
      </c>
      <c r="E148" s="362" t="s">
        <v>2059</v>
      </c>
      <c r="F148" s="101" t="s">
        <v>2060</v>
      </c>
      <c r="G148" s="76">
        <v>50.0</v>
      </c>
      <c r="H148" s="77">
        <v>50.0</v>
      </c>
      <c r="I148" s="77" t="s">
        <v>2057</v>
      </c>
      <c r="J148" s="58"/>
      <c r="K148" s="58"/>
      <c r="L148" s="58"/>
      <c r="M148" s="58"/>
      <c r="N148" s="58"/>
      <c r="O148" s="58"/>
      <c r="P148" s="58"/>
      <c r="Q148" s="58"/>
      <c r="R148" s="58"/>
      <c r="S148" s="58"/>
      <c r="T148" s="58"/>
      <c r="U148" s="58"/>
      <c r="V148" s="58"/>
      <c r="W148" s="58"/>
      <c r="X148" s="58"/>
      <c r="Y148" s="58"/>
      <c r="Z148" s="58"/>
    </row>
    <row r="149" ht="110.25" customHeight="1">
      <c r="A149" s="101" t="s">
        <v>2052</v>
      </c>
      <c r="B149" s="176" t="s">
        <v>73</v>
      </c>
      <c r="C149" s="176" t="s">
        <v>2053</v>
      </c>
      <c r="D149" s="414" t="s">
        <v>2061</v>
      </c>
      <c r="E149" s="100" t="s">
        <v>2062</v>
      </c>
      <c r="F149" s="101" t="s">
        <v>2063</v>
      </c>
      <c r="G149" s="76">
        <v>15.0</v>
      </c>
      <c r="H149" s="77">
        <v>15.0</v>
      </c>
      <c r="I149" s="77" t="s">
        <v>2057</v>
      </c>
      <c r="J149" s="58"/>
      <c r="K149" s="58"/>
      <c r="L149" s="58"/>
      <c r="M149" s="58"/>
      <c r="N149" s="58"/>
      <c r="O149" s="58"/>
      <c r="P149" s="58"/>
      <c r="Q149" s="58"/>
      <c r="R149" s="58"/>
      <c r="S149" s="58"/>
      <c r="T149" s="58"/>
      <c r="U149" s="58"/>
      <c r="V149" s="58"/>
      <c r="W149" s="58"/>
      <c r="X149" s="58"/>
      <c r="Y149" s="58"/>
      <c r="Z149" s="58"/>
    </row>
    <row r="150" ht="123.75" customHeight="1">
      <c r="A150" s="101" t="s">
        <v>2052</v>
      </c>
      <c r="B150" s="176" t="s">
        <v>73</v>
      </c>
      <c r="C150" s="176" t="s">
        <v>2053</v>
      </c>
      <c r="D150" s="75" t="s">
        <v>2064</v>
      </c>
      <c r="E150" s="362" t="s">
        <v>2065</v>
      </c>
      <c r="F150" s="101" t="s">
        <v>2066</v>
      </c>
      <c r="G150" s="76">
        <v>15.0</v>
      </c>
      <c r="H150" s="77">
        <v>15.0</v>
      </c>
      <c r="I150" s="77" t="s">
        <v>2057</v>
      </c>
      <c r="J150" s="58"/>
      <c r="K150" s="58"/>
      <c r="L150" s="58"/>
      <c r="M150" s="58"/>
      <c r="N150" s="58"/>
      <c r="O150" s="58"/>
      <c r="P150" s="58"/>
      <c r="Q150" s="58"/>
      <c r="R150" s="58"/>
      <c r="S150" s="58"/>
      <c r="T150" s="58"/>
      <c r="U150" s="58"/>
      <c r="V150" s="58"/>
      <c r="W150" s="58"/>
      <c r="X150" s="58"/>
      <c r="Y150" s="58"/>
      <c r="Z150" s="58"/>
    </row>
    <row r="151" ht="165.0" customHeight="1">
      <c r="A151" s="101" t="s">
        <v>2052</v>
      </c>
      <c r="B151" s="176" t="s">
        <v>73</v>
      </c>
      <c r="C151" s="176" t="s">
        <v>2053</v>
      </c>
      <c r="D151" s="75" t="s">
        <v>2067</v>
      </c>
      <c r="E151" s="362" t="s">
        <v>2068</v>
      </c>
      <c r="F151" s="381" t="s">
        <v>1864</v>
      </c>
      <c r="G151" s="76">
        <v>15.0</v>
      </c>
      <c r="H151" s="77">
        <v>15.0</v>
      </c>
      <c r="I151" s="77" t="s">
        <v>2057</v>
      </c>
      <c r="J151" s="58"/>
      <c r="K151" s="58"/>
      <c r="L151" s="58"/>
      <c r="M151" s="58"/>
      <c r="N151" s="58"/>
      <c r="O151" s="58"/>
      <c r="P151" s="58"/>
      <c r="Q151" s="58"/>
      <c r="R151" s="58"/>
      <c r="S151" s="58"/>
      <c r="T151" s="58"/>
      <c r="U151" s="58"/>
      <c r="V151" s="58"/>
      <c r="W151" s="58"/>
      <c r="X151" s="58"/>
      <c r="Y151" s="58"/>
      <c r="Z151" s="58"/>
    </row>
    <row r="152" ht="151.5" customHeight="1">
      <c r="A152" s="101" t="s">
        <v>2052</v>
      </c>
      <c r="B152" s="176" t="s">
        <v>73</v>
      </c>
      <c r="C152" s="176" t="s">
        <v>2053</v>
      </c>
      <c r="D152" s="75" t="s">
        <v>2069</v>
      </c>
      <c r="E152" s="362" t="s">
        <v>2070</v>
      </c>
      <c r="F152" s="100" t="s">
        <v>2071</v>
      </c>
      <c r="G152" s="76">
        <v>50.0</v>
      </c>
      <c r="H152" s="77">
        <v>50.0</v>
      </c>
      <c r="I152" s="77" t="s">
        <v>2057</v>
      </c>
      <c r="J152" s="58"/>
      <c r="K152" s="58"/>
      <c r="L152" s="58"/>
      <c r="M152" s="58"/>
      <c r="N152" s="58"/>
      <c r="O152" s="58"/>
      <c r="P152" s="58"/>
      <c r="Q152" s="58"/>
      <c r="R152" s="58"/>
      <c r="S152" s="58"/>
      <c r="T152" s="58"/>
      <c r="U152" s="58"/>
      <c r="V152" s="58"/>
      <c r="W152" s="58"/>
      <c r="X152" s="58"/>
      <c r="Y152" s="58"/>
      <c r="Z152" s="58"/>
    </row>
    <row r="153" ht="123.75" customHeight="1">
      <c r="A153" s="101" t="s">
        <v>2052</v>
      </c>
      <c r="B153" s="176" t="s">
        <v>73</v>
      </c>
      <c r="C153" s="176" t="s">
        <v>2053</v>
      </c>
      <c r="D153" s="75" t="s">
        <v>2072</v>
      </c>
      <c r="E153" s="362" t="s">
        <v>2073</v>
      </c>
      <c r="F153" s="101" t="s">
        <v>1890</v>
      </c>
      <c r="G153" s="76">
        <v>50.0</v>
      </c>
      <c r="H153" s="77">
        <v>50.0</v>
      </c>
      <c r="I153" s="77" t="s">
        <v>2057</v>
      </c>
      <c r="J153" s="58"/>
      <c r="K153" s="58"/>
      <c r="L153" s="58"/>
      <c r="M153" s="58"/>
      <c r="N153" s="58"/>
      <c r="O153" s="58"/>
      <c r="P153" s="58"/>
      <c r="Q153" s="58"/>
      <c r="R153" s="58"/>
      <c r="S153" s="58"/>
      <c r="T153" s="58"/>
      <c r="U153" s="58"/>
      <c r="V153" s="58"/>
      <c r="W153" s="58"/>
      <c r="X153" s="58"/>
      <c r="Y153" s="58"/>
      <c r="Z153" s="58"/>
    </row>
    <row r="154" ht="110.25" customHeight="1">
      <c r="A154" s="101" t="s">
        <v>2052</v>
      </c>
      <c r="B154" s="176" t="s">
        <v>73</v>
      </c>
      <c r="C154" s="176" t="s">
        <v>2053</v>
      </c>
      <c r="D154" s="101" t="s">
        <v>2074</v>
      </c>
      <c r="E154" s="415" t="s">
        <v>2075</v>
      </c>
      <c r="F154" s="101" t="s">
        <v>2076</v>
      </c>
      <c r="G154" s="76">
        <v>15.0</v>
      </c>
      <c r="H154" s="77">
        <v>15.0</v>
      </c>
      <c r="I154" s="77" t="s">
        <v>2057</v>
      </c>
      <c r="J154" s="58"/>
      <c r="K154" s="58"/>
      <c r="L154" s="58"/>
      <c r="M154" s="58"/>
      <c r="N154" s="58"/>
      <c r="O154" s="58"/>
      <c r="P154" s="58"/>
      <c r="Q154" s="58"/>
      <c r="R154" s="58"/>
      <c r="S154" s="58"/>
      <c r="T154" s="58"/>
      <c r="U154" s="58"/>
      <c r="V154" s="58"/>
      <c r="W154" s="58"/>
      <c r="X154" s="58"/>
      <c r="Y154" s="58"/>
      <c r="Z154" s="58"/>
    </row>
    <row r="155" ht="123.75" customHeight="1">
      <c r="A155" s="101" t="s">
        <v>2052</v>
      </c>
      <c r="B155" s="176" t="s">
        <v>73</v>
      </c>
      <c r="C155" s="176" t="s">
        <v>2053</v>
      </c>
      <c r="D155" s="75" t="s">
        <v>2077</v>
      </c>
      <c r="E155" s="362" t="s">
        <v>2078</v>
      </c>
      <c r="F155" s="101" t="s">
        <v>2079</v>
      </c>
      <c r="G155" s="76">
        <v>15.0</v>
      </c>
      <c r="H155" s="77">
        <v>15.0</v>
      </c>
      <c r="I155" s="77" t="s">
        <v>2057</v>
      </c>
      <c r="J155" s="58"/>
      <c r="K155" s="58"/>
      <c r="L155" s="58"/>
      <c r="M155" s="58"/>
      <c r="N155" s="58"/>
      <c r="O155" s="58"/>
      <c r="P155" s="58"/>
      <c r="Q155" s="58"/>
      <c r="R155" s="58"/>
      <c r="S155" s="58"/>
      <c r="T155" s="58"/>
      <c r="U155" s="58"/>
      <c r="V155" s="58"/>
      <c r="W155" s="58"/>
      <c r="X155" s="58"/>
      <c r="Y155" s="58"/>
      <c r="Z155" s="58"/>
    </row>
    <row r="156" ht="110.25" customHeight="1">
      <c r="A156" s="101" t="s">
        <v>2052</v>
      </c>
      <c r="B156" s="176" t="s">
        <v>73</v>
      </c>
      <c r="C156" s="176" t="s">
        <v>2053</v>
      </c>
      <c r="D156" s="75" t="s">
        <v>2080</v>
      </c>
      <c r="E156" s="362" t="s">
        <v>2081</v>
      </c>
      <c r="F156" s="101" t="s">
        <v>2076</v>
      </c>
      <c r="G156" s="76">
        <v>15.0</v>
      </c>
      <c r="H156" s="77">
        <v>15.0</v>
      </c>
      <c r="I156" s="77" t="s">
        <v>2057</v>
      </c>
      <c r="J156" s="58"/>
      <c r="K156" s="58"/>
      <c r="L156" s="58"/>
      <c r="M156" s="58"/>
      <c r="N156" s="58"/>
      <c r="O156" s="58"/>
      <c r="P156" s="58"/>
      <c r="Q156" s="58"/>
      <c r="R156" s="58"/>
      <c r="S156" s="58"/>
      <c r="T156" s="58"/>
      <c r="U156" s="58"/>
      <c r="V156" s="58"/>
      <c r="W156" s="58"/>
      <c r="X156" s="58"/>
      <c r="Y156" s="58"/>
      <c r="Z156" s="58"/>
    </row>
    <row r="157" ht="138.0" customHeight="1">
      <c r="A157" s="101" t="s">
        <v>2052</v>
      </c>
      <c r="B157" s="176" t="s">
        <v>73</v>
      </c>
      <c r="C157" s="176" t="s">
        <v>2053</v>
      </c>
      <c r="D157" s="75" t="s">
        <v>2082</v>
      </c>
      <c r="E157" s="362" t="s">
        <v>2083</v>
      </c>
      <c r="F157" s="101" t="s">
        <v>2076</v>
      </c>
      <c r="G157" s="76">
        <v>15.0</v>
      </c>
      <c r="H157" s="77">
        <v>15.0</v>
      </c>
      <c r="I157" s="77" t="s">
        <v>2057</v>
      </c>
      <c r="J157" s="58"/>
      <c r="K157" s="58"/>
      <c r="L157" s="58"/>
      <c r="M157" s="58"/>
      <c r="N157" s="58"/>
      <c r="O157" s="58"/>
      <c r="P157" s="58"/>
      <c r="Q157" s="58"/>
      <c r="R157" s="58"/>
      <c r="S157" s="58"/>
      <c r="T157" s="58"/>
      <c r="U157" s="58"/>
      <c r="V157" s="58"/>
      <c r="W157" s="58"/>
      <c r="X157" s="58"/>
      <c r="Y157" s="58"/>
      <c r="Z157" s="58"/>
    </row>
    <row r="158" ht="151.5" customHeight="1">
      <c r="A158" s="131" t="s">
        <v>2084</v>
      </c>
      <c r="B158" s="176" t="s">
        <v>73</v>
      </c>
      <c r="C158" s="75" t="s">
        <v>2085</v>
      </c>
      <c r="D158" s="101" t="s">
        <v>2086</v>
      </c>
      <c r="E158" s="100" t="s">
        <v>2087</v>
      </c>
      <c r="F158" s="101" t="s">
        <v>2076</v>
      </c>
      <c r="G158" s="76">
        <v>15.0</v>
      </c>
      <c r="H158" s="77">
        <v>7.5</v>
      </c>
      <c r="I158" s="77" t="s">
        <v>2057</v>
      </c>
      <c r="J158" s="58"/>
      <c r="K158" s="58"/>
      <c r="L158" s="58"/>
      <c r="M158" s="58"/>
      <c r="N158" s="58"/>
      <c r="O158" s="58"/>
      <c r="P158" s="58"/>
      <c r="Q158" s="58"/>
      <c r="R158" s="58"/>
      <c r="S158" s="58"/>
      <c r="T158" s="58"/>
      <c r="U158" s="58"/>
      <c r="V158" s="58"/>
      <c r="W158" s="58"/>
      <c r="X158" s="58"/>
      <c r="Y158" s="58"/>
      <c r="Z158" s="58"/>
    </row>
    <row r="159" ht="114.75" customHeight="1">
      <c r="A159" s="101" t="s">
        <v>2084</v>
      </c>
      <c r="B159" s="176" t="s">
        <v>73</v>
      </c>
      <c r="C159" s="75" t="s">
        <v>2085</v>
      </c>
      <c r="D159" s="101" t="s">
        <v>2088</v>
      </c>
      <c r="E159" s="100" t="s">
        <v>2089</v>
      </c>
      <c r="F159" s="112" t="s">
        <v>1864</v>
      </c>
      <c r="G159" s="76">
        <v>15.0</v>
      </c>
      <c r="H159" s="77">
        <v>7.5</v>
      </c>
      <c r="I159" s="77" t="s">
        <v>2057</v>
      </c>
      <c r="J159" s="58"/>
      <c r="K159" s="58"/>
      <c r="L159" s="58"/>
      <c r="M159" s="58"/>
      <c r="N159" s="58"/>
      <c r="O159" s="58"/>
      <c r="P159" s="58"/>
      <c r="Q159" s="58"/>
      <c r="R159" s="58"/>
      <c r="S159" s="58"/>
      <c r="T159" s="58"/>
      <c r="U159" s="58"/>
      <c r="V159" s="58"/>
      <c r="W159" s="58"/>
      <c r="X159" s="58"/>
      <c r="Y159" s="58"/>
      <c r="Z159" s="58"/>
    </row>
    <row r="160" ht="114.75" customHeight="1">
      <c r="A160" s="101" t="s">
        <v>2090</v>
      </c>
      <c r="B160" s="176" t="s">
        <v>73</v>
      </c>
      <c r="C160" s="75" t="s">
        <v>2091</v>
      </c>
      <c r="D160" s="101" t="s">
        <v>2088</v>
      </c>
      <c r="E160" s="100" t="s">
        <v>2089</v>
      </c>
      <c r="F160" s="112" t="s">
        <v>1864</v>
      </c>
      <c r="G160" s="76">
        <v>15.0</v>
      </c>
      <c r="H160" s="77">
        <v>15.0</v>
      </c>
      <c r="I160" s="77" t="s">
        <v>2057</v>
      </c>
      <c r="J160" s="58"/>
      <c r="K160" s="58"/>
      <c r="L160" s="58"/>
      <c r="M160" s="58"/>
      <c r="N160" s="58"/>
      <c r="O160" s="58"/>
      <c r="P160" s="58"/>
      <c r="Q160" s="58"/>
      <c r="R160" s="58"/>
      <c r="S160" s="58"/>
      <c r="T160" s="58"/>
      <c r="U160" s="58"/>
      <c r="V160" s="58"/>
      <c r="W160" s="58"/>
      <c r="X160" s="58"/>
      <c r="Y160" s="58"/>
      <c r="Z160" s="58"/>
    </row>
    <row r="161" ht="165.0" customHeight="1">
      <c r="A161" s="101" t="s">
        <v>2052</v>
      </c>
      <c r="B161" s="176" t="s">
        <v>73</v>
      </c>
      <c r="C161" s="176" t="s">
        <v>2092</v>
      </c>
      <c r="D161" s="75" t="s">
        <v>2067</v>
      </c>
      <c r="E161" s="362" t="s">
        <v>2068</v>
      </c>
      <c r="F161" s="112" t="s">
        <v>2093</v>
      </c>
      <c r="G161" s="76">
        <v>15.0</v>
      </c>
      <c r="H161" s="77">
        <v>15.0</v>
      </c>
      <c r="I161" s="77" t="s">
        <v>2057</v>
      </c>
      <c r="J161" s="58"/>
      <c r="K161" s="58"/>
      <c r="L161" s="58"/>
      <c r="M161" s="58"/>
      <c r="N161" s="58"/>
      <c r="O161" s="58"/>
      <c r="P161" s="58"/>
      <c r="Q161" s="58"/>
      <c r="R161" s="58"/>
      <c r="S161" s="58"/>
      <c r="T161" s="58"/>
      <c r="U161" s="58"/>
      <c r="V161" s="58"/>
      <c r="W161" s="58"/>
      <c r="X161" s="58"/>
      <c r="Y161" s="58"/>
      <c r="Z161" s="58"/>
    </row>
    <row r="162" ht="151.5" customHeight="1">
      <c r="A162" s="101" t="s">
        <v>2052</v>
      </c>
      <c r="B162" s="176" t="s">
        <v>73</v>
      </c>
      <c r="C162" s="176" t="s">
        <v>2094</v>
      </c>
      <c r="D162" s="416" t="s">
        <v>2095</v>
      </c>
      <c r="E162" s="100" t="s">
        <v>2096</v>
      </c>
      <c r="F162" s="101" t="s">
        <v>2097</v>
      </c>
      <c r="G162" s="76">
        <v>15.0</v>
      </c>
      <c r="H162" s="77">
        <v>15.0</v>
      </c>
      <c r="I162" s="77" t="s">
        <v>2057</v>
      </c>
      <c r="J162" s="58"/>
      <c r="K162" s="58"/>
      <c r="L162" s="58"/>
      <c r="M162" s="58"/>
      <c r="N162" s="58"/>
      <c r="O162" s="58"/>
      <c r="P162" s="58"/>
      <c r="Q162" s="58"/>
      <c r="R162" s="58"/>
      <c r="S162" s="58"/>
      <c r="T162" s="58"/>
      <c r="U162" s="58"/>
      <c r="V162" s="58"/>
      <c r="W162" s="58"/>
      <c r="X162" s="58"/>
      <c r="Y162" s="58"/>
      <c r="Z162" s="58"/>
    </row>
    <row r="163" ht="110.25" customHeight="1">
      <c r="A163" s="101" t="s">
        <v>2052</v>
      </c>
      <c r="B163" s="176" t="s">
        <v>73</v>
      </c>
      <c r="C163" s="176" t="s">
        <v>2098</v>
      </c>
      <c r="D163" s="416" t="s">
        <v>2099</v>
      </c>
      <c r="E163" s="100" t="s">
        <v>2100</v>
      </c>
      <c r="F163" s="101" t="s">
        <v>1864</v>
      </c>
      <c r="G163" s="76">
        <v>15.0</v>
      </c>
      <c r="H163" s="77">
        <v>15.0</v>
      </c>
      <c r="I163" s="77" t="s">
        <v>2057</v>
      </c>
      <c r="J163" s="58"/>
      <c r="K163" s="58"/>
      <c r="L163" s="58"/>
      <c r="M163" s="58"/>
      <c r="N163" s="58"/>
      <c r="O163" s="58"/>
      <c r="P163" s="58"/>
      <c r="Q163" s="58"/>
      <c r="R163" s="58"/>
      <c r="S163" s="58"/>
      <c r="T163" s="58"/>
      <c r="U163" s="58"/>
      <c r="V163" s="58"/>
      <c r="W163" s="58"/>
      <c r="X163" s="58"/>
      <c r="Y163" s="58"/>
      <c r="Z163" s="58"/>
    </row>
    <row r="164" ht="220.5" customHeight="1">
      <c r="A164" s="101" t="s">
        <v>2052</v>
      </c>
      <c r="B164" s="176" t="s">
        <v>73</v>
      </c>
      <c r="C164" s="176" t="s">
        <v>2094</v>
      </c>
      <c r="D164" s="416" t="s">
        <v>2101</v>
      </c>
      <c r="E164" s="381" t="s">
        <v>2102</v>
      </c>
      <c r="F164" s="101" t="s">
        <v>2103</v>
      </c>
      <c r="G164" s="76">
        <v>15.0</v>
      </c>
      <c r="H164" s="77">
        <v>15.0</v>
      </c>
      <c r="I164" s="77" t="s">
        <v>2057</v>
      </c>
      <c r="J164" s="58"/>
      <c r="K164" s="58"/>
      <c r="L164" s="58"/>
      <c r="M164" s="58"/>
      <c r="N164" s="58"/>
      <c r="O164" s="58"/>
      <c r="P164" s="58"/>
      <c r="Q164" s="58"/>
      <c r="R164" s="58"/>
      <c r="S164" s="58"/>
      <c r="T164" s="58"/>
      <c r="U164" s="58"/>
      <c r="V164" s="58"/>
      <c r="W164" s="58"/>
      <c r="X164" s="58"/>
      <c r="Y164" s="58"/>
      <c r="Z164" s="58"/>
    </row>
    <row r="165" ht="165.0" customHeight="1">
      <c r="A165" s="101" t="s">
        <v>2052</v>
      </c>
      <c r="B165" s="101" t="s">
        <v>73</v>
      </c>
      <c r="C165" s="176" t="s">
        <v>2104</v>
      </c>
      <c r="D165" s="176" t="s">
        <v>2105</v>
      </c>
      <c r="E165" s="100" t="s">
        <v>2106</v>
      </c>
      <c r="F165" s="101" t="s">
        <v>2107</v>
      </c>
      <c r="G165" s="76">
        <v>15.0</v>
      </c>
      <c r="H165" s="77">
        <v>15.0</v>
      </c>
      <c r="I165" s="77" t="s">
        <v>2057</v>
      </c>
      <c r="J165" s="58"/>
      <c r="K165" s="58"/>
      <c r="L165" s="58"/>
      <c r="M165" s="58"/>
      <c r="N165" s="58"/>
      <c r="O165" s="58"/>
      <c r="P165" s="58"/>
      <c r="Q165" s="58"/>
      <c r="R165" s="58"/>
      <c r="S165" s="58"/>
      <c r="T165" s="58"/>
      <c r="U165" s="58"/>
      <c r="V165" s="58"/>
      <c r="W165" s="58"/>
      <c r="X165" s="58"/>
      <c r="Y165" s="58"/>
      <c r="Z165" s="58"/>
    </row>
    <row r="166" ht="192.75" customHeight="1">
      <c r="A166" s="101" t="s">
        <v>2052</v>
      </c>
      <c r="B166" s="101" t="s">
        <v>73</v>
      </c>
      <c r="C166" s="176" t="s">
        <v>2108</v>
      </c>
      <c r="D166" s="176" t="s">
        <v>2109</v>
      </c>
      <c r="E166" s="100" t="s">
        <v>2110</v>
      </c>
      <c r="F166" s="101" t="s">
        <v>1864</v>
      </c>
      <c r="G166" s="76">
        <v>15.0</v>
      </c>
      <c r="H166" s="77">
        <v>15.0</v>
      </c>
      <c r="I166" s="77" t="s">
        <v>2057</v>
      </c>
      <c r="J166" s="58"/>
      <c r="K166" s="58"/>
      <c r="L166" s="58"/>
      <c r="M166" s="58"/>
      <c r="N166" s="58"/>
      <c r="O166" s="58"/>
      <c r="P166" s="58"/>
      <c r="Q166" s="58"/>
      <c r="R166" s="58"/>
      <c r="S166" s="58"/>
      <c r="T166" s="58"/>
      <c r="U166" s="58"/>
      <c r="V166" s="58"/>
      <c r="W166" s="58"/>
      <c r="X166" s="58"/>
      <c r="Y166" s="58"/>
      <c r="Z166" s="58"/>
    </row>
    <row r="167" ht="110.25" customHeight="1">
      <c r="A167" s="101" t="s">
        <v>2052</v>
      </c>
      <c r="B167" s="101" t="s">
        <v>73</v>
      </c>
      <c r="C167" s="176" t="s">
        <v>2111</v>
      </c>
      <c r="D167" s="176" t="s">
        <v>2112</v>
      </c>
      <c r="E167" s="381" t="s">
        <v>2113</v>
      </c>
      <c r="F167" s="101" t="s">
        <v>2114</v>
      </c>
      <c r="G167" s="76">
        <v>15.0</v>
      </c>
      <c r="H167" s="77">
        <v>15.0</v>
      </c>
      <c r="I167" s="77" t="s">
        <v>2057</v>
      </c>
      <c r="J167" s="58"/>
      <c r="K167" s="58"/>
      <c r="L167" s="58"/>
      <c r="M167" s="58"/>
      <c r="N167" s="58"/>
      <c r="O167" s="58"/>
      <c r="P167" s="58"/>
      <c r="Q167" s="58"/>
      <c r="R167" s="58"/>
      <c r="S167" s="58"/>
      <c r="T167" s="58"/>
      <c r="U167" s="58"/>
      <c r="V167" s="58"/>
      <c r="W167" s="58"/>
      <c r="X167" s="58"/>
      <c r="Y167" s="58"/>
      <c r="Z167" s="58"/>
    </row>
    <row r="168" ht="96.0" customHeight="1">
      <c r="A168" s="101" t="s">
        <v>2052</v>
      </c>
      <c r="B168" s="101" t="s">
        <v>73</v>
      </c>
      <c r="C168" s="176" t="s">
        <v>2111</v>
      </c>
      <c r="D168" s="417" t="s">
        <v>2115</v>
      </c>
      <c r="E168" s="418" t="s">
        <v>2116</v>
      </c>
      <c r="F168" s="101" t="s">
        <v>2076</v>
      </c>
      <c r="G168" s="76">
        <v>15.0</v>
      </c>
      <c r="H168" s="77">
        <v>15.0</v>
      </c>
      <c r="I168" s="77" t="s">
        <v>2057</v>
      </c>
      <c r="J168" s="58"/>
      <c r="K168" s="58"/>
      <c r="L168" s="58"/>
      <c r="M168" s="58"/>
      <c r="N168" s="58"/>
      <c r="O168" s="58"/>
      <c r="P168" s="58"/>
      <c r="Q168" s="58"/>
      <c r="R168" s="58"/>
      <c r="S168" s="58"/>
      <c r="T168" s="58"/>
      <c r="U168" s="58"/>
      <c r="V168" s="58"/>
      <c r="W168" s="58"/>
      <c r="X168" s="58"/>
      <c r="Y168" s="58"/>
      <c r="Z168" s="58"/>
    </row>
    <row r="169" ht="114.75" customHeight="1">
      <c r="A169" s="101" t="s">
        <v>2052</v>
      </c>
      <c r="B169" s="101" t="s">
        <v>73</v>
      </c>
      <c r="C169" s="176" t="s">
        <v>2117</v>
      </c>
      <c r="D169" s="101" t="s">
        <v>2088</v>
      </c>
      <c r="E169" s="100" t="s">
        <v>2089</v>
      </c>
      <c r="F169" s="101" t="s">
        <v>1864</v>
      </c>
      <c r="G169" s="76">
        <v>15.0</v>
      </c>
      <c r="H169" s="77">
        <v>15.0</v>
      </c>
      <c r="I169" s="77" t="s">
        <v>2057</v>
      </c>
      <c r="J169" s="58"/>
      <c r="K169" s="58"/>
      <c r="L169" s="58"/>
      <c r="M169" s="58"/>
      <c r="N169" s="58"/>
      <c r="O169" s="58"/>
      <c r="P169" s="58"/>
      <c r="Q169" s="58"/>
      <c r="R169" s="58"/>
      <c r="S169" s="58"/>
      <c r="T169" s="58"/>
      <c r="U169" s="58"/>
      <c r="V169" s="58"/>
      <c r="W169" s="58"/>
      <c r="X169" s="58"/>
      <c r="Y169" s="58"/>
      <c r="Z169" s="58"/>
    </row>
    <row r="170" ht="96.0" customHeight="1">
      <c r="A170" s="101" t="s">
        <v>2052</v>
      </c>
      <c r="B170" s="101" t="s">
        <v>73</v>
      </c>
      <c r="C170" s="176" t="s">
        <v>2118</v>
      </c>
      <c r="D170" s="101" t="s">
        <v>2119</v>
      </c>
      <c r="E170" s="100" t="s">
        <v>2120</v>
      </c>
      <c r="F170" s="101" t="s">
        <v>2076</v>
      </c>
      <c r="G170" s="76">
        <v>15.0</v>
      </c>
      <c r="H170" s="77">
        <v>15.0</v>
      </c>
      <c r="I170" s="77" t="s">
        <v>2057</v>
      </c>
      <c r="J170" s="58"/>
      <c r="K170" s="58"/>
      <c r="L170" s="58"/>
      <c r="M170" s="58"/>
      <c r="N170" s="58"/>
      <c r="O170" s="58"/>
      <c r="P170" s="58"/>
      <c r="Q170" s="58"/>
      <c r="R170" s="58"/>
      <c r="S170" s="58"/>
      <c r="T170" s="58"/>
      <c r="U170" s="58"/>
      <c r="V170" s="58"/>
      <c r="W170" s="58"/>
      <c r="X170" s="58"/>
      <c r="Y170" s="58"/>
      <c r="Z170" s="58"/>
    </row>
    <row r="171" ht="82.5" customHeight="1">
      <c r="A171" s="101" t="s">
        <v>2052</v>
      </c>
      <c r="B171" s="101" t="s">
        <v>73</v>
      </c>
      <c r="C171" s="176" t="s">
        <v>2121</v>
      </c>
      <c r="D171" s="101" t="s">
        <v>2122</v>
      </c>
      <c r="E171" s="100" t="s">
        <v>2123</v>
      </c>
      <c r="F171" s="101" t="s">
        <v>1864</v>
      </c>
      <c r="G171" s="76">
        <v>15.0</v>
      </c>
      <c r="H171" s="77">
        <v>15.0</v>
      </c>
      <c r="I171" s="77" t="s">
        <v>2057</v>
      </c>
      <c r="J171" s="58"/>
      <c r="K171" s="58"/>
      <c r="L171" s="58"/>
      <c r="M171" s="58"/>
      <c r="N171" s="58"/>
      <c r="O171" s="58"/>
      <c r="P171" s="58"/>
      <c r="Q171" s="58"/>
      <c r="R171" s="58"/>
      <c r="S171" s="58"/>
      <c r="T171" s="58"/>
      <c r="U171" s="58"/>
      <c r="V171" s="58"/>
      <c r="W171" s="58"/>
      <c r="X171" s="58"/>
      <c r="Y171" s="58"/>
      <c r="Z171" s="58"/>
    </row>
    <row r="172" ht="82.5" customHeight="1">
      <c r="A172" s="101" t="s">
        <v>2052</v>
      </c>
      <c r="B172" s="101" t="s">
        <v>73</v>
      </c>
      <c r="C172" s="176" t="s">
        <v>2121</v>
      </c>
      <c r="D172" s="101" t="s">
        <v>2124</v>
      </c>
      <c r="E172" s="100" t="s">
        <v>2125</v>
      </c>
      <c r="F172" s="101" t="s">
        <v>2126</v>
      </c>
      <c r="G172" s="76">
        <v>15.0</v>
      </c>
      <c r="H172" s="77">
        <v>15.0</v>
      </c>
      <c r="I172" s="77" t="s">
        <v>2057</v>
      </c>
      <c r="J172" s="58"/>
      <c r="K172" s="58"/>
      <c r="L172" s="58"/>
      <c r="M172" s="58"/>
      <c r="N172" s="58"/>
      <c r="O172" s="58"/>
      <c r="P172" s="58"/>
      <c r="Q172" s="58"/>
      <c r="R172" s="58"/>
      <c r="S172" s="58"/>
      <c r="T172" s="58"/>
      <c r="U172" s="58"/>
      <c r="V172" s="58"/>
      <c r="W172" s="58"/>
      <c r="X172" s="58"/>
      <c r="Y172" s="58"/>
      <c r="Z172" s="58"/>
    </row>
    <row r="173" ht="138.0" customHeight="1">
      <c r="A173" s="101" t="s">
        <v>2052</v>
      </c>
      <c r="B173" s="101" t="s">
        <v>73</v>
      </c>
      <c r="C173" s="176" t="s">
        <v>2121</v>
      </c>
      <c r="D173" s="101" t="s">
        <v>2127</v>
      </c>
      <c r="E173" s="419" t="s">
        <v>2128</v>
      </c>
      <c r="F173" s="101" t="s">
        <v>2076</v>
      </c>
      <c r="G173" s="76">
        <v>15.0</v>
      </c>
      <c r="H173" s="77">
        <v>15.0</v>
      </c>
      <c r="I173" s="77" t="s">
        <v>2057</v>
      </c>
      <c r="J173" s="58"/>
      <c r="K173" s="58"/>
      <c r="L173" s="58"/>
      <c r="M173" s="58"/>
      <c r="N173" s="58"/>
      <c r="O173" s="58"/>
      <c r="P173" s="58"/>
      <c r="Q173" s="58"/>
      <c r="R173" s="58"/>
      <c r="S173" s="58"/>
      <c r="T173" s="58"/>
      <c r="U173" s="58"/>
      <c r="V173" s="58"/>
      <c r="W173" s="58"/>
      <c r="X173" s="58"/>
      <c r="Y173" s="58"/>
      <c r="Z173" s="58"/>
    </row>
    <row r="174" ht="54.75" customHeight="1">
      <c r="A174" s="101" t="s">
        <v>2052</v>
      </c>
      <c r="B174" s="101" t="s">
        <v>73</v>
      </c>
      <c r="C174" s="176" t="s">
        <v>2121</v>
      </c>
      <c r="D174" s="101" t="s">
        <v>2129</v>
      </c>
      <c r="E174" s="420" t="s">
        <v>2130</v>
      </c>
      <c r="F174" s="101" t="s">
        <v>2076</v>
      </c>
      <c r="G174" s="76">
        <v>15.0</v>
      </c>
      <c r="H174" s="77">
        <v>15.0</v>
      </c>
      <c r="I174" s="77" t="s">
        <v>2057</v>
      </c>
      <c r="J174" s="58"/>
      <c r="K174" s="58"/>
      <c r="L174" s="58"/>
      <c r="M174" s="58"/>
      <c r="N174" s="58"/>
      <c r="O174" s="58"/>
      <c r="P174" s="58"/>
      <c r="Q174" s="58"/>
      <c r="R174" s="58"/>
      <c r="S174" s="58"/>
      <c r="T174" s="58"/>
      <c r="U174" s="58"/>
      <c r="V174" s="58"/>
      <c r="W174" s="58"/>
      <c r="X174" s="58"/>
      <c r="Y174" s="58"/>
      <c r="Z174" s="58"/>
    </row>
    <row r="175" ht="172.5" customHeight="1">
      <c r="A175" s="101" t="s">
        <v>2052</v>
      </c>
      <c r="B175" s="101" t="s">
        <v>73</v>
      </c>
      <c r="C175" s="176" t="s">
        <v>2121</v>
      </c>
      <c r="D175" s="101" t="s">
        <v>2131</v>
      </c>
      <c r="E175" s="421" t="s">
        <v>2132</v>
      </c>
      <c r="F175" s="101" t="s">
        <v>2076</v>
      </c>
      <c r="G175" s="76">
        <v>15.0</v>
      </c>
      <c r="H175" s="77">
        <v>15.0</v>
      </c>
      <c r="I175" s="77" t="s">
        <v>2057</v>
      </c>
      <c r="J175" s="58"/>
      <c r="K175" s="58"/>
      <c r="L175" s="58"/>
      <c r="M175" s="58"/>
      <c r="N175" s="58"/>
      <c r="O175" s="58"/>
      <c r="P175" s="58"/>
      <c r="Q175" s="58"/>
      <c r="R175" s="58"/>
      <c r="S175" s="58"/>
      <c r="T175" s="58"/>
      <c r="U175" s="58"/>
      <c r="V175" s="58"/>
      <c r="W175" s="58"/>
      <c r="X175" s="58"/>
      <c r="Y175" s="58"/>
      <c r="Z175" s="58"/>
    </row>
    <row r="176" ht="100.5" customHeight="1">
      <c r="A176" s="101" t="s">
        <v>2052</v>
      </c>
      <c r="B176" s="101" t="s">
        <v>73</v>
      </c>
      <c r="C176" s="176" t="s">
        <v>2133</v>
      </c>
      <c r="D176" s="101" t="s">
        <v>2134</v>
      </c>
      <c r="E176" s="422" t="s">
        <v>2135</v>
      </c>
      <c r="F176" s="101" t="s">
        <v>2076</v>
      </c>
      <c r="G176" s="76">
        <v>15.0</v>
      </c>
      <c r="H176" s="77">
        <v>7.5</v>
      </c>
      <c r="I176" s="77" t="s">
        <v>2057</v>
      </c>
      <c r="J176" s="58"/>
      <c r="K176" s="58"/>
      <c r="L176" s="58"/>
      <c r="M176" s="58"/>
      <c r="N176" s="58"/>
      <c r="O176" s="58"/>
      <c r="P176" s="58"/>
      <c r="Q176" s="58"/>
      <c r="R176" s="58"/>
      <c r="S176" s="58"/>
      <c r="T176" s="58"/>
      <c r="U176" s="58"/>
      <c r="V176" s="58"/>
      <c r="W176" s="58"/>
      <c r="X176" s="58"/>
      <c r="Y176" s="58"/>
      <c r="Z176" s="58"/>
    </row>
    <row r="177" ht="96.0" customHeight="1">
      <c r="A177" s="101" t="s">
        <v>2052</v>
      </c>
      <c r="B177" s="101" t="s">
        <v>73</v>
      </c>
      <c r="C177" s="176" t="s">
        <v>2133</v>
      </c>
      <c r="D177" s="101" t="s">
        <v>2136</v>
      </c>
      <c r="E177" s="422" t="s">
        <v>2137</v>
      </c>
      <c r="F177" s="101" t="s">
        <v>2076</v>
      </c>
      <c r="G177" s="76">
        <v>15.0</v>
      </c>
      <c r="H177" s="77">
        <v>7.5</v>
      </c>
      <c r="I177" s="77" t="s">
        <v>2057</v>
      </c>
      <c r="J177" s="58"/>
      <c r="K177" s="58"/>
      <c r="L177" s="58"/>
      <c r="M177" s="58"/>
      <c r="N177" s="58"/>
      <c r="O177" s="58"/>
      <c r="P177" s="58"/>
      <c r="Q177" s="58"/>
      <c r="R177" s="58"/>
      <c r="S177" s="58"/>
      <c r="T177" s="58"/>
      <c r="U177" s="58"/>
      <c r="V177" s="58"/>
      <c r="W177" s="58"/>
      <c r="X177" s="58"/>
      <c r="Y177" s="58"/>
      <c r="Z177" s="58"/>
    </row>
    <row r="178" ht="96.0" customHeight="1">
      <c r="A178" s="101" t="s">
        <v>2052</v>
      </c>
      <c r="B178" s="101" t="s">
        <v>73</v>
      </c>
      <c r="C178" s="176" t="s">
        <v>2133</v>
      </c>
      <c r="D178" s="101" t="s">
        <v>2138</v>
      </c>
      <c r="E178" s="422" t="s">
        <v>2139</v>
      </c>
      <c r="F178" s="101" t="s">
        <v>2076</v>
      </c>
      <c r="G178" s="76">
        <v>15.0</v>
      </c>
      <c r="H178" s="77">
        <v>7.5</v>
      </c>
      <c r="I178" s="77" t="s">
        <v>2057</v>
      </c>
      <c r="J178" s="58"/>
      <c r="K178" s="58"/>
      <c r="L178" s="58"/>
      <c r="M178" s="58"/>
      <c r="N178" s="58"/>
      <c r="O178" s="58"/>
      <c r="P178" s="58"/>
      <c r="Q178" s="58"/>
      <c r="R178" s="58"/>
      <c r="S178" s="58"/>
      <c r="T178" s="58"/>
      <c r="U178" s="58"/>
      <c r="V178" s="58"/>
      <c r="W178" s="58"/>
      <c r="X178" s="58"/>
      <c r="Y178" s="58"/>
      <c r="Z178" s="58"/>
    </row>
    <row r="179" ht="86.25" customHeight="1">
      <c r="A179" s="101" t="s">
        <v>2052</v>
      </c>
      <c r="B179" s="101" t="s">
        <v>73</v>
      </c>
      <c r="C179" s="176" t="s">
        <v>2140</v>
      </c>
      <c r="D179" s="101" t="s">
        <v>2141</v>
      </c>
      <c r="E179" s="422" t="s">
        <v>2142</v>
      </c>
      <c r="F179" s="101" t="s">
        <v>2076</v>
      </c>
      <c r="G179" s="76">
        <v>15.0</v>
      </c>
      <c r="H179" s="77">
        <v>7.5</v>
      </c>
      <c r="I179" s="77" t="s">
        <v>2057</v>
      </c>
      <c r="J179" s="58"/>
      <c r="K179" s="58"/>
      <c r="L179" s="58"/>
      <c r="M179" s="58"/>
      <c r="N179" s="58"/>
      <c r="O179" s="58"/>
      <c r="P179" s="58"/>
      <c r="Q179" s="58"/>
      <c r="R179" s="58"/>
      <c r="S179" s="58"/>
      <c r="T179" s="58"/>
      <c r="U179" s="58"/>
      <c r="V179" s="58"/>
      <c r="W179" s="58"/>
      <c r="X179" s="58"/>
      <c r="Y179" s="58"/>
      <c r="Z179" s="58"/>
    </row>
    <row r="180" ht="220.5" customHeight="1">
      <c r="A180" s="101" t="s">
        <v>2052</v>
      </c>
      <c r="B180" s="101" t="s">
        <v>73</v>
      </c>
      <c r="C180" s="176" t="s">
        <v>2140</v>
      </c>
      <c r="D180" s="101" t="s">
        <v>2143</v>
      </c>
      <c r="E180" s="423" t="s">
        <v>2144</v>
      </c>
      <c r="F180" s="101" t="s">
        <v>2076</v>
      </c>
      <c r="G180" s="76">
        <v>15.0</v>
      </c>
      <c r="H180" s="77">
        <v>7.5</v>
      </c>
      <c r="I180" s="77" t="s">
        <v>2057</v>
      </c>
      <c r="J180" s="58"/>
      <c r="K180" s="58"/>
      <c r="L180" s="58"/>
      <c r="M180" s="58"/>
      <c r="N180" s="58"/>
      <c r="O180" s="58"/>
      <c r="P180" s="58"/>
      <c r="Q180" s="58"/>
      <c r="R180" s="58"/>
      <c r="S180" s="58"/>
      <c r="T180" s="58"/>
      <c r="U180" s="58"/>
      <c r="V180" s="58"/>
      <c r="W180" s="58"/>
      <c r="X180" s="58"/>
      <c r="Y180" s="58"/>
      <c r="Z180" s="58"/>
    </row>
    <row r="181" ht="82.5" customHeight="1">
      <c r="A181" s="101" t="s">
        <v>2052</v>
      </c>
      <c r="B181" s="101" t="s">
        <v>73</v>
      </c>
      <c r="C181" s="176" t="s">
        <v>2140</v>
      </c>
      <c r="D181" s="101" t="s">
        <v>2145</v>
      </c>
      <c r="E181" s="79" t="s">
        <v>2146</v>
      </c>
      <c r="F181" s="101" t="s">
        <v>2076</v>
      </c>
      <c r="G181" s="76">
        <v>15.0</v>
      </c>
      <c r="H181" s="77">
        <v>7.5</v>
      </c>
      <c r="I181" s="77" t="s">
        <v>2057</v>
      </c>
      <c r="J181" s="58"/>
      <c r="K181" s="58"/>
      <c r="L181" s="58"/>
      <c r="M181" s="58"/>
      <c r="N181" s="58"/>
      <c r="O181" s="58"/>
      <c r="P181" s="58"/>
      <c r="Q181" s="58"/>
      <c r="R181" s="58"/>
      <c r="S181" s="58"/>
      <c r="T181" s="58"/>
      <c r="U181" s="58"/>
      <c r="V181" s="58"/>
      <c r="W181" s="58"/>
      <c r="X181" s="58"/>
      <c r="Y181" s="58"/>
      <c r="Z181" s="58"/>
    </row>
    <row r="182" ht="96.0" customHeight="1">
      <c r="A182" s="101" t="s">
        <v>2052</v>
      </c>
      <c r="B182" s="101" t="s">
        <v>73</v>
      </c>
      <c r="C182" s="176" t="s">
        <v>2140</v>
      </c>
      <c r="D182" s="101" t="s">
        <v>2147</v>
      </c>
      <c r="E182" s="423" t="s">
        <v>2148</v>
      </c>
      <c r="F182" s="101" t="s">
        <v>2076</v>
      </c>
      <c r="G182" s="76">
        <v>15.0</v>
      </c>
      <c r="H182" s="77">
        <v>7.5</v>
      </c>
      <c r="I182" s="77" t="s">
        <v>2057</v>
      </c>
      <c r="J182" s="58"/>
      <c r="K182" s="58"/>
      <c r="L182" s="58"/>
      <c r="M182" s="58"/>
      <c r="N182" s="58"/>
      <c r="O182" s="58"/>
      <c r="P182" s="58"/>
      <c r="Q182" s="58"/>
      <c r="R182" s="58"/>
      <c r="S182" s="58"/>
      <c r="T182" s="58"/>
      <c r="U182" s="58"/>
      <c r="V182" s="58"/>
      <c r="W182" s="58"/>
      <c r="X182" s="58"/>
      <c r="Y182" s="58"/>
      <c r="Z182" s="58"/>
    </row>
    <row r="183" ht="110.25" customHeight="1">
      <c r="A183" s="101" t="s">
        <v>2052</v>
      </c>
      <c r="B183" s="101" t="s">
        <v>73</v>
      </c>
      <c r="C183" s="176" t="s">
        <v>2133</v>
      </c>
      <c r="D183" s="101" t="s">
        <v>2149</v>
      </c>
      <c r="E183" s="79" t="s">
        <v>2150</v>
      </c>
      <c r="F183" s="101" t="s">
        <v>1864</v>
      </c>
      <c r="G183" s="76">
        <v>15.0</v>
      </c>
      <c r="H183" s="77">
        <v>7.5</v>
      </c>
      <c r="I183" s="77" t="s">
        <v>2057</v>
      </c>
      <c r="J183" s="58"/>
      <c r="K183" s="58"/>
      <c r="L183" s="58"/>
      <c r="M183" s="58"/>
      <c r="N183" s="58"/>
      <c r="O183" s="58"/>
      <c r="P183" s="58"/>
      <c r="Q183" s="58"/>
      <c r="R183" s="58"/>
      <c r="S183" s="58"/>
      <c r="T183" s="58"/>
      <c r="U183" s="58"/>
      <c r="V183" s="58"/>
      <c r="W183" s="58"/>
      <c r="X183" s="58"/>
      <c r="Y183" s="58"/>
      <c r="Z183" s="58"/>
    </row>
    <row r="184" ht="179.25" customHeight="1">
      <c r="A184" s="101" t="s">
        <v>2052</v>
      </c>
      <c r="B184" s="101" t="s">
        <v>73</v>
      </c>
      <c r="C184" s="176" t="s">
        <v>2151</v>
      </c>
      <c r="D184" s="101" t="s">
        <v>2152</v>
      </c>
      <c r="E184" s="100" t="s">
        <v>2153</v>
      </c>
      <c r="F184" s="101" t="s">
        <v>2154</v>
      </c>
      <c r="G184" s="76">
        <v>15.0</v>
      </c>
      <c r="H184" s="77">
        <v>7.5</v>
      </c>
      <c r="I184" s="77" t="s">
        <v>2057</v>
      </c>
      <c r="J184" s="58"/>
      <c r="K184" s="58"/>
      <c r="L184" s="58"/>
      <c r="M184" s="58"/>
      <c r="N184" s="58"/>
      <c r="O184" s="58"/>
      <c r="P184" s="58"/>
      <c r="Q184" s="58"/>
      <c r="R184" s="58"/>
      <c r="S184" s="58"/>
      <c r="T184" s="58"/>
      <c r="U184" s="58"/>
      <c r="V184" s="58"/>
      <c r="W184" s="58"/>
      <c r="X184" s="58"/>
      <c r="Y184" s="58"/>
      <c r="Z184" s="58"/>
    </row>
    <row r="185" ht="179.25" customHeight="1">
      <c r="A185" s="101" t="s">
        <v>2052</v>
      </c>
      <c r="B185" s="101" t="s">
        <v>73</v>
      </c>
      <c r="C185" s="176" t="s">
        <v>2151</v>
      </c>
      <c r="D185" s="176" t="s">
        <v>2155</v>
      </c>
      <c r="E185" s="362" t="s">
        <v>2156</v>
      </c>
      <c r="F185" s="101" t="s">
        <v>2157</v>
      </c>
      <c r="G185" s="76">
        <v>50.0</v>
      </c>
      <c r="H185" s="77">
        <v>25.0</v>
      </c>
      <c r="I185" s="77" t="s">
        <v>2057</v>
      </c>
      <c r="J185" s="58"/>
      <c r="K185" s="58"/>
      <c r="L185" s="58"/>
      <c r="M185" s="58"/>
      <c r="N185" s="58"/>
      <c r="O185" s="58"/>
      <c r="P185" s="58"/>
      <c r="Q185" s="58"/>
      <c r="R185" s="58"/>
      <c r="S185" s="58"/>
      <c r="T185" s="58"/>
      <c r="U185" s="58"/>
      <c r="V185" s="58"/>
      <c r="W185" s="58"/>
      <c r="X185" s="58"/>
      <c r="Y185" s="58"/>
      <c r="Z185" s="58"/>
    </row>
    <row r="186" ht="110.25" customHeight="1">
      <c r="A186" s="101" t="s">
        <v>2052</v>
      </c>
      <c r="B186" s="101" t="s">
        <v>73</v>
      </c>
      <c r="C186" s="176" t="s">
        <v>2151</v>
      </c>
      <c r="D186" s="101" t="s">
        <v>2158</v>
      </c>
      <c r="E186" s="100" t="s">
        <v>2159</v>
      </c>
      <c r="F186" s="101" t="s">
        <v>2076</v>
      </c>
      <c r="G186" s="76">
        <v>15.0</v>
      </c>
      <c r="H186" s="77">
        <v>7.5</v>
      </c>
      <c r="I186" s="77" t="s">
        <v>2057</v>
      </c>
      <c r="J186" s="58"/>
      <c r="K186" s="58"/>
      <c r="L186" s="58"/>
      <c r="M186" s="58"/>
      <c r="N186" s="58"/>
      <c r="O186" s="58"/>
      <c r="P186" s="58"/>
      <c r="Q186" s="58"/>
      <c r="R186" s="58"/>
      <c r="S186" s="58"/>
      <c r="T186" s="58"/>
      <c r="U186" s="58"/>
      <c r="V186" s="58"/>
      <c r="W186" s="58"/>
      <c r="X186" s="58"/>
      <c r="Y186" s="58"/>
      <c r="Z186" s="58"/>
    </row>
    <row r="187" ht="118.5" customHeight="1">
      <c r="A187" s="170" t="s">
        <v>2160</v>
      </c>
      <c r="B187" s="244" t="s">
        <v>73</v>
      </c>
      <c r="C187" s="162" t="s">
        <v>2161</v>
      </c>
      <c r="D187" s="162" t="s">
        <v>2162</v>
      </c>
      <c r="E187" s="424" t="s">
        <v>2087</v>
      </c>
      <c r="F187" s="237" t="s">
        <v>2163</v>
      </c>
      <c r="G187" s="425">
        <v>15.0</v>
      </c>
      <c r="H187" s="426">
        <v>7.5</v>
      </c>
      <c r="I187" s="77" t="s">
        <v>79</v>
      </c>
      <c r="J187" s="58"/>
      <c r="K187" s="58"/>
      <c r="L187" s="58"/>
      <c r="M187" s="58"/>
      <c r="N187" s="58"/>
      <c r="O187" s="58"/>
      <c r="P187" s="58"/>
      <c r="Q187" s="58"/>
      <c r="R187" s="58"/>
      <c r="S187" s="58"/>
      <c r="T187" s="58"/>
      <c r="U187" s="58"/>
      <c r="V187" s="58"/>
      <c r="W187" s="58"/>
      <c r="X187" s="58"/>
      <c r="Y187" s="58"/>
      <c r="Z187" s="58"/>
    </row>
    <row r="188" ht="52.5" customHeight="1">
      <c r="A188" s="170" t="s">
        <v>2164</v>
      </c>
      <c r="B188" s="162" t="s">
        <v>73</v>
      </c>
      <c r="C188" s="162" t="s">
        <v>2161</v>
      </c>
      <c r="D188" s="427" t="s">
        <v>2136</v>
      </c>
      <c r="E188" s="428" t="s">
        <v>2137</v>
      </c>
      <c r="F188" s="237"/>
      <c r="G188" s="425">
        <v>15.0</v>
      </c>
      <c r="H188" s="426">
        <v>7.5</v>
      </c>
      <c r="I188" s="77" t="s">
        <v>79</v>
      </c>
      <c r="J188" s="58"/>
      <c r="K188" s="58"/>
      <c r="L188" s="58"/>
      <c r="M188" s="58"/>
      <c r="N188" s="58"/>
      <c r="O188" s="58"/>
      <c r="P188" s="58"/>
      <c r="Q188" s="58"/>
      <c r="R188" s="58"/>
      <c r="S188" s="58"/>
      <c r="T188" s="58"/>
      <c r="U188" s="58"/>
      <c r="V188" s="58"/>
      <c r="W188" s="58"/>
      <c r="X188" s="58"/>
      <c r="Y188" s="58"/>
      <c r="Z188" s="58"/>
    </row>
    <row r="189" ht="78.75" customHeight="1">
      <c r="A189" s="170" t="s">
        <v>2165</v>
      </c>
      <c r="B189" s="162" t="s">
        <v>73</v>
      </c>
      <c r="C189" s="162" t="s">
        <v>2161</v>
      </c>
      <c r="D189" s="429" t="s">
        <v>2138</v>
      </c>
      <c r="E189" s="430" t="s">
        <v>2139</v>
      </c>
      <c r="F189" s="237"/>
      <c r="G189" s="425">
        <v>15.0</v>
      </c>
      <c r="H189" s="426">
        <v>7.5</v>
      </c>
      <c r="I189" s="77" t="s">
        <v>79</v>
      </c>
      <c r="J189" s="58"/>
      <c r="K189" s="58"/>
      <c r="L189" s="58"/>
      <c r="M189" s="58"/>
      <c r="N189" s="58"/>
      <c r="O189" s="58"/>
      <c r="P189" s="58"/>
      <c r="Q189" s="58"/>
      <c r="R189" s="58"/>
      <c r="S189" s="58"/>
      <c r="T189" s="58"/>
      <c r="U189" s="58"/>
      <c r="V189" s="58"/>
      <c r="W189" s="58"/>
      <c r="X189" s="58"/>
      <c r="Y189" s="58"/>
      <c r="Z189" s="58"/>
    </row>
    <row r="190" ht="78.75" customHeight="1">
      <c r="A190" s="170" t="s">
        <v>2166</v>
      </c>
      <c r="B190" s="162" t="s">
        <v>73</v>
      </c>
      <c r="C190" s="162" t="s">
        <v>2161</v>
      </c>
      <c r="D190" s="431" t="s">
        <v>2167</v>
      </c>
      <c r="E190" s="424" t="s">
        <v>2089</v>
      </c>
      <c r="F190" s="148" t="s">
        <v>1796</v>
      </c>
      <c r="G190" s="425">
        <v>15.0</v>
      </c>
      <c r="H190" s="426">
        <v>7.5</v>
      </c>
      <c r="I190" s="77" t="s">
        <v>79</v>
      </c>
      <c r="J190" s="58"/>
      <c r="K190" s="58"/>
      <c r="L190" s="58"/>
      <c r="M190" s="58"/>
      <c r="N190" s="58"/>
      <c r="O190" s="58"/>
      <c r="P190" s="58"/>
      <c r="Q190" s="58"/>
      <c r="R190" s="58"/>
      <c r="S190" s="58"/>
      <c r="T190" s="58"/>
      <c r="U190" s="58"/>
      <c r="V190" s="58"/>
      <c r="W190" s="58"/>
      <c r="X190" s="58"/>
      <c r="Y190" s="58"/>
      <c r="Z190" s="58"/>
    </row>
    <row r="191" ht="92.25" customHeight="1">
      <c r="A191" s="170" t="s">
        <v>2168</v>
      </c>
      <c r="B191" s="162" t="s">
        <v>73</v>
      </c>
      <c r="C191" s="162" t="s">
        <v>2161</v>
      </c>
      <c r="D191" s="237" t="s">
        <v>2149</v>
      </c>
      <c r="E191" s="148"/>
      <c r="F191" s="148" t="s">
        <v>1796</v>
      </c>
      <c r="G191" s="425">
        <v>15.0</v>
      </c>
      <c r="H191" s="426">
        <v>7.5</v>
      </c>
      <c r="I191" s="77" t="s">
        <v>79</v>
      </c>
      <c r="J191" s="58"/>
      <c r="K191" s="58"/>
      <c r="L191" s="58"/>
      <c r="M191" s="58"/>
      <c r="N191" s="58"/>
      <c r="O191" s="58"/>
      <c r="P191" s="58"/>
      <c r="Q191" s="58"/>
      <c r="R191" s="58"/>
      <c r="S191" s="58"/>
      <c r="T191" s="58"/>
      <c r="U191" s="58"/>
      <c r="V191" s="58"/>
      <c r="W191" s="58"/>
      <c r="X191" s="58"/>
      <c r="Y191" s="58"/>
      <c r="Z191" s="58"/>
    </row>
    <row r="192" ht="66.0" customHeight="1">
      <c r="A192" s="170" t="s">
        <v>2169</v>
      </c>
      <c r="B192" s="162" t="s">
        <v>73</v>
      </c>
      <c r="C192" s="162" t="s">
        <v>2161</v>
      </c>
      <c r="D192" s="237" t="s">
        <v>2170</v>
      </c>
      <c r="E192" s="424" t="s">
        <v>2135</v>
      </c>
      <c r="F192" s="148"/>
      <c r="G192" s="425">
        <v>15.0</v>
      </c>
      <c r="H192" s="426">
        <v>7.5</v>
      </c>
      <c r="I192" s="77" t="s">
        <v>79</v>
      </c>
      <c r="J192" s="58"/>
      <c r="K192" s="58"/>
      <c r="L192" s="58"/>
      <c r="M192" s="58"/>
      <c r="N192" s="58"/>
      <c r="O192" s="58"/>
      <c r="P192" s="58"/>
      <c r="Q192" s="58"/>
      <c r="R192" s="58"/>
      <c r="S192" s="58"/>
      <c r="T192" s="58"/>
      <c r="U192" s="58"/>
      <c r="V192" s="58"/>
      <c r="W192" s="58"/>
      <c r="X192" s="58"/>
      <c r="Y192" s="58"/>
      <c r="Z192" s="58"/>
    </row>
    <row r="193" ht="66.0" customHeight="1">
      <c r="A193" s="170" t="s">
        <v>2171</v>
      </c>
      <c r="B193" s="162" t="s">
        <v>73</v>
      </c>
      <c r="C193" s="432" t="s">
        <v>2172</v>
      </c>
      <c r="D193" s="433" t="s">
        <v>2173</v>
      </c>
      <c r="E193" s="434" t="s">
        <v>2142</v>
      </c>
      <c r="F193" s="148"/>
      <c r="G193" s="425">
        <v>15.0</v>
      </c>
      <c r="H193" s="426">
        <v>7.5</v>
      </c>
      <c r="I193" s="77" t="s">
        <v>79</v>
      </c>
      <c r="J193" s="58"/>
      <c r="K193" s="58"/>
      <c r="L193" s="58"/>
      <c r="M193" s="58"/>
      <c r="N193" s="58"/>
      <c r="O193" s="58"/>
      <c r="P193" s="58"/>
      <c r="Q193" s="58"/>
      <c r="R193" s="58"/>
      <c r="S193" s="58"/>
      <c r="T193" s="58"/>
      <c r="U193" s="58"/>
      <c r="V193" s="58"/>
      <c r="W193" s="58"/>
      <c r="X193" s="58"/>
      <c r="Y193" s="58"/>
      <c r="Z193" s="58"/>
    </row>
    <row r="194" ht="184.5" customHeight="1">
      <c r="A194" s="170" t="s">
        <v>2174</v>
      </c>
      <c r="B194" s="162" t="s">
        <v>73</v>
      </c>
      <c r="C194" s="435" t="s">
        <v>2172</v>
      </c>
      <c r="D194" s="436" t="s">
        <v>2175</v>
      </c>
      <c r="E194" s="264" t="s">
        <v>2176</v>
      </c>
      <c r="F194" s="148"/>
      <c r="G194" s="425">
        <v>15.0</v>
      </c>
      <c r="H194" s="426">
        <v>7.5</v>
      </c>
      <c r="I194" s="77" t="s">
        <v>79</v>
      </c>
      <c r="J194" s="58"/>
      <c r="K194" s="58"/>
      <c r="L194" s="58"/>
      <c r="M194" s="58"/>
      <c r="N194" s="58"/>
      <c r="O194" s="58"/>
      <c r="P194" s="58"/>
      <c r="Q194" s="58"/>
      <c r="R194" s="58"/>
      <c r="S194" s="58"/>
      <c r="T194" s="58"/>
      <c r="U194" s="58"/>
      <c r="V194" s="58"/>
      <c r="W194" s="58"/>
      <c r="X194" s="58"/>
      <c r="Y194" s="58"/>
      <c r="Z194" s="58"/>
    </row>
    <row r="195" ht="52.5" customHeight="1">
      <c r="A195" s="170" t="s">
        <v>2177</v>
      </c>
      <c r="B195" s="162" t="s">
        <v>73</v>
      </c>
      <c r="C195" s="435" t="s">
        <v>2172</v>
      </c>
      <c r="D195" s="437" t="s">
        <v>2145</v>
      </c>
      <c r="E195" s="428" t="s">
        <v>2146</v>
      </c>
      <c r="F195" s="148"/>
      <c r="G195" s="425">
        <v>15.0</v>
      </c>
      <c r="H195" s="426">
        <v>7.5</v>
      </c>
      <c r="I195" s="77" t="s">
        <v>79</v>
      </c>
      <c r="J195" s="58"/>
      <c r="K195" s="58"/>
      <c r="L195" s="58"/>
      <c r="M195" s="58"/>
      <c r="N195" s="58"/>
      <c r="O195" s="58"/>
      <c r="P195" s="58"/>
      <c r="Q195" s="58"/>
      <c r="R195" s="58"/>
      <c r="S195" s="58"/>
      <c r="T195" s="58"/>
      <c r="U195" s="58"/>
      <c r="V195" s="58"/>
      <c r="W195" s="58"/>
      <c r="X195" s="58"/>
      <c r="Y195" s="58"/>
      <c r="Z195" s="58"/>
    </row>
    <row r="196" ht="78.75" customHeight="1">
      <c r="A196" s="175" t="s">
        <v>2178</v>
      </c>
      <c r="B196" s="162" t="s">
        <v>73</v>
      </c>
      <c r="C196" s="435" t="s">
        <v>2172</v>
      </c>
      <c r="D196" s="437" t="s">
        <v>2179</v>
      </c>
      <c r="E196" s="264" t="s">
        <v>2148</v>
      </c>
      <c r="F196" s="148"/>
      <c r="G196" s="425">
        <v>15.0</v>
      </c>
      <c r="H196" s="438">
        <v>7.5</v>
      </c>
      <c r="I196" s="77" t="s">
        <v>79</v>
      </c>
      <c r="J196" s="58"/>
      <c r="K196" s="58"/>
      <c r="L196" s="58"/>
      <c r="M196" s="58"/>
      <c r="N196" s="58"/>
      <c r="O196" s="58"/>
      <c r="P196" s="58"/>
      <c r="Q196" s="58"/>
      <c r="R196" s="58"/>
      <c r="S196" s="58"/>
      <c r="T196" s="58"/>
      <c r="U196" s="58"/>
      <c r="V196" s="58"/>
      <c r="W196" s="58"/>
      <c r="X196" s="58"/>
      <c r="Y196" s="58"/>
      <c r="Z196" s="58"/>
    </row>
    <row r="197" ht="52.5" customHeight="1">
      <c r="A197" s="439" t="s">
        <v>79</v>
      </c>
      <c r="B197" s="162" t="s">
        <v>73</v>
      </c>
      <c r="C197" s="435" t="s">
        <v>2180</v>
      </c>
      <c r="D197" s="162" t="s">
        <v>2181</v>
      </c>
      <c r="E197" s="264" t="s">
        <v>2182</v>
      </c>
      <c r="F197" s="148"/>
      <c r="G197" s="425">
        <v>15.0</v>
      </c>
      <c r="H197" s="425">
        <v>15.0</v>
      </c>
      <c r="I197" s="77" t="s">
        <v>79</v>
      </c>
      <c r="J197" s="58"/>
      <c r="K197" s="58"/>
      <c r="L197" s="58"/>
      <c r="M197" s="58"/>
      <c r="N197" s="58"/>
      <c r="O197" s="58"/>
      <c r="P197" s="58"/>
      <c r="Q197" s="58"/>
      <c r="R197" s="58"/>
      <c r="S197" s="58"/>
      <c r="T197" s="58"/>
      <c r="U197" s="58"/>
      <c r="V197" s="58"/>
      <c r="W197" s="58"/>
      <c r="X197" s="58"/>
      <c r="Y197" s="58"/>
      <c r="Z197" s="58"/>
    </row>
    <row r="198" ht="92.25" customHeight="1">
      <c r="A198" s="439" t="s">
        <v>79</v>
      </c>
      <c r="B198" s="440" t="s">
        <v>73</v>
      </c>
      <c r="C198" s="441" t="s">
        <v>2180</v>
      </c>
      <c r="D198" s="440" t="s">
        <v>2183</v>
      </c>
      <c r="E198" s="442" t="s">
        <v>2184</v>
      </c>
      <c r="F198" s="443"/>
      <c r="G198" s="444">
        <v>15.0</v>
      </c>
      <c r="H198" s="444">
        <v>15.0</v>
      </c>
      <c r="I198" s="77" t="s">
        <v>79</v>
      </c>
      <c r="J198" s="58"/>
      <c r="K198" s="58"/>
      <c r="L198" s="58"/>
      <c r="M198" s="58"/>
      <c r="N198" s="58"/>
      <c r="O198" s="58"/>
      <c r="P198" s="58"/>
      <c r="Q198" s="58"/>
      <c r="R198" s="58"/>
      <c r="S198" s="58"/>
      <c r="T198" s="58"/>
      <c r="U198" s="58"/>
      <c r="V198" s="58"/>
      <c r="W198" s="58"/>
      <c r="X198" s="58"/>
      <c r="Y198" s="58"/>
      <c r="Z198" s="58"/>
    </row>
    <row r="199" ht="92.25" customHeight="1">
      <c r="A199" s="439" t="s">
        <v>79</v>
      </c>
      <c r="B199" s="162" t="s">
        <v>73</v>
      </c>
      <c r="C199" s="436" t="s">
        <v>2180</v>
      </c>
      <c r="D199" s="237" t="s">
        <v>2185</v>
      </c>
      <c r="E199" s="368" t="s">
        <v>2186</v>
      </c>
      <c r="F199" s="445"/>
      <c r="G199" s="425">
        <v>15.0</v>
      </c>
      <c r="H199" s="425">
        <v>15.0</v>
      </c>
      <c r="I199" s="77" t="s">
        <v>79</v>
      </c>
      <c r="J199" s="58"/>
      <c r="K199" s="58"/>
      <c r="L199" s="58"/>
      <c r="M199" s="58"/>
      <c r="N199" s="58"/>
      <c r="O199" s="58"/>
      <c r="P199" s="58"/>
      <c r="Q199" s="58"/>
      <c r="R199" s="58"/>
      <c r="S199" s="58"/>
      <c r="T199" s="58"/>
      <c r="U199" s="58"/>
      <c r="V199" s="58"/>
      <c r="W199" s="58"/>
      <c r="X199" s="58"/>
      <c r="Y199" s="58"/>
      <c r="Z199" s="58"/>
    </row>
    <row r="200" ht="198.0" customHeight="1">
      <c r="A200" s="439" t="s">
        <v>79</v>
      </c>
      <c r="B200" s="162" t="s">
        <v>73</v>
      </c>
      <c r="C200" s="436" t="s">
        <v>2187</v>
      </c>
      <c r="D200" s="245" t="s">
        <v>2188</v>
      </c>
      <c r="E200" s="368" t="s">
        <v>2189</v>
      </c>
      <c r="F200" s="445"/>
      <c r="G200" s="425">
        <v>15.0</v>
      </c>
      <c r="H200" s="425">
        <v>15.0</v>
      </c>
      <c r="I200" s="77" t="s">
        <v>79</v>
      </c>
      <c r="J200" s="58"/>
      <c r="K200" s="58"/>
      <c r="L200" s="58"/>
      <c r="M200" s="58"/>
      <c r="N200" s="58"/>
      <c r="O200" s="58"/>
      <c r="P200" s="58"/>
      <c r="Q200" s="58"/>
      <c r="R200" s="58"/>
      <c r="S200" s="58"/>
      <c r="T200" s="58"/>
      <c r="U200" s="58"/>
      <c r="V200" s="58"/>
      <c r="W200" s="58"/>
      <c r="X200" s="58"/>
      <c r="Y200" s="58"/>
      <c r="Z200" s="58"/>
    </row>
    <row r="201" ht="92.25" customHeight="1">
      <c r="A201" s="439" t="s">
        <v>79</v>
      </c>
      <c r="B201" s="446" t="s">
        <v>73</v>
      </c>
      <c r="C201" s="447" t="s">
        <v>2180</v>
      </c>
      <c r="D201" s="433" t="s">
        <v>2190</v>
      </c>
      <c r="E201" s="448" t="s">
        <v>2191</v>
      </c>
      <c r="F201" s="449"/>
      <c r="G201" s="425">
        <v>15.0</v>
      </c>
      <c r="H201" s="425">
        <v>15.0</v>
      </c>
      <c r="I201" s="77" t="s">
        <v>79</v>
      </c>
      <c r="J201" s="58"/>
      <c r="K201" s="58"/>
      <c r="L201" s="58"/>
      <c r="M201" s="58"/>
      <c r="N201" s="58"/>
      <c r="O201" s="58"/>
      <c r="P201" s="58"/>
      <c r="Q201" s="58"/>
      <c r="R201" s="58"/>
      <c r="S201" s="58"/>
      <c r="T201" s="58"/>
      <c r="U201" s="58"/>
      <c r="V201" s="58"/>
      <c r="W201" s="58"/>
      <c r="X201" s="58"/>
      <c r="Y201" s="58"/>
      <c r="Z201" s="58"/>
    </row>
    <row r="202" ht="158.25" customHeight="1">
      <c r="A202" s="439" t="s">
        <v>79</v>
      </c>
      <c r="B202" s="446" t="s">
        <v>73</v>
      </c>
      <c r="C202" s="447" t="s">
        <v>2180</v>
      </c>
      <c r="D202" s="446" t="s">
        <v>2192</v>
      </c>
      <c r="E202" s="450" t="s">
        <v>2193</v>
      </c>
      <c r="F202" s="451"/>
      <c r="G202" s="452">
        <v>15.0</v>
      </c>
      <c r="H202" s="452">
        <v>15.0</v>
      </c>
      <c r="I202" s="77" t="s">
        <v>79</v>
      </c>
      <c r="J202" s="58"/>
      <c r="K202" s="58"/>
      <c r="L202" s="58"/>
      <c r="M202" s="58"/>
      <c r="N202" s="58"/>
      <c r="O202" s="58"/>
      <c r="P202" s="58"/>
      <c r="Q202" s="58"/>
      <c r="R202" s="58"/>
      <c r="S202" s="58"/>
      <c r="T202" s="58"/>
      <c r="U202" s="58"/>
      <c r="V202" s="58"/>
      <c r="W202" s="58"/>
      <c r="X202" s="58"/>
      <c r="Y202" s="58"/>
      <c r="Z202" s="58"/>
    </row>
    <row r="203" ht="132.0" customHeight="1">
      <c r="A203" s="439" t="s">
        <v>79</v>
      </c>
      <c r="B203" s="436" t="s">
        <v>73</v>
      </c>
      <c r="C203" s="237" t="s">
        <v>2194</v>
      </c>
      <c r="D203" s="162" t="s">
        <v>2195</v>
      </c>
      <c r="E203" s="434" t="s">
        <v>2196</v>
      </c>
      <c r="F203" s="451"/>
      <c r="G203" s="425">
        <v>15.0</v>
      </c>
      <c r="H203" s="425">
        <v>15.0</v>
      </c>
      <c r="I203" s="77" t="s">
        <v>79</v>
      </c>
      <c r="J203" s="58"/>
      <c r="K203" s="58"/>
      <c r="L203" s="58"/>
      <c r="M203" s="58"/>
      <c r="N203" s="58"/>
      <c r="O203" s="58"/>
      <c r="P203" s="58"/>
      <c r="Q203" s="58"/>
      <c r="R203" s="58"/>
      <c r="S203" s="58"/>
      <c r="T203" s="58"/>
      <c r="U203" s="58"/>
      <c r="V203" s="58"/>
      <c r="W203" s="58"/>
      <c r="X203" s="58"/>
      <c r="Y203" s="58"/>
      <c r="Z203" s="58"/>
    </row>
    <row r="204" ht="105.0" customHeight="1">
      <c r="A204" s="453" t="s">
        <v>79</v>
      </c>
      <c r="B204" s="436" t="s">
        <v>73</v>
      </c>
      <c r="C204" s="436" t="s">
        <v>2197</v>
      </c>
      <c r="D204" s="436" t="s">
        <v>2198</v>
      </c>
      <c r="E204" s="428" t="s">
        <v>2199</v>
      </c>
      <c r="F204" s="454"/>
      <c r="G204" s="455">
        <v>50.0</v>
      </c>
      <c r="H204" s="455">
        <v>50.0</v>
      </c>
      <c r="I204" s="77" t="s">
        <v>79</v>
      </c>
      <c r="J204" s="58"/>
      <c r="K204" s="58"/>
      <c r="L204" s="58"/>
      <c r="M204" s="58"/>
      <c r="N204" s="58"/>
      <c r="O204" s="58"/>
      <c r="P204" s="58"/>
      <c r="Q204" s="58"/>
      <c r="R204" s="58"/>
      <c r="S204" s="58"/>
      <c r="T204" s="58"/>
      <c r="U204" s="58"/>
      <c r="V204" s="58"/>
      <c r="W204" s="58"/>
      <c r="X204" s="58"/>
      <c r="Y204" s="58"/>
      <c r="Z204" s="58"/>
    </row>
    <row r="205" ht="105.0" customHeight="1">
      <c r="A205" s="453" t="s">
        <v>79</v>
      </c>
      <c r="B205" s="436" t="s">
        <v>73</v>
      </c>
      <c r="C205" s="237" t="s">
        <v>2200</v>
      </c>
      <c r="D205" s="436" t="s">
        <v>2201</v>
      </c>
      <c r="E205" s="456" t="s">
        <v>2199</v>
      </c>
      <c r="F205" s="454"/>
      <c r="G205" s="455">
        <v>50.0</v>
      </c>
      <c r="H205" s="455">
        <v>50.0</v>
      </c>
      <c r="I205" s="77" t="s">
        <v>79</v>
      </c>
      <c r="J205" s="58"/>
      <c r="K205" s="58"/>
      <c r="L205" s="58"/>
      <c r="M205" s="58"/>
      <c r="N205" s="58"/>
      <c r="O205" s="58"/>
      <c r="P205" s="58"/>
      <c r="Q205" s="58"/>
      <c r="R205" s="58"/>
      <c r="S205" s="58"/>
      <c r="T205" s="58"/>
      <c r="U205" s="58"/>
      <c r="V205" s="58"/>
      <c r="W205" s="58"/>
      <c r="X205" s="58"/>
      <c r="Y205" s="58"/>
      <c r="Z205" s="58"/>
    </row>
    <row r="206" ht="105.0" customHeight="1">
      <c r="A206" s="453" t="s">
        <v>79</v>
      </c>
      <c r="B206" s="436" t="s">
        <v>73</v>
      </c>
      <c r="C206" s="436" t="s">
        <v>2202</v>
      </c>
      <c r="D206" s="436" t="s">
        <v>2203</v>
      </c>
      <c r="E206" s="428" t="s">
        <v>2204</v>
      </c>
      <c r="F206" s="454"/>
      <c r="G206" s="425">
        <v>15.0</v>
      </c>
      <c r="H206" s="425">
        <v>15.0</v>
      </c>
      <c r="I206" s="77" t="s">
        <v>79</v>
      </c>
      <c r="J206" s="58"/>
      <c r="K206" s="58"/>
      <c r="L206" s="58"/>
      <c r="M206" s="58"/>
      <c r="N206" s="58"/>
      <c r="O206" s="58"/>
      <c r="P206" s="58"/>
      <c r="Q206" s="58"/>
      <c r="R206" s="58"/>
      <c r="S206" s="58"/>
      <c r="T206" s="58"/>
      <c r="U206" s="58"/>
      <c r="V206" s="58"/>
      <c r="W206" s="58"/>
      <c r="X206" s="58"/>
      <c r="Y206" s="58"/>
      <c r="Z206" s="58"/>
    </row>
    <row r="207" ht="78.75" customHeight="1">
      <c r="A207" s="453" t="s">
        <v>79</v>
      </c>
      <c r="B207" s="436" t="s">
        <v>73</v>
      </c>
      <c r="C207" s="436" t="s">
        <v>2202</v>
      </c>
      <c r="D207" s="457" t="s">
        <v>2205</v>
      </c>
      <c r="E207" s="434" t="s">
        <v>2206</v>
      </c>
      <c r="F207" s="445"/>
      <c r="G207" s="425">
        <v>15.0</v>
      </c>
      <c r="H207" s="425">
        <v>15.0</v>
      </c>
      <c r="I207" s="77" t="s">
        <v>79</v>
      </c>
      <c r="J207" s="58"/>
      <c r="K207" s="58"/>
      <c r="L207" s="58"/>
      <c r="M207" s="58"/>
      <c r="N207" s="58"/>
      <c r="O207" s="58"/>
      <c r="P207" s="58"/>
      <c r="Q207" s="58"/>
      <c r="R207" s="58"/>
      <c r="S207" s="58"/>
      <c r="T207" s="58"/>
      <c r="U207" s="58"/>
      <c r="V207" s="58"/>
      <c r="W207" s="58"/>
      <c r="X207" s="58"/>
      <c r="Y207" s="58"/>
      <c r="Z207" s="58"/>
    </row>
    <row r="208" ht="105.0" customHeight="1">
      <c r="A208" s="453" t="s">
        <v>79</v>
      </c>
      <c r="B208" s="436" t="s">
        <v>73</v>
      </c>
      <c r="C208" s="436" t="s">
        <v>2207</v>
      </c>
      <c r="D208" s="458" t="s">
        <v>2208</v>
      </c>
      <c r="E208" s="459" t="s">
        <v>2209</v>
      </c>
      <c r="F208" s="460"/>
      <c r="G208" s="425">
        <v>15.0</v>
      </c>
      <c r="H208" s="425">
        <v>15.0</v>
      </c>
      <c r="I208" s="77" t="s">
        <v>79</v>
      </c>
      <c r="J208" s="58"/>
      <c r="K208" s="58"/>
      <c r="L208" s="58"/>
      <c r="M208" s="58"/>
      <c r="N208" s="58"/>
      <c r="O208" s="58"/>
      <c r="P208" s="58"/>
      <c r="Q208" s="58"/>
      <c r="R208" s="58"/>
      <c r="S208" s="58"/>
      <c r="T208" s="58"/>
      <c r="U208" s="58"/>
      <c r="V208" s="58"/>
      <c r="W208" s="58"/>
      <c r="X208" s="58"/>
      <c r="Y208" s="58"/>
      <c r="Z208" s="58"/>
    </row>
    <row r="209" ht="207.0" customHeight="1">
      <c r="A209" s="99" t="s">
        <v>2210</v>
      </c>
      <c r="B209" s="461" t="s">
        <v>2211</v>
      </c>
      <c r="C209" s="462" t="s">
        <v>2212</v>
      </c>
      <c r="D209" s="463" t="s">
        <v>2213</v>
      </c>
      <c r="E209" s="464" t="s">
        <v>2214</v>
      </c>
      <c r="F209" s="385" t="s">
        <v>2076</v>
      </c>
      <c r="G209" s="465">
        <v>15.0</v>
      </c>
      <c r="H209" s="224">
        <v>15.0</v>
      </c>
      <c r="I209" s="77" t="s">
        <v>1434</v>
      </c>
      <c r="J209" s="58"/>
      <c r="K209" s="58"/>
      <c r="L209" s="58"/>
      <c r="M209" s="58"/>
      <c r="N209" s="58"/>
      <c r="O209" s="58"/>
      <c r="P209" s="58"/>
      <c r="Q209" s="58"/>
      <c r="R209" s="58"/>
      <c r="S209" s="58"/>
      <c r="T209" s="58"/>
      <c r="U209" s="58"/>
      <c r="V209" s="58"/>
      <c r="W209" s="58"/>
      <c r="X209" s="58"/>
      <c r="Y209" s="58"/>
      <c r="Z209" s="58"/>
    </row>
    <row r="210" ht="248.25" customHeight="1">
      <c r="A210" s="99" t="s">
        <v>2210</v>
      </c>
      <c r="B210" s="461" t="s">
        <v>2211</v>
      </c>
      <c r="C210" s="462" t="s">
        <v>2212</v>
      </c>
      <c r="D210" s="462" t="s">
        <v>2215</v>
      </c>
      <c r="E210" s="464" t="s">
        <v>2216</v>
      </c>
      <c r="F210" s="466" t="s">
        <v>2217</v>
      </c>
      <c r="G210" s="465">
        <v>15.0</v>
      </c>
      <c r="H210" s="224">
        <v>15.0</v>
      </c>
      <c r="I210" s="77" t="s">
        <v>1434</v>
      </c>
      <c r="J210" s="58"/>
      <c r="K210" s="58"/>
      <c r="L210" s="58"/>
      <c r="M210" s="58"/>
      <c r="N210" s="58"/>
      <c r="O210" s="58"/>
      <c r="P210" s="58"/>
      <c r="Q210" s="58"/>
      <c r="R210" s="58"/>
      <c r="S210" s="58"/>
      <c r="T210" s="58"/>
      <c r="U210" s="58"/>
      <c r="V210" s="58"/>
      <c r="W210" s="58"/>
      <c r="X210" s="58"/>
      <c r="Y210" s="58"/>
      <c r="Z210" s="58"/>
    </row>
    <row r="211" ht="192.75" customHeight="1">
      <c r="A211" s="99" t="s">
        <v>2210</v>
      </c>
      <c r="B211" s="461" t="s">
        <v>2211</v>
      </c>
      <c r="C211" s="462" t="s">
        <v>2212</v>
      </c>
      <c r="D211" s="467" t="s">
        <v>2218</v>
      </c>
      <c r="E211" s="464" t="s">
        <v>2219</v>
      </c>
      <c r="F211" s="466" t="s">
        <v>2217</v>
      </c>
      <c r="G211" s="465">
        <v>15.0</v>
      </c>
      <c r="H211" s="224">
        <v>15.0</v>
      </c>
      <c r="I211" s="77" t="s">
        <v>1434</v>
      </c>
      <c r="J211" s="58"/>
      <c r="K211" s="58"/>
      <c r="L211" s="58"/>
      <c r="M211" s="58"/>
      <c r="N211" s="58"/>
      <c r="O211" s="58"/>
      <c r="P211" s="58"/>
      <c r="Q211" s="58"/>
      <c r="R211" s="58"/>
      <c r="S211" s="58"/>
      <c r="T211" s="58"/>
      <c r="U211" s="58"/>
      <c r="V211" s="58"/>
      <c r="W211" s="58"/>
      <c r="X211" s="58"/>
      <c r="Y211" s="58"/>
      <c r="Z211" s="58"/>
    </row>
    <row r="212" ht="138.0" customHeight="1">
      <c r="A212" s="99" t="s">
        <v>80</v>
      </c>
      <c r="B212" s="461" t="s">
        <v>2211</v>
      </c>
      <c r="C212" s="466" t="s">
        <v>2220</v>
      </c>
      <c r="D212" s="468" t="s">
        <v>2221</v>
      </c>
      <c r="E212" s="464" t="s">
        <v>2222</v>
      </c>
      <c r="F212" s="466" t="s">
        <v>2217</v>
      </c>
      <c r="G212" s="465">
        <v>15.0</v>
      </c>
      <c r="H212" s="224">
        <v>15.0</v>
      </c>
      <c r="I212" s="77" t="s">
        <v>1434</v>
      </c>
      <c r="J212" s="58"/>
      <c r="K212" s="58"/>
      <c r="L212" s="58"/>
      <c r="M212" s="58"/>
      <c r="N212" s="58"/>
      <c r="O212" s="58"/>
      <c r="P212" s="58"/>
      <c r="Q212" s="58"/>
      <c r="R212" s="58"/>
      <c r="S212" s="58"/>
      <c r="T212" s="58"/>
      <c r="U212" s="58"/>
      <c r="V212" s="58"/>
      <c r="W212" s="58"/>
      <c r="X212" s="58"/>
      <c r="Y212" s="58"/>
      <c r="Z212" s="58"/>
    </row>
    <row r="213" ht="151.5" customHeight="1">
      <c r="A213" s="99" t="s">
        <v>80</v>
      </c>
      <c r="B213" s="461" t="s">
        <v>2211</v>
      </c>
      <c r="C213" s="469" t="s">
        <v>2223</v>
      </c>
      <c r="D213" s="470" t="s">
        <v>2224</v>
      </c>
      <c r="E213" s="464" t="s">
        <v>2225</v>
      </c>
      <c r="F213" s="385" t="s">
        <v>2226</v>
      </c>
      <c r="G213" s="465">
        <v>15.0</v>
      </c>
      <c r="H213" s="224">
        <v>15.0</v>
      </c>
      <c r="I213" s="77" t="s">
        <v>1434</v>
      </c>
      <c r="J213" s="58"/>
      <c r="K213" s="58"/>
      <c r="L213" s="58"/>
      <c r="M213" s="58"/>
      <c r="N213" s="58"/>
      <c r="O213" s="58"/>
      <c r="P213" s="58"/>
      <c r="Q213" s="58"/>
      <c r="R213" s="58"/>
      <c r="S213" s="58"/>
      <c r="T213" s="58"/>
      <c r="U213" s="58"/>
      <c r="V213" s="58"/>
      <c r="W213" s="58"/>
      <c r="X213" s="58"/>
      <c r="Y213" s="58"/>
      <c r="Z213" s="58"/>
    </row>
    <row r="214" ht="192.75" customHeight="1">
      <c r="A214" s="99" t="s">
        <v>80</v>
      </c>
      <c r="B214" s="461" t="s">
        <v>2211</v>
      </c>
      <c r="C214" s="469" t="s">
        <v>2227</v>
      </c>
      <c r="D214" s="471" t="s">
        <v>2228</v>
      </c>
      <c r="E214" s="464" t="s">
        <v>2229</v>
      </c>
      <c r="F214" s="472" t="s">
        <v>2230</v>
      </c>
      <c r="G214" s="465">
        <v>15.0</v>
      </c>
      <c r="H214" s="224">
        <v>15.0</v>
      </c>
      <c r="I214" s="77" t="s">
        <v>1434</v>
      </c>
      <c r="J214" s="58"/>
      <c r="K214" s="58"/>
      <c r="L214" s="58"/>
      <c r="M214" s="58"/>
      <c r="N214" s="58"/>
      <c r="O214" s="58"/>
      <c r="P214" s="58"/>
      <c r="Q214" s="58"/>
      <c r="R214" s="58"/>
      <c r="S214" s="58"/>
      <c r="T214" s="58"/>
      <c r="U214" s="58"/>
      <c r="V214" s="58"/>
      <c r="W214" s="58"/>
      <c r="X214" s="58"/>
      <c r="Y214" s="58"/>
      <c r="Z214" s="58"/>
    </row>
    <row r="215" ht="123.75" customHeight="1">
      <c r="A215" s="99" t="s">
        <v>80</v>
      </c>
      <c r="B215" s="461" t="s">
        <v>2211</v>
      </c>
      <c r="C215" s="470" t="s">
        <v>2231</v>
      </c>
      <c r="D215" s="467" t="s">
        <v>2232</v>
      </c>
      <c r="E215" s="473" t="s">
        <v>2233</v>
      </c>
      <c r="F215" s="467" t="s">
        <v>2234</v>
      </c>
      <c r="G215" s="465">
        <v>15.0</v>
      </c>
      <c r="H215" s="224">
        <v>15.0</v>
      </c>
      <c r="I215" s="77" t="s">
        <v>1434</v>
      </c>
      <c r="J215" s="58"/>
      <c r="K215" s="58"/>
      <c r="L215" s="58"/>
      <c r="M215" s="58"/>
      <c r="N215" s="58"/>
      <c r="O215" s="58"/>
      <c r="P215" s="58"/>
      <c r="Q215" s="58"/>
      <c r="R215" s="58"/>
      <c r="S215" s="58"/>
      <c r="T215" s="58"/>
      <c r="U215" s="58"/>
      <c r="V215" s="58"/>
      <c r="W215" s="58"/>
      <c r="X215" s="58"/>
      <c r="Y215" s="58"/>
      <c r="Z215" s="58"/>
    </row>
    <row r="216" ht="147.0" customHeight="1">
      <c r="A216" s="101" t="s">
        <v>81</v>
      </c>
      <c r="B216" s="176" t="s">
        <v>73</v>
      </c>
      <c r="C216" s="75" t="s">
        <v>2235</v>
      </c>
      <c r="D216" s="474" t="s">
        <v>2236</v>
      </c>
      <c r="E216" s="362" t="s">
        <v>2237</v>
      </c>
      <c r="F216" s="362" t="s">
        <v>2238</v>
      </c>
      <c r="G216" s="76">
        <v>15.0</v>
      </c>
      <c r="H216" s="77">
        <v>15.0</v>
      </c>
      <c r="I216" s="77" t="s">
        <v>81</v>
      </c>
      <c r="J216" s="58"/>
      <c r="K216" s="58"/>
      <c r="L216" s="58"/>
      <c r="M216" s="58"/>
      <c r="N216" s="58"/>
      <c r="O216" s="58"/>
      <c r="P216" s="58"/>
      <c r="Q216" s="58"/>
      <c r="R216" s="58"/>
      <c r="S216" s="58"/>
      <c r="T216" s="58"/>
      <c r="U216" s="58"/>
      <c r="V216" s="58"/>
      <c r="W216" s="58"/>
      <c r="X216" s="58"/>
      <c r="Y216" s="58"/>
      <c r="Z216" s="58"/>
    </row>
    <row r="217" ht="216.0" customHeight="1">
      <c r="A217" s="101" t="s">
        <v>81</v>
      </c>
      <c r="B217" s="176" t="s">
        <v>73</v>
      </c>
      <c r="C217" s="75" t="s">
        <v>2239</v>
      </c>
      <c r="D217" s="475" t="s">
        <v>2240</v>
      </c>
      <c r="E217" s="362" t="s">
        <v>2241</v>
      </c>
      <c r="F217" s="362" t="s">
        <v>2242</v>
      </c>
      <c r="G217" s="76">
        <v>15.0</v>
      </c>
      <c r="H217" s="77">
        <v>15.0</v>
      </c>
      <c r="I217" s="77" t="s">
        <v>81</v>
      </c>
      <c r="J217" s="58"/>
      <c r="K217" s="58"/>
      <c r="L217" s="58"/>
      <c r="M217" s="58"/>
      <c r="N217" s="58"/>
      <c r="O217" s="58"/>
      <c r="P217" s="58"/>
      <c r="Q217" s="58"/>
      <c r="R217" s="58"/>
      <c r="S217" s="58"/>
      <c r="T217" s="58"/>
      <c r="U217" s="58"/>
      <c r="V217" s="58"/>
      <c r="W217" s="58"/>
      <c r="X217" s="58"/>
      <c r="Y217" s="58"/>
      <c r="Z217" s="58"/>
    </row>
    <row r="218" ht="192.75" customHeight="1">
      <c r="A218" s="101"/>
      <c r="B218" s="176"/>
      <c r="C218" s="75" t="s">
        <v>2243</v>
      </c>
      <c r="D218" s="75" t="s">
        <v>2244</v>
      </c>
      <c r="E218" s="362" t="s">
        <v>2245</v>
      </c>
      <c r="F218" s="362" t="s">
        <v>2242</v>
      </c>
      <c r="G218" s="76">
        <v>15.0</v>
      </c>
      <c r="H218" s="77">
        <v>15.0</v>
      </c>
      <c r="I218" s="77" t="s">
        <v>81</v>
      </c>
      <c r="J218" s="58"/>
      <c r="K218" s="58"/>
      <c r="L218" s="58"/>
      <c r="M218" s="58"/>
      <c r="N218" s="58"/>
      <c r="O218" s="58"/>
      <c r="P218" s="58"/>
      <c r="Q218" s="58"/>
      <c r="R218" s="58"/>
      <c r="S218" s="58"/>
      <c r="T218" s="58"/>
      <c r="U218" s="58"/>
      <c r="V218" s="58"/>
      <c r="W218" s="58"/>
      <c r="X218" s="58"/>
      <c r="Y218" s="58"/>
      <c r="Z218" s="58"/>
    </row>
    <row r="219" ht="151.5" customHeight="1">
      <c r="A219" s="101" t="s">
        <v>81</v>
      </c>
      <c r="B219" s="176" t="s">
        <v>73</v>
      </c>
      <c r="C219" s="75" t="s">
        <v>2246</v>
      </c>
      <c r="D219" s="75" t="s">
        <v>2247</v>
      </c>
      <c r="E219" s="362" t="s">
        <v>2248</v>
      </c>
      <c r="F219" s="362" t="s">
        <v>2249</v>
      </c>
      <c r="G219" s="76">
        <v>15.0</v>
      </c>
      <c r="H219" s="77">
        <v>15.0</v>
      </c>
      <c r="I219" s="77" t="s">
        <v>81</v>
      </c>
      <c r="J219" s="58"/>
      <c r="K219" s="58"/>
      <c r="L219" s="58"/>
      <c r="M219" s="58"/>
      <c r="N219" s="58"/>
      <c r="O219" s="58"/>
      <c r="P219" s="58"/>
      <c r="Q219" s="58"/>
      <c r="R219" s="58"/>
      <c r="S219" s="58"/>
      <c r="T219" s="58"/>
      <c r="U219" s="58"/>
      <c r="V219" s="58"/>
      <c r="W219" s="58"/>
      <c r="X219" s="58"/>
      <c r="Y219" s="58"/>
      <c r="Z219" s="58"/>
    </row>
    <row r="220" ht="110.25" customHeight="1">
      <c r="A220" s="101" t="s">
        <v>2250</v>
      </c>
      <c r="B220" s="176" t="s">
        <v>73</v>
      </c>
      <c r="C220" s="75" t="s">
        <v>2251</v>
      </c>
      <c r="D220" s="75" t="s">
        <v>2252</v>
      </c>
      <c r="E220" s="75" t="s">
        <v>2253</v>
      </c>
      <c r="F220" s="75" t="s">
        <v>1890</v>
      </c>
      <c r="G220" s="76">
        <v>50.0</v>
      </c>
      <c r="H220" s="77">
        <v>50.0</v>
      </c>
      <c r="I220" s="77" t="s">
        <v>83</v>
      </c>
      <c r="J220" s="58"/>
      <c r="K220" s="58"/>
      <c r="L220" s="58"/>
      <c r="M220" s="58"/>
      <c r="N220" s="58"/>
      <c r="O220" s="58"/>
      <c r="P220" s="58"/>
      <c r="Q220" s="58"/>
      <c r="R220" s="58"/>
      <c r="S220" s="58"/>
      <c r="T220" s="58"/>
      <c r="U220" s="58"/>
      <c r="V220" s="58"/>
      <c r="W220" s="58"/>
      <c r="X220" s="58"/>
      <c r="Y220" s="58"/>
      <c r="Z220" s="58"/>
    </row>
    <row r="221" ht="96.0" customHeight="1">
      <c r="A221" s="101" t="s">
        <v>1442</v>
      </c>
      <c r="B221" s="176" t="s">
        <v>73</v>
      </c>
      <c r="C221" s="219" t="s">
        <v>2254</v>
      </c>
      <c r="D221" s="75" t="s">
        <v>2255</v>
      </c>
      <c r="E221" s="362" t="s">
        <v>2256</v>
      </c>
      <c r="F221" s="75" t="s">
        <v>1262</v>
      </c>
      <c r="G221" s="76">
        <v>15.0</v>
      </c>
      <c r="H221" s="77">
        <v>15.0</v>
      </c>
      <c r="I221" s="77" t="s">
        <v>83</v>
      </c>
      <c r="J221" s="58"/>
      <c r="K221" s="58"/>
      <c r="L221" s="58"/>
      <c r="M221" s="58"/>
      <c r="N221" s="58"/>
      <c r="O221" s="58"/>
      <c r="P221" s="58"/>
      <c r="Q221" s="58"/>
      <c r="R221" s="58"/>
      <c r="S221" s="58"/>
      <c r="T221" s="58"/>
      <c r="U221" s="58"/>
      <c r="V221" s="58"/>
      <c r="W221" s="58"/>
      <c r="X221" s="58"/>
      <c r="Y221" s="58"/>
      <c r="Z221" s="58"/>
    </row>
    <row r="222" ht="189.75" customHeight="1">
      <c r="A222" s="101" t="s">
        <v>2257</v>
      </c>
      <c r="B222" s="176" t="s">
        <v>73</v>
      </c>
      <c r="C222" s="75" t="s">
        <v>2258</v>
      </c>
      <c r="D222" s="476" t="s">
        <v>2259</v>
      </c>
      <c r="E222" s="362" t="s">
        <v>2260</v>
      </c>
      <c r="F222" s="75" t="s">
        <v>2261</v>
      </c>
      <c r="G222" s="76">
        <v>15.0</v>
      </c>
      <c r="H222" s="77">
        <v>7.5</v>
      </c>
      <c r="I222" s="77" t="s">
        <v>86</v>
      </c>
      <c r="J222" s="58"/>
      <c r="K222" s="58"/>
      <c r="L222" s="58"/>
      <c r="M222" s="58"/>
      <c r="N222" s="58"/>
      <c r="O222" s="58"/>
      <c r="P222" s="58"/>
      <c r="Q222" s="58"/>
      <c r="R222" s="58"/>
      <c r="S222" s="58"/>
      <c r="T222" s="58"/>
      <c r="U222" s="58"/>
      <c r="V222" s="58"/>
      <c r="W222" s="58"/>
      <c r="X222" s="58"/>
      <c r="Y222" s="58"/>
      <c r="Z222" s="58"/>
    </row>
    <row r="223" ht="147.0" customHeight="1">
      <c r="A223" s="101" t="s">
        <v>2257</v>
      </c>
      <c r="B223" s="176" t="s">
        <v>73</v>
      </c>
      <c r="C223" s="75" t="s">
        <v>2258</v>
      </c>
      <c r="D223" s="477" t="s">
        <v>2262</v>
      </c>
      <c r="E223" s="362" t="s">
        <v>2263</v>
      </c>
      <c r="F223" s="75" t="s">
        <v>2261</v>
      </c>
      <c r="G223" s="76">
        <v>15.0</v>
      </c>
      <c r="H223" s="77">
        <v>7.5</v>
      </c>
      <c r="I223" s="77" t="s">
        <v>86</v>
      </c>
      <c r="J223" s="58"/>
      <c r="K223" s="58"/>
      <c r="L223" s="58"/>
      <c r="M223" s="58"/>
      <c r="N223" s="58"/>
      <c r="O223" s="58"/>
      <c r="P223" s="58"/>
      <c r="Q223" s="58"/>
      <c r="R223" s="58"/>
      <c r="S223" s="58"/>
      <c r="T223" s="58"/>
      <c r="U223" s="58"/>
      <c r="V223" s="58"/>
      <c r="W223" s="58"/>
      <c r="X223" s="58"/>
      <c r="Y223" s="58"/>
      <c r="Z223" s="58"/>
    </row>
    <row r="224" ht="342.75" customHeight="1">
      <c r="A224" s="101" t="s">
        <v>2264</v>
      </c>
      <c r="B224" s="176" t="s">
        <v>73</v>
      </c>
      <c r="C224" s="75" t="s">
        <v>2265</v>
      </c>
      <c r="D224" s="476" t="s">
        <v>2266</v>
      </c>
      <c r="E224" s="362" t="s">
        <v>2267</v>
      </c>
      <c r="F224" s="75" t="s">
        <v>1890</v>
      </c>
      <c r="G224" s="76">
        <v>50.0</v>
      </c>
      <c r="H224" s="77">
        <v>25.0</v>
      </c>
      <c r="I224" s="77" t="s">
        <v>86</v>
      </c>
      <c r="J224" s="58"/>
      <c r="K224" s="58"/>
      <c r="L224" s="58"/>
      <c r="M224" s="58"/>
      <c r="N224" s="58"/>
      <c r="O224" s="58"/>
      <c r="P224" s="58"/>
      <c r="Q224" s="58"/>
      <c r="R224" s="58"/>
      <c r="S224" s="58"/>
      <c r="T224" s="58"/>
      <c r="U224" s="58"/>
      <c r="V224" s="58"/>
      <c r="W224" s="58"/>
      <c r="X224" s="58"/>
      <c r="Y224" s="58"/>
      <c r="Z224" s="58"/>
    </row>
    <row r="225" ht="409.5" customHeight="1">
      <c r="A225" s="101" t="s">
        <v>2268</v>
      </c>
      <c r="B225" s="53" t="s">
        <v>73</v>
      </c>
      <c r="C225" s="75" t="s">
        <v>2269</v>
      </c>
      <c r="D225" s="75" t="s">
        <v>2270</v>
      </c>
      <c r="E225" s="362" t="s">
        <v>2271</v>
      </c>
      <c r="F225" s="1" t="s">
        <v>2272</v>
      </c>
      <c r="G225" s="1">
        <v>50.0</v>
      </c>
      <c r="H225" s="1">
        <v>50.0</v>
      </c>
      <c r="I225" s="388" t="s">
        <v>2273</v>
      </c>
      <c r="J225" s="58"/>
      <c r="K225" s="58"/>
      <c r="L225" s="58"/>
      <c r="M225" s="58"/>
      <c r="N225" s="58"/>
      <c r="O225" s="58"/>
      <c r="P225" s="58"/>
      <c r="Q225" s="58"/>
      <c r="R225" s="58"/>
      <c r="S225" s="58"/>
      <c r="T225" s="58"/>
      <c r="U225" s="58"/>
      <c r="V225" s="58"/>
      <c r="W225" s="58"/>
      <c r="X225" s="58"/>
      <c r="Y225" s="58"/>
      <c r="Z225" s="58"/>
    </row>
    <row r="226" ht="258.75" customHeight="1">
      <c r="A226" s="101" t="s">
        <v>2268</v>
      </c>
      <c r="B226" s="53" t="s">
        <v>73</v>
      </c>
      <c r="C226" s="75" t="s">
        <v>2269</v>
      </c>
      <c r="D226" s="75" t="s">
        <v>2274</v>
      </c>
      <c r="E226" s="362" t="s">
        <v>2275</v>
      </c>
      <c r="F226" s="1" t="s">
        <v>1890</v>
      </c>
      <c r="G226" s="1">
        <v>50.0</v>
      </c>
      <c r="H226" s="1">
        <v>50.0</v>
      </c>
      <c r="I226" s="388" t="s">
        <v>2273</v>
      </c>
      <c r="J226" s="58"/>
      <c r="K226" s="58"/>
      <c r="L226" s="58"/>
      <c r="M226" s="58"/>
      <c r="N226" s="58"/>
      <c r="O226" s="58"/>
      <c r="P226" s="58"/>
      <c r="Q226" s="58"/>
      <c r="R226" s="58"/>
      <c r="S226" s="58"/>
      <c r="T226" s="58"/>
      <c r="U226" s="58"/>
      <c r="V226" s="58"/>
      <c r="W226" s="58"/>
      <c r="X226" s="58"/>
      <c r="Y226" s="58"/>
      <c r="Z226" s="58"/>
    </row>
    <row r="227" ht="86.25" customHeight="1">
      <c r="A227" s="101" t="s">
        <v>2268</v>
      </c>
      <c r="B227" s="53" t="s">
        <v>73</v>
      </c>
      <c r="C227" s="75" t="s">
        <v>2269</v>
      </c>
      <c r="D227" s="75" t="s">
        <v>2276</v>
      </c>
      <c r="E227" s="362" t="s">
        <v>2277</v>
      </c>
      <c r="F227" s="1" t="s">
        <v>2076</v>
      </c>
      <c r="G227" s="1">
        <v>15.0</v>
      </c>
      <c r="H227" s="1">
        <v>15.0</v>
      </c>
      <c r="I227" s="388" t="s">
        <v>2273</v>
      </c>
      <c r="J227" s="58"/>
      <c r="K227" s="58"/>
      <c r="L227" s="58"/>
      <c r="M227" s="58"/>
      <c r="N227" s="58"/>
      <c r="O227" s="58"/>
      <c r="P227" s="58"/>
      <c r="Q227" s="58"/>
      <c r="R227" s="58"/>
      <c r="S227" s="58"/>
      <c r="T227" s="58"/>
      <c r="U227" s="58"/>
      <c r="V227" s="58"/>
      <c r="W227" s="58"/>
      <c r="X227" s="58"/>
      <c r="Y227" s="58"/>
      <c r="Z227" s="58"/>
    </row>
    <row r="228" ht="86.25" customHeight="1">
      <c r="A228" s="101" t="s">
        <v>2268</v>
      </c>
      <c r="B228" s="53" t="s">
        <v>73</v>
      </c>
      <c r="C228" s="75" t="s">
        <v>2269</v>
      </c>
      <c r="D228" s="478" t="s">
        <v>2278</v>
      </c>
      <c r="E228" s="362" t="s">
        <v>2277</v>
      </c>
      <c r="F228" s="1" t="s">
        <v>2076</v>
      </c>
      <c r="G228" s="1">
        <v>15.0</v>
      </c>
      <c r="H228" s="1">
        <v>15.0</v>
      </c>
      <c r="I228" s="388" t="s">
        <v>2273</v>
      </c>
      <c r="J228" s="58"/>
      <c r="K228" s="58"/>
      <c r="L228" s="58"/>
      <c r="M228" s="58"/>
      <c r="N228" s="58"/>
      <c r="O228" s="58"/>
      <c r="P228" s="58"/>
      <c r="Q228" s="58"/>
      <c r="R228" s="58"/>
      <c r="S228" s="58"/>
      <c r="T228" s="58"/>
      <c r="U228" s="58"/>
      <c r="V228" s="58"/>
      <c r="W228" s="58"/>
      <c r="X228" s="58"/>
      <c r="Y228" s="58"/>
      <c r="Z228" s="58"/>
    </row>
    <row r="229" ht="165.0" customHeight="1">
      <c r="A229" s="101" t="s">
        <v>2268</v>
      </c>
      <c r="B229" s="53" t="s">
        <v>73</v>
      </c>
      <c r="C229" s="75" t="s">
        <v>2269</v>
      </c>
      <c r="D229" s="75" t="s">
        <v>2279</v>
      </c>
      <c r="E229" s="362" t="s">
        <v>2280</v>
      </c>
      <c r="F229" s="1" t="s">
        <v>2076</v>
      </c>
      <c r="G229" s="1">
        <v>15.0</v>
      </c>
      <c r="H229" s="1">
        <v>15.0</v>
      </c>
      <c r="I229" s="388" t="s">
        <v>2273</v>
      </c>
      <c r="J229" s="58"/>
      <c r="K229" s="58"/>
      <c r="L229" s="58"/>
      <c r="M229" s="58"/>
      <c r="N229" s="58"/>
      <c r="O229" s="58"/>
      <c r="P229" s="58"/>
      <c r="Q229" s="58"/>
      <c r="R229" s="58"/>
      <c r="S229" s="58"/>
      <c r="T229" s="58"/>
      <c r="U229" s="58"/>
      <c r="V229" s="58"/>
      <c r="W229" s="58"/>
      <c r="X229" s="58"/>
      <c r="Y229" s="58"/>
      <c r="Z229" s="58"/>
    </row>
    <row r="230" ht="110.25" customHeight="1">
      <c r="A230" s="131" t="s">
        <v>2281</v>
      </c>
      <c r="B230" s="53" t="s">
        <v>73</v>
      </c>
      <c r="C230" s="75" t="s">
        <v>2282</v>
      </c>
      <c r="D230" s="75" t="s">
        <v>2283</v>
      </c>
      <c r="E230" s="362" t="s">
        <v>2284</v>
      </c>
      <c r="F230" s="1" t="s">
        <v>2076</v>
      </c>
      <c r="G230" s="1">
        <v>15.0</v>
      </c>
      <c r="H230" s="1">
        <v>15.0</v>
      </c>
      <c r="I230" s="388" t="s">
        <v>2273</v>
      </c>
      <c r="J230" s="58"/>
      <c r="K230" s="58"/>
      <c r="L230" s="58"/>
      <c r="M230" s="58"/>
      <c r="N230" s="58"/>
      <c r="O230" s="58"/>
      <c r="P230" s="58"/>
      <c r="Q230" s="58"/>
      <c r="R230" s="58"/>
      <c r="S230" s="58"/>
      <c r="T230" s="58"/>
      <c r="U230" s="58"/>
      <c r="V230" s="58"/>
      <c r="W230" s="58"/>
      <c r="X230" s="58"/>
      <c r="Y230" s="58"/>
      <c r="Z230" s="58"/>
    </row>
    <row r="231" ht="110.25" customHeight="1">
      <c r="A231" s="131" t="s">
        <v>2281</v>
      </c>
      <c r="B231" s="53" t="s">
        <v>73</v>
      </c>
      <c r="C231" s="75" t="s">
        <v>2282</v>
      </c>
      <c r="D231" s="75" t="s">
        <v>2285</v>
      </c>
      <c r="E231" s="362" t="s">
        <v>2286</v>
      </c>
      <c r="F231" s="1" t="s">
        <v>2076</v>
      </c>
      <c r="G231" s="1">
        <v>15.0</v>
      </c>
      <c r="H231" s="1">
        <v>15.0</v>
      </c>
      <c r="I231" s="388" t="s">
        <v>2273</v>
      </c>
      <c r="J231" s="58"/>
      <c r="K231" s="58"/>
      <c r="L231" s="58"/>
      <c r="M231" s="58"/>
      <c r="N231" s="58"/>
      <c r="O231" s="58"/>
      <c r="P231" s="58"/>
      <c r="Q231" s="58"/>
      <c r="R231" s="58"/>
      <c r="S231" s="58"/>
      <c r="T231" s="58"/>
      <c r="U231" s="58"/>
      <c r="V231" s="58"/>
      <c r="W231" s="58"/>
      <c r="X231" s="58"/>
      <c r="Y231" s="58"/>
      <c r="Z231" s="58"/>
    </row>
    <row r="232" ht="151.5" customHeight="1">
      <c r="A232" s="52" t="s">
        <v>2287</v>
      </c>
      <c r="B232" s="53" t="s">
        <v>73</v>
      </c>
      <c r="C232" s="75" t="s">
        <v>2288</v>
      </c>
      <c r="D232" s="75" t="s">
        <v>2289</v>
      </c>
      <c r="E232" s="362" t="s">
        <v>2290</v>
      </c>
      <c r="F232" s="1" t="s">
        <v>2076</v>
      </c>
      <c r="G232" s="1">
        <v>15.0</v>
      </c>
      <c r="H232" s="1">
        <v>15.0</v>
      </c>
      <c r="I232" s="388" t="s">
        <v>2273</v>
      </c>
      <c r="J232" s="58"/>
      <c r="K232" s="58"/>
      <c r="L232" s="58"/>
      <c r="M232" s="58"/>
      <c r="N232" s="58"/>
      <c r="O232" s="58"/>
      <c r="P232" s="58"/>
      <c r="Q232" s="58"/>
      <c r="R232" s="58"/>
      <c r="S232" s="58"/>
      <c r="T232" s="58"/>
      <c r="U232" s="58"/>
      <c r="V232" s="58"/>
      <c r="W232" s="58"/>
      <c r="X232" s="58"/>
      <c r="Y232" s="58"/>
      <c r="Z232" s="58"/>
    </row>
    <row r="233" ht="179.25" customHeight="1">
      <c r="A233" s="52" t="s">
        <v>2287</v>
      </c>
      <c r="B233" s="53" t="s">
        <v>73</v>
      </c>
      <c r="C233" s="377" t="s">
        <v>2291</v>
      </c>
      <c r="D233" s="377" t="s">
        <v>2292</v>
      </c>
      <c r="E233" s="376" t="s">
        <v>2293</v>
      </c>
      <c r="F233" s="1" t="s">
        <v>2272</v>
      </c>
      <c r="G233" s="1">
        <v>50.0</v>
      </c>
      <c r="H233" s="1">
        <v>50.0</v>
      </c>
      <c r="I233" s="388" t="s">
        <v>2273</v>
      </c>
      <c r="J233" s="58"/>
      <c r="K233" s="58"/>
      <c r="L233" s="58"/>
      <c r="M233" s="58"/>
      <c r="N233" s="58"/>
      <c r="O233" s="58"/>
      <c r="P233" s="58"/>
      <c r="Q233" s="58"/>
      <c r="R233" s="58"/>
      <c r="S233" s="58"/>
      <c r="T233" s="58"/>
      <c r="U233" s="58"/>
      <c r="V233" s="58"/>
      <c r="W233" s="58"/>
      <c r="X233" s="58"/>
      <c r="Y233" s="58"/>
      <c r="Z233" s="58"/>
    </row>
    <row r="234" ht="179.25" customHeight="1">
      <c r="A234" s="52" t="s">
        <v>2287</v>
      </c>
      <c r="B234" s="53" t="s">
        <v>73</v>
      </c>
      <c r="C234" s="377" t="s">
        <v>2291</v>
      </c>
      <c r="D234" s="377" t="s">
        <v>2294</v>
      </c>
      <c r="E234" s="376" t="s">
        <v>2295</v>
      </c>
      <c r="F234" s="1" t="s">
        <v>2272</v>
      </c>
      <c r="G234" s="1">
        <v>50.0</v>
      </c>
      <c r="H234" s="1">
        <v>50.0</v>
      </c>
      <c r="I234" s="388" t="s">
        <v>2273</v>
      </c>
      <c r="J234" s="58"/>
      <c r="K234" s="58"/>
      <c r="L234" s="58"/>
      <c r="M234" s="58"/>
      <c r="N234" s="58"/>
      <c r="O234" s="58"/>
      <c r="P234" s="58"/>
      <c r="Q234" s="58"/>
      <c r="R234" s="58"/>
      <c r="S234" s="58"/>
      <c r="T234" s="58"/>
      <c r="U234" s="58"/>
      <c r="V234" s="58"/>
      <c r="W234" s="58"/>
      <c r="X234" s="58"/>
      <c r="Y234" s="58"/>
      <c r="Z234" s="58"/>
    </row>
    <row r="235" ht="123.75" customHeight="1">
      <c r="A235" s="101" t="s">
        <v>2296</v>
      </c>
      <c r="B235" s="176" t="s">
        <v>73</v>
      </c>
      <c r="C235" s="75" t="s">
        <v>2297</v>
      </c>
      <c r="D235" s="75" t="s">
        <v>2298</v>
      </c>
      <c r="E235" s="362" t="s">
        <v>2299</v>
      </c>
      <c r="F235" s="75" t="s">
        <v>2300</v>
      </c>
      <c r="G235" s="76">
        <v>15.0</v>
      </c>
      <c r="H235" s="77">
        <v>15.0</v>
      </c>
      <c r="I235" s="154" t="s">
        <v>89</v>
      </c>
      <c r="J235" s="58"/>
      <c r="K235" s="58"/>
      <c r="L235" s="58"/>
      <c r="M235" s="58"/>
      <c r="N235" s="58"/>
      <c r="O235" s="58"/>
      <c r="P235" s="58"/>
      <c r="Q235" s="58"/>
      <c r="R235" s="58"/>
      <c r="S235" s="58"/>
      <c r="T235" s="58"/>
      <c r="U235" s="58"/>
      <c r="V235" s="58"/>
      <c r="W235" s="58"/>
      <c r="X235" s="58"/>
      <c r="Y235" s="58"/>
      <c r="Z235" s="58"/>
    </row>
    <row r="236" ht="129.0" customHeight="1">
      <c r="A236" s="101" t="s">
        <v>2296</v>
      </c>
      <c r="B236" s="176" t="s">
        <v>73</v>
      </c>
      <c r="C236" s="75" t="s">
        <v>2297</v>
      </c>
      <c r="D236" s="75" t="s">
        <v>2301</v>
      </c>
      <c r="E236" s="362" t="s">
        <v>2302</v>
      </c>
      <c r="F236" s="75" t="s">
        <v>2303</v>
      </c>
      <c r="G236" s="76">
        <v>15.0</v>
      </c>
      <c r="H236" s="77">
        <v>15.0</v>
      </c>
      <c r="I236" s="154" t="s">
        <v>89</v>
      </c>
      <c r="J236" s="58"/>
      <c r="K236" s="58"/>
      <c r="L236" s="58"/>
      <c r="M236" s="58"/>
      <c r="N236" s="58"/>
      <c r="O236" s="58"/>
      <c r="P236" s="58"/>
      <c r="Q236" s="58"/>
      <c r="R236" s="58"/>
      <c r="S236" s="58"/>
      <c r="T236" s="58"/>
      <c r="U236" s="58"/>
      <c r="V236" s="58"/>
      <c r="W236" s="58"/>
      <c r="X236" s="58"/>
      <c r="Y236" s="58"/>
      <c r="Z236" s="58"/>
    </row>
    <row r="237" ht="330.75" customHeight="1">
      <c r="A237" s="101" t="s">
        <v>2304</v>
      </c>
      <c r="B237" s="176" t="s">
        <v>73</v>
      </c>
      <c r="C237" s="75" t="s">
        <v>2297</v>
      </c>
      <c r="D237" s="75" t="s">
        <v>2305</v>
      </c>
      <c r="E237" s="362" t="s">
        <v>2306</v>
      </c>
      <c r="F237" s="75" t="s">
        <v>2307</v>
      </c>
      <c r="G237" s="76">
        <v>50.0</v>
      </c>
      <c r="H237" s="77">
        <v>50.0</v>
      </c>
      <c r="I237" s="154" t="s">
        <v>89</v>
      </c>
      <c r="J237" s="58"/>
      <c r="K237" s="58"/>
      <c r="L237" s="58"/>
      <c r="M237" s="58"/>
      <c r="N237" s="58"/>
      <c r="O237" s="58"/>
      <c r="P237" s="58"/>
      <c r="Q237" s="58"/>
      <c r="R237" s="58"/>
      <c r="S237" s="58"/>
      <c r="T237" s="58"/>
      <c r="U237" s="58"/>
      <c r="V237" s="58"/>
      <c r="W237" s="58"/>
      <c r="X237" s="58"/>
      <c r="Y237" s="58"/>
      <c r="Z237" s="58"/>
    </row>
    <row r="238" ht="100.5" customHeight="1">
      <c r="A238" s="101" t="s">
        <v>2304</v>
      </c>
      <c r="B238" s="176" t="s">
        <v>73</v>
      </c>
      <c r="C238" s="75" t="s">
        <v>2297</v>
      </c>
      <c r="D238" s="75" t="s">
        <v>2308</v>
      </c>
      <c r="E238" s="362" t="s">
        <v>2309</v>
      </c>
      <c r="F238" s="75" t="s">
        <v>2310</v>
      </c>
      <c r="G238" s="76">
        <v>15.0</v>
      </c>
      <c r="H238" s="77">
        <v>15.0</v>
      </c>
      <c r="I238" s="154" t="s">
        <v>89</v>
      </c>
      <c r="J238" s="58"/>
      <c r="K238" s="58"/>
      <c r="L238" s="58"/>
      <c r="M238" s="58"/>
      <c r="N238" s="58"/>
      <c r="O238" s="58"/>
      <c r="P238" s="58"/>
      <c r="Q238" s="58"/>
      <c r="R238" s="58"/>
      <c r="S238" s="58"/>
      <c r="T238" s="58"/>
      <c r="U238" s="58"/>
      <c r="V238" s="58"/>
      <c r="W238" s="58"/>
      <c r="X238" s="58"/>
      <c r="Y238" s="58"/>
      <c r="Z238" s="58"/>
    </row>
    <row r="239" ht="151.5" customHeight="1">
      <c r="A239" s="101" t="s">
        <v>2304</v>
      </c>
      <c r="B239" s="176" t="s">
        <v>73</v>
      </c>
      <c r="C239" s="75" t="s">
        <v>2297</v>
      </c>
      <c r="D239" s="75" t="s">
        <v>2311</v>
      </c>
      <c r="E239" s="362" t="s">
        <v>2312</v>
      </c>
      <c r="F239" s="75" t="s">
        <v>2313</v>
      </c>
      <c r="G239" s="76">
        <v>15.0</v>
      </c>
      <c r="H239" s="77">
        <v>15.0</v>
      </c>
      <c r="I239" s="154" t="s">
        <v>89</v>
      </c>
      <c r="J239" s="58"/>
      <c r="K239" s="58"/>
      <c r="L239" s="58"/>
      <c r="M239" s="58"/>
      <c r="N239" s="58"/>
      <c r="O239" s="58"/>
      <c r="P239" s="58"/>
      <c r="Q239" s="58"/>
      <c r="R239" s="58"/>
      <c r="S239" s="58"/>
      <c r="T239" s="58"/>
      <c r="U239" s="58"/>
      <c r="V239" s="58"/>
      <c r="W239" s="58"/>
      <c r="X239" s="58"/>
      <c r="Y239" s="58"/>
      <c r="Z239" s="58"/>
    </row>
    <row r="240" ht="110.25" customHeight="1">
      <c r="A240" s="101" t="s">
        <v>2296</v>
      </c>
      <c r="B240" s="176" t="s">
        <v>73</v>
      </c>
      <c r="C240" s="75" t="s">
        <v>2297</v>
      </c>
      <c r="D240" s="75" t="s">
        <v>2314</v>
      </c>
      <c r="E240" s="362" t="s">
        <v>2315</v>
      </c>
      <c r="F240" s="75" t="s">
        <v>2316</v>
      </c>
      <c r="G240" s="76">
        <v>15.0</v>
      </c>
      <c r="H240" s="77">
        <v>15.0</v>
      </c>
      <c r="I240" s="154" t="s">
        <v>89</v>
      </c>
      <c r="J240" s="58"/>
      <c r="K240" s="58"/>
      <c r="L240" s="58"/>
      <c r="M240" s="58"/>
      <c r="N240" s="58"/>
      <c r="O240" s="58"/>
      <c r="P240" s="58"/>
      <c r="Q240" s="58"/>
      <c r="R240" s="58"/>
      <c r="S240" s="58"/>
      <c r="T240" s="58"/>
      <c r="U240" s="58"/>
      <c r="V240" s="58"/>
      <c r="W240" s="58"/>
      <c r="X240" s="58"/>
      <c r="Y240" s="58"/>
      <c r="Z240" s="58"/>
    </row>
    <row r="241" ht="138.0" customHeight="1">
      <c r="A241" s="101" t="s">
        <v>2296</v>
      </c>
      <c r="B241" s="176" t="s">
        <v>73</v>
      </c>
      <c r="C241" s="75" t="s">
        <v>2297</v>
      </c>
      <c r="D241" s="75" t="s">
        <v>2317</v>
      </c>
      <c r="E241" s="362" t="s">
        <v>2318</v>
      </c>
      <c r="F241" s="75" t="s">
        <v>2319</v>
      </c>
      <c r="G241" s="76">
        <v>15.0</v>
      </c>
      <c r="H241" s="77">
        <v>15.0</v>
      </c>
      <c r="I241" s="154" t="s">
        <v>89</v>
      </c>
      <c r="J241" s="58"/>
      <c r="K241" s="58"/>
      <c r="L241" s="58"/>
      <c r="M241" s="58"/>
      <c r="N241" s="58"/>
      <c r="O241" s="58"/>
      <c r="P241" s="58"/>
      <c r="Q241" s="58"/>
      <c r="R241" s="58"/>
      <c r="S241" s="58"/>
      <c r="T241" s="58"/>
      <c r="U241" s="58"/>
      <c r="V241" s="58"/>
      <c r="W241" s="58"/>
      <c r="X241" s="58"/>
      <c r="Y241" s="58"/>
      <c r="Z241" s="58"/>
    </row>
    <row r="242" ht="151.5" customHeight="1">
      <c r="A242" s="101" t="s">
        <v>2296</v>
      </c>
      <c r="B242" s="176" t="s">
        <v>73</v>
      </c>
      <c r="C242" s="75" t="s">
        <v>2297</v>
      </c>
      <c r="D242" s="75" t="s">
        <v>2320</v>
      </c>
      <c r="E242" s="362" t="s">
        <v>2321</v>
      </c>
      <c r="F242" s="75" t="s">
        <v>2322</v>
      </c>
      <c r="G242" s="76">
        <v>15.0</v>
      </c>
      <c r="H242" s="77">
        <v>15.0</v>
      </c>
      <c r="I242" s="154" t="s">
        <v>89</v>
      </c>
      <c r="J242" s="58"/>
      <c r="K242" s="58"/>
      <c r="L242" s="58"/>
      <c r="M242" s="58"/>
      <c r="N242" s="58"/>
      <c r="O242" s="58"/>
      <c r="P242" s="58"/>
      <c r="Q242" s="58"/>
      <c r="R242" s="58"/>
      <c r="S242" s="58"/>
      <c r="T242" s="58"/>
      <c r="U242" s="58"/>
      <c r="V242" s="58"/>
      <c r="W242" s="58"/>
      <c r="X242" s="58"/>
      <c r="Y242" s="58"/>
      <c r="Z242" s="58"/>
    </row>
    <row r="243" ht="151.5" customHeight="1">
      <c r="A243" s="101" t="s">
        <v>2296</v>
      </c>
      <c r="B243" s="176" t="s">
        <v>73</v>
      </c>
      <c r="C243" s="75" t="s">
        <v>2297</v>
      </c>
      <c r="D243" s="75" t="s">
        <v>2323</v>
      </c>
      <c r="E243" s="362" t="s">
        <v>2324</v>
      </c>
      <c r="F243" s="75" t="s">
        <v>2325</v>
      </c>
      <c r="G243" s="76">
        <v>15.0</v>
      </c>
      <c r="H243" s="77">
        <v>15.0</v>
      </c>
      <c r="I243" s="154" t="s">
        <v>89</v>
      </c>
      <c r="J243" s="58"/>
      <c r="K243" s="58"/>
      <c r="L243" s="58"/>
      <c r="M243" s="58"/>
      <c r="N243" s="58"/>
      <c r="O243" s="58"/>
      <c r="P243" s="58"/>
      <c r="Q243" s="58"/>
      <c r="R243" s="58"/>
      <c r="S243" s="58"/>
      <c r="T243" s="58"/>
      <c r="U243" s="58"/>
      <c r="V243" s="58"/>
      <c r="W243" s="58"/>
      <c r="X243" s="58"/>
      <c r="Y243" s="58"/>
      <c r="Z243" s="58"/>
    </row>
    <row r="244" ht="151.5" customHeight="1">
      <c r="A244" s="101" t="s">
        <v>2296</v>
      </c>
      <c r="B244" s="176" t="s">
        <v>73</v>
      </c>
      <c r="C244" s="75" t="s">
        <v>2297</v>
      </c>
      <c r="D244" s="75" t="s">
        <v>2326</v>
      </c>
      <c r="E244" s="362" t="s">
        <v>2327</v>
      </c>
      <c r="F244" s="75" t="s">
        <v>2325</v>
      </c>
      <c r="G244" s="76">
        <v>15.0</v>
      </c>
      <c r="H244" s="77">
        <v>15.0</v>
      </c>
      <c r="I244" s="154" t="s">
        <v>89</v>
      </c>
      <c r="J244" s="58"/>
      <c r="K244" s="58"/>
      <c r="L244" s="58"/>
      <c r="M244" s="58"/>
      <c r="N244" s="58"/>
      <c r="O244" s="58"/>
      <c r="P244" s="58"/>
      <c r="Q244" s="58"/>
      <c r="R244" s="58"/>
      <c r="S244" s="58"/>
      <c r="T244" s="58"/>
      <c r="U244" s="58"/>
      <c r="V244" s="58"/>
      <c r="W244" s="58"/>
      <c r="X244" s="58"/>
      <c r="Y244" s="58"/>
      <c r="Z244" s="58"/>
    </row>
    <row r="245" ht="96.0" customHeight="1">
      <c r="A245" s="101" t="s">
        <v>2296</v>
      </c>
      <c r="B245" s="176" t="s">
        <v>73</v>
      </c>
      <c r="C245" s="75" t="s">
        <v>2297</v>
      </c>
      <c r="D245" s="75" t="s">
        <v>2328</v>
      </c>
      <c r="E245" s="75" t="s">
        <v>2329</v>
      </c>
      <c r="F245" s="75"/>
      <c r="G245" s="76">
        <v>15.0</v>
      </c>
      <c r="H245" s="77">
        <v>15.0</v>
      </c>
      <c r="I245" s="154" t="s">
        <v>89</v>
      </c>
      <c r="J245" s="58"/>
      <c r="K245" s="58"/>
      <c r="L245" s="58"/>
      <c r="M245" s="58"/>
      <c r="N245" s="58"/>
      <c r="O245" s="58"/>
      <c r="P245" s="58"/>
      <c r="Q245" s="58"/>
      <c r="R245" s="58"/>
      <c r="S245" s="58"/>
      <c r="T245" s="58"/>
      <c r="U245" s="58"/>
      <c r="V245" s="58"/>
      <c r="W245" s="58"/>
      <c r="X245" s="58"/>
      <c r="Y245" s="58"/>
      <c r="Z245" s="58"/>
    </row>
    <row r="246" ht="151.5" customHeight="1">
      <c r="A246" s="101" t="s">
        <v>2296</v>
      </c>
      <c r="B246" s="176" t="s">
        <v>73</v>
      </c>
      <c r="C246" s="75" t="s">
        <v>2297</v>
      </c>
      <c r="D246" s="75" t="s">
        <v>2330</v>
      </c>
      <c r="E246" s="362" t="s">
        <v>2331</v>
      </c>
      <c r="F246" s="75" t="s">
        <v>2332</v>
      </c>
      <c r="G246" s="76">
        <v>15.0</v>
      </c>
      <c r="H246" s="77">
        <v>15.0</v>
      </c>
      <c r="I246" s="154" t="s">
        <v>89</v>
      </c>
      <c r="J246" s="58"/>
      <c r="K246" s="58"/>
      <c r="L246" s="58"/>
      <c r="M246" s="58"/>
      <c r="N246" s="58"/>
      <c r="O246" s="58"/>
      <c r="P246" s="58"/>
      <c r="Q246" s="58"/>
      <c r="R246" s="58"/>
      <c r="S246" s="58"/>
      <c r="T246" s="58"/>
      <c r="U246" s="58"/>
      <c r="V246" s="58"/>
      <c r="W246" s="58"/>
      <c r="X246" s="58"/>
      <c r="Y246" s="58"/>
      <c r="Z246" s="58"/>
    </row>
    <row r="247" ht="123.75" customHeight="1">
      <c r="A247" s="101" t="s">
        <v>2333</v>
      </c>
      <c r="B247" s="176" t="s">
        <v>73</v>
      </c>
      <c r="C247" s="75" t="s">
        <v>2334</v>
      </c>
      <c r="D247" s="75" t="s">
        <v>2335</v>
      </c>
      <c r="E247" s="362" t="s">
        <v>2336</v>
      </c>
      <c r="F247" s="75" t="s">
        <v>2337</v>
      </c>
      <c r="G247" s="76">
        <v>15.0</v>
      </c>
      <c r="H247" s="77">
        <v>15.0</v>
      </c>
      <c r="I247" s="154" t="s">
        <v>89</v>
      </c>
      <c r="J247" s="58"/>
      <c r="K247" s="58"/>
      <c r="L247" s="58"/>
      <c r="M247" s="58"/>
      <c r="N247" s="58"/>
      <c r="O247" s="58"/>
      <c r="P247" s="58"/>
      <c r="Q247" s="58"/>
      <c r="R247" s="58"/>
      <c r="S247" s="58"/>
      <c r="T247" s="58"/>
      <c r="U247" s="58"/>
      <c r="V247" s="58"/>
      <c r="W247" s="58"/>
      <c r="X247" s="58"/>
      <c r="Y247" s="58"/>
      <c r="Z247" s="58"/>
    </row>
    <row r="248" ht="165.0" customHeight="1">
      <c r="A248" s="101" t="s">
        <v>2333</v>
      </c>
      <c r="B248" s="176" t="s">
        <v>73</v>
      </c>
      <c r="C248" s="75" t="s">
        <v>2338</v>
      </c>
      <c r="D248" s="75" t="s">
        <v>2339</v>
      </c>
      <c r="E248" s="362" t="s">
        <v>2048</v>
      </c>
      <c r="F248" s="75"/>
      <c r="G248" s="76">
        <v>15.0</v>
      </c>
      <c r="H248" s="77">
        <v>15.0</v>
      </c>
      <c r="I248" s="154" t="s">
        <v>89</v>
      </c>
      <c r="J248" s="58"/>
      <c r="K248" s="58"/>
      <c r="L248" s="58"/>
      <c r="M248" s="58"/>
      <c r="N248" s="58"/>
      <c r="O248" s="58"/>
      <c r="P248" s="58"/>
      <c r="Q248" s="58"/>
      <c r="R248" s="58"/>
      <c r="S248" s="58"/>
      <c r="T248" s="58"/>
      <c r="U248" s="58"/>
      <c r="V248" s="58"/>
      <c r="W248" s="58"/>
      <c r="X248" s="58"/>
      <c r="Y248" s="58"/>
      <c r="Z248" s="58"/>
    </row>
    <row r="249" ht="151.5" customHeight="1">
      <c r="A249" s="101" t="s">
        <v>2333</v>
      </c>
      <c r="B249" s="176" t="s">
        <v>73</v>
      </c>
      <c r="C249" s="75" t="s">
        <v>2340</v>
      </c>
      <c r="D249" s="75" t="s">
        <v>2341</v>
      </c>
      <c r="E249" s="362" t="s">
        <v>2342</v>
      </c>
      <c r="F249" s="75"/>
      <c r="G249" s="76">
        <v>15.0</v>
      </c>
      <c r="H249" s="77">
        <v>15.0</v>
      </c>
      <c r="I249" s="154" t="s">
        <v>89</v>
      </c>
      <c r="J249" s="58"/>
      <c r="K249" s="58"/>
      <c r="L249" s="58"/>
      <c r="M249" s="58"/>
      <c r="N249" s="58"/>
      <c r="O249" s="58"/>
      <c r="P249" s="58"/>
      <c r="Q249" s="58"/>
      <c r="R249" s="58"/>
      <c r="S249" s="58"/>
      <c r="T249" s="58"/>
      <c r="U249" s="58"/>
      <c r="V249" s="58"/>
      <c r="W249" s="58"/>
      <c r="X249" s="58"/>
      <c r="Y249" s="58"/>
      <c r="Z249" s="58"/>
    </row>
    <row r="250" ht="165.0" customHeight="1">
      <c r="A250" s="101" t="s">
        <v>2333</v>
      </c>
      <c r="B250" s="176" t="s">
        <v>73</v>
      </c>
      <c r="C250" s="75" t="s">
        <v>2343</v>
      </c>
      <c r="D250" s="75" t="s">
        <v>2344</v>
      </c>
      <c r="E250" s="362" t="s">
        <v>2345</v>
      </c>
      <c r="F250" s="75" t="s">
        <v>2346</v>
      </c>
      <c r="G250" s="76">
        <v>15.0</v>
      </c>
      <c r="H250" s="77">
        <v>15.0</v>
      </c>
      <c r="I250" s="154" t="s">
        <v>89</v>
      </c>
      <c r="J250" s="58"/>
      <c r="K250" s="58"/>
      <c r="L250" s="58"/>
      <c r="M250" s="58"/>
      <c r="N250" s="58"/>
      <c r="O250" s="58"/>
      <c r="P250" s="58"/>
      <c r="Q250" s="58"/>
      <c r="R250" s="58"/>
      <c r="S250" s="58"/>
      <c r="T250" s="58"/>
      <c r="U250" s="58"/>
      <c r="V250" s="58"/>
      <c r="W250" s="58"/>
      <c r="X250" s="58"/>
      <c r="Y250" s="58"/>
      <c r="Z250" s="58"/>
    </row>
    <row r="251" ht="105.0" customHeight="1">
      <c r="A251" s="170" t="s">
        <v>94</v>
      </c>
      <c r="B251" s="170" t="s">
        <v>73</v>
      </c>
      <c r="C251" s="479" t="s">
        <v>2347</v>
      </c>
      <c r="D251" s="148" t="s">
        <v>2348</v>
      </c>
      <c r="E251" s="369" t="s">
        <v>2349</v>
      </c>
      <c r="F251" s="148"/>
      <c r="G251" s="232"/>
      <c r="H251" s="154">
        <v>15.0</v>
      </c>
      <c r="I251" s="480" t="s">
        <v>94</v>
      </c>
      <c r="J251" s="58"/>
      <c r="K251" s="58"/>
      <c r="L251" s="58"/>
      <c r="M251" s="58"/>
      <c r="N251" s="58"/>
      <c r="O251" s="58"/>
      <c r="P251" s="58"/>
      <c r="Q251" s="58"/>
      <c r="R251" s="58"/>
      <c r="S251" s="58"/>
      <c r="T251" s="58"/>
      <c r="U251" s="58"/>
      <c r="V251" s="58"/>
      <c r="W251" s="58"/>
      <c r="X251" s="58"/>
      <c r="Y251" s="58"/>
      <c r="Z251" s="58"/>
    </row>
    <row r="252" ht="118.5" customHeight="1">
      <c r="A252" s="170" t="s">
        <v>94</v>
      </c>
      <c r="B252" s="170" t="s">
        <v>142</v>
      </c>
      <c r="C252" s="479" t="s">
        <v>2347</v>
      </c>
      <c r="D252" s="148" t="s">
        <v>2350</v>
      </c>
      <c r="E252" s="369" t="s">
        <v>2349</v>
      </c>
      <c r="F252" s="148"/>
      <c r="G252" s="232"/>
      <c r="H252" s="154">
        <v>15.0</v>
      </c>
      <c r="I252" s="481" t="s">
        <v>94</v>
      </c>
      <c r="J252" s="58"/>
      <c r="K252" s="58"/>
      <c r="L252" s="58"/>
      <c r="M252" s="58"/>
      <c r="N252" s="58"/>
      <c r="O252" s="58"/>
      <c r="P252" s="58"/>
      <c r="Q252" s="58"/>
      <c r="R252" s="58"/>
      <c r="S252" s="58"/>
      <c r="T252" s="58"/>
      <c r="U252" s="58"/>
      <c r="V252" s="58"/>
      <c r="W252" s="58"/>
      <c r="X252" s="58"/>
      <c r="Y252" s="58"/>
      <c r="Z252" s="58"/>
    </row>
    <row r="253" ht="105.0" customHeight="1">
      <c r="A253" s="170" t="s">
        <v>94</v>
      </c>
      <c r="B253" s="170" t="s">
        <v>100</v>
      </c>
      <c r="C253" s="148" t="s">
        <v>2351</v>
      </c>
      <c r="D253" s="148" t="s">
        <v>2352</v>
      </c>
      <c r="E253" s="369" t="s">
        <v>2349</v>
      </c>
      <c r="F253" s="148"/>
      <c r="G253" s="232"/>
      <c r="H253" s="154">
        <v>15.0</v>
      </c>
      <c r="I253" s="480" t="s">
        <v>94</v>
      </c>
      <c r="J253" s="58"/>
      <c r="K253" s="58"/>
      <c r="L253" s="58"/>
      <c r="M253" s="58"/>
      <c r="N253" s="58"/>
      <c r="O253" s="58"/>
      <c r="P253" s="58"/>
      <c r="Q253" s="58"/>
      <c r="R253" s="58"/>
      <c r="S253" s="58"/>
      <c r="T253" s="58"/>
      <c r="U253" s="58"/>
      <c r="V253" s="58"/>
      <c r="W253" s="58"/>
      <c r="X253" s="58"/>
      <c r="Y253" s="58"/>
      <c r="Z253" s="58"/>
    </row>
    <row r="254" ht="105.0" customHeight="1">
      <c r="A254" s="170" t="s">
        <v>2353</v>
      </c>
      <c r="B254" s="162" t="s">
        <v>1340</v>
      </c>
      <c r="C254" s="482" t="s">
        <v>2354</v>
      </c>
      <c r="D254" s="170" t="s">
        <v>2355</v>
      </c>
      <c r="E254" s="369" t="s">
        <v>2356</v>
      </c>
      <c r="F254" s="148" t="s">
        <v>2076</v>
      </c>
      <c r="G254" s="232">
        <v>15.0</v>
      </c>
      <c r="H254" s="154">
        <v>15.0</v>
      </c>
      <c r="I254" s="480" t="s">
        <v>95</v>
      </c>
      <c r="J254" s="58"/>
      <c r="K254" s="58"/>
      <c r="L254" s="58"/>
      <c r="M254" s="58"/>
      <c r="N254" s="58"/>
      <c r="O254" s="58"/>
      <c r="P254" s="58"/>
      <c r="Q254" s="58"/>
      <c r="R254" s="58"/>
      <c r="S254" s="58"/>
      <c r="T254" s="58"/>
      <c r="U254" s="58"/>
      <c r="V254" s="58"/>
      <c r="W254" s="58"/>
      <c r="X254" s="58"/>
      <c r="Y254" s="58"/>
      <c r="Z254" s="58"/>
    </row>
    <row r="255" ht="105.0" customHeight="1">
      <c r="A255" s="87" t="s">
        <v>2357</v>
      </c>
      <c r="B255" s="483" t="s">
        <v>100</v>
      </c>
      <c r="C255" s="90" t="s">
        <v>2358</v>
      </c>
      <c r="D255" s="90" t="s">
        <v>2359</v>
      </c>
      <c r="E255" s="371" t="s">
        <v>2360</v>
      </c>
      <c r="F255" s="90" t="s">
        <v>2361</v>
      </c>
      <c r="G255" s="91">
        <v>15.0</v>
      </c>
      <c r="H255" s="92">
        <v>7.5</v>
      </c>
      <c r="I255" s="92" t="s">
        <v>2362</v>
      </c>
      <c r="J255" s="58"/>
      <c r="K255" s="58"/>
      <c r="L255" s="58"/>
      <c r="M255" s="58"/>
      <c r="N255" s="58"/>
      <c r="O255" s="58"/>
      <c r="P255" s="58"/>
      <c r="Q255" s="58"/>
      <c r="R255" s="58"/>
      <c r="S255" s="58"/>
      <c r="T255" s="58"/>
      <c r="U255" s="58"/>
      <c r="V255" s="58"/>
      <c r="W255" s="58"/>
      <c r="X255" s="58"/>
      <c r="Y255" s="58"/>
      <c r="Z255" s="58"/>
    </row>
    <row r="256" ht="78.75" customHeight="1">
      <c r="A256" s="87" t="s">
        <v>2363</v>
      </c>
      <c r="B256" s="483" t="s">
        <v>100</v>
      </c>
      <c r="C256" s="90" t="s">
        <v>2364</v>
      </c>
      <c r="D256" s="90" t="s">
        <v>2365</v>
      </c>
      <c r="E256" s="484" t="s">
        <v>2366</v>
      </c>
      <c r="F256" s="90" t="s">
        <v>2367</v>
      </c>
      <c r="G256" s="91">
        <v>15.0</v>
      </c>
      <c r="H256" s="92">
        <v>15.0</v>
      </c>
      <c r="I256" s="92" t="s">
        <v>2362</v>
      </c>
      <c r="J256" s="58"/>
      <c r="K256" s="58"/>
      <c r="L256" s="58"/>
      <c r="M256" s="58"/>
      <c r="N256" s="58"/>
      <c r="O256" s="58"/>
      <c r="P256" s="58"/>
      <c r="Q256" s="58"/>
      <c r="R256" s="58"/>
      <c r="S256" s="58"/>
      <c r="T256" s="58"/>
      <c r="U256" s="58"/>
      <c r="V256" s="58"/>
      <c r="W256" s="58"/>
      <c r="X256" s="58"/>
      <c r="Y256" s="58"/>
      <c r="Z256" s="58"/>
    </row>
    <row r="257" ht="158.25" customHeight="1">
      <c r="A257" s="87" t="s">
        <v>2368</v>
      </c>
      <c r="B257" s="483" t="s">
        <v>100</v>
      </c>
      <c r="C257" s="90" t="s">
        <v>2369</v>
      </c>
      <c r="D257" s="90" t="s">
        <v>2370</v>
      </c>
      <c r="E257" s="371" t="s">
        <v>2371</v>
      </c>
      <c r="F257" s="90" t="s">
        <v>2076</v>
      </c>
      <c r="G257" s="91">
        <v>15.0</v>
      </c>
      <c r="H257" s="92">
        <v>3.75</v>
      </c>
      <c r="I257" s="92" t="s">
        <v>2372</v>
      </c>
      <c r="J257" s="58"/>
      <c r="K257" s="58"/>
      <c r="L257" s="58"/>
      <c r="M257" s="58"/>
      <c r="N257" s="58"/>
      <c r="O257" s="58"/>
      <c r="P257" s="58"/>
      <c r="Q257" s="58"/>
      <c r="R257" s="58"/>
      <c r="S257" s="58"/>
      <c r="T257" s="58"/>
      <c r="U257" s="58"/>
      <c r="V257" s="58"/>
      <c r="W257" s="58"/>
      <c r="X257" s="58"/>
      <c r="Y257" s="58"/>
      <c r="Z257" s="58"/>
    </row>
    <row r="258" ht="184.5" customHeight="1">
      <c r="A258" s="87" t="s">
        <v>2373</v>
      </c>
      <c r="B258" s="483" t="s">
        <v>100</v>
      </c>
      <c r="C258" s="90" t="s">
        <v>2369</v>
      </c>
      <c r="D258" s="90" t="s">
        <v>2374</v>
      </c>
      <c r="E258" s="371" t="s">
        <v>2375</v>
      </c>
      <c r="F258" s="90" t="s">
        <v>1262</v>
      </c>
      <c r="G258" s="91">
        <v>15.0</v>
      </c>
      <c r="H258" s="92">
        <v>3.75</v>
      </c>
      <c r="I258" s="92" t="s">
        <v>2372</v>
      </c>
      <c r="J258" s="58"/>
      <c r="K258" s="58"/>
      <c r="L258" s="58"/>
      <c r="M258" s="58"/>
      <c r="N258" s="58"/>
      <c r="O258" s="58"/>
      <c r="P258" s="58"/>
      <c r="Q258" s="58"/>
      <c r="R258" s="58"/>
      <c r="S258" s="58"/>
      <c r="T258" s="58"/>
      <c r="U258" s="58"/>
      <c r="V258" s="58"/>
      <c r="W258" s="58"/>
      <c r="X258" s="58"/>
      <c r="Y258" s="58"/>
      <c r="Z258" s="58"/>
    </row>
    <row r="259" ht="132.0" customHeight="1">
      <c r="A259" s="87" t="s">
        <v>2376</v>
      </c>
      <c r="B259" s="483" t="s">
        <v>100</v>
      </c>
      <c r="C259" s="90" t="s">
        <v>2369</v>
      </c>
      <c r="D259" s="90" t="s">
        <v>2377</v>
      </c>
      <c r="E259" s="90" t="s">
        <v>2378</v>
      </c>
      <c r="F259" s="90" t="s">
        <v>2379</v>
      </c>
      <c r="G259" s="91">
        <v>50.0</v>
      </c>
      <c r="H259" s="92">
        <v>12.5</v>
      </c>
      <c r="I259" s="92" t="s">
        <v>2372</v>
      </c>
      <c r="J259" s="58"/>
      <c r="K259" s="58"/>
      <c r="L259" s="58"/>
      <c r="M259" s="58"/>
      <c r="N259" s="58"/>
      <c r="O259" s="58"/>
      <c r="P259" s="58"/>
      <c r="Q259" s="58"/>
      <c r="R259" s="58"/>
      <c r="S259" s="58"/>
      <c r="T259" s="58"/>
      <c r="U259" s="58"/>
      <c r="V259" s="58"/>
      <c r="W259" s="58"/>
      <c r="X259" s="58"/>
      <c r="Y259" s="58"/>
      <c r="Z259" s="58"/>
    </row>
    <row r="260" ht="92.25" customHeight="1">
      <c r="A260" s="87" t="s">
        <v>2376</v>
      </c>
      <c r="B260" s="483" t="s">
        <v>100</v>
      </c>
      <c r="C260" s="90" t="s">
        <v>2369</v>
      </c>
      <c r="D260" s="90" t="s">
        <v>2380</v>
      </c>
      <c r="E260" s="371" t="s">
        <v>2381</v>
      </c>
      <c r="F260" s="90" t="s">
        <v>2382</v>
      </c>
      <c r="G260" s="91">
        <v>50.0</v>
      </c>
      <c r="H260" s="92">
        <v>12.5</v>
      </c>
      <c r="I260" s="92" t="s">
        <v>2372</v>
      </c>
      <c r="J260" s="58"/>
      <c r="K260" s="58"/>
      <c r="L260" s="58"/>
      <c r="M260" s="58"/>
      <c r="N260" s="58"/>
      <c r="O260" s="58"/>
      <c r="P260" s="58"/>
      <c r="Q260" s="58"/>
      <c r="R260" s="58"/>
      <c r="S260" s="58"/>
      <c r="T260" s="58"/>
      <c r="U260" s="58"/>
      <c r="V260" s="58"/>
      <c r="W260" s="58"/>
      <c r="X260" s="58"/>
      <c r="Y260" s="58"/>
      <c r="Z260" s="58"/>
    </row>
    <row r="261" ht="171.0" customHeight="1">
      <c r="A261" s="87" t="s">
        <v>2383</v>
      </c>
      <c r="B261" s="483" t="s">
        <v>100</v>
      </c>
      <c r="C261" s="90" t="s">
        <v>2384</v>
      </c>
      <c r="D261" s="90" t="s">
        <v>2385</v>
      </c>
      <c r="E261" s="371" t="s">
        <v>2386</v>
      </c>
      <c r="F261" s="90" t="s">
        <v>2379</v>
      </c>
      <c r="G261" s="91">
        <v>50.0</v>
      </c>
      <c r="H261" s="92">
        <v>25.0</v>
      </c>
      <c r="I261" s="92" t="s">
        <v>2372</v>
      </c>
      <c r="J261" s="58"/>
      <c r="K261" s="58"/>
      <c r="L261" s="58"/>
      <c r="M261" s="58"/>
      <c r="N261" s="58"/>
      <c r="O261" s="58"/>
      <c r="P261" s="58"/>
      <c r="Q261" s="58"/>
      <c r="R261" s="58"/>
      <c r="S261" s="58"/>
      <c r="T261" s="58"/>
      <c r="U261" s="58"/>
      <c r="V261" s="58"/>
      <c r="W261" s="58"/>
      <c r="X261" s="58"/>
      <c r="Y261" s="58"/>
      <c r="Z261" s="58"/>
    </row>
    <row r="262" ht="184.5" customHeight="1">
      <c r="A262" s="87" t="s">
        <v>2387</v>
      </c>
      <c r="B262" s="483" t="s">
        <v>100</v>
      </c>
      <c r="C262" s="90" t="s">
        <v>2384</v>
      </c>
      <c r="D262" s="90" t="s">
        <v>2388</v>
      </c>
      <c r="E262" s="371" t="s">
        <v>2389</v>
      </c>
      <c r="F262" s="90" t="s">
        <v>2379</v>
      </c>
      <c r="G262" s="91">
        <v>50.0</v>
      </c>
      <c r="H262" s="92">
        <v>25.0</v>
      </c>
      <c r="I262" s="92" t="s">
        <v>2372</v>
      </c>
      <c r="J262" s="58"/>
      <c r="K262" s="58"/>
      <c r="L262" s="58"/>
      <c r="M262" s="58"/>
      <c r="N262" s="58"/>
      <c r="O262" s="58"/>
      <c r="P262" s="58"/>
      <c r="Q262" s="58"/>
      <c r="R262" s="58"/>
      <c r="S262" s="58"/>
      <c r="T262" s="58"/>
      <c r="U262" s="58"/>
      <c r="V262" s="58"/>
      <c r="W262" s="58"/>
      <c r="X262" s="58"/>
      <c r="Y262" s="58"/>
      <c r="Z262" s="58"/>
    </row>
    <row r="263" ht="144.75" customHeight="1">
      <c r="A263" s="87" t="s">
        <v>2387</v>
      </c>
      <c r="B263" s="483" t="s">
        <v>100</v>
      </c>
      <c r="C263" s="90" t="s">
        <v>2384</v>
      </c>
      <c r="D263" s="90" t="s">
        <v>2390</v>
      </c>
      <c r="E263" s="371" t="s">
        <v>2391</v>
      </c>
      <c r="F263" s="90" t="s">
        <v>2392</v>
      </c>
      <c r="G263" s="91">
        <v>15.0</v>
      </c>
      <c r="H263" s="92">
        <v>7.5</v>
      </c>
      <c r="I263" s="92" t="s">
        <v>2372</v>
      </c>
      <c r="J263" s="58"/>
      <c r="K263" s="58"/>
      <c r="L263" s="58"/>
      <c r="M263" s="58"/>
      <c r="N263" s="58"/>
      <c r="O263" s="58"/>
      <c r="P263" s="58"/>
      <c r="Q263" s="58"/>
      <c r="R263" s="58"/>
      <c r="S263" s="58"/>
      <c r="T263" s="58"/>
      <c r="U263" s="58"/>
      <c r="V263" s="58"/>
      <c r="W263" s="58"/>
      <c r="X263" s="58"/>
      <c r="Y263" s="58"/>
      <c r="Z263" s="58"/>
    </row>
    <row r="264" ht="132.0" customHeight="1">
      <c r="A264" s="87" t="s">
        <v>2387</v>
      </c>
      <c r="B264" s="483" t="s">
        <v>100</v>
      </c>
      <c r="C264" s="90" t="s">
        <v>2384</v>
      </c>
      <c r="D264" s="90" t="s">
        <v>2393</v>
      </c>
      <c r="E264" s="371" t="s">
        <v>2394</v>
      </c>
      <c r="F264" s="90" t="s">
        <v>1820</v>
      </c>
      <c r="G264" s="91">
        <v>50.0</v>
      </c>
      <c r="H264" s="92">
        <v>25.0</v>
      </c>
      <c r="I264" s="92" t="s">
        <v>2372</v>
      </c>
      <c r="J264" s="58"/>
      <c r="K264" s="58"/>
      <c r="L264" s="58"/>
      <c r="M264" s="58"/>
      <c r="N264" s="58"/>
      <c r="O264" s="58"/>
      <c r="P264" s="58"/>
      <c r="Q264" s="58"/>
      <c r="R264" s="58"/>
      <c r="S264" s="58"/>
      <c r="T264" s="58"/>
      <c r="U264" s="58"/>
      <c r="V264" s="58"/>
      <c r="W264" s="58"/>
      <c r="X264" s="58"/>
      <c r="Y264" s="58"/>
      <c r="Z264" s="58"/>
    </row>
    <row r="265" ht="158.25" customHeight="1">
      <c r="A265" s="87" t="s">
        <v>2387</v>
      </c>
      <c r="B265" s="483" t="s">
        <v>100</v>
      </c>
      <c r="C265" s="90" t="s">
        <v>2384</v>
      </c>
      <c r="D265" s="90" t="s">
        <v>2395</v>
      </c>
      <c r="E265" s="371" t="s">
        <v>2396</v>
      </c>
      <c r="F265" s="90" t="s">
        <v>2379</v>
      </c>
      <c r="G265" s="91">
        <v>50.0</v>
      </c>
      <c r="H265" s="92">
        <v>25.0</v>
      </c>
      <c r="I265" s="92" t="s">
        <v>2372</v>
      </c>
      <c r="J265" s="58"/>
      <c r="K265" s="58"/>
      <c r="L265" s="58"/>
      <c r="M265" s="58"/>
      <c r="N265" s="58"/>
      <c r="O265" s="58"/>
      <c r="P265" s="58"/>
      <c r="Q265" s="58"/>
      <c r="R265" s="58"/>
      <c r="S265" s="58"/>
      <c r="T265" s="58"/>
      <c r="U265" s="58"/>
      <c r="V265" s="58"/>
      <c r="W265" s="58"/>
      <c r="X265" s="58"/>
      <c r="Y265" s="58"/>
      <c r="Z265" s="58"/>
    </row>
    <row r="266" ht="105.0" customHeight="1">
      <c r="A266" s="485" t="s">
        <v>2397</v>
      </c>
      <c r="B266" s="483" t="s">
        <v>100</v>
      </c>
      <c r="C266" s="90" t="s">
        <v>2384</v>
      </c>
      <c r="D266" s="90" t="s">
        <v>2398</v>
      </c>
      <c r="E266" s="371" t="s">
        <v>2399</v>
      </c>
      <c r="F266" s="90"/>
      <c r="G266" s="91">
        <v>25.0</v>
      </c>
      <c r="H266" s="92">
        <v>12.5</v>
      </c>
      <c r="I266" s="92" t="s">
        <v>2372</v>
      </c>
      <c r="J266" s="58"/>
      <c r="K266" s="58"/>
      <c r="L266" s="58"/>
      <c r="M266" s="58"/>
      <c r="N266" s="58"/>
      <c r="O266" s="58"/>
      <c r="P266" s="58"/>
      <c r="Q266" s="58"/>
      <c r="R266" s="58"/>
      <c r="S266" s="58"/>
      <c r="T266" s="58"/>
      <c r="U266" s="58"/>
      <c r="V266" s="58"/>
      <c r="W266" s="58"/>
      <c r="X266" s="58"/>
      <c r="Y266" s="58"/>
      <c r="Z266" s="58"/>
    </row>
    <row r="267" ht="144.75" customHeight="1">
      <c r="A267" s="87" t="s">
        <v>2400</v>
      </c>
      <c r="B267" s="483" t="s">
        <v>100</v>
      </c>
      <c r="C267" s="90" t="s">
        <v>2401</v>
      </c>
      <c r="D267" s="90" t="s">
        <v>2402</v>
      </c>
      <c r="E267" s="371" t="s">
        <v>2391</v>
      </c>
      <c r="F267" s="90" t="s">
        <v>2403</v>
      </c>
      <c r="G267" s="91">
        <v>25.0</v>
      </c>
      <c r="H267" s="92">
        <v>12.5</v>
      </c>
      <c r="I267" s="92" t="s">
        <v>2372</v>
      </c>
      <c r="J267" s="58"/>
      <c r="K267" s="58"/>
      <c r="L267" s="58"/>
      <c r="M267" s="58"/>
      <c r="N267" s="58"/>
      <c r="O267" s="58"/>
      <c r="P267" s="58"/>
      <c r="Q267" s="58"/>
      <c r="R267" s="58"/>
      <c r="S267" s="58"/>
      <c r="T267" s="58"/>
      <c r="U267" s="58"/>
      <c r="V267" s="58"/>
      <c r="W267" s="58"/>
      <c r="X267" s="58"/>
      <c r="Y267" s="58"/>
      <c r="Z267" s="58"/>
    </row>
    <row r="268" ht="158.25" customHeight="1">
      <c r="A268" s="87" t="s">
        <v>2404</v>
      </c>
      <c r="B268" s="483" t="s">
        <v>100</v>
      </c>
      <c r="C268" s="90" t="s">
        <v>2401</v>
      </c>
      <c r="D268" s="90" t="s">
        <v>2405</v>
      </c>
      <c r="E268" s="371" t="s">
        <v>2406</v>
      </c>
      <c r="F268" s="90" t="s">
        <v>2379</v>
      </c>
      <c r="G268" s="91">
        <v>50.0</v>
      </c>
      <c r="H268" s="92">
        <v>25.0</v>
      </c>
      <c r="I268" s="92" t="s">
        <v>2372</v>
      </c>
      <c r="J268" s="58"/>
      <c r="K268" s="58"/>
      <c r="L268" s="58"/>
      <c r="M268" s="58"/>
      <c r="N268" s="58"/>
      <c r="O268" s="58"/>
      <c r="P268" s="58"/>
      <c r="Q268" s="58"/>
      <c r="R268" s="58"/>
      <c r="S268" s="58"/>
      <c r="T268" s="58"/>
      <c r="U268" s="58"/>
      <c r="V268" s="58"/>
      <c r="W268" s="58"/>
      <c r="X268" s="58"/>
      <c r="Y268" s="58"/>
      <c r="Z268" s="58"/>
    </row>
    <row r="269" ht="118.5" customHeight="1">
      <c r="A269" s="486" t="s">
        <v>2407</v>
      </c>
      <c r="B269" s="483" t="s">
        <v>100</v>
      </c>
      <c r="C269" s="90" t="s">
        <v>2408</v>
      </c>
      <c r="D269" s="90" t="s">
        <v>2409</v>
      </c>
      <c r="E269" s="371" t="s">
        <v>2410</v>
      </c>
      <c r="F269" s="90" t="s">
        <v>2411</v>
      </c>
      <c r="G269" s="91">
        <v>25.0</v>
      </c>
      <c r="H269" s="92">
        <v>12.5</v>
      </c>
      <c r="I269" s="92" t="s">
        <v>2372</v>
      </c>
      <c r="J269" s="58"/>
      <c r="K269" s="58"/>
      <c r="L269" s="58"/>
      <c r="M269" s="58"/>
      <c r="N269" s="58"/>
      <c r="O269" s="58"/>
      <c r="P269" s="58"/>
      <c r="Q269" s="58"/>
      <c r="R269" s="58"/>
      <c r="S269" s="58"/>
      <c r="T269" s="58"/>
      <c r="U269" s="58"/>
      <c r="V269" s="58"/>
      <c r="W269" s="58"/>
      <c r="X269" s="58"/>
      <c r="Y269" s="58"/>
      <c r="Z269" s="58"/>
    </row>
    <row r="270" ht="118.5" customHeight="1">
      <c r="A270" s="87" t="s">
        <v>2412</v>
      </c>
      <c r="B270" s="483" t="s">
        <v>100</v>
      </c>
      <c r="C270" s="90" t="s">
        <v>2413</v>
      </c>
      <c r="D270" s="90" t="s">
        <v>2414</v>
      </c>
      <c r="E270" s="371" t="s">
        <v>2415</v>
      </c>
      <c r="F270" s="90" t="s">
        <v>2416</v>
      </c>
      <c r="G270" s="91">
        <v>25.0</v>
      </c>
      <c r="H270" s="92">
        <v>12.5</v>
      </c>
      <c r="I270" s="92" t="s">
        <v>2372</v>
      </c>
      <c r="J270" s="58"/>
      <c r="K270" s="58"/>
      <c r="L270" s="58"/>
      <c r="M270" s="58"/>
      <c r="N270" s="58"/>
      <c r="O270" s="58"/>
      <c r="P270" s="58"/>
      <c r="Q270" s="58"/>
      <c r="R270" s="58"/>
      <c r="S270" s="58"/>
      <c r="T270" s="58"/>
      <c r="U270" s="58"/>
      <c r="V270" s="58"/>
      <c r="W270" s="58"/>
      <c r="X270" s="58"/>
      <c r="Y270" s="58"/>
      <c r="Z270" s="58"/>
    </row>
    <row r="271" ht="105.0" customHeight="1">
      <c r="A271" s="87" t="s">
        <v>2417</v>
      </c>
      <c r="B271" s="483" t="s">
        <v>100</v>
      </c>
      <c r="C271" s="90" t="s">
        <v>2418</v>
      </c>
      <c r="D271" s="90" t="s">
        <v>2419</v>
      </c>
      <c r="E271" s="371" t="s">
        <v>2420</v>
      </c>
      <c r="F271" s="90" t="s">
        <v>2421</v>
      </c>
      <c r="G271" s="91">
        <v>50.0</v>
      </c>
      <c r="H271" s="92">
        <v>50.0</v>
      </c>
      <c r="I271" s="92" t="s">
        <v>2372</v>
      </c>
      <c r="J271" s="58"/>
      <c r="K271" s="58"/>
      <c r="L271" s="58"/>
      <c r="M271" s="58"/>
      <c r="N271" s="58"/>
      <c r="O271" s="58"/>
      <c r="P271" s="58"/>
      <c r="Q271" s="58"/>
      <c r="R271" s="58"/>
      <c r="S271" s="58"/>
      <c r="T271" s="58"/>
      <c r="U271" s="58"/>
      <c r="V271" s="58"/>
      <c r="W271" s="58"/>
      <c r="X271" s="58"/>
      <c r="Y271" s="58"/>
      <c r="Z271" s="58"/>
    </row>
    <row r="272" ht="184.5" customHeight="1">
      <c r="A272" s="487" t="s">
        <v>2422</v>
      </c>
      <c r="B272" s="483" t="s">
        <v>100</v>
      </c>
      <c r="C272" s="90" t="s">
        <v>2423</v>
      </c>
      <c r="D272" s="90" t="s">
        <v>2424</v>
      </c>
      <c r="E272" s="371" t="s">
        <v>2425</v>
      </c>
      <c r="F272" s="90" t="s">
        <v>2426</v>
      </c>
      <c r="G272" s="91">
        <v>25.0</v>
      </c>
      <c r="H272" s="92">
        <v>3.75</v>
      </c>
      <c r="I272" s="92" t="s">
        <v>2372</v>
      </c>
      <c r="J272" s="58"/>
      <c r="K272" s="58"/>
      <c r="L272" s="58"/>
      <c r="M272" s="58"/>
      <c r="N272" s="58"/>
      <c r="O272" s="58"/>
      <c r="P272" s="58"/>
      <c r="Q272" s="58"/>
      <c r="R272" s="58"/>
      <c r="S272" s="58"/>
      <c r="T272" s="58"/>
      <c r="U272" s="58"/>
      <c r="V272" s="58"/>
      <c r="W272" s="58"/>
      <c r="X272" s="58"/>
      <c r="Y272" s="58"/>
      <c r="Z272" s="58"/>
    </row>
    <row r="273" ht="171.0" customHeight="1">
      <c r="A273" s="486" t="s">
        <v>2427</v>
      </c>
      <c r="B273" s="483" t="s">
        <v>100</v>
      </c>
      <c r="C273" s="90" t="s">
        <v>2428</v>
      </c>
      <c r="D273" s="90" t="s">
        <v>2429</v>
      </c>
      <c r="E273" s="371" t="s">
        <v>2430</v>
      </c>
      <c r="F273" s="90" t="s">
        <v>2076</v>
      </c>
      <c r="G273" s="91">
        <v>25.0</v>
      </c>
      <c r="H273" s="92">
        <v>25.0</v>
      </c>
      <c r="I273" s="92" t="s">
        <v>2372</v>
      </c>
      <c r="J273" s="58"/>
      <c r="K273" s="58"/>
      <c r="L273" s="58"/>
      <c r="M273" s="58"/>
      <c r="N273" s="58"/>
      <c r="O273" s="58"/>
      <c r="P273" s="58"/>
      <c r="Q273" s="58"/>
      <c r="R273" s="58"/>
      <c r="S273" s="58"/>
      <c r="T273" s="58"/>
      <c r="U273" s="58"/>
      <c r="V273" s="58"/>
      <c r="W273" s="58"/>
      <c r="X273" s="58"/>
      <c r="Y273" s="58"/>
      <c r="Z273" s="58"/>
    </row>
    <row r="274" ht="132.0" customHeight="1">
      <c r="A274" s="90" t="s">
        <v>1653</v>
      </c>
      <c r="B274" s="483" t="s">
        <v>100</v>
      </c>
      <c r="C274" s="90" t="s">
        <v>2431</v>
      </c>
      <c r="D274" s="87" t="s">
        <v>2432</v>
      </c>
      <c r="E274" s="90"/>
      <c r="F274" s="488" t="s">
        <v>2433</v>
      </c>
      <c r="G274" s="91">
        <v>15.0</v>
      </c>
      <c r="H274" s="92">
        <v>15.0</v>
      </c>
      <c r="I274" s="90" t="s">
        <v>1653</v>
      </c>
      <c r="J274" s="58"/>
      <c r="K274" s="58"/>
      <c r="L274" s="58"/>
      <c r="M274" s="58"/>
      <c r="N274" s="58"/>
      <c r="O274" s="58"/>
      <c r="P274" s="58"/>
      <c r="Q274" s="58"/>
      <c r="R274" s="58"/>
      <c r="S274" s="58"/>
      <c r="T274" s="58"/>
      <c r="U274" s="58"/>
      <c r="V274" s="58"/>
      <c r="W274" s="58"/>
      <c r="X274" s="58"/>
      <c r="Y274" s="58"/>
      <c r="Z274" s="58"/>
    </row>
    <row r="275" ht="92.25" customHeight="1">
      <c r="A275" s="90" t="s">
        <v>1653</v>
      </c>
      <c r="B275" s="483" t="s">
        <v>100</v>
      </c>
      <c r="C275" s="489" t="s">
        <v>2434</v>
      </c>
      <c r="D275" s="87" t="s">
        <v>2435</v>
      </c>
      <c r="E275" s="90"/>
      <c r="F275" s="488" t="s">
        <v>2433</v>
      </c>
      <c r="G275" s="91">
        <v>15.0</v>
      </c>
      <c r="H275" s="92">
        <v>15.0</v>
      </c>
      <c r="I275" s="90" t="s">
        <v>1653</v>
      </c>
      <c r="J275" s="58"/>
      <c r="K275" s="58"/>
      <c r="L275" s="58"/>
      <c r="M275" s="58"/>
      <c r="N275" s="58"/>
      <c r="O275" s="58"/>
      <c r="P275" s="58"/>
      <c r="Q275" s="58"/>
      <c r="R275" s="58"/>
      <c r="S275" s="58"/>
      <c r="T275" s="58"/>
      <c r="U275" s="58"/>
      <c r="V275" s="58"/>
      <c r="W275" s="58"/>
      <c r="X275" s="58"/>
      <c r="Y275" s="58"/>
      <c r="Z275" s="58"/>
    </row>
    <row r="276" ht="118.5" customHeight="1">
      <c r="A276" s="90" t="s">
        <v>1653</v>
      </c>
      <c r="B276" s="483" t="s">
        <v>100</v>
      </c>
      <c r="C276" s="90" t="s">
        <v>2436</v>
      </c>
      <c r="D276" s="87" t="s">
        <v>2437</v>
      </c>
      <c r="E276" s="371" t="s">
        <v>2438</v>
      </c>
      <c r="F276" s="90" t="s">
        <v>2439</v>
      </c>
      <c r="G276" s="91">
        <v>15.0</v>
      </c>
      <c r="H276" s="92">
        <v>15.0</v>
      </c>
      <c r="I276" s="90" t="s">
        <v>1653</v>
      </c>
      <c r="J276" s="58"/>
      <c r="K276" s="58"/>
      <c r="L276" s="58"/>
      <c r="M276" s="58"/>
      <c r="N276" s="58"/>
      <c r="O276" s="58"/>
      <c r="P276" s="58"/>
      <c r="Q276" s="58"/>
      <c r="R276" s="58"/>
      <c r="S276" s="58"/>
      <c r="T276" s="58"/>
      <c r="U276" s="58"/>
      <c r="V276" s="58"/>
      <c r="W276" s="58"/>
      <c r="X276" s="58"/>
      <c r="Y276" s="58"/>
      <c r="Z276" s="58"/>
    </row>
    <row r="277" ht="138.0" customHeight="1">
      <c r="A277" s="90" t="s">
        <v>1653</v>
      </c>
      <c r="B277" s="483" t="s">
        <v>100</v>
      </c>
      <c r="C277" s="90" t="s">
        <v>2436</v>
      </c>
      <c r="D277" s="90" t="s">
        <v>2440</v>
      </c>
      <c r="E277" s="371" t="s">
        <v>2441</v>
      </c>
      <c r="F277" s="90" t="s">
        <v>2442</v>
      </c>
      <c r="G277" s="91">
        <v>15.0</v>
      </c>
      <c r="H277" s="92">
        <v>15.0</v>
      </c>
      <c r="I277" s="90" t="s">
        <v>1653</v>
      </c>
      <c r="J277" s="58"/>
      <c r="K277" s="58"/>
      <c r="L277" s="58"/>
      <c r="M277" s="58"/>
      <c r="N277" s="58"/>
      <c r="O277" s="58"/>
      <c r="P277" s="58"/>
      <c r="Q277" s="58"/>
      <c r="R277" s="58"/>
      <c r="S277" s="58"/>
      <c r="T277" s="58"/>
      <c r="U277" s="58"/>
      <c r="V277" s="58"/>
      <c r="W277" s="58"/>
      <c r="X277" s="58"/>
      <c r="Y277" s="58"/>
      <c r="Z277" s="58"/>
    </row>
    <row r="278" ht="132.0" customHeight="1">
      <c r="A278" s="90" t="s">
        <v>2443</v>
      </c>
      <c r="B278" s="176" t="s">
        <v>100</v>
      </c>
      <c r="C278" s="75" t="s">
        <v>2444</v>
      </c>
      <c r="D278" s="90" t="s">
        <v>2445</v>
      </c>
      <c r="E278" s="362" t="s">
        <v>2446</v>
      </c>
      <c r="F278" s="75" t="s">
        <v>2447</v>
      </c>
      <c r="G278" s="76">
        <v>50.0</v>
      </c>
      <c r="H278" s="77">
        <v>12.5</v>
      </c>
      <c r="I278" s="92" t="s">
        <v>108</v>
      </c>
      <c r="J278" s="58"/>
      <c r="K278" s="58"/>
      <c r="L278" s="58"/>
      <c r="M278" s="58"/>
      <c r="N278" s="58"/>
      <c r="O278" s="58"/>
      <c r="P278" s="58"/>
      <c r="Q278" s="58"/>
      <c r="R278" s="58"/>
      <c r="S278" s="58"/>
      <c r="T278" s="58"/>
      <c r="U278" s="58"/>
      <c r="V278" s="58"/>
      <c r="W278" s="58"/>
      <c r="X278" s="58"/>
      <c r="Y278" s="58"/>
      <c r="Z278" s="58"/>
    </row>
    <row r="279" ht="122.25" customHeight="1">
      <c r="A279" s="90"/>
      <c r="B279" s="176"/>
      <c r="C279" s="75"/>
      <c r="D279" s="90" t="s">
        <v>2448</v>
      </c>
      <c r="E279" s="362" t="s">
        <v>2449</v>
      </c>
      <c r="F279" s="75" t="s">
        <v>1890</v>
      </c>
      <c r="G279" s="76">
        <v>50.0</v>
      </c>
      <c r="H279" s="77">
        <v>12.5</v>
      </c>
      <c r="I279" s="92" t="s">
        <v>108</v>
      </c>
      <c r="J279" s="58"/>
      <c r="K279" s="58"/>
      <c r="L279" s="58"/>
      <c r="M279" s="58"/>
      <c r="N279" s="58"/>
      <c r="O279" s="58"/>
      <c r="P279" s="58"/>
      <c r="Q279" s="58"/>
      <c r="R279" s="58"/>
      <c r="S279" s="58"/>
      <c r="T279" s="58"/>
      <c r="U279" s="58"/>
      <c r="V279" s="58"/>
      <c r="W279" s="58"/>
      <c r="X279" s="58"/>
      <c r="Y279" s="58"/>
      <c r="Z279" s="58"/>
    </row>
    <row r="280" ht="111.75" customHeight="1">
      <c r="A280" s="90"/>
      <c r="B280" s="176"/>
      <c r="C280" s="75"/>
      <c r="D280" s="90" t="s">
        <v>2450</v>
      </c>
      <c r="E280" s="362" t="s">
        <v>2451</v>
      </c>
      <c r="F280" s="75" t="s">
        <v>2452</v>
      </c>
      <c r="G280" s="76">
        <v>50.0</v>
      </c>
      <c r="H280" s="77">
        <v>12.5</v>
      </c>
      <c r="I280" s="92" t="s">
        <v>108</v>
      </c>
      <c r="J280" s="58"/>
      <c r="K280" s="58"/>
      <c r="L280" s="58"/>
      <c r="M280" s="58"/>
      <c r="N280" s="58"/>
      <c r="O280" s="58"/>
      <c r="P280" s="58"/>
      <c r="Q280" s="58"/>
      <c r="R280" s="58"/>
      <c r="S280" s="58"/>
      <c r="T280" s="58"/>
      <c r="U280" s="58"/>
      <c r="V280" s="58"/>
      <c r="W280" s="58"/>
      <c r="X280" s="58"/>
      <c r="Y280" s="58"/>
      <c r="Z280" s="58"/>
    </row>
    <row r="281" ht="129.0" customHeight="1">
      <c r="A281" s="90"/>
      <c r="B281" s="176"/>
      <c r="C281" s="75"/>
      <c r="D281" s="90" t="s">
        <v>2453</v>
      </c>
      <c r="E281" s="362" t="s">
        <v>2454</v>
      </c>
      <c r="F281" s="75" t="s">
        <v>2455</v>
      </c>
      <c r="G281" s="76">
        <v>50.0</v>
      </c>
      <c r="H281" s="77">
        <v>12.5</v>
      </c>
      <c r="I281" s="92" t="s">
        <v>108</v>
      </c>
      <c r="J281" s="58"/>
      <c r="K281" s="58"/>
      <c r="L281" s="58"/>
      <c r="M281" s="58"/>
      <c r="N281" s="58"/>
      <c r="O281" s="58"/>
      <c r="P281" s="58"/>
      <c r="Q281" s="58"/>
      <c r="R281" s="58"/>
      <c r="S281" s="58"/>
      <c r="T281" s="58"/>
      <c r="U281" s="58"/>
      <c r="V281" s="58"/>
      <c r="W281" s="58"/>
      <c r="X281" s="58"/>
      <c r="Y281" s="58"/>
      <c r="Z281" s="58"/>
    </row>
    <row r="282" ht="111.75" customHeight="1">
      <c r="A282" s="90"/>
      <c r="B282" s="176"/>
      <c r="C282" s="75"/>
      <c r="D282" s="90" t="s">
        <v>2456</v>
      </c>
      <c r="E282" s="362" t="s">
        <v>2457</v>
      </c>
      <c r="F282" s="75" t="s">
        <v>2458</v>
      </c>
      <c r="G282" s="76">
        <v>50.0</v>
      </c>
      <c r="H282" s="77">
        <v>12.5</v>
      </c>
      <c r="I282" s="92" t="s">
        <v>108</v>
      </c>
      <c r="J282" s="58"/>
      <c r="K282" s="58"/>
      <c r="L282" s="58"/>
      <c r="M282" s="58"/>
      <c r="N282" s="58"/>
      <c r="O282" s="58"/>
      <c r="P282" s="58"/>
      <c r="Q282" s="58"/>
      <c r="R282" s="58"/>
      <c r="S282" s="58"/>
      <c r="T282" s="58"/>
      <c r="U282" s="58"/>
      <c r="V282" s="58"/>
      <c r="W282" s="58"/>
      <c r="X282" s="58"/>
      <c r="Y282" s="58"/>
      <c r="Z282" s="58"/>
    </row>
    <row r="283" ht="60.75" customHeight="1">
      <c r="A283" s="90"/>
      <c r="B283" s="176"/>
      <c r="C283" s="75"/>
      <c r="D283" s="90" t="s">
        <v>2459</v>
      </c>
      <c r="E283" s="362" t="s">
        <v>2460</v>
      </c>
      <c r="F283" s="75" t="s">
        <v>2458</v>
      </c>
      <c r="G283" s="76">
        <v>50.0</v>
      </c>
      <c r="H283" s="77">
        <v>12.5</v>
      </c>
      <c r="I283" s="92" t="s">
        <v>108</v>
      </c>
      <c r="J283" s="58"/>
      <c r="K283" s="58"/>
      <c r="L283" s="58"/>
      <c r="M283" s="58"/>
      <c r="N283" s="58"/>
      <c r="O283" s="58"/>
      <c r="P283" s="58"/>
      <c r="Q283" s="58"/>
      <c r="R283" s="58"/>
      <c r="S283" s="58"/>
      <c r="T283" s="58"/>
      <c r="U283" s="58"/>
      <c r="V283" s="58"/>
      <c r="W283" s="58"/>
      <c r="X283" s="58"/>
      <c r="Y283" s="58"/>
      <c r="Z283" s="58"/>
    </row>
    <row r="284" ht="171.0" customHeight="1">
      <c r="A284" s="90"/>
      <c r="B284" s="176"/>
      <c r="C284" s="75"/>
      <c r="D284" s="90" t="s">
        <v>2461</v>
      </c>
      <c r="E284" s="362" t="s">
        <v>2462</v>
      </c>
      <c r="F284" s="75" t="s">
        <v>2463</v>
      </c>
      <c r="G284" s="76">
        <v>50.0</v>
      </c>
      <c r="H284" s="77">
        <v>12.5</v>
      </c>
      <c r="I284" s="92" t="s">
        <v>108</v>
      </c>
      <c r="J284" s="58"/>
      <c r="K284" s="58"/>
      <c r="L284" s="58"/>
      <c r="M284" s="58"/>
      <c r="N284" s="58"/>
      <c r="O284" s="58"/>
      <c r="P284" s="58"/>
      <c r="Q284" s="58"/>
      <c r="R284" s="58"/>
      <c r="S284" s="58"/>
      <c r="T284" s="58"/>
      <c r="U284" s="58"/>
      <c r="V284" s="58"/>
      <c r="W284" s="58"/>
      <c r="X284" s="58"/>
      <c r="Y284" s="58"/>
      <c r="Z284" s="58"/>
    </row>
    <row r="285" ht="111.75" customHeight="1">
      <c r="A285" s="90"/>
      <c r="B285" s="176"/>
      <c r="C285" s="75"/>
      <c r="D285" s="90" t="s">
        <v>2464</v>
      </c>
      <c r="E285" s="362" t="s">
        <v>2465</v>
      </c>
      <c r="F285" s="75" t="s">
        <v>1890</v>
      </c>
      <c r="G285" s="76">
        <v>50.0</v>
      </c>
      <c r="H285" s="77">
        <v>12.5</v>
      </c>
      <c r="I285" s="92" t="s">
        <v>108</v>
      </c>
      <c r="J285" s="58"/>
      <c r="K285" s="58"/>
      <c r="L285" s="58"/>
      <c r="M285" s="58"/>
      <c r="N285" s="58"/>
      <c r="O285" s="58"/>
      <c r="P285" s="58"/>
      <c r="Q285" s="58"/>
      <c r="R285" s="58"/>
      <c r="S285" s="58"/>
      <c r="T285" s="58"/>
      <c r="U285" s="58"/>
      <c r="V285" s="58"/>
      <c r="W285" s="58"/>
      <c r="X285" s="58"/>
      <c r="Y285" s="58"/>
      <c r="Z285" s="58"/>
    </row>
    <row r="286" ht="165.0" customHeight="1">
      <c r="A286" s="90"/>
      <c r="B286" s="176"/>
      <c r="C286" s="75"/>
      <c r="D286" s="90" t="s">
        <v>2466</v>
      </c>
      <c r="E286" s="362" t="s">
        <v>2467</v>
      </c>
      <c r="F286" s="75" t="s">
        <v>2468</v>
      </c>
      <c r="G286" s="76">
        <v>15.0</v>
      </c>
      <c r="H286" s="77">
        <v>3.75</v>
      </c>
      <c r="I286" s="92" t="s">
        <v>108</v>
      </c>
      <c r="J286" s="58"/>
      <c r="K286" s="58"/>
      <c r="L286" s="58"/>
      <c r="M286" s="58"/>
      <c r="N286" s="58"/>
      <c r="O286" s="58"/>
      <c r="P286" s="58"/>
      <c r="Q286" s="58"/>
      <c r="R286" s="58"/>
      <c r="S286" s="58"/>
      <c r="T286" s="58"/>
      <c r="U286" s="58"/>
      <c r="V286" s="58"/>
      <c r="W286" s="58"/>
      <c r="X286" s="58"/>
      <c r="Y286" s="58"/>
      <c r="Z286" s="58"/>
    </row>
    <row r="287" ht="144.0" customHeight="1">
      <c r="A287" s="90"/>
      <c r="B287" s="176"/>
      <c r="C287" s="75"/>
      <c r="D287" s="90" t="s">
        <v>2469</v>
      </c>
      <c r="E287" s="415" t="s">
        <v>2470</v>
      </c>
      <c r="F287" s="75" t="s">
        <v>2471</v>
      </c>
      <c r="G287" s="76">
        <v>15.0</v>
      </c>
      <c r="H287" s="77">
        <v>3.75</v>
      </c>
      <c r="I287" s="92" t="s">
        <v>108</v>
      </c>
      <c r="J287" s="58"/>
      <c r="K287" s="58"/>
      <c r="L287" s="58"/>
      <c r="M287" s="58"/>
      <c r="N287" s="58"/>
      <c r="O287" s="58"/>
      <c r="P287" s="58"/>
      <c r="Q287" s="58"/>
      <c r="R287" s="58"/>
      <c r="S287" s="58"/>
      <c r="T287" s="58"/>
      <c r="U287" s="58"/>
      <c r="V287" s="58"/>
      <c r="W287" s="58"/>
      <c r="X287" s="58"/>
      <c r="Y287" s="58"/>
      <c r="Z287" s="58"/>
    </row>
    <row r="288" ht="288.0" customHeight="1">
      <c r="A288" s="90"/>
      <c r="B288" s="176"/>
      <c r="C288" s="75"/>
      <c r="D288" s="90" t="s">
        <v>2472</v>
      </c>
      <c r="E288" s="362" t="s">
        <v>2473</v>
      </c>
      <c r="F288" s="75" t="s">
        <v>2474</v>
      </c>
      <c r="G288" s="76">
        <v>15.0</v>
      </c>
      <c r="H288" s="77">
        <v>3.75</v>
      </c>
      <c r="I288" s="92" t="s">
        <v>108</v>
      </c>
      <c r="J288" s="58"/>
      <c r="K288" s="58"/>
      <c r="L288" s="58"/>
      <c r="M288" s="58"/>
      <c r="N288" s="58"/>
      <c r="O288" s="58"/>
      <c r="P288" s="58"/>
      <c r="Q288" s="58"/>
      <c r="R288" s="58"/>
      <c r="S288" s="58"/>
      <c r="T288" s="58"/>
      <c r="U288" s="58"/>
      <c r="V288" s="58"/>
      <c r="W288" s="58"/>
      <c r="X288" s="58"/>
      <c r="Y288" s="58"/>
      <c r="Z288" s="58"/>
    </row>
    <row r="289" ht="105.0" customHeight="1">
      <c r="A289" s="90"/>
      <c r="B289" s="176"/>
      <c r="C289" s="75"/>
      <c r="D289" s="90" t="s">
        <v>2475</v>
      </c>
      <c r="E289" s="415" t="s">
        <v>2476</v>
      </c>
      <c r="F289" s="362" t="s">
        <v>2477</v>
      </c>
      <c r="G289" s="76">
        <v>15.0</v>
      </c>
      <c r="H289" s="77">
        <v>3.75</v>
      </c>
      <c r="I289" s="92" t="s">
        <v>108</v>
      </c>
      <c r="J289" s="58"/>
      <c r="K289" s="58"/>
      <c r="L289" s="58"/>
      <c r="M289" s="58"/>
      <c r="N289" s="58"/>
      <c r="O289" s="58"/>
      <c r="P289" s="58"/>
      <c r="Q289" s="58"/>
      <c r="R289" s="58"/>
      <c r="S289" s="58"/>
      <c r="T289" s="58"/>
      <c r="U289" s="58"/>
      <c r="V289" s="58"/>
      <c r="W289" s="58"/>
      <c r="X289" s="58"/>
      <c r="Y289" s="58"/>
      <c r="Z289" s="58"/>
    </row>
    <row r="290" ht="210.75" customHeight="1">
      <c r="A290" s="90"/>
      <c r="B290" s="176"/>
      <c r="C290" s="75"/>
      <c r="D290" s="90" t="s">
        <v>2478</v>
      </c>
      <c r="E290" s="362" t="s">
        <v>2479</v>
      </c>
      <c r="F290" s="75"/>
      <c r="G290" s="76">
        <v>15.0</v>
      </c>
      <c r="H290" s="77">
        <v>3.75</v>
      </c>
      <c r="I290" s="92" t="s">
        <v>108</v>
      </c>
      <c r="J290" s="58"/>
      <c r="K290" s="58"/>
      <c r="L290" s="58"/>
      <c r="M290" s="58"/>
      <c r="N290" s="58"/>
      <c r="O290" s="58"/>
      <c r="P290" s="58"/>
      <c r="Q290" s="58"/>
      <c r="R290" s="58"/>
      <c r="S290" s="58"/>
      <c r="T290" s="58"/>
      <c r="U290" s="58"/>
      <c r="V290" s="58"/>
      <c r="W290" s="58"/>
      <c r="X290" s="58"/>
      <c r="Y290" s="58"/>
      <c r="Z290" s="58"/>
    </row>
    <row r="291" ht="96.0" customHeight="1">
      <c r="A291" s="90"/>
      <c r="B291" s="176"/>
      <c r="C291" s="75"/>
      <c r="D291" s="90" t="s">
        <v>2480</v>
      </c>
      <c r="E291" s="362" t="s">
        <v>2481</v>
      </c>
      <c r="F291" s="75" t="s">
        <v>2482</v>
      </c>
      <c r="G291" s="76">
        <v>15.0</v>
      </c>
      <c r="H291" s="77">
        <v>3.75</v>
      </c>
      <c r="I291" s="92" t="s">
        <v>108</v>
      </c>
      <c r="J291" s="58"/>
      <c r="K291" s="58"/>
      <c r="L291" s="58"/>
      <c r="M291" s="58"/>
      <c r="N291" s="58"/>
      <c r="O291" s="58"/>
      <c r="P291" s="58"/>
      <c r="Q291" s="58"/>
      <c r="R291" s="58"/>
      <c r="S291" s="58"/>
      <c r="T291" s="58"/>
      <c r="U291" s="58"/>
      <c r="V291" s="58"/>
      <c r="W291" s="58"/>
      <c r="X291" s="58"/>
      <c r="Y291" s="58"/>
      <c r="Z291" s="58"/>
    </row>
    <row r="292" ht="132.0" customHeight="1">
      <c r="A292" s="90"/>
      <c r="B292" s="176"/>
      <c r="C292" s="75"/>
      <c r="D292" s="90" t="s">
        <v>2483</v>
      </c>
      <c r="E292" s="362" t="s">
        <v>2484</v>
      </c>
      <c r="F292" s="75" t="s">
        <v>2482</v>
      </c>
      <c r="G292" s="76">
        <v>15.0</v>
      </c>
      <c r="H292" s="77">
        <v>3.75</v>
      </c>
      <c r="I292" s="92" t="s">
        <v>108</v>
      </c>
      <c r="J292" s="58"/>
      <c r="K292" s="58"/>
      <c r="L292" s="58"/>
      <c r="M292" s="58"/>
      <c r="N292" s="58"/>
      <c r="O292" s="58"/>
      <c r="P292" s="58"/>
      <c r="Q292" s="58"/>
      <c r="R292" s="58"/>
      <c r="S292" s="58"/>
      <c r="T292" s="58"/>
      <c r="U292" s="58"/>
      <c r="V292" s="58"/>
      <c r="W292" s="58"/>
      <c r="X292" s="58"/>
      <c r="Y292" s="58"/>
      <c r="Z292" s="58"/>
    </row>
    <row r="293" ht="330.75" customHeight="1">
      <c r="A293" s="90"/>
      <c r="B293" s="176"/>
      <c r="C293" s="75"/>
      <c r="D293" s="90" t="s">
        <v>2485</v>
      </c>
      <c r="E293" s="362" t="s">
        <v>2486</v>
      </c>
      <c r="F293" s="75" t="s">
        <v>2487</v>
      </c>
      <c r="G293" s="76">
        <v>50.0</v>
      </c>
      <c r="H293" s="77">
        <v>12.5</v>
      </c>
      <c r="I293" s="92" t="s">
        <v>108</v>
      </c>
      <c r="J293" s="58"/>
      <c r="K293" s="58"/>
      <c r="L293" s="58"/>
      <c r="M293" s="58"/>
      <c r="N293" s="58"/>
      <c r="O293" s="58"/>
      <c r="P293" s="58"/>
      <c r="Q293" s="58"/>
      <c r="R293" s="58"/>
      <c r="S293" s="58"/>
      <c r="T293" s="58"/>
      <c r="U293" s="58"/>
      <c r="V293" s="58"/>
      <c r="W293" s="58"/>
      <c r="X293" s="58"/>
      <c r="Y293" s="58"/>
      <c r="Z293" s="58"/>
    </row>
    <row r="294" ht="132.0" customHeight="1">
      <c r="A294" s="90"/>
      <c r="B294" s="176"/>
      <c r="C294" s="75"/>
      <c r="D294" s="90" t="s">
        <v>2488</v>
      </c>
      <c r="E294" s="362" t="s">
        <v>2489</v>
      </c>
      <c r="F294" s="75" t="s">
        <v>2490</v>
      </c>
      <c r="G294" s="76">
        <v>15.0</v>
      </c>
      <c r="H294" s="77">
        <v>3.75</v>
      </c>
      <c r="I294" s="92" t="s">
        <v>108</v>
      </c>
      <c r="J294" s="58"/>
      <c r="K294" s="58"/>
      <c r="L294" s="58"/>
      <c r="M294" s="58"/>
      <c r="N294" s="58"/>
      <c r="O294" s="58"/>
      <c r="P294" s="58"/>
      <c r="Q294" s="58"/>
      <c r="R294" s="58"/>
      <c r="S294" s="58"/>
      <c r="T294" s="58"/>
      <c r="U294" s="58"/>
      <c r="V294" s="58"/>
      <c r="W294" s="58"/>
      <c r="X294" s="58"/>
      <c r="Y294" s="58"/>
      <c r="Z294" s="58"/>
    </row>
    <row r="295" ht="184.5" customHeight="1">
      <c r="A295" s="90" t="s">
        <v>2491</v>
      </c>
      <c r="B295" s="176" t="s">
        <v>100</v>
      </c>
      <c r="C295" s="75" t="s">
        <v>2492</v>
      </c>
      <c r="D295" s="90" t="s">
        <v>2493</v>
      </c>
      <c r="E295" s="362" t="s">
        <v>2494</v>
      </c>
      <c r="F295" s="75" t="s">
        <v>2495</v>
      </c>
      <c r="G295" s="76">
        <v>50.0</v>
      </c>
      <c r="H295" s="77">
        <v>16.67</v>
      </c>
      <c r="I295" s="92" t="s">
        <v>108</v>
      </c>
      <c r="J295" s="58"/>
      <c r="K295" s="58"/>
      <c r="L295" s="58"/>
      <c r="M295" s="58"/>
      <c r="N295" s="58"/>
      <c r="O295" s="58"/>
      <c r="P295" s="58"/>
      <c r="Q295" s="58"/>
      <c r="R295" s="58"/>
      <c r="S295" s="58"/>
      <c r="T295" s="58"/>
      <c r="U295" s="58"/>
      <c r="V295" s="58"/>
      <c r="W295" s="58"/>
      <c r="X295" s="58"/>
      <c r="Y295" s="58"/>
      <c r="Z295" s="58"/>
    </row>
    <row r="296" ht="258.75" customHeight="1">
      <c r="A296" s="90"/>
      <c r="B296" s="176"/>
      <c r="C296" s="75"/>
      <c r="D296" s="90" t="s">
        <v>2496</v>
      </c>
      <c r="E296" s="362" t="s">
        <v>2497</v>
      </c>
      <c r="F296" s="75" t="s">
        <v>2497</v>
      </c>
      <c r="G296" s="76">
        <v>15.0</v>
      </c>
      <c r="H296" s="77">
        <v>5.0</v>
      </c>
      <c r="I296" s="92" t="s">
        <v>108</v>
      </c>
      <c r="J296" s="58"/>
      <c r="K296" s="58"/>
      <c r="L296" s="58"/>
      <c r="M296" s="58"/>
      <c r="N296" s="58"/>
      <c r="O296" s="58"/>
      <c r="P296" s="58"/>
      <c r="Q296" s="58"/>
      <c r="R296" s="58"/>
      <c r="S296" s="58"/>
      <c r="T296" s="58"/>
      <c r="U296" s="58"/>
      <c r="V296" s="58"/>
      <c r="W296" s="58"/>
      <c r="X296" s="58"/>
      <c r="Y296" s="58"/>
      <c r="Z296" s="58"/>
    </row>
    <row r="297" ht="78.75" customHeight="1">
      <c r="A297" s="90"/>
      <c r="B297" s="176"/>
      <c r="C297" s="75"/>
      <c r="D297" s="90" t="s">
        <v>2498</v>
      </c>
      <c r="E297" s="362" t="s">
        <v>2499</v>
      </c>
      <c r="F297" s="75"/>
      <c r="G297" s="76">
        <v>15.0</v>
      </c>
      <c r="H297" s="77">
        <v>5.0</v>
      </c>
      <c r="I297" s="92" t="s">
        <v>108</v>
      </c>
      <c r="J297" s="58"/>
      <c r="K297" s="58"/>
      <c r="L297" s="58"/>
      <c r="M297" s="58"/>
      <c r="N297" s="58"/>
      <c r="O297" s="58"/>
      <c r="P297" s="58"/>
      <c r="Q297" s="58"/>
      <c r="R297" s="58"/>
      <c r="S297" s="58"/>
      <c r="T297" s="58"/>
      <c r="U297" s="58"/>
      <c r="V297" s="58"/>
      <c r="W297" s="58"/>
      <c r="X297" s="58"/>
      <c r="Y297" s="58"/>
      <c r="Z297" s="58"/>
    </row>
    <row r="298" ht="39.0" customHeight="1">
      <c r="A298" s="90"/>
      <c r="B298" s="176"/>
      <c r="C298" s="75"/>
      <c r="D298" s="90" t="s">
        <v>2500</v>
      </c>
      <c r="E298" s="362"/>
      <c r="F298" s="75"/>
      <c r="G298" s="76"/>
      <c r="H298" s="77"/>
      <c r="I298" s="92" t="s">
        <v>108</v>
      </c>
      <c r="J298" s="58"/>
      <c r="K298" s="58"/>
      <c r="L298" s="58"/>
      <c r="M298" s="58"/>
      <c r="N298" s="58"/>
      <c r="O298" s="58"/>
      <c r="P298" s="58"/>
      <c r="Q298" s="58"/>
      <c r="R298" s="58"/>
      <c r="S298" s="58"/>
      <c r="T298" s="58"/>
      <c r="U298" s="58"/>
      <c r="V298" s="58"/>
      <c r="W298" s="58"/>
      <c r="X298" s="58"/>
      <c r="Y298" s="58"/>
      <c r="Z298" s="58"/>
    </row>
    <row r="299" ht="144.75" customHeight="1">
      <c r="A299" s="90" t="s">
        <v>2501</v>
      </c>
      <c r="B299" s="176" t="s">
        <v>100</v>
      </c>
      <c r="C299" s="75" t="s">
        <v>2502</v>
      </c>
      <c r="D299" s="90" t="s">
        <v>2503</v>
      </c>
      <c r="E299" s="362" t="s">
        <v>2504</v>
      </c>
      <c r="F299" s="75"/>
      <c r="G299" s="76">
        <v>15.0</v>
      </c>
      <c r="H299" s="77">
        <v>15.0</v>
      </c>
      <c r="I299" s="92" t="s">
        <v>108</v>
      </c>
      <c r="J299" s="58"/>
      <c r="K299" s="58"/>
      <c r="L299" s="58"/>
      <c r="M299" s="58"/>
      <c r="N299" s="58"/>
      <c r="O299" s="58"/>
      <c r="P299" s="58"/>
      <c r="Q299" s="58"/>
      <c r="R299" s="58"/>
      <c r="S299" s="58"/>
      <c r="T299" s="58"/>
      <c r="U299" s="58"/>
      <c r="V299" s="58"/>
      <c r="W299" s="58"/>
      <c r="X299" s="58"/>
      <c r="Y299" s="58"/>
      <c r="Z299" s="58"/>
    </row>
    <row r="300" ht="184.5" customHeight="1">
      <c r="A300" s="90" t="s">
        <v>2505</v>
      </c>
      <c r="B300" s="176" t="s">
        <v>100</v>
      </c>
      <c r="C300" s="75" t="s">
        <v>2506</v>
      </c>
      <c r="D300" s="90" t="s">
        <v>2424</v>
      </c>
      <c r="E300" s="362" t="s">
        <v>2507</v>
      </c>
      <c r="F300" s="75" t="s">
        <v>2426</v>
      </c>
      <c r="G300" s="76">
        <v>15.0</v>
      </c>
      <c r="H300" s="77">
        <v>3.75</v>
      </c>
      <c r="I300" s="92" t="s">
        <v>108</v>
      </c>
      <c r="J300" s="58"/>
      <c r="K300" s="58"/>
      <c r="L300" s="58"/>
      <c r="M300" s="58"/>
      <c r="N300" s="58"/>
      <c r="O300" s="58"/>
      <c r="P300" s="58"/>
      <c r="Q300" s="58"/>
      <c r="R300" s="58"/>
      <c r="S300" s="58"/>
      <c r="T300" s="58"/>
      <c r="U300" s="58"/>
      <c r="V300" s="58"/>
      <c r="W300" s="58"/>
      <c r="X300" s="58"/>
      <c r="Y300" s="58"/>
      <c r="Z300" s="58"/>
    </row>
    <row r="301" ht="409.5" customHeight="1">
      <c r="A301" s="90" t="s">
        <v>2508</v>
      </c>
      <c r="B301" s="176" t="s">
        <v>100</v>
      </c>
      <c r="C301" s="75" t="s">
        <v>2509</v>
      </c>
      <c r="D301" s="90" t="s">
        <v>2510</v>
      </c>
      <c r="E301" s="362" t="s">
        <v>2511</v>
      </c>
      <c r="F301" s="75" t="s">
        <v>2512</v>
      </c>
      <c r="G301" s="76">
        <v>15.0</v>
      </c>
      <c r="H301" s="77">
        <v>15.0</v>
      </c>
      <c r="I301" s="92" t="s">
        <v>108</v>
      </c>
      <c r="J301" s="58"/>
      <c r="K301" s="58"/>
      <c r="L301" s="58"/>
      <c r="M301" s="58"/>
      <c r="N301" s="58"/>
      <c r="O301" s="58"/>
      <c r="P301" s="58"/>
      <c r="Q301" s="58"/>
      <c r="R301" s="58"/>
      <c r="S301" s="58"/>
      <c r="T301" s="58"/>
      <c r="U301" s="58"/>
      <c r="V301" s="58"/>
      <c r="W301" s="58"/>
      <c r="X301" s="58"/>
      <c r="Y301" s="58"/>
      <c r="Z301" s="58"/>
    </row>
    <row r="302" ht="105.0" customHeight="1">
      <c r="A302" s="87" t="s">
        <v>2513</v>
      </c>
      <c r="B302" s="483" t="s">
        <v>100</v>
      </c>
      <c r="C302" s="90" t="s">
        <v>2514</v>
      </c>
      <c r="D302" s="90" t="s">
        <v>2515</v>
      </c>
      <c r="E302" s="371" t="s">
        <v>2516</v>
      </c>
      <c r="F302" s="371" t="s">
        <v>2517</v>
      </c>
      <c r="G302" s="91">
        <v>15.0</v>
      </c>
      <c r="H302" s="92">
        <v>7.5</v>
      </c>
      <c r="I302" s="92" t="s">
        <v>949</v>
      </c>
      <c r="J302" s="58"/>
      <c r="K302" s="58"/>
      <c r="L302" s="58"/>
      <c r="M302" s="58"/>
      <c r="N302" s="58"/>
      <c r="O302" s="58"/>
      <c r="P302" s="58"/>
      <c r="Q302" s="58"/>
      <c r="R302" s="58"/>
      <c r="S302" s="58"/>
      <c r="T302" s="58"/>
      <c r="U302" s="58"/>
      <c r="V302" s="58"/>
      <c r="W302" s="58"/>
      <c r="X302" s="58"/>
      <c r="Y302" s="58"/>
      <c r="Z302" s="58"/>
    </row>
    <row r="303" ht="207.0" customHeight="1">
      <c r="A303" s="87" t="s">
        <v>2513</v>
      </c>
      <c r="B303" s="483" t="s">
        <v>100</v>
      </c>
      <c r="C303" s="490" t="s">
        <v>2518</v>
      </c>
      <c r="D303" s="90" t="s">
        <v>2519</v>
      </c>
      <c r="E303" s="371" t="s">
        <v>2520</v>
      </c>
      <c r="F303" s="90" t="s">
        <v>2521</v>
      </c>
      <c r="G303" s="91">
        <v>15.0</v>
      </c>
      <c r="H303" s="92">
        <v>7.5</v>
      </c>
      <c r="I303" s="92" t="s">
        <v>949</v>
      </c>
      <c r="J303" s="58"/>
      <c r="K303" s="58"/>
      <c r="L303" s="58"/>
      <c r="M303" s="58"/>
      <c r="N303" s="58"/>
      <c r="O303" s="58"/>
      <c r="P303" s="58"/>
      <c r="Q303" s="58"/>
      <c r="R303" s="58"/>
      <c r="S303" s="58"/>
      <c r="T303" s="58"/>
      <c r="U303" s="58"/>
      <c r="V303" s="58"/>
      <c r="W303" s="58"/>
      <c r="X303" s="58"/>
      <c r="Y303" s="58"/>
      <c r="Z303" s="58"/>
    </row>
    <row r="304" ht="52.5" customHeight="1">
      <c r="A304" s="87" t="s">
        <v>2513</v>
      </c>
      <c r="B304" s="483" t="s">
        <v>100</v>
      </c>
      <c r="C304" s="90" t="s">
        <v>2518</v>
      </c>
      <c r="D304" s="491" t="s">
        <v>2522</v>
      </c>
      <c r="E304" s="371" t="s">
        <v>2523</v>
      </c>
      <c r="F304" s="371" t="s">
        <v>2524</v>
      </c>
      <c r="G304" s="91">
        <v>15.0</v>
      </c>
      <c r="H304" s="92">
        <v>7.5</v>
      </c>
      <c r="I304" s="92" t="s">
        <v>949</v>
      </c>
      <c r="J304" s="58"/>
      <c r="K304" s="58"/>
      <c r="L304" s="58"/>
      <c r="M304" s="58"/>
      <c r="N304" s="58"/>
      <c r="O304" s="58"/>
      <c r="P304" s="58"/>
      <c r="Q304" s="58"/>
      <c r="R304" s="58"/>
      <c r="S304" s="58"/>
      <c r="T304" s="58"/>
      <c r="U304" s="58"/>
      <c r="V304" s="58"/>
      <c r="W304" s="58"/>
      <c r="X304" s="58"/>
      <c r="Y304" s="58"/>
      <c r="Z304" s="58"/>
    </row>
    <row r="305" ht="224.25" customHeight="1">
      <c r="A305" s="87" t="s">
        <v>2513</v>
      </c>
      <c r="B305" s="483" t="s">
        <v>100</v>
      </c>
      <c r="C305" s="90" t="s">
        <v>2525</v>
      </c>
      <c r="D305" s="90" t="s">
        <v>2526</v>
      </c>
      <c r="E305" s="371" t="s">
        <v>2527</v>
      </c>
      <c r="F305" s="90" t="s">
        <v>2528</v>
      </c>
      <c r="G305" s="91">
        <v>15.0</v>
      </c>
      <c r="H305" s="92">
        <v>7.5</v>
      </c>
      <c r="I305" s="92" t="s">
        <v>949</v>
      </c>
      <c r="J305" s="58"/>
      <c r="K305" s="58"/>
      <c r="L305" s="58"/>
      <c r="M305" s="58"/>
      <c r="N305" s="58"/>
      <c r="O305" s="58"/>
      <c r="P305" s="58"/>
      <c r="Q305" s="58"/>
      <c r="R305" s="58"/>
      <c r="S305" s="58"/>
      <c r="T305" s="58"/>
      <c r="U305" s="58"/>
      <c r="V305" s="58"/>
      <c r="W305" s="58"/>
      <c r="X305" s="58"/>
      <c r="Y305" s="58"/>
      <c r="Z305" s="58"/>
    </row>
    <row r="306" ht="66.0" customHeight="1">
      <c r="A306" s="87" t="s">
        <v>2529</v>
      </c>
      <c r="B306" s="483" t="s">
        <v>100</v>
      </c>
      <c r="C306" s="90" t="s">
        <v>2530</v>
      </c>
      <c r="D306" s="90" t="s">
        <v>2531</v>
      </c>
      <c r="E306" s="371" t="s">
        <v>2532</v>
      </c>
      <c r="F306" s="90"/>
      <c r="G306" s="91">
        <v>15.0</v>
      </c>
      <c r="H306" s="92">
        <v>15.0</v>
      </c>
      <c r="I306" s="92" t="s">
        <v>2533</v>
      </c>
      <c r="J306" s="58"/>
      <c r="K306" s="58"/>
      <c r="L306" s="58"/>
      <c r="M306" s="58"/>
      <c r="N306" s="58"/>
      <c r="O306" s="58"/>
      <c r="P306" s="58"/>
      <c r="Q306" s="58"/>
      <c r="R306" s="58"/>
      <c r="S306" s="58"/>
      <c r="T306" s="58"/>
      <c r="U306" s="58"/>
      <c r="V306" s="58"/>
      <c r="W306" s="58"/>
      <c r="X306" s="58"/>
      <c r="Y306" s="58"/>
      <c r="Z306" s="58"/>
    </row>
    <row r="307" ht="66.0" customHeight="1">
      <c r="A307" s="87" t="s">
        <v>2529</v>
      </c>
      <c r="B307" s="483" t="s">
        <v>100</v>
      </c>
      <c r="C307" s="90" t="s">
        <v>2534</v>
      </c>
      <c r="D307" s="90" t="s">
        <v>2535</v>
      </c>
      <c r="E307" s="371" t="s">
        <v>2532</v>
      </c>
      <c r="F307" s="90"/>
      <c r="G307" s="91">
        <v>15.0</v>
      </c>
      <c r="H307" s="92">
        <v>15.0</v>
      </c>
      <c r="I307" s="92" t="s">
        <v>2533</v>
      </c>
      <c r="J307" s="58"/>
      <c r="K307" s="58"/>
      <c r="L307" s="58"/>
      <c r="M307" s="58"/>
      <c r="N307" s="58"/>
      <c r="O307" s="58"/>
      <c r="P307" s="58"/>
      <c r="Q307" s="58"/>
      <c r="R307" s="58"/>
      <c r="S307" s="58"/>
      <c r="T307" s="58"/>
      <c r="U307" s="58"/>
      <c r="V307" s="58"/>
      <c r="W307" s="58"/>
      <c r="X307" s="58"/>
      <c r="Y307" s="58"/>
      <c r="Z307" s="58"/>
    </row>
    <row r="308" ht="261.75" customHeight="1">
      <c r="A308" s="101" t="s">
        <v>2536</v>
      </c>
      <c r="B308" s="176" t="s">
        <v>100</v>
      </c>
      <c r="C308" s="75" t="s">
        <v>2537</v>
      </c>
      <c r="D308" s="75" t="s">
        <v>2538</v>
      </c>
      <c r="E308" s="362" t="s">
        <v>2539</v>
      </c>
      <c r="F308" s="75" t="s">
        <v>1890</v>
      </c>
      <c r="G308" s="76">
        <v>50.0</v>
      </c>
      <c r="H308" s="77">
        <v>50.0</v>
      </c>
      <c r="I308" s="92" t="s">
        <v>113</v>
      </c>
      <c r="J308" s="58"/>
      <c r="K308" s="58"/>
      <c r="L308" s="58"/>
      <c r="M308" s="58"/>
      <c r="N308" s="58"/>
      <c r="O308" s="58"/>
      <c r="P308" s="58"/>
      <c r="Q308" s="58"/>
      <c r="R308" s="58"/>
      <c r="S308" s="58"/>
      <c r="T308" s="58"/>
      <c r="U308" s="58"/>
      <c r="V308" s="58"/>
      <c r="W308" s="58"/>
      <c r="X308" s="58"/>
      <c r="Y308" s="58"/>
      <c r="Z308" s="58"/>
    </row>
    <row r="309" ht="123.75" customHeight="1">
      <c r="A309" s="101" t="s">
        <v>2536</v>
      </c>
      <c r="B309" s="176" t="s">
        <v>100</v>
      </c>
      <c r="C309" s="75" t="s">
        <v>2537</v>
      </c>
      <c r="D309" s="75" t="s">
        <v>2540</v>
      </c>
      <c r="E309" s="362" t="s">
        <v>2541</v>
      </c>
      <c r="F309" s="75" t="s">
        <v>2542</v>
      </c>
      <c r="G309" s="76">
        <v>15.0</v>
      </c>
      <c r="H309" s="77">
        <v>15.0</v>
      </c>
      <c r="I309" s="92" t="s">
        <v>113</v>
      </c>
      <c r="J309" s="58"/>
      <c r="K309" s="58"/>
      <c r="L309" s="58"/>
      <c r="M309" s="58"/>
      <c r="N309" s="58"/>
      <c r="O309" s="58"/>
      <c r="P309" s="58"/>
      <c r="Q309" s="58"/>
      <c r="R309" s="58"/>
      <c r="S309" s="58"/>
      <c r="T309" s="58"/>
      <c r="U309" s="58"/>
      <c r="V309" s="58"/>
      <c r="W309" s="58"/>
      <c r="X309" s="58"/>
      <c r="Y309" s="58"/>
      <c r="Z309" s="58"/>
    </row>
    <row r="310" ht="151.5" customHeight="1">
      <c r="A310" s="101" t="s">
        <v>2543</v>
      </c>
      <c r="B310" s="176" t="s">
        <v>100</v>
      </c>
      <c r="C310" s="75" t="s">
        <v>2544</v>
      </c>
      <c r="D310" s="75" t="s">
        <v>2545</v>
      </c>
      <c r="E310" s="362" t="s">
        <v>2546</v>
      </c>
      <c r="F310" s="362" t="s">
        <v>2547</v>
      </c>
      <c r="G310" s="76">
        <v>15.0</v>
      </c>
      <c r="H310" s="77">
        <v>3.75</v>
      </c>
      <c r="I310" s="92" t="s">
        <v>113</v>
      </c>
      <c r="J310" s="58"/>
      <c r="K310" s="58"/>
      <c r="L310" s="58"/>
      <c r="M310" s="58"/>
      <c r="N310" s="58"/>
      <c r="O310" s="58"/>
      <c r="P310" s="58"/>
      <c r="Q310" s="58"/>
      <c r="R310" s="58"/>
      <c r="S310" s="58"/>
      <c r="T310" s="58"/>
      <c r="U310" s="58"/>
      <c r="V310" s="58"/>
      <c r="W310" s="58"/>
      <c r="X310" s="58"/>
      <c r="Y310" s="58"/>
      <c r="Z310" s="58"/>
    </row>
    <row r="311" ht="138.0" customHeight="1">
      <c r="A311" s="101" t="s">
        <v>2543</v>
      </c>
      <c r="B311" s="176" t="s">
        <v>100</v>
      </c>
      <c r="C311" s="75" t="s">
        <v>2544</v>
      </c>
      <c r="D311" s="75" t="s">
        <v>2548</v>
      </c>
      <c r="E311" s="362" t="s">
        <v>2549</v>
      </c>
      <c r="F311" s="362" t="s">
        <v>2550</v>
      </c>
      <c r="G311" s="76">
        <v>15.0</v>
      </c>
      <c r="H311" s="77">
        <v>3.75</v>
      </c>
      <c r="I311" s="92" t="s">
        <v>113</v>
      </c>
      <c r="J311" s="58"/>
      <c r="K311" s="58"/>
      <c r="L311" s="58"/>
      <c r="M311" s="58"/>
      <c r="N311" s="58"/>
      <c r="O311" s="58"/>
      <c r="P311" s="58"/>
      <c r="Q311" s="58"/>
      <c r="R311" s="58"/>
      <c r="S311" s="58"/>
      <c r="T311" s="58"/>
      <c r="U311" s="58"/>
      <c r="V311" s="58"/>
      <c r="W311" s="58"/>
      <c r="X311" s="58"/>
      <c r="Y311" s="58"/>
      <c r="Z311" s="58"/>
    </row>
    <row r="312" ht="151.5" customHeight="1">
      <c r="A312" s="101" t="s">
        <v>2543</v>
      </c>
      <c r="B312" s="176" t="s">
        <v>100</v>
      </c>
      <c r="C312" s="75" t="s">
        <v>2544</v>
      </c>
      <c r="D312" s="75" t="s">
        <v>2551</v>
      </c>
      <c r="E312" s="362" t="s">
        <v>2552</v>
      </c>
      <c r="F312" s="362" t="s">
        <v>2553</v>
      </c>
      <c r="G312" s="76">
        <v>15.0</v>
      </c>
      <c r="H312" s="77">
        <v>3.75</v>
      </c>
      <c r="I312" s="92" t="s">
        <v>113</v>
      </c>
      <c r="J312" s="58"/>
      <c r="K312" s="58"/>
      <c r="L312" s="58"/>
      <c r="M312" s="58"/>
      <c r="N312" s="58"/>
      <c r="O312" s="58"/>
      <c r="P312" s="58"/>
      <c r="Q312" s="58"/>
      <c r="R312" s="58"/>
      <c r="S312" s="58"/>
      <c r="T312" s="58"/>
      <c r="U312" s="58"/>
      <c r="V312" s="58"/>
      <c r="W312" s="58"/>
      <c r="X312" s="58"/>
      <c r="Y312" s="58"/>
      <c r="Z312" s="58"/>
    </row>
    <row r="313" ht="192.75" customHeight="1">
      <c r="A313" s="101" t="s">
        <v>2543</v>
      </c>
      <c r="B313" s="176" t="s">
        <v>100</v>
      </c>
      <c r="C313" s="75" t="s">
        <v>2544</v>
      </c>
      <c r="D313" s="75" t="s">
        <v>2554</v>
      </c>
      <c r="E313" s="362" t="s">
        <v>2555</v>
      </c>
      <c r="F313" s="75" t="s">
        <v>2556</v>
      </c>
      <c r="G313" s="76">
        <v>15.0</v>
      </c>
      <c r="H313" s="77">
        <v>3.75</v>
      </c>
      <c r="I313" s="92" t="s">
        <v>113</v>
      </c>
      <c r="J313" s="58"/>
      <c r="K313" s="58"/>
      <c r="L313" s="58"/>
      <c r="M313" s="58"/>
      <c r="N313" s="58"/>
      <c r="O313" s="58"/>
      <c r="P313" s="58"/>
      <c r="Q313" s="58"/>
      <c r="R313" s="58"/>
      <c r="S313" s="58"/>
      <c r="T313" s="58"/>
      <c r="U313" s="58"/>
      <c r="V313" s="58"/>
      <c r="W313" s="58"/>
      <c r="X313" s="58"/>
      <c r="Y313" s="58"/>
      <c r="Z313" s="58"/>
    </row>
    <row r="314" ht="123.75" customHeight="1">
      <c r="A314" s="101" t="s">
        <v>2543</v>
      </c>
      <c r="B314" s="176" t="s">
        <v>100</v>
      </c>
      <c r="C314" s="75" t="s">
        <v>2544</v>
      </c>
      <c r="D314" s="75" t="s">
        <v>2557</v>
      </c>
      <c r="E314" s="362" t="s">
        <v>2558</v>
      </c>
      <c r="F314" s="362" t="s">
        <v>2559</v>
      </c>
      <c r="G314" s="76">
        <v>15.0</v>
      </c>
      <c r="H314" s="77">
        <v>3.75</v>
      </c>
      <c r="I314" s="92" t="s">
        <v>113</v>
      </c>
      <c r="J314" s="58"/>
      <c r="K314" s="58"/>
      <c r="L314" s="58"/>
      <c r="M314" s="58"/>
      <c r="N314" s="58"/>
      <c r="O314" s="58"/>
      <c r="P314" s="58"/>
      <c r="Q314" s="58"/>
      <c r="R314" s="58"/>
      <c r="S314" s="58"/>
      <c r="T314" s="58"/>
      <c r="U314" s="58"/>
      <c r="V314" s="58"/>
      <c r="W314" s="58"/>
      <c r="X314" s="58"/>
      <c r="Y314" s="58"/>
      <c r="Z314" s="58"/>
    </row>
    <row r="315" ht="179.25" customHeight="1">
      <c r="A315" s="492" t="s">
        <v>2560</v>
      </c>
      <c r="B315" s="283" t="s">
        <v>964</v>
      </c>
      <c r="C315" s="278" t="s">
        <v>2561</v>
      </c>
      <c r="D315" s="278" t="s">
        <v>2562</v>
      </c>
      <c r="E315" s="484" t="s">
        <v>2563</v>
      </c>
      <c r="F315" s="278" t="s">
        <v>2564</v>
      </c>
      <c r="G315" s="292">
        <v>50.0</v>
      </c>
      <c r="H315" s="286">
        <v>16.67</v>
      </c>
      <c r="I315" s="92" t="s">
        <v>2565</v>
      </c>
      <c r="J315" s="58"/>
      <c r="K315" s="58"/>
      <c r="L315" s="58"/>
      <c r="M315" s="58"/>
      <c r="N315" s="58"/>
      <c r="O315" s="58"/>
      <c r="P315" s="58"/>
      <c r="Q315" s="58"/>
      <c r="R315" s="58"/>
      <c r="S315" s="58"/>
      <c r="T315" s="58"/>
      <c r="U315" s="58"/>
      <c r="V315" s="58"/>
      <c r="W315" s="58"/>
      <c r="X315" s="58"/>
      <c r="Y315" s="58"/>
      <c r="Z315" s="58"/>
    </row>
    <row r="316" ht="54.75" customHeight="1">
      <c r="A316" s="492" t="s">
        <v>2566</v>
      </c>
      <c r="B316" s="283" t="s">
        <v>964</v>
      </c>
      <c r="C316" s="278" t="s">
        <v>2567</v>
      </c>
      <c r="D316" s="278" t="s">
        <v>2568</v>
      </c>
      <c r="E316" s="278" t="s">
        <v>2569</v>
      </c>
      <c r="F316" s="278" t="s">
        <v>2076</v>
      </c>
      <c r="G316" s="292">
        <v>15.0</v>
      </c>
      <c r="H316" s="286">
        <v>3.0</v>
      </c>
      <c r="I316" s="92" t="s">
        <v>2565</v>
      </c>
      <c r="J316" s="58"/>
      <c r="K316" s="58"/>
      <c r="L316" s="58"/>
      <c r="M316" s="58"/>
      <c r="N316" s="58"/>
      <c r="O316" s="58"/>
      <c r="P316" s="58"/>
      <c r="Q316" s="58"/>
      <c r="R316" s="58"/>
      <c r="S316" s="58"/>
      <c r="T316" s="58"/>
      <c r="U316" s="58"/>
      <c r="V316" s="58"/>
      <c r="W316" s="58"/>
      <c r="X316" s="58"/>
      <c r="Y316" s="58"/>
      <c r="Z316" s="58"/>
    </row>
    <row r="317" ht="165.0" customHeight="1">
      <c r="A317" s="492" t="s">
        <v>2570</v>
      </c>
      <c r="B317" s="283" t="s">
        <v>964</v>
      </c>
      <c r="C317" s="278" t="s">
        <v>2571</v>
      </c>
      <c r="D317" s="278" t="s">
        <v>2572</v>
      </c>
      <c r="E317" s="484" t="s">
        <v>2573</v>
      </c>
      <c r="F317" s="278" t="s">
        <v>2574</v>
      </c>
      <c r="G317" s="292">
        <v>50.0</v>
      </c>
      <c r="H317" s="286">
        <v>50.0</v>
      </c>
      <c r="I317" s="92" t="s">
        <v>2565</v>
      </c>
      <c r="J317" s="58"/>
      <c r="K317" s="58"/>
      <c r="L317" s="58"/>
      <c r="M317" s="58"/>
      <c r="N317" s="58"/>
      <c r="O317" s="58"/>
      <c r="P317" s="58"/>
      <c r="Q317" s="58"/>
      <c r="R317" s="58"/>
      <c r="S317" s="58"/>
      <c r="T317" s="58"/>
      <c r="U317" s="58"/>
      <c r="V317" s="58"/>
      <c r="W317" s="58"/>
      <c r="X317" s="58"/>
      <c r="Y317" s="58"/>
      <c r="Z317" s="58"/>
    </row>
    <row r="318" ht="123.75" customHeight="1">
      <c r="A318" s="492" t="s">
        <v>2575</v>
      </c>
      <c r="B318" s="283" t="s">
        <v>964</v>
      </c>
      <c r="C318" s="278" t="s">
        <v>2571</v>
      </c>
      <c r="D318" s="278" t="s">
        <v>2576</v>
      </c>
      <c r="E318" s="484" t="s">
        <v>2577</v>
      </c>
      <c r="F318" s="278" t="s">
        <v>2578</v>
      </c>
      <c r="G318" s="292">
        <v>15.0</v>
      </c>
      <c r="H318" s="286">
        <v>15.0</v>
      </c>
      <c r="I318" s="92" t="s">
        <v>2565</v>
      </c>
      <c r="J318" s="58"/>
      <c r="K318" s="58"/>
      <c r="L318" s="58"/>
      <c r="M318" s="58"/>
      <c r="N318" s="58"/>
      <c r="O318" s="58"/>
      <c r="P318" s="58"/>
      <c r="Q318" s="58"/>
      <c r="R318" s="58"/>
      <c r="S318" s="58"/>
      <c r="T318" s="58"/>
      <c r="U318" s="58"/>
      <c r="V318" s="58"/>
      <c r="W318" s="58"/>
      <c r="X318" s="58"/>
      <c r="Y318" s="58"/>
      <c r="Z318" s="58"/>
    </row>
    <row r="319" ht="110.25" customHeight="1">
      <c r="A319" s="492" t="s">
        <v>2579</v>
      </c>
      <c r="B319" s="283" t="s">
        <v>964</v>
      </c>
      <c r="C319" s="278" t="s">
        <v>2571</v>
      </c>
      <c r="D319" s="278" t="s">
        <v>2580</v>
      </c>
      <c r="E319" s="484" t="s">
        <v>2581</v>
      </c>
      <c r="F319" s="278" t="s">
        <v>2578</v>
      </c>
      <c r="G319" s="292">
        <v>15.0</v>
      </c>
      <c r="H319" s="286">
        <v>15.0</v>
      </c>
      <c r="I319" s="92" t="s">
        <v>2565</v>
      </c>
      <c r="J319" s="58"/>
      <c r="K319" s="58"/>
      <c r="L319" s="58"/>
      <c r="M319" s="58"/>
      <c r="N319" s="58"/>
      <c r="O319" s="58"/>
      <c r="P319" s="58"/>
      <c r="Q319" s="58"/>
      <c r="R319" s="58"/>
      <c r="S319" s="58"/>
      <c r="T319" s="58"/>
      <c r="U319" s="58"/>
      <c r="V319" s="58"/>
      <c r="W319" s="58"/>
      <c r="X319" s="58"/>
      <c r="Y319" s="58"/>
      <c r="Z319" s="58"/>
    </row>
    <row r="320" ht="151.5" customHeight="1">
      <c r="A320" s="283" t="s">
        <v>2582</v>
      </c>
      <c r="B320" s="283" t="s">
        <v>964</v>
      </c>
      <c r="C320" s="278" t="s">
        <v>2571</v>
      </c>
      <c r="D320" s="278" t="s">
        <v>2583</v>
      </c>
      <c r="E320" s="484" t="s">
        <v>2584</v>
      </c>
      <c r="F320" s="278" t="s">
        <v>2578</v>
      </c>
      <c r="G320" s="292">
        <v>15.0</v>
      </c>
      <c r="H320" s="286">
        <v>15.0</v>
      </c>
      <c r="I320" s="92" t="s">
        <v>2565</v>
      </c>
      <c r="J320" s="58"/>
      <c r="K320" s="58"/>
      <c r="L320" s="58"/>
      <c r="M320" s="58"/>
      <c r="N320" s="58"/>
      <c r="O320" s="58"/>
      <c r="P320" s="58"/>
      <c r="Q320" s="58"/>
      <c r="R320" s="58"/>
      <c r="S320" s="58"/>
      <c r="T320" s="58"/>
      <c r="U320" s="58"/>
      <c r="V320" s="58"/>
      <c r="W320" s="58"/>
      <c r="X320" s="58"/>
      <c r="Y320" s="58"/>
      <c r="Z320" s="58"/>
    </row>
    <row r="321" ht="110.25" customHeight="1">
      <c r="A321" s="283" t="s">
        <v>2585</v>
      </c>
      <c r="B321" s="283" t="s">
        <v>964</v>
      </c>
      <c r="C321" s="278" t="s">
        <v>2571</v>
      </c>
      <c r="D321" s="278" t="s">
        <v>2586</v>
      </c>
      <c r="E321" s="484" t="s">
        <v>2587</v>
      </c>
      <c r="F321" s="278" t="s">
        <v>2272</v>
      </c>
      <c r="G321" s="292">
        <v>50.0</v>
      </c>
      <c r="H321" s="286">
        <v>50.0</v>
      </c>
      <c r="I321" s="92" t="s">
        <v>2565</v>
      </c>
      <c r="J321" s="58"/>
      <c r="K321" s="58"/>
      <c r="L321" s="58"/>
      <c r="M321" s="58"/>
      <c r="N321" s="58"/>
      <c r="O321" s="58"/>
      <c r="P321" s="58"/>
      <c r="Q321" s="58"/>
      <c r="R321" s="58"/>
      <c r="S321" s="58"/>
      <c r="T321" s="58"/>
      <c r="U321" s="58"/>
      <c r="V321" s="58"/>
      <c r="W321" s="58"/>
      <c r="X321" s="58"/>
      <c r="Y321" s="58"/>
      <c r="Z321" s="58"/>
    </row>
    <row r="322" ht="94.5" customHeight="1">
      <c r="A322" s="283" t="s">
        <v>2588</v>
      </c>
      <c r="B322" s="283" t="s">
        <v>964</v>
      </c>
      <c r="C322" s="278" t="s">
        <v>2571</v>
      </c>
      <c r="D322" s="278" t="s">
        <v>2589</v>
      </c>
      <c r="E322" s="484" t="s">
        <v>2590</v>
      </c>
      <c r="F322" s="278" t="s">
        <v>2591</v>
      </c>
      <c r="G322" s="292">
        <v>15.0</v>
      </c>
      <c r="H322" s="286">
        <v>15.0</v>
      </c>
      <c r="I322" s="92" t="s">
        <v>2565</v>
      </c>
      <c r="J322" s="58"/>
      <c r="K322" s="58"/>
      <c r="L322" s="58"/>
      <c r="M322" s="58"/>
      <c r="N322" s="58"/>
      <c r="O322" s="58"/>
      <c r="P322" s="58"/>
      <c r="Q322" s="58"/>
      <c r="R322" s="58"/>
      <c r="S322" s="58"/>
      <c r="T322" s="58"/>
      <c r="U322" s="58"/>
      <c r="V322" s="58"/>
      <c r="W322" s="58"/>
      <c r="X322" s="58"/>
      <c r="Y322" s="58"/>
      <c r="Z322" s="58"/>
    </row>
    <row r="323" ht="96.0" customHeight="1">
      <c r="A323" s="283" t="s">
        <v>2592</v>
      </c>
      <c r="B323" s="283" t="s">
        <v>964</v>
      </c>
      <c r="C323" s="278" t="s">
        <v>2571</v>
      </c>
      <c r="D323" s="278" t="s">
        <v>2593</v>
      </c>
      <c r="E323" s="484" t="s">
        <v>2594</v>
      </c>
      <c r="F323" s="278" t="s">
        <v>2595</v>
      </c>
      <c r="G323" s="292">
        <v>15.0</v>
      </c>
      <c r="H323" s="286">
        <v>15.0</v>
      </c>
      <c r="I323" s="92" t="s">
        <v>2565</v>
      </c>
      <c r="J323" s="58"/>
      <c r="K323" s="58"/>
      <c r="L323" s="58"/>
      <c r="M323" s="58"/>
      <c r="N323" s="58"/>
      <c r="O323" s="58"/>
      <c r="P323" s="58"/>
      <c r="Q323" s="58"/>
      <c r="R323" s="58"/>
      <c r="S323" s="58"/>
      <c r="T323" s="58"/>
      <c r="U323" s="58"/>
      <c r="V323" s="58"/>
      <c r="W323" s="58"/>
      <c r="X323" s="58"/>
      <c r="Y323" s="58"/>
      <c r="Z323" s="58"/>
    </row>
    <row r="324" ht="151.5" customHeight="1">
      <c r="A324" s="101" t="s">
        <v>2596</v>
      </c>
      <c r="B324" s="176" t="s">
        <v>100</v>
      </c>
      <c r="C324" s="75" t="s">
        <v>2597</v>
      </c>
      <c r="D324" s="75" t="s">
        <v>2598</v>
      </c>
      <c r="E324" s="362" t="s">
        <v>2599</v>
      </c>
      <c r="F324" s="362" t="s">
        <v>2600</v>
      </c>
      <c r="G324" s="76">
        <v>50.0</v>
      </c>
      <c r="H324" s="77">
        <v>25.0</v>
      </c>
      <c r="I324" s="92" t="s">
        <v>2601</v>
      </c>
      <c r="J324" s="58"/>
      <c r="K324" s="58"/>
      <c r="L324" s="58"/>
      <c r="M324" s="58"/>
      <c r="N324" s="58"/>
      <c r="O324" s="58"/>
      <c r="P324" s="58"/>
      <c r="Q324" s="58"/>
      <c r="R324" s="58"/>
      <c r="S324" s="58"/>
      <c r="T324" s="58"/>
      <c r="U324" s="58"/>
      <c r="V324" s="58"/>
      <c r="W324" s="58"/>
      <c r="X324" s="58"/>
      <c r="Y324" s="58"/>
      <c r="Z324" s="58"/>
    </row>
    <row r="325" ht="151.5" customHeight="1">
      <c r="A325" s="101" t="s">
        <v>2596</v>
      </c>
      <c r="B325" s="176" t="s">
        <v>100</v>
      </c>
      <c r="C325" s="75" t="s">
        <v>2597</v>
      </c>
      <c r="D325" s="75" t="s">
        <v>2602</v>
      </c>
      <c r="E325" s="362" t="s">
        <v>2603</v>
      </c>
      <c r="F325" s="362" t="s">
        <v>2604</v>
      </c>
      <c r="G325" s="76">
        <v>15.0</v>
      </c>
      <c r="H325" s="77">
        <v>7.5</v>
      </c>
      <c r="I325" s="92" t="s">
        <v>2601</v>
      </c>
      <c r="J325" s="58"/>
      <c r="K325" s="58"/>
      <c r="L325" s="58"/>
      <c r="M325" s="58"/>
      <c r="N325" s="58"/>
      <c r="O325" s="58"/>
      <c r="P325" s="58"/>
      <c r="Q325" s="58"/>
      <c r="R325" s="58"/>
      <c r="S325" s="58"/>
      <c r="T325" s="58"/>
      <c r="U325" s="58"/>
      <c r="V325" s="58"/>
      <c r="W325" s="58"/>
      <c r="X325" s="58"/>
      <c r="Y325" s="58"/>
      <c r="Z325" s="58"/>
    </row>
    <row r="326" ht="151.5" customHeight="1">
      <c r="A326" s="101" t="s">
        <v>2596</v>
      </c>
      <c r="B326" s="176" t="s">
        <v>100</v>
      </c>
      <c r="C326" s="75" t="s">
        <v>2605</v>
      </c>
      <c r="D326" s="75" t="s">
        <v>2606</v>
      </c>
      <c r="E326" s="362" t="s">
        <v>2607</v>
      </c>
      <c r="F326" s="75" t="s">
        <v>2608</v>
      </c>
      <c r="G326" s="76">
        <v>15.0</v>
      </c>
      <c r="H326" s="77">
        <v>7.5</v>
      </c>
      <c r="I326" s="92" t="s">
        <v>2601</v>
      </c>
      <c r="J326" s="58"/>
      <c r="K326" s="58"/>
      <c r="L326" s="58"/>
      <c r="M326" s="58"/>
      <c r="N326" s="58"/>
      <c r="O326" s="58"/>
      <c r="P326" s="58"/>
      <c r="Q326" s="58"/>
      <c r="R326" s="58"/>
      <c r="S326" s="58"/>
      <c r="T326" s="58"/>
      <c r="U326" s="58"/>
      <c r="V326" s="58"/>
      <c r="W326" s="58"/>
      <c r="X326" s="58"/>
      <c r="Y326" s="58"/>
      <c r="Z326" s="58"/>
    </row>
    <row r="327" ht="165.0" customHeight="1">
      <c r="A327" s="101" t="s">
        <v>2596</v>
      </c>
      <c r="B327" s="176" t="s">
        <v>100</v>
      </c>
      <c r="C327" s="75" t="s">
        <v>2609</v>
      </c>
      <c r="D327" s="75" t="s">
        <v>2610</v>
      </c>
      <c r="E327" s="362" t="s">
        <v>2611</v>
      </c>
      <c r="F327" s="362" t="s">
        <v>2612</v>
      </c>
      <c r="G327" s="76">
        <v>50.0</v>
      </c>
      <c r="H327" s="77">
        <v>8.33</v>
      </c>
      <c r="I327" s="92" t="s">
        <v>2601</v>
      </c>
      <c r="J327" s="58"/>
      <c r="K327" s="58"/>
      <c r="L327" s="58"/>
      <c r="M327" s="58"/>
      <c r="N327" s="58"/>
      <c r="O327" s="58"/>
      <c r="P327" s="58"/>
      <c r="Q327" s="58"/>
      <c r="R327" s="58"/>
      <c r="S327" s="58"/>
      <c r="T327" s="58"/>
      <c r="U327" s="58"/>
      <c r="V327" s="58"/>
      <c r="W327" s="58"/>
      <c r="X327" s="58"/>
      <c r="Y327" s="58"/>
      <c r="Z327" s="58"/>
    </row>
    <row r="328" ht="144.0" customHeight="1">
      <c r="A328" s="101" t="s">
        <v>2596</v>
      </c>
      <c r="B328" s="176" t="s">
        <v>100</v>
      </c>
      <c r="C328" s="75" t="s">
        <v>2613</v>
      </c>
      <c r="D328" s="75" t="s">
        <v>2614</v>
      </c>
      <c r="E328" s="362" t="s">
        <v>2615</v>
      </c>
      <c r="F328" s="362" t="s">
        <v>2616</v>
      </c>
      <c r="G328" s="76">
        <v>15.0</v>
      </c>
      <c r="H328" s="77">
        <v>2.5</v>
      </c>
      <c r="I328" s="92" t="s">
        <v>2601</v>
      </c>
      <c r="J328" s="58"/>
      <c r="K328" s="58"/>
      <c r="L328" s="58"/>
      <c r="M328" s="58"/>
      <c r="N328" s="58"/>
      <c r="O328" s="58"/>
      <c r="P328" s="58"/>
      <c r="Q328" s="58"/>
      <c r="R328" s="58"/>
      <c r="S328" s="58"/>
      <c r="T328" s="58"/>
      <c r="U328" s="58"/>
      <c r="V328" s="58"/>
      <c r="W328" s="58"/>
      <c r="X328" s="58"/>
      <c r="Y328" s="58"/>
      <c r="Z328" s="58"/>
    </row>
    <row r="329" ht="114.75" customHeight="1">
      <c r="A329" s="101" t="s">
        <v>2596</v>
      </c>
      <c r="B329" s="176" t="s">
        <v>100</v>
      </c>
      <c r="C329" s="75" t="s">
        <v>2617</v>
      </c>
      <c r="D329" s="75" t="s">
        <v>2618</v>
      </c>
      <c r="E329" s="362" t="s">
        <v>2619</v>
      </c>
      <c r="F329" s="75" t="s">
        <v>2620</v>
      </c>
      <c r="G329" s="76">
        <v>15.0</v>
      </c>
      <c r="H329" s="77">
        <v>2.5</v>
      </c>
      <c r="I329" s="92" t="s">
        <v>2601</v>
      </c>
      <c r="J329" s="58"/>
      <c r="K329" s="58"/>
      <c r="L329" s="58"/>
      <c r="M329" s="58"/>
      <c r="N329" s="58"/>
      <c r="O329" s="58"/>
      <c r="P329" s="58"/>
      <c r="Q329" s="58"/>
      <c r="R329" s="58"/>
      <c r="S329" s="58"/>
      <c r="T329" s="58"/>
      <c r="U329" s="58"/>
      <c r="V329" s="58"/>
      <c r="W329" s="58"/>
      <c r="X329" s="58"/>
      <c r="Y329" s="58"/>
      <c r="Z329" s="58"/>
    </row>
    <row r="330" ht="142.5" customHeight="1">
      <c r="A330" s="353" t="s">
        <v>2621</v>
      </c>
      <c r="B330" s="354" t="s">
        <v>100</v>
      </c>
      <c r="C330" s="353" t="s">
        <v>2622</v>
      </c>
      <c r="D330" s="493" t="s">
        <v>2623</v>
      </c>
      <c r="E330" s="494" t="s">
        <v>2507</v>
      </c>
      <c r="F330" s="355" t="s">
        <v>2426</v>
      </c>
      <c r="G330" s="495">
        <v>15.0</v>
      </c>
      <c r="H330" s="358">
        <v>3.75</v>
      </c>
      <c r="I330" s="271" t="s">
        <v>1497</v>
      </c>
      <c r="J330" s="58"/>
      <c r="K330" s="58"/>
      <c r="L330" s="58"/>
      <c r="M330" s="58"/>
      <c r="N330" s="58"/>
      <c r="O330" s="58"/>
      <c r="P330" s="58"/>
      <c r="Q330" s="58"/>
      <c r="R330" s="58"/>
      <c r="S330" s="58"/>
      <c r="T330" s="58"/>
      <c r="U330" s="58"/>
      <c r="V330" s="58"/>
      <c r="W330" s="58"/>
      <c r="X330" s="58"/>
      <c r="Y330" s="58"/>
      <c r="Z330" s="58"/>
    </row>
    <row r="331" ht="93.0" customHeight="1">
      <c r="A331" s="466" t="s">
        <v>2624</v>
      </c>
      <c r="B331" s="466" t="s">
        <v>100</v>
      </c>
      <c r="C331" s="466" t="s">
        <v>2625</v>
      </c>
      <c r="D331" s="496" t="s">
        <v>2626</v>
      </c>
      <c r="E331" s="497" t="s">
        <v>2627</v>
      </c>
      <c r="F331" s="466" t="s">
        <v>2628</v>
      </c>
      <c r="G331" s="498">
        <v>50.0</v>
      </c>
      <c r="H331" s="499">
        <v>50.0</v>
      </c>
      <c r="I331" s="498" t="s">
        <v>112</v>
      </c>
      <c r="J331" s="58"/>
      <c r="K331" s="58"/>
      <c r="L331" s="58"/>
      <c r="M331" s="58"/>
      <c r="N331" s="58"/>
      <c r="O331" s="58"/>
      <c r="P331" s="58"/>
      <c r="Q331" s="58"/>
      <c r="R331" s="58"/>
      <c r="S331" s="58"/>
      <c r="T331" s="58"/>
      <c r="U331" s="58"/>
      <c r="V331" s="58"/>
      <c r="W331" s="58"/>
      <c r="X331" s="58"/>
      <c r="Y331" s="58"/>
      <c r="Z331" s="58"/>
    </row>
    <row r="332" ht="172.5" customHeight="1">
      <c r="A332" s="466" t="s">
        <v>2629</v>
      </c>
      <c r="B332" s="466" t="s">
        <v>100</v>
      </c>
      <c r="C332" s="466" t="s">
        <v>2625</v>
      </c>
      <c r="D332" s="500" t="s">
        <v>2630</v>
      </c>
      <c r="E332" s="497" t="s">
        <v>2631</v>
      </c>
      <c r="F332" s="500" t="s">
        <v>2632</v>
      </c>
      <c r="G332" s="498">
        <v>50.0</v>
      </c>
      <c r="H332" s="499">
        <v>50.0</v>
      </c>
      <c r="I332" s="498" t="s">
        <v>112</v>
      </c>
      <c r="J332" s="58"/>
      <c r="K332" s="58"/>
      <c r="L332" s="58"/>
      <c r="M332" s="58"/>
      <c r="N332" s="58"/>
      <c r="O332" s="58"/>
      <c r="P332" s="58"/>
      <c r="Q332" s="58"/>
      <c r="R332" s="58"/>
      <c r="S332" s="58"/>
      <c r="T332" s="58"/>
      <c r="U332" s="58"/>
      <c r="V332" s="58"/>
      <c r="W332" s="58"/>
      <c r="X332" s="58"/>
      <c r="Y332" s="58"/>
      <c r="Z332" s="58"/>
    </row>
    <row r="333" ht="54.75" customHeight="1">
      <c r="A333" s="501" t="s">
        <v>2633</v>
      </c>
      <c r="B333" s="466" t="s">
        <v>100</v>
      </c>
      <c r="C333" s="466" t="s">
        <v>2634</v>
      </c>
      <c r="D333" s="500" t="s">
        <v>2635</v>
      </c>
      <c r="E333" s="501" t="s">
        <v>2636</v>
      </c>
      <c r="F333" s="501" t="s">
        <v>2637</v>
      </c>
      <c r="G333" s="501">
        <v>50.0</v>
      </c>
      <c r="H333" s="502">
        <v>25.0</v>
      </c>
      <c r="I333" s="498" t="s">
        <v>112</v>
      </c>
      <c r="J333" s="58"/>
      <c r="K333" s="58"/>
      <c r="L333" s="58"/>
      <c r="M333" s="58"/>
      <c r="N333" s="58"/>
      <c r="O333" s="58"/>
      <c r="P333" s="58"/>
      <c r="Q333" s="58"/>
      <c r="R333" s="58"/>
      <c r="S333" s="58"/>
      <c r="T333" s="58"/>
      <c r="U333" s="58"/>
      <c r="V333" s="58"/>
      <c r="W333" s="58"/>
      <c r="X333" s="58"/>
      <c r="Y333" s="58"/>
      <c r="Z333" s="58"/>
    </row>
    <row r="334" ht="54.75" customHeight="1">
      <c r="A334" s="501" t="s">
        <v>2638</v>
      </c>
      <c r="B334" s="503" t="s">
        <v>100</v>
      </c>
      <c r="C334" s="503" t="s">
        <v>2639</v>
      </c>
      <c r="D334" s="500" t="s">
        <v>2640</v>
      </c>
      <c r="E334" s="501" t="s">
        <v>2641</v>
      </c>
      <c r="F334" s="501" t="s">
        <v>2642</v>
      </c>
      <c r="G334" s="504">
        <v>50.0</v>
      </c>
      <c r="H334" s="502">
        <v>50.0</v>
      </c>
      <c r="I334" s="498" t="s">
        <v>112</v>
      </c>
      <c r="J334" s="58"/>
      <c r="K334" s="58"/>
      <c r="L334" s="58"/>
      <c r="M334" s="58"/>
      <c r="N334" s="58"/>
      <c r="O334" s="58"/>
      <c r="P334" s="58"/>
      <c r="Q334" s="58"/>
      <c r="R334" s="58"/>
      <c r="S334" s="58"/>
      <c r="T334" s="58"/>
      <c r="U334" s="58"/>
      <c r="V334" s="58"/>
      <c r="W334" s="58"/>
      <c r="X334" s="58"/>
      <c r="Y334" s="58"/>
      <c r="Z334" s="58"/>
    </row>
    <row r="335" ht="42.0" customHeight="1">
      <c r="A335" s="501" t="s">
        <v>2633</v>
      </c>
      <c r="B335" s="503" t="s">
        <v>100</v>
      </c>
      <c r="C335" s="503" t="s">
        <v>2643</v>
      </c>
      <c r="D335" s="500" t="s">
        <v>2644</v>
      </c>
      <c r="E335" s="501" t="s">
        <v>2645</v>
      </c>
      <c r="F335" s="501" t="s">
        <v>2646</v>
      </c>
      <c r="G335" s="504">
        <v>50.0</v>
      </c>
      <c r="H335" s="502">
        <v>25.0</v>
      </c>
      <c r="I335" s="498" t="s">
        <v>112</v>
      </c>
      <c r="J335" s="58"/>
      <c r="K335" s="58"/>
      <c r="L335" s="58"/>
      <c r="M335" s="58"/>
      <c r="N335" s="58"/>
      <c r="O335" s="58"/>
      <c r="P335" s="58"/>
      <c r="Q335" s="58"/>
      <c r="R335" s="58"/>
      <c r="S335" s="58"/>
      <c r="T335" s="58"/>
      <c r="U335" s="58"/>
      <c r="V335" s="58"/>
      <c r="W335" s="58"/>
      <c r="X335" s="58"/>
      <c r="Y335" s="58"/>
      <c r="Z335" s="58"/>
    </row>
    <row r="336" ht="102.75" customHeight="1">
      <c r="A336" s="501" t="s">
        <v>2633</v>
      </c>
      <c r="B336" s="503" t="s">
        <v>100</v>
      </c>
      <c r="C336" s="503" t="s">
        <v>2643</v>
      </c>
      <c r="D336" s="500" t="s">
        <v>2647</v>
      </c>
      <c r="E336" s="505" t="s">
        <v>2648</v>
      </c>
      <c r="F336" s="501" t="s">
        <v>2649</v>
      </c>
      <c r="G336" s="504">
        <v>50.0</v>
      </c>
      <c r="H336" s="502">
        <v>25.0</v>
      </c>
      <c r="I336" s="498" t="s">
        <v>112</v>
      </c>
      <c r="J336" s="58"/>
      <c r="K336" s="58"/>
      <c r="L336" s="58"/>
      <c r="M336" s="58"/>
      <c r="N336" s="58"/>
      <c r="O336" s="58"/>
      <c r="P336" s="58"/>
      <c r="Q336" s="58"/>
      <c r="R336" s="58"/>
      <c r="S336" s="58"/>
      <c r="T336" s="58"/>
      <c r="U336" s="58"/>
      <c r="V336" s="58"/>
      <c r="W336" s="58"/>
      <c r="X336" s="58"/>
      <c r="Y336" s="58"/>
      <c r="Z336" s="58"/>
    </row>
    <row r="337" ht="72.0" customHeight="1">
      <c r="A337" s="501" t="s">
        <v>2633</v>
      </c>
      <c r="B337" s="503" t="s">
        <v>100</v>
      </c>
      <c r="C337" s="503" t="s">
        <v>2650</v>
      </c>
      <c r="D337" s="500" t="s">
        <v>2651</v>
      </c>
      <c r="E337" s="501" t="s">
        <v>2652</v>
      </c>
      <c r="F337" s="501" t="s">
        <v>2653</v>
      </c>
      <c r="G337" s="501">
        <v>50.0</v>
      </c>
      <c r="H337" s="502">
        <v>25.0</v>
      </c>
      <c r="I337" s="498" t="s">
        <v>112</v>
      </c>
      <c r="J337" s="58"/>
      <c r="K337" s="58"/>
      <c r="L337" s="58"/>
      <c r="M337" s="58"/>
      <c r="N337" s="58"/>
      <c r="O337" s="58"/>
      <c r="P337" s="58"/>
      <c r="Q337" s="58"/>
      <c r="R337" s="58"/>
      <c r="S337" s="58"/>
      <c r="T337" s="58"/>
      <c r="U337" s="58"/>
      <c r="V337" s="58"/>
      <c r="W337" s="58"/>
      <c r="X337" s="58"/>
      <c r="Y337" s="58"/>
      <c r="Z337" s="58"/>
    </row>
    <row r="338" ht="51.75" customHeight="1">
      <c r="A338" s="501"/>
      <c r="B338" s="503"/>
      <c r="C338" s="503"/>
      <c r="D338" s="500" t="s">
        <v>2654</v>
      </c>
      <c r="E338" s="501" t="s">
        <v>2655</v>
      </c>
      <c r="F338" s="501" t="s">
        <v>2653</v>
      </c>
      <c r="G338" s="501">
        <v>50.0</v>
      </c>
      <c r="H338" s="502">
        <v>25.0</v>
      </c>
      <c r="I338" s="498" t="s">
        <v>112</v>
      </c>
      <c r="J338" s="58"/>
      <c r="K338" s="58"/>
      <c r="L338" s="58"/>
      <c r="M338" s="58"/>
      <c r="N338" s="58"/>
      <c r="O338" s="58"/>
      <c r="P338" s="58"/>
      <c r="Q338" s="58"/>
      <c r="R338" s="58"/>
      <c r="S338" s="58"/>
      <c r="T338" s="58"/>
      <c r="U338" s="58"/>
      <c r="V338" s="58"/>
      <c r="W338" s="58"/>
      <c r="X338" s="58"/>
      <c r="Y338" s="58"/>
      <c r="Z338" s="58"/>
    </row>
    <row r="339" ht="172.5" customHeight="1">
      <c r="A339" s="506" t="s">
        <v>2656</v>
      </c>
      <c r="B339" s="507" t="s">
        <v>100</v>
      </c>
      <c r="C339" s="508" t="s">
        <v>2657</v>
      </c>
      <c r="D339" s="508" t="s">
        <v>2658</v>
      </c>
      <c r="E339" s="509" t="s">
        <v>2659</v>
      </c>
      <c r="F339" s="509" t="s">
        <v>2660</v>
      </c>
      <c r="G339" s="510">
        <v>50.0</v>
      </c>
      <c r="H339" s="511">
        <v>25.0</v>
      </c>
      <c r="I339" s="405" t="s">
        <v>2661</v>
      </c>
      <c r="J339" s="58"/>
      <c r="K339" s="58"/>
      <c r="L339" s="58"/>
      <c r="M339" s="58"/>
      <c r="N339" s="58"/>
      <c r="O339" s="58"/>
      <c r="P339" s="58"/>
      <c r="Q339" s="58"/>
      <c r="R339" s="58"/>
      <c r="S339" s="58"/>
      <c r="T339" s="58"/>
      <c r="U339" s="58"/>
      <c r="V339" s="58"/>
      <c r="W339" s="58"/>
      <c r="X339" s="58"/>
      <c r="Y339" s="58"/>
      <c r="Z339" s="58"/>
    </row>
    <row r="340" ht="172.5" customHeight="1">
      <c r="A340" s="512" t="s">
        <v>2656</v>
      </c>
      <c r="B340" s="512" t="s">
        <v>100</v>
      </c>
      <c r="C340" s="513" t="s">
        <v>2657</v>
      </c>
      <c r="D340" s="513" t="s">
        <v>2658</v>
      </c>
      <c r="E340" s="514" t="s">
        <v>2662</v>
      </c>
      <c r="F340" s="514" t="s">
        <v>2660</v>
      </c>
      <c r="G340" s="515">
        <v>50.0</v>
      </c>
      <c r="H340" s="516">
        <v>25.0</v>
      </c>
      <c r="I340" s="77" t="s">
        <v>2661</v>
      </c>
      <c r="J340" s="58"/>
      <c r="K340" s="58"/>
      <c r="L340" s="58"/>
      <c r="M340" s="58"/>
      <c r="N340" s="58"/>
      <c r="O340" s="58"/>
      <c r="P340" s="58"/>
      <c r="Q340" s="58"/>
      <c r="R340" s="58"/>
      <c r="S340" s="58"/>
      <c r="T340" s="58"/>
      <c r="U340" s="58"/>
      <c r="V340" s="58"/>
      <c r="W340" s="58"/>
      <c r="X340" s="58"/>
      <c r="Y340" s="58"/>
      <c r="Z340" s="58"/>
    </row>
    <row r="341" ht="57.0" customHeight="1">
      <c r="A341" s="512" t="s">
        <v>2656</v>
      </c>
      <c r="B341" s="512" t="s">
        <v>100</v>
      </c>
      <c r="C341" s="513" t="s">
        <v>2657</v>
      </c>
      <c r="D341" s="513" t="s">
        <v>2663</v>
      </c>
      <c r="E341" s="514" t="s">
        <v>2664</v>
      </c>
      <c r="F341" s="514" t="s">
        <v>2665</v>
      </c>
      <c r="G341" s="515">
        <v>50.0</v>
      </c>
      <c r="H341" s="516">
        <v>25.0</v>
      </c>
      <c r="I341" s="77" t="s">
        <v>2661</v>
      </c>
      <c r="J341" s="58"/>
      <c r="K341" s="58"/>
      <c r="L341" s="58"/>
      <c r="M341" s="58"/>
      <c r="N341" s="58"/>
      <c r="O341" s="58"/>
      <c r="P341" s="58"/>
      <c r="Q341" s="58"/>
      <c r="R341" s="58"/>
      <c r="S341" s="58"/>
      <c r="T341" s="58"/>
      <c r="U341" s="58"/>
      <c r="V341" s="58"/>
      <c r="W341" s="58"/>
      <c r="X341" s="58"/>
      <c r="Y341" s="58"/>
      <c r="Z341" s="58"/>
    </row>
    <row r="342" ht="72.0" customHeight="1">
      <c r="A342" s="512" t="s">
        <v>2656</v>
      </c>
      <c r="B342" s="512" t="s">
        <v>100</v>
      </c>
      <c r="C342" s="513" t="s">
        <v>2657</v>
      </c>
      <c r="D342" s="513" t="s">
        <v>2666</v>
      </c>
      <c r="E342" s="514" t="s">
        <v>2667</v>
      </c>
      <c r="F342" s="514" t="s">
        <v>2668</v>
      </c>
      <c r="G342" s="515">
        <v>50.0</v>
      </c>
      <c r="H342" s="516">
        <v>25.0</v>
      </c>
      <c r="I342" s="77" t="s">
        <v>2661</v>
      </c>
      <c r="J342" s="58"/>
      <c r="K342" s="58"/>
      <c r="L342" s="58"/>
      <c r="M342" s="58"/>
      <c r="N342" s="58"/>
      <c r="O342" s="58"/>
      <c r="P342" s="58"/>
      <c r="Q342" s="58"/>
      <c r="R342" s="58"/>
      <c r="S342" s="58"/>
      <c r="T342" s="58"/>
      <c r="U342" s="58"/>
      <c r="V342" s="58"/>
      <c r="W342" s="58"/>
      <c r="X342" s="58"/>
      <c r="Y342" s="58"/>
      <c r="Z342" s="58"/>
    </row>
    <row r="343" ht="57.0" customHeight="1">
      <c r="A343" s="512" t="s">
        <v>2656</v>
      </c>
      <c r="B343" s="512" t="s">
        <v>100</v>
      </c>
      <c r="C343" s="513" t="s">
        <v>2657</v>
      </c>
      <c r="D343" s="513" t="s">
        <v>2669</v>
      </c>
      <c r="E343" s="514" t="s">
        <v>2670</v>
      </c>
      <c r="F343" s="514" t="s">
        <v>2671</v>
      </c>
      <c r="G343" s="515">
        <v>50.0</v>
      </c>
      <c r="H343" s="516">
        <v>25.0</v>
      </c>
      <c r="I343" s="517" t="s">
        <v>2661</v>
      </c>
      <c r="J343" s="58"/>
      <c r="K343" s="58"/>
      <c r="L343" s="58"/>
      <c r="M343" s="58"/>
      <c r="N343" s="58"/>
      <c r="O343" s="58"/>
      <c r="P343" s="58"/>
      <c r="Q343" s="58"/>
      <c r="R343" s="58"/>
      <c r="S343" s="58"/>
      <c r="T343" s="58"/>
      <c r="U343" s="58"/>
      <c r="V343" s="58"/>
      <c r="W343" s="58"/>
      <c r="X343" s="58"/>
      <c r="Y343" s="58"/>
      <c r="Z343" s="58"/>
    </row>
    <row r="344" ht="100.5" customHeight="1">
      <c r="A344" s="512" t="s">
        <v>2656</v>
      </c>
      <c r="B344" s="512" t="s">
        <v>100</v>
      </c>
      <c r="C344" s="513" t="s">
        <v>2657</v>
      </c>
      <c r="D344" s="513" t="s">
        <v>2672</v>
      </c>
      <c r="E344" s="514" t="s">
        <v>2673</v>
      </c>
      <c r="F344" s="513" t="s">
        <v>2608</v>
      </c>
      <c r="G344" s="515">
        <v>15.0</v>
      </c>
      <c r="H344" s="516">
        <v>7.5</v>
      </c>
      <c r="I344" s="517" t="s">
        <v>2661</v>
      </c>
      <c r="J344" s="58"/>
      <c r="K344" s="58"/>
      <c r="L344" s="58"/>
      <c r="M344" s="58"/>
      <c r="N344" s="58"/>
      <c r="O344" s="58"/>
      <c r="P344" s="58"/>
      <c r="Q344" s="58"/>
      <c r="R344" s="58"/>
      <c r="S344" s="58"/>
      <c r="T344" s="58"/>
      <c r="U344" s="58"/>
      <c r="V344" s="58"/>
      <c r="W344" s="58"/>
      <c r="X344" s="58"/>
      <c r="Y344" s="58"/>
      <c r="Z344" s="58"/>
    </row>
    <row r="345" ht="54.75" customHeight="1">
      <c r="A345" s="518" t="s">
        <v>2656</v>
      </c>
      <c r="B345" s="519" t="s">
        <v>100</v>
      </c>
      <c r="C345" s="519" t="s">
        <v>2657</v>
      </c>
      <c r="D345" s="520" t="s">
        <v>222</v>
      </c>
      <c r="E345" s="521" t="s">
        <v>2674</v>
      </c>
      <c r="F345" s="521" t="s">
        <v>2675</v>
      </c>
      <c r="G345" s="522">
        <v>50.0</v>
      </c>
      <c r="H345" s="516">
        <v>25.0</v>
      </c>
      <c r="I345" s="491" t="s">
        <v>2661</v>
      </c>
      <c r="J345" s="58"/>
      <c r="K345" s="58"/>
      <c r="L345" s="58"/>
      <c r="M345" s="58"/>
      <c r="N345" s="58"/>
      <c r="O345" s="58"/>
      <c r="P345" s="58"/>
      <c r="Q345" s="58"/>
      <c r="R345" s="58"/>
      <c r="S345" s="58"/>
      <c r="T345" s="58"/>
      <c r="U345" s="58"/>
      <c r="V345" s="58"/>
      <c r="W345" s="58"/>
      <c r="X345" s="58"/>
      <c r="Y345" s="58"/>
      <c r="Z345" s="58"/>
    </row>
    <row r="346" ht="54.75" customHeight="1">
      <c r="A346" s="518" t="s">
        <v>2656</v>
      </c>
      <c r="B346" s="519" t="s">
        <v>100</v>
      </c>
      <c r="C346" s="519" t="s">
        <v>2657</v>
      </c>
      <c r="D346" s="520" t="s">
        <v>2676</v>
      </c>
      <c r="E346" s="521" t="s">
        <v>2677</v>
      </c>
      <c r="F346" s="520" t="s">
        <v>2678</v>
      </c>
      <c r="G346" s="523">
        <v>15.0</v>
      </c>
      <c r="H346" s="516">
        <v>7.5</v>
      </c>
      <c r="I346" s="491" t="s">
        <v>2661</v>
      </c>
      <c r="J346" s="58"/>
      <c r="K346" s="58"/>
      <c r="L346" s="58"/>
      <c r="M346" s="58"/>
      <c r="N346" s="58"/>
      <c r="O346" s="58"/>
      <c r="P346" s="58"/>
      <c r="Q346" s="58"/>
      <c r="R346" s="58"/>
      <c r="S346" s="58"/>
      <c r="T346" s="58"/>
      <c r="U346" s="58"/>
      <c r="V346" s="58"/>
      <c r="W346" s="58"/>
      <c r="X346" s="58"/>
      <c r="Y346" s="58"/>
      <c r="Z346" s="58"/>
    </row>
    <row r="347" ht="54.75" customHeight="1">
      <c r="A347" s="518" t="s">
        <v>2656</v>
      </c>
      <c r="B347" s="519" t="s">
        <v>100</v>
      </c>
      <c r="C347" s="519" t="s">
        <v>2657</v>
      </c>
      <c r="D347" s="520" t="s">
        <v>2679</v>
      </c>
      <c r="E347" s="521" t="s">
        <v>2680</v>
      </c>
      <c r="F347" s="521" t="s">
        <v>2681</v>
      </c>
      <c r="G347" s="523">
        <v>15.0</v>
      </c>
      <c r="H347" s="516">
        <v>7.5</v>
      </c>
      <c r="I347" s="491" t="s">
        <v>2661</v>
      </c>
      <c r="J347" s="58"/>
      <c r="K347" s="58"/>
      <c r="L347" s="58"/>
      <c r="M347" s="58"/>
      <c r="N347" s="58"/>
      <c r="O347" s="58"/>
      <c r="P347" s="58"/>
      <c r="Q347" s="58"/>
      <c r="R347" s="58"/>
      <c r="S347" s="58"/>
      <c r="T347" s="58"/>
      <c r="U347" s="58"/>
      <c r="V347" s="58"/>
      <c r="W347" s="58"/>
      <c r="X347" s="58"/>
      <c r="Y347" s="58"/>
      <c r="Z347" s="58"/>
    </row>
    <row r="348" ht="54.75" customHeight="1">
      <c r="A348" s="518" t="s">
        <v>2656</v>
      </c>
      <c r="B348" s="519" t="s">
        <v>100</v>
      </c>
      <c r="C348" s="519" t="s">
        <v>2657</v>
      </c>
      <c r="D348" s="520" t="s">
        <v>2682</v>
      </c>
      <c r="E348" s="521" t="s">
        <v>2683</v>
      </c>
      <c r="F348" s="520" t="s">
        <v>2608</v>
      </c>
      <c r="G348" s="523">
        <v>15.0</v>
      </c>
      <c r="H348" s="516">
        <v>7.5</v>
      </c>
      <c r="I348" s="491" t="s">
        <v>2661</v>
      </c>
      <c r="J348" s="58"/>
      <c r="K348" s="58"/>
      <c r="L348" s="58"/>
      <c r="M348" s="58"/>
      <c r="N348" s="58"/>
      <c r="O348" s="58"/>
      <c r="P348" s="58"/>
      <c r="Q348" s="58"/>
      <c r="R348" s="58"/>
      <c r="S348" s="58"/>
      <c r="T348" s="58"/>
      <c r="U348" s="58"/>
      <c r="V348" s="58"/>
      <c r="W348" s="58"/>
      <c r="X348" s="58"/>
      <c r="Y348" s="58"/>
      <c r="Z348" s="58"/>
    </row>
    <row r="349" ht="54.75" customHeight="1">
      <c r="A349" s="518" t="s">
        <v>2656</v>
      </c>
      <c r="B349" s="519" t="s">
        <v>100</v>
      </c>
      <c r="C349" s="519" t="s">
        <v>2657</v>
      </c>
      <c r="D349" s="520" t="s">
        <v>2684</v>
      </c>
      <c r="E349" s="521" t="s">
        <v>2685</v>
      </c>
      <c r="F349" s="521" t="s">
        <v>2686</v>
      </c>
      <c r="G349" s="523">
        <v>15.0</v>
      </c>
      <c r="H349" s="516">
        <v>7.5</v>
      </c>
      <c r="I349" s="491" t="s">
        <v>2661</v>
      </c>
      <c r="J349" s="58"/>
      <c r="K349" s="58"/>
      <c r="L349" s="58"/>
      <c r="M349" s="58"/>
      <c r="N349" s="58"/>
      <c r="O349" s="58"/>
      <c r="P349" s="58"/>
      <c r="Q349" s="58"/>
      <c r="R349" s="58"/>
      <c r="S349" s="58"/>
      <c r="T349" s="58"/>
      <c r="U349" s="58"/>
      <c r="V349" s="58"/>
      <c r="W349" s="58"/>
      <c r="X349" s="58"/>
      <c r="Y349" s="58"/>
      <c r="Z349" s="58"/>
    </row>
    <row r="350" ht="54.75" customHeight="1">
      <c r="A350" s="518" t="s">
        <v>2656</v>
      </c>
      <c r="B350" s="519" t="s">
        <v>100</v>
      </c>
      <c r="C350" s="519" t="s">
        <v>2657</v>
      </c>
      <c r="D350" s="520" t="s">
        <v>2687</v>
      </c>
      <c r="E350" s="521" t="s">
        <v>2688</v>
      </c>
      <c r="F350" s="520" t="s">
        <v>2689</v>
      </c>
      <c r="G350" s="523">
        <v>15.0</v>
      </c>
      <c r="H350" s="516">
        <v>7.5</v>
      </c>
      <c r="I350" s="491" t="s">
        <v>2661</v>
      </c>
      <c r="J350" s="58"/>
      <c r="K350" s="58"/>
      <c r="L350" s="58"/>
      <c r="M350" s="58"/>
      <c r="N350" s="58"/>
      <c r="O350" s="58"/>
      <c r="P350" s="58"/>
      <c r="Q350" s="58"/>
      <c r="R350" s="58"/>
      <c r="S350" s="58"/>
      <c r="T350" s="58"/>
      <c r="U350" s="58"/>
      <c r="V350" s="58"/>
      <c r="W350" s="58"/>
      <c r="X350" s="58"/>
      <c r="Y350" s="58"/>
      <c r="Z350" s="58"/>
    </row>
    <row r="351" ht="54.75" customHeight="1">
      <c r="A351" s="518" t="s">
        <v>2656</v>
      </c>
      <c r="B351" s="519" t="s">
        <v>100</v>
      </c>
      <c r="C351" s="519" t="s">
        <v>2657</v>
      </c>
      <c r="D351" s="520" t="s">
        <v>2687</v>
      </c>
      <c r="E351" s="521" t="s">
        <v>2690</v>
      </c>
      <c r="F351" s="520" t="s">
        <v>2691</v>
      </c>
      <c r="G351" s="523">
        <v>15.0</v>
      </c>
      <c r="H351" s="516">
        <v>7.5</v>
      </c>
      <c r="I351" s="491" t="s">
        <v>2661</v>
      </c>
      <c r="J351" s="58"/>
      <c r="K351" s="58"/>
      <c r="L351" s="58"/>
      <c r="M351" s="58"/>
      <c r="N351" s="58"/>
      <c r="O351" s="58"/>
      <c r="P351" s="58"/>
      <c r="Q351" s="58"/>
      <c r="R351" s="58"/>
      <c r="S351" s="58"/>
      <c r="T351" s="58"/>
      <c r="U351" s="58"/>
      <c r="V351" s="58"/>
      <c r="W351" s="58"/>
      <c r="X351" s="58"/>
      <c r="Y351" s="58"/>
      <c r="Z351" s="58"/>
    </row>
    <row r="352" ht="54.75" customHeight="1">
      <c r="A352" s="518" t="s">
        <v>2656</v>
      </c>
      <c r="B352" s="519" t="s">
        <v>100</v>
      </c>
      <c r="C352" s="519" t="s">
        <v>2657</v>
      </c>
      <c r="D352" s="520" t="s">
        <v>2687</v>
      </c>
      <c r="E352" s="521" t="s">
        <v>2692</v>
      </c>
      <c r="F352" s="520" t="s">
        <v>2693</v>
      </c>
      <c r="G352" s="523">
        <v>15.0</v>
      </c>
      <c r="H352" s="516">
        <v>7.5</v>
      </c>
      <c r="I352" s="491" t="s">
        <v>2661</v>
      </c>
      <c r="J352" s="58"/>
      <c r="K352" s="58"/>
      <c r="L352" s="58"/>
      <c r="M352" s="58"/>
      <c r="N352" s="58"/>
      <c r="O352" s="58"/>
      <c r="P352" s="58"/>
      <c r="Q352" s="58"/>
      <c r="R352" s="58"/>
      <c r="S352" s="58"/>
      <c r="T352" s="58"/>
      <c r="U352" s="58"/>
      <c r="V352" s="58"/>
      <c r="W352" s="58"/>
      <c r="X352" s="58"/>
      <c r="Y352" s="58"/>
      <c r="Z352" s="58"/>
    </row>
    <row r="353" ht="54.75" customHeight="1">
      <c r="A353" s="518" t="s">
        <v>2656</v>
      </c>
      <c r="B353" s="519" t="s">
        <v>100</v>
      </c>
      <c r="C353" s="519" t="s">
        <v>2657</v>
      </c>
      <c r="D353" s="520" t="s">
        <v>2687</v>
      </c>
      <c r="E353" s="521" t="s">
        <v>2694</v>
      </c>
      <c r="F353" s="520" t="s">
        <v>2695</v>
      </c>
      <c r="G353" s="523">
        <v>16.0</v>
      </c>
      <c r="H353" s="516">
        <v>7.5</v>
      </c>
      <c r="I353" s="491" t="s">
        <v>2661</v>
      </c>
      <c r="J353" s="58"/>
      <c r="K353" s="58"/>
      <c r="L353" s="58"/>
      <c r="M353" s="58"/>
      <c r="N353" s="58"/>
      <c r="O353" s="58"/>
      <c r="P353" s="58"/>
      <c r="Q353" s="58"/>
      <c r="R353" s="58"/>
      <c r="S353" s="58"/>
      <c r="T353" s="58"/>
      <c r="U353" s="58"/>
      <c r="V353" s="58"/>
      <c r="W353" s="58"/>
      <c r="X353" s="58"/>
      <c r="Y353" s="58"/>
      <c r="Z353" s="58"/>
    </row>
    <row r="354" ht="54.75" customHeight="1">
      <c r="A354" s="518" t="s">
        <v>2656</v>
      </c>
      <c r="B354" s="519" t="s">
        <v>100</v>
      </c>
      <c r="C354" s="519" t="s">
        <v>2657</v>
      </c>
      <c r="D354" s="520" t="s">
        <v>2696</v>
      </c>
      <c r="E354" s="491" t="s">
        <v>2697</v>
      </c>
      <c r="F354" s="520" t="s">
        <v>2698</v>
      </c>
      <c r="G354" s="523">
        <v>15.0</v>
      </c>
      <c r="H354" s="516">
        <v>7.5</v>
      </c>
      <c r="I354" s="491" t="s">
        <v>2661</v>
      </c>
      <c r="J354" s="58"/>
      <c r="K354" s="58"/>
      <c r="L354" s="58"/>
      <c r="M354" s="58"/>
      <c r="N354" s="58"/>
      <c r="O354" s="58"/>
      <c r="P354" s="58"/>
      <c r="Q354" s="58"/>
      <c r="R354" s="58"/>
      <c r="S354" s="58"/>
      <c r="T354" s="58"/>
      <c r="U354" s="58"/>
      <c r="V354" s="58"/>
      <c r="W354" s="58"/>
      <c r="X354" s="58"/>
      <c r="Y354" s="58"/>
      <c r="Z354" s="58"/>
    </row>
    <row r="355" ht="54.75" customHeight="1">
      <c r="A355" s="518" t="s">
        <v>2656</v>
      </c>
      <c r="B355" s="519" t="s">
        <v>100</v>
      </c>
      <c r="C355" s="519" t="s">
        <v>2657</v>
      </c>
      <c r="D355" s="520" t="s">
        <v>2672</v>
      </c>
      <c r="E355" s="521" t="s">
        <v>2699</v>
      </c>
      <c r="F355" s="520" t="s">
        <v>2700</v>
      </c>
      <c r="G355" s="523">
        <v>15.0</v>
      </c>
      <c r="H355" s="516">
        <v>7.5</v>
      </c>
      <c r="I355" s="491" t="s">
        <v>2661</v>
      </c>
      <c r="J355" s="58"/>
      <c r="K355" s="58"/>
      <c r="L355" s="58"/>
      <c r="M355" s="58"/>
      <c r="N355" s="58"/>
      <c r="O355" s="58"/>
      <c r="P355" s="58"/>
      <c r="Q355" s="58"/>
      <c r="R355" s="58"/>
      <c r="S355" s="58"/>
      <c r="T355" s="58"/>
      <c r="U355" s="58"/>
      <c r="V355" s="58"/>
      <c r="W355" s="58"/>
      <c r="X355" s="58"/>
      <c r="Y355" s="58"/>
      <c r="Z355" s="58"/>
    </row>
    <row r="356" ht="54.75" customHeight="1">
      <c r="A356" s="518" t="s">
        <v>2656</v>
      </c>
      <c r="B356" s="519" t="s">
        <v>100</v>
      </c>
      <c r="C356" s="519" t="s">
        <v>2657</v>
      </c>
      <c r="D356" s="520" t="s">
        <v>2672</v>
      </c>
      <c r="E356" s="521" t="s">
        <v>2701</v>
      </c>
      <c r="F356" s="520" t="s">
        <v>2608</v>
      </c>
      <c r="G356" s="523">
        <v>15.0</v>
      </c>
      <c r="H356" s="516">
        <v>7.5</v>
      </c>
      <c r="I356" s="491" t="s">
        <v>2661</v>
      </c>
      <c r="J356" s="58"/>
      <c r="K356" s="58"/>
      <c r="L356" s="58"/>
      <c r="M356" s="58"/>
      <c r="N356" s="58"/>
      <c r="O356" s="58"/>
      <c r="P356" s="58"/>
      <c r="Q356" s="58"/>
      <c r="R356" s="58"/>
      <c r="S356" s="58"/>
      <c r="T356" s="58"/>
      <c r="U356" s="58"/>
      <c r="V356" s="58"/>
      <c r="W356" s="58"/>
      <c r="X356" s="58"/>
      <c r="Y356" s="58"/>
      <c r="Z356" s="58"/>
    </row>
    <row r="357" ht="54.75" customHeight="1">
      <c r="A357" s="518" t="s">
        <v>2656</v>
      </c>
      <c r="B357" s="519" t="s">
        <v>100</v>
      </c>
      <c r="C357" s="519" t="s">
        <v>2657</v>
      </c>
      <c r="D357" s="520" t="s">
        <v>2687</v>
      </c>
      <c r="E357" s="521" t="s">
        <v>2702</v>
      </c>
      <c r="F357" s="520" t="s">
        <v>2608</v>
      </c>
      <c r="G357" s="523">
        <v>15.0</v>
      </c>
      <c r="H357" s="516">
        <v>7.5</v>
      </c>
      <c r="I357" s="491" t="s">
        <v>2661</v>
      </c>
      <c r="J357" s="58"/>
      <c r="K357" s="58"/>
      <c r="L357" s="58"/>
      <c r="M357" s="58"/>
      <c r="N357" s="58"/>
      <c r="O357" s="58"/>
      <c r="P357" s="58"/>
      <c r="Q357" s="58"/>
      <c r="R357" s="58"/>
      <c r="S357" s="58"/>
      <c r="T357" s="58"/>
      <c r="U357" s="58"/>
      <c r="V357" s="58"/>
      <c r="W357" s="58"/>
      <c r="X357" s="58"/>
      <c r="Y357" s="58"/>
      <c r="Z357" s="58"/>
    </row>
    <row r="358" ht="54.75" customHeight="1">
      <c r="A358" s="518" t="s">
        <v>2656</v>
      </c>
      <c r="B358" s="519" t="s">
        <v>100</v>
      </c>
      <c r="C358" s="519" t="s">
        <v>2657</v>
      </c>
      <c r="D358" s="520" t="s">
        <v>2687</v>
      </c>
      <c r="E358" s="521" t="s">
        <v>2703</v>
      </c>
      <c r="F358" s="520" t="s">
        <v>2691</v>
      </c>
      <c r="G358" s="523">
        <v>15.0</v>
      </c>
      <c r="H358" s="516">
        <v>7.5</v>
      </c>
      <c r="I358" s="491" t="s">
        <v>2661</v>
      </c>
      <c r="J358" s="58"/>
      <c r="K358" s="58"/>
      <c r="L358" s="58"/>
      <c r="M358" s="58"/>
      <c r="N358" s="58"/>
      <c r="O358" s="58"/>
      <c r="P358" s="58"/>
      <c r="Q358" s="58"/>
      <c r="R358" s="58"/>
      <c r="S358" s="58"/>
      <c r="T358" s="58"/>
      <c r="U358" s="58"/>
      <c r="V358" s="58"/>
      <c r="W358" s="58"/>
      <c r="X358" s="58"/>
      <c r="Y358" s="58"/>
      <c r="Z358" s="58"/>
    </row>
    <row r="359" ht="54.75" customHeight="1">
      <c r="A359" s="518" t="s">
        <v>2656</v>
      </c>
      <c r="B359" s="519" t="s">
        <v>100</v>
      </c>
      <c r="C359" s="519" t="s">
        <v>2657</v>
      </c>
      <c r="D359" s="520" t="s">
        <v>2672</v>
      </c>
      <c r="E359" s="521" t="s">
        <v>2704</v>
      </c>
      <c r="F359" s="520" t="s">
        <v>2608</v>
      </c>
      <c r="G359" s="523">
        <v>15.0</v>
      </c>
      <c r="H359" s="516">
        <v>7.5</v>
      </c>
      <c r="I359" s="491" t="s">
        <v>2661</v>
      </c>
      <c r="J359" s="58"/>
      <c r="K359" s="58"/>
      <c r="L359" s="58"/>
      <c r="M359" s="58"/>
      <c r="N359" s="58"/>
      <c r="O359" s="58"/>
      <c r="P359" s="58"/>
      <c r="Q359" s="58"/>
      <c r="R359" s="58"/>
      <c r="S359" s="58"/>
      <c r="T359" s="58"/>
      <c r="U359" s="58"/>
      <c r="V359" s="58"/>
      <c r="W359" s="58"/>
      <c r="X359" s="58"/>
      <c r="Y359" s="58"/>
      <c r="Z359" s="58"/>
    </row>
    <row r="360" ht="54.75" customHeight="1">
      <c r="A360" s="518" t="s">
        <v>2656</v>
      </c>
      <c r="B360" s="519" t="s">
        <v>100</v>
      </c>
      <c r="C360" s="519" t="s">
        <v>2657</v>
      </c>
      <c r="D360" s="520" t="s">
        <v>2672</v>
      </c>
      <c r="E360" s="521" t="s">
        <v>2705</v>
      </c>
      <c r="F360" s="520" t="s">
        <v>2608</v>
      </c>
      <c r="G360" s="523">
        <v>15.0</v>
      </c>
      <c r="H360" s="516">
        <v>7.5</v>
      </c>
      <c r="I360" s="491" t="s">
        <v>2661</v>
      </c>
      <c r="J360" s="58"/>
      <c r="K360" s="58"/>
      <c r="L360" s="58"/>
      <c r="M360" s="58"/>
      <c r="N360" s="58"/>
      <c r="O360" s="58"/>
      <c r="P360" s="58"/>
      <c r="Q360" s="58"/>
      <c r="R360" s="58"/>
      <c r="S360" s="58"/>
      <c r="T360" s="58"/>
      <c r="U360" s="58"/>
      <c r="V360" s="58"/>
      <c r="W360" s="58"/>
      <c r="X360" s="58"/>
      <c r="Y360" s="58"/>
      <c r="Z360" s="58"/>
    </row>
    <row r="361" ht="55.5" customHeight="1">
      <c r="A361" s="518" t="s">
        <v>2656</v>
      </c>
      <c r="B361" s="519" t="s">
        <v>100</v>
      </c>
      <c r="C361" s="519" t="s">
        <v>2657</v>
      </c>
      <c r="D361" s="518" t="s">
        <v>2706</v>
      </c>
      <c r="E361" s="521" t="s">
        <v>2707</v>
      </c>
      <c r="F361" s="520" t="s">
        <v>2708</v>
      </c>
      <c r="G361" s="523">
        <v>15.0</v>
      </c>
      <c r="H361" s="516">
        <v>7.5</v>
      </c>
      <c r="I361" s="491" t="s">
        <v>2661</v>
      </c>
      <c r="J361" s="58"/>
      <c r="K361" s="58"/>
      <c r="L361" s="58"/>
      <c r="M361" s="58"/>
      <c r="N361" s="58"/>
      <c r="O361" s="58"/>
      <c r="P361" s="58"/>
      <c r="Q361" s="58"/>
      <c r="R361" s="58"/>
      <c r="S361" s="58"/>
      <c r="T361" s="58"/>
      <c r="U361" s="58"/>
      <c r="V361" s="58"/>
      <c r="W361" s="58"/>
      <c r="X361" s="58"/>
      <c r="Y361" s="58"/>
      <c r="Z361" s="58"/>
    </row>
    <row r="362" ht="54.75" customHeight="1">
      <c r="A362" s="518" t="s">
        <v>2656</v>
      </c>
      <c r="B362" s="519" t="s">
        <v>100</v>
      </c>
      <c r="C362" s="519" t="s">
        <v>2657</v>
      </c>
      <c r="D362" s="520" t="s">
        <v>2709</v>
      </c>
      <c r="E362" s="521" t="s">
        <v>2710</v>
      </c>
      <c r="F362" s="521" t="s">
        <v>2711</v>
      </c>
      <c r="G362" s="523">
        <v>15.0</v>
      </c>
      <c r="H362" s="516">
        <v>7.5</v>
      </c>
      <c r="I362" s="491" t="s">
        <v>2661</v>
      </c>
      <c r="J362" s="58"/>
      <c r="K362" s="58"/>
      <c r="L362" s="58"/>
      <c r="M362" s="58"/>
      <c r="N362" s="58"/>
      <c r="O362" s="58"/>
      <c r="P362" s="58"/>
      <c r="Q362" s="58"/>
      <c r="R362" s="58"/>
      <c r="S362" s="58"/>
      <c r="T362" s="58"/>
      <c r="U362" s="58"/>
      <c r="V362" s="58"/>
      <c r="W362" s="58"/>
      <c r="X362" s="58"/>
      <c r="Y362" s="58"/>
      <c r="Z362" s="58"/>
    </row>
    <row r="363" ht="27.0" customHeight="1">
      <c r="A363" s="518" t="s">
        <v>971</v>
      </c>
      <c r="B363" s="519" t="s">
        <v>2712</v>
      </c>
      <c r="C363" s="519" t="s">
        <v>2713</v>
      </c>
      <c r="D363" s="520" t="s">
        <v>2714</v>
      </c>
      <c r="E363" s="521" t="s">
        <v>2715</v>
      </c>
      <c r="F363" s="521" t="s">
        <v>2716</v>
      </c>
      <c r="G363" s="523">
        <v>50.0</v>
      </c>
      <c r="H363" s="516">
        <v>50.0</v>
      </c>
      <c r="I363" s="491" t="s">
        <v>2661</v>
      </c>
      <c r="J363" s="58"/>
      <c r="K363" s="58"/>
      <c r="L363" s="58"/>
      <c r="M363" s="58"/>
      <c r="N363" s="58"/>
      <c r="O363" s="58"/>
      <c r="P363" s="58"/>
      <c r="Q363" s="58"/>
      <c r="R363" s="58"/>
      <c r="S363" s="58"/>
      <c r="T363" s="58"/>
      <c r="U363" s="58"/>
      <c r="V363" s="58"/>
      <c r="W363" s="58"/>
      <c r="X363" s="58"/>
      <c r="Y363" s="58"/>
      <c r="Z363" s="58"/>
    </row>
    <row r="364" ht="27.75" customHeight="1">
      <c r="A364" s="518" t="s">
        <v>971</v>
      </c>
      <c r="B364" s="519" t="s">
        <v>2712</v>
      </c>
      <c r="C364" s="519" t="s">
        <v>2713</v>
      </c>
      <c r="D364" s="520" t="s">
        <v>2717</v>
      </c>
      <c r="E364" s="521" t="s">
        <v>2718</v>
      </c>
      <c r="F364" s="524" t="s">
        <v>2719</v>
      </c>
      <c r="G364" s="523">
        <v>50.0</v>
      </c>
      <c r="H364" s="516">
        <v>50.0</v>
      </c>
      <c r="I364" s="491" t="s">
        <v>2661</v>
      </c>
      <c r="J364" s="58"/>
      <c r="K364" s="58"/>
      <c r="L364" s="58"/>
      <c r="M364" s="58"/>
      <c r="N364" s="58"/>
      <c r="O364" s="58"/>
      <c r="P364" s="58"/>
      <c r="Q364" s="58"/>
      <c r="R364" s="58"/>
      <c r="S364" s="58"/>
      <c r="T364" s="58"/>
      <c r="U364" s="58"/>
      <c r="V364" s="58"/>
      <c r="W364" s="58"/>
      <c r="X364" s="58"/>
      <c r="Y364" s="58"/>
      <c r="Z364" s="58"/>
    </row>
    <row r="365" ht="27.0" customHeight="1">
      <c r="A365" s="518" t="s">
        <v>971</v>
      </c>
      <c r="B365" s="519" t="s">
        <v>100</v>
      </c>
      <c r="C365" s="519" t="s">
        <v>2713</v>
      </c>
      <c r="D365" s="520" t="s">
        <v>2720</v>
      </c>
      <c r="E365" s="521" t="s">
        <v>2721</v>
      </c>
      <c r="F365" s="521" t="s">
        <v>2722</v>
      </c>
      <c r="G365" s="523">
        <v>15.0</v>
      </c>
      <c r="H365" s="516">
        <v>15.0</v>
      </c>
      <c r="I365" s="491" t="s">
        <v>2661</v>
      </c>
      <c r="J365" s="58"/>
      <c r="K365" s="58"/>
      <c r="L365" s="58"/>
      <c r="M365" s="58"/>
      <c r="N365" s="58"/>
      <c r="O365" s="58"/>
      <c r="P365" s="58"/>
      <c r="Q365" s="58"/>
      <c r="R365" s="58"/>
      <c r="S365" s="58"/>
      <c r="T365" s="58"/>
      <c r="U365" s="58"/>
      <c r="V365" s="58"/>
      <c r="W365" s="58"/>
      <c r="X365" s="58"/>
      <c r="Y365" s="58"/>
      <c r="Z365" s="58"/>
    </row>
    <row r="366" ht="27.0" customHeight="1">
      <c r="A366" s="518" t="s">
        <v>971</v>
      </c>
      <c r="B366" s="519" t="s">
        <v>2712</v>
      </c>
      <c r="C366" s="519" t="s">
        <v>2713</v>
      </c>
      <c r="D366" s="520" t="s">
        <v>2723</v>
      </c>
      <c r="E366" s="521" t="s">
        <v>2724</v>
      </c>
      <c r="F366" s="520" t="s">
        <v>2725</v>
      </c>
      <c r="G366" s="523">
        <v>15.0</v>
      </c>
      <c r="H366" s="516">
        <v>15.0</v>
      </c>
      <c r="I366" s="491" t="s">
        <v>2661</v>
      </c>
      <c r="J366" s="58"/>
      <c r="K366" s="58"/>
      <c r="L366" s="58"/>
      <c r="M366" s="58"/>
      <c r="N366" s="58"/>
      <c r="O366" s="58"/>
      <c r="P366" s="58"/>
      <c r="Q366" s="58"/>
      <c r="R366" s="58"/>
      <c r="S366" s="58"/>
      <c r="T366" s="58"/>
      <c r="U366" s="58"/>
      <c r="V366" s="58"/>
      <c r="W366" s="58"/>
      <c r="X366" s="58"/>
      <c r="Y366" s="58"/>
      <c r="Z366" s="58"/>
    </row>
    <row r="367" ht="42.0" customHeight="1">
      <c r="A367" s="518" t="s">
        <v>971</v>
      </c>
      <c r="B367" s="519" t="s">
        <v>100</v>
      </c>
      <c r="C367" s="519" t="s">
        <v>2713</v>
      </c>
      <c r="D367" s="520" t="s">
        <v>2726</v>
      </c>
      <c r="E367" s="521" t="s">
        <v>2727</v>
      </c>
      <c r="F367" s="524" t="s">
        <v>2728</v>
      </c>
      <c r="G367" s="523">
        <v>50.0</v>
      </c>
      <c r="H367" s="516">
        <v>50.0</v>
      </c>
      <c r="I367" s="491" t="s">
        <v>2661</v>
      </c>
      <c r="J367" s="58"/>
      <c r="K367" s="58"/>
      <c r="L367" s="58"/>
      <c r="M367" s="58"/>
      <c r="N367" s="58"/>
      <c r="O367" s="58"/>
      <c r="P367" s="58"/>
      <c r="Q367" s="58"/>
      <c r="R367" s="58"/>
      <c r="S367" s="58"/>
      <c r="T367" s="58"/>
      <c r="U367" s="58"/>
      <c r="V367" s="58"/>
      <c r="W367" s="58"/>
      <c r="X367" s="58"/>
      <c r="Y367" s="58"/>
      <c r="Z367" s="58"/>
    </row>
    <row r="368" ht="27.0" customHeight="1">
      <c r="A368" s="518" t="s">
        <v>971</v>
      </c>
      <c r="B368" s="519" t="s">
        <v>100</v>
      </c>
      <c r="C368" s="519" t="s">
        <v>2713</v>
      </c>
      <c r="D368" s="520" t="s">
        <v>2687</v>
      </c>
      <c r="E368" s="521" t="s">
        <v>2729</v>
      </c>
      <c r="F368" s="520" t="s">
        <v>2608</v>
      </c>
      <c r="G368" s="523">
        <v>15.0</v>
      </c>
      <c r="H368" s="516">
        <v>15.0</v>
      </c>
      <c r="I368" s="491" t="s">
        <v>2661</v>
      </c>
      <c r="J368" s="58"/>
      <c r="K368" s="58"/>
      <c r="L368" s="58"/>
      <c r="M368" s="58"/>
      <c r="N368" s="58"/>
      <c r="O368" s="58"/>
      <c r="P368" s="58"/>
      <c r="Q368" s="58"/>
      <c r="R368" s="58"/>
      <c r="S368" s="58"/>
      <c r="T368" s="58"/>
      <c r="U368" s="58"/>
      <c r="V368" s="58"/>
      <c r="W368" s="58"/>
      <c r="X368" s="58"/>
      <c r="Y368" s="58"/>
      <c r="Z368" s="58"/>
    </row>
    <row r="369" ht="41.25" customHeight="1">
      <c r="A369" s="518" t="s">
        <v>2730</v>
      </c>
      <c r="B369" s="519" t="s">
        <v>100</v>
      </c>
      <c r="C369" s="519" t="s">
        <v>2731</v>
      </c>
      <c r="D369" s="520" t="s">
        <v>2732</v>
      </c>
      <c r="E369" s="521" t="s">
        <v>2733</v>
      </c>
      <c r="F369" s="520" t="s">
        <v>2734</v>
      </c>
      <c r="G369" s="523">
        <v>15.0</v>
      </c>
      <c r="H369" s="516">
        <v>7.5</v>
      </c>
      <c r="I369" s="491" t="s">
        <v>2661</v>
      </c>
      <c r="J369" s="58"/>
      <c r="K369" s="58"/>
      <c r="L369" s="58"/>
      <c r="M369" s="58"/>
      <c r="N369" s="58"/>
      <c r="O369" s="58"/>
      <c r="P369" s="58"/>
      <c r="Q369" s="58"/>
      <c r="R369" s="58"/>
      <c r="S369" s="58"/>
      <c r="T369" s="58"/>
      <c r="U369" s="58"/>
      <c r="V369" s="58"/>
      <c r="W369" s="58"/>
      <c r="X369" s="58"/>
      <c r="Y369" s="58"/>
      <c r="Z369" s="58"/>
    </row>
    <row r="370" ht="41.25" customHeight="1">
      <c r="A370" s="518" t="s">
        <v>2730</v>
      </c>
      <c r="B370" s="519" t="s">
        <v>100</v>
      </c>
      <c r="C370" s="519" t="s">
        <v>2731</v>
      </c>
      <c r="D370" s="520" t="s">
        <v>2735</v>
      </c>
      <c r="E370" s="521" t="s">
        <v>2736</v>
      </c>
      <c r="F370" s="521" t="s">
        <v>2737</v>
      </c>
      <c r="G370" s="523">
        <v>15.0</v>
      </c>
      <c r="H370" s="516">
        <v>7.5</v>
      </c>
      <c r="I370" s="491" t="s">
        <v>2661</v>
      </c>
      <c r="J370" s="58"/>
      <c r="K370" s="58"/>
      <c r="L370" s="58"/>
      <c r="M370" s="58"/>
      <c r="N370" s="58"/>
      <c r="O370" s="58"/>
      <c r="P370" s="58"/>
      <c r="Q370" s="58"/>
      <c r="R370" s="58"/>
      <c r="S370" s="58"/>
      <c r="T370" s="58"/>
      <c r="U370" s="58"/>
      <c r="V370" s="58"/>
      <c r="W370" s="58"/>
      <c r="X370" s="58"/>
      <c r="Y370" s="58"/>
      <c r="Z370" s="58"/>
    </row>
    <row r="371" ht="27.75" customHeight="1">
      <c r="A371" s="518" t="s">
        <v>2656</v>
      </c>
      <c r="B371" s="519" t="s">
        <v>100</v>
      </c>
      <c r="C371" s="519" t="s">
        <v>2738</v>
      </c>
      <c r="D371" s="520" t="s">
        <v>2682</v>
      </c>
      <c r="E371" s="521" t="s">
        <v>2739</v>
      </c>
      <c r="F371" s="520" t="s">
        <v>2740</v>
      </c>
      <c r="G371" s="523">
        <v>15.0</v>
      </c>
      <c r="H371" s="516">
        <v>7.5</v>
      </c>
      <c r="I371" s="491" t="s">
        <v>2661</v>
      </c>
      <c r="J371" s="58"/>
      <c r="K371" s="58"/>
      <c r="L371" s="58"/>
      <c r="M371" s="58"/>
      <c r="N371" s="58"/>
      <c r="O371" s="58"/>
      <c r="P371" s="58"/>
      <c r="Q371" s="58"/>
      <c r="R371" s="58"/>
      <c r="S371" s="58"/>
      <c r="T371" s="58"/>
      <c r="U371" s="58"/>
      <c r="V371" s="58"/>
      <c r="W371" s="58"/>
      <c r="X371" s="58"/>
      <c r="Y371" s="58"/>
      <c r="Z371" s="58"/>
    </row>
    <row r="372" ht="27.75" customHeight="1">
      <c r="A372" s="518" t="s">
        <v>2656</v>
      </c>
      <c r="B372" s="519" t="s">
        <v>100</v>
      </c>
      <c r="C372" s="519" t="s">
        <v>2738</v>
      </c>
      <c r="D372" s="520" t="s">
        <v>2741</v>
      </c>
      <c r="E372" s="521" t="s">
        <v>2742</v>
      </c>
      <c r="F372" s="521" t="s">
        <v>2743</v>
      </c>
      <c r="G372" s="523">
        <v>15.0</v>
      </c>
      <c r="H372" s="516">
        <v>7.5</v>
      </c>
      <c r="I372" s="491" t="s">
        <v>2661</v>
      </c>
      <c r="J372" s="58"/>
      <c r="K372" s="58"/>
      <c r="L372" s="58"/>
      <c r="M372" s="58"/>
      <c r="N372" s="58"/>
      <c r="O372" s="58"/>
      <c r="P372" s="58"/>
      <c r="Q372" s="58"/>
      <c r="R372" s="58"/>
      <c r="S372" s="58"/>
      <c r="T372" s="58"/>
      <c r="U372" s="58"/>
      <c r="V372" s="58"/>
      <c r="W372" s="58"/>
      <c r="X372" s="58"/>
      <c r="Y372" s="58"/>
      <c r="Z372" s="58"/>
    </row>
    <row r="373" ht="54.75" customHeight="1">
      <c r="A373" s="518" t="s">
        <v>971</v>
      </c>
      <c r="B373" s="519" t="s">
        <v>100</v>
      </c>
      <c r="C373" s="519" t="s">
        <v>2744</v>
      </c>
      <c r="D373" s="520" t="s">
        <v>2745</v>
      </c>
      <c r="E373" s="521" t="s">
        <v>2746</v>
      </c>
      <c r="F373" s="521" t="s">
        <v>2747</v>
      </c>
      <c r="G373" s="523">
        <v>15.0</v>
      </c>
      <c r="H373" s="516">
        <v>15.0</v>
      </c>
      <c r="I373" s="491" t="s">
        <v>2661</v>
      </c>
      <c r="J373" s="58"/>
      <c r="K373" s="58"/>
      <c r="L373" s="58"/>
      <c r="M373" s="58"/>
      <c r="N373" s="58"/>
      <c r="O373" s="58"/>
      <c r="P373" s="58"/>
      <c r="Q373" s="58"/>
      <c r="R373" s="58"/>
      <c r="S373" s="58"/>
      <c r="T373" s="58"/>
      <c r="U373" s="58"/>
      <c r="V373" s="58"/>
      <c r="W373" s="58"/>
      <c r="X373" s="58"/>
      <c r="Y373" s="58"/>
      <c r="Z373" s="58"/>
    </row>
    <row r="374" ht="54.75" customHeight="1">
      <c r="A374" s="518" t="s">
        <v>971</v>
      </c>
      <c r="B374" s="519" t="s">
        <v>100</v>
      </c>
      <c r="C374" s="519" t="s">
        <v>2744</v>
      </c>
      <c r="D374" s="520" t="s">
        <v>2748</v>
      </c>
      <c r="E374" s="521" t="s">
        <v>2749</v>
      </c>
      <c r="F374" s="521" t="s">
        <v>2750</v>
      </c>
      <c r="G374" s="523">
        <v>15.0</v>
      </c>
      <c r="H374" s="516">
        <v>15.0</v>
      </c>
      <c r="I374" s="491" t="s">
        <v>2661</v>
      </c>
      <c r="J374" s="58"/>
      <c r="K374" s="58"/>
      <c r="L374" s="58"/>
      <c r="M374" s="58"/>
      <c r="N374" s="58"/>
      <c r="O374" s="58"/>
      <c r="P374" s="58"/>
      <c r="Q374" s="58"/>
      <c r="R374" s="58"/>
      <c r="S374" s="58"/>
      <c r="T374" s="58"/>
      <c r="U374" s="58"/>
      <c r="V374" s="58"/>
      <c r="W374" s="58"/>
      <c r="X374" s="58"/>
      <c r="Y374" s="58"/>
      <c r="Z374" s="58"/>
    </row>
    <row r="375" ht="54.75" customHeight="1">
      <c r="A375" s="518" t="s">
        <v>971</v>
      </c>
      <c r="B375" s="519" t="s">
        <v>100</v>
      </c>
      <c r="C375" s="519" t="s">
        <v>2744</v>
      </c>
      <c r="D375" s="520" t="s">
        <v>2751</v>
      </c>
      <c r="E375" s="521" t="s">
        <v>2752</v>
      </c>
      <c r="F375" s="521" t="s">
        <v>2753</v>
      </c>
      <c r="G375" s="523">
        <v>15.0</v>
      </c>
      <c r="H375" s="516">
        <v>15.0</v>
      </c>
      <c r="I375" s="491" t="s">
        <v>2661</v>
      </c>
      <c r="J375" s="58"/>
      <c r="K375" s="58"/>
      <c r="L375" s="58"/>
      <c r="M375" s="58"/>
      <c r="N375" s="58"/>
      <c r="O375" s="58"/>
      <c r="P375" s="58"/>
      <c r="Q375" s="58"/>
      <c r="R375" s="58"/>
      <c r="S375" s="58"/>
      <c r="T375" s="58"/>
      <c r="U375" s="58"/>
      <c r="V375" s="58"/>
      <c r="W375" s="58"/>
      <c r="X375" s="58"/>
      <c r="Y375" s="58"/>
      <c r="Z375" s="58"/>
    </row>
    <row r="376" ht="54.75" customHeight="1">
      <c r="A376" s="518" t="s">
        <v>971</v>
      </c>
      <c r="B376" s="519" t="s">
        <v>100</v>
      </c>
      <c r="C376" s="519" t="s">
        <v>2744</v>
      </c>
      <c r="D376" s="520" t="s">
        <v>2754</v>
      </c>
      <c r="E376" s="521" t="s">
        <v>2755</v>
      </c>
      <c r="F376" s="521" t="s">
        <v>2756</v>
      </c>
      <c r="G376" s="523">
        <v>15.0</v>
      </c>
      <c r="H376" s="516">
        <v>15.0</v>
      </c>
      <c r="I376" s="491" t="s">
        <v>2661</v>
      </c>
      <c r="J376" s="58"/>
      <c r="K376" s="58"/>
      <c r="L376" s="58"/>
      <c r="M376" s="58"/>
      <c r="N376" s="58"/>
      <c r="O376" s="58"/>
      <c r="P376" s="58"/>
      <c r="Q376" s="58"/>
      <c r="R376" s="58"/>
      <c r="S376" s="58"/>
      <c r="T376" s="58"/>
      <c r="U376" s="58"/>
      <c r="V376" s="58"/>
      <c r="W376" s="58"/>
      <c r="X376" s="58"/>
      <c r="Y376" s="58"/>
      <c r="Z376" s="58"/>
    </row>
    <row r="377" ht="69.0" customHeight="1">
      <c r="A377" s="518" t="s">
        <v>2757</v>
      </c>
      <c r="B377" s="519" t="s">
        <v>100</v>
      </c>
      <c r="C377" s="519" t="s">
        <v>2758</v>
      </c>
      <c r="D377" s="520" t="s">
        <v>2759</v>
      </c>
      <c r="E377" s="521" t="s">
        <v>2760</v>
      </c>
      <c r="F377" s="520" t="s">
        <v>2608</v>
      </c>
      <c r="G377" s="523">
        <v>15.0</v>
      </c>
      <c r="H377" s="516">
        <v>7.5</v>
      </c>
      <c r="I377" s="491" t="s">
        <v>2661</v>
      </c>
      <c r="J377" s="58"/>
      <c r="K377" s="58"/>
      <c r="L377" s="58"/>
      <c r="M377" s="58"/>
      <c r="N377" s="58"/>
      <c r="O377" s="58"/>
      <c r="P377" s="58"/>
      <c r="Q377" s="58"/>
      <c r="R377" s="58"/>
      <c r="S377" s="58"/>
      <c r="T377" s="58"/>
      <c r="U377" s="58"/>
      <c r="V377" s="58"/>
      <c r="W377" s="58"/>
      <c r="X377" s="58"/>
      <c r="Y377" s="58"/>
      <c r="Z377" s="58"/>
    </row>
    <row r="378" ht="69.0" customHeight="1">
      <c r="A378" s="518" t="s">
        <v>2757</v>
      </c>
      <c r="B378" s="519" t="s">
        <v>100</v>
      </c>
      <c r="C378" s="519" t="s">
        <v>2758</v>
      </c>
      <c r="D378" s="520" t="s">
        <v>2687</v>
      </c>
      <c r="E378" s="521" t="s">
        <v>2761</v>
      </c>
      <c r="F378" s="520" t="s">
        <v>2608</v>
      </c>
      <c r="G378" s="523">
        <v>15.0</v>
      </c>
      <c r="H378" s="516">
        <v>7.5</v>
      </c>
      <c r="I378" s="491" t="s">
        <v>2661</v>
      </c>
      <c r="J378" s="58"/>
      <c r="K378" s="58"/>
      <c r="L378" s="58"/>
      <c r="M378" s="58"/>
      <c r="N378" s="58"/>
      <c r="O378" s="58"/>
      <c r="P378" s="58"/>
      <c r="Q378" s="58"/>
      <c r="R378" s="58"/>
      <c r="S378" s="58"/>
      <c r="T378" s="58"/>
      <c r="U378" s="58"/>
      <c r="V378" s="58"/>
      <c r="W378" s="58"/>
      <c r="X378" s="58"/>
      <c r="Y378" s="58"/>
      <c r="Z378" s="58"/>
    </row>
    <row r="379" ht="54.75" customHeight="1">
      <c r="A379" s="518" t="s">
        <v>971</v>
      </c>
      <c r="B379" s="519" t="s">
        <v>100</v>
      </c>
      <c r="C379" s="519" t="s">
        <v>2762</v>
      </c>
      <c r="D379" s="520" t="s">
        <v>2763</v>
      </c>
      <c r="E379" s="521" t="s">
        <v>2520</v>
      </c>
      <c r="F379" s="521" t="s">
        <v>2764</v>
      </c>
      <c r="G379" s="523">
        <v>15.0</v>
      </c>
      <c r="H379" s="516">
        <v>15.0</v>
      </c>
      <c r="I379" s="491" t="s">
        <v>2661</v>
      </c>
      <c r="J379" s="58"/>
      <c r="K379" s="58"/>
      <c r="L379" s="58"/>
      <c r="M379" s="58"/>
      <c r="N379" s="58"/>
      <c r="O379" s="58"/>
      <c r="P379" s="58"/>
      <c r="Q379" s="58"/>
      <c r="R379" s="58"/>
      <c r="S379" s="58"/>
      <c r="T379" s="58"/>
      <c r="U379" s="58"/>
      <c r="V379" s="58"/>
      <c r="W379" s="58"/>
      <c r="X379" s="58"/>
      <c r="Y379" s="58"/>
      <c r="Z379" s="58"/>
    </row>
    <row r="380" ht="54.75" customHeight="1">
      <c r="A380" s="518" t="s">
        <v>971</v>
      </c>
      <c r="B380" s="519" t="s">
        <v>100</v>
      </c>
      <c r="C380" s="519" t="s">
        <v>2762</v>
      </c>
      <c r="D380" s="520" t="s">
        <v>2687</v>
      </c>
      <c r="E380" s="521" t="s">
        <v>2765</v>
      </c>
      <c r="F380" s="521" t="s">
        <v>2766</v>
      </c>
      <c r="G380" s="523">
        <v>15.0</v>
      </c>
      <c r="H380" s="516">
        <v>15.0</v>
      </c>
      <c r="I380" s="491" t="s">
        <v>2661</v>
      </c>
      <c r="J380" s="58"/>
      <c r="K380" s="58"/>
      <c r="L380" s="58"/>
      <c r="M380" s="58"/>
      <c r="N380" s="58"/>
      <c r="O380" s="58"/>
      <c r="P380" s="58"/>
      <c r="Q380" s="58"/>
      <c r="R380" s="58"/>
      <c r="S380" s="58"/>
      <c r="T380" s="58"/>
      <c r="U380" s="58"/>
      <c r="V380" s="58"/>
      <c r="W380" s="58"/>
      <c r="X380" s="58"/>
      <c r="Y380" s="58"/>
      <c r="Z380" s="58"/>
    </row>
    <row r="381" ht="82.5" customHeight="1">
      <c r="A381" s="518" t="s">
        <v>2730</v>
      </c>
      <c r="B381" s="519" t="s">
        <v>100</v>
      </c>
      <c r="C381" s="519" t="s">
        <v>2767</v>
      </c>
      <c r="D381" s="520" t="s">
        <v>2768</v>
      </c>
      <c r="E381" s="521" t="s">
        <v>2755</v>
      </c>
      <c r="F381" s="521" t="s">
        <v>2756</v>
      </c>
      <c r="G381" s="523">
        <v>15.0</v>
      </c>
      <c r="H381" s="516">
        <v>7.5</v>
      </c>
      <c r="I381" s="491" t="s">
        <v>2661</v>
      </c>
      <c r="J381" s="58"/>
      <c r="K381" s="58"/>
      <c r="L381" s="58"/>
      <c r="M381" s="58"/>
      <c r="N381" s="58"/>
      <c r="O381" s="58"/>
      <c r="P381" s="58"/>
      <c r="Q381" s="58"/>
      <c r="R381" s="58"/>
      <c r="S381" s="58"/>
      <c r="T381" s="58"/>
      <c r="U381" s="58"/>
      <c r="V381" s="58"/>
      <c r="W381" s="58"/>
      <c r="X381" s="58"/>
      <c r="Y381" s="58"/>
      <c r="Z381" s="58"/>
    </row>
    <row r="382" ht="123.75" customHeight="1">
      <c r="A382" s="101" t="s">
        <v>2769</v>
      </c>
      <c r="B382" s="176" t="s">
        <v>2770</v>
      </c>
      <c r="C382" s="75" t="s">
        <v>2771</v>
      </c>
      <c r="D382" s="75" t="s">
        <v>2772</v>
      </c>
      <c r="E382" s="75" t="s">
        <v>2773</v>
      </c>
      <c r="F382" s="75" t="s">
        <v>2774</v>
      </c>
      <c r="G382" s="76">
        <v>50.0</v>
      </c>
      <c r="H382" s="77">
        <v>25.0</v>
      </c>
      <c r="I382" s="491" t="s">
        <v>1491</v>
      </c>
      <c r="J382" s="58"/>
      <c r="K382" s="58"/>
      <c r="L382" s="58"/>
      <c r="M382" s="58"/>
      <c r="N382" s="58"/>
      <c r="O382" s="58"/>
      <c r="P382" s="58"/>
      <c r="Q382" s="58"/>
      <c r="R382" s="58"/>
      <c r="S382" s="58"/>
      <c r="T382" s="58"/>
      <c r="U382" s="58"/>
      <c r="V382" s="58"/>
      <c r="W382" s="58"/>
      <c r="X382" s="58"/>
      <c r="Y382" s="58"/>
      <c r="Z382" s="58"/>
    </row>
    <row r="383" ht="69.0" customHeight="1">
      <c r="A383" s="101" t="s">
        <v>2775</v>
      </c>
      <c r="B383" s="176" t="s">
        <v>567</v>
      </c>
      <c r="C383" s="75" t="s">
        <v>2776</v>
      </c>
      <c r="D383" s="75" t="s">
        <v>2777</v>
      </c>
      <c r="E383" s="75" t="s">
        <v>2778</v>
      </c>
      <c r="F383" s="75" t="s">
        <v>2272</v>
      </c>
      <c r="G383" s="76">
        <v>50.0</v>
      </c>
      <c r="H383" s="77">
        <v>50.0</v>
      </c>
      <c r="I383" s="77" t="s">
        <v>125</v>
      </c>
      <c r="J383" s="58"/>
      <c r="K383" s="58"/>
      <c r="L383" s="58"/>
      <c r="M383" s="58"/>
      <c r="N383" s="58"/>
      <c r="O383" s="58"/>
      <c r="P383" s="58"/>
      <c r="Q383" s="58"/>
      <c r="R383" s="58"/>
      <c r="S383" s="58"/>
      <c r="T383" s="58"/>
      <c r="U383" s="58"/>
      <c r="V383" s="58"/>
      <c r="W383" s="58"/>
      <c r="X383" s="58"/>
      <c r="Y383" s="58"/>
      <c r="Z383" s="58"/>
    </row>
    <row r="384" ht="151.5" customHeight="1">
      <c r="A384" s="101" t="s">
        <v>2779</v>
      </c>
      <c r="B384" s="176" t="s">
        <v>123</v>
      </c>
      <c r="C384" s="75" t="s">
        <v>2780</v>
      </c>
      <c r="D384" s="75" t="s">
        <v>2781</v>
      </c>
      <c r="E384" s="75" t="s">
        <v>2782</v>
      </c>
      <c r="F384" s="75" t="s">
        <v>2783</v>
      </c>
      <c r="G384" s="76">
        <v>15.0</v>
      </c>
      <c r="H384" s="77">
        <v>15.0</v>
      </c>
      <c r="I384" s="77" t="s">
        <v>128</v>
      </c>
      <c r="J384" s="58"/>
      <c r="K384" s="58"/>
      <c r="L384" s="58"/>
      <c r="M384" s="58"/>
      <c r="N384" s="58"/>
      <c r="O384" s="58"/>
      <c r="P384" s="58"/>
      <c r="Q384" s="58"/>
      <c r="R384" s="58"/>
      <c r="S384" s="58"/>
      <c r="T384" s="58"/>
      <c r="U384" s="58"/>
      <c r="V384" s="58"/>
      <c r="W384" s="58"/>
      <c r="X384" s="58"/>
      <c r="Y384" s="58"/>
      <c r="Z384" s="58"/>
    </row>
    <row r="385" ht="138.0" customHeight="1">
      <c r="A385" s="101" t="s">
        <v>2784</v>
      </c>
      <c r="B385" s="176" t="s">
        <v>123</v>
      </c>
      <c r="C385" s="75" t="s">
        <v>2780</v>
      </c>
      <c r="D385" s="75" t="s">
        <v>2785</v>
      </c>
      <c r="E385" s="75" t="s">
        <v>2782</v>
      </c>
      <c r="F385" s="75" t="s">
        <v>2783</v>
      </c>
      <c r="G385" s="76">
        <v>15.0</v>
      </c>
      <c r="H385" s="77">
        <v>15.0</v>
      </c>
      <c r="I385" s="77" t="s">
        <v>128</v>
      </c>
      <c r="J385" s="58"/>
      <c r="K385" s="58"/>
      <c r="L385" s="58"/>
      <c r="M385" s="58"/>
      <c r="N385" s="58"/>
      <c r="O385" s="58"/>
      <c r="P385" s="58"/>
      <c r="Q385" s="58"/>
      <c r="R385" s="58"/>
      <c r="S385" s="58"/>
      <c r="T385" s="58"/>
      <c r="U385" s="58"/>
      <c r="V385" s="58"/>
      <c r="W385" s="58"/>
      <c r="X385" s="58"/>
      <c r="Y385" s="58"/>
      <c r="Z385" s="58"/>
    </row>
    <row r="386" ht="138.0" customHeight="1">
      <c r="A386" s="101" t="s">
        <v>2784</v>
      </c>
      <c r="B386" s="176" t="s">
        <v>123</v>
      </c>
      <c r="C386" s="75" t="s">
        <v>2786</v>
      </c>
      <c r="D386" s="75" t="s">
        <v>2785</v>
      </c>
      <c r="E386" s="75" t="s">
        <v>2782</v>
      </c>
      <c r="F386" s="75" t="s">
        <v>2783</v>
      </c>
      <c r="G386" s="76">
        <v>15.0</v>
      </c>
      <c r="H386" s="77">
        <v>15.0</v>
      </c>
      <c r="I386" s="77" t="s">
        <v>128</v>
      </c>
      <c r="J386" s="58"/>
      <c r="K386" s="58"/>
      <c r="L386" s="58"/>
      <c r="M386" s="58"/>
      <c r="N386" s="58"/>
      <c r="O386" s="58"/>
      <c r="P386" s="58"/>
      <c r="Q386" s="58"/>
      <c r="R386" s="58"/>
      <c r="S386" s="58"/>
      <c r="T386" s="58"/>
      <c r="U386" s="58"/>
      <c r="V386" s="58"/>
      <c r="W386" s="58"/>
      <c r="X386" s="58"/>
      <c r="Y386" s="58"/>
      <c r="Z386" s="58"/>
    </row>
    <row r="387" ht="151.5" customHeight="1">
      <c r="A387" s="101" t="s">
        <v>2787</v>
      </c>
      <c r="B387" s="176" t="s">
        <v>123</v>
      </c>
      <c r="C387" s="75" t="s">
        <v>2780</v>
      </c>
      <c r="D387" s="75" t="s">
        <v>2788</v>
      </c>
      <c r="E387" s="75" t="s">
        <v>2782</v>
      </c>
      <c r="F387" s="75" t="s">
        <v>2783</v>
      </c>
      <c r="G387" s="76">
        <v>15.0</v>
      </c>
      <c r="H387" s="77">
        <v>15.0</v>
      </c>
      <c r="I387" s="77" t="s">
        <v>128</v>
      </c>
      <c r="J387" s="58"/>
      <c r="K387" s="58"/>
      <c r="L387" s="58"/>
      <c r="M387" s="58"/>
      <c r="N387" s="58"/>
      <c r="O387" s="58"/>
      <c r="P387" s="58"/>
      <c r="Q387" s="58"/>
      <c r="R387" s="58"/>
      <c r="S387" s="58"/>
      <c r="T387" s="58"/>
      <c r="U387" s="58"/>
      <c r="V387" s="58"/>
      <c r="W387" s="58"/>
      <c r="X387" s="58"/>
      <c r="Y387" s="58"/>
      <c r="Z387" s="58"/>
    </row>
    <row r="388" ht="179.25" customHeight="1">
      <c r="A388" s="101" t="s">
        <v>2789</v>
      </c>
      <c r="B388" s="176" t="s">
        <v>123</v>
      </c>
      <c r="C388" s="75" t="s">
        <v>2780</v>
      </c>
      <c r="D388" s="75" t="s">
        <v>2790</v>
      </c>
      <c r="E388" s="75" t="s">
        <v>2782</v>
      </c>
      <c r="F388" s="75" t="s">
        <v>2783</v>
      </c>
      <c r="G388" s="76">
        <v>15.0</v>
      </c>
      <c r="H388" s="77">
        <v>15.0</v>
      </c>
      <c r="I388" s="77" t="s">
        <v>128</v>
      </c>
      <c r="J388" s="58"/>
      <c r="K388" s="58"/>
      <c r="L388" s="58"/>
      <c r="M388" s="58"/>
      <c r="N388" s="58"/>
      <c r="O388" s="58"/>
      <c r="P388" s="58"/>
      <c r="Q388" s="58"/>
      <c r="R388" s="58"/>
      <c r="S388" s="58"/>
      <c r="T388" s="58"/>
      <c r="U388" s="58"/>
      <c r="V388" s="58"/>
      <c r="W388" s="58"/>
      <c r="X388" s="58"/>
      <c r="Y388" s="58"/>
      <c r="Z388" s="58"/>
    </row>
    <row r="389" ht="207.0" customHeight="1">
      <c r="A389" s="101" t="s">
        <v>2791</v>
      </c>
      <c r="B389" s="176" t="s">
        <v>123</v>
      </c>
      <c r="C389" s="75" t="s">
        <v>2780</v>
      </c>
      <c r="D389" s="75" t="s">
        <v>2792</v>
      </c>
      <c r="E389" s="75" t="s">
        <v>2793</v>
      </c>
      <c r="F389" s="75" t="s">
        <v>2783</v>
      </c>
      <c r="G389" s="76">
        <v>15.0</v>
      </c>
      <c r="H389" s="77">
        <v>15.0</v>
      </c>
      <c r="I389" s="77" t="s">
        <v>128</v>
      </c>
      <c r="J389" s="58"/>
      <c r="K389" s="58"/>
      <c r="L389" s="58"/>
      <c r="M389" s="58"/>
      <c r="N389" s="58"/>
      <c r="O389" s="58"/>
      <c r="P389" s="58"/>
      <c r="Q389" s="58"/>
      <c r="R389" s="58"/>
      <c r="S389" s="58"/>
      <c r="T389" s="58"/>
      <c r="U389" s="58"/>
      <c r="V389" s="58"/>
      <c r="W389" s="58"/>
      <c r="X389" s="58"/>
      <c r="Y389" s="58"/>
      <c r="Z389" s="58"/>
    </row>
    <row r="390" ht="151.5" customHeight="1">
      <c r="A390" s="101" t="s">
        <v>2794</v>
      </c>
      <c r="B390" s="176" t="s">
        <v>123</v>
      </c>
      <c r="C390" s="75" t="s">
        <v>2780</v>
      </c>
      <c r="D390" s="75" t="s">
        <v>2795</v>
      </c>
      <c r="E390" s="75" t="s">
        <v>2796</v>
      </c>
      <c r="F390" s="75" t="s">
        <v>2783</v>
      </c>
      <c r="G390" s="76">
        <v>15.0</v>
      </c>
      <c r="H390" s="77">
        <v>15.0</v>
      </c>
      <c r="I390" s="77" t="s">
        <v>128</v>
      </c>
      <c r="J390" s="58"/>
      <c r="K390" s="58"/>
      <c r="L390" s="58"/>
      <c r="M390" s="58"/>
      <c r="N390" s="58"/>
      <c r="O390" s="58"/>
      <c r="P390" s="58"/>
      <c r="Q390" s="58"/>
      <c r="R390" s="58"/>
      <c r="S390" s="58"/>
      <c r="T390" s="58"/>
      <c r="U390" s="58"/>
      <c r="V390" s="58"/>
      <c r="W390" s="58"/>
      <c r="X390" s="58"/>
      <c r="Y390" s="58"/>
      <c r="Z390" s="58"/>
    </row>
    <row r="391" ht="165.0" customHeight="1">
      <c r="A391" s="101" t="s">
        <v>2797</v>
      </c>
      <c r="B391" s="176" t="s">
        <v>123</v>
      </c>
      <c r="C391" s="75" t="s">
        <v>2780</v>
      </c>
      <c r="D391" s="75" t="s">
        <v>2798</v>
      </c>
      <c r="E391" s="75" t="s">
        <v>2793</v>
      </c>
      <c r="F391" s="75" t="s">
        <v>2783</v>
      </c>
      <c r="G391" s="76">
        <v>15.0</v>
      </c>
      <c r="H391" s="77">
        <v>15.0</v>
      </c>
      <c r="I391" s="77" t="s">
        <v>128</v>
      </c>
      <c r="J391" s="58"/>
      <c r="K391" s="58"/>
      <c r="L391" s="58"/>
      <c r="M391" s="58"/>
      <c r="N391" s="58"/>
      <c r="O391" s="58"/>
      <c r="P391" s="58"/>
      <c r="Q391" s="58"/>
      <c r="R391" s="58"/>
      <c r="S391" s="58"/>
      <c r="T391" s="58"/>
      <c r="U391" s="58"/>
      <c r="V391" s="58"/>
      <c r="W391" s="58"/>
      <c r="X391" s="58"/>
      <c r="Y391" s="58"/>
      <c r="Z391" s="58"/>
    </row>
    <row r="392" ht="151.5" customHeight="1">
      <c r="A392" s="101" t="s">
        <v>2799</v>
      </c>
      <c r="B392" s="176" t="s">
        <v>123</v>
      </c>
      <c r="C392" s="75" t="s">
        <v>2780</v>
      </c>
      <c r="D392" s="75" t="s">
        <v>2800</v>
      </c>
      <c r="E392" s="75" t="s">
        <v>2782</v>
      </c>
      <c r="F392" s="75" t="s">
        <v>2783</v>
      </c>
      <c r="G392" s="76">
        <v>15.0</v>
      </c>
      <c r="H392" s="77">
        <v>15.0</v>
      </c>
      <c r="I392" s="77" t="s">
        <v>128</v>
      </c>
      <c r="J392" s="58"/>
      <c r="K392" s="58"/>
      <c r="L392" s="58"/>
      <c r="M392" s="58"/>
      <c r="N392" s="58"/>
      <c r="O392" s="58"/>
      <c r="P392" s="58"/>
      <c r="Q392" s="58"/>
      <c r="R392" s="58"/>
      <c r="S392" s="58"/>
      <c r="T392" s="58"/>
      <c r="U392" s="58"/>
      <c r="V392" s="58"/>
      <c r="W392" s="58"/>
      <c r="X392" s="58"/>
      <c r="Y392" s="58"/>
      <c r="Z392" s="58"/>
    </row>
    <row r="393" ht="110.25" customHeight="1">
      <c r="A393" s="101" t="s">
        <v>2801</v>
      </c>
      <c r="B393" s="176" t="s">
        <v>2802</v>
      </c>
      <c r="C393" s="75" t="s">
        <v>2803</v>
      </c>
      <c r="D393" s="75" t="s">
        <v>2804</v>
      </c>
      <c r="E393" s="75" t="s">
        <v>2805</v>
      </c>
      <c r="F393" s="75" t="s">
        <v>2806</v>
      </c>
      <c r="G393" s="76">
        <v>15.0</v>
      </c>
      <c r="H393" s="77">
        <v>15.0</v>
      </c>
      <c r="I393" s="77" t="s">
        <v>133</v>
      </c>
      <c r="J393" s="58"/>
      <c r="K393" s="58"/>
      <c r="L393" s="58"/>
      <c r="M393" s="58"/>
      <c r="N393" s="58"/>
      <c r="O393" s="58"/>
      <c r="P393" s="58"/>
      <c r="Q393" s="58"/>
      <c r="R393" s="58"/>
      <c r="S393" s="58"/>
      <c r="T393" s="58"/>
      <c r="U393" s="58"/>
      <c r="V393" s="58"/>
      <c r="W393" s="58"/>
      <c r="X393" s="58"/>
      <c r="Y393" s="58"/>
      <c r="Z393" s="58"/>
    </row>
    <row r="394" ht="138.0" customHeight="1">
      <c r="A394" s="101" t="s">
        <v>2807</v>
      </c>
      <c r="B394" s="176" t="s">
        <v>123</v>
      </c>
      <c r="C394" s="75" t="s">
        <v>2808</v>
      </c>
      <c r="D394" s="75" t="s">
        <v>2809</v>
      </c>
      <c r="E394" s="75" t="s">
        <v>1048</v>
      </c>
      <c r="F394" s="75" t="s">
        <v>2810</v>
      </c>
      <c r="G394" s="76">
        <v>15.0</v>
      </c>
      <c r="H394" s="77">
        <v>15.0</v>
      </c>
      <c r="I394" s="77" t="s">
        <v>135</v>
      </c>
      <c r="J394" s="58"/>
      <c r="K394" s="58"/>
      <c r="L394" s="58"/>
      <c r="M394" s="58"/>
      <c r="N394" s="58"/>
      <c r="O394" s="58"/>
      <c r="P394" s="58"/>
      <c r="Q394" s="58"/>
      <c r="R394" s="58"/>
      <c r="S394" s="58"/>
      <c r="T394" s="58"/>
      <c r="U394" s="58"/>
      <c r="V394" s="58"/>
      <c r="W394" s="58"/>
      <c r="X394" s="58"/>
      <c r="Y394" s="58"/>
      <c r="Z394" s="58"/>
    </row>
    <row r="395" ht="138.0" customHeight="1">
      <c r="A395" s="101" t="s">
        <v>2807</v>
      </c>
      <c r="B395" s="176" t="s">
        <v>123</v>
      </c>
      <c r="C395" s="75" t="s">
        <v>2811</v>
      </c>
      <c r="D395" s="75" t="s">
        <v>2809</v>
      </c>
      <c r="E395" s="75" t="s">
        <v>1048</v>
      </c>
      <c r="F395" s="75" t="s">
        <v>2810</v>
      </c>
      <c r="G395" s="76">
        <v>15.0</v>
      </c>
      <c r="H395" s="77">
        <v>15.0</v>
      </c>
      <c r="I395" s="77" t="s">
        <v>135</v>
      </c>
      <c r="J395" s="58"/>
      <c r="K395" s="58"/>
      <c r="L395" s="58"/>
      <c r="M395" s="58"/>
      <c r="N395" s="58"/>
      <c r="O395" s="58"/>
      <c r="P395" s="58"/>
      <c r="Q395" s="58"/>
      <c r="R395" s="58"/>
      <c r="S395" s="58"/>
      <c r="T395" s="58"/>
      <c r="U395" s="58"/>
      <c r="V395" s="58"/>
      <c r="W395" s="58"/>
      <c r="X395" s="58"/>
      <c r="Y395" s="58"/>
      <c r="Z395" s="58"/>
    </row>
    <row r="396" ht="138.0" customHeight="1">
      <c r="A396" s="101" t="s">
        <v>2807</v>
      </c>
      <c r="B396" s="176" t="s">
        <v>123</v>
      </c>
      <c r="C396" s="75" t="s">
        <v>2812</v>
      </c>
      <c r="D396" s="75" t="s">
        <v>2809</v>
      </c>
      <c r="E396" s="75" t="s">
        <v>1048</v>
      </c>
      <c r="F396" s="75" t="s">
        <v>2810</v>
      </c>
      <c r="G396" s="76">
        <v>15.0</v>
      </c>
      <c r="H396" s="77">
        <v>15.0</v>
      </c>
      <c r="I396" s="77" t="s">
        <v>135</v>
      </c>
      <c r="J396" s="58"/>
      <c r="K396" s="58"/>
      <c r="L396" s="58"/>
      <c r="M396" s="58"/>
      <c r="N396" s="58"/>
      <c r="O396" s="58"/>
      <c r="P396" s="58"/>
      <c r="Q396" s="58"/>
      <c r="R396" s="58"/>
      <c r="S396" s="58"/>
      <c r="T396" s="58"/>
      <c r="U396" s="58"/>
      <c r="V396" s="58"/>
      <c r="W396" s="58"/>
      <c r="X396" s="58"/>
      <c r="Y396" s="58"/>
      <c r="Z396" s="58"/>
    </row>
    <row r="397" ht="138.0" customHeight="1">
      <c r="A397" s="101" t="s">
        <v>2807</v>
      </c>
      <c r="B397" s="176" t="s">
        <v>123</v>
      </c>
      <c r="C397" s="75" t="s">
        <v>2813</v>
      </c>
      <c r="D397" s="75" t="s">
        <v>2809</v>
      </c>
      <c r="E397" s="75" t="s">
        <v>1048</v>
      </c>
      <c r="F397" s="75" t="s">
        <v>2810</v>
      </c>
      <c r="G397" s="76">
        <v>15.0</v>
      </c>
      <c r="H397" s="77">
        <v>15.0</v>
      </c>
      <c r="I397" s="77" t="s">
        <v>135</v>
      </c>
      <c r="J397" s="58"/>
      <c r="K397" s="58"/>
      <c r="L397" s="58"/>
      <c r="M397" s="58"/>
      <c r="N397" s="58"/>
      <c r="O397" s="58"/>
      <c r="P397" s="58"/>
      <c r="Q397" s="58"/>
      <c r="R397" s="58"/>
      <c r="S397" s="58"/>
      <c r="T397" s="58"/>
      <c r="U397" s="58"/>
      <c r="V397" s="58"/>
      <c r="W397" s="58"/>
      <c r="X397" s="58"/>
      <c r="Y397" s="58"/>
      <c r="Z397" s="58"/>
    </row>
    <row r="398" ht="138.0" customHeight="1">
      <c r="A398" s="101" t="s">
        <v>2807</v>
      </c>
      <c r="B398" s="176" t="s">
        <v>123</v>
      </c>
      <c r="C398" s="75" t="s">
        <v>2814</v>
      </c>
      <c r="D398" s="75" t="s">
        <v>2809</v>
      </c>
      <c r="E398" s="75" t="s">
        <v>1048</v>
      </c>
      <c r="F398" s="75" t="s">
        <v>2810</v>
      </c>
      <c r="G398" s="76">
        <v>15.0</v>
      </c>
      <c r="H398" s="77">
        <v>15.0</v>
      </c>
      <c r="I398" s="77" t="s">
        <v>135</v>
      </c>
      <c r="J398" s="58"/>
      <c r="K398" s="58"/>
      <c r="L398" s="58"/>
      <c r="M398" s="58"/>
      <c r="N398" s="58"/>
      <c r="O398" s="58"/>
      <c r="P398" s="58"/>
      <c r="Q398" s="58"/>
      <c r="R398" s="58"/>
      <c r="S398" s="58"/>
      <c r="T398" s="58"/>
      <c r="U398" s="58"/>
      <c r="V398" s="58"/>
      <c r="W398" s="58"/>
      <c r="X398" s="58"/>
      <c r="Y398" s="58"/>
      <c r="Z398" s="58"/>
    </row>
    <row r="399" ht="138.0" customHeight="1">
      <c r="A399" s="101" t="s">
        <v>2807</v>
      </c>
      <c r="B399" s="176" t="s">
        <v>123</v>
      </c>
      <c r="C399" s="75" t="s">
        <v>2815</v>
      </c>
      <c r="D399" s="75" t="s">
        <v>2809</v>
      </c>
      <c r="E399" s="75" t="s">
        <v>1048</v>
      </c>
      <c r="F399" s="75" t="s">
        <v>2810</v>
      </c>
      <c r="G399" s="76">
        <v>15.0</v>
      </c>
      <c r="H399" s="77">
        <v>15.0</v>
      </c>
      <c r="I399" s="77" t="s">
        <v>135</v>
      </c>
      <c r="J399" s="58"/>
      <c r="K399" s="58"/>
      <c r="L399" s="58"/>
      <c r="M399" s="58"/>
      <c r="N399" s="58"/>
      <c r="O399" s="58"/>
      <c r="P399" s="58"/>
      <c r="Q399" s="58"/>
      <c r="R399" s="58"/>
      <c r="S399" s="58"/>
      <c r="T399" s="58"/>
      <c r="U399" s="58"/>
      <c r="V399" s="58"/>
      <c r="W399" s="58"/>
      <c r="X399" s="58"/>
      <c r="Y399" s="58"/>
      <c r="Z399" s="58"/>
    </row>
    <row r="400" ht="138.0" customHeight="1">
      <c r="A400" s="101" t="s">
        <v>2807</v>
      </c>
      <c r="B400" s="176" t="s">
        <v>123</v>
      </c>
      <c r="C400" s="75" t="s">
        <v>2816</v>
      </c>
      <c r="D400" s="75" t="s">
        <v>2809</v>
      </c>
      <c r="E400" s="75" t="s">
        <v>1048</v>
      </c>
      <c r="F400" s="75" t="s">
        <v>2810</v>
      </c>
      <c r="G400" s="76">
        <v>15.0</v>
      </c>
      <c r="H400" s="77">
        <v>15.0</v>
      </c>
      <c r="I400" s="77" t="s">
        <v>135</v>
      </c>
      <c r="J400" s="58"/>
      <c r="K400" s="58"/>
      <c r="L400" s="58"/>
      <c r="M400" s="58"/>
      <c r="N400" s="58"/>
      <c r="O400" s="58"/>
      <c r="P400" s="58"/>
      <c r="Q400" s="58"/>
      <c r="R400" s="58"/>
      <c r="S400" s="58"/>
      <c r="T400" s="58"/>
      <c r="U400" s="58"/>
      <c r="V400" s="58"/>
      <c r="W400" s="58"/>
      <c r="X400" s="58"/>
      <c r="Y400" s="58"/>
      <c r="Z400" s="58"/>
    </row>
    <row r="401" ht="138.0" customHeight="1">
      <c r="A401" s="101" t="s">
        <v>2807</v>
      </c>
      <c r="B401" s="176" t="s">
        <v>123</v>
      </c>
      <c r="C401" s="75" t="s">
        <v>2817</v>
      </c>
      <c r="D401" s="75" t="s">
        <v>2809</v>
      </c>
      <c r="E401" s="75" t="s">
        <v>1048</v>
      </c>
      <c r="F401" s="75" t="s">
        <v>2810</v>
      </c>
      <c r="G401" s="76">
        <v>15.0</v>
      </c>
      <c r="H401" s="77">
        <v>15.0</v>
      </c>
      <c r="I401" s="77" t="s">
        <v>135</v>
      </c>
      <c r="J401" s="58"/>
      <c r="K401" s="58"/>
      <c r="L401" s="58"/>
      <c r="M401" s="58"/>
      <c r="N401" s="58"/>
      <c r="O401" s="58"/>
      <c r="P401" s="58"/>
      <c r="Q401" s="58"/>
      <c r="R401" s="58"/>
      <c r="S401" s="58"/>
      <c r="T401" s="58"/>
      <c r="U401" s="58"/>
      <c r="V401" s="58"/>
      <c r="W401" s="58"/>
      <c r="X401" s="58"/>
      <c r="Y401" s="58"/>
      <c r="Z401" s="58"/>
    </row>
    <row r="402" ht="138.0" customHeight="1">
      <c r="A402" s="101">
        <v>0.0</v>
      </c>
      <c r="B402" s="176">
        <v>0.0</v>
      </c>
      <c r="C402" s="75" t="s">
        <v>2818</v>
      </c>
      <c r="D402" s="75" t="s">
        <v>2809</v>
      </c>
      <c r="E402" s="75" t="s">
        <v>1048</v>
      </c>
      <c r="F402" s="75" t="s">
        <v>2810</v>
      </c>
      <c r="G402" s="76">
        <v>15.0</v>
      </c>
      <c r="H402" s="77">
        <v>15.0</v>
      </c>
      <c r="I402" s="77" t="s">
        <v>135</v>
      </c>
      <c r="J402" s="58"/>
      <c r="K402" s="58"/>
      <c r="L402" s="58"/>
      <c r="M402" s="58"/>
      <c r="N402" s="58"/>
      <c r="O402" s="58"/>
      <c r="P402" s="58"/>
      <c r="Q402" s="58"/>
      <c r="R402" s="58"/>
      <c r="S402" s="58"/>
      <c r="T402" s="58"/>
      <c r="U402" s="58"/>
      <c r="V402" s="58"/>
      <c r="W402" s="58"/>
      <c r="X402" s="58"/>
      <c r="Y402" s="58"/>
      <c r="Z402" s="58"/>
    </row>
    <row r="403" ht="138.0" customHeight="1">
      <c r="A403" s="101" t="s">
        <v>2807</v>
      </c>
      <c r="B403" s="176" t="s">
        <v>123</v>
      </c>
      <c r="C403" s="75" t="s">
        <v>2819</v>
      </c>
      <c r="D403" s="75" t="s">
        <v>2809</v>
      </c>
      <c r="E403" s="75" t="s">
        <v>1048</v>
      </c>
      <c r="F403" s="75" t="s">
        <v>2810</v>
      </c>
      <c r="G403" s="76">
        <v>15.0</v>
      </c>
      <c r="H403" s="77">
        <v>15.0</v>
      </c>
      <c r="I403" s="77" t="s">
        <v>135</v>
      </c>
      <c r="J403" s="58"/>
      <c r="K403" s="58"/>
      <c r="L403" s="58"/>
      <c r="M403" s="58"/>
      <c r="N403" s="58"/>
      <c r="O403" s="58"/>
      <c r="P403" s="58"/>
      <c r="Q403" s="58"/>
      <c r="R403" s="58"/>
      <c r="S403" s="58"/>
      <c r="T403" s="58"/>
      <c r="U403" s="58"/>
      <c r="V403" s="58"/>
      <c r="W403" s="58"/>
      <c r="X403" s="58"/>
      <c r="Y403" s="58"/>
      <c r="Z403" s="58"/>
    </row>
    <row r="404" ht="138.0" customHeight="1">
      <c r="A404" s="101" t="s">
        <v>2807</v>
      </c>
      <c r="B404" s="176" t="s">
        <v>123</v>
      </c>
      <c r="C404" s="75" t="s">
        <v>2820</v>
      </c>
      <c r="D404" s="75" t="s">
        <v>2809</v>
      </c>
      <c r="E404" s="75" t="s">
        <v>1048</v>
      </c>
      <c r="F404" s="75" t="s">
        <v>2810</v>
      </c>
      <c r="G404" s="76">
        <v>15.0</v>
      </c>
      <c r="H404" s="77">
        <v>15.0</v>
      </c>
      <c r="I404" s="77" t="s">
        <v>135</v>
      </c>
      <c r="J404" s="58"/>
      <c r="K404" s="58"/>
      <c r="L404" s="58"/>
      <c r="M404" s="58"/>
      <c r="N404" s="58"/>
      <c r="O404" s="58"/>
      <c r="P404" s="58"/>
      <c r="Q404" s="58"/>
      <c r="R404" s="58"/>
      <c r="S404" s="58"/>
      <c r="T404" s="58"/>
      <c r="U404" s="58"/>
      <c r="V404" s="58"/>
      <c r="W404" s="58"/>
      <c r="X404" s="58"/>
      <c r="Y404" s="58"/>
      <c r="Z404" s="58"/>
    </row>
    <row r="405" ht="138.0" customHeight="1">
      <c r="A405" s="101" t="s">
        <v>2807</v>
      </c>
      <c r="B405" s="176" t="s">
        <v>123</v>
      </c>
      <c r="C405" s="75" t="s">
        <v>2821</v>
      </c>
      <c r="D405" s="75" t="s">
        <v>2809</v>
      </c>
      <c r="E405" s="75" t="s">
        <v>1048</v>
      </c>
      <c r="F405" s="75" t="s">
        <v>2810</v>
      </c>
      <c r="G405" s="76">
        <v>15.0</v>
      </c>
      <c r="H405" s="77">
        <v>15.0</v>
      </c>
      <c r="I405" s="77" t="s">
        <v>135</v>
      </c>
      <c r="J405" s="58"/>
      <c r="K405" s="58"/>
      <c r="L405" s="58"/>
      <c r="M405" s="58"/>
      <c r="N405" s="58"/>
      <c r="O405" s="58"/>
      <c r="P405" s="58"/>
      <c r="Q405" s="58"/>
      <c r="R405" s="58"/>
      <c r="S405" s="58"/>
      <c r="T405" s="58"/>
      <c r="U405" s="58"/>
      <c r="V405" s="58"/>
      <c r="W405" s="58"/>
      <c r="X405" s="58"/>
      <c r="Y405" s="58"/>
      <c r="Z405" s="58"/>
    </row>
    <row r="406" ht="138.0" customHeight="1">
      <c r="A406" s="101" t="s">
        <v>2807</v>
      </c>
      <c r="B406" s="176" t="s">
        <v>123</v>
      </c>
      <c r="C406" s="75" t="s">
        <v>2822</v>
      </c>
      <c r="D406" s="75" t="s">
        <v>2809</v>
      </c>
      <c r="E406" s="75" t="s">
        <v>1048</v>
      </c>
      <c r="F406" s="75" t="s">
        <v>2810</v>
      </c>
      <c r="G406" s="76">
        <v>15.0</v>
      </c>
      <c r="H406" s="77">
        <v>15.0</v>
      </c>
      <c r="I406" s="77" t="s">
        <v>135</v>
      </c>
      <c r="J406" s="58"/>
      <c r="K406" s="58"/>
      <c r="L406" s="58"/>
      <c r="M406" s="58"/>
      <c r="N406" s="58"/>
      <c r="O406" s="58"/>
      <c r="P406" s="58"/>
      <c r="Q406" s="58"/>
      <c r="R406" s="58"/>
      <c r="S406" s="58"/>
      <c r="T406" s="58"/>
      <c r="U406" s="58"/>
      <c r="V406" s="58"/>
      <c r="W406" s="58"/>
      <c r="X406" s="58"/>
      <c r="Y406" s="58"/>
      <c r="Z406" s="58"/>
    </row>
    <row r="407" ht="138.0" customHeight="1">
      <c r="A407" s="101" t="s">
        <v>2807</v>
      </c>
      <c r="B407" s="176" t="s">
        <v>123</v>
      </c>
      <c r="C407" s="75" t="s">
        <v>2823</v>
      </c>
      <c r="D407" s="75" t="s">
        <v>2809</v>
      </c>
      <c r="E407" s="75" t="s">
        <v>1048</v>
      </c>
      <c r="F407" s="75" t="s">
        <v>2810</v>
      </c>
      <c r="G407" s="76">
        <v>15.0</v>
      </c>
      <c r="H407" s="77">
        <v>15.0</v>
      </c>
      <c r="I407" s="77" t="s">
        <v>135</v>
      </c>
      <c r="J407" s="58"/>
      <c r="K407" s="58"/>
      <c r="L407" s="58"/>
      <c r="M407" s="58"/>
      <c r="N407" s="58"/>
      <c r="O407" s="58"/>
      <c r="P407" s="58"/>
      <c r="Q407" s="58"/>
      <c r="R407" s="58"/>
      <c r="S407" s="58"/>
      <c r="T407" s="58"/>
      <c r="U407" s="58"/>
      <c r="V407" s="58"/>
      <c r="W407" s="58"/>
      <c r="X407" s="58"/>
      <c r="Y407" s="58"/>
      <c r="Z407" s="58"/>
    </row>
    <row r="408" ht="138.0" customHeight="1">
      <c r="A408" s="101" t="s">
        <v>2807</v>
      </c>
      <c r="B408" s="176" t="s">
        <v>123</v>
      </c>
      <c r="C408" s="75" t="s">
        <v>2824</v>
      </c>
      <c r="D408" s="75" t="s">
        <v>2809</v>
      </c>
      <c r="E408" s="75" t="s">
        <v>1048</v>
      </c>
      <c r="F408" s="75" t="s">
        <v>2810</v>
      </c>
      <c r="G408" s="76">
        <v>15.0</v>
      </c>
      <c r="H408" s="77">
        <v>15.0</v>
      </c>
      <c r="I408" s="77" t="s">
        <v>135</v>
      </c>
      <c r="J408" s="58"/>
      <c r="K408" s="58"/>
      <c r="L408" s="58"/>
      <c r="M408" s="58"/>
      <c r="N408" s="58"/>
      <c r="O408" s="58"/>
      <c r="P408" s="58"/>
      <c r="Q408" s="58"/>
      <c r="R408" s="58"/>
      <c r="S408" s="58"/>
      <c r="T408" s="58"/>
      <c r="U408" s="58"/>
      <c r="V408" s="58"/>
      <c r="W408" s="58"/>
      <c r="X408" s="58"/>
      <c r="Y408" s="58"/>
      <c r="Z408" s="58"/>
    </row>
    <row r="409" ht="138.0" customHeight="1">
      <c r="A409" s="101" t="s">
        <v>2807</v>
      </c>
      <c r="B409" s="176" t="s">
        <v>123</v>
      </c>
      <c r="C409" s="75" t="s">
        <v>2825</v>
      </c>
      <c r="D409" s="75" t="s">
        <v>2809</v>
      </c>
      <c r="E409" s="75" t="s">
        <v>1048</v>
      </c>
      <c r="F409" s="75" t="s">
        <v>2810</v>
      </c>
      <c r="G409" s="76">
        <v>15.0</v>
      </c>
      <c r="H409" s="77">
        <v>15.0</v>
      </c>
      <c r="I409" s="77" t="s">
        <v>135</v>
      </c>
      <c r="J409" s="58"/>
      <c r="K409" s="58"/>
      <c r="L409" s="58"/>
      <c r="M409" s="58"/>
      <c r="N409" s="58"/>
      <c r="O409" s="58"/>
      <c r="P409" s="58"/>
      <c r="Q409" s="58"/>
      <c r="R409" s="58"/>
      <c r="S409" s="58"/>
      <c r="T409" s="58"/>
      <c r="U409" s="58"/>
      <c r="V409" s="58"/>
      <c r="W409" s="58"/>
      <c r="X409" s="58"/>
      <c r="Y409" s="58"/>
      <c r="Z409" s="58"/>
    </row>
    <row r="410" ht="138.0" customHeight="1">
      <c r="A410" s="101" t="s">
        <v>2807</v>
      </c>
      <c r="B410" s="176" t="s">
        <v>123</v>
      </c>
      <c r="C410" s="75" t="s">
        <v>2826</v>
      </c>
      <c r="D410" s="75" t="s">
        <v>2809</v>
      </c>
      <c r="E410" s="75" t="s">
        <v>1048</v>
      </c>
      <c r="F410" s="75" t="s">
        <v>2810</v>
      </c>
      <c r="G410" s="76">
        <v>15.0</v>
      </c>
      <c r="H410" s="77">
        <v>15.0</v>
      </c>
      <c r="I410" s="77" t="s">
        <v>135</v>
      </c>
      <c r="J410" s="58"/>
      <c r="K410" s="58"/>
      <c r="L410" s="58"/>
      <c r="M410" s="58"/>
      <c r="N410" s="58"/>
      <c r="O410" s="58"/>
      <c r="P410" s="58"/>
      <c r="Q410" s="58"/>
      <c r="R410" s="58"/>
      <c r="S410" s="58"/>
      <c r="T410" s="58"/>
      <c r="U410" s="58"/>
      <c r="V410" s="58"/>
      <c r="W410" s="58"/>
      <c r="X410" s="58"/>
      <c r="Y410" s="58"/>
      <c r="Z410" s="58"/>
    </row>
    <row r="411" ht="138.0" customHeight="1">
      <c r="A411" s="101" t="s">
        <v>2807</v>
      </c>
      <c r="B411" s="176" t="s">
        <v>123</v>
      </c>
      <c r="C411" s="75" t="s">
        <v>2827</v>
      </c>
      <c r="D411" s="75" t="s">
        <v>2809</v>
      </c>
      <c r="E411" s="75" t="s">
        <v>1048</v>
      </c>
      <c r="F411" s="75" t="s">
        <v>2810</v>
      </c>
      <c r="G411" s="76">
        <v>15.0</v>
      </c>
      <c r="H411" s="77">
        <v>15.0</v>
      </c>
      <c r="I411" s="77" t="s">
        <v>135</v>
      </c>
      <c r="J411" s="58"/>
      <c r="K411" s="58"/>
      <c r="L411" s="58"/>
      <c r="M411" s="58"/>
      <c r="N411" s="58"/>
      <c r="O411" s="58"/>
      <c r="P411" s="58"/>
      <c r="Q411" s="58"/>
      <c r="R411" s="58"/>
      <c r="S411" s="58"/>
      <c r="T411" s="58"/>
      <c r="U411" s="58"/>
      <c r="V411" s="58"/>
      <c r="W411" s="58"/>
      <c r="X411" s="58"/>
      <c r="Y411" s="58"/>
      <c r="Z411" s="58"/>
    </row>
    <row r="412" ht="165.0" customHeight="1">
      <c r="A412" s="101" t="s">
        <v>2807</v>
      </c>
      <c r="B412" s="176" t="s">
        <v>123</v>
      </c>
      <c r="C412" s="75" t="s">
        <v>2828</v>
      </c>
      <c r="D412" s="75" t="s">
        <v>2809</v>
      </c>
      <c r="E412" s="75" t="s">
        <v>1048</v>
      </c>
      <c r="F412" s="75" t="s">
        <v>2810</v>
      </c>
      <c r="G412" s="76">
        <v>15.0</v>
      </c>
      <c r="H412" s="77">
        <v>15.0</v>
      </c>
      <c r="I412" s="77" t="s">
        <v>135</v>
      </c>
      <c r="J412" s="58"/>
      <c r="K412" s="58"/>
      <c r="L412" s="58"/>
      <c r="M412" s="58"/>
      <c r="N412" s="58"/>
      <c r="O412" s="58"/>
      <c r="P412" s="58"/>
      <c r="Q412" s="58"/>
      <c r="R412" s="58"/>
      <c r="S412" s="58"/>
      <c r="T412" s="58"/>
      <c r="U412" s="58"/>
      <c r="V412" s="58"/>
      <c r="W412" s="58"/>
      <c r="X412" s="58"/>
      <c r="Y412" s="58"/>
      <c r="Z412" s="58"/>
    </row>
    <row r="413" ht="138.0" customHeight="1">
      <c r="A413" s="101" t="s">
        <v>2807</v>
      </c>
      <c r="B413" s="176" t="s">
        <v>123</v>
      </c>
      <c r="C413" s="75" t="s">
        <v>2829</v>
      </c>
      <c r="D413" s="75" t="s">
        <v>2809</v>
      </c>
      <c r="E413" s="75" t="s">
        <v>1048</v>
      </c>
      <c r="F413" s="75" t="s">
        <v>2810</v>
      </c>
      <c r="G413" s="76">
        <v>15.0</v>
      </c>
      <c r="H413" s="77">
        <v>15.0</v>
      </c>
      <c r="I413" s="77" t="s">
        <v>135</v>
      </c>
      <c r="J413" s="58"/>
      <c r="K413" s="58"/>
      <c r="L413" s="58"/>
      <c r="M413" s="58"/>
      <c r="N413" s="58"/>
      <c r="O413" s="58"/>
      <c r="P413" s="58"/>
      <c r="Q413" s="58"/>
      <c r="R413" s="58"/>
      <c r="S413" s="58"/>
      <c r="T413" s="58"/>
      <c r="U413" s="58"/>
      <c r="V413" s="58"/>
      <c r="W413" s="58"/>
      <c r="X413" s="58"/>
      <c r="Y413" s="58"/>
      <c r="Z413" s="58"/>
    </row>
    <row r="414" ht="138.0" customHeight="1">
      <c r="A414" s="101" t="s">
        <v>2807</v>
      </c>
      <c r="B414" s="176" t="s">
        <v>123</v>
      </c>
      <c r="C414" s="75" t="s">
        <v>2830</v>
      </c>
      <c r="D414" s="75" t="s">
        <v>2809</v>
      </c>
      <c r="E414" s="75" t="s">
        <v>1048</v>
      </c>
      <c r="F414" s="75" t="s">
        <v>2810</v>
      </c>
      <c r="G414" s="76">
        <v>15.0</v>
      </c>
      <c r="H414" s="77">
        <v>15.0</v>
      </c>
      <c r="I414" s="77" t="s">
        <v>135</v>
      </c>
      <c r="J414" s="58"/>
      <c r="K414" s="58"/>
      <c r="L414" s="58"/>
      <c r="M414" s="58"/>
      <c r="N414" s="58"/>
      <c r="O414" s="58"/>
      <c r="P414" s="58"/>
      <c r="Q414" s="58"/>
      <c r="R414" s="58"/>
      <c r="S414" s="58"/>
      <c r="T414" s="58"/>
      <c r="U414" s="58"/>
      <c r="V414" s="58"/>
      <c r="W414" s="58"/>
      <c r="X414" s="58"/>
      <c r="Y414" s="58"/>
      <c r="Z414" s="58"/>
    </row>
    <row r="415" ht="138.0" customHeight="1">
      <c r="A415" s="101" t="s">
        <v>2807</v>
      </c>
      <c r="B415" s="176" t="s">
        <v>123</v>
      </c>
      <c r="C415" s="75" t="s">
        <v>2831</v>
      </c>
      <c r="D415" s="75" t="s">
        <v>2809</v>
      </c>
      <c r="E415" s="75" t="s">
        <v>1048</v>
      </c>
      <c r="F415" s="75" t="s">
        <v>2810</v>
      </c>
      <c r="G415" s="76">
        <v>15.0</v>
      </c>
      <c r="H415" s="77">
        <v>15.0</v>
      </c>
      <c r="I415" s="77" t="s">
        <v>135</v>
      </c>
      <c r="J415" s="58"/>
      <c r="K415" s="58"/>
      <c r="L415" s="58"/>
      <c r="M415" s="58"/>
      <c r="N415" s="58"/>
      <c r="O415" s="58"/>
      <c r="P415" s="58"/>
      <c r="Q415" s="58"/>
      <c r="R415" s="58"/>
      <c r="S415" s="58"/>
      <c r="T415" s="58"/>
      <c r="U415" s="58"/>
      <c r="V415" s="58"/>
      <c r="W415" s="58"/>
      <c r="X415" s="58"/>
      <c r="Y415" s="58"/>
      <c r="Z415" s="58"/>
    </row>
    <row r="416" ht="138.0" customHeight="1">
      <c r="A416" s="101" t="s">
        <v>2807</v>
      </c>
      <c r="B416" s="176" t="s">
        <v>123</v>
      </c>
      <c r="C416" s="75" t="s">
        <v>2832</v>
      </c>
      <c r="D416" s="75" t="s">
        <v>2809</v>
      </c>
      <c r="E416" s="75" t="s">
        <v>1048</v>
      </c>
      <c r="F416" s="75" t="s">
        <v>2810</v>
      </c>
      <c r="G416" s="76">
        <v>15.0</v>
      </c>
      <c r="H416" s="77">
        <v>15.0</v>
      </c>
      <c r="I416" s="77" t="s">
        <v>135</v>
      </c>
      <c r="J416" s="58"/>
      <c r="K416" s="58"/>
      <c r="L416" s="58"/>
      <c r="M416" s="58"/>
      <c r="N416" s="58"/>
      <c r="O416" s="58"/>
      <c r="P416" s="58"/>
      <c r="Q416" s="58"/>
      <c r="R416" s="58"/>
      <c r="S416" s="58"/>
      <c r="T416" s="58"/>
      <c r="U416" s="58"/>
      <c r="V416" s="58"/>
      <c r="W416" s="58"/>
      <c r="X416" s="58"/>
      <c r="Y416" s="58"/>
      <c r="Z416" s="58"/>
    </row>
    <row r="417" ht="138.0" customHeight="1">
      <c r="A417" s="101" t="s">
        <v>2807</v>
      </c>
      <c r="B417" s="176" t="s">
        <v>123</v>
      </c>
      <c r="C417" s="75" t="s">
        <v>2833</v>
      </c>
      <c r="D417" s="75" t="s">
        <v>2809</v>
      </c>
      <c r="E417" s="75" t="s">
        <v>1048</v>
      </c>
      <c r="F417" s="75" t="s">
        <v>2810</v>
      </c>
      <c r="G417" s="76">
        <v>15.0</v>
      </c>
      <c r="H417" s="77">
        <v>15.0</v>
      </c>
      <c r="I417" s="77" t="s">
        <v>135</v>
      </c>
      <c r="J417" s="58"/>
      <c r="K417" s="58"/>
      <c r="L417" s="58"/>
      <c r="M417" s="58"/>
      <c r="N417" s="58"/>
      <c r="O417" s="58"/>
      <c r="P417" s="58"/>
      <c r="Q417" s="58"/>
      <c r="R417" s="58"/>
      <c r="S417" s="58"/>
      <c r="T417" s="58"/>
      <c r="U417" s="58"/>
      <c r="V417" s="58"/>
      <c r="W417" s="58"/>
      <c r="X417" s="58"/>
      <c r="Y417" s="58"/>
      <c r="Z417" s="58"/>
    </row>
    <row r="418" ht="138.0" customHeight="1">
      <c r="A418" s="101" t="s">
        <v>2807</v>
      </c>
      <c r="B418" s="176" t="s">
        <v>123</v>
      </c>
      <c r="C418" s="75" t="s">
        <v>2834</v>
      </c>
      <c r="D418" s="75" t="s">
        <v>2809</v>
      </c>
      <c r="E418" s="75" t="s">
        <v>1048</v>
      </c>
      <c r="F418" s="75" t="s">
        <v>2810</v>
      </c>
      <c r="G418" s="76">
        <v>15.0</v>
      </c>
      <c r="H418" s="77">
        <v>15.0</v>
      </c>
      <c r="I418" s="77" t="s">
        <v>135</v>
      </c>
      <c r="J418" s="58"/>
      <c r="K418" s="58"/>
      <c r="L418" s="58"/>
      <c r="M418" s="58"/>
      <c r="N418" s="58"/>
      <c r="O418" s="58"/>
      <c r="P418" s="58"/>
      <c r="Q418" s="58"/>
      <c r="R418" s="58"/>
      <c r="S418" s="58"/>
      <c r="T418" s="58"/>
      <c r="U418" s="58"/>
      <c r="V418" s="58"/>
      <c r="W418" s="58"/>
      <c r="X418" s="58"/>
      <c r="Y418" s="58"/>
      <c r="Z418" s="58"/>
    </row>
    <row r="419" ht="138.0" customHeight="1">
      <c r="A419" s="101" t="s">
        <v>2807</v>
      </c>
      <c r="B419" s="176" t="s">
        <v>123</v>
      </c>
      <c r="C419" s="75" t="s">
        <v>2835</v>
      </c>
      <c r="D419" s="75" t="s">
        <v>2809</v>
      </c>
      <c r="E419" s="75" t="s">
        <v>1048</v>
      </c>
      <c r="F419" s="75" t="s">
        <v>2810</v>
      </c>
      <c r="G419" s="76">
        <v>15.0</v>
      </c>
      <c r="H419" s="77">
        <v>15.0</v>
      </c>
      <c r="I419" s="77" t="s">
        <v>135</v>
      </c>
      <c r="J419" s="58"/>
      <c r="K419" s="58"/>
      <c r="L419" s="58"/>
      <c r="M419" s="58"/>
      <c r="N419" s="58"/>
      <c r="O419" s="58"/>
      <c r="P419" s="58"/>
      <c r="Q419" s="58"/>
      <c r="R419" s="58"/>
      <c r="S419" s="58"/>
      <c r="T419" s="58"/>
      <c r="U419" s="58"/>
      <c r="V419" s="58"/>
      <c r="W419" s="58"/>
      <c r="X419" s="58"/>
      <c r="Y419" s="58"/>
      <c r="Z419" s="58"/>
    </row>
    <row r="420" ht="138.0" customHeight="1">
      <c r="A420" s="101" t="s">
        <v>2807</v>
      </c>
      <c r="B420" s="176" t="s">
        <v>123</v>
      </c>
      <c r="C420" s="75" t="s">
        <v>2836</v>
      </c>
      <c r="D420" s="75" t="s">
        <v>2809</v>
      </c>
      <c r="E420" s="75" t="s">
        <v>1048</v>
      </c>
      <c r="F420" s="75" t="s">
        <v>2810</v>
      </c>
      <c r="G420" s="76">
        <v>15.0</v>
      </c>
      <c r="H420" s="77">
        <v>15.0</v>
      </c>
      <c r="I420" s="77" t="s">
        <v>135</v>
      </c>
      <c r="J420" s="58"/>
      <c r="K420" s="58"/>
      <c r="L420" s="58"/>
      <c r="M420" s="58"/>
      <c r="N420" s="58"/>
      <c r="O420" s="58"/>
      <c r="P420" s="58"/>
      <c r="Q420" s="58"/>
      <c r="R420" s="58"/>
      <c r="S420" s="58"/>
      <c r="T420" s="58"/>
      <c r="U420" s="58"/>
      <c r="V420" s="58"/>
      <c r="W420" s="58"/>
      <c r="X420" s="58"/>
      <c r="Y420" s="58"/>
      <c r="Z420" s="58"/>
    </row>
    <row r="421" ht="138.0" customHeight="1">
      <c r="A421" s="101" t="s">
        <v>2807</v>
      </c>
      <c r="B421" s="176" t="s">
        <v>123</v>
      </c>
      <c r="C421" s="75" t="s">
        <v>2837</v>
      </c>
      <c r="D421" s="75" t="s">
        <v>2809</v>
      </c>
      <c r="E421" s="75" t="s">
        <v>1048</v>
      </c>
      <c r="F421" s="75" t="s">
        <v>2810</v>
      </c>
      <c r="G421" s="76">
        <v>15.0</v>
      </c>
      <c r="H421" s="77">
        <v>15.0</v>
      </c>
      <c r="I421" s="77" t="s">
        <v>135</v>
      </c>
      <c r="J421" s="58"/>
      <c r="K421" s="58"/>
      <c r="L421" s="58"/>
      <c r="M421" s="58"/>
      <c r="N421" s="58"/>
      <c r="O421" s="58"/>
      <c r="P421" s="58"/>
      <c r="Q421" s="58"/>
      <c r="R421" s="58"/>
      <c r="S421" s="58"/>
      <c r="T421" s="58"/>
      <c r="U421" s="58"/>
      <c r="V421" s="58"/>
      <c r="W421" s="58"/>
      <c r="X421" s="58"/>
      <c r="Y421" s="58"/>
      <c r="Z421" s="58"/>
    </row>
    <row r="422" ht="138.0" customHeight="1">
      <c r="A422" s="101" t="s">
        <v>2807</v>
      </c>
      <c r="B422" s="176" t="s">
        <v>123</v>
      </c>
      <c r="C422" s="75" t="s">
        <v>2838</v>
      </c>
      <c r="D422" s="75" t="s">
        <v>2809</v>
      </c>
      <c r="E422" s="75" t="s">
        <v>1048</v>
      </c>
      <c r="F422" s="75" t="s">
        <v>2810</v>
      </c>
      <c r="G422" s="76">
        <v>15.0</v>
      </c>
      <c r="H422" s="77">
        <v>15.0</v>
      </c>
      <c r="I422" s="77" t="s">
        <v>135</v>
      </c>
      <c r="J422" s="58"/>
      <c r="K422" s="58"/>
      <c r="L422" s="58"/>
      <c r="M422" s="58"/>
      <c r="N422" s="58"/>
      <c r="O422" s="58"/>
      <c r="P422" s="58"/>
      <c r="Q422" s="58"/>
      <c r="R422" s="58"/>
      <c r="S422" s="58"/>
      <c r="T422" s="58"/>
      <c r="U422" s="58"/>
      <c r="V422" s="58"/>
      <c r="W422" s="58"/>
      <c r="X422" s="58"/>
      <c r="Y422" s="58"/>
      <c r="Z422" s="58"/>
    </row>
    <row r="423" ht="138.0" customHeight="1">
      <c r="A423" s="101" t="s">
        <v>2807</v>
      </c>
      <c r="B423" s="176" t="s">
        <v>123</v>
      </c>
      <c r="C423" s="75" t="s">
        <v>2839</v>
      </c>
      <c r="D423" s="75" t="s">
        <v>2809</v>
      </c>
      <c r="E423" s="75" t="s">
        <v>1048</v>
      </c>
      <c r="F423" s="75" t="s">
        <v>2810</v>
      </c>
      <c r="G423" s="76">
        <v>15.0</v>
      </c>
      <c r="H423" s="77">
        <v>15.0</v>
      </c>
      <c r="I423" s="77" t="s">
        <v>135</v>
      </c>
      <c r="J423" s="58"/>
      <c r="K423" s="58"/>
      <c r="L423" s="58"/>
      <c r="M423" s="58"/>
      <c r="N423" s="58"/>
      <c r="O423" s="58"/>
      <c r="P423" s="58"/>
      <c r="Q423" s="58"/>
      <c r="R423" s="58"/>
      <c r="S423" s="58"/>
      <c r="T423" s="58"/>
      <c r="U423" s="58"/>
      <c r="V423" s="58"/>
      <c r="W423" s="58"/>
      <c r="X423" s="58"/>
      <c r="Y423" s="58"/>
      <c r="Z423" s="58"/>
    </row>
    <row r="424" ht="138.0" customHeight="1">
      <c r="A424" s="101" t="s">
        <v>2807</v>
      </c>
      <c r="B424" s="176" t="s">
        <v>123</v>
      </c>
      <c r="C424" s="75" t="s">
        <v>2840</v>
      </c>
      <c r="D424" s="75" t="s">
        <v>2809</v>
      </c>
      <c r="E424" s="75" t="s">
        <v>1048</v>
      </c>
      <c r="F424" s="75" t="s">
        <v>2810</v>
      </c>
      <c r="G424" s="76">
        <v>15.0</v>
      </c>
      <c r="H424" s="77">
        <v>15.0</v>
      </c>
      <c r="I424" s="77" t="s">
        <v>135</v>
      </c>
      <c r="J424" s="58"/>
      <c r="K424" s="58"/>
      <c r="L424" s="58"/>
      <c r="M424" s="58"/>
      <c r="N424" s="58"/>
      <c r="O424" s="58"/>
      <c r="P424" s="58"/>
      <c r="Q424" s="58"/>
      <c r="R424" s="58"/>
      <c r="S424" s="58"/>
      <c r="T424" s="58"/>
      <c r="U424" s="58"/>
      <c r="V424" s="58"/>
      <c r="W424" s="58"/>
      <c r="X424" s="58"/>
      <c r="Y424" s="58"/>
      <c r="Z424" s="58"/>
    </row>
    <row r="425" ht="138.0" customHeight="1">
      <c r="A425" s="101" t="s">
        <v>2807</v>
      </c>
      <c r="B425" s="176" t="s">
        <v>123</v>
      </c>
      <c r="C425" s="75" t="s">
        <v>2841</v>
      </c>
      <c r="D425" s="75" t="s">
        <v>2809</v>
      </c>
      <c r="E425" s="75" t="s">
        <v>1048</v>
      </c>
      <c r="F425" s="75" t="s">
        <v>2810</v>
      </c>
      <c r="G425" s="76">
        <v>15.0</v>
      </c>
      <c r="H425" s="77">
        <v>15.0</v>
      </c>
      <c r="I425" s="77" t="s">
        <v>135</v>
      </c>
      <c r="J425" s="58"/>
      <c r="K425" s="58"/>
      <c r="L425" s="58"/>
      <c r="M425" s="58"/>
      <c r="N425" s="58"/>
      <c r="O425" s="58"/>
      <c r="P425" s="58"/>
      <c r="Q425" s="58"/>
      <c r="R425" s="58"/>
      <c r="S425" s="58"/>
      <c r="T425" s="58"/>
      <c r="U425" s="58"/>
      <c r="V425" s="58"/>
      <c r="W425" s="58"/>
      <c r="X425" s="58"/>
      <c r="Y425" s="58"/>
      <c r="Z425" s="58"/>
    </row>
    <row r="426" ht="165.0" customHeight="1">
      <c r="A426" s="101" t="s">
        <v>136</v>
      </c>
      <c r="B426" s="176" t="s">
        <v>123</v>
      </c>
      <c r="C426" s="75" t="s">
        <v>2842</v>
      </c>
      <c r="D426" s="75" t="s">
        <v>2843</v>
      </c>
      <c r="E426" s="75" t="s">
        <v>2844</v>
      </c>
      <c r="F426" s="75" t="s">
        <v>2845</v>
      </c>
      <c r="G426" s="76">
        <v>15.0</v>
      </c>
      <c r="H426" s="77">
        <v>15.0</v>
      </c>
      <c r="I426" s="77" t="s">
        <v>136</v>
      </c>
      <c r="J426" s="58"/>
      <c r="K426" s="58"/>
      <c r="L426" s="58"/>
      <c r="M426" s="58"/>
      <c r="N426" s="58"/>
      <c r="O426" s="58"/>
      <c r="P426" s="58"/>
      <c r="Q426" s="58"/>
      <c r="R426" s="58"/>
      <c r="S426" s="58"/>
      <c r="T426" s="58"/>
      <c r="U426" s="58"/>
      <c r="V426" s="58"/>
      <c r="W426" s="58"/>
      <c r="X426" s="58"/>
      <c r="Y426" s="58"/>
      <c r="Z426" s="58"/>
    </row>
    <row r="427" ht="138.0" customHeight="1">
      <c r="A427" s="101" t="s">
        <v>136</v>
      </c>
      <c r="B427" s="176" t="s">
        <v>123</v>
      </c>
      <c r="C427" s="75" t="s">
        <v>2846</v>
      </c>
      <c r="D427" s="75" t="s">
        <v>2847</v>
      </c>
      <c r="E427" s="75" t="s">
        <v>2844</v>
      </c>
      <c r="F427" s="75" t="s">
        <v>2848</v>
      </c>
      <c r="G427" s="76">
        <v>15.0</v>
      </c>
      <c r="H427" s="77">
        <v>15.0</v>
      </c>
      <c r="I427" s="77" t="s">
        <v>136</v>
      </c>
      <c r="J427" s="58"/>
      <c r="K427" s="58"/>
      <c r="L427" s="58"/>
      <c r="M427" s="58"/>
      <c r="N427" s="58"/>
      <c r="O427" s="58"/>
      <c r="P427" s="58"/>
      <c r="Q427" s="58"/>
      <c r="R427" s="58"/>
      <c r="S427" s="58"/>
      <c r="T427" s="58"/>
      <c r="U427" s="58"/>
      <c r="V427" s="58"/>
      <c r="W427" s="58"/>
      <c r="X427" s="58"/>
      <c r="Y427" s="58"/>
      <c r="Z427" s="58"/>
    </row>
    <row r="428" ht="138.0" customHeight="1">
      <c r="A428" s="101" t="s">
        <v>136</v>
      </c>
      <c r="B428" s="176" t="s">
        <v>123</v>
      </c>
      <c r="C428" s="75" t="s">
        <v>2846</v>
      </c>
      <c r="D428" s="75" t="s">
        <v>2849</v>
      </c>
      <c r="E428" s="75" t="s">
        <v>2844</v>
      </c>
      <c r="F428" s="75" t="s">
        <v>2850</v>
      </c>
      <c r="G428" s="76">
        <v>15.0</v>
      </c>
      <c r="H428" s="77">
        <v>15.0</v>
      </c>
      <c r="I428" s="77" t="s">
        <v>136</v>
      </c>
      <c r="J428" s="58"/>
      <c r="K428" s="58"/>
      <c r="L428" s="58"/>
      <c r="M428" s="58"/>
      <c r="N428" s="58"/>
      <c r="O428" s="58"/>
      <c r="P428" s="58"/>
      <c r="Q428" s="58"/>
      <c r="R428" s="58"/>
      <c r="S428" s="58"/>
      <c r="T428" s="58"/>
      <c r="U428" s="58"/>
      <c r="V428" s="58"/>
      <c r="W428" s="58"/>
      <c r="X428" s="58"/>
      <c r="Y428" s="58"/>
      <c r="Z428" s="58"/>
    </row>
    <row r="429" ht="96.0" customHeight="1">
      <c r="A429" s="101" t="s">
        <v>136</v>
      </c>
      <c r="B429" s="176" t="s">
        <v>123</v>
      </c>
      <c r="C429" s="75" t="s">
        <v>2851</v>
      </c>
      <c r="D429" s="75" t="s">
        <v>2852</v>
      </c>
      <c r="E429" s="75" t="s">
        <v>2853</v>
      </c>
      <c r="F429" s="75" t="s">
        <v>2854</v>
      </c>
      <c r="G429" s="76">
        <v>15.0</v>
      </c>
      <c r="H429" s="77">
        <v>15.0</v>
      </c>
      <c r="I429" s="77" t="s">
        <v>136</v>
      </c>
      <c r="J429" s="58"/>
      <c r="K429" s="58"/>
      <c r="L429" s="58"/>
      <c r="M429" s="58"/>
      <c r="N429" s="58"/>
      <c r="O429" s="58"/>
      <c r="P429" s="58"/>
      <c r="Q429" s="58"/>
      <c r="R429" s="58"/>
      <c r="S429" s="58"/>
      <c r="T429" s="58"/>
      <c r="U429" s="58"/>
      <c r="V429" s="58"/>
      <c r="W429" s="58"/>
      <c r="X429" s="58"/>
      <c r="Y429" s="58"/>
      <c r="Z429" s="58"/>
    </row>
    <row r="430" ht="234.0" customHeight="1">
      <c r="A430" s="101" t="s">
        <v>136</v>
      </c>
      <c r="B430" s="176" t="s">
        <v>123</v>
      </c>
      <c r="C430" s="75" t="s">
        <v>2855</v>
      </c>
      <c r="D430" s="75" t="s">
        <v>2856</v>
      </c>
      <c r="E430" s="75" t="s">
        <v>2857</v>
      </c>
      <c r="F430" s="75">
        <v>0.0</v>
      </c>
      <c r="G430" s="76">
        <v>15.0</v>
      </c>
      <c r="H430" s="77">
        <v>15.0</v>
      </c>
      <c r="I430" s="77" t="s">
        <v>136</v>
      </c>
      <c r="J430" s="58"/>
      <c r="K430" s="58"/>
      <c r="L430" s="58"/>
      <c r="M430" s="58"/>
      <c r="N430" s="58"/>
      <c r="O430" s="58"/>
      <c r="P430" s="58"/>
      <c r="Q430" s="58"/>
      <c r="R430" s="58"/>
      <c r="S430" s="58"/>
      <c r="T430" s="58"/>
      <c r="U430" s="58"/>
      <c r="V430" s="58"/>
      <c r="W430" s="58"/>
      <c r="X430" s="58"/>
      <c r="Y430" s="58"/>
      <c r="Z430" s="58"/>
    </row>
    <row r="431" ht="234.0" customHeight="1">
      <c r="A431" s="101" t="s">
        <v>136</v>
      </c>
      <c r="B431" s="176" t="s">
        <v>123</v>
      </c>
      <c r="C431" s="75" t="s">
        <v>2858</v>
      </c>
      <c r="D431" s="75" t="s">
        <v>2856</v>
      </c>
      <c r="E431" s="75" t="s">
        <v>2857</v>
      </c>
      <c r="F431" s="75">
        <v>0.0</v>
      </c>
      <c r="G431" s="76">
        <v>15.0</v>
      </c>
      <c r="H431" s="77">
        <v>15.0</v>
      </c>
      <c r="I431" s="77" t="s">
        <v>136</v>
      </c>
      <c r="J431" s="58"/>
      <c r="K431" s="58"/>
      <c r="L431" s="58"/>
      <c r="M431" s="58"/>
      <c r="N431" s="58"/>
      <c r="O431" s="58"/>
      <c r="P431" s="58"/>
      <c r="Q431" s="58"/>
      <c r="R431" s="58"/>
      <c r="S431" s="58"/>
      <c r="T431" s="58"/>
      <c r="U431" s="58"/>
      <c r="V431" s="58"/>
      <c r="W431" s="58"/>
      <c r="X431" s="58"/>
      <c r="Y431" s="58"/>
      <c r="Z431" s="58"/>
    </row>
    <row r="432" ht="192.75" customHeight="1">
      <c r="A432" s="101" t="s">
        <v>136</v>
      </c>
      <c r="B432" s="176" t="s">
        <v>123</v>
      </c>
      <c r="C432" s="75" t="s">
        <v>2859</v>
      </c>
      <c r="D432" s="75" t="s">
        <v>2860</v>
      </c>
      <c r="E432" s="75" t="s">
        <v>2861</v>
      </c>
      <c r="F432" s="75">
        <v>0.0</v>
      </c>
      <c r="G432" s="76">
        <v>15.0</v>
      </c>
      <c r="H432" s="77">
        <v>15.0</v>
      </c>
      <c r="I432" s="77" t="s">
        <v>136</v>
      </c>
      <c r="J432" s="58"/>
      <c r="K432" s="58"/>
      <c r="L432" s="58"/>
      <c r="M432" s="58"/>
      <c r="N432" s="58"/>
      <c r="O432" s="58"/>
      <c r="P432" s="58"/>
      <c r="Q432" s="58"/>
      <c r="R432" s="58"/>
      <c r="S432" s="58"/>
      <c r="T432" s="58"/>
      <c r="U432" s="58"/>
      <c r="V432" s="58"/>
      <c r="W432" s="58"/>
      <c r="X432" s="58"/>
      <c r="Y432" s="58"/>
      <c r="Z432" s="58"/>
    </row>
    <row r="433" ht="151.5" customHeight="1">
      <c r="A433" s="101" t="s">
        <v>136</v>
      </c>
      <c r="B433" s="176" t="s">
        <v>123</v>
      </c>
      <c r="C433" s="75" t="s">
        <v>2862</v>
      </c>
      <c r="D433" s="75" t="s">
        <v>2863</v>
      </c>
      <c r="E433" s="75" t="s">
        <v>2864</v>
      </c>
      <c r="F433" s="75">
        <v>0.0</v>
      </c>
      <c r="G433" s="76">
        <v>15.0</v>
      </c>
      <c r="H433" s="77">
        <v>15.0</v>
      </c>
      <c r="I433" s="77" t="s">
        <v>136</v>
      </c>
      <c r="J433" s="58"/>
      <c r="K433" s="58"/>
      <c r="L433" s="58"/>
      <c r="M433" s="58"/>
      <c r="N433" s="58"/>
      <c r="O433" s="58"/>
      <c r="P433" s="58"/>
      <c r="Q433" s="58"/>
      <c r="R433" s="58"/>
      <c r="S433" s="58"/>
      <c r="T433" s="58"/>
      <c r="U433" s="58"/>
      <c r="V433" s="58"/>
      <c r="W433" s="58"/>
      <c r="X433" s="58"/>
      <c r="Y433" s="58"/>
      <c r="Z433" s="58"/>
    </row>
    <row r="434" ht="248.25" customHeight="1">
      <c r="A434" s="101" t="s">
        <v>2865</v>
      </c>
      <c r="B434" s="176" t="s">
        <v>123</v>
      </c>
      <c r="C434" s="75" t="s">
        <v>2866</v>
      </c>
      <c r="D434" s="75" t="s">
        <v>2867</v>
      </c>
      <c r="E434" s="75" t="s">
        <v>2868</v>
      </c>
      <c r="F434" s="75" t="s">
        <v>2869</v>
      </c>
      <c r="G434" s="76">
        <v>50.0</v>
      </c>
      <c r="H434" s="77">
        <v>50.0</v>
      </c>
      <c r="I434" s="77" t="s">
        <v>138</v>
      </c>
      <c r="J434" s="58"/>
      <c r="K434" s="58"/>
      <c r="L434" s="58"/>
      <c r="M434" s="58"/>
      <c r="N434" s="58"/>
      <c r="O434" s="58"/>
      <c r="P434" s="58"/>
      <c r="Q434" s="58"/>
      <c r="R434" s="58"/>
      <c r="S434" s="58"/>
      <c r="T434" s="58"/>
      <c r="U434" s="58"/>
      <c r="V434" s="58"/>
      <c r="W434" s="58"/>
      <c r="X434" s="58"/>
      <c r="Y434" s="58"/>
      <c r="Z434" s="58"/>
    </row>
    <row r="435" ht="248.25" customHeight="1">
      <c r="A435" s="101" t="s">
        <v>2865</v>
      </c>
      <c r="B435" s="176" t="s">
        <v>123</v>
      </c>
      <c r="C435" s="75" t="s">
        <v>2866</v>
      </c>
      <c r="D435" s="75" t="s">
        <v>2870</v>
      </c>
      <c r="E435" s="75" t="s">
        <v>2871</v>
      </c>
      <c r="F435" s="75" t="s">
        <v>2869</v>
      </c>
      <c r="G435" s="76">
        <v>50.0</v>
      </c>
      <c r="H435" s="77">
        <v>50.0</v>
      </c>
      <c r="I435" s="77" t="s">
        <v>138</v>
      </c>
      <c r="J435" s="58"/>
      <c r="K435" s="58"/>
      <c r="L435" s="58"/>
      <c r="M435" s="58"/>
      <c r="N435" s="58"/>
      <c r="O435" s="58"/>
      <c r="P435" s="58"/>
      <c r="Q435" s="58"/>
      <c r="R435" s="58"/>
      <c r="S435" s="58"/>
      <c r="T435" s="58"/>
      <c r="U435" s="58"/>
      <c r="V435" s="58"/>
      <c r="W435" s="58"/>
      <c r="X435" s="58"/>
      <c r="Y435" s="58"/>
      <c r="Z435" s="58"/>
    </row>
    <row r="436" ht="110.25" customHeight="1">
      <c r="A436" s="101" t="s">
        <v>2865</v>
      </c>
      <c r="B436" s="176" t="s">
        <v>123</v>
      </c>
      <c r="C436" s="75" t="s">
        <v>2866</v>
      </c>
      <c r="D436" s="75" t="s">
        <v>2872</v>
      </c>
      <c r="E436" s="75" t="s">
        <v>2873</v>
      </c>
      <c r="F436" s="75" t="s">
        <v>2874</v>
      </c>
      <c r="G436" s="76">
        <v>15.0</v>
      </c>
      <c r="H436" s="77">
        <v>15.0</v>
      </c>
      <c r="I436" s="77" t="s">
        <v>138</v>
      </c>
      <c r="J436" s="58"/>
      <c r="K436" s="58"/>
      <c r="L436" s="58"/>
      <c r="M436" s="58"/>
      <c r="N436" s="58"/>
      <c r="O436" s="58"/>
      <c r="P436" s="58"/>
      <c r="Q436" s="58"/>
      <c r="R436" s="58"/>
      <c r="S436" s="58"/>
      <c r="T436" s="58"/>
      <c r="U436" s="58"/>
      <c r="V436" s="58"/>
      <c r="W436" s="58"/>
      <c r="X436" s="58"/>
      <c r="Y436" s="58"/>
      <c r="Z436" s="58"/>
    </row>
    <row r="437" ht="248.25" customHeight="1">
      <c r="A437" s="101" t="s">
        <v>2865</v>
      </c>
      <c r="B437" s="176" t="s">
        <v>123</v>
      </c>
      <c r="C437" s="75" t="s">
        <v>2866</v>
      </c>
      <c r="D437" s="75" t="s">
        <v>2875</v>
      </c>
      <c r="E437" s="75" t="s">
        <v>2876</v>
      </c>
      <c r="F437" s="75" t="s">
        <v>2869</v>
      </c>
      <c r="G437" s="76">
        <v>50.0</v>
      </c>
      <c r="H437" s="77">
        <v>50.0</v>
      </c>
      <c r="I437" s="77" t="s">
        <v>138</v>
      </c>
      <c r="J437" s="58"/>
      <c r="K437" s="58"/>
      <c r="L437" s="58"/>
      <c r="M437" s="58"/>
      <c r="N437" s="58"/>
      <c r="O437" s="58"/>
      <c r="P437" s="58"/>
      <c r="Q437" s="58"/>
      <c r="R437" s="58"/>
      <c r="S437" s="58"/>
      <c r="T437" s="58"/>
      <c r="U437" s="58"/>
      <c r="V437" s="58"/>
      <c r="W437" s="58"/>
      <c r="X437" s="58"/>
      <c r="Y437" s="58"/>
      <c r="Z437" s="58"/>
    </row>
    <row r="438" ht="151.5" customHeight="1">
      <c r="A438" s="101" t="s">
        <v>2865</v>
      </c>
      <c r="B438" s="176" t="s">
        <v>123</v>
      </c>
      <c r="C438" s="75" t="s">
        <v>2866</v>
      </c>
      <c r="D438" s="75" t="s">
        <v>2877</v>
      </c>
      <c r="E438" s="75" t="s">
        <v>2878</v>
      </c>
      <c r="F438" s="75" t="s">
        <v>2879</v>
      </c>
      <c r="G438" s="76">
        <v>15.0</v>
      </c>
      <c r="H438" s="77">
        <v>15.0</v>
      </c>
      <c r="I438" s="77" t="s">
        <v>138</v>
      </c>
      <c r="J438" s="58"/>
      <c r="K438" s="58"/>
      <c r="L438" s="58"/>
      <c r="M438" s="58"/>
      <c r="N438" s="58"/>
      <c r="O438" s="58"/>
      <c r="P438" s="58"/>
      <c r="Q438" s="58"/>
      <c r="R438" s="58"/>
      <c r="S438" s="58"/>
      <c r="T438" s="58"/>
      <c r="U438" s="58"/>
      <c r="V438" s="58"/>
      <c r="W438" s="58"/>
      <c r="X438" s="58"/>
      <c r="Y438" s="58"/>
      <c r="Z438" s="58"/>
    </row>
    <row r="439" ht="248.25" customHeight="1">
      <c r="A439" s="101" t="s">
        <v>2865</v>
      </c>
      <c r="B439" s="176" t="s">
        <v>123</v>
      </c>
      <c r="C439" s="75" t="s">
        <v>2866</v>
      </c>
      <c r="D439" s="75" t="s">
        <v>2880</v>
      </c>
      <c r="E439" s="75" t="s">
        <v>2881</v>
      </c>
      <c r="F439" s="75" t="s">
        <v>2869</v>
      </c>
      <c r="G439" s="76">
        <v>50.0</v>
      </c>
      <c r="H439" s="77">
        <v>50.0</v>
      </c>
      <c r="I439" s="77" t="s">
        <v>138</v>
      </c>
      <c r="J439" s="58"/>
      <c r="K439" s="58"/>
      <c r="L439" s="58"/>
      <c r="M439" s="58"/>
      <c r="N439" s="58"/>
      <c r="O439" s="58"/>
      <c r="P439" s="58"/>
      <c r="Q439" s="58"/>
      <c r="R439" s="58"/>
      <c r="S439" s="58"/>
      <c r="T439" s="58"/>
      <c r="U439" s="58"/>
      <c r="V439" s="58"/>
      <c r="W439" s="58"/>
      <c r="X439" s="58"/>
      <c r="Y439" s="58"/>
      <c r="Z439" s="58"/>
    </row>
    <row r="440" ht="289.5" customHeight="1">
      <c r="A440" s="101" t="s">
        <v>2865</v>
      </c>
      <c r="B440" s="176" t="s">
        <v>123</v>
      </c>
      <c r="C440" s="75" t="s">
        <v>2866</v>
      </c>
      <c r="D440" s="75" t="s">
        <v>2882</v>
      </c>
      <c r="E440" s="75" t="s">
        <v>2883</v>
      </c>
      <c r="F440" s="75" t="s">
        <v>2884</v>
      </c>
      <c r="G440" s="76">
        <v>50.0</v>
      </c>
      <c r="H440" s="77">
        <v>50.0</v>
      </c>
      <c r="I440" s="77" t="s">
        <v>138</v>
      </c>
      <c r="J440" s="58"/>
      <c r="K440" s="58"/>
      <c r="L440" s="58"/>
      <c r="M440" s="58"/>
      <c r="N440" s="58"/>
      <c r="O440" s="58"/>
      <c r="P440" s="58"/>
      <c r="Q440" s="58"/>
      <c r="R440" s="58"/>
      <c r="S440" s="58"/>
      <c r="T440" s="58"/>
      <c r="U440" s="58"/>
      <c r="V440" s="58"/>
      <c r="W440" s="58"/>
      <c r="X440" s="58"/>
      <c r="Y440" s="58"/>
      <c r="Z440" s="58"/>
    </row>
    <row r="441" ht="110.25" customHeight="1">
      <c r="A441" s="101" t="s">
        <v>2865</v>
      </c>
      <c r="B441" s="176" t="s">
        <v>123</v>
      </c>
      <c r="C441" s="75" t="s">
        <v>2866</v>
      </c>
      <c r="D441" s="75" t="s">
        <v>2885</v>
      </c>
      <c r="E441" s="75" t="s">
        <v>2886</v>
      </c>
      <c r="F441" s="75" t="s">
        <v>2887</v>
      </c>
      <c r="G441" s="76">
        <v>15.0</v>
      </c>
      <c r="H441" s="77">
        <v>15.0</v>
      </c>
      <c r="I441" s="77" t="s">
        <v>138</v>
      </c>
      <c r="J441" s="58"/>
      <c r="K441" s="58"/>
      <c r="L441" s="58"/>
      <c r="M441" s="58"/>
      <c r="N441" s="58"/>
      <c r="O441" s="58"/>
      <c r="P441" s="58"/>
      <c r="Q441" s="58"/>
      <c r="R441" s="58"/>
      <c r="S441" s="58"/>
      <c r="T441" s="58"/>
      <c r="U441" s="58"/>
      <c r="V441" s="58"/>
      <c r="W441" s="58"/>
      <c r="X441" s="58"/>
      <c r="Y441" s="58"/>
      <c r="Z441" s="58"/>
    </row>
    <row r="442" ht="234.0" customHeight="1">
      <c r="A442" s="101" t="s">
        <v>2865</v>
      </c>
      <c r="B442" s="176" t="s">
        <v>123</v>
      </c>
      <c r="C442" s="75" t="s">
        <v>2866</v>
      </c>
      <c r="D442" s="75" t="s">
        <v>2888</v>
      </c>
      <c r="E442" s="75" t="s">
        <v>2889</v>
      </c>
      <c r="F442" s="75" t="s">
        <v>2890</v>
      </c>
      <c r="G442" s="76">
        <v>15.0</v>
      </c>
      <c r="H442" s="77">
        <v>15.0</v>
      </c>
      <c r="I442" s="77" t="s">
        <v>138</v>
      </c>
      <c r="J442" s="58"/>
      <c r="K442" s="58"/>
      <c r="L442" s="58"/>
      <c r="M442" s="58"/>
      <c r="N442" s="58"/>
      <c r="O442" s="58"/>
      <c r="P442" s="58"/>
      <c r="Q442" s="58"/>
      <c r="R442" s="58"/>
      <c r="S442" s="58"/>
      <c r="T442" s="58"/>
      <c r="U442" s="58"/>
      <c r="V442" s="58"/>
      <c r="W442" s="58"/>
      <c r="X442" s="58"/>
      <c r="Y442" s="58"/>
      <c r="Z442" s="58"/>
    </row>
    <row r="443" ht="179.25" customHeight="1">
      <c r="A443" s="101" t="s">
        <v>2891</v>
      </c>
      <c r="B443" s="176" t="s">
        <v>123</v>
      </c>
      <c r="C443" s="75" t="s">
        <v>2892</v>
      </c>
      <c r="D443" s="75" t="s">
        <v>2893</v>
      </c>
      <c r="E443" s="75" t="s">
        <v>2894</v>
      </c>
      <c r="F443" s="75" t="s">
        <v>2608</v>
      </c>
      <c r="G443" s="76">
        <v>15.0</v>
      </c>
      <c r="H443" s="77">
        <v>15.0</v>
      </c>
      <c r="I443" s="77" t="s">
        <v>138</v>
      </c>
      <c r="J443" s="58"/>
      <c r="K443" s="58"/>
      <c r="L443" s="58"/>
      <c r="M443" s="58"/>
      <c r="N443" s="58"/>
      <c r="O443" s="58"/>
      <c r="P443" s="58"/>
      <c r="Q443" s="58"/>
      <c r="R443" s="58"/>
      <c r="S443" s="58"/>
      <c r="T443" s="58"/>
      <c r="U443" s="58"/>
      <c r="V443" s="58"/>
      <c r="W443" s="58"/>
      <c r="X443" s="58"/>
      <c r="Y443" s="58"/>
      <c r="Z443" s="58"/>
    </row>
    <row r="444" ht="110.25" customHeight="1">
      <c r="A444" s="101" t="s">
        <v>2895</v>
      </c>
      <c r="B444" s="176" t="s">
        <v>123</v>
      </c>
      <c r="C444" s="75" t="s">
        <v>2896</v>
      </c>
      <c r="D444" s="75" t="s">
        <v>2897</v>
      </c>
      <c r="E444" s="75" t="s">
        <v>2898</v>
      </c>
      <c r="F444" s="75" t="s">
        <v>2899</v>
      </c>
      <c r="G444" s="76">
        <v>50.0</v>
      </c>
      <c r="H444" s="77">
        <v>25.0</v>
      </c>
      <c r="I444" s="77" t="s">
        <v>138</v>
      </c>
      <c r="J444" s="58"/>
      <c r="K444" s="58"/>
      <c r="L444" s="58"/>
      <c r="M444" s="58"/>
      <c r="N444" s="58"/>
      <c r="O444" s="58"/>
      <c r="P444" s="58"/>
      <c r="Q444" s="58"/>
      <c r="R444" s="58"/>
      <c r="S444" s="58"/>
      <c r="T444" s="58"/>
      <c r="U444" s="58"/>
      <c r="V444" s="58"/>
      <c r="W444" s="58"/>
      <c r="X444" s="58"/>
      <c r="Y444" s="58"/>
      <c r="Z444" s="58"/>
    </row>
    <row r="445" ht="123.75" customHeight="1">
      <c r="A445" s="101" t="s">
        <v>1658</v>
      </c>
      <c r="B445" s="176" t="s">
        <v>123</v>
      </c>
      <c r="C445" s="75" t="s">
        <v>2900</v>
      </c>
      <c r="D445" s="75" t="s">
        <v>2901</v>
      </c>
      <c r="E445" s="75" t="s">
        <v>2902</v>
      </c>
      <c r="F445" s="75" t="s">
        <v>2903</v>
      </c>
      <c r="G445" s="76">
        <v>15.0</v>
      </c>
      <c r="H445" s="77">
        <v>15.0</v>
      </c>
      <c r="I445" s="77" t="s">
        <v>139</v>
      </c>
      <c r="J445" s="58"/>
      <c r="K445" s="58"/>
      <c r="L445" s="58"/>
      <c r="M445" s="58"/>
      <c r="N445" s="58"/>
      <c r="O445" s="58"/>
      <c r="P445" s="58"/>
      <c r="Q445" s="58"/>
      <c r="R445" s="58"/>
      <c r="S445" s="58"/>
      <c r="T445" s="58"/>
      <c r="U445" s="58"/>
      <c r="V445" s="58"/>
      <c r="W445" s="58"/>
      <c r="X445" s="58"/>
      <c r="Y445" s="58"/>
      <c r="Z445" s="58"/>
    </row>
    <row r="446" ht="110.25" customHeight="1">
      <c r="A446" s="101" t="s">
        <v>2904</v>
      </c>
      <c r="B446" s="176" t="s">
        <v>123</v>
      </c>
      <c r="C446" s="75" t="s">
        <v>2905</v>
      </c>
      <c r="D446" s="75" t="s">
        <v>2906</v>
      </c>
      <c r="E446" s="75" t="s">
        <v>2907</v>
      </c>
      <c r="F446" s="75" t="s">
        <v>2908</v>
      </c>
      <c r="G446" s="76">
        <v>15.0</v>
      </c>
      <c r="H446" s="77">
        <v>3.0</v>
      </c>
      <c r="I446" s="77" t="s">
        <v>139</v>
      </c>
      <c r="J446" s="58"/>
      <c r="K446" s="58"/>
      <c r="L446" s="58"/>
      <c r="M446" s="58"/>
      <c r="N446" s="58"/>
      <c r="O446" s="58"/>
      <c r="P446" s="58"/>
      <c r="Q446" s="58"/>
      <c r="R446" s="58"/>
      <c r="S446" s="58"/>
      <c r="T446" s="58"/>
      <c r="U446" s="58"/>
      <c r="V446" s="58"/>
      <c r="W446" s="58"/>
      <c r="X446" s="58"/>
      <c r="Y446" s="58"/>
      <c r="Z446" s="58"/>
    </row>
    <row r="447" ht="96.0" customHeight="1">
      <c r="A447" s="101" t="s">
        <v>2909</v>
      </c>
      <c r="B447" s="176" t="s">
        <v>123</v>
      </c>
      <c r="C447" s="75" t="s">
        <v>2910</v>
      </c>
      <c r="D447" s="75" t="s">
        <v>2911</v>
      </c>
      <c r="E447" s="75" t="s">
        <v>2912</v>
      </c>
      <c r="F447" s="75" t="s">
        <v>2913</v>
      </c>
      <c r="G447" s="76">
        <v>15.0</v>
      </c>
      <c r="H447" s="77">
        <v>15.0</v>
      </c>
      <c r="I447" s="77" t="s">
        <v>139</v>
      </c>
      <c r="J447" s="58"/>
      <c r="K447" s="58"/>
      <c r="L447" s="58"/>
      <c r="M447" s="58"/>
      <c r="N447" s="58"/>
      <c r="O447" s="58"/>
      <c r="P447" s="58"/>
      <c r="Q447" s="58"/>
      <c r="R447" s="58"/>
      <c r="S447" s="58"/>
      <c r="T447" s="58"/>
      <c r="U447" s="58"/>
      <c r="V447" s="58"/>
      <c r="W447" s="58"/>
      <c r="X447" s="58"/>
      <c r="Y447" s="58"/>
      <c r="Z447" s="58"/>
    </row>
    <row r="448" ht="151.5" customHeight="1">
      <c r="A448" s="101" t="s">
        <v>2914</v>
      </c>
      <c r="B448" s="176" t="s">
        <v>123</v>
      </c>
      <c r="C448" s="75" t="s">
        <v>2915</v>
      </c>
      <c r="D448" s="75" t="s">
        <v>2916</v>
      </c>
      <c r="E448" s="75" t="s">
        <v>2917</v>
      </c>
      <c r="F448" s="75" t="s">
        <v>2903</v>
      </c>
      <c r="G448" s="76">
        <v>15.0</v>
      </c>
      <c r="H448" s="77">
        <v>15.0</v>
      </c>
      <c r="I448" s="77" t="s">
        <v>139</v>
      </c>
      <c r="J448" s="58"/>
      <c r="K448" s="58"/>
      <c r="L448" s="58"/>
      <c r="M448" s="58"/>
      <c r="N448" s="58"/>
      <c r="O448" s="58"/>
      <c r="P448" s="58"/>
      <c r="Q448" s="58"/>
      <c r="R448" s="58"/>
      <c r="S448" s="58"/>
      <c r="T448" s="58"/>
      <c r="U448" s="58"/>
      <c r="V448" s="58"/>
      <c r="W448" s="58"/>
      <c r="X448" s="58"/>
      <c r="Y448" s="58"/>
      <c r="Z448" s="58"/>
    </row>
    <row r="449" ht="151.5" customHeight="1">
      <c r="A449" s="101" t="s">
        <v>2918</v>
      </c>
      <c r="B449" s="176" t="s">
        <v>123</v>
      </c>
      <c r="C449" s="75" t="s">
        <v>2919</v>
      </c>
      <c r="D449" s="75" t="s">
        <v>2920</v>
      </c>
      <c r="E449" s="75" t="s">
        <v>2921</v>
      </c>
      <c r="F449" s="75" t="s">
        <v>2272</v>
      </c>
      <c r="G449" s="76">
        <v>50.0</v>
      </c>
      <c r="H449" s="77">
        <v>50.0</v>
      </c>
      <c r="I449" s="77" t="s">
        <v>139</v>
      </c>
      <c r="J449" s="58"/>
      <c r="K449" s="58"/>
      <c r="L449" s="58"/>
      <c r="M449" s="58"/>
      <c r="N449" s="58"/>
      <c r="O449" s="58"/>
      <c r="P449" s="58"/>
      <c r="Q449" s="58"/>
      <c r="R449" s="58"/>
      <c r="S449" s="58"/>
      <c r="T449" s="58"/>
      <c r="U449" s="58"/>
      <c r="V449" s="58"/>
      <c r="W449" s="58"/>
      <c r="X449" s="58"/>
      <c r="Y449" s="58"/>
      <c r="Z449" s="58"/>
    </row>
    <row r="450" ht="151.5" customHeight="1">
      <c r="A450" s="101" t="s">
        <v>2909</v>
      </c>
      <c r="B450" s="176"/>
      <c r="C450" s="75" t="s">
        <v>2910</v>
      </c>
      <c r="D450" s="75" t="s">
        <v>2922</v>
      </c>
      <c r="E450" s="75" t="s">
        <v>2923</v>
      </c>
      <c r="F450" s="75" t="s">
        <v>2913</v>
      </c>
      <c r="G450" s="76">
        <v>15.0</v>
      </c>
      <c r="H450" s="77">
        <v>15.0</v>
      </c>
      <c r="I450" s="77" t="s">
        <v>139</v>
      </c>
      <c r="J450" s="58"/>
      <c r="K450" s="58"/>
      <c r="L450" s="58"/>
      <c r="M450" s="58"/>
      <c r="N450" s="58"/>
      <c r="O450" s="58"/>
      <c r="P450" s="58"/>
      <c r="Q450" s="58"/>
      <c r="R450" s="58"/>
      <c r="S450" s="58"/>
      <c r="T450" s="58"/>
      <c r="U450" s="58"/>
      <c r="V450" s="58"/>
      <c r="W450" s="58"/>
      <c r="X450" s="58"/>
      <c r="Y450" s="58"/>
      <c r="Z450" s="58"/>
    </row>
    <row r="451" ht="110.25" customHeight="1">
      <c r="A451" s="101" t="s">
        <v>2904</v>
      </c>
      <c r="B451" s="176" t="s">
        <v>123</v>
      </c>
      <c r="C451" s="75" t="s">
        <v>2905</v>
      </c>
      <c r="D451" s="75" t="s">
        <v>2924</v>
      </c>
      <c r="E451" s="75" t="s">
        <v>2925</v>
      </c>
      <c r="F451" s="75" t="s">
        <v>2926</v>
      </c>
      <c r="G451" s="76">
        <v>15.0</v>
      </c>
      <c r="H451" s="77">
        <v>3.0</v>
      </c>
      <c r="I451" s="77" t="s">
        <v>139</v>
      </c>
      <c r="J451" s="58"/>
      <c r="K451" s="58"/>
      <c r="L451" s="58"/>
      <c r="M451" s="58"/>
      <c r="N451" s="58"/>
      <c r="O451" s="58"/>
      <c r="P451" s="58"/>
      <c r="Q451" s="58"/>
      <c r="R451" s="58"/>
      <c r="S451" s="58"/>
      <c r="T451" s="58"/>
      <c r="U451" s="58"/>
      <c r="V451" s="58"/>
      <c r="W451" s="58"/>
      <c r="X451" s="58"/>
      <c r="Y451" s="58"/>
      <c r="Z451" s="58"/>
    </row>
    <row r="452" ht="96.0" customHeight="1">
      <c r="A452" s="101" t="s">
        <v>2927</v>
      </c>
      <c r="B452" s="176" t="s">
        <v>123</v>
      </c>
      <c r="C452" s="75" t="s">
        <v>2928</v>
      </c>
      <c r="D452" s="75" t="s">
        <v>2929</v>
      </c>
      <c r="E452" s="75" t="s">
        <v>2930</v>
      </c>
      <c r="F452" s="75" t="s">
        <v>2931</v>
      </c>
      <c r="G452" s="76">
        <v>15.0</v>
      </c>
      <c r="H452" s="77">
        <v>7.5</v>
      </c>
      <c r="I452" s="77" t="s">
        <v>140</v>
      </c>
      <c r="J452" s="58"/>
      <c r="K452" s="58"/>
      <c r="L452" s="58"/>
      <c r="M452" s="58"/>
      <c r="N452" s="58"/>
      <c r="O452" s="58"/>
      <c r="P452" s="58"/>
      <c r="Q452" s="58"/>
      <c r="R452" s="58"/>
      <c r="S452" s="58"/>
      <c r="T452" s="58"/>
      <c r="U452" s="58"/>
      <c r="V452" s="58"/>
      <c r="W452" s="58"/>
      <c r="X452" s="58"/>
      <c r="Y452" s="58"/>
      <c r="Z452" s="58"/>
    </row>
    <row r="453" ht="192.75" customHeight="1">
      <c r="A453" s="101" t="s">
        <v>2932</v>
      </c>
      <c r="B453" s="176" t="s">
        <v>123</v>
      </c>
      <c r="C453" s="75" t="s">
        <v>2933</v>
      </c>
      <c r="D453" s="75" t="s">
        <v>2934</v>
      </c>
      <c r="E453" s="75" t="s">
        <v>2935</v>
      </c>
      <c r="F453" s="75" t="s">
        <v>2936</v>
      </c>
      <c r="G453" s="76">
        <v>15.0</v>
      </c>
      <c r="H453" s="77">
        <v>15.0</v>
      </c>
      <c r="I453" s="77" t="s">
        <v>140</v>
      </c>
      <c r="J453" s="58"/>
      <c r="K453" s="58"/>
      <c r="L453" s="58"/>
      <c r="M453" s="58"/>
      <c r="N453" s="58"/>
      <c r="O453" s="58"/>
      <c r="P453" s="58"/>
      <c r="Q453" s="58"/>
      <c r="R453" s="58"/>
      <c r="S453" s="58"/>
      <c r="T453" s="58"/>
      <c r="U453" s="58"/>
      <c r="V453" s="58"/>
      <c r="W453" s="58"/>
      <c r="X453" s="58"/>
      <c r="Y453" s="58"/>
      <c r="Z453" s="58"/>
    </row>
    <row r="454" ht="192.75" customHeight="1">
      <c r="A454" s="101" t="s">
        <v>2932</v>
      </c>
      <c r="B454" s="176" t="s">
        <v>123</v>
      </c>
      <c r="C454" s="75" t="s">
        <v>2933</v>
      </c>
      <c r="D454" s="75" t="s">
        <v>2937</v>
      </c>
      <c r="E454" s="75" t="s">
        <v>2938</v>
      </c>
      <c r="F454" s="75" t="s">
        <v>2939</v>
      </c>
      <c r="G454" s="76">
        <v>15.0</v>
      </c>
      <c r="H454" s="77">
        <v>15.0</v>
      </c>
      <c r="I454" s="77" t="s">
        <v>140</v>
      </c>
      <c r="J454" s="58"/>
      <c r="K454" s="58"/>
      <c r="L454" s="58"/>
      <c r="M454" s="58"/>
      <c r="N454" s="58"/>
      <c r="O454" s="58"/>
      <c r="P454" s="58"/>
      <c r="Q454" s="58"/>
      <c r="R454" s="58"/>
      <c r="S454" s="58"/>
      <c r="T454" s="58"/>
      <c r="U454" s="58"/>
      <c r="V454" s="58"/>
      <c r="W454" s="58"/>
      <c r="X454" s="58"/>
      <c r="Y454" s="58"/>
      <c r="Z454" s="58"/>
    </row>
    <row r="455" ht="165.0" customHeight="1">
      <c r="A455" s="101" t="s">
        <v>2940</v>
      </c>
      <c r="B455" s="176" t="s">
        <v>142</v>
      </c>
      <c r="C455" s="75" t="s">
        <v>2941</v>
      </c>
      <c r="D455" s="75" t="s">
        <v>2942</v>
      </c>
      <c r="E455" s="75" t="s">
        <v>2943</v>
      </c>
      <c r="F455" s="75" t="s">
        <v>2944</v>
      </c>
      <c r="G455" s="76">
        <v>50.0</v>
      </c>
      <c r="H455" s="77">
        <v>25.0</v>
      </c>
      <c r="I455" s="77" t="s">
        <v>141</v>
      </c>
      <c r="J455" s="58"/>
      <c r="K455" s="58"/>
      <c r="L455" s="58"/>
      <c r="M455" s="58"/>
      <c r="N455" s="58"/>
      <c r="O455" s="58"/>
      <c r="P455" s="58"/>
      <c r="Q455" s="58"/>
      <c r="R455" s="58"/>
      <c r="S455" s="58"/>
      <c r="T455" s="58"/>
      <c r="U455" s="58"/>
      <c r="V455" s="58"/>
      <c r="W455" s="58"/>
      <c r="X455" s="58"/>
      <c r="Y455" s="58"/>
      <c r="Z455" s="58"/>
    </row>
    <row r="456" ht="110.25" customHeight="1">
      <c r="A456" s="101" t="s">
        <v>2945</v>
      </c>
      <c r="B456" s="176" t="s">
        <v>142</v>
      </c>
      <c r="C456" s="75" t="s">
        <v>2946</v>
      </c>
      <c r="D456" s="75" t="s">
        <v>2947</v>
      </c>
      <c r="E456" s="75" t="s">
        <v>2948</v>
      </c>
      <c r="F456" s="75" t="s">
        <v>2949</v>
      </c>
      <c r="G456" s="76">
        <v>15.0</v>
      </c>
      <c r="H456" s="77">
        <v>7.5</v>
      </c>
      <c r="I456" s="77" t="s">
        <v>141</v>
      </c>
      <c r="J456" s="58"/>
      <c r="K456" s="58"/>
      <c r="L456" s="58"/>
      <c r="M456" s="58"/>
      <c r="N456" s="58"/>
      <c r="O456" s="58"/>
      <c r="P456" s="58"/>
      <c r="Q456" s="58"/>
      <c r="R456" s="58"/>
      <c r="S456" s="58"/>
      <c r="T456" s="58"/>
      <c r="U456" s="58"/>
      <c r="V456" s="58"/>
      <c r="W456" s="58"/>
      <c r="X456" s="58"/>
      <c r="Y456" s="58"/>
      <c r="Z456" s="58"/>
    </row>
    <row r="457" ht="165.0" customHeight="1">
      <c r="A457" s="101" t="s">
        <v>2950</v>
      </c>
      <c r="B457" s="176" t="s">
        <v>142</v>
      </c>
      <c r="C457" s="75" t="s">
        <v>2951</v>
      </c>
      <c r="D457" s="75" t="s">
        <v>2952</v>
      </c>
      <c r="E457" s="75" t="s">
        <v>2953</v>
      </c>
      <c r="F457" s="75" t="s">
        <v>2954</v>
      </c>
      <c r="G457" s="76">
        <v>50.0</v>
      </c>
      <c r="H457" s="77">
        <v>50.0</v>
      </c>
      <c r="I457" s="77" t="s">
        <v>141</v>
      </c>
      <c r="J457" s="58"/>
      <c r="K457" s="58"/>
      <c r="L457" s="58"/>
      <c r="M457" s="58"/>
      <c r="N457" s="58"/>
      <c r="O457" s="58"/>
      <c r="P457" s="58"/>
      <c r="Q457" s="58"/>
      <c r="R457" s="58"/>
      <c r="S457" s="58"/>
      <c r="T457" s="58"/>
      <c r="U457" s="58"/>
      <c r="V457" s="58"/>
      <c r="W457" s="58"/>
      <c r="X457" s="58"/>
      <c r="Y457" s="58"/>
      <c r="Z457" s="58"/>
    </row>
    <row r="458" ht="261.75" customHeight="1">
      <c r="A458" s="101" t="s">
        <v>2955</v>
      </c>
      <c r="B458" s="176" t="s">
        <v>142</v>
      </c>
      <c r="C458" s="75" t="s">
        <v>2956</v>
      </c>
      <c r="D458" s="75" t="s">
        <v>2957</v>
      </c>
      <c r="E458" s="75" t="s">
        <v>2958</v>
      </c>
      <c r="F458" s="75" t="s">
        <v>2959</v>
      </c>
      <c r="G458" s="76">
        <v>50.0</v>
      </c>
      <c r="H458" s="77">
        <v>16.66</v>
      </c>
      <c r="I458" s="77" t="s">
        <v>141</v>
      </c>
      <c r="J458" s="58"/>
      <c r="K458" s="58"/>
      <c r="L458" s="58"/>
      <c r="M458" s="58"/>
      <c r="N458" s="58"/>
      <c r="O458" s="58"/>
      <c r="P458" s="58"/>
      <c r="Q458" s="58"/>
      <c r="R458" s="58"/>
      <c r="S458" s="58"/>
      <c r="T458" s="58"/>
      <c r="U458" s="58"/>
      <c r="V458" s="58"/>
      <c r="W458" s="58"/>
      <c r="X458" s="58"/>
      <c r="Y458" s="58"/>
      <c r="Z458" s="58"/>
    </row>
    <row r="459" ht="192.75" customHeight="1">
      <c r="A459" s="101" t="s">
        <v>2960</v>
      </c>
      <c r="B459" s="176" t="s">
        <v>142</v>
      </c>
      <c r="C459" s="75" t="s">
        <v>2961</v>
      </c>
      <c r="D459" s="75" t="s">
        <v>2962</v>
      </c>
      <c r="E459" s="75" t="s">
        <v>2963</v>
      </c>
      <c r="F459" s="75" t="s">
        <v>2964</v>
      </c>
      <c r="G459" s="76">
        <v>50.0</v>
      </c>
      <c r="H459" s="77">
        <v>16.66</v>
      </c>
      <c r="I459" s="77" t="s">
        <v>141</v>
      </c>
      <c r="J459" s="58"/>
      <c r="K459" s="58"/>
      <c r="L459" s="58"/>
      <c r="M459" s="58"/>
      <c r="N459" s="58"/>
      <c r="O459" s="58"/>
      <c r="P459" s="58"/>
      <c r="Q459" s="58"/>
      <c r="R459" s="58"/>
      <c r="S459" s="58"/>
      <c r="T459" s="58"/>
      <c r="U459" s="58"/>
      <c r="V459" s="58"/>
      <c r="W459" s="58"/>
      <c r="X459" s="58"/>
      <c r="Y459" s="58"/>
      <c r="Z459" s="58"/>
    </row>
    <row r="460" ht="179.25" customHeight="1">
      <c r="A460" s="101" t="s">
        <v>2955</v>
      </c>
      <c r="B460" s="176" t="s">
        <v>142</v>
      </c>
      <c r="C460" s="75" t="s">
        <v>2965</v>
      </c>
      <c r="D460" s="75" t="s">
        <v>2966</v>
      </c>
      <c r="E460" s="75" t="s">
        <v>2967</v>
      </c>
      <c r="F460" s="75" t="s">
        <v>2968</v>
      </c>
      <c r="G460" s="76">
        <v>50.0</v>
      </c>
      <c r="H460" s="77">
        <v>16.666666666666668</v>
      </c>
      <c r="I460" s="77" t="s">
        <v>141</v>
      </c>
      <c r="J460" s="58"/>
      <c r="K460" s="58"/>
      <c r="L460" s="58"/>
      <c r="M460" s="58"/>
      <c r="N460" s="58"/>
      <c r="O460" s="58"/>
      <c r="P460" s="58"/>
      <c r="Q460" s="58"/>
      <c r="R460" s="58"/>
      <c r="S460" s="58"/>
      <c r="T460" s="58"/>
      <c r="U460" s="58"/>
      <c r="V460" s="58"/>
      <c r="W460" s="58"/>
      <c r="X460" s="58"/>
      <c r="Y460" s="58"/>
      <c r="Z460" s="58"/>
    </row>
    <row r="461" ht="192.75" customHeight="1">
      <c r="A461" s="101" t="s">
        <v>573</v>
      </c>
      <c r="B461" s="176" t="s">
        <v>142</v>
      </c>
      <c r="C461" s="75" t="s">
        <v>2969</v>
      </c>
      <c r="D461" s="75" t="s">
        <v>2970</v>
      </c>
      <c r="E461" s="75" t="s">
        <v>2971</v>
      </c>
      <c r="F461" s="75" t="s">
        <v>2272</v>
      </c>
      <c r="G461" s="76">
        <v>50.0</v>
      </c>
      <c r="H461" s="77">
        <v>50.0</v>
      </c>
      <c r="I461" s="77" t="s">
        <v>141</v>
      </c>
      <c r="J461" s="58"/>
      <c r="K461" s="58"/>
      <c r="L461" s="58"/>
      <c r="M461" s="58"/>
      <c r="N461" s="58"/>
      <c r="O461" s="58"/>
      <c r="P461" s="58"/>
      <c r="Q461" s="58"/>
      <c r="R461" s="58"/>
      <c r="S461" s="58"/>
      <c r="T461" s="58"/>
      <c r="U461" s="58"/>
      <c r="V461" s="58"/>
      <c r="W461" s="58"/>
      <c r="X461" s="58"/>
      <c r="Y461" s="58"/>
      <c r="Z461" s="58"/>
    </row>
    <row r="462" ht="138.0" customHeight="1">
      <c r="A462" s="101" t="s">
        <v>2945</v>
      </c>
      <c r="B462" s="176" t="s">
        <v>142</v>
      </c>
      <c r="C462" s="75" t="s">
        <v>2972</v>
      </c>
      <c r="D462" s="75" t="s">
        <v>2973</v>
      </c>
      <c r="E462" s="75" t="s">
        <v>2974</v>
      </c>
      <c r="F462" s="75" t="s">
        <v>2975</v>
      </c>
      <c r="G462" s="76">
        <v>15.0</v>
      </c>
      <c r="H462" s="77">
        <v>7.5</v>
      </c>
      <c r="I462" s="77" t="s">
        <v>141</v>
      </c>
      <c r="J462" s="58"/>
      <c r="K462" s="58"/>
      <c r="L462" s="58"/>
      <c r="M462" s="58"/>
      <c r="N462" s="58"/>
      <c r="O462" s="58"/>
      <c r="P462" s="58"/>
      <c r="Q462" s="58"/>
      <c r="R462" s="58"/>
      <c r="S462" s="58"/>
      <c r="T462" s="58"/>
      <c r="U462" s="58"/>
      <c r="V462" s="58"/>
      <c r="W462" s="58"/>
      <c r="X462" s="58"/>
      <c r="Y462" s="58"/>
      <c r="Z462" s="58"/>
    </row>
    <row r="463" ht="220.5" customHeight="1">
      <c r="A463" s="101" t="s">
        <v>2950</v>
      </c>
      <c r="B463" s="176" t="s">
        <v>142</v>
      </c>
      <c r="C463" s="75" t="s">
        <v>2976</v>
      </c>
      <c r="D463" s="75" t="s">
        <v>2977</v>
      </c>
      <c r="E463" s="75" t="s">
        <v>2978</v>
      </c>
      <c r="F463" s="75" t="s">
        <v>2979</v>
      </c>
      <c r="G463" s="76">
        <v>15.0</v>
      </c>
      <c r="H463" s="77">
        <v>15.0</v>
      </c>
      <c r="I463" s="77" t="s">
        <v>141</v>
      </c>
      <c r="J463" s="58"/>
      <c r="K463" s="58"/>
      <c r="L463" s="58"/>
      <c r="M463" s="58"/>
      <c r="N463" s="58"/>
      <c r="O463" s="58"/>
      <c r="P463" s="58"/>
      <c r="Q463" s="58"/>
      <c r="R463" s="58"/>
      <c r="S463" s="58"/>
      <c r="T463" s="58"/>
      <c r="U463" s="58"/>
      <c r="V463" s="58"/>
      <c r="W463" s="58"/>
      <c r="X463" s="58"/>
      <c r="Y463" s="58"/>
      <c r="Z463" s="58"/>
    </row>
    <row r="464" ht="151.5" customHeight="1">
      <c r="A464" s="101" t="s">
        <v>2980</v>
      </c>
      <c r="B464" s="176" t="s">
        <v>142</v>
      </c>
      <c r="C464" s="75" t="s">
        <v>2981</v>
      </c>
      <c r="D464" s="75" t="s">
        <v>2982</v>
      </c>
      <c r="E464" s="75" t="s">
        <v>2983</v>
      </c>
      <c r="F464" s="75" t="s">
        <v>1796</v>
      </c>
      <c r="G464" s="76">
        <v>15.0</v>
      </c>
      <c r="H464" s="77">
        <v>15.0</v>
      </c>
      <c r="I464" s="77" t="s">
        <v>150</v>
      </c>
      <c r="J464" s="58"/>
      <c r="K464" s="58"/>
      <c r="L464" s="58"/>
      <c r="M464" s="58"/>
      <c r="N464" s="58"/>
      <c r="O464" s="58"/>
      <c r="P464" s="58"/>
      <c r="Q464" s="58"/>
      <c r="R464" s="58"/>
      <c r="S464" s="58"/>
      <c r="T464" s="58"/>
      <c r="U464" s="58"/>
      <c r="V464" s="58"/>
      <c r="W464" s="58"/>
      <c r="X464" s="58"/>
      <c r="Y464" s="58"/>
      <c r="Z464" s="58"/>
    </row>
    <row r="465" ht="96.0" customHeight="1">
      <c r="A465" s="101" t="s">
        <v>2984</v>
      </c>
      <c r="B465" s="176" t="s">
        <v>142</v>
      </c>
      <c r="C465" s="75" t="s">
        <v>2985</v>
      </c>
      <c r="D465" s="75" t="s">
        <v>2986</v>
      </c>
      <c r="E465" s="75" t="s">
        <v>2987</v>
      </c>
      <c r="F465" s="75" t="s">
        <v>1796</v>
      </c>
      <c r="G465" s="76">
        <v>15.0</v>
      </c>
      <c r="H465" s="77">
        <v>3.0</v>
      </c>
      <c r="I465" s="77" t="s">
        <v>150</v>
      </c>
      <c r="J465" s="58"/>
      <c r="K465" s="58"/>
      <c r="L465" s="58"/>
      <c r="M465" s="58"/>
      <c r="N465" s="58"/>
      <c r="O465" s="58"/>
      <c r="P465" s="58"/>
      <c r="Q465" s="58"/>
      <c r="R465" s="58"/>
      <c r="S465" s="58"/>
      <c r="T465" s="58"/>
      <c r="U465" s="58"/>
      <c r="V465" s="58"/>
      <c r="W465" s="58"/>
      <c r="X465" s="58"/>
      <c r="Y465" s="58"/>
      <c r="Z465" s="58"/>
    </row>
    <row r="466" ht="330.75" customHeight="1">
      <c r="A466" s="101" t="s">
        <v>2984</v>
      </c>
      <c r="B466" s="176" t="s">
        <v>142</v>
      </c>
      <c r="C466" s="75" t="s">
        <v>2985</v>
      </c>
      <c r="D466" s="75" t="s">
        <v>2988</v>
      </c>
      <c r="E466" s="75" t="s">
        <v>2989</v>
      </c>
      <c r="F466" s="75" t="s">
        <v>1796</v>
      </c>
      <c r="G466" s="76">
        <v>15.0</v>
      </c>
      <c r="H466" s="77">
        <v>3.0</v>
      </c>
      <c r="I466" s="77" t="s">
        <v>150</v>
      </c>
      <c r="J466" s="58"/>
      <c r="K466" s="58"/>
      <c r="L466" s="58"/>
      <c r="M466" s="58"/>
      <c r="N466" s="58"/>
      <c r="O466" s="58"/>
      <c r="P466" s="58"/>
      <c r="Q466" s="58"/>
      <c r="R466" s="58"/>
      <c r="S466" s="58"/>
      <c r="T466" s="58"/>
      <c r="U466" s="58"/>
      <c r="V466" s="58"/>
      <c r="W466" s="58"/>
      <c r="X466" s="58"/>
      <c r="Y466" s="58"/>
      <c r="Z466" s="58"/>
    </row>
    <row r="467" ht="330.75" customHeight="1">
      <c r="A467" s="101" t="s">
        <v>2984</v>
      </c>
      <c r="B467" s="176" t="s">
        <v>142</v>
      </c>
      <c r="C467" s="75" t="s">
        <v>2985</v>
      </c>
      <c r="D467" s="75" t="s">
        <v>2990</v>
      </c>
      <c r="E467" s="75" t="s">
        <v>2991</v>
      </c>
      <c r="F467" s="75" t="s">
        <v>1796</v>
      </c>
      <c r="G467" s="76">
        <v>15.0</v>
      </c>
      <c r="H467" s="77">
        <v>3.0</v>
      </c>
      <c r="I467" s="77" t="s">
        <v>150</v>
      </c>
      <c r="J467" s="58"/>
      <c r="K467" s="58"/>
      <c r="L467" s="58"/>
      <c r="M467" s="58"/>
      <c r="N467" s="58"/>
      <c r="O467" s="58"/>
      <c r="P467" s="58"/>
      <c r="Q467" s="58"/>
      <c r="R467" s="58"/>
      <c r="S467" s="58"/>
      <c r="T467" s="58"/>
      <c r="U467" s="58"/>
      <c r="V467" s="58"/>
      <c r="W467" s="58"/>
      <c r="X467" s="58"/>
      <c r="Y467" s="58"/>
      <c r="Z467" s="58"/>
    </row>
    <row r="468" ht="123.75" customHeight="1">
      <c r="A468" s="101" t="s">
        <v>2984</v>
      </c>
      <c r="B468" s="176" t="s">
        <v>142</v>
      </c>
      <c r="C468" s="75" t="s">
        <v>2985</v>
      </c>
      <c r="D468" s="75" t="s">
        <v>2992</v>
      </c>
      <c r="E468" s="75" t="s">
        <v>2993</v>
      </c>
      <c r="F468" s="75" t="s">
        <v>2994</v>
      </c>
      <c r="G468" s="76">
        <v>15.0</v>
      </c>
      <c r="H468" s="77">
        <v>3.0</v>
      </c>
      <c r="I468" s="77" t="s">
        <v>150</v>
      </c>
      <c r="J468" s="58"/>
      <c r="K468" s="58"/>
      <c r="L468" s="58"/>
      <c r="M468" s="58"/>
      <c r="N468" s="58"/>
      <c r="O468" s="58"/>
      <c r="P468" s="58"/>
      <c r="Q468" s="58"/>
      <c r="R468" s="58"/>
      <c r="S468" s="58"/>
      <c r="T468" s="58"/>
      <c r="U468" s="58"/>
      <c r="V468" s="58"/>
      <c r="W468" s="58"/>
      <c r="X468" s="58"/>
      <c r="Y468" s="58"/>
      <c r="Z468" s="58"/>
    </row>
    <row r="469" ht="82.5" customHeight="1">
      <c r="A469" s="101" t="s">
        <v>2984</v>
      </c>
      <c r="B469" s="176" t="s">
        <v>142</v>
      </c>
      <c r="C469" s="75" t="s">
        <v>2985</v>
      </c>
      <c r="D469" s="75" t="s">
        <v>2995</v>
      </c>
      <c r="E469" s="75" t="s">
        <v>2996</v>
      </c>
      <c r="F469" s="75" t="s">
        <v>1796</v>
      </c>
      <c r="G469" s="76">
        <v>15.0</v>
      </c>
      <c r="H469" s="77">
        <v>3.0</v>
      </c>
      <c r="I469" s="77" t="s">
        <v>150</v>
      </c>
      <c r="J469" s="58"/>
      <c r="K469" s="58"/>
      <c r="L469" s="58"/>
      <c r="M469" s="58"/>
      <c r="N469" s="58"/>
      <c r="O469" s="58"/>
      <c r="P469" s="58"/>
      <c r="Q469" s="58"/>
      <c r="R469" s="58"/>
      <c r="S469" s="58"/>
      <c r="T469" s="58"/>
      <c r="U469" s="58"/>
      <c r="V469" s="58"/>
      <c r="W469" s="58"/>
      <c r="X469" s="58"/>
      <c r="Y469" s="58"/>
      <c r="Z469" s="58"/>
    </row>
    <row r="470" ht="192.75" customHeight="1">
      <c r="A470" s="101" t="s">
        <v>2984</v>
      </c>
      <c r="B470" s="176" t="s">
        <v>142</v>
      </c>
      <c r="C470" s="75" t="s">
        <v>2985</v>
      </c>
      <c r="D470" s="75" t="s">
        <v>2997</v>
      </c>
      <c r="E470" s="75" t="s">
        <v>2998</v>
      </c>
      <c r="F470" s="75" t="s">
        <v>1796</v>
      </c>
      <c r="G470" s="76">
        <v>15.0</v>
      </c>
      <c r="H470" s="77">
        <v>3.0</v>
      </c>
      <c r="I470" s="77" t="s">
        <v>150</v>
      </c>
      <c r="J470" s="58"/>
      <c r="K470" s="58"/>
      <c r="L470" s="58"/>
      <c r="M470" s="58"/>
      <c r="N470" s="58"/>
      <c r="O470" s="58"/>
      <c r="P470" s="58"/>
      <c r="Q470" s="58"/>
      <c r="R470" s="58"/>
      <c r="S470" s="58"/>
      <c r="T470" s="58"/>
      <c r="U470" s="58"/>
      <c r="V470" s="58"/>
      <c r="W470" s="58"/>
      <c r="X470" s="58"/>
      <c r="Y470" s="58"/>
      <c r="Z470" s="58"/>
    </row>
    <row r="471" ht="165.0" customHeight="1">
      <c r="A471" s="101" t="s">
        <v>2984</v>
      </c>
      <c r="B471" s="176" t="s">
        <v>142</v>
      </c>
      <c r="C471" s="75" t="s">
        <v>2985</v>
      </c>
      <c r="D471" s="75" t="s">
        <v>2999</v>
      </c>
      <c r="E471" s="75" t="s">
        <v>3000</v>
      </c>
      <c r="F471" s="75" t="s">
        <v>2994</v>
      </c>
      <c r="G471" s="76">
        <v>15.0</v>
      </c>
      <c r="H471" s="77">
        <v>3.0</v>
      </c>
      <c r="I471" s="77" t="s">
        <v>150</v>
      </c>
      <c r="J471" s="58"/>
      <c r="K471" s="58"/>
      <c r="L471" s="58"/>
      <c r="M471" s="58"/>
      <c r="N471" s="58"/>
      <c r="O471" s="58"/>
      <c r="P471" s="58"/>
      <c r="Q471" s="58"/>
      <c r="R471" s="58"/>
      <c r="S471" s="58"/>
      <c r="T471" s="58"/>
      <c r="U471" s="58"/>
      <c r="V471" s="58"/>
      <c r="W471" s="58"/>
      <c r="X471" s="58"/>
      <c r="Y471" s="58"/>
      <c r="Z471" s="58"/>
    </row>
    <row r="472" ht="151.5" customHeight="1">
      <c r="A472" s="101" t="s">
        <v>2984</v>
      </c>
      <c r="B472" s="176" t="s">
        <v>142</v>
      </c>
      <c r="C472" s="75" t="s">
        <v>2985</v>
      </c>
      <c r="D472" s="75" t="s">
        <v>3001</v>
      </c>
      <c r="E472" s="75" t="s">
        <v>3002</v>
      </c>
      <c r="F472" s="75" t="s">
        <v>2994</v>
      </c>
      <c r="G472" s="76">
        <v>15.0</v>
      </c>
      <c r="H472" s="77">
        <v>3.0</v>
      </c>
      <c r="I472" s="77" t="s">
        <v>150</v>
      </c>
      <c r="J472" s="58"/>
      <c r="K472" s="58"/>
      <c r="L472" s="58"/>
      <c r="M472" s="58"/>
      <c r="N472" s="58"/>
      <c r="O472" s="58"/>
      <c r="P472" s="58"/>
      <c r="Q472" s="58"/>
      <c r="R472" s="58"/>
      <c r="S472" s="58"/>
      <c r="T472" s="58"/>
      <c r="U472" s="58"/>
      <c r="V472" s="58"/>
      <c r="W472" s="58"/>
      <c r="X472" s="58"/>
      <c r="Y472" s="58"/>
      <c r="Z472" s="58"/>
    </row>
    <row r="473" ht="220.5" customHeight="1">
      <c r="A473" s="101" t="s">
        <v>2984</v>
      </c>
      <c r="B473" s="176" t="s">
        <v>142</v>
      </c>
      <c r="C473" s="75" t="s">
        <v>2985</v>
      </c>
      <c r="D473" s="75" t="s">
        <v>3003</v>
      </c>
      <c r="E473" s="75" t="s">
        <v>3004</v>
      </c>
      <c r="F473" s="75" t="s">
        <v>3005</v>
      </c>
      <c r="G473" s="76">
        <v>50.0</v>
      </c>
      <c r="H473" s="77">
        <v>10.0</v>
      </c>
      <c r="I473" s="77" t="s">
        <v>150</v>
      </c>
      <c r="J473" s="58"/>
      <c r="K473" s="58"/>
      <c r="L473" s="58"/>
      <c r="M473" s="58"/>
      <c r="N473" s="58"/>
      <c r="O473" s="58"/>
      <c r="P473" s="58"/>
      <c r="Q473" s="58"/>
      <c r="R473" s="58"/>
      <c r="S473" s="58"/>
      <c r="T473" s="58"/>
      <c r="U473" s="58"/>
      <c r="V473" s="58"/>
      <c r="W473" s="58"/>
      <c r="X473" s="58"/>
      <c r="Y473" s="58"/>
      <c r="Z473" s="58"/>
    </row>
    <row r="474" ht="123.75" customHeight="1">
      <c r="A474" s="101" t="s">
        <v>2984</v>
      </c>
      <c r="B474" s="176" t="s">
        <v>142</v>
      </c>
      <c r="C474" s="75" t="s">
        <v>2985</v>
      </c>
      <c r="D474" s="75" t="s">
        <v>3006</v>
      </c>
      <c r="E474" s="75" t="s">
        <v>3007</v>
      </c>
      <c r="F474" s="75" t="s">
        <v>3005</v>
      </c>
      <c r="G474" s="76">
        <v>50.0</v>
      </c>
      <c r="H474" s="77">
        <v>10.0</v>
      </c>
      <c r="I474" s="77" t="s">
        <v>150</v>
      </c>
      <c r="J474" s="58"/>
      <c r="K474" s="58"/>
      <c r="L474" s="58"/>
      <c r="M474" s="58"/>
      <c r="N474" s="58"/>
      <c r="O474" s="58"/>
      <c r="P474" s="58"/>
      <c r="Q474" s="58"/>
      <c r="R474" s="58"/>
      <c r="S474" s="58"/>
      <c r="T474" s="58"/>
      <c r="U474" s="58"/>
      <c r="V474" s="58"/>
      <c r="W474" s="58"/>
      <c r="X474" s="58"/>
      <c r="Y474" s="58"/>
      <c r="Z474" s="58"/>
    </row>
    <row r="475" ht="110.25" customHeight="1">
      <c r="A475" s="101" t="s">
        <v>2984</v>
      </c>
      <c r="B475" s="176" t="s">
        <v>142</v>
      </c>
      <c r="C475" s="75" t="s">
        <v>2985</v>
      </c>
      <c r="D475" s="75" t="s">
        <v>3008</v>
      </c>
      <c r="E475" s="75" t="s">
        <v>3009</v>
      </c>
      <c r="F475" s="75" t="s">
        <v>3005</v>
      </c>
      <c r="G475" s="76">
        <v>50.0</v>
      </c>
      <c r="H475" s="77">
        <v>10.0</v>
      </c>
      <c r="I475" s="77" t="s">
        <v>150</v>
      </c>
      <c r="J475" s="58"/>
      <c r="K475" s="58"/>
      <c r="L475" s="58"/>
      <c r="M475" s="58"/>
      <c r="N475" s="58"/>
      <c r="O475" s="58"/>
      <c r="P475" s="58"/>
      <c r="Q475" s="58"/>
      <c r="R475" s="58"/>
      <c r="S475" s="58"/>
      <c r="T475" s="58"/>
      <c r="U475" s="58"/>
      <c r="V475" s="58"/>
      <c r="W475" s="58"/>
      <c r="X475" s="58"/>
      <c r="Y475" s="58"/>
      <c r="Z475" s="58"/>
    </row>
    <row r="476" ht="123.75" customHeight="1">
      <c r="A476" s="101" t="s">
        <v>2984</v>
      </c>
      <c r="B476" s="176" t="s">
        <v>142</v>
      </c>
      <c r="C476" s="75" t="s">
        <v>2985</v>
      </c>
      <c r="D476" s="75" t="s">
        <v>3010</v>
      </c>
      <c r="E476" s="75" t="s">
        <v>3011</v>
      </c>
      <c r="F476" s="75" t="s">
        <v>3005</v>
      </c>
      <c r="G476" s="76">
        <v>50.0</v>
      </c>
      <c r="H476" s="77">
        <v>10.0</v>
      </c>
      <c r="I476" s="77" t="s">
        <v>150</v>
      </c>
      <c r="J476" s="58"/>
      <c r="K476" s="58"/>
      <c r="L476" s="58"/>
      <c r="M476" s="58"/>
      <c r="N476" s="58"/>
      <c r="O476" s="58"/>
      <c r="P476" s="58"/>
      <c r="Q476" s="58"/>
      <c r="R476" s="58"/>
      <c r="S476" s="58"/>
      <c r="T476" s="58"/>
      <c r="U476" s="58"/>
      <c r="V476" s="58"/>
      <c r="W476" s="58"/>
      <c r="X476" s="58"/>
      <c r="Y476" s="58"/>
      <c r="Z476" s="58"/>
    </row>
    <row r="477" ht="151.5" customHeight="1">
      <c r="A477" s="101" t="s">
        <v>2984</v>
      </c>
      <c r="B477" s="176" t="s">
        <v>142</v>
      </c>
      <c r="C477" s="75" t="s">
        <v>2985</v>
      </c>
      <c r="D477" s="75" t="s">
        <v>3012</v>
      </c>
      <c r="E477" s="75" t="s">
        <v>3013</v>
      </c>
      <c r="F477" s="75" t="s">
        <v>1796</v>
      </c>
      <c r="G477" s="76">
        <v>15.0</v>
      </c>
      <c r="H477" s="77">
        <v>3.0</v>
      </c>
      <c r="I477" s="77" t="s">
        <v>150</v>
      </c>
      <c r="J477" s="58"/>
      <c r="K477" s="58"/>
      <c r="L477" s="58"/>
      <c r="M477" s="58"/>
      <c r="N477" s="58"/>
      <c r="O477" s="58"/>
      <c r="P477" s="58"/>
      <c r="Q477" s="58"/>
      <c r="R477" s="58"/>
      <c r="S477" s="58"/>
      <c r="T477" s="58"/>
      <c r="U477" s="58"/>
      <c r="V477" s="58"/>
      <c r="W477" s="58"/>
      <c r="X477" s="58"/>
      <c r="Y477" s="58"/>
      <c r="Z477" s="58"/>
    </row>
    <row r="478" ht="96.0" customHeight="1">
      <c r="A478" s="101" t="s">
        <v>2984</v>
      </c>
      <c r="B478" s="176" t="s">
        <v>142</v>
      </c>
      <c r="C478" s="75" t="s">
        <v>2985</v>
      </c>
      <c r="D478" s="75" t="s">
        <v>3014</v>
      </c>
      <c r="E478" s="75" t="s">
        <v>3015</v>
      </c>
      <c r="F478" s="75" t="s">
        <v>3005</v>
      </c>
      <c r="G478" s="76">
        <v>50.0</v>
      </c>
      <c r="H478" s="77">
        <v>10.0</v>
      </c>
      <c r="I478" s="77" t="s">
        <v>150</v>
      </c>
      <c r="J478" s="58"/>
      <c r="K478" s="58"/>
      <c r="L478" s="58"/>
      <c r="M478" s="58"/>
      <c r="N478" s="58"/>
      <c r="O478" s="58"/>
      <c r="P478" s="58"/>
      <c r="Q478" s="58"/>
      <c r="R478" s="58"/>
      <c r="S478" s="58"/>
      <c r="T478" s="58"/>
      <c r="U478" s="58"/>
      <c r="V478" s="58"/>
      <c r="W478" s="58"/>
      <c r="X478" s="58"/>
      <c r="Y478" s="58"/>
      <c r="Z478" s="58"/>
    </row>
    <row r="479" ht="96.0" customHeight="1">
      <c r="A479" s="101" t="s">
        <v>2984</v>
      </c>
      <c r="B479" s="176" t="s">
        <v>142</v>
      </c>
      <c r="C479" s="75" t="s">
        <v>2985</v>
      </c>
      <c r="D479" s="75" t="s">
        <v>3016</v>
      </c>
      <c r="E479" s="75" t="s">
        <v>3017</v>
      </c>
      <c r="F479" s="75" t="s">
        <v>3005</v>
      </c>
      <c r="G479" s="76">
        <v>50.0</v>
      </c>
      <c r="H479" s="77">
        <v>10.0</v>
      </c>
      <c r="I479" s="77" t="s">
        <v>150</v>
      </c>
      <c r="J479" s="58"/>
      <c r="K479" s="58"/>
      <c r="L479" s="58"/>
      <c r="M479" s="58"/>
      <c r="N479" s="58"/>
      <c r="O479" s="58"/>
      <c r="P479" s="58"/>
      <c r="Q479" s="58"/>
      <c r="R479" s="58"/>
      <c r="S479" s="58"/>
      <c r="T479" s="58"/>
      <c r="U479" s="58"/>
      <c r="V479" s="58"/>
      <c r="W479" s="58"/>
      <c r="X479" s="58"/>
      <c r="Y479" s="58"/>
      <c r="Z479" s="58"/>
    </row>
    <row r="480" ht="192.75" customHeight="1">
      <c r="A480" s="101" t="s">
        <v>2984</v>
      </c>
      <c r="B480" s="176" t="s">
        <v>142</v>
      </c>
      <c r="C480" s="75" t="s">
        <v>2985</v>
      </c>
      <c r="D480" s="75" t="s">
        <v>3018</v>
      </c>
      <c r="E480" s="75" t="s">
        <v>3019</v>
      </c>
      <c r="F480" s="75" t="s">
        <v>1796</v>
      </c>
      <c r="G480" s="76">
        <v>15.0</v>
      </c>
      <c r="H480" s="77">
        <v>3.0</v>
      </c>
      <c r="I480" s="77" t="s">
        <v>150</v>
      </c>
      <c r="J480" s="58"/>
      <c r="K480" s="58"/>
      <c r="L480" s="58"/>
      <c r="M480" s="58"/>
      <c r="N480" s="58"/>
      <c r="O480" s="58"/>
      <c r="P480" s="58"/>
      <c r="Q480" s="58"/>
      <c r="R480" s="58"/>
      <c r="S480" s="58"/>
      <c r="T480" s="58"/>
      <c r="U480" s="58"/>
      <c r="V480" s="58"/>
      <c r="W480" s="58"/>
      <c r="X480" s="58"/>
      <c r="Y480" s="58"/>
      <c r="Z480" s="58"/>
    </row>
    <row r="481" ht="123.75" customHeight="1">
      <c r="A481" s="101" t="s">
        <v>2984</v>
      </c>
      <c r="B481" s="176" t="s">
        <v>142</v>
      </c>
      <c r="C481" s="75" t="s">
        <v>2985</v>
      </c>
      <c r="D481" s="75" t="s">
        <v>3020</v>
      </c>
      <c r="E481" s="75" t="s">
        <v>3021</v>
      </c>
      <c r="F481" s="75" t="s">
        <v>1796</v>
      </c>
      <c r="G481" s="76">
        <v>15.0</v>
      </c>
      <c r="H481" s="77">
        <v>3.0</v>
      </c>
      <c r="I481" s="77" t="s">
        <v>150</v>
      </c>
      <c r="J481" s="58"/>
      <c r="K481" s="58"/>
      <c r="L481" s="58"/>
      <c r="M481" s="58"/>
      <c r="N481" s="58"/>
      <c r="O481" s="58"/>
      <c r="P481" s="58"/>
      <c r="Q481" s="58"/>
      <c r="R481" s="58"/>
      <c r="S481" s="58"/>
      <c r="T481" s="58"/>
      <c r="U481" s="58"/>
      <c r="V481" s="58"/>
      <c r="W481" s="58"/>
      <c r="X481" s="58"/>
      <c r="Y481" s="58"/>
      <c r="Z481" s="58"/>
    </row>
    <row r="482" ht="123.75" customHeight="1">
      <c r="A482" s="101" t="s">
        <v>3022</v>
      </c>
      <c r="B482" s="176" t="s">
        <v>142</v>
      </c>
      <c r="C482" s="75" t="s">
        <v>3023</v>
      </c>
      <c r="D482" s="75" t="s">
        <v>3024</v>
      </c>
      <c r="E482" s="75" t="s">
        <v>3025</v>
      </c>
      <c r="F482" s="75" t="s">
        <v>3005</v>
      </c>
      <c r="G482" s="76">
        <v>50.0</v>
      </c>
      <c r="H482" s="77">
        <v>25.0</v>
      </c>
      <c r="I482" s="77" t="s">
        <v>150</v>
      </c>
      <c r="J482" s="58"/>
      <c r="K482" s="58"/>
      <c r="L482" s="58"/>
      <c r="M482" s="58"/>
      <c r="N482" s="58"/>
      <c r="O482" s="58"/>
      <c r="P482" s="58"/>
      <c r="Q482" s="58"/>
      <c r="R482" s="58"/>
      <c r="S482" s="58"/>
      <c r="T482" s="58"/>
      <c r="U482" s="58"/>
      <c r="V482" s="58"/>
      <c r="W482" s="58"/>
      <c r="X482" s="58"/>
      <c r="Y482" s="58"/>
      <c r="Z482" s="58"/>
    </row>
    <row r="483" ht="96.0" customHeight="1">
      <c r="A483" s="101" t="s">
        <v>3022</v>
      </c>
      <c r="B483" s="176" t="s">
        <v>142</v>
      </c>
      <c r="C483" s="75" t="s">
        <v>3023</v>
      </c>
      <c r="D483" s="75" t="s">
        <v>3026</v>
      </c>
      <c r="E483" s="75" t="s">
        <v>3027</v>
      </c>
      <c r="F483" s="75" t="s">
        <v>3005</v>
      </c>
      <c r="G483" s="76">
        <v>50.0</v>
      </c>
      <c r="H483" s="77">
        <v>25.0</v>
      </c>
      <c r="I483" s="77" t="s">
        <v>150</v>
      </c>
      <c r="J483" s="58"/>
      <c r="K483" s="58"/>
      <c r="L483" s="58"/>
      <c r="M483" s="58"/>
      <c r="N483" s="58"/>
      <c r="O483" s="58"/>
      <c r="P483" s="58"/>
      <c r="Q483" s="58"/>
      <c r="R483" s="58"/>
      <c r="S483" s="58"/>
      <c r="T483" s="58"/>
      <c r="U483" s="58"/>
      <c r="V483" s="58"/>
      <c r="W483" s="58"/>
      <c r="X483" s="58"/>
      <c r="Y483" s="58"/>
      <c r="Z483" s="58"/>
    </row>
    <row r="484" ht="110.25" customHeight="1">
      <c r="A484" s="101" t="s">
        <v>3022</v>
      </c>
      <c r="B484" s="176" t="s">
        <v>142</v>
      </c>
      <c r="C484" s="75" t="s">
        <v>3028</v>
      </c>
      <c r="D484" s="75" t="s">
        <v>3029</v>
      </c>
      <c r="E484" s="75" t="s">
        <v>3030</v>
      </c>
      <c r="F484" s="75" t="s">
        <v>3005</v>
      </c>
      <c r="G484" s="76">
        <v>50.0</v>
      </c>
      <c r="H484" s="77">
        <v>25.0</v>
      </c>
      <c r="I484" s="77" t="s">
        <v>150</v>
      </c>
      <c r="J484" s="58"/>
      <c r="K484" s="58"/>
      <c r="L484" s="58"/>
      <c r="M484" s="58"/>
      <c r="N484" s="58"/>
      <c r="O484" s="58"/>
      <c r="P484" s="58"/>
      <c r="Q484" s="58"/>
      <c r="R484" s="58"/>
      <c r="S484" s="58"/>
      <c r="T484" s="58"/>
      <c r="U484" s="58"/>
      <c r="V484" s="58"/>
      <c r="W484" s="58"/>
      <c r="X484" s="58"/>
      <c r="Y484" s="58"/>
      <c r="Z484" s="58"/>
    </row>
    <row r="485" ht="123.75" customHeight="1">
      <c r="A485" s="101" t="s">
        <v>3022</v>
      </c>
      <c r="B485" s="176" t="s">
        <v>142</v>
      </c>
      <c r="C485" s="75" t="s">
        <v>3028</v>
      </c>
      <c r="D485" s="75" t="s">
        <v>3006</v>
      </c>
      <c r="E485" s="75" t="s">
        <v>3031</v>
      </c>
      <c r="F485" s="75" t="s">
        <v>2994</v>
      </c>
      <c r="G485" s="76">
        <v>15.0</v>
      </c>
      <c r="H485" s="77">
        <v>7.5</v>
      </c>
      <c r="I485" s="77" t="s">
        <v>150</v>
      </c>
      <c r="J485" s="58"/>
      <c r="K485" s="58"/>
      <c r="L485" s="58"/>
      <c r="M485" s="58"/>
      <c r="N485" s="58"/>
      <c r="O485" s="58"/>
      <c r="P485" s="58"/>
      <c r="Q485" s="58"/>
      <c r="R485" s="58"/>
      <c r="S485" s="58"/>
      <c r="T485" s="58"/>
      <c r="U485" s="58"/>
      <c r="V485" s="58"/>
      <c r="W485" s="58"/>
      <c r="X485" s="58"/>
      <c r="Y485" s="58"/>
      <c r="Z485" s="58"/>
    </row>
    <row r="486" ht="123.75" customHeight="1">
      <c r="A486" s="101" t="s">
        <v>3022</v>
      </c>
      <c r="B486" s="176" t="s">
        <v>142</v>
      </c>
      <c r="C486" s="75" t="s">
        <v>3028</v>
      </c>
      <c r="D486" s="75" t="s">
        <v>3032</v>
      </c>
      <c r="E486" s="75" t="s">
        <v>3033</v>
      </c>
      <c r="F486" s="75" t="s">
        <v>3034</v>
      </c>
      <c r="G486" s="76">
        <v>15.0</v>
      </c>
      <c r="H486" s="77">
        <v>7.5</v>
      </c>
      <c r="I486" s="77" t="s">
        <v>150</v>
      </c>
      <c r="J486" s="58"/>
      <c r="K486" s="58"/>
      <c r="L486" s="58"/>
      <c r="M486" s="58"/>
      <c r="N486" s="58"/>
      <c r="O486" s="58"/>
      <c r="P486" s="58"/>
      <c r="Q486" s="58"/>
      <c r="R486" s="58"/>
      <c r="S486" s="58"/>
      <c r="T486" s="58"/>
      <c r="U486" s="58"/>
      <c r="V486" s="58"/>
      <c r="W486" s="58"/>
      <c r="X486" s="58"/>
      <c r="Y486" s="58"/>
      <c r="Z486" s="58"/>
    </row>
    <row r="487" ht="123.75" customHeight="1">
      <c r="A487" s="101" t="s">
        <v>2980</v>
      </c>
      <c r="B487" s="176" t="s">
        <v>142</v>
      </c>
      <c r="C487" s="75" t="s">
        <v>1116</v>
      </c>
      <c r="D487" s="75" t="s">
        <v>3035</v>
      </c>
      <c r="E487" s="75" t="s">
        <v>3033</v>
      </c>
      <c r="F487" s="75" t="s">
        <v>2994</v>
      </c>
      <c r="G487" s="76">
        <v>15.0</v>
      </c>
      <c r="H487" s="77">
        <v>15.0</v>
      </c>
      <c r="I487" s="77" t="s">
        <v>150</v>
      </c>
      <c r="J487" s="58"/>
      <c r="K487" s="58"/>
      <c r="L487" s="58"/>
      <c r="M487" s="58"/>
      <c r="N487" s="58"/>
      <c r="O487" s="58"/>
      <c r="P487" s="58"/>
      <c r="Q487" s="58"/>
      <c r="R487" s="58"/>
      <c r="S487" s="58"/>
      <c r="T487" s="58"/>
      <c r="U487" s="58"/>
      <c r="V487" s="58"/>
      <c r="W487" s="58"/>
      <c r="X487" s="58"/>
      <c r="Y487" s="58"/>
      <c r="Z487" s="58"/>
    </row>
    <row r="488" ht="192.75" customHeight="1">
      <c r="A488" s="101" t="s">
        <v>3036</v>
      </c>
      <c r="B488" s="176" t="s">
        <v>142</v>
      </c>
      <c r="C488" s="75" t="s">
        <v>3037</v>
      </c>
      <c r="D488" s="75" t="s">
        <v>3038</v>
      </c>
      <c r="E488" s="75" t="s">
        <v>3039</v>
      </c>
      <c r="F488" s="75" t="s">
        <v>2994</v>
      </c>
      <c r="G488" s="76">
        <v>15.0</v>
      </c>
      <c r="H488" s="77">
        <v>7.5</v>
      </c>
      <c r="I488" s="77" t="s">
        <v>150</v>
      </c>
      <c r="J488" s="58"/>
      <c r="K488" s="58"/>
      <c r="L488" s="58"/>
      <c r="M488" s="58"/>
      <c r="N488" s="58"/>
      <c r="O488" s="58"/>
      <c r="P488" s="58"/>
      <c r="Q488" s="58"/>
      <c r="R488" s="58"/>
      <c r="S488" s="58"/>
      <c r="T488" s="58"/>
      <c r="U488" s="58"/>
      <c r="V488" s="58"/>
      <c r="W488" s="58"/>
      <c r="X488" s="58"/>
      <c r="Y488" s="58"/>
      <c r="Z488" s="58"/>
    </row>
    <row r="489" ht="179.25" customHeight="1">
      <c r="A489" s="101" t="s">
        <v>3036</v>
      </c>
      <c r="B489" s="176" t="s">
        <v>142</v>
      </c>
      <c r="C489" s="75" t="s">
        <v>3037</v>
      </c>
      <c r="D489" s="75" t="s">
        <v>3040</v>
      </c>
      <c r="E489" s="75" t="s">
        <v>3041</v>
      </c>
      <c r="F489" s="75"/>
      <c r="G489" s="76">
        <v>15.0</v>
      </c>
      <c r="H489" s="77">
        <v>7.5</v>
      </c>
      <c r="I489" s="77" t="s">
        <v>150</v>
      </c>
      <c r="J489" s="58"/>
      <c r="K489" s="58"/>
      <c r="L489" s="58"/>
      <c r="M489" s="58"/>
      <c r="N489" s="58"/>
      <c r="O489" s="58"/>
      <c r="P489" s="58"/>
      <c r="Q489" s="58"/>
      <c r="R489" s="58"/>
      <c r="S489" s="58"/>
      <c r="T489" s="58"/>
      <c r="U489" s="58"/>
      <c r="V489" s="58"/>
      <c r="W489" s="58"/>
      <c r="X489" s="58"/>
      <c r="Y489" s="58"/>
      <c r="Z489" s="58"/>
    </row>
    <row r="490" ht="207.0" customHeight="1">
      <c r="A490" s="101" t="s">
        <v>3036</v>
      </c>
      <c r="B490" s="176" t="s">
        <v>142</v>
      </c>
      <c r="C490" s="75" t="s">
        <v>3037</v>
      </c>
      <c r="D490" s="75" t="s">
        <v>3042</v>
      </c>
      <c r="E490" s="75" t="s">
        <v>3043</v>
      </c>
      <c r="F490" s="75" t="s">
        <v>2994</v>
      </c>
      <c r="G490" s="76">
        <v>15.0</v>
      </c>
      <c r="H490" s="77">
        <v>7.5</v>
      </c>
      <c r="I490" s="77" t="s">
        <v>150</v>
      </c>
      <c r="J490" s="58"/>
      <c r="K490" s="58"/>
      <c r="L490" s="58"/>
      <c r="M490" s="58"/>
      <c r="N490" s="58"/>
      <c r="O490" s="58"/>
      <c r="P490" s="58"/>
      <c r="Q490" s="58"/>
      <c r="R490" s="58"/>
      <c r="S490" s="58"/>
      <c r="T490" s="58"/>
      <c r="U490" s="58"/>
      <c r="V490" s="58"/>
      <c r="W490" s="58"/>
      <c r="X490" s="58"/>
      <c r="Y490" s="58"/>
      <c r="Z490" s="58"/>
    </row>
    <row r="491" ht="123.75" customHeight="1">
      <c r="A491" s="101" t="s">
        <v>2980</v>
      </c>
      <c r="B491" s="176" t="s">
        <v>142</v>
      </c>
      <c r="C491" s="75" t="s">
        <v>3044</v>
      </c>
      <c r="D491" s="75" t="s">
        <v>3045</v>
      </c>
      <c r="E491" s="75" t="s">
        <v>3046</v>
      </c>
      <c r="F491" s="75" t="s">
        <v>1796</v>
      </c>
      <c r="G491" s="76">
        <v>15.0</v>
      </c>
      <c r="H491" s="77">
        <v>15.0</v>
      </c>
      <c r="I491" s="77" t="s">
        <v>150</v>
      </c>
      <c r="J491" s="58"/>
      <c r="K491" s="58"/>
      <c r="L491" s="58"/>
      <c r="M491" s="58"/>
      <c r="N491" s="58"/>
      <c r="O491" s="58"/>
      <c r="P491" s="58"/>
      <c r="Q491" s="58"/>
      <c r="R491" s="58"/>
      <c r="S491" s="58"/>
      <c r="T491" s="58"/>
      <c r="U491" s="58"/>
      <c r="V491" s="58"/>
      <c r="W491" s="58"/>
      <c r="X491" s="58"/>
      <c r="Y491" s="58"/>
      <c r="Z491" s="58"/>
    </row>
    <row r="492" ht="110.25" customHeight="1">
      <c r="A492" s="101" t="s">
        <v>2980</v>
      </c>
      <c r="B492" s="176" t="s">
        <v>142</v>
      </c>
      <c r="C492" s="75" t="s">
        <v>3044</v>
      </c>
      <c r="D492" s="75" t="s">
        <v>3047</v>
      </c>
      <c r="E492" s="75" t="s">
        <v>3048</v>
      </c>
      <c r="F492" s="75" t="s">
        <v>2994</v>
      </c>
      <c r="G492" s="76">
        <v>15.0</v>
      </c>
      <c r="H492" s="77">
        <v>15.0</v>
      </c>
      <c r="I492" s="77" t="s">
        <v>150</v>
      </c>
      <c r="J492" s="58"/>
      <c r="K492" s="58"/>
      <c r="L492" s="58"/>
      <c r="M492" s="58"/>
      <c r="N492" s="58"/>
      <c r="O492" s="58"/>
      <c r="P492" s="58"/>
      <c r="Q492" s="58"/>
      <c r="R492" s="58"/>
      <c r="S492" s="58"/>
      <c r="T492" s="58"/>
      <c r="U492" s="58"/>
      <c r="V492" s="58"/>
      <c r="W492" s="58"/>
      <c r="X492" s="58"/>
      <c r="Y492" s="58"/>
      <c r="Z492" s="58"/>
    </row>
    <row r="493" ht="69.0" customHeight="1">
      <c r="A493" s="101" t="s">
        <v>2980</v>
      </c>
      <c r="B493" s="176" t="s">
        <v>142</v>
      </c>
      <c r="C493" s="75" t="s">
        <v>3049</v>
      </c>
      <c r="D493" s="75" t="s">
        <v>3050</v>
      </c>
      <c r="E493" s="75" t="s">
        <v>3051</v>
      </c>
      <c r="F493" s="75" t="s">
        <v>1796</v>
      </c>
      <c r="G493" s="76">
        <v>15.0</v>
      </c>
      <c r="H493" s="77">
        <v>15.0</v>
      </c>
      <c r="I493" s="77" t="s">
        <v>150</v>
      </c>
      <c r="J493" s="58"/>
      <c r="K493" s="58"/>
      <c r="L493" s="58"/>
      <c r="M493" s="58"/>
      <c r="N493" s="58"/>
      <c r="O493" s="58"/>
      <c r="P493" s="58"/>
      <c r="Q493" s="58"/>
      <c r="R493" s="58"/>
      <c r="S493" s="58"/>
      <c r="T493" s="58"/>
      <c r="U493" s="58"/>
      <c r="V493" s="58"/>
      <c r="W493" s="58"/>
      <c r="X493" s="58"/>
      <c r="Y493" s="58"/>
      <c r="Z493" s="58"/>
    </row>
    <row r="494" ht="110.25" customHeight="1">
      <c r="A494" s="101" t="s">
        <v>2980</v>
      </c>
      <c r="B494" s="176" t="s">
        <v>142</v>
      </c>
      <c r="C494" s="75" t="s">
        <v>3049</v>
      </c>
      <c r="D494" s="75" t="s">
        <v>3052</v>
      </c>
      <c r="E494" s="75" t="s">
        <v>3053</v>
      </c>
      <c r="F494" s="75" t="s">
        <v>3005</v>
      </c>
      <c r="G494" s="76">
        <v>50.0</v>
      </c>
      <c r="H494" s="77">
        <v>50.0</v>
      </c>
      <c r="I494" s="77" t="s">
        <v>150</v>
      </c>
      <c r="J494" s="58"/>
      <c r="K494" s="58"/>
      <c r="L494" s="58"/>
      <c r="M494" s="58"/>
      <c r="N494" s="58"/>
      <c r="O494" s="58"/>
      <c r="P494" s="58"/>
      <c r="Q494" s="58"/>
      <c r="R494" s="58"/>
      <c r="S494" s="58"/>
      <c r="T494" s="58"/>
      <c r="U494" s="58"/>
      <c r="V494" s="58"/>
      <c r="W494" s="58"/>
      <c r="X494" s="58"/>
      <c r="Y494" s="58"/>
      <c r="Z494" s="58"/>
    </row>
    <row r="495" ht="123.75" customHeight="1">
      <c r="A495" s="101" t="s">
        <v>2980</v>
      </c>
      <c r="B495" s="176" t="s">
        <v>142</v>
      </c>
      <c r="C495" s="75" t="s">
        <v>3049</v>
      </c>
      <c r="D495" s="75" t="s">
        <v>3024</v>
      </c>
      <c r="E495" s="75" t="s">
        <v>3025</v>
      </c>
      <c r="F495" s="75" t="s">
        <v>3005</v>
      </c>
      <c r="G495" s="76">
        <v>50.0</v>
      </c>
      <c r="H495" s="77">
        <v>50.0</v>
      </c>
      <c r="I495" s="77" t="s">
        <v>150</v>
      </c>
      <c r="J495" s="58"/>
      <c r="K495" s="58"/>
      <c r="L495" s="58"/>
      <c r="M495" s="58"/>
      <c r="N495" s="58"/>
      <c r="O495" s="58"/>
      <c r="P495" s="58"/>
      <c r="Q495" s="58"/>
      <c r="R495" s="58"/>
      <c r="S495" s="58"/>
      <c r="T495" s="58"/>
      <c r="U495" s="58"/>
      <c r="V495" s="58"/>
      <c r="W495" s="58"/>
      <c r="X495" s="58"/>
      <c r="Y495" s="58"/>
      <c r="Z495" s="58"/>
    </row>
    <row r="496" ht="138.0" customHeight="1">
      <c r="A496" s="101" t="s">
        <v>3054</v>
      </c>
      <c r="B496" s="176" t="s">
        <v>142</v>
      </c>
      <c r="C496" s="75" t="s">
        <v>3055</v>
      </c>
      <c r="D496" s="75" t="s">
        <v>3056</v>
      </c>
      <c r="E496" s="75" t="s">
        <v>3057</v>
      </c>
      <c r="F496" s="75" t="s">
        <v>1796</v>
      </c>
      <c r="G496" s="76">
        <v>15.0</v>
      </c>
      <c r="H496" s="77">
        <v>2.5</v>
      </c>
      <c r="I496" s="77" t="s">
        <v>150</v>
      </c>
      <c r="J496" s="58"/>
      <c r="K496" s="58"/>
      <c r="L496" s="58"/>
      <c r="M496" s="58"/>
      <c r="N496" s="58"/>
      <c r="O496" s="58"/>
      <c r="P496" s="58"/>
      <c r="Q496" s="58"/>
      <c r="R496" s="58"/>
      <c r="S496" s="58"/>
      <c r="T496" s="58"/>
      <c r="U496" s="58"/>
      <c r="V496" s="58"/>
      <c r="W496" s="58"/>
      <c r="X496" s="58"/>
      <c r="Y496" s="58"/>
      <c r="Z496" s="58"/>
    </row>
    <row r="497" ht="82.5" customHeight="1">
      <c r="A497" s="101" t="s">
        <v>3054</v>
      </c>
      <c r="B497" s="176" t="s">
        <v>142</v>
      </c>
      <c r="C497" s="75" t="s">
        <v>3055</v>
      </c>
      <c r="D497" s="75" t="s">
        <v>3058</v>
      </c>
      <c r="E497" s="75" t="s">
        <v>3033</v>
      </c>
      <c r="F497" s="75" t="s">
        <v>2994</v>
      </c>
      <c r="G497" s="76">
        <v>15.0</v>
      </c>
      <c r="H497" s="77">
        <v>2.5</v>
      </c>
      <c r="I497" s="77" t="s">
        <v>150</v>
      </c>
      <c r="J497" s="58"/>
      <c r="K497" s="58"/>
      <c r="L497" s="58"/>
      <c r="M497" s="58"/>
      <c r="N497" s="58"/>
      <c r="O497" s="58"/>
      <c r="P497" s="58"/>
      <c r="Q497" s="58"/>
      <c r="R497" s="58"/>
      <c r="S497" s="58"/>
      <c r="T497" s="58"/>
      <c r="U497" s="58"/>
      <c r="V497" s="58"/>
      <c r="W497" s="58"/>
      <c r="X497" s="58"/>
      <c r="Y497" s="58"/>
      <c r="Z497" s="58"/>
    </row>
    <row r="498" ht="96.0" customHeight="1">
      <c r="A498" s="101" t="s">
        <v>3054</v>
      </c>
      <c r="B498" s="176" t="s">
        <v>142</v>
      </c>
      <c r="C498" s="75" t="s">
        <v>3055</v>
      </c>
      <c r="D498" s="75" t="s">
        <v>3059</v>
      </c>
      <c r="E498" s="75" t="s">
        <v>3060</v>
      </c>
      <c r="F498" s="75" t="s">
        <v>2994</v>
      </c>
      <c r="G498" s="76">
        <v>15.0</v>
      </c>
      <c r="H498" s="77">
        <v>2.5</v>
      </c>
      <c r="I498" s="77" t="s">
        <v>150</v>
      </c>
      <c r="J498" s="58"/>
      <c r="K498" s="58"/>
      <c r="L498" s="58"/>
      <c r="M498" s="58"/>
      <c r="N498" s="58"/>
      <c r="O498" s="58"/>
      <c r="P498" s="58"/>
      <c r="Q498" s="58"/>
      <c r="R498" s="58"/>
      <c r="S498" s="58"/>
      <c r="T498" s="58"/>
      <c r="U498" s="58"/>
      <c r="V498" s="58"/>
      <c r="W498" s="58"/>
      <c r="X498" s="58"/>
      <c r="Y498" s="58"/>
      <c r="Z498" s="58"/>
    </row>
    <row r="499" ht="69.0" customHeight="1">
      <c r="A499" s="101" t="s">
        <v>3054</v>
      </c>
      <c r="B499" s="176" t="s">
        <v>142</v>
      </c>
      <c r="C499" s="75" t="s">
        <v>3055</v>
      </c>
      <c r="D499" s="75" t="s">
        <v>3061</v>
      </c>
      <c r="E499" s="75"/>
      <c r="F499" s="75" t="s">
        <v>2994</v>
      </c>
      <c r="G499" s="76">
        <v>15.0</v>
      </c>
      <c r="H499" s="77">
        <v>2.5</v>
      </c>
      <c r="I499" s="77" t="s">
        <v>150</v>
      </c>
      <c r="J499" s="58"/>
      <c r="K499" s="58"/>
      <c r="L499" s="58"/>
      <c r="M499" s="58"/>
      <c r="N499" s="58"/>
      <c r="O499" s="58"/>
      <c r="P499" s="58"/>
      <c r="Q499" s="58"/>
      <c r="R499" s="58"/>
      <c r="S499" s="58"/>
      <c r="T499" s="58"/>
      <c r="U499" s="58"/>
      <c r="V499" s="58"/>
      <c r="W499" s="58"/>
      <c r="X499" s="58"/>
      <c r="Y499" s="58"/>
      <c r="Z499" s="58"/>
    </row>
    <row r="500" ht="138.0" customHeight="1">
      <c r="A500" s="101" t="s">
        <v>3062</v>
      </c>
      <c r="B500" s="176" t="s">
        <v>142</v>
      </c>
      <c r="C500" s="75" t="s">
        <v>3063</v>
      </c>
      <c r="D500" s="75" t="s">
        <v>3064</v>
      </c>
      <c r="E500" s="75" t="s">
        <v>3065</v>
      </c>
      <c r="F500" s="75" t="s">
        <v>2994</v>
      </c>
      <c r="G500" s="76">
        <v>15.0</v>
      </c>
      <c r="H500" s="77">
        <v>15.0</v>
      </c>
      <c r="I500" s="77" t="s">
        <v>150</v>
      </c>
      <c r="J500" s="58"/>
      <c r="K500" s="58"/>
      <c r="L500" s="58"/>
      <c r="M500" s="58"/>
      <c r="N500" s="58"/>
      <c r="O500" s="58"/>
      <c r="P500" s="58"/>
      <c r="Q500" s="58"/>
      <c r="R500" s="58"/>
      <c r="S500" s="58"/>
      <c r="T500" s="58"/>
      <c r="U500" s="58"/>
      <c r="V500" s="58"/>
      <c r="W500" s="58"/>
      <c r="X500" s="58"/>
      <c r="Y500" s="58"/>
      <c r="Z500" s="58"/>
    </row>
    <row r="501" ht="82.5" customHeight="1">
      <c r="A501" s="101" t="s">
        <v>3066</v>
      </c>
      <c r="B501" s="176" t="s">
        <v>142</v>
      </c>
      <c r="C501" s="75" t="s">
        <v>3067</v>
      </c>
      <c r="D501" s="75" t="s">
        <v>3068</v>
      </c>
      <c r="E501" s="75" t="s">
        <v>3069</v>
      </c>
      <c r="F501" s="75" t="s">
        <v>1139</v>
      </c>
      <c r="G501" s="76">
        <v>15.0</v>
      </c>
      <c r="H501" s="77">
        <v>15.0</v>
      </c>
      <c r="I501" s="77" t="s">
        <v>151</v>
      </c>
      <c r="J501" s="58"/>
      <c r="K501" s="58"/>
      <c r="L501" s="58"/>
      <c r="M501" s="58"/>
      <c r="N501" s="58"/>
      <c r="O501" s="58"/>
      <c r="P501" s="58"/>
      <c r="Q501" s="58"/>
      <c r="R501" s="58"/>
      <c r="S501" s="58"/>
      <c r="T501" s="58"/>
      <c r="U501" s="58"/>
      <c r="V501" s="58"/>
      <c r="W501" s="58"/>
      <c r="X501" s="58"/>
      <c r="Y501" s="58"/>
      <c r="Z501" s="58"/>
    </row>
    <row r="502" ht="82.5" customHeight="1">
      <c r="A502" s="101" t="s">
        <v>3066</v>
      </c>
      <c r="B502" s="176" t="s">
        <v>142</v>
      </c>
      <c r="C502" s="75" t="s">
        <v>3067</v>
      </c>
      <c r="D502" s="75" t="s">
        <v>3070</v>
      </c>
      <c r="E502" s="75" t="s">
        <v>3069</v>
      </c>
      <c r="F502" s="75" t="s">
        <v>1139</v>
      </c>
      <c r="G502" s="76">
        <v>15.0</v>
      </c>
      <c r="H502" s="77">
        <v>15.0</v>
      </c>
      <c r="I502" s="77" t="s">
        <v>151</v>
      </c>
      <c r="J502" s="58"/>
      <c r="K502" s="58"/>
      <c r="L502" s="58"/>
      <c r="M502" s="58"/>
      <c r="N502" s="58"/>
      <c r="O502" s="58"/>
      <c r="P502" s="58"/>
      <c r="Q502" s="58"/>
      <c r="R502" s="58"/>
      <c r="S502" s="58"/>
      <c r="T502" s="58"/>
      <c r="U502" s="58"/>
      <c r="V502" s="58"/>
      <c r="W502" s="58"/>
      <c r="X502" s="58"/>
      <c r="Y502" s="58"/>
      <c r="Z502" s="58"/>
    </row>
    <row r="503" ht="123.75" customHeight="1">
      <c r="A503" s="101" t="s">
        <v>3071</v>
      </c>
      <c r="B503" s="176" t="s">
        <v>142</v>
      </c>
      <c r="C503" s="75" t="s">
        <v>3072</v>
      </c>
      <c r="D503" s="75" t="s">
        <v>3073</v>
      </c>
      <c r="E503" s="75" t="s">
        <v>3074</v>
      </c>
      <c r="F503" s="75" t="s">
        <v>1890</v>
      </c>
      <c r="G503" s="76">
        <v>50.0</v>
      </c>
      <c r="H503" s="77">
        <v>50.0</v>
      </c>
      <c r="I503" s="77" t="s">
        <v>151</v>
      </c>
      <c r="J503" s="58"/>
      <c r="K503" s="58"/>
      <c r="L503" s="58"/>
      <c r="M503" s="58"/>
      <c r="N503" s="58"/>
      <c r="O503" s="58"/>
      <c r="P503" s="58"/>
      <c r="Q503" s="58"/>
      <c r="R503" s="58"/>
      <c r="S503" s="58"/>
      <c r="T503" s="58"/>
      <c r="U503" s="58"/>
      <c r="V503" s="58"/>
      <c r="W503" s="58"/>
      <c r="X503" s="58"/>
      <c r="Y503" s="58"/>
      <c r="Z503" s="58"/>
    </row>
    <row r="504" ht="220.5" customHeight="1">
      <c r="A504" s="101" t="s">
        <v>153</v>
      </c>
      <c r="B504" s="176" t="s">
        <v>142</v>
      </c>
      <c r="C504" s="176" t="s">
        <v>3075</v>
      </c>
      <c r="D504" s="176" t="s">
        <v>3076</v>
      </c>
      <c r="E504" s="362" t="s">
        <v>3077</v>
      </c>
      <c r="F504" s="75" t="s">
        <v>3078</v>
      </c>
      <c r="G504" s="76">
        <v>50.0</v>
      </c>
      <c r="H504" s="77">
        <v>50.0</v>
      </c>
      <c r="I504" s="77" t="s">
        <v>153</v>
      </c>
      <c r="J504" s="58"/>
      <c r="K504" s="58"/>
      <c r="L504" s="58"/>
      <c r="M504" s="58"/>
      <c r="N504" s="58"/>
      <c r="O504" s="58"/>
      <c r="P504" s="58"/>
      <c r="Q504" s="58"/>
      <c r="R504" s="58"/>
      <c r="S504" s="58"/>
      <c r="T504" s="58"/>
      <c r="U504" s="58"/>
      <c r="V504" s="58"/>
      <c r="W504" s="58"/>
      <c r="X504" s="58"/>
      <c r="Y504" s="58"/>
      <c r="Z504" s="58"/>
    </row>
    <row r="505" ht="123.75" customHeight="1">
      <c r="A505" s="101" t="s">
        <v>3079</v>
      </c>
      <c r="B505" s="176" t="s">
        <v>142</v>
      </c>
      <c r="C505" s="176" t="s">
        <v>3080</v>
      </c>
      <c r="D505" s="176" t="s">
        <v>3081</v>
      </c>
      <c r="E505" s="362" t="s">
        <v>3082</v>
      </c>
      <c r="F505" s="75" t="s">
        <v>3078</v>
      </c>
      <c r="G505" s="76">
        <v>50.0</v>
      </c>
      <c r="H505" s="77">
        <f>G505/2</f>
        <v>25</v>
      </c>
      <c r="I505" s="77" t="s">
        <v>153</v>
      </c>
      <c r="J505" s="58"/>
      <c r="K505" s="58"/>
      <c r="L505" s="58"/>
      <c r="M505" s="58"/>
      <c r="N505" s="58"/>
      <c r="O505" s="58"/>
      <c r="P505" s="58"/>
      <c r="Q505" s="58"/>
      <c r="R505" s="58"/>
      <c r="S505" s="58"/>
      <c r="T505" s="58"/>
      <c r="U505" s="58"/>
      <c r="V505" s="58"/>
      <c r="W505" s="58"/>
      <c r="X505" s="58"/>
      <c r="Y505" s="58"/>
      <c r="Z505" s="58"/>
    </row>
    <row r="506" ht="165.0" customHeight="1">
      <c r="A506" s="101" t="s">
        <v>153</v>
      </c>
      <c r="B506" s="176" t="s">
        <v>142</v>
      </c>
      <c r="C506" s="176" t="s">
        <v>3083</v>
      </c>
      <c r="D506" s="176" t="s">
        <v>3084</v>
      </c>
      <c r="E506" s="362" t="s">
        <v>3085</v>
      </c>
      <c r="F506" s="75" t="s">
        <v>3078</v>
      </c>
      <c r="G506" s="76">
        <v>50.0</v>
      </c>
      <c r="H506" s="77">
        <f t="shared" ref="H506:H507" si="1">G506</f>
        <v>50</v>
      </c>
      <c r="I506" s="77" t="s">
        <v>153</v>
      </c>
      <c r="J506" s="58"/>
      <c r="K506" s="58"/>
      <c r="L506" s="58"/>
      <c r="M506" s="58"/>
      <c r="N506" s="58"/>
      <c r="O506" s="58"/>
      <c r="P506" s="58"/>
      <c r="Q506" s="58"/>
      <c r="R506" s="58"/>
      <c r="S506" s="58"/>
      <c r="T506" s="58"/>
      <c r="U506" s="58"/>
      <c r="V506" s="58"/>
      <c r="W506" s="58"/>
      <c r="X506" s="58"/>
      <c r="Y506" s="58"/>
      <c r="Z506" s="58"/>
    </row>
    <row r="507" ht="192.75" customHeight="1">
      <c r="A507" s="101" t="s">
        <v>153</v>
      </c>
      <c r="B507" s="176" t="s">
        <v>142</v>
      </c>
      <c r="C507" s="176" t="s">
        <v>3086</v>
      </c>
      <c r="D507" s="176" t="s">
        <v>3087</v>
      </c>
      <c r="E507" s="362" t="s">
        <v>3088</v>
      </c>
      <c r="F507" s="75" t="s">
        <v>3078</v>
      </c>
      <c r="G507" s="76">
        <v>50.0</v>
      </c>
      <c r="H507" s="77">
        <f t="shared" si="1"/>
        <v>50</v>
      </c>
      <c r="I507" s="77" t="s">
        <v>153</v>
      </c>
      <c r="J507" s="58"/>
      <c r="K507" s="58"/>
      <c r="L507" s="58"/>
      <c r="M507" s="58"/>
      <c r="N507" s="58"/>
      <c r="O507" s="58"/>
      <c r="P507" s="58"/>
      <c r="Q507" s="58"/>
      <c r="R507" s="58"/>
      <c r="S507" s="58"/>
      <c r="T507" s="58"/>
      <c r="U507" s="58"/>
      <c r="V507" s="58"/>
      <c r="W507" s="58"/>
      <c r="X507" s="58"/>
      <c r="Y507" s="58"/>
      <c r="Z507" s="58"/>
    </row>
    <row r="508" ht="165.0" customHeight="1">
      <c r="A508" s="101" t="s">
        <v>3079</v>
      </c>
      <c r="B508" s="176" t="s">
        <v>142</v>
      </c>
      <c r="C508" s="176" t="s">
        <v>3080</v>
      </c>
      <c r="D508" s="176" t="s">
        <v>3089</v>
      </c>
      <c r="E508" s="362" t="s">
        <v>3090</v>
      </c>
      <c r="F508" s="75" t="s">
        <v>3078</v>
      </c>
      <c r="G508" s="76">
        <v>50.0</v>
      </c>
      <c r="H508" s="77">
        <f>G508/2</f>
        <v>25</v>
      </c>
      <c r="I508" s="77" t="s">
        <v>153</v>
      </c>
      <c r="J508" s="58"/>
      <c r="K508" s="58"/>
      <c r="L508" s="58"/>
      <c r="M508" s="58"/>
      <c r="N508" s="58"/>
      <c r="O508" s="58"/>
      <c r="P508" s="58"/>
      <c r="Q508" s="58"/>
      <c r="R508" s="58"/>
      <c r="S508" s="58"/>
      <c r="T508" s="58"/>
      <c r="U508" s="58"/>
      <c r="V508" s="58"/>
      <c r="W508" s="58"/>
      <c r="X508" s="58"/>
      <c r="Y508" s="58"/>
      <c r="Z508" s="58"/>
    </row>
    <row r="509" ht="179.25" customHeight="1">
      <c r="A509" s="101" t="s">
        <v>153</v>
      </c>
      <c r="B509" s="176" t="s">
        <v>142</v>
      </c>
      <c r="C509" s="176" t="s">
        <v>3091</v>
      </c>
      <c r="D509" s="176" t="s">
        <v>3092</v>
      </c>
      <c r="E509" s="362" t="s">
        <v>3093</v>
      </c>
      <c r="F509" s="75" t="s">
        <v>1890</v>
      </c>
      <c r="G509" s="76">
        <v>50.0</v>
      </c>
      <c r="H509" s="77">
        <f>G509</f>
        <v>50</v>
      </c>
      <c r="I509" s="77" t="s">
        <v>153</v>
      </c>
      <c r="J509" s="58"/>
      <c r="K509" s="58"/>
      <c r="L509" s="58"/>
      <c r="M509" s="58"/>
      <c r="N509" s="58"/>
      <c r="O509" s="58"/>
      <c r="P509" s="58"/>
      <c r="Q509" s="58"/>
      <c r="R509" s="58"/>
      <c r="S509" s="58"/>
      <c r="T509" s="58"/>
      <c r="U509" s="58"/>
      <c r="V509" s="58"/>
      <c r="W509" s="58"/>
      <c r="X509" s="58"/>
      <c r="Y509" s="58"/>
      <c r="Z509" s="58"/>
    </row>
    <row r="510" ht="123.75" customHeight="1">
      <c r="A510" s="101" t="s">
        <v>3094</v>
      </c>
      <c r="B510" s="176" t="s">
        <v>142</v>
      </c>
      <c r="C510" s="176" t="s">
        <v>3095</v>
      </c>
      <c r="D510" s="176" t="s">
        <v>3096</v>
      </c>
      <c r="E510" s="362" t="s">
        <v>3097</v>
      </c>
      <c r="F510" s="75" t="s">
        <v>3078</v>
      </c>
      <c r="G510" s="76">
        <v>50.0</v>
      </c>
      <c r="H510" s="77">
        <f>G510/2</f>
        <v>25</v>
      </c>
      <c r="I510" s="77" t="s">
        <v>153</v>
      </c>
      <c r="J510" s="58"/>
      <c r="K510" s="58"/>
      <c r="L510" s="58"/>
      <c r="M510" s="58"/>
      <c r="N510" s="58"/>
      <c r="O510" s="58"/>
      <c r="P510" s="58"/>
      <c r="Q510" s="58"/>
      <c r="R510" s="58"/>
      <c r="S510" s="58"/>
      <c r="T510" s="58"/>
      <c r="U510" s="58"/>
      <c r="V510" s="58"/>
      <c r="W510" s="58"/>
      <c r="X510" s="58"/>
      <c r="Y510" s="58"/>
      <c r="Z510" s="58"/>
    </row>
    <row r="511" ht="151.5" customHeight="1">
      <c r="A511" s="101" t="s">
        <v>153</v>
      </c>
      <c r="B511" s="176" t="s">
        <v>142</v>
      </c>
      <c r="C511" s="176" t="s">
        <v>3098</v>
      </c>
      <c r="D511" s="176" t="s">
        <v>3099</v>
      </c>
      <c r="E511" s="362" t="s">
        <v>3100</v>
      </c>
      <c r="F511" s="75" t="s">
        <v>1890</v>
      </c>
      <c r="G511" s="76">
        <v>50.0</v>
      </c>
      <c r="H511" s="77">
        <f t="shared" ref="H511:H514" si="2">G511</f>
        <v>50</v>
      </c>
      <c r="I511" s="77" t="s">
        <v>153</v>
      </c>
      <c r="J511" s="58"/>
      <c r="K511" s="58"/>
      <c r="L511" s="58"/>
      <c r="M511" s="58"/>
      <c r="N511" s="58"/>
      <c r="O511" s="58"/>
      <c r="P511" s="58"/>
      <c r="Q511" s="58"/>
      <c r="R511" s="58"/>
      <c r="S511" s="58"/>
      <c r="T511" s="58"/>
      <c r="U511" s="58"/>
      <c r="V511" s="58"/>
      <c r="W511" s="58"/>
      <c r="X511" s="58"/>
      <c r="Y511" s="58"/>
      <c r="Z511" s="58"/>
    </row>
    <row r="512" ht="179.25" customHeight="1">
      <c r="A512" s="101" t="s">
        <v>153</v>
      </c>
      <c r="B512" s="176" t="s">
        <v>142</v>
      </c>
      <c r="C512" s="176" t="s">
        <v>3101</v>
      </c>
      <c r="D512" s="176" t="s">
        <v>3102</v>
      </c>
      <c r="E512" s="362" t="s">
        <v>3103</v>
      </c>
      <c r="F512" s="75" t="s">
        <v>3078</v>
      </c>
      <c r="G512" s="76">
        <v>50.0</v>
      </c>
      <c r="H512" s="77">
        <f t="shared" si="2"/>
        <v>50</v>
      </c>
      <c r="I512" s="77" t="s">
        <v>153</v>
      </c>
      <c r="J512" s="58"/>
      <c r="K512" s="58"/>
      <c r="L512" s="58"/>
      <c r="M512" s="58"/>
      <c r="N512" s="58"/>
      <c r="O512" s="58"/>
      <c r="P512" s="58"/>
      <c r="Q512" s="58"/>
      <c r="R512" s="58"/>
      <c r="S512" s="58"/>
      <c r="T512" s="58"/>
      <c r="U512" s="58"/>
      <c r="V512" s="58"/>
      <c r="W512" s="58"/>
      <c r="X512" s="58"/>
      <c r="Y512" s="58"/>
      <c r="Z512" s="58"/>
    </row>
    <row r="513" ht="192.75" customHeight="1">
      <c r="A513" s="101" t="s">
        <v>153</v>
      </c>
      <c r="B513" s="176" t="s">
        <v>142</v>
      </c>
      <c r="C513" s="176" t="s">
        <v>3104</v>
      </c>
      <c r="D513" s="176" t="s">
        <v>3105</v>
      </c>
      <c r="E513" s="362" t="s">
        <v>3106</v>
      </c>
      <c r="F513" s="75" t="s">
        <v>1890</v>
      </c>
      <c r="G513" s="76">
        <v>50.0</v>
      </c>
      <c r="H513" s="77">
        <f t="shared" si="2"/>
        <v>50</v>
      </c>
      <c r="I513" s="77" t="s">
        <v>153</v>
      </c>
      <c r="J513" s="58"/>
      <c r="K513" s="58"/>
      <c r="L513" s="58"/>
      <c r="M513" s="58"/>
      <c r="N513" s="58"/>
      <c r="O513" s="58"/>
      <c r="P513" s="58"/>
      <c r="Q513" s="58"/>
      <c r="R513" s="58"/>
      <c r="S513" s="58"/>
      <c r="T513" s="58"/>
      <c r="U513" s="58"/>
      <c r="V513" s="58"/>
      <c r="W513" s="58"/>
      <c r="X513" s="58"/>
      <c r="Y513" s="58"/>
      <c r="Z513" s="58"/>
    </row>
    <row r="514" ht="248.25" customHeight="1">
      <c r="A514" s="101" t="s">
        <v>153</v>
      </c>
      <c r="B514" s="176" t="s">
        <v>142</v>
      </c>
      <c r="C514" s="176" t="s">
        <v>3107</v>
      </c>
      <c r="D514" s="176" t="s">
        <v>3108</v>
      </c>
      <c r="E514" s="362" t="s">
        <v>3109</v>
      </c>
      <c r="F514" s="75" t="s">
        <v>3078</v>
      </c>
      <c r="G514" s="76">
        <v>50.0</v>
      </c>
      <c r="H514" s="77">
        <f t="shared" si="2"/>
        <v>50</v>
      </c>
      <c r="I514" s="77" t="s">
        <v>153</v>
      </c>
      <c r="J514" s="58"/>
      <c r="K514" s="58"/>
      <c r="L514" s="58"/>
      <c r="M514" s="58"/>
      <c r="N514" s="58"/>
      <c r="O514" s="58"/>
      <c r="P514" s="58"/>
      <c r="Q514" s="58"/>
      <c r="R514" s="58"/>
      <c r="S514" s="58"/>
      <c r="T514" s="58"/>
      <c r="U514" s="58"/>
      <c r="V514" s="58"/>
      <c r="W514" s="58"/>
      <c r="X514" s="58"/>
      <c r="Y514" s="58"/>
      <c r="Z514" s="58"/>
    </row>
    <row r="515" ht="110.25" customHeight="1">
      <c r="A515" s="101" t="s">
        <v>3110</v>
      </c>
      <c r="B515" s="176" t="s">
        <v>142</v>
      </c>
      <c r="C515" s="176" t="s">
        <v>3111</v>
      </c>
      <c r="D515" s="176" t="s">
        <v>3112</v>
      </c>
      <c r="E515" s="362" t="s">
        <v>3113</v>
      </c>
      <c r="F515" s="75" t="s">
        <v>3078</v>
      </c>
      <c r="G515" s="76">
        <v>50.0</v>
      </c>
      <c r="H515" s="77">
        <f>G515/2</f>
        <v>25</v>
      </c>
      <c r="I515" s="77" t="s">
        <v>153</v>
      </c>
      <c r="J515" s="58"/>
      <c r="K515" s="58"/>
      <c r="L515" s="58"/>
      <c r="M515" s="58"/>
      <c r="N515" s="58"/>
      <c r="O515" s="58"/>
      <c r="P515" s="58"/>
      <c r="Q515" s="58"/>
      <c r="R515" s="58"/>
      <c r="S515" s="58"/>
      <c r="T515" s="58"/>
      <c r="U515" s="58"/>
      <c r="V515" s="58"/>
      <c r="W515" s="58"/>
      <c r="X515" s="58"/>
      <c r="Y515" s="58"/>
      <c r="Z515" s="58"/>
    </row>
    <row r="516" ht="165.0" customHeight="1">
      <c r="A516" s="101" t="s">
        <v>153</v>
      </c>
      <c r="B516" s="176" t="s">
        <v>142</v>
      </c>
      <c r="C516" s="176" t="s">
        <v>3114</v>
      </c>
      <c r="D516" s="176" t="s">
        <v>3115</v>
      </c>
      <c r="E516" s="362" t="s">
        <v>3116</v>
      </c>
      <c r="F516" s="75" t="s">
        <v>1890</v>
      </c>
      <c r="G516" s="76">
        <v>50.0</v>
      </c>
      <c r="H516" s="77">
        <f t="shared" ref="H516:H519" si="3">G516</f>
        <v>50</v>
      </c>
      <c r="I516" s="77" t="s">
        <v>153</v>
      </c>
      <c r="J516" s="58"/>
      <c r="K516" s="58"/>
      <c r="L516" s="58"/>
      <c r="M516" s="58"/>
      <c r="N516" s="58"/>
      <c r="O516" s="58"/>
      <c r="P516" s="58"/>
      <c r="Q516" s="58"/>
      <c r="R516" s="58"/>
      <c r="S516" s="58"/>
      <c r="T516" s="58"/>
      <c r="U516" s="58"/>
      <c r="V516" s="58"/>
      <c r="W516" s="58"/>
      <c r="X516" s="58"/>
      <c r="Y516" s="58"/>
      <c r="Z516" s="58"/>
    </row>
    <row r="517" ht="138.0" customHeight="1">
      <c r="A517" s="101" t="s">
        <v>153</v>
      </c>
      <c r="B517" s="176" t="s">
        <v>142</v>
      </c>
      <c r="C517" s="176" t="s">
        <v>3117</v>
      </c>
      <c r="D517" s="176" t="s">
        <v>3118</v>
      </c>
      <c r="E517" s="362" t="s">
        <v>314</v>
      </c>
      <c r="F517" s="75" t="s">
        <v>3078</v>
      </c>
      <c r="G517" s="76">
        <v>50.0</v>
      </c>
      <c r="H517" s="77">
        <f t="shared" si="3"/>
        <v>50</v>
      </c>
      <c r="I517" s="77" t="s">
        <v>153</v>
      </c>
      <c r="J517" s="58"/>
      <c r="K517" s="58"/>
      <c r="L517" s="58"/>
      <c r="M517" s="58"/>
      <c r="N517" s="58"/>
      <c r="O517" s="58"/>
      <c r="P517" s="58"/>
      <c r="Q517" s="58"/>
      <c r="R517" s="58"/>
      <c r="S517" s="58"/>
      <c r="T517" s="58"/>
      <c r="U517" s="58"/>
      <c r="V517" s="58"/>
      <c r="W517" s="58"/>
      <c r="X517" s="58"/>
      <c r="Y517" s="58"/>
      <c r="Z517" s="58"/>
    </row>
    <row r="518" ht="248.25" customHeight="1">
      <c r="A518" s="101" t="s">
        <v>153</v>
      </c>
      <c r="B518" s="176" t="s">
        <v>142</v>
      </c>
      <c r="C518" s="176" t="s">
        <v>3119</v>
      </c>
      <c r="D518" s="176" t="s">
        <v>3120</v>
      </c>
      <c r="E518" s="362" t="s">
        <v>3121</v>
      </c>
      <c r="F518" s="75" t="s">
        <v>1890</v>
      </c>
      <c r="G518" s="76">
        <v>50.0</v>
      </c>
      <c r="H518" s="77">
        <f t="shared" si="3"/>
        <v>50</v>
      </c>
      <c r="I518" s="77" t="s">
        <v>153</v>
      </c>
      <c r="J518" s="58"/>
      <c r="K518" s="58"/>
      <c r="L518" s="58"/>
      <c r="M518" s="58"/>
      <c r="N518" s="58"/>
      <c r="O518" s="58"/>
      <c r="P518" s="58"/>
      <c r="Q518" s="58"/>
      <c r="R518" s="58"/>
      <c r="S518" s="58"/>
      <c r="T518" s="58"/>
      <c r="U518" s="58"/>
      <c r="V518" s="58"/>
      <c r="W518" s="58"/>
      <c r="X518" s="58"/>
      <c r="Y518" s="58"/>
      <c r="Z518" s="58"/>
    </row>
    <row r="519" ht="151.5" customHeight="1">
      <c r="A519" s="101" t="s">
        <v>153</v>
      </c>
      <c r="B519" s="176" t="s">
        <v>142</v>
      </c>
      <c r="C519" s="176" t="s">
        <v>3122</v>
      </c>
      <c r="D519" s="176" t="s">
        <v>3123</v>
      </c>
      <c r="E519" s="362" t="s">
        <v>3124</v>
      </c>
      <c r="F519" s="75" t="s">
        <v>1890</v>
      </c>
      <c r="G519" s="76">
        <v>50.0</v>
      </c>
      <c r="H519" s="77">
        <f t="shared" si="3"/>
        <v>50</v>
      </c>
      <c r="I519" s="77" t="s">
        <v>153</v>
      </c>
      <c r="J519" s="58"/>
      <c r="K519" s="58"/>
      <c r="L519" s="58"/>
      <c r="M519" s="58"/>
      <c r="N519" s="58"/>
      <c r="O519" s="58"/>
      <c r="P519" s="58"/>
      <c r="Q519" s="58"/>
      <c r="R519" s="58"/>
      <c r="S519" s="58"/>
      <c r="T519" s="58"/>
      <c r="U519" s="58"/>
      <c r="V519" s="58"/>
      <c r="W519" s="58"/>
      <c r="X519" s="58"/>
      <c r="Y519" s="58"/>
      <c r="Z519" s="58"/>
    </row>
    <row r="520" ht="123.75" customHeight="1">
      <c r="A520" s="101" t="s">
        <v>3110</v>
      </c>
      <c r="B520" s="176" t="s">
        <v>142</v>
      </c>
      <c r="C520" s="176" t="s">
        <v>3125</v>
      </c>
      <c r="D520" s="176" t="s">
        <v>3126</v>
      </c>
      <c r="E520" s="362" t="s">
        <v>3127</v>
      </c>
      <c r="F520" s="75" t="s">
        <v>3078</v>
      </c>
      <c r="G520" s="76">
        <v>50.0</v>
      </c>
      <c r="H520" s="77">
        <f>G520/2</f>
        <v>25</v>
      </c>
      <c r="I520" s="77" t="s">
        <v>153</v>
      </c>
      <c r="J520" s="58"/>
      <c r="K520" s="58"/>
      <c r="L520" s="58"/>
      <c r="M520" s="58"/>
      <c r="N520" s="58"/>
      <c r="O520" s="58"/>
      <c r="P520" s="58"/>
      <c r="Q520" s="58"/>
      <c r="R520" s="58"/>
      <c r="S520" s="58"/>
      <c r="T520" s="58"/>
      <c r="U520" s="58"/>
      <c r="V520" s="58"/>
      <c r="W520" s="58"/>
      <c r="X520" s="58"/>
      <c r="Y520" s="58"/>
      <c r="Z520" s="58"/>
    </row>
    <row r="521" ht="220.5" customHeight="1">
      <c r="A521" s="101" t="s">
        <v>153</v>
      </c>
      <c r="B521" s="176" t="s">
        <v>142</v>
      </c>
      <c r="C521" s="176" t="s">
        <v>3128</v>
      </c>
      <c r="D521" s="176" t="s">
        <v>3129</v>
      </c>
      <c r="E521" s="362" t="s">
        <v>3130</v>
      </c>
      <c r="F521" s="75" t="s">
        <v>1890</v>
      </c>
      <c r="G521" s="76">
        <v>50.0</v>
      </c>
      <c r="H521" s="77">
        <f t="shared" ref="H521:H523" si="4">G521</f>
        <v>50</v>
      </c>
      <c r="I521" s="77" t="s">
        <v>153</v>
      </c>
      <c r="J521" s="58"/>
      <c r="K521" s="58"/>
      <c r="L521" s="58"/>
      <c r="M521" s="58"/>
      <c r="N521" s="58"/>
      <c r="O521" s="58"/>
      <c r="P521" s="58"/>
      <c r="Q521" s="58"/>
      <c r="R521" s="58"/>
      <c r="S521" s="58"/>
      <c r="T521" s="58"/>
      <c r="U521" s="58"/>
      <c r="V521" s="58"/>
      <c r="W521" s="58"/>
      <c r="X521" s="58"/>
      <c r="Y521" s="58"/>
      <c r="Z521" s="58"/>
    </row>
    <row r="522" ht="192.75" customHeight="1">
      <c r="A522" s="101" t="s">
        <v>153</v>
      </c>
      <c r="B522" s="176" t="s">
        <v>142</v>
      </c>
      <c r="C522" s="176" t="s">
        <v>3131</v>
      </c>
      <c r="D522" s="176" t="s">
        <v>3132</v>
      </c>
      <c r="E522" s="362" t="s">
        <v>3133</v>
      </c>
      <c r="F522" s="75" t="s">
        <v>3078</v>
      </c>
      <c r="G522" s="76">
        <v>50.0</v>
      </c>
      <c r="H522" s="77">
        <f t="shared" si="4"/>
        <v>50</v>
      </c>
      <c r="I522" s="77" t="s">
        <v>153</v>
      </c>
      <c r="J522" s="58"/>
      <c r="K522" s="58"/>
      <c r="L522" s="58"/>
      <c r="M522" s="58"/>
      <c r="N522" s="58"/>
      <c r="O522" s="58"/>
      <c r="P522" s="58"/>
      <c r="Q522" s="58"/>
      <c r="R522" s="58"/>
      <c r="S522" s="58"/>
      <c r="T522" s="58"/>
      <c r="U522" s="58"/>
      <c r="V522" s="58"/>
      <c r="W522" s="58"/>
      <c r="X522" s="58"/>
      <c r="Y522" s="58"/>
      <c r="Z522" s="58"/>
    </row>
    <row r="523" ht="151.5" customHeight="1">
      <c r="A523" s="101" t="s">
        <v>153</v>
      </c>
      <c r="B523" s="176" t="s">
        <v>142</v>
      </c>
      <c r="C523" s="176" t="s">
        <v>3134</v>
      </c>
      <c r="D523" s="176" t="s">
        <v>3135</v>
      </c>
      <c r="E523" s="362" t="s">
        <v>3136</v>
      </c>
      <c r="F523" s="75" t="s">
        <v>3078</v>
      </c>
      <c r="G523" s="76">
        <v>50.0</v>
      </c>
      <c r="H523" s="77">
        <f t="shared" si="4"/>
        <v>50</v>
      </c>
      <c r="I523" s="77" t="s">
        <v>153</v>
      </c>
      <c r="J523" s="58"/>
      <c r="K523" s="58"/>
      <c r="L523" s="58"/>
      <c r="M523" s="58"/>
      <c r="N523" s="58"/>
      <c r="O523" s="58"/>
      <c r="P523" s="58"/>
      <c r="Q523" s="58"/>
      <c r="R523" s="58"/>
      <c r="S523" s="58"/>
      <c r="T523" s="58"/>
      <c r="U523" s="58"/>
      <c r="V523" s="58"/>
      <c r="W523" s="58"/>
      <c r="X523" s="58"/>
      <c r="Y523" s="58"/>
      <c r="Z523" s="58"/>
    </row>
    <row r="524" ht="248.25" customHeight="1">
      <c r="A524" s="101" t="s">
        <v>3137</v>
      </c>
      <c r="B524" s="176" t="s">
        <v>142</v>
      </c>
      <c r="C524" s="176" t="s">
        <v>3138</v>
      </c>
      <c r="D524" s="176" t="s">
        <v>3139</v>
      </c>
      <c r="E524" s="362" t="s">
        <v>3140</v>
      </c>
      <c r="F524" s="75" t="s">
        <v>3078</v>
      </c>
      <c r="G524" s="76">
        <v>50.0</v>
      </c>
      <c r="H524" s="77">
        <f>G524/3</f>
        <v>16.66666667</v>
      </c>
      <c r="I524" s="77" t="s">
        <v>153</v>
      </c>
      <c r="J524" s="58"/>
      <c r="K524" s="58"/>
      <c r="L524" s="58"/>
      <c r="M524" s="58"/>
      <c r="N524" s="58"/>
      <c r="O524" s="58"/>
      <c r="P524" s="58"/>
      <c r="Q524" s="58"/>
      <c r="R524" s="58"/>
      <c r="S524" s="58"/>
      <c r="T524" s="58"/>
      <c r="U524" s="58"/>
      <c r="V524" s="58"/>
      <c r="W524" s="58"/>
      <c r="X524" s="58"/>
      <c r="Y524" s="58"/>
      <c r="Z524" s="58"/>
    </row>
    <row r="525" ht="82.5" customHeight="1">
      <c r="A525" s="101" t="s">
        <v>153</v>
      </c>
      <c r="B525" s="176" t="s">
        <v>142</v>
      </c>
      <c r="C525" s="176" t="s">
        <v>3141</v>
      </c>
      <c r="D525" s="176" t="s">
        <v>3142</v>
      </c>
      <c r="E525" s="362" t="s">
        <v>3143</v>
      </c>
      <c r="F525" s="75" t="s">
        <v>3144</v>
      </c>
      <c r="G525" s="76">
        <v>15.0</v>
      </c>
      <c r="H525" s="77">
        <f t="shared" ref="H525:H529" si="5">G525</f>
        <v>15</v>
      </c>
      <c r="I525" s="77" t="s">
        <v>153</v>
      </c>
      <c r="J525" s="58"/>
      <c r="K525" s="58"/>
      <c r="L525" s="58"/>
      <c r="M525" s="58"/>
      <c r="N525" s="58"/>
      <c r="O525" s="58"/>
      <c r="P525" s="58"/>
      <c r="Q525" s="58"/>
      <c r="R525" s="58"/>
      <c r="S525" s="58"/>
      <c r="T525" s="58"/>
      <c r="U525" s="58"/>
      <c r="V525" s="58"/>
      <c r="W525" s="58"/>
      <c r="X525" s="58"/>
      <c r="Y525" s="58"/>
      <c r="Z525" s="58"/>
    </row>
    <row r="526" ht="96.0" customHeight="1">
      <c r="A526" s="101" t="s">
        <v>153</v>
      </c>
      <c r="B526" s="176" t="s">
        <v>142</v>
      </c>
      <c r="C526" s="176" t="s">
        <v>3141</v>
      </c>
      <c r="D526" s="176" t="s">
        <v>3145</v>
      </c>
      <c r="E526" s="362" t="s">
        <v>3146</v>
      </c>
      <c r="F526" s="75" t="s">
        <v>3144</v>
      </c>
      <c r="G526" s="76">
        <v>15.0</v>
      </c>
      <c r="H526" s="77">
        <f t="shared" si="5"/>
        <v>15</v>
      </c>
      <c r="I526" s="77" t="s">
        <v>153</v>
      </c>
      <c r="J526" s="58"/>
      <c r="K526" s="58"/>
      <c r="L526" s="58"/>
      <c r="M526" s="58"/>
      <c r="N526" s="58"/>
      <c r="O526" s="58"/>
      <c r="P526" s="58"/>
      <c r="Q526" s="58"/>
      <c r="R526" s="58"/>
      <c r="S526" s="58"/>
      <c r="T526" s="58"/>
      <c r="U526" s="58"/>
      <c r="V526" s="58"/>
      <c r="W526" s="58"/>
      <c r="X526" s="58"/>
      <c r="Y526" s="58"/>
      <c r="Z526" s="58"/>
    </row>
    <row r="527" ht="96.0" customHeight="1">
      <c r="A527" s="101" t="s">
        <v>153</v>
      </c>
      <c r="B527" s="176" t="s">
        <v>142</v>
      </c>
      <c r="C527" s="176" t="s">
        <v>3147</v>
      </c>
      <c r="D527" s="176" t="s">
        <v>3145</v>
      </c>
      <c r="E527" s="362" t="s">
        <v>3146</v>
      </c>
      <c r="F527" s="75" t="s">
        <v>3144</v>
      </c>
      <c r="G527" s="76">
        <v>15.0</v>
      </c>
      <c r="H527" s="77">
        <f t="shared" si="5"/>
        <v>15</v>
      </c>
      <c r="I527" s="77" t="s">
        <v>153</v>
      </c>
      <c r="J527" s="58"/>
      <c r="K527" s="58"/>
      <c r="L527" s="58"/>
      <c r="M527" s="58"/>
      <c r="N527" s="58"/>
      <c r="O527" s="58"/>
      <c r="P527" s="58"/>
      <c r="Q527" s="58"/>
      <c r="R527" s="58"/>
      <c r="S527" s="58"/>
      <c r="T527" s="58"/>
      <c r="U527" s="58"/>
      <c r="V527" s="58"/>
      <c r="W527" s="58"/>
      <c r="X527" s="58"/>
      <c r="Y527" s="58"/>
      <c r="Z527" s="58"/>
    </row>
    <row r="528" ht="165.0" customHeight="1">
      <c r="A528" s="101" t="s">
        <v>153</v>
      </c>
      <c r="B528" s="176" t="s">
        <v>142</v>
      </c>
      <c r="C528" s="176" t="s">
        <v>3147</v>
      </c>
      <c r="D528" s="176" t="s">
        <v>3148</v>
      </c>
      <c r="E528" s="362" t="s">
        <v>3149</v>
      </c>
      <c r="F528" s="75" t="s">
        <v>3144</v>
      </c>
      <c r="G528" s="76">
        <v>15.0</v>
      </c>
      <c r="H528" s="77">
        <f t="shared" si="5"/>
        <v>15</v>
      </c>
      <c r="I528" s="77" t="s">
        <v>153</v>
      </c>
      <c r="J528" s="58"/>
      <c r="K528" s="58"/>
      <c r="L528" s="58"/>
      <c r="M528" s="58"/>
      <c r="N528" s="58"/>
      <c r="O528" s="58"/>
      <c r="P528" s="58"/>
      <c r="Q528" s="58"/>
      <c r="R528" s="58"/>
      <c r="S528" s="58"/>
      <c r="T528" s="58"/>
      <c r="U528" s="58"/>
      <c r="V528" s="58"/>
      <c r="W528" s="58"/>
      <c r="X528" s="58"/>
      <c r="Y528" s="58"/>
      <c r="Z528" s="58"/>
    </row>
    <row r="529" ht="138.0" customHeight="1">
      <c r="A529" s="101" t="s">
        <v>153</v>
      </c>
      <c r="B529" s="176" t="s">
        <v>142</v>
      </c>
      <c r="C529" s="176" t="s">
        <v>3150</v>
      </c>
      <c r="D529" s="176" t="s">
        <v>3151</v>
      </c>
      <c r="E529" s="362" t="s">
        <v>3152</v>
      </c>
      <c r="F529" s="75" t="s">
        <v>3144</v>
      </c>
      <c r="G529" s="76">
        <v>15.0</v>
      </c>
      <c r="H529" s="77">
        <f t="shared" si="5"/>
        <v>15</v>
      </c>
      <c r="I529" s="77" t="s">
        <v>153</v>
      </c>
      <c r="J529" s="58"/>
      <c r="K529" s="58"/>
      <c r="L529" s="58"/>
      <c r="M529" s="58"/>
      <c r="N529" s="58"/>
      <c r="O529" s="58"/>
      <c r="P529" s="58"/>
      <c r="Q529" s="58"/>
      <c r="R529" s="58"/>
      <c r="S529" s="58"/>
      <c r="T529" s="58"/>
      <c r="U529" s="58"/>
      <c r="V529" s="58"/>
      <c r="W529" s="58"/>
      <c r="X529" s="58"/>
      <c r="Y529" s="58"/>
      <c r="Z529" s="58"/>
    </row>
    <row r="530" ht="151.5" customHeight="1">
      <c r="A530" s="101" t="s">
        <v>3110</v>
      </c>
      <c r="B530" s="176" t="s">
        <v>142</v>
      </c>
      <c r="C530" s="176" t="s">
        <v>3153</v>
      </c>
      <c r="D530" s="176" t="s">
        <v>3154</v>
      </c>
      <c r="E530" s="362" t="s">
        <v>3155</v>
      </c>
      <c r="F530" s="75" t="s">
        <v>3144</v>
      </c>
      <c r="G530" s="76">
        <v>15.0</v>
      </c>
      <c r="H530" s="77">
        <f>G530/2</f>
        <v>7.5</v>
      </c>
      <c r="I530" s="77" t="s">
        <v>153</v>
      </c>
      <c r="J530" s="58"/>
      <c r="K530" s="58"/>
      <c r="L530" s="58"/>
      <c r="M530" s="58"/>
      <c r="N530" s="58"/>
      <c r="O530" s="58"/>
      <c r="P530" s="58"/>
      <c r="Q530" s="58"/>
      <c r="R530" s="58"/>
      <c r="S530" s="58"/>
      <c r="T530" s="58"/>
      <c r="U530" s="58"/>
      <c r="V530" s="58"/>
      <c r="W530" s="58"/>
      <c r="X530" s="58"/>
      <c r="Y530" s="58"/>
      <c r="Z530" s="58"/>
    </row>
    <row r="531" ht="192.75" customHeight="1">
      <c r="A531" s="101" t="s">
        <v>153</v>
      </c>
      <c r="B531" s="176" t="s">
        <v>142</v>
      </c>
      <c r="C531" s="176" t="s">
        <v>3156</v>
      </c>
      <c r="D531" s="176" t="s">
        <v>3157</v>
      </c>
      <c r="E531" s="362" t="s">
        <v>3158</v>
      </c>
      <c r="F531" s="75" t="s">
        <v>3144</v>
      </c>
      <c r="G531" s="76">
        <v>15.0</v>
      </c>
      <c r="H531" s="77">
        <f t="shared" ref="H531:H579" si="6">G531</f>
        <v>15</v>
      </c>
      <c r="I531" s="77" t="s">
        <v>153</v>
      </c>
      <c r="J531" s="58"/>
      <c r="K531" s="58"/>
      <c r="L531" s="58"/>
      <c r="M531" s="58"/>
      <c r="N531" s="58"/>
      <c r="O531" s="58"/>
      <c r="P531" s="58"/>
      <c r="Q531" s="58"/>
      <c r="R531" s="58"/>
      <c r="S531" s="58"/>
      <c r="T531" s="58"/>
      <c r="U531" s="58"/>
      <c r="V531" s="58"/>
      <c r="W531" s="58"/>
      <c r="X531" s="58"/>
      <c r="Y531" s="58"/>
      <c r="Z531" s="58"/>
    </row>
    <row r="532" ht="165.0" customHeight="1">
      <c r="A532" s="101" t="s">
        <v>153</v>
      </c>
      <c r="B532" s="176" t="s">
        <v>142</v>
      </c>
      <c r="C532" s="176" t="s">
        <v>3159</v>
      </c>
      <c r="D532" s="176" t="s">
        <v>3160</v>
      </c>
      <c r="E532" s="362" t="s">
        <v>3161</v>
      </c>
      <c r="F532" s="75" t="s">
        <v>3144</v>
      </c>
      <c r="G532" s="76">
        <v>15.0</v>
      </c>
      <c r="H532" s="77">
        <f t="shared" si="6"/>
        <v>15</v>
      </c>
      <c r="I532" s="77" t="s">
        <v>153</v>
      </c>
      <c r="J532" s="58"/>
      <c r="K532" s="58"/>
      <c r="L532" s="58"/>
      <c r="M532" s="58"/>
      <c r="N532" s="58"/>
      <c r="O532" s="58"/>
      <c r="P532" s="58"/>
      <c r="Q532" s="58"/>
      <c r="R532" s="58"/>
      <c r="S532" s="58"/>
      <c r="T532" s="58"/>
      <c r="U532" s="58"/>
      <c r="V532" s="58"/>
      <c r="W532" s="58"/>
      <c r="X532" s="58"/>
      <c r="Y532" s="58"/>
      <c r="Z532" s="58"/>
    </row>
    <row r="533" ht="317.25" customHeight="1">
      <c r="A533" s="101" t="s">
        <v>153</v>
      </c>
      <c r="B533" s="176" t="s">
        <v>142</v>
      </c>
      <c r="C533" s="176" t="s">
        <v>3162</v>
      </c>
      <c r="D533" s="176" t="s">
        <v>3163</v>
      </c>
      <c r="E533" s="362" t="s">
        <v>3164</v>
      </c>
      <c r="F533" s="75" t="s">
        <v>3144</v>
      </c>
      <c r="G533" s="76">
        <v>15.0</v>
      </c>
      <c r="H533" s="77">
        <f t="shared" si="6"/>
        <v>15</v>
      </c>
      <c r="I533" s="77" t="s">
        <v>153</v>
      </c>
      <c r="J533" s="58"/>
      <c r="K533" s="58"/>
      <c r="L533" s="58"/>
      <c r="M533" s="58"/>
      <c r="N533" s="58"/>
      <c r="O533" s="58"/>
      <c r="P533" s="58"/>
      <c r="Q533" s="58"/>
      <c r="R533" s="58"/>
      <c r="S533" s="58"/>
      <c r="T533" s="58"/>
      <c r="U533" s="58"/>
      <c r="V533" s="58"/>
      <c r="W533" s="58"/>
      <c r="X533" s="58"/>
      <c r="Y533" s="58"/>
      <c r="Z533" s="58"/>
    </row>
    <row r="534" ht="261.75" customHeight="1">
      <c r="A534" s="101" t="s">
        <v>153</v>
      </c>
      <c r="B534" s="176" t="s">
        <v>142</v>
      </c>
      <c r="C534" s="176" t="s">
        <v>3165</v>
      </c>
      <c r="D534" s="176" t="s">
        <v>3166</v>
      </c>
      <c r="E534" s="362" t="s">
        <v>3167</v>
      </c>
      <c r="F534" s="75" t="s">
        <v>3144</v>
      </c>
      <c r="G534" s="76">
        <v>15.0</v>
      </c>
      <c r="H534" s="77">
        <f t="shared" si="6"/>
        <v>15</v>
      </c>
      <c r="I534" s="77" t="s">
        <v>153</v>
      </c>
      <c r="J534" s="58"/>
      <c r="K534" s="58"/>
      <c r="L534" s="58"/>
      <c r="M534" s="58"/>
      <c r="N534" s="58"/>
      <c r="O534" s="58"/>
      <c r="P534" s="58"/>
      <c r="Q534" s="58"/>
      <c r="R534" s="58"/>
      <c r="S534" s="58"/>
      <c r="T534" s="58"/>
      <c r="U534" s="58"/>
      <c r="V534" s="58"/>
      <c r="W534" s="58"/>
      <c r="X534" s="58"/>
      <c r="Y534" s="58"/>
      <c r="Z534" s="58"/>
    </row>
    <row r="535" ht="234.0" customHeight="1">
      <c r="A535" s="101" t="s">
        <v>153</v>
      </c>
      <c r="B535" s="176" t="s">
        <v>142</v>
      </c>
      <c r="C535" s="176" t="s">
        <v>3168</v>
      </c>
      <c r="D535" s="176" t="s">
        <v>3169</v>
      </c>
      <c r="E535" s="362" t="s">
        <v>3170</v>
      </c>
      <c r="F535" s="75" t="s">
        <v>3144</v>
      </c>
      <c r="G535" s="76">
        <v>15.0</v>
      </c>
      <c r="H535" s="77">
        <f t="shared" si="6"/>
        <v>15</v>
      </c>
      <c r="I535" s="77" t="s">
        <v>153</v>
      </c>
      <c r="J535" s="58"/>
      <c r="K535" s="58"/>
      <c r="L535" s="58"/>
      <c r="M535" s="58"/>
      <c r="N535" s="58"/>
      <c r="O535" s="58"/>
      <c r="P535" s="58"/>
      <c r="Q535" s="58"/>
      <c r="R535" s="58"/>
      <c r="S535" s="58"/>
      <c r="T535" s="58"/>
      <c r="U535" s="58"/>
      <c r="V535" s="58"/>
      <c r="W535" s="58"/>
      <c r="X535" s="58"/>
      <c r="Y535" s="58"/>
      <c r="Z535" s="58"/>
    </row>
    <row r="536" ht="207.0" customHeight="1">
      <c r="A536" s="101" t="s">
        <v>153</v>
      </c>
      <c r="B536" s="176" t="s">
        <v>142</v>
      </c>
      <c r="C536" s="176" t="s">
        <v>3171</v>
      </c>
      <c r="D536" s="176" t="s">
        <v>3172</v>
      </c>
      <c r="E536" s="362" t="s">
        <v>3173</v>
      </c>
      <c r="F536" s="75" t="s">
        <v>3144</v>
      </c>
      <c r="G536" s="76">
        <v>15.0</v>
      </c>
      <c r="H536" s="77">
        <f t="shared" si="6"/>
        <v>15</v>
      </c>
      <c r="I536" s="77" t="s">
        <v>153</v>
      </c>
      <c r="J536" s="58"/>
      <c r="K536" s="58"/>
      <c r="L536" s="58"/>
      <c r="M536" s="58"/>
      <c r="N536" s="58"/>
      <c r="O536" s="58"/>
      <c r="P536" s="58"/>
      <c r="Q536" s="58"/>
      <c r="R536" s="58"/>
      <c r="S536" s="58"/>
      <c r="T536" s="58"/>
      <c r="U536" s="58"/>
      <c r="V536" s="58"/>
      <c r="W536" s="58"/>
      <c r="X536" s="58"/>
      <c r="Y536" s="58"/>
      <c r="Z536" s="58"/>
    </row>
    <row r="537" ht="261.75" customHeight="1">
      <c r="A537" s="101" t="s">
        <v>153</v>
      </c>
      <c r="B537" s="176" t="s">
        <v>142</v>
      </c>
      <c r="C537" s="176" t="s">
        <v>3165</v>
      </c>
      <c r="D537" s="176" t="s">
        <v>3174</v>
      </c>
      <c r="E537" s="362" t="s">
        <v>3175</v>
      </c>
      <c r="F537" s="75" t="s">
        <v>3144</v>
      </c>
      <c r="G537" s="76">
        <v>15.0</v>
      </c>
      <c r="H537" s="77">
        <f t="shared" si="6"/>
        <v>15</v>
      </c>
      <c r="I537" s="77" t="s">
        <v>153</v>
      </c>
      <c r="J537" s="58"/>
      <c r="K537" s="58"/>
      <c r="L537" s="58"/>
      <c r="M537" s="58"/>
      <c r="N537" s="58"/>
      <c r="O537" s="58"/>
      <c r="P537" s="58"/>
      <c r="Q537" s="58"/>
      <c r="R537" s="58"/>
      <c r="S537" s="58"/>
      <c r="T537" s="58"/>
      <c r="U537" s="58"/>
      <c r="V537" s="58"/>
      <c r="W537" s="58"/>
      <c r="X537" s="58"/>
      <c r="Y537" s="58"/>
      <c r="Z537" s="58"/>
    </row>
    <row r="538" ht="110.25" customHeight="1">
      <c r="A538" s="101" t="s">
        <v>153</v>
      </c>
      <c r="B538" s="176" t="s">
        <v>142</v>
      </c>
      <c r="C538" s="176" t="s">
        <v>3176</v>
      </c>
      <c r="D538" s="176" t="s">
        <v>3177</v>
      </c>
      <c r="E538" s="75"/>
      <c r="F538" s="75" t="s">
        <v>3144</v>
      </c>
      <c r="G538" s="76">
        <v>15.0</v>
      </c>
      <c r="H538" s="77">
        <f t="shared" si="6"/>
        <v>15</v>
      </c>
      <c r="I538" s="77" t="s">
        <v>153</v>
      </c>
      <c r="J538" s="58"/>
      <c r="K538" s="58"/>
      <c r="L538" s="58"/>
      <c r="M538" s="58"/>
      <c r="N538" s="58"/>
      <c r="O538" s="58"/>
      <c r="P538" s="58"/>
      <c r="Q538" s="58"/>
      <c r="R538" s="58"/>
      <c r="S538" s="58"/>
      <c r="T538" s="58"/>
      <c r="U538" s="58"/>
      <c r="V538" s="58"/>
      <c r="W538" s="58"/>
      <c r="X538" s="58"/>
      <c r="Y538" s="58"/>
      <c r="Z538" s="58"/>
    </row>
    <row r="539" ht="110.25" customHeight="1">
      <c r="A539" s="101" t="s">
        <v>153</v>
      </c>
      <c r="B539" s="176" t="s">
        <v>142</v>
      </c>
      <c r="C539" s="176" t="s">
        <v>3176</v>
      </c>
      <c r="D539" s="176" t="s">
        <v>3178</v>
      </c>
      <c r="E539" s="362" t="s">
        <v>3179</v>
      </c>
      <c r="F539" s="75" t="s">
        <v>3144</v>
      </c>
      <c r="G539" s="76">
        <v>15.0</v>
      </c>
      <c r="H539" s="77">
        <f t="shared" si="6"/>
        <v>15</v>
      </c>
      <c r="I539" s="77" t="s">
        <v>153</v>
      </c>
      <c r="J539" s="58"/>
      <c r="K539" s="58"/>
      <c r="L539" s="58"/>
      <c r="M539" s="58"/>
      <c r="N539" s="58"/>
      <c r="O539" s="58"/>
      <c r="P539" s="58"/>
      <c r="Q539" s="58"/>
      <c r="R539" s="58"/>
      <c r="S539" s="58"/>
      <c r="T539" s="58"/>
      <c r="U539" s="58"/>
      <c r="V539" s="58"/>
      <c r="W539" s="58"/>
      <c r="X539" s="58"/>
      <c r="Y539" s="58"/>
      <c r="Z539" s="58"/>
    </row>
    <row r="540" ht="151.5" customHeight="1">
      <c r="A540" s="101" t="s">
        <v>153</v>
      </c>
      <c r="B540" s="176" t="s">
        <v>142</v>
      </c>
      <c r="C540" s="176" t="s">
        <v>3180</v>
      </c>
      <c r="D540" s="176" t="s">
        <v>3181</v>
      </c>
      <c r="E540" s="362" t="s">
        <v>3182</v>
      </c>
      <c r="F540" s="75" t="s">
        <v>3144</v>
      </c>
      <c r="G540" s="76">
        <v>15.0</v>
      </c>
      <c r="H540" s="77">
        <f t="shared" si="6"/>
        <v>15</v>
      </c>
      <c r="I540" s="77" t="s">
        <v>153</v>
      </c>
      <c r="J540" s="58"/>
      <c r="K540" s="58"/>
      <c r="L540" s="58"/>
      <c r="M540" s="58"/>
      <c r="N540" s="58"/>
      <c r="O540" s="58"/>
      <c r="P540" s="58"/>
      <c r="Q540" s="58"/>
      <c r="R540" s="58"/>
      <c r="S540" s="58"/>
      <c r="T540" s="58"/>
      <c r="U540" s="58"/>
      <c r="V540" s="58"/>
      <c r="W540" s="58"/>
      <c r="X540" s="58"/>
      <c r="Y540" s="58"/>
      <c r="Z540" s="58"/>
    </row>
    <row r="541" ht="165.0" customHeight="1">
      <c r="A541" s="101" t="s">
        <v>153</v>
      </c>
      <c r="B541" s="176" t="s">
        <v>142</v>
      </c>
      <c r="C541" s="176" t="s">
        <v>3183</v>
      </c>
      <c r="D541" s="176" t="s">
        <v>3184</v>
      </c>
      <c r="E541" s="362" t="s">
        <v>3185</v>
      </c>
      <c r="F541" s="75" t="s">
        <v>3144</v>
      </c>
      <c r="G541" s="76">
        <v>15.0</v>
      </c>
      <c r="H541" s="77">
        <f t="shared" si="6"/>
        <v>15</v>
      </c>
      <c r="I541" s="77" t="s">
        <v>153</v>
      </c>
      <c r="J541" s="58"/>
      <c r="K541" s="58"/>
      <c r="L541" s="58"/>
      <c r="M541" s="58"/>
      <c r="N541" s="58"/>
      <c r="O541" s="58"/>
      <c r="P541" s="58"/>
      <c r="Q541" s="58"/>
      <c r="R541" s="58"/>
      <c r="S541" s="58"/>
      <c r="T541" s="58"/>
      <c r="U541" s="58"/>
      <c r="V541" s="58"/>
      <c r="W541" s="58"/>
      <c r="X541" s="58"/>
      <c r="Y541" s="58"/>
      <c r="Z541" s="58"/>
    </row>
    <row r="542" ht="179.25" customHeight="1">
      <c r="A542" s="101" t="s">
        <v>153</v>
      </c>
      <c r="B542" s="176" t="s">
        <v>142</v>
      </c>
      <c r="C542" s="176" t="s">
        <v>3186</v>
      </c>
      <c r="D542" s="176" t="s">
        <v>3184</v>
      </c>
      <c r="E542" s="362" t="s">
        <v>3185</v>
      </c>
      <c r="F542" s="75" t="s">
        <v>3144</v>
      </c>
      <c r="G542" s="76">
        <v>15.0</v>
      </c>
      <c r="H542" s="77">
        <f t="shared" si="6"/>
        <v>15</v>
      </c>
      <c r="I542" s="77" t="s">
        <v>153</v>
      </c>
      <c r="J542" s="58"/>
      <c r="K542" s="58"/>
      <c r="L542" s="58"/>
      <c r="M542" s="58"/>
      <c r="N542" s="58"/>
      <c r="O542" s="58"/>
      <c r="P542" s="58"/>
      <c r="Q542" s="58"/>
      <c r="R542" s="58"/>
      <c r="S542" s="58"/>
      <c r="T542" s="58"/>
      <c r="U542" s="58"/>
      <c r="V542" s="58"/>
      <c r="W542" s="58"/>
      <c r="X542" s="58"/>
      <c r="Y542" s="58"/>
      <c r="Z542" s="58"/>
    </row>
    <row r="543" ht="179.25" customHeight="1">
      <c r="A543" s="101" t="s">
        <v>153</v>
      </c>
      <c r="B543" s="176" t="s">
        <v>142</v>
      </c>
      <c r="C543" s="176" t="s">
        <v>3187</v>
      </c>
      <c r="D543" s="176" t="s">
        <v>3188</v>
      </c>
      <c r="E543" s="362" t="s">
        <v>3189</v>
      </c>
      <c r="F543" s="75" t="s">
        <v>3144</v>
      </c>
      <c r="G543" s="76">
        <v>15.0</v>
      </c>
      <c r="H543" s="77">
        <f t="shared" si="6"/>
        <v>15</v>
      </c>
      <c r="I543" s="77" t="s">
        <v>153</v>
      </c>
      <c r="J543" s="58"/>
      <c r="K543" s="58"/>
      <c r="L543" s="58"/>
      <c r="M543" s="58"/>
      <c r="N543" s="58"/>
      <c r="O543" s="58"/>
      <c r="P543" s="58"/>
      <c r="Q543" s="58"/>
      <c r="R543" s="58"/>
      <c r="S543" s="58"/>
      <c r="T543" s="58"/>
      <c r="U543" s="58"/>
      <c r="V543" s="58"/>
      <c r="W543" s="58"/>
      <c r="X543" s="58"/>
      <c r="Y543" s="58"/>
      <c r="Z543" s="58"/>
    </row>
    <row r="544" ht="138.0" customHeight="1">
      <c r="A544" s="101" t="s">
        <v>153</v>
      </c>
      <c r="B544" s="176" t="s">
        <v>142</v>
      </c>
      <c r="C544" s="176" t="s">
        <v>3190</v>
      </c>
      <c r="D544" s="176" t="s">
        <v>3191</v>
      </c>
      <c r="E544" s="362" t="s">
        <v>3192</v>
      </c>
      <c r="F544" s="75" t="s">
        <v>3144</v>
      </c>
      <c r="G544" s="76">
        <v>15.0</v>
      </c>
      <c r="H544" s="77">
        <f t="shared" si="6"/>
        <v>15</v>
      </c>
      <c r="I544" s="77" t="s">
        <v>153</v>
      </c>
      <c r="J544" s="58"/>
      <c r="K544" s="58"/>
      <c r="L544" s="58"/>
      <c r="M544" s="58"/>
      <c r="N544" s="58"/>
      <c r="O544" s="58"/>
      <c r="P544" s="58"/>
      <c r="Q544" s="58"/>
      <c r="R544" s="58"/>
      <c r="S544" s="58"/>
      <c r="T544" s="58"/>
      <c r="U544" s="58"/>
      <c r="V544" s="58"/>
      <c r="W544" s="58"/>
      <c r="X544" s="58"/>
      <c r="Y544" s="58"/>
      <c r="Z544" s="58"/>
    </row>
    <row r="545" ht="151.5" customHeight="1">
      <c r="A545" s="101" t="s">
        <v>153</v>
      </c>
      <c r="B545" s="176" t="s">
        <v>142</v>
      </c>
      <c r="C545" s="176" t="s">
        <v>3193</v>
      </c>
      <c r="D545" s="176" t="s">
        <v>3194</v>
      </c>
      <c r="E545" s="362" t="s">
        <v>3195</v>
      </c>
      <c r="F545" s="75" t="s">
        <v>3144</v>
      </c>
      <c r="G545" s="76">
        <v>15.0</v>
      </c>
      <c r="H545" s="77">
        <f t="shared" si="6"/>
        <v>15</v>
      </c>
      <c r="I545" s="77" t="s">
        <v>153</v>
      </c>
      <c r="J545" s="58"/>
      <c r="K545" s="58"/>
      <c r="L545" s="58"/>
      <c r="M545" s="58"/>
      <c r="N545" s="58"/>
      <c r="O545" s="58"/>
      <c r="P545" s="58"/>
      <c r="Q545" s="58"/>
      <c r="R545" s="58"/>
      <c r="S545" s="58"/>
      <c r="T545" s="58"/>
      <c r="U545" s="58"/>
      <c r="V545" s="58"/>
      <c r="W545" s="58"/>
      <c r="X545" s="58"/>
      <c r="Y545" s="58"/>
      <c r="Z545" s="58"/>
    </row>
    <row r="546" ht="165.0" customHeight="1">
      <c r="A546" s="101" t="s">
        <v>153</v>
      </c>
      <c r="B546" s="176" t="s">
        <v>142</v>
      </c>
      <c r="C546" s="176" t="s">
        <v>3196</v>
      </c>
      <c r="D546" s="176" t="s">
        <v>3197</v>
      </c>
      <c r="E546" s="362" t="s">
        <v>3198</v>
      </c>
      <c r="F546" s="75" t="s">
        <v>3144</v>
      </c>
      <c r="G546" s="76">
        <v>15.0</v>
      </c>
      <c r="H546" s="77">
        <f t="shared" si="6"/>
        <v>15</v>
      </c>
      <c r="I546" s="77" t="s">
        <v>153</v>
      </c>
      <c r="J546" s="58"/>
      <c r="K546" s="58"/>
      <c r="L546" s="58"/>
      <c r="M546" s="58"/>
      <c r="N546" s="58"/>
      <c r="O546" s="58"/>
      <c r="P546" s="58"/>
      <c r="Q546" s="58"/>
      <c r="R546" s="58"/>
      <c r="S546" s="58"/>
      <c r="T546" s="58"/>
      <c r="U546" s="58"/>
      <c r="V546" s="58"/>
      <c r="W546" s="58"/>
      <c r="X546" s="58"/>
      <c r="Y546" s="58"/>
      <c r="Z546" s="58"/>
    </row>
    <row r="547" ht="110.25" customHeight="1">
      <c r="A547" s="101" t="s">
        <v>153</v>
      </c>
      <c r="B547" s="176" t="s">
        <v>142</v>
      </c>
      <c r="C547" s="176" t="s">
        <v>3199</v>
      </c>
      <c r="D547" s="176" t="s">
        <v>3200</v>
      </c>
      <c r="E547" s="362" t="s">
        <v>3201</v>
      </c>
      <c r="F547" s="75" t="s">
        <v>3144</v>
      </c>
      <c r="G547" s="76">
        <v>15.0</v>
      </c>
      <c r="H547" s="77">
        <f t="shared" si="6"/>
        <v>15</v>
      </c>
      <c r="I547" s="77" t="s">
        <v>153</v>
      </c>
      <c r="J547" s="58"/>
      <c r="K547" s="58"/>
      <c r="L547" s="58"/>
      <c r="M547" s="58"/>
      <c r="N547" s="58"/>
      <c r="O547" s="58"/>
      <c r="P547" s="58"/>
      <c r="Q547" s="58"/>
      <c r="R547" s="58"/>
      <c r="S547" s="58"/>
      <c r="T547" s="58"/>
      <c r="U547" s="58"/>
      <c r="V547" s="58"/>
      <c r="W547" s="58"/>
      <c r="X547" s="58"/>
      <c r="Y547" s="58"/>
      <c r="Z547" s="58"/>
    </row>
    <row r="548" ht="151.5" customHeight="1">
      <c r="A548" s="101" t="s">
        <v>153</v>
      </c>
      <c r="B548" s="176" t="s">
        <v>142</v>
      </c>
      <c r="C548" s="176" t="s">
        <v>3202</v>
      </c>
      <c r="D548" s="176" t="s">
        <v>3203</v>
      </c>
      <c r="E548" s="362" t="s">
        <v>3204</v>
      </c>
      <c r="F548" s="75" t="s">
        <v>3144</v>
      </c>
      <c r="G548" s="76">
        <v>15.0</v>
      </c>
      <c r="H548" s="77">
        <f t="shared" si="6"/>
        <v>15</v>
      </c>
      <c r="I548" s="77" t="s">
        <v>153</v>
      </c>
      <c r="J548" s="58"/>
      <c r="K548" s="58"/>
      <c r="L548" s="58"/>
      <c r="M548" s="58"/>
      <c r="N548" s="58"/>
      <c r="O548" s="58"/>
      <c r="P548" s="58"/>
      <c r="Q548" s="58"/>
      <c r="R548" s="58"/>
      <c r="S548" s="58"/>
      <c r="T548" s="58"/>
      <c r="U548" s="58"/>
      <c r="V548" s="58"/>
      <c r="W548" s="58"/>
      <c r="X548" s="58"/>
      <c r="Y548" s="58"/>
      <c r="Z548" s="58"/>
    </row>
    <row r="549" ht="151.5" customHeight="1">
      <c r="A549" s="101" t="s">
        <v>153</v>
      </c>
      <c r="B549" s="176" t="s">
        <v>142</v>
      </c>
      <c r="C549" s="176" t="s">
        <v>3205</v>
      </c>
      <c r="D549" s="176" t="s">
        <v>3206</v>
      </c>
      <c r="E549" s="362" t="s">
        <v>3207</v>
      </c>
      <c r="F549" s="75" t="s">
        <v>3144</v>
      </c>
      <c r="G549" s="76">
        <v>15.0</v>
      </c>
      <c r="H549" s="77">
        <f t="shared" si="6"/>
        <v>15</v>
      </c>
      <c r="I549" s="77" t="s">
        <v>153</v>
      </c>
      <c r="J549" s="58"/>
      <c r="K549" s="58"/>
      <c r="L549" s="58"/>
      <c r="M549" s="58"/>
      <c r="N549" s="58"/>
      <c r="O549" s="58"/>
      <c r="P549" s="58"/>
      <c r="Q549" s="58"/>
      <c r="R549" s="58"/>
      <c r="S549" s="58"/>
      <c r="T549" s="58"/>
      <c r="U549" s="58"/>
      <c r="V549" s="58"/>
      <c r="W549" s="58"/>
      <c r="X549" s="58"/>
      <c r="Y549" s="58"/>
      <c r="Z549" s="58"/>
    </row>
    <row r="550" ht="165.0" customHeight="1">
      <c r="A550" s="101" t="s">
        <v>153</v>
      </c>
      <c r="B550" s="176" t="s">
        <v>142</v>
      </c>
      <c r="C550" s="176" t="s">
        <v>3208</v>
      </c>
      <c r="D550" s="176" t="s">
        <v>3209</v>
      </c>
      <c r="E550" s="362" t="s">
        <v>3210</v>
      </c>
      <c r="F550" s="75" t="s">
        <v>3144</v>
      </c>
      <c r="G550" s="76">
        <v>15.0</v>
      </c>
      <c r="H550" s="77">
        <f t="shared" si="6"/>
        <v>15</v>
      </c>
      <c r="I550" s="77" t="s">
        <v>153</v>
      </c>
      <c r="J550" s="58"/>
      <c r="K550" s="58"/>
      <c r="L550" s="58"/>
      <c r="M550" s="58"/>
      <c r="N550" s="58"/>
      <c r="O550" s="58"/>
      <c r="P550" s="58"/>
      <c r="Q550" s="58"/>
      <c r="R550" s="58"/>
      <c r="S550" s="58"/>
      <c r="T550" s="58"/>
      <c r="U550" s="58"/>
      <c r="V550" s="58"/>
      <c r="W550" s="58"/>
      <c r="X550" s="58"/>
      <c r="Y550" s="58"/>
      <c r="Z550" s="58"/>
    </row>
    <row r="551" ht="165.0" customHeight="1">
      <c r="A551" s="101" t="s">
        <v>153</v>
      </c>
      <c r="B551" s="176" t="s">
        <v>142</v>
      </c>
      <c r="C551" s="176" t="s">
        <v>3211</v>
      </c>
      <c r="D551" s="176" t="s">
        <v>3212</v>
      </c>
      <c r="E551" s="362" t="s">
        <v>3213</v>
      </c>
      <c r="F551" s="75" t="s">
        <v>3144</v>
      </c>
      <c r="G551" s="76">
        <v>15.0</v>
      </c>
      <c r="H551" s="77">
        <f t="shared" si="6"/>
        <v>15</v>
      </c>
      <c r="I551" s="77" t="s">
        <v>153</v>
      </c>
      <c r="J551" s="58"/>
      <c r="K551" s="58"/>
      <c r="L551" s="58"/>
      <c r="M551" s="58"/>
      <c r="N551" s="58"/>
      <c r="O551" s="58"/>
      <c r="P551" s="58"/>
      <c r="Q551" s="58"/>
      <c r="R551" s="58"/>
      <c r="S551" s="58"/>
      <c r="T551" s="58"/>
      <c r="U551" s="58"/>
      <c r="V551" s="58"/>
      <c r="W551" s="58"/>
      <c r="X551" s="58"/>
      <c r="Y551" s="58"/>
      <c r="Z551" s="58"/>
    </row>
    <row r="552" ht="165.0" customHeight="1">
      <c r="A552" s="101" t="s">
        <v>153</v>
      </c>
      <c r="B552" s="176" t="s">
        <v>142</v>
      </c>
      <c r="C552" s="176" t="s">
        <v>3214</v>
      </c>
      <c r="D552" s="176" t="s">
        <v>3215</v>
      </c>
      <c r="E552" s="362" t="s">
        <v>3216</v>
      </c>
      <c r="F552" s="75" t="s">
        <v>3144</v>
      </c>
      <c r="G552" s="76">
        <v>15.0</v>
      </c>
      <c r="H552" s="77">
        <f t="shared" si="6"/>
        <v>15</v>
      </c>
      <c r="I552" s="77" t="s">
        <v>153</v>
      </c>
      <c r="J552" s="58"/>
      <c r="K552" s="58"/>
      <c r="L552" s="58"/>
      <c r="M552" s="58"/>
      <c r="N552" s="58"/>
      <c r="O552" s="58"/>
      <c r="P552" s="58"/>
      <c r="Q552" s="58"/>
      <c r="R552" s="58"/>
      <c r="S552" s="58"/>
      <c r="T552" s="58"/>
      <c r="U552" s="58"/>
      <c r="V552" s="58"/>
      <c r="W552" s="58"/>
      <c r="X552" s="58"/>
      <c r="Y552" s="58"/>
      <c r="Z552" s="58"/>
    </row>
    <row r="553" ht="151.5" customHeight="1">
      <c r="A553" s="101" t="s">
        <v>153</v>
      </c>
      <c r="B553" s="176" t="s">
        <v>142</v>
      </c>
      <c r="C553" s="176" t="s">
        <v>3217</v>
      </c>
      <c r="D553" s="176" t="s">
        <v>3218</v>
      </c>
      <c r="E553" s="362" t="s">
        <v>3219</v>
      </c>
      <c r="F553" s="75" t="s">
        <v>3144</v>
      </c>
      <c r="G553" s="76">
        <v>15.0</v>
      </c>
      <c r="H553" s="77">
        <f t="shared" si="6"/>
        <v>15</v>
      </c>
      <c r="I553" s="77" t="s">
        <v>153</v>
      </c>
      <c r="J553" s="58"/>
      <c r="K553" s="58"/>
      <c r="L553" s="58"/>
      <c r="M553" s="58"/>
      <c r="N553" s="58"/>
      <c r="O553" s="58"/>
      <c r="P553" s="58"/>
      <c r="Q553" s="58"/>
      <c r="R553" s="58"/>
      <c r="S553" s="58"/>
      <c r="T553" s="58"/>
      <c r="U553" s="58"/>
      <c r="V553" s="58"/>
      <c r="W553" s="58"/>
      <c r="X553" s="58"/>
      <c r="Y553" s="58"/>
      <c r="Z553" s="58"/>
    </row>
    <row r="554" ht="220.5" customHeight="1">
      <c r="A554" s="101" t="s">
        <v>153</v>
      </c>
      <c r="B554" s="176" t="s">
        <v>142</v>
      </c>
      <c r="C554" s="176" t="s">
        <v>3220</v>
      </c>
      <c r="D554" s="176" t="s">
        <v>3221</v>
      </c>
      <c r="E554" s="362" t="s">
        <v>3222</v>
      </c>
      <c r="F554" s="75" t="s">
        <v>3144</v>
      </c>
      <c r="G554" s="76">
        <v>15.0</v>
      </c>
      <c r="H554" s="77">
        <f t="shared" si="6"/>
        <v>15</v>
      </c>
      <c r="I554" s="77" t="s">
        <v>153</v>
      </c>
      <c r="J554" s="58"/>
      <c r="K554" s="58"/>
      <c r="L554" s="58"/>
      <c r="M554" s="58"/>
      <c r="N554" s="58"/>
      <c r="O554" s="58"/>
      <c r="P554" s="58"/>
      <c r="Q554" s="58"/>
      <c r="R554" s="58"/>
      <c r="S554" s="58"/>
      <c r="T554" s="58"/>
      <c r="U554" s="58"/>
      <c r="V554" s="58"/>
      <c r="W554" s="58"/>
      <c r="X554" s="58"/>
      <c r="Y554" s="58"/>
      <c r="Z554" s="58"/>
    </row>
    <row r="555" ht="151.5" customHeight="1">
      <c r="A555" s="101" t="s">
        <v>153</v>
      </c>
      <c r="B555" s="176" t="s">
        <v>142</v>
      </c>
      <c r="C555" s="176" t="s">
        <v>3217</v>
      </c>
      <c r="D555" s="176" t="s">
        <v>3223</v>
      </c>
      <c r="E555" s="362" t="s">
        <v>3224</v>
      </c>
      <c r="F555" s="75" t="s">
        <v>3144</v>
      </c>
      <c r="G555" s="76">
        <v>15.0</v>
      </c>
      <c r="H555" s="77">
        <f t="shared" si="6"/>
        <v>15</v>
      </c>
      <c r="I555" s="77" t="s">
        <v>153</v>
      </c>
      <c r="J555" s="58"/>
      <c r="K555" s="58"/>
      <c r="L555" s="58"/>
      <c r="M555" s="58"/>
      <c r="N555" s="58"/>
      <c r="O555" s="58"/>
      <c r="P555" s="58"/>
      <c r="Q555" s="58"/>
      <c r="R555" s="58"/>
      <c r="S555" s="58"/>
      <c r="T555" s="58"/>
      <c r="U555" s="58"/>
      <c r="V555" s="58"/>
      <c r="W555" s="58"/>
      <c r="X555" s="58"/>
      <c r="Y555" s="58"/>
      <c r="Z555" s="58"/>
    </row>
    <row r="556" ht="138.0" customHeight="1">
      <c r="A556" s="101" t="s">
        <v>153</v>
      </c>
      <c r="B556" s="176" t="s">
        <v>142</v>
      </c>
      <c r="C556" s="176" t="s">
        <v>3225</v>
      </c>
      <c r="D556" s="176" t="s">
        <v>3226</v>
      </c>
      <c r="E556" s="362" t="s">
        <v>3227</v>
      </c>
      <c r="F556" s="75" t="s">
        <v>3144</v>
      </c>
      <c r="G556" s="76">
        <v>15.0</v>
      </c>
      <c r="H556" s="77">
        <f t="shared" si="6"/>
        <v>15</v>
      </c>
      <c r="I556" s="77" t="s">
        <v>153</v>
      </c>
      <c r="J556" s="58"/>
      <c r="K556" s="58"/>
      <c r="L556" s="58"/>
      <c r="M556" s="58"/>
      <c r="N556" s="58"/>
      <c r="O556" s="58"/>
      <c r="P556" s="58"/>
      <c r="Q556" s="58"/>
      <c r="R556" s="58"/>
      <c r="S556" s="58"/>
      <c r="T556" s="58"/>
      <c r="U556" s="58"/>
      <c r="V556" s="58"/>
      <c r="W556" s="58"/>
      <c r="X556" s="58"/>
      <c r="Y556" s="58"/>
      <c r="Z556" s="58"/>
    </row>
    <row r="557" ht="179.25" customHeight="1">
      <c r="A557" s="101" t="s">
        <v>153</v>
      </c>
      <c r="B557" s="176" t="s">
        <v>142</v>
      </c>
      <c r="C557" s="176" t="s">
        <v>3228</v>
      </c>
      <c r="D557" s="176" t="s">
        <v>3229</v>
      </c>
      <c r="E557" s="362" t="s">
        <v>3230</v>
      </c>
      <c r="F557" s="75" t="s">
        <v>3144</v>
      </c>
      <c r="G557" s="76">
        <v>15.0</v>
      </c>
      <c r="H557" s="77">
        <f t="shared" si="6"/>
        <v>15</v>
      </c>
      <c r="I557" s="77" t="s">
        <v>153</v>
      </c>
      <c r="J557" s="58"/>
      <c r="K557" s="58"/>
      <c r="L557" s="58"/>
      <c r="M557" s="58"/>
      <c r="N557" s="58"/>
      <c r="O557" s="58"/>
      <c r="P557" s="58"/>
      <c r="Q557" s="58"/>
      <c r="R557" s="58"/>
      <c r="S557" s="58"/>
      <c r="T557" s="58"/>
      <c r="U557" s="58"/>
      <c r="V557" s="58"/>
      <c r="W557" s="58"/>
      <c r="X557" s="58"/>
      <c r="Y557" s="58"/>
      <c r="Z557" s="58"/>
    </row>
    <row r="558" ht="165.0" customHeight="1">
      <c r="A558" s="101" t="s">
        <v>153</v>
      </c>
      <c r="B558" s="176" t="s">
        <v>142</v>
      </c>
      <c r="C558" s="176" t="s">
        <v>3231</v>
      </c>
      <c r="D558" s="176" t="s">
        <v>3232</v>
      </c>
      <c r="E558" s="362" t="s">
        <v>3233</v>
      </c>
      <c r="F558" s="75" t="s">
        <v>3144</v>
      </c>
      <c r="G558" s="76">
        <v>15.0</v>
      </c>
      <c r="H558" s="77">
        <f t="shared" si="6"/>
        <v>15</v>
      </c>
      <c r="I558" s="77" t="s">
        <v>153</v>
      </c>
      <c r="J558" s="58"/>
      <c r="K558" s="58"/>
      <c r="L558" s="58"/>
      <c r="M558" s="58"/>
      <c r="N558" s="58"/>
      <c r="O558" s="58"/>
      <c r="P558" s="58"/>
      <c r="Q558" s="58"/>
      <c r="R558" s="58"/>
      <c r="S558" s="58"/>
      <c r="T558" s="58"/>
      <c r="U558" s="58"/>
      <c r="V558" s="58"/>
      <c r="W558" s="58"/>
      <c r="X558" s="58"/>
      <c r="Y558" s="58"/>
      <c r="Z558" s="58"/>
    </row>
    <row r="559" ht="207.0" customHeight="1">
      <c r="A559" s="101" t="s">
        <v>153</v>
      </c>
      <c r="B559" s="176" t="s">
        <v>142</v>
      </c>
      <c r="C559" s="176" t="s">
        <v>3234</v>
      </c>
      <c r="D559" s="176" t="s">
        <v>3235</v>
      </c>
      <c r="E559" s="362" t="s">
        <v>3236</v>
      </c>
      <c r="F559" s="75" t="s">
        <v>3144</v>
      </c>
      <c r="G559" s="76">
        <v>15.0</v>
      </c>
      <c r="H559" s="77">
        <f t="shared" si="6"/>
        <v>15</v>
      </c>
      <c r="I559" s="77" t="s">
        <v>153</v>
      </c>
      <c r="J559" s="58"/>
      <c r="K559" s="58"/>
      <c r="L559" s="58"/>
      <c r="M559" s="58"/>
      <c r="N559" s="58"/>
      <c r="O559" s="58"/>
      <c r="P559" s="58"/>
      <c r="Q559" s="58"/>
      <c r="R559" s="58"/>
      <c r="S559" s="58"/>
      <c r="T559" s="58"/>
      <c r="U559" s="58"/>
      <c r="V559" s="58"/>
      <c r="W559" s="58"/>
      <c r="X559" s="58"/>
      <c r="Y559" s="58"/>
      <c r="Z559" s="58"/>
    </row>
    <row r="560" ht="151.5" customHeight="1">
      <c r="A560" s="101" t="s">
        <v>153</v>
      </c>
      <c r="B560" s="176" t="s">
        <v>142</v>
      </c>
      <c r="C560" s="176" t="s">
        <v>3217</v>
      </c>
      <c r="D560" s="176" t="s">
        <v>3237</v>
      </c>
      <c r="E560" s="362" t="s">
        <v>3238</v>
      </c>
      <c r="F560" s="75" t="s">
        <v>3144</v>
      </c>
      <c r="G560" s="76">
        <v>15.0</v>
      </c>
      <c r="H560" s="77">
        <f t="shared" si="6"/>
        <v>15</v>
      </c>
      <c r="I560" s="77" t="s">
        <v>153</v>
      </c>
      <c r="J560" s="58"/>
      <c r="K560" s="58"/>
      <c r="L560" s="58"/>
      <c r="M560" s="58"/>
      <c r="N560" s="58"/>
      <c r="O560" s="58"/>
      <c r="P560" s="58"/>
      <c r="Q560" s="58"/>
      <c r="R560" s="58"/>
      <c r="S560" s="58"/>
      <c r="T560" s="58"/>
      <c r="U560" s="58"/>
      <c r="V560" s="58"/>
      <c r="W560" s="58"/>
      <c r="X560" s="58"/>
      <c r="Y560" s="58"/>
      <c r="Z560" s="58"/>
    </row>
    <row r="561" ht="151.5" customHeight="1">
      <c r="A561" s="101" t="s">
        <v>153</v>
      </c>
      <c r="B561" s="176" t="s">
        <v>142</v>
      </c>
      <c r="C561" s="176" t="s">
        <v>3239</v>
      </c>
      <c r="D561" s="176" t="s">
        <v>3240</v>
      </c>
      <c r="E561" s="362" t="s">
        <v>3241</v>
      </c>
      <c r="F561" s="75" t="s">
        <v>3144</v>
      </c>
      <c r="G561" s="76">
        <v>15.0</v>
      </c>
      <c r="H561" s="77">
        <f t="shared" si="6"/>
        <v>15</v>
      </c>
      <c r="I561" s="77" t="s">
        <v>153</v>
      </c>
      <c r="J561" s="58"/>
      <c r="K561" s="58"/>
      <c r="L561" s="58"/>
      <c r="M561" s="58"/>
      <c r="N561" s="58"/>
      <c r="O561" s="58"/>
      <c r="P561" s="58"/>
      <c r="Q561" s="58"/>
      <c r="R561" s="58"/>
      <c r="S561" s="58"/>
      <c r="T561" s="58"/>
      <c r="U561" s="58"/>
      <c r="V561" s="58"/>
      <c r="W561" s="58"/>
      <c r="X561" s="58"/>
      <c r="Y561" s="58"/>
      <c r="Z561" s="58"/>
    </row>
    <row r="562" ht="151.5" customHeight="1">
      <c r="A562" s="101" t="s">
        <v>153</v>
      </c>
      <c r="B562" s="176" t="s">
        <v>142</v>
      </c>
      <c r="C562" s="176" t="s">
        <v>3242</v>
      </c>
      <c r="D562" s="176" t="s">
        <v>3243</v>
      </c>
      <c r="E562" s="362" t="s">
        <v>3244</v>
      </c>
      <c r="F562" s="75" t="s">
        <v>3144</v>
      </c>
      <c r="G562" s="76">
        <v>15.0</v>
      </c>
      <c r="H562" s="77">
        <f t="shared" si="6"/>
        <v>15</v>
      </c>
      <c r="I562" s="77" t="s">
        <v>153</v>
      </c>
      <c r="J562" s="58"/>
      <c r="K562" s="58"/>
      <c r="L562" s="58"/>
      <c r="M562" s="58"/>
      <c r="N562" s="58"/>
      <c r="O562" s="58"/>
      <c r="P562" s="58"/>
      <c r="Q562" s="58"/>
      <c r="R562" s="58"/>
      <c r="S562" s="58"/>
      <c r="T562" s="58"/>
      <c r="U562" s="58"/>
      <c r="V562" s="58"/>
      <c r="W562" s="58"/>
      <c r="X562" s="58"/>
      <c r="Y562" s="58"/>
      <c r="Z562" s="58"/>
    </row>
    <row r="563" ht="165.0" customHeight="1">
      <c r="A563" s="101" t="s">
        <v>153</v>
      </c>
      <c r="B563" s="176" t="s">
        <v>142</v>
      </c>
      <c r="C563" s="176" t="s">
        <v>3245</v>
      </c>
      <c r="D563" s="176" t="s">
        <v>3246</v>
      </c>
      <c r="E563" s="362" t="s">
        <v>3247</v>
      </c>
      <c r="F563" s="75" t="s">
        <v>3144</v>
      </c>
      <c r="G563" s="76">
        <v>15.0</v>
      </c>
      <c r="H563" s="77">
        <f t="shared" si="6"/>
        <v>15</v>
      </c>
      <c r="I563" s="77" t="s">
        <v>153</v>
      </c>
      <c r="J563" s="58"/>
      <c r="K563" s="58"/>
      <c r="L563" s="58"/>
      <c r="M563" s="58"/>
      <c r="N563" s="58"/>
      <c r="O563" s="58"/>
      <c r="P563" s="58"/>
      <c r="Q563" s="58"/>
      <c r="R563" s="58"/>
      <c r="S563" s="58"/>
      <c r="T563" s="58"/>
      <c r="U563" s="58"/>
      <c r="V563" s="58"/>
      <c r="W563" s="58"/>
      <c r="X563" s="58"/>
      <c r="Y563" s="58"/>
      <c r="Z563" s="58"/>
    </row>
    <row r="564" ht="220.5" customHeight="1">
      <c r="A564" s="101" t="s">
        <v>153</v>
      </c>
      <c r="B564" s="176" t="s">
        <v>142</v>
      </c>
      <c r="C564" s="176" t="s">
        <v>3248</v>
      </c>
      <c r="D564" s="176" t="s">
        <v>3249</v>
      </c>
      <c r="E564" s="362" t="s">
        <v>3250</v>
      </c>
      <c r="F564" s="75" t="s">
        <v>3144</v>
      </c>
      <c r="G564" s="76">
        <v>15.0</v>
      </c>
      <c r="H564" s="77">
        <f t="shared" si="6"/>
        <v>15</v>
      </c>
      <c r="I564" s="77" t="s">
        <v>153</v>
      </c>
      <c r="J564" s="58"/>
      <c r="K564" s="58"/>
      <c r="L564" s="58"/>
      <c r="M564" s="58"/>
      <c r="N564" s="58"/>
      <c r="O564" s="58"/>
      <c r="P564" s="58"/>
      <c r="Q564" s="58"/>
      <c r="R564" s="58"/>
      <c r="S564" s="58"/>
      <c r="T564" s="58"/>
      <c r="U564" s="58"/>
      <c r="V564" s="58"/>
      <c r="W564" s="58"/>
      <c r="X564" s="58"/>
      <c r="Y564" s="58"/>
      <c r="Z564" s="58"/>
    </row>
    <row r="565" ht="179.25" customHeight="1">
      <c r="A565" s="101" t="s">
        <v>153</v>
      </c>
      <c r="B565" s="176" t="s">
        <v>142</v>
      </c>
      <c r="C565" s="176" t="s">
        <v>3251</v>
      </c>
      <c r="D565" s="176" t="s">
        <v>3252</v>
      </c>
      <c r="E565" s="362" t="s">
        <v>3253</v>
      </c>
      <c r="F565" s="75" t="s">
        <v>3144</v>
      </c>
      <c r="G565" s="76">
        <v>15.0</v>
      </c>
      <c r="H565" s="77">
        <f t="shared" si="6"/>
        <v>15</v>
      </c>
      <c r="I565" s="77" t="s">
        <v>153</v>
      </c>
      <c r="J565" s="58"/>
      <c r="K565" s="58"/>
      <c r="L565" s="58"/>
      <c r="M565" s="58"/>
      <c r="N565" s="58"/>
      <c r="O565" s="58"/>
      <c r="P565" s="58"/>
      <c r="Q565" s="58"/>
      <c r="R565" s="58"/>
      <c r="S565" s="58"/>
      <c r="T565" s="58"/>
      <c r="U565" s="58"/>
      <c r="V565" s="58"/>
      <c r="W565" s="58"/>
      <c r="X565" s="58"/>
      <c r="Y565" s="58"/>
      <c r="Z565" s="58"/>
    </row>
    <row r="566" ht="123.75" customHeight="1">
      <c r="A566" s="101" t="s">
        <v>153</v>
      </c>
      <c r="B566" s="176" t="s">
        <v>142</v>
      </c>
      <c r="C566" s="176" t="s">
        <v>3254</v>
      </c>
      <c r="D566" s="176" t="s">
        <v>3255</v>
      </c>
      <c r="E566" s="362" t="s">
        <v>3256</v>
      </c>
      <c r="F566" s="75" t="s">
        <v>3144</v>
      </c>
      <c r="G566" s="76">
        <v>15.0</v>
      </c>
      <c r="H566" s="77">
        <f t="shared" si="6"/>
        <v>15</v>
      </c>
      <c r="I566" s="77" t="s">
        <v>153</v>
      </c>
      <c r="J566" s="58"/>
      <c r="K566" s="58"/>
      <c r="L566" s="58"/>
      <c r="M566" s="58"/>
      <c r="N566" s="58"/>
      <c r="O566" s="58"/>
      <c r="P566" s="58"/>
      <c r="Q566" s="58"/>
      <c r="R566" s="58"/>
      <c r="S566" s="58"/>
      <c r="T566" s="58"/>
      <c r="U566" s="58"/>
      <c r="V566" s="58"/>
      <c r="W566" s="58"/>
      <c r="X566" s="58"/>
      <c r="Y566" s="58"/>
      <c r="Z566" s="58"/>
    </row>
    <row r="567" ht="138.0" customHeight="1">
      <c r="A567" s="101" t="s">
        <v>153</v>
      </c>
      <c r="B567" s="176" t="s">
        <v>142</v>
      </c>
      <c r="C567" s="176" t="s">
        <v>3257</v>
      </c>
      <c r="D567" s="176" t="s">
        <v>3142</v>
      </c>
      <c r="E567" s="362" t="s">
        <v>3143</v>
      </c>
      <c r="F567" s="75" t="s">
        <v>3144</v>
      </c>
      <c r="G567" s="76">
        <v>15.0</v>
      </c>
      <c r="H567" s="77">
        <f t="shared" si="6"/>
        <v>15</v>
      </c>
      <c r="I567" s="77" t="s">
        <v>153</v>
      </c>
      <c r="J567" s="58"/>
      <c r="K567" s="58"/>
      <c r="L567" s="58"/>
      <c r="M567" s="58"/>
      <c r="N567" s="58"/>
      <c r="O567" s="58"/>
      <c r="P567" s="58"/>
      <c r="Q567" s="58"/>
      <c r="R567" s="58"/>
      <c r="S567" s="58"/>
      <c r="T567" s="58"/>
      <c r="U567" s="58"/>
      <c r="V567" s="58"/>
      <c r="W567" s="58"/>
      <c r="X567" s="58"/>
      <c r="Y567" s="58"/>
      <c r="Z567" s="58"/>
    </row>
    <row r="568" ht="151.5" customHeight="1">
      <c r="A568" s="101" t="s">
        <v>153</v>
      </c>
      <c r="B568" s="176" t="s">
        <v>142</v>
      </c>
      <c r="C568" s="176" t="s">
        <v>3217</v>
      </c>
      <c r="D568" s="176" t="s">
        <v>3258</v>
      </c>
      <c r="E568" s="362" t="s">
        <v>3259</v>
      </c>
      <c r="F568" s="75" t="s">
        <v>3144</v>
      </c>
      <c r="G568" s="76">
        <v>15.0</v>
      </c>
      <c r="H568" s="77">
        <f t="shared" si="6"/>
        <v>15</v>
      </c>
      <c r="I568" s="77" t="s">
        <v>153</v>
      </c>
      <c r="J568" s="58"/>
      <c r="K568" s="58"/>
      <c r="L568" s="58"/>
      <c r="M568" s="58"/>
      <c r="N568" s="58"/>
      <c r="O568" s="58"/>
      <c r="P568" s="58"/>
      <c r="Q568" s="58"/>
      <c r="R568" s="58"/>
      <c r="S568" s="58"/>
      <c r="T568" s="58"/>
      <c r="U568" s="58"/>
      <c r="V568" s="58"/>
      <c r="W568" s="58"/>
      <c r="X568" s="58"/>
      <c r="Y568" s="58"/>
      <c r="Z568" s="58"/>
    </row>
    <row r="569" ht="165.0" customHeight="1">
      <c r="A569" s="101" t="s">
        <v>153</v>
      </c>
      <c r="B569" s="176" t="s">
        <v>142</v>
      </c>
      <c r="C569" s="176" t="s">
        <v>3260</v>
      </c>
      <c r="D569" s="176" t="s">
        <v>3261</v>
      </c>
      <c r="E569" s="362" t="s">
        <v>3262</v>
      </c>
      <c r="F569" s="75" t="s">
        <v>3144</v>
      </c>
      <c r="G569" s="76">
        <v>15.0</v>
      </c>
      <c r="H569" s="77">
        <f t="shared" si="6"/>
        <v>15</v>
      </c>
      <c r="I569" s="77" t="s">
        <v>153</v>
      </c>
      <c r="J569" s="58"/>
      <c r="K569" s="58"/>
      <c r="L569" s="58"/>
      <c r="M569" s="58"/>
      <c r="N569" s="58"/>
      <c r="O569" s="58"/>
      <c r="P569" s="58"/>
      <c r="Q569" s="58"/>
      <c r="R569" s="58"/>
      <c r="S569" s="58"/>
      <c r="T569" s="58"/>
      <c r="U569" s="58"/>
      <c r="V569" s="58"/>
      <c r="W569" s="58"/>
      <c r="X569" s="58"/>
      <c r="Y569" s="58"/>
      <c r="Z569" s="58"/>
    </row>
    <row r="570" ht="192.75" customHeight="1">
      <c r="A570" s="101" t="s">
        <v>153</v>
      </c>
      <c r="B570" s="176" t="s">
        <v>142</v>
      </c>
      <c r="C570" s="176" t="s">
        <v>3263</v>
      </c>
      <c r="D570" s="176" t="s">
        <v>3264</v>
      </c>
      <c r="E570" s="362" t="s">
        <v>3265</v>
      </c>
      <c r="F570" s="75" t="s">
        <v>3144</v>
      </c>
      <c r="G570" s="76">
        <v>15.0</v>
      </c>
      <c r="H570" s="77">
        <f t="shared" si="6"/>
        <v>15</v>
      </c>
      <c r="I570" s="77" t="s">
        <v>153</v>
      </c>
      <c r="J570" s="58"/>
      <c r="K570" s="58"/>
      <c r="L570" s="58"/>
      <c r="M570" s="58"/>
      <c r="N570" s="58"/>
      <c r="O570" s="58"/>
      <c r="P570" s="58"/>
      <c r="Q570" s="58"/>
      <c r="R570" s="58"/>
      <c r="S570" s="58"/>
      <c r="T570" s="58"/>
      <c r="U570" s="58"/>
      <c r="V570" s="58"/>
      <c r="W570" s="58"/>
      <c r="X570" s="58"/>
      <c r="Y570" s="58"/>
      <c r="Z570" s="58"/>
    </row>
    <row r="571" ht="165.0" customHeight="1">
      <c r="A571" s="101" t="s">
        <v>153</v>
      </c>
      <c r="B571" s="176" t="s">
        <v>142</v>
      </c>
      <c r="C571" s="176" t="s">
        <v>3266</v>
      </c>
      <c r="D571" s="176" t="s">
        <v>3267</v>
      </c>
      <c r="E571" s="362" t="s">
        <v>3268</v>
      </c>
      <c r="F571" s="75" t="s">
        <v>3144</v>
      </c>
      <c r="G571" s="76">
        <v>15.0</v>
      </c>
      <c r="H571" s="77">
        <f t="shared" si="6"/>
        <v>15</v>
      </c>
      <c r="I571" s="77" t="s">
        <v>153</v>
      </c>
      <c r="J571" s="58"/>
      <c r="K571" s="58"/>
      <c r="L571" s="58"/>
      <c r="M571" s="58"/>
      <c r="N571" s="58"/>
      <c r="O571" s="58"/>
      <c r="P571" s="58"/>
      <c r="Q571" s="58"/>
      <c r="R571" s="58"/>
      <c r="S571" s="58"/>
      <c r="T571" s="58"/>
      <c r="U571" s="58"/>
      <c r="V571" s="58"/>
      <c r="W571" s="58"/>
      <c r="X571" s="58"/>
      <c r="Y571" s="58"/>
      <c r="Z571" s="58"/>
    </row>
    <row r="572" ht="207.0" customHeight="1">
      <c r="A572" s="101" t="s">
        <v>153</v>
      </c>
      <c r="B572" s="176" t="s">
        <v>142</v>
      </c>
      <c r="C572" s="176" t="s">
        <v>3269</v>
      </c>
      <c r="D572" s="176" t="s">
        <v>3270</v>
      </c>
      <c r="E572" s="362" t="s">
        <v>3271</v>
      </c>
      <c r="F572" s="75" t="s">
        <v>3144</v>
      </c>
      <c r="G572" s="76">
        <v>15.0</v>
      </c>
      <c r="H572" s="77">
        <f t="shared" si="6"/>
        <v>15</v>
      </c>
      <c r="I572" s="77" t="s">
        <v>153</v>
      </c>
      <c r="J572" s="58"/>
      <c r="K572" s="58"/>
      <c r="L572" s="58"/>
      <c r="M572" s="58"/>
      <c r="N572" s="58"/>
      <c r="O572" s="58"/>
      <c r="P572" s="58"/>
      <c r="Q572" s="58"/>
      <c r="R572" s="58"/>
      <c r="S572" s="58"/>
      <c r="T572" s="58"/>
      <c r="U572" s="58"/>
      <c r="V572" s="58"/>
      <c r="W572" s="58"/>
      <c r="X572" s="58"/>
      <c r="Y572" s="58"/>
      <c r="Z572" s="58"/>
    </row>
    <row r="573" ht="220.5" customHeight="1">
      <c r="A573" s="101" t="s">
        <v>153</v>
      </c>
      <c r="B573" s="176" t="s">
        <v>142</v>
      </c>
      <c r="C573" s="176" t="s">
        <v>3272</v>
      </c>
      <c r="D573" s="176" t="s">
        <v>3273</v>
      </c>
      <c r="E573" s="362" t="s">
        <v>3274</v>
      </c>
      <c r="F573" s="75" t="s">
        <v>3144</v>
      </c>
      <c r="G573" s="76">
        <v>15.0</v>
      </c>
      <c r="H573" s="77">
        <f t="shared" si="6"/>
        <v>15</v>
      </c>
      <c r="I573" s="77" t="s">
        <v>153</v>
      </c>
      <c r="J573" s="58"/>
      <c r="K573" s="58"/>
      <c r="L573" s="58"/>
      <c r="M573" s="58"/>
      <c r="N573" s="58"/>
      <c r="O573" s="58"/>
      <c r="P573" s="58"/>
      <c r="Q573" s="58"/>
      <c r="R573" s="58"/>
      <c r="S573" s="58"/>
      <c r="T573" s="58"/>
      <c r="U573" s="58"/>
      <c r="V573" s="58"/>
      <c r="W573" s="58"/>
      <c r="X573" s="58"/>
      <c r="Y573" s="58"/>
      <c r="Z573" s="58"/>
    </row>
    <row r="574" ht="96.0" customHeight="1">
      <c r="A574" s="101" t="s">
        <v>153</v>
      </c>
      <c r="B574" s="176" t="s">
        <v>142</v>
      </c>
      <c r="C574" s="176" t="s">
        <v>3275</v>
      </c>
      <c r="D574" s="176" t="s">
        <v>3276</v>
      </c>
      <c r="E574" s="362" t="s">
        <v>3277</v>
      </c>
      <c r="F574" s="75" t="s">
        <v>3144</v>
      </c>
      <c r="G574" s="76">
        <v>15.0</v>
      </c>
      <c r="H574" s="77">
        <f t="shared" si="6"/>
        <v>15</v>
      </c>
      <c r="I574" s="77" t="s">
        <v>153</v>
      </c>
      <c r="J574" s="58"/>
      <c r="K574" s="58"/>
      <c r="L574" s="58"/>
      <c r="M574" s="58"/>
      <c r="N574" s="58"/>
      <c r="O574" s="58"/>
      <c r="P574" s="58"/>
      <c r="Q574" s="58"/>
      <c r="R574" s="58"/>
      <c r="S574" s="58"/>
      <c r="T574" s="58"/>
      <c r="U574" s="58"/>
      <c r="V574" s="58"/>
      <c r="W574" s="58"/>
      <c r="X574" s="58"/>
      <c r="Y574" s="58"/>
      <c r="Z574" s="58"/>
    </row>
    <row r="575" ht="165.0" customHeight="1">
      <c r="A575" s="101" t="s">
        <v>153</v>
      </c>
      <c r="B575" s="176" t="s">
        <v>142</v>
      </c>
      <c r="C575" s="176" t="s">
        <v>3278</v>
      </c>
      <c r="D575" s="176" t="s">
        <v>3279</v>
      </c>
      <c r="E575" s="362" t="s">
        <v>3280</v>
      </c>
      <c r="F575" s="75" t="s">
        <v>3144</v>
      </c>
      <c r="G575" s="76">
        <v>15.0</v>
      </c>
      <c r="H575" s="77">
        <f t="shared" si="6"/>
        <v>15</v>
      </c>
      <c r="I575" s="77" t="s">
        <v>153</v>
      </c>
      <c r="J575" s="58"/>
      <c r="K575" s="58"/>
      <c r="L575" s="58"/>
      <c r="M575" s="58"/>
      <c r="N575" s="58"/>
      <c r="O575" s="58"/>
      <c r="P575" s="58"/>
      <c r="Q575" s="58"/>
      <c r="R575" s="58"/>
      <c r="S575" s="58"/>
      <c r="T575" s="58"/>
      <c r="U575" s="58"/>
      <c r="V575" s="58"/>
      <c r="W575" s="58"/>
      <c r="X575" s="58"/>
      <c r="Y575" s="58"/>
      <c r="Z575" s="58"/>
    </row>
    <row r="576" ht="138.0" customHeight="1">
      <c r="A576" s="101" t="s">
        <v>153</v>
      </c>
      <c r="B576" s="176" t="s">
        <v>142</v>
      </c>
      <c r="C576" s="176" t="s">
        <v>3281</v>
      </c>
      <c r="D576" s="176" t="s">
        <v>3282</v>
      </c>
      <c r="E576" s="362" t="s">
        <v>3283</v>
      </c>
      <c r="F576" s="75" t="s">
        <v>3144</v>
      </c>
      <c r="G576" s="76">
        <v>15.0</v>
      </c>
      <c r="H576" s="77">
        <f t="shared" si="6"/>
        <v>15</v>
      </c>
      <c r="I576" s="77" t="s">
        <v>153</v>
      </c>
      <c r="J576" s="58"/>
      <c r="K576" s="58"/>
      <c r="L576" s="58"/>
      <c r="M576" s="58"/>
      <c r="N576" s="58"/>
      <c r="O576" s="58"/>
      <c r="P576" s="58"/>
      <c r="Q576" s="58"/>
      <c r="R576" s="58"/>
      <c r="S576" s="58"/>
      <c r="T576" s="58"/>
      <c r="U576" s="58"/>
      <c r="V576" s="58"/>
      <c r="W576" s="58"/>
      <c r="X576" s="58"/>
      <c r="Y576" s="58"/>
      <c r="Z576" s="58"/>
    </row>
    <row r="577" ht="110.25" customHeight="1">
      <c r="A577" s="101" t="s">
        <v>153</v>
      </c>
      <c r="B577" s="176" t="s">
        <v>142</v>
      </c>
      <c r="C577" s="176" t="s">
        <v>3284</v>
      </c>
      <c r="D577" s="176" t="s">
        <v>3285</v>
      </c>
      <c r="E577" s="362" t="s">
        <v>3286</v>
      </c>
      <c r="F577" s="75" t="s">
        <v>3144</v>
      </c>
      <c r="G577" s="76">
        <v>15.0</v>
      </c>
      <c r="H577" s="77">
        <f t="shared" si="6"/>
        <v>15</v>
      </c>
      <c r="I577" s="77" t="s">
        <v>153</v>
      </c>
      <c r="J577" s="58"/>
      <c r="K577" s="58"/>
      <c r="L577" s="58"/>
      <c r="M577" s="58"/>
      <c r="N577" s="58"/>
      <c r="O577" s="58"/>
      <c r="P577" s="58"/>
      <c r="Q577" s="58"/>
      <c r="R577" s="58"/>
      <c r="S577" s="58"/>
      <c r="T577" s="58"/>
      <c r="U577" s="58"/>
      <c r="V577" s="58"/>
      <c r="W577" s="58"/>
      <c r="X577" s="58"/>
      <c r="Y577" s="58"/>
      <c r="Z577" s="58"/>
    </row>
    <row r="578" ht="220.5" customHeight="1">
      <c r="A578" s="101" t="s">
        <v>153</v>
      </c>
      <c r="B578" s="176" t="s">
        <v>142</v>
      </c>
      <c r="C578" s="176" t="s">
        <v>3287</v>
      </c>
      <c r="D578" s="176" t="s">
        <v>3288</v>
      </c>
      <c r="E578" s="362" t="s">
        <v>3289</v>
      </c>
      <c r="F578" s="75" t="s">
        <v>3144</v>
      </c>
      <c r="G578" s="76">
        <v>15.0</v>
      </c>
      <c r="H578" s="77">
        <f t="shared" si="6"/>
        <v>15</v>
      </c>
      <c r="I578" s="77" t="s">
        <v>153</v>
      </c>
      <c r="J578" s="58"/>
      <c r="K578" s="58"/>
      <c r="L578" s="58"/>
      <c r="M578" s="58"/>
      <c r="N578" s="58"/>
      <c r="O578" s="58"/>
      <c r="P578" s="58"/>
      <c r="Q578" s="58"/>
      <c r="R578" s="58"/>
      <c r="S578" s="58"/>
      <c r="T578" s="58"/>
      <c r="U578" s="58"/>
      <c r="V578" s="58"/>
      <c r="W578" s="58"/>
      <c r="X578" s="58"/>
      <c r="Y578" s="58"/>
      <c r="Z578" s="58"/>
    </row>
    <row r="579" ht="220.5" customHeight="1">
      <c r="A579" s="101" t="s">
        <v>153</v>
      </c>
      <c r="B579" s="176" t="s">
        <v>142</v>
      </c>
      <c r="C579" s="176" t="s">
        <v>3290</v>
      </c>
      <c r="D579" s="176" t="s">
        <v>3291</v>
      </c>
      <c r="E579" s="362" t="s">
        <v>3292</v>
      </c>
      <c r="F579" s="75" t="s">
        <v>3144</v>
      </c>
      <c r="G579" s="76">
        <v>15.0</v>
      </c>
      <c r="H579" s="77">
        <f t="shared" si="6"/>
        <v>15</v>
      </c>
      <c r="I579" s="77" t="s">
        <v>153</v>
      </c>
      <c r="J579" s="58"/>
      <c r="K579" s="58"/>
      <c r="L579" s="58"/>
      <c r="M579" s="58"/>
      <c r="N579" s="58"/>
      <c r="O579" s="58"/>
      <c r="P579" s="58"/>
      <c r="Q579" s="58"/>
      <c r="R579" s="58"/>
      <c r="S579" s="58"/>
      <c r="T579" s="58"/>
      <c r="U579" s="58"/>
      <c r="V579" s="58"/>
      <c r="W579" s="58"/>
      <c r="X579" s="58"/>
      <c r="Y579" s="58"/>
      <c r="Z579" s="58"/>
    </row>
    <row r="580" ht="138.0" customHeight="1">
      <c r="A580" s="101" t="s">
        <v>3293</v>
      </c>
      <c r="B580" s="176" t="s">
        <v>142</v>
      </c>
      <c r="C580" s="75" t="s">
        <v>3294</v>
      </c>
      <c r="D580" s="75" t="s">
        <v>3295</v>
      </c>
      <c r="E580" s="75" t="s">
        <v>3296</v>
      </c>
      <c r="F580" s="75" t="s">
        <v>1820</v>
      </c>
      <c r="G580" s="76">
        <v>50.0</v>
      </c>
      <c r="H580" s="77">
        <v>25.0</v>
      </c>
      <c r="I580" s="77" t="s">
        <v>156</v>
      </c>
      <c r="J580" s="58"/>
      <c r="K580" s="58"/>
      <c r="L580" s="58"/>
      <c r="M580" s="58"/>
      <c r="N580" s="58"/>
      <c r="O580" s="58"/>
      <c r="P580" s="58"/>
      <c r="Q580" s="58"/>
      <c r="R580" s="58"/>
      <c r="S580" s="58"/>
      <c r="T580" s="58"/>
      <c r="U580" s="58"/>
      <c r="V580" s="58"/>
      <c r="W580" s="58"/>
      <c r="X580" s="58"/>
      <c r="Y580" s="58"/>
      <c r="Z580" s="58"/>
    </row>
    <row r="581" ht="69.0" customHeight="1">
      <c r="A581" s="101" t="s">
        <v>157</v>
      </c>
      <c r="B581" s="176" t="s">
        <v>142</v>
      </c>
      <c r="C581" s="75" t="s">
        <v>3297</v>
      </c>
      <c r="D581" s="75" t="s">
        <v>3298</v>
      </c>
      <c r="E581" s="75" t="s">
        <v>3299</v>
      </c>
      <c r="F581" s="75" t="s">
        <v>1820</v>
      </c>
      <c r="G581" s="76">
        <v>50.0</v>
      </c>
      <c r="H581" s="77">
        <v>50.0</v>
      </c>
      <c r="I581" s="77" t="s">
        <v>157</v>
      </c>
      <c r="J581" s="58"/>
      <c r="K581" s="58"/>
      <c r="L581" s="58"/>
      <c r="M581" s="58"/>
      <c r="N581" s="58"/>
      <c r="O581" s="58"/>
      <c r="P581" s="58"/>
      <c r="Q581" s="58"/>
      <c r="R581" s="58"/>
      <c r="S581" s="58"/>
      <c r="T581" s="58"/>
      <c r="U581" s="58"/>
      <c r="V581" s="58"/>
      <c r="W581" s="58"/>
      <c r="X581" s="58"/>
      <c r="Y581" s="58"/>
      <c r="Z581" s="58"/>
    </row>
    <row r="582" ht="69.0" customHeight="1">
      <c r="A582" s="101" t="s">
        <v>157</v>
      </c>
      <c r="B582" s="176" t="s">
        <v>142</v>
      </c>
      <c r="C582" s="75" t="s">
        <v>3300</v>
      </c>
      <c r="D582" s="75" t="s">
        <v>3298</v>
      </c>
      <c r="E582" s="75" t="s">
        <v>3299</v>
      </c>
      <c r="F582" s="75" t="s">
        <v>1820</v>
      </c>
      <c r="G582" s="76">
        <v>50.0</v>
      </c>
      <c r="H582" s="77">
        <v>50.0</v>
      </c>
      <c r="I582" s="77" t="s">
        <v>157</v>
      </c>
      <c r="J582" s="58"/>
      <c r="K582" s="58"/>
      <c r="L582" s="58"/>
      <c r="M582" s="58"/>
      <c r="N582" s="58"/>
      <c r="O582" s="58"/>
      <c r="P582" s="58"/>
      <c r="Q582" s="58"/>
      <c r="R582" s="58"/>
      <c r="S582" s="58"/>
      <c r="T582" s="58"/>
      <c r="U582" s="58"/>
      <c r="V582" s="58"/>
      <c r="W582" s="58"/>
      <c r="X582" s="58"/>
      <c r="Y582" s="58"/>
      <c r="Z582" s="58"/>
    </row>
    <row r="583" ht="110.25" customHeight="1">
      <c r="A583" s="101" t="s">
        <v>3301</v>
      </c>
      <c r="B583" s="176" t="s">
        <v>142</v>
      </c>
      <c r="C583" s="75" t="s">
        <v>3302</v>
      </c>
      <c r="D583" s="75" t="s">
        <v>3303</v>
      </c>
      <c r="E583" s="75" t="s">
        <v>3304</v>
      </c>
      <c r="F583" s="75" t="s">
        <v>3305</v>
      </c>
      <c r="G583" s="76">
        <v>15.0</v>
      </c>
      <c r="H583" s="77">
        <v>3.0</v>
      </c>
      <c r="I583" s="77" t="s">
        <v>158</v>
      </c>
      <c r="J583" s="58"/>
      <c r="K583" s="58"/>
      <c r="L583" s="58"/>
      <c r="M583" s="58"/>
      <c r="N583" s="58"/>
      <c r="O583" s="58"/>
      <c r="P583" s="58"/>
      <c r="Q583" s="58"/>
      <c r="R583" s="58"/>
      <c r="S583" s="58"/>
      <c r="T583" s="58"/>
      <c r="U583" s="58"/>
      <c r="V583" s="58"/>
      <c r="W583" s="58"/>
      <c r="X583" s="58"/>
      <c r="Y583" s="58"/>
      <c r="Z583" s="58"/>
    </row>
    <row r="584" ht="261.75" customHeight="1">
      <c r="A584" s="101" t="s">
        <v>3306</v>
      </c>
      <c r="B584" s="176" t="s">
        <v>142</v>
      </c>
      <c r="C584" s="75" t="s">
        <v>3307</v>
      </c>
      <c r="D584" s="75" t="s">
        <v>3308</v>
      </c>
      <c r="E584" s="75" t="s">
        <v>3309</v>
      </c>
      <c r="F584" s="75" t="s">
        <v>1864</v>
      </c>
      <c r="G584" s="76">
        <v>15.0</v>
      </c>
      <c r="H584" s="77">
        <v>5.0</v>
      </c>
      <c r="I584" s="77" t="s">
        <v>158</v>
      </c>
      <c r="J584" s="58"/>
      <c r="K584" s="58"/>
      <c r="L584" s="58"/>
      <c r="M584" s="58"/>
      <c r="N584" s="58"/>
      <c r="O584" s="58"/>
      <c r="P584" s="58"/>
      <c r="Q584" s="58"/>
      <c r="R584" s="58"/>
      <c r="S584" s="58"/>
      <c r="T584" s="58"/>
      <c r="U584" s="58"/>
      <c r="V584" s="58"/>
      <c r="W584" s="58"/>
      <c r="X584" s="58"/>
      <c r="Y584" s="58"/>
      <c r="Z584" s="58"/>
    </row>
    <row r="585" ht="110.25" customHeight="1">
      <c r="A585" s="101" t="s">
        <v>3310</v>
      </c>
      <c r="B585" s="176" t="s">
        <v>142</v>
      </c>
      <c r="C585" s="75" t="s">
        <v>3311</v>
      </c>
      <c r="D585" s="75" t="s">
        <v>3312</v>
      </c>
      <c r="E585" s="75" t="s">
        <v>3313</v>
      </c>
      <c r="F585" s="75" t="s">
        <v>1864</v>
      </c>
      <c r="G585" s="76">
        <v>15.0</v>
      </c>
      <c r="H585" s="77">
        <v>15.0</v>
      </c>
      <c r="I585" s="77" t="s">
        <v>158</v>
      </c>
      <c r="J585" s="58"/>
      <c r="K585" s="58"/>
      <c r="L585" s="58"/>
      <c r="M585" s="58"/>
      <c r="N585" s="58"/>
      <c r="O585" s="58"/>
      <c r="P585" s="58"/>
      <c r="Q585" s="58"/>
      <c r="R585" s="58"/>
      <c r="S585" s="58"/>
      <c r="T585" s="58"/>
      <c r="U585" s="58"/>
      <c r="V585" s="58"/>
      <c r="W585" s="58"/>
      <c r="X585" s="58"/>
      <c r="Y585" s="58"/>
      <c r="Z585" s="58"/>
    </row>
    <row r="586" ht="110.25" customHeight="1">
      <c r="A586" s="101" t="s">
        <v>3310</v>
      </c>
      <c r="B586" s="176" t="s">
        <v>142</v>
      </c>
      <c r="C586" s="75" t="s">
        <v>3311</v>
      </c>
      <c r="D586" s="75" t="s">
        <v>3314</v>
      </c>
      <c r="E586" s="75" t="s">
        <v>3315</v>
      </c>
      <c r="F586" s="75" t="s">
        <v>3316</v>
      </c>
      <c r="G586" s="76">
        <v>15.0</v>
      </c>
      <c r="H586" s="77">
        <v>15.0</v>
      </c>
      <c r="I586" s="77" t="s">
        <v>158</v>
      </c>
      <c r="J586" s="58"/>
      <c r="K586" s="58"/>
      <c r="L586" s="58"/>
      <c r="M586" s="58"/>
      <c r="N586" s="58"/>
      <c r="O586" s="58"/>
      <c r="P586" s="58"/>
      <c r="Q586" s="58"/>
      <c r="R586" s="58"/>
      <c r="S586" s="58"/>
      <c r="T586" s="58"/>
      <c r="U586" s="58"/>
      <c r="V586" s="58"/>
      <c r="W586" s="58"/>
      <c r="X586" s="58"/>
      <c r="Y586" s="58"/>
      <c r="Z586" s="58"/>
    </row>
    <row r="587" ht="276.0" customHeight="1">
      <c r="A587" s="101" t="s">
        <v>3317</v>
      </c>
      <c r="B587" s="176" t="s">
        <v>142</v>
      </c>
      <c r="C587" s="75" t="s">
        <v>3318</v>
      </c>
      <c r="D587" s="75" t="s">
        <v>3319</v>
      </c>
      <c r="E587" s="75" t="s">
        <v>3320</v>
      </c>
      <c r="F587" s="75" t="s">
        <v>3321</v>
      </c>
      <c r="G587" s="76">
        <v>50.0</v>
      </c>
      <c r="H587" s="77">
        <v>25.0</v>
      </c>
      <c r="I587" s="77" t="s">
        <v>158</v>
      </c>
      <c r="J587" s="58"/>
      <c r="K587" s="58"/>
      <c r="L587" s="58"/>
      <c r="M587" s="58"/>
      <c r="N587" s="58"/>
      <c r="O587" s="58"/>
      <c r="P587" s="58"/>
      <c r="Q587" s="58"/>
      <c r="R587" s="58"/>
      <c r="S587" s="58"/>
      <c r="T587" s="58"/>
      <c r="U587" s="58"/>
      <c r="V587" s="58"/>
      <c r="W587" s="58"/>
      <c r="X587" s="58"/>
      <c r="Y587" s="58"/>
      <c r="Z587" s="58"/>
    </row>
    <row r="588" ht="192.75" customHeight="1">
      <c r="A588" s="101" t="s">
        <v>3310</v>
      </c>
      <c r="B588" s="176" t="s">
        <v>142</v>
      </c>
      <c r="C588" s="75" t="s">
        <v>3322</v>
      </c>
      <c r="D588" s="75" t="s">
        <v>3323</v>
      </c>
      <c r="E588" s="75" t="s">
        <v>1185</v>
      </c>
      <c r="F588" s="75" t="s">
        <v>3324</v>
      </c>
      <c r="G588" s="76">
        <v>15.0</v>
      </c>
      <c r="H588" s="77">
        <v>15.0</v>
      </c>
      <c r="I588" s="77" t="s">
        <v>158</v>
      </c>
      <c r="J588" s="58"/>
      <c r="K588" s="58"/>
      <c r="L588" s="58"/>
      <c r="M588" s="58"/>
      <c r="N588" s="58"/>
      <c r="O588" s="58"/>
      <c r="P588" s="58"/>
      <c r="Q588" s="58"/>
      <c r="R588" s="58"/>
      <c r="S588" s="58"/>
      <c r="T588" s="58"/>
      <c r="U588" s="58"/>
      <c r="V588" s="58"/>
      <c r="W588" s="58"/>
      <c r="X588" s="58"/>
      <c r="Y588" s="58"/>
      <c r="Z588" s="58"/>
    </row>
    <row r="589" ht="192.75" customHeight="1">
      <c r="A589" s="101" t="s">
        <v>3310</v>
      </c>
      <c r="B589" s="176" t="s">
        <v>142</v>
      </c>
      <c r="C589" s="75" t="s">
        <v>3322</v>
      </c>
      <c r="D589" s="75" t="s">
        <v>3325</v>
      </c>
      <c r="E589" s="75" t="s">
        <v>3326</v>
      </c>
      <c r="F589" s="75" t="s">
        <v>3327</v>
      </c>
      <c r="G589" s="76">
        <v>15.0</v>
      </c>
      <c r="H589" s="77">
        <v>15.0</v>
      </c>
      <c r="I589" s="77" t="s">
        <v>158</v>
      </c>
      <c r="J589" s="58"/>
      <c r="K589" s="58"/>
      <c r="L589" s="58"/>
      <c r="M589" s="58"/>
      <c r="N589" s="58"/>
      <c r="O589" s="58"/>
      <c r="P589" s="58"/>
      <c r="Q589" s="58"/>
      <c r="R589" s="58"/>
      <c r="S589" s="58"/>
      <c r="T589" s="58"/>
      <c r="U589" s="58"/>
      <c r="V589" s="58"/>
      <c r="W589" s="58"/>
      <c r="X589" s="58"/>
      <c r="Y589" s="58"/>
      <c r="Z589" s="58"/>
    </row>
    <row r="590" ht="123.75" customHeight="1">
      <c r="A590" s="101" t="s">
        <v>3310</v>
      </c>
      <c r="B590" s="176" t="s">
        <v>142</v>
      </c>
      <c r="C590" s="75" t="s">
        <v>3328</v>
      </c>
      <c r="D590" s="75" t="s">
        <v>3329</v>
      </c>
      <c r="E590" s="75" t="s">
        <v>3330</v>
      </c>
      <c r="F590" s="75" t="s">
        <v>3331</v>
      </c>
      <c r="G590" s="76">
        <v>15.0</v>
      </c>
      <c r="H590" s="77">
        <v>15.0</v>
      </c>
      <c r="I590" s="77" t="s">
        <v>158</v>
      </c>
      <c r="J590" s="58"/>
      <c r="K590" s="58"/>
      <c r="L590" s="58"/>
      <c r="M590" s="58"/>
      <c r="N590" s="58"/>
      <c r="O590" s="58"/>
      <c r="P590" s="58"/>
      <c r="Q590" s="58"/>
      <c r="R590" s="58"/>
      <c r="S590" s="58"/>
      <c r="T590" s="58"/>
      <c r="U590" s="58"/>
      <c r="V590" s="58"/>
      <c r="W590" s="58"/>
      <c r="X590" s="58"/>
      <c r="Y590" s="58"/>
      <c r="Z590" s="58"/>
    </row>
    <row r="591" ht="165.0" customHeight="1">
      <c r="A591" s="101" t="s">
        <v>3310</v>
      </c>
      <c r="B591" s="176" t="s">
        <v>142</v>
      </c>
      <c r="C591" s="75" t="s">
        <v>3332</v>
      </c>
      <c r="D591" s="75" t="s">
        <v>3333</v>
      </c>
      <c r="E591" s="75" t="s">
        <v>3334</v>
      </c>
      <c r="F591" s="75" t="s">
        <v>3335</v>
      </c>
      <c r="G591" s="76">
        <v>15.0</v>
      </c>
      <c r="H591" s="77">
        <v>15.0</v>
      </c>
      <c r="I591" s="77" t="s">
        <v>158</v>
      </c>
      <c r="J591" s="58"/>
      <c r="K591" s="58"/>
      <c r="L591" s="58"/>
      <c r="M591" s="58"/>
      <c r="N591" s="58"/>
      <c r="O591" s="58"/>
      <c r="P591" s="58"/>
      <c r="Q591" s="58"/>
      <c r="R591" s="58"/>
      <c r="S591" s="58"/>
      <c r="T591" s="58"/>
      <c r="U591" s="58"/>
      <c r="V591" s="58"/>
      <c r="W591" s="58"/>
      <c r="X591" s="58"/>
      <c r="Y591" s="58"/>
      <c r="Z591" s="58"/>
    </row>
    <row r="592" ht="110.25" customHeight="1">
      <c r="A592" s="101" t="s">
        <v>3301</v>
      </c>
      <c r="B592" s="176" t="s">
        <v>142</v>
      </c>
      <c r="C592" s="75" t="s">
        <v>3302</v>
      </c>
      <c r="D592" s="75" t="s">
        <v>3336</v>
      </c>
      <c r="E592" s="75" t="s">
        <v>3337</v>
      </c>
      <c r="F592" s="75" t="s">
        <v>3338</v>
      </c>
      <c r="G592" s="76">
        <v>15.0</v>
      </c>
      <c r="H592" s="77">
        <v>3.0</v>
      </c>
      <c r="I592" s="77" t="s">
        <v>158</v>
      </c>
      <c r="J592" s="58"/>
      <c r="K592" s="58"/>
      <c r="L592" s="58"/>
      <c r="M592" s="58"/>
      <c r="N592" s="58"/>
      <c r="O592" s="58"/>
      <c r="P592" s="58"/>
      <c r="Q592" s="58"/>
      <c r="R592" s="58"/>
      <c r="S592" s="58"/>
      <c r="T592" s="58"/>
      <c r="U592" s="58"/>
      <c r="V592" s="58"/>
      <c r="W592" s="58"/>
      <c r="X592" s="58"/>
      <c r="Y592" s="58"/>
      <c r="Z592" s="58"/>
    </row>
    <row r="593" ht="96.0" customHeight="1">
      <c r="A593" s="101" t="s">
        <v>3339</v>
      </c>
      <c r="B593" s="176" t="s">
        <v>142</v>
      </c>
      <c r="C593" s="75" t="s">
        <v>3340</v>
      </c>
      <c r="D593" s="75" t="s">
        <v>3341</v>
      </c>
      <c r="E593" s="75" t="s">
        <v>1179</v>
      </c>
      <c r="F593" s="75" t="s">
        <v>1178</v>
      </c>
      <c r="G593" s="76">
        <v>15.0</v>
      </c>
      <c r="H593" s="77">
        <v>15.0</v>
      </c>
      <c r="I593" s="77" t="s">
        <v>159</v>
      </c>
      <c r="J593" s="58"/>
      <c r="K593" s="58"/>
      <c r="L593" s="58"/>
      <c r="M593" s="58"/>
      <c r="N593" s="58"/>
      <c r="O593" s="58"/>
      <c r="P593" s="58"/>
      <c r="Q593" s="58"/>
      <c r="R593" s="58"/>
      <c r="S593" s="58"/>
      <c r="T593" s="58"/>
      <c r="U593" s="58"/>
      <c r="V593" s="58"/>
      <c r="W593" s="58"/>
      <c r="X593" s="58"/>
      <c r="Y593" s="58"/>
      <c r="Z593" s="58"/>
    </row>
    <row r="594" ht="110.25" customHeight="1">
      <c r="A594" s="101" t="s">
        <v>160</v>
      </c>
      <c r="B594" s="176" t="s">
        <v>142</v>
      </c>
      <c r="C594" s="75" t="s">
        <v>3342</v>
      </c>
      <c r="D594" s="75" t="s">
        <v>3343</v>
      </c>
      <c r="E594" s="75" t="s">
        <v>3344</v>
      </c>
      <c r="F594" s="75" t="s">
        <v>1890</v>
      </c>
      <c r="G594" s="76">
        <v>50.0</v>
      </c>
      <c r="H594" s="77">
        <v>50.0</v>
      </c>
      <c r="I594" s="77" t="s">
        <v>160</v>
      </c>
      <c r="J594" s="58"/>
      <c r="K594" s="58"/>
      <c r="L594" s="58"/>
      <c r="M594" s="58"/>
      <c r="N594" s="58"/>
      <c r="O594" s="58"/>
      <c r="P594" s="58"/>
      <c r="Q594" s="58"/>
      <c r="R594" s="58"/>
      <c r="S594" s="58"/>
      <c r="T594" s="58"/>
      <c r="U594" s="58"/>
      <c r="V594" s="58"/>
      <c r="W594" s="58"/>
      <c r="X594" s="58"/>
      <c r="Y594" s="58"/>
      <c r="Z594" s="58"/>
    </row>
    <row r="595" ht="123.75" customHeight="1">
      <c r="A595" s="101" t="s">
        <v>1551</v>
      </c>
      <c r="B595" s="176" t="s">
        <v>142</v>
      </c>
      <c r="C595" s="75" t="s">
        <v>3345</v>
      </c>
      <c r="D595" s="75" t="s">
        <v>3346</v>
      </c>
      <c r="E595" s="75" t="s">
        <v>3347</v>
      </c>
      <c r="F595" s="75" t="s">
        <v>1820</v>
      </c>
      <c r="G595" s="76">
        <v>50.0</v>
      </c>
      <c r="H595" s="77">
        <v>50.0</v>
      </c>
      <c r="I595" s="77" t="s">
        <v>161</v>
      </c>
      <c r="J595" s="58"/>
      <c r="K595" s="58"/>
      <c r="L595" s="58"/>
      <c r="M595" s="58"/>
      <c r="N595" s="58"/>
      <c r="O595" s="58"/>
      <c r="P595" s="58"/>
      <c r="Q595" s="58"/>
      <c r="R595" s="58"/>
      <c r="S595" s="58"/>
      <c r="T595" s="58"/>
      <c r="U595" s="58"/>
      <c r="V595" s="58"/>
      <c r="W595" s="58"/>
      <c r="X595" s="58"/>
      <c r="Y595" s="58"/>
      <c r="Z595" s="58"/>
    </row>
    <row r="596" ht="110.25" customHeight="1">
      <c r="A596" s="101" t="s">
        <v>1551</v>
      </c>
      <c r="B596" s="176" t="s">
        <v>142</v>
      </c>
      <c r="C596" s="75" t="s">
        <v>3348</v>
      </c>
      <c r="D596" s="75" t="s">
        <v>3349</v>
      </c>
      <c r="E596" s="75" t="s">
        <v>3350</v>
      </c>
      <c r="F596" s="75" t="s">
        <v>1864</v>
      </c>
      <c r="G596" s="76">
        <v>15.0</v>
      </c>
      <c r="H596" s="77">
        <v>15.0</v>
      </c>
      <c r="I596" s="77" t="s">
        <v>161</v>
      </c>
      <c r="J596" s="58"/>
      <c r="K596" s="58"/>
      <c r="L596" s="58"/>
      <c r="M596" s="58"/>
      <c r="N596" s="58"/>
      <c r="O596" s="58"/>
      <c r="P596" s="58"/>
      <c r="Q596" s="58"/>
      <c r="R596" s="58"/>
      <c r="S596" s="58"/>
      <c r="T596" s="58"/>
      <c r="U596" s="58"/>
      <c r="V596" s="58"/>
      <c r="W596" s="58"/>
      <c r="X596" s="58"/>
      <c r="Y596" s="58"/>
      <c r="Z596" s="58"/>
    </row>
    <row r="597" ht="123.75" customHeight="1">
      <c r="A597" s="101" t="s">
        <v>3351</v>
      </c>
      <c r="B597" s="176" t="s">
        <v>142</v>
      </c>
      <c r="C597" s="75" t="s">
        <v>3352</v>
      </c>
      <c r="D597" s="75" t="s">
        <v>3353</v>
      </c>
      <c r="E597" s="75" t="s">
        <v>3354</v>
      </c>
      <c r="F597" s="75" t="s">
        <v>3355</v>
      </c>
      <c r="G597" s="76">
        <v>50.0</v>
      </c>
      <c r="H597" s="77">
        <v>50.0</v>
      </c>
      <c r="I597" s="77" t="s">
        <v>162</v>
      </c>
      <c r="J597" s="58"/>
      <c r="K597" s="58"/>
      <c r="L597" s="58"/>
      <c r="M597" s="58"/>
      <c r="N597" s="58"/>
      <c r="O597" s="58"/>
      <c r="P597" s="58"/>
      <c r="Q597" s="58"/>
      <c r="R597" s="58"/>
      <c r="S597" s="58"/>
      <c r="T597" s="58"/>
      <c r="U597" s="58"/>
      <c r="V597" s="58"/>
      <c r="W597" s="58"/>
      <c r="X597" s="58"/>
      <c r="Y597" s="58"/>
      <c r="Z597" s="58"/>
    </row>
    <row r="598" ht="138.0" customHeight="1">
      <c r="A598" s="101" t="s">
        <v>3351</v>
      </c>
      <c r="B598" s="176" t="s">
        <v>142</v>
      </c>
      <c r="C598" s="75" t="s">
        <v>3352</v>
      </c>
      <c r="D598" s="75" t="s">
        <v>3356</v>
      </c>
      <c r="E598" s="75" t="s">
        <v>3357</v>
      </c>
      <c r="F598" s="75" t="s">
        <v>3355</v>
      </c>
      <c r="G598" s="76">
        <v>50.0</v>
      </c>
      <c r="H598" s="77">
        <v>50.0</v>
      </c>
      <c r="I598" s="77" t="s">
        <v>162</v>
      </c>
      <c r="J598" s="58"/>
      <c r="K598" s="58"/>
      <c r="L598" s="58"/>
      <c r="M598" s="58"/>
      <c r="N598" s="58"/>
      <c r="O598" s="58"/>
      <c r="P598" s="58"/>
      <c r="Q598" s="58"/>
      <c r="R598" s="58"/>
      <c r="S598" s="58"/>
      <c r="T598" s="58"/>
      <c r="U598" s="58"/>
      <c r="V598" s="58"/>
      <c r="W598" s="58"/>
      <c r="X598" s="58"/>
      <c r="Y598" s="58"/>
      <c r="Z598" s="58"/>
    </row>
    <row r="599" ht="110.25" customHeight="1">
      <c r="A599" s="101" t="s">
        <v>3351</v>
      </c>
      <c r="B599" s="176" t="s">
        <v>142</v>
      </c>
      <c r="C599" s="75" t="s">
        <v>3352</v>
      </c>
      <c r="D599" s="75" t="s">
        <v>3358</v>
      </c>
      <c r="E599" s="75" t="s">
        <v>3359</v>
      </c>
      <c r="F599" s="75" t="s">
        <v>3355</v>
      </c>
      <c r="G599" s="76">
        <v>50.0</v>
      </c>
      <c r="H599" s="77">
        <v>50.0</v>
      </c>
      <c r="I599" s="77" t="s">
        <v>162</v>
      </c>
      <c r="J599" s="58"/>
      <c r="K599" s="58"/>
      <c r="L599" s="58"/>
      <c r="M599" s="58"/>
      <c r="N599" s="58"/>
      <c r="O599" s="58"/>
      <c r="P599" s="58"/>
      <c r="Q599" s="58"/>
      <c r="R599" s="58"/>
      <c r="S599" s="58"/>
      <c r="T599" s="58"/>
      <c r="U599" s="58"/>
      <c r="V599" s="58"/>
      <c r="W599" s="58"/>
      <c r="X599" s="58"/>
      <c r="Y599" s="58"/>
      <c r="Z599" s="58"/>
    </row>
    <row r="600" ht="151.5" customHeight="1">
      <c r="A600" s="101" t="s">
        <v>3351</v>
      </c>
      <c r="B600" s="176" t="s">
        <v>142</v>
      </c>
      <c r="C600" s="75" t="s">
        <v>3352</v>
      </c>
      <c r="D600" s="75" t="s">
        <v>3360</v>
      </c>
      <c r="E600" s="75" t="s">
        <v>3361</v>
      </c>
      <c r="F600" s="75" t="s">
        <v>3355</v>
      </c>
      <c r="G600" s="76">
        <v>50.0</v>
      </c>
      <c r="H600" s="77">
        <v>50.0</v>
      </c>
      <c r="I600" s="77" t="s">
        <v>162</v>
      </c>
      <c r="J600" s="58"/>
      <c r="K600" s="58"/>
      <c r="L600" s="58"/>
      <c r="M600" s="58"/>
      <c r="N600" s="58"/>
      <c r="O600" s="58"/>
      <c r="P600" s="58"/>
      <c r="Q600" s="58"/>
      <c r="R600" s="58"/>
      <c r="S600" s="58"/>
      <c r="T600" s="58"/>
      <c r="U600" s="58"/>
      <c r="V600" s="58"/>
      <c r="W600" s="58"/>
      <c r="X600" s="58"/>
      <c r="Y600" s="58"/>
      <c r="Z600" s="58"/>
    </row>
    <row r="601" ht="96.0" customHeight="1">
      <c r="A601" s="101" t="s">
        <v>3351</v>
      </c>
      <c r="B601" s="176" t="s">
        <v>142</v>
      </c>
      <c r="C601" s="75" t="s">
        <v>3352</v>
      </c>
      <c r="D601" s="75" t="s">
        <v>3362</v>
      </c>
      <c r="E601" s="75" t="s">
        <v>3363</v>
      </c>
      <c r="F601" s="75" t="s">
        <v>3364</v>
      </c>
      <c r="G601" s="76">
        <v>15.0</v>
      </c>
      <c r="H601" s="77">
        <v>15.0</v>
      </c>
      <c r="I601" s="77" t="s">
        <v>162</v>
      </c>
      <c r="J601" s="58"/>
      <c r="K601" s="58"/>
      <c r="L601" s="58"/>
      <c r="M601" s="58"/>
      <c r="N601" s="58"/>
      <c r="O601" s="58"/>
      <c r="P601" s="58"/>
      <c r="Q601" s="58"/>
      <c r="R601" s="58"/>
      <c r="S601" s="58"/>
      <c r="T601" s="58"/>
      <c r="U601" s="58"/>
      <c r="V601" s="58"/>
      <c r="W601" s="58"/>
      <c r="X601" s="58"/>
      <c r="Y601" s="58"/>
      <c r="Z601" s="58"/>
    </row>
    <row r="602" ht="82.5" customHeight="1">
      <c r="A602" s="101" t="s">
        <v>3351</v>
      </c>
      <c r="B602" s="176" t="s">
        <v>142</v>
      </c>
      <c r="C602" s="75" t="s">
        <v>3352</v>
      </c>
      <c r="D602" s="75" t="s">
        <v>3365</v>
      </c>
      <c r="E602" s="75" t="s">
        <v>3366</v>
      </c>
      <c r="F602" s="75" t="s">
        <v>3367</v>
      </c>
      <c r="G602" s="76">
        <v>15.0</v>
      </c>
      <c r="H602" s="77">
        <v>15.0</v>
      </c>
      <c r="I602" s="77" t="s">
        <v>162</v>
      </c>
      <c r="J602" s="58"/>
      <c r="K602" s="58"/>
      <c r="L602" s="58"/>
      <c r="M602" s="58"/>
      <c r="N602" s="58"/>
      <c r="O602" s="58"/>
      <c r="P602" s="58"/>
      <c r="Q602" s="58"/>
      <c r="R602" s="58"/>
      <c r="S602" s="58"/>
      <c r="T602" s="58"/>
      <c r="U602" s="58"/>
      <c r="V602" s="58"/>
      <c r="W602" s="58"/>
      <c r="X602" s="58"/>
      <c r="Y602" s="58"/>
      <c r="Z602" s="58"/>
    </row>
    <row r="603" ht="110.25" customHeight="1">
      <c r="A603" s="101" t="s">
        <v>3351</v>
      </c>
      <c r="B603" s="176" t="s">
        <v>142</v>
      </c>
      <c r="C603" s="75" t="s">
        <v>3352</v>
      </c>
      <c r="D603" s="75" t="s">
        <v>3368</v>
      </c>
      <c r="E603" s="75" t="s">
        <v>3369</v>
      </c>
      <c r="F603" s="75" t="s">
        <v>3370</v>
      </c>
      <c r="G603" s="76">
        <v>15.0</v>
      </c>
      <c r="H603" s="77">
        <v>15.0</v>
      </c>
      <c r="I603" s="77" t="s">
        <v>162</v>
      </c>
      <c r="J603" s="58"/>
      <c r="K603" s="58"/>
      <c r="L603" s="58"/>
      <c r="M603" s="58"/>
      <c r="N603" s="58"/>
      <c r="O603" s="58"/>
      <c r="P603" s="58"/>
      <c r="Q603" s="58"/>
      <c r="R603" s="58"/>
      <c r="S603" s="58"/>
      <c r="T603" s="58"/>
      <c r="U603" s="58"/>
      <c r="V603" s="58"/>
      <c r="W603" s="58"/>
      <c r="X603" s="58"/>
      <c r="Y603" s="58"/>
      <c r="Z603" s="58"/>
    </row>
    <row r="604" ht="96.0" customHeight="1">
      <c r="A604" s="101" t="s">
        <v>3351</v>
      </c>
      <c r="B604" s="176" t="s">
        <v>142</v>
      </c>
      <c r="C604" s="75" t="s">
        <v>3352</v>
      </c>
      <c r="D604" s="75" t="s">
        <v>3371</v>
      </c>
      <c r="E604" s="75" t="s">
        <v>3372</v>
      </c>
      <c r="F604" s="75" t="s">
        <v>3367</v>
      </c>
      <c r="G604" s="76">
        <v>15.0</v>
      </c>
      <c r="H604" s="77">
        <v>15.0</v>
      </c>
      <c r="I604" s="77" t="s">
        <v>162</v>
      </c>
      <c r="J604" s="58"/>
      <c r="K604" s="58"/>
      <c r="L604" s="58"/>
      <c r="M604" s="58"/>
      <c r="N604" s="58"/>
      <c r="O604" s="58"/>
      <c r="P604" s="58"/>
      <c r="Q604" s="58"/>
      <c r="R604" s="58"/>
      <c r="S604" s="58"/>
      <c r="T604" s="58"/>
      <c r="U604" s="58"/>
      <c r="V604" s="58"/>
      <c r="W604" s="58"/>
      <c r="X604" s="58"/>
      <c r="Y604" s="58"/>
      <c r="Z604" s="58"/>
    </row>
    <row r="605" ht="179.25" customHeight="1">
      <c r="A605" s="101" t="s">
        <v>3351</v>
      </c>
      <c r="B605" s="176" t="s">
        <v>142</v>
      </c>
      <c r="C605" s="75" t="s">
        <v>3352</v>
      </c>
      <c r="D605" s="75" t="s">
        <v>3373</v>
      </c>
      <c r="E605" s="75" t="s">
        <v>3374</v>
      </c>
      <c r="F605" s="75" t="s">
        <v>3375</v>
      </c>
      <c r="G605" s="76">
        <v>15.0</v>
      </c>
      <c r="H605" s="77">
        <v>15.0</v>
      </c>
      <c r="I605" s="77" t="s">
        <v>162</v>
      </c>
      <c r="J605" s="58"/>
      <c r="K605" s="58"/>
      <c r="L605" s="58"/>
      <c r="M605" s="58"/>
      <c r="N605" s="58"/>
      <c r="O605" s="58"/>
      <c r="P605" s="58"/>
      <c r="Q605" s="58"/>
      <c r="R605" s="58"/>
      <c r="S605" s="58"/>
      <c r="T605" s="58"/>
      <c r="U605" s="58"/>
      <c r="V605" s="58"/>
      <c r="W605" s="58"/>
      <c r="X605" s="58"/>
      <c r="Y605" s="58"/>
      <c r="Z605" s="58"/>
    </row>
    <row r="606" ht="123.75" customHeight="1">
      <c r="A606" s="101" t="s">
        <v>3376</v>
      </c>
      <c r="B606" s="176" t="s">
        <v>142</v>
      </c>
      <c r="C606" s="75" t="s">
        <v>3377</v>
      </c>
      <c r="D606" s="75" t="s">
        <v>3378</v>
      </c>
      <c r="E606" s="75" t="s">
        <v>3379</v>
      </c>
      <c r="F606" s="75" t="s">
        <v>3355</v>
      </c>
      <c r="G606" s="76">
        <v>50.0</v>
      </c>
      <c r="H606" s="77">
        <v>50.0</v>
      </c>
      <c r="I606" s="77" t="s">
        <v>162</v>
      </c>
      <c r="J606" s="58"/>
      <c r="K606" s="58"/>
      <c r="L606" s="58"/>
      <c r="M606" s="58"/>
      <c r="N606" s="58"/>
      <c r="O606" s="58"/>
      <c r="P606" s="58"/>
      <c r="Q606" s="58"/>
      <c r="R606" s="58"/>
      <c r="S606" s="58"/>
      <c r="T606" s="58"/>
      <c r="U606" s="58"/>
      <c r="V606" s="58"/>
      <c r="W606" s="58"/>
      <c r="X606" s="58"/>
      <c r="Y606" s="58"/>
      <c r="Z606" s="58"/>
    </row>
    <row r="607" ht="96.0" customHeight="1">
      <c r="A607" s="101" t="s">
        <v>3380</v>
      </c>
      <c r="B607" s="176" t="s">
        <v>142</v>
      </c>
      <c r="C607" s="75" t="s">
        <v>1555</v>
      </c>
      <c r="D607" s="75" t="s">
        <v>3381</v>
      </c>
      <c r="E607" s="75" t="s">
        <v>3382</v>
      </c>
      <c r="F607" s="75"/>
      <c r="G607" s="76">
        <v>15.0</v>
      </c>
      <c r="H607" s="77">
        <v>7.5</v>
      </c>
      <c r="I607" s="77" t="s">
        <v>162</v>
      </c>
      <c r="J607" s="58"/>
      <c r="K607" s="58"/>
      <c r="L607" s="58"/>
      <c r="M607" s="58"/>
      <c r="N607" s="58"/>
      <c r="O607" s="58"/>
      <c r="P607" s="58"/>
      <c r="Q607" s="58"/>
      <c r="R607" s="58"/>
      <c r="S607" s="58"/>
      <c r="T607" s="58"/>
      <c r="U607" s="58"/>
      <c r="V607" s="58"/>
      <c r="W607" s="58"/>
      <c r="X607" s="58"/>
      <c r="Y607" s="58"/>
      <c r="Z607" s="58"/>
    </row>
    <row r="608" ht="96.0" customHeight="1">
      <c r="A608" s="101" t="s">
        <v>3383</v>
      </c>
      <c r="B608" s="176" t="s">
        <v>142</v>
      </c>
      <c r="C608" s="75" t="s">
        <v>3384</v>
      </c>
      <c r="D608" s="75" t="s">
        <v>3385</v>
      </c>
      <c r="E608" s="75" t="s">
        <v>3386</v>
      </c>
      <c r="F608" s="75" t="s">
        <v>2071</v>
      </c>
      <c r="G608" s="76">
        <v>50.0</v>
      </c>
      <c r="H608" s="77">
        <v>50.0</v>
      </c>
      <c r="I608" s="77" t="s">
        <v>163</v>
      </c>
      <c r="J608" s="58"/>
      <c r="K608" s="58"/>
      <c r="L608" s="58"/>
      <c r="M608" s="58"/>
      <c r="N608" s="58"/>
      <c r="O608" s="58"/>
      <c r="P608" s="58"/>
      <c r="Q608" s="58"/>
      <c r="R608" s="58"/>
      <c r="S608" s="58"/>
      <c r="T608" s="58"/>
      <c r="U608" s="58"/>
      <c r="V608" s="58"/>
      <c r="W608" s="58"/>
      <c r="X608" s="58"/>
      <c r="Y608" s="58"/>
      <c r="Z608" s="58"/>
    </row>
    <row r="609" ht="96.0" customHeight="1">
      <c r="A609" s="101" t="s">
        <v>3387</v>
      </c>
      <c r="B609" s="176" t="s">
        <v>142</v>
      </c>
      <c r="C609" s="75" t="s">
        <v>1559</v>
      </c>
      <c r="D609" s="75" t="s">
        <v>3388</v>
      </c>
      <c r="E609" s="75" t="s">
        <v>3382</v>
      </c>
      <c r="F609" s="75" t="s">
        <v>1262</v>
      </c>
      <c r="G609" s="76">
        <v>15.0</v>
      </c>
      <c r="H609" s="77">
        <v>7.5</v>
      </c>
      <c r="I609" s="77" t="s">
        <v>163</v>
      </c>
      <c r="J609" s="58"/>
      <c r="K609" s="58"/>
      <c r="L609" s="58"/>
      <c r="M609" s="58"/>
      <c r="N609" s="58"/>
      <c r="O609" s="58"/>
      <c r="P609" s="58"/>
      <c r="Q609" s="58"/>
      <c r="R609" s="58"/>
      <c r="S609" s="58"/>
      <c r="T609" s="58"/>
      <c r="U609" s="58"/>
      <c r="V609" s="58"/>
      <c r="W609" s="58"/>
      <c r="X609" s="58"/>
      <c r="Y609" s="58"/>
      <c r="Z609" s="58"/>
    </row>
    <row r="610" ht="179.25" customHeight="1">
      <c r="A610" s="101" t="s">
        <v>3387</v>
      </c>
      <c r="B610" s="176" t="s">
        <v>142</v>
      </c>
      <c r="C610" s="75" t="s">
        <v>3389</v>
      </c>
      <c r="D610" s="75" t="s">
        <v>3390</v>
      </c>
      <c r="E610" s="75" t="s">
        <v>3391</v>
      </c>
      <c r="F610" s="75" t="s">
        <v>2071</v>
      </c>
      <c r="G610" s="76">
        <v>50.0</v>
      </c>
      <c r="H610" s="77">
        <v>25.0</v>
      </c>
      <c r="I610" s="77" t="s">
        <v>163</v>
      </c>
      <c r="J610" s="58"/>
      <c r="K610" s="58"/>
      <c r="L610" s="58"/>
      <c r="M610" s="58"/>
      <c r="N610" s="58"/>
      <c r="O610" s="58"/>
      <c r="P610" s="58"/>
      <c r="Q610" s="58"/>
      <c r="R610" s="58"/>
      <c r="S610" s="58"/>
      <c r="T610" s="58"/>
      <c r="U610" s="58"/>
      <c r="V610" s="58"/>
      <c r="W610" s="58"/>
      <c r="X610" s="58"/>
      <c r="Y610" s="58"/>
      <c r="Z610" s="58"/>
    </row>
    <row r="611" ht="234.0" customHeight="1">
      <c r="A611" s="101" t="s">
        <v>283</v>
      </c>
      <c r="B611" s="176" t="s">
        <v>142</v>
      </c>
      <c r="C611" s="75" t="s">
        <v>282</v>
      </c>
      <c r="D611" s="75" t="s">
        <v>3392</v>
      </c>
      <c r="E611" s="75" t="s">
        <v>3393</v>
      </c>
      <c r="F611" s="75" t="s">
        <v>2272</v>
      </c>
      <c r="G611" s="76">
        <v>50.0</v>
      </c>
      <c r="H611" s="77">
        <v>25.0</v>
      </c>
      <c r="I611" s="77" t="s">
        <v>164</v>
      </c>
      <c r="J611" s="58"/>
      <c r="K611" s="58"/>
      <c r="L611" s="58"/>
      <c r="M611" s="58"/>
      <c r="N611" s="58"/>
      <c r="O611" s="58"/>
      <c r="P611" s="58"/>
      <c r="Q611" s="58"/>
      <c r="R611" s="58"/>
      <c r="S611" s="58"/>
      <c r="T611" s="58"/>
      <c r="U611" s="58"/>
      <c r="V611" s="58"/>
      <c r="W611" s="58"/>
      <c r="X611" s="58"/>
      <c r="Y611" s="58"/>
      <c r="Z611" s="58"/>
    </row>
    <row r="612" ht="192.75" customHeight="1">
      <c r="A612" s="101" t="s">
        <v>283</v>
      </c>
      <c r="B612" s="176" t="s">
        <v>142</v>
      </c>
      <c r="C612" s="75" t="s">
        <v>282</v>
      </c>
      <c r="D612" s="75" t="s">
        <v>3394</v>
      </c>
      <c r="E612" s="75" t="s">
        <v>3395</v>
      </c>
      <c r="F612" s="75" t="s">
        <v>1820</v>
      </c>
      <c r="G612" s="76">
        <v>50.0</v>
      </c>
      <c r="H612" s="77">
        <v>25.0</v>
      </c>
      <c r="I612" s="77" t="s">
        <v>164</v>
      </c>
      <c r="J612" s="58"/>
      <c r="K612" s="58"/>
      <c r="L612" s="58"/>
      <c r="M612" s="58"/>
      <c r="N612" s="58"/>
      <c r="O612" s="58"/>
      <c r="P612" s="58"/>
      <c r="Q612" s="58"/>
      <c r="R612" s="58"/>
      <c r="S612" s="58"/>
      <c r="T612" s="58"/>
      <c r="U612" s="58"/>
      <c r="V612" s="58"/>
      <c r="W612" s="58"/>
      <c r="X612" s="58"/>
      <c r="Y612" s="58"/>
      <c r="Z612" s="58"/>
    </row>
    <row r="613" ht="179.25" customHeight="1">
      <c r="A613" s="101" t="s">
        <v>283</v>
      </c>
      <c r="B613" s="176" t="s">
        <v>142</v>
      </c>
      <c r="C613" s="75" t="s">
        <v>282</v>
      </c>
      <c r="D613" s="75" t="s">
        <v>3396</v>
      </c>
      <c r="E613" s="75" t="s">
        <v>3397</v>
      </c>
      <c r="F613" s="75" t="s">
        <v>3398</v>
      </c>
      <c r="G613" s="76">
        <v>50.0</v>
      </c>
      <c r="H613" s="77">
        <v>25.0</v>
      </c>
      <c r="I613" s="77" t="s">
        <v>164</v>
      </c>
      <c r="J613" s="58"/>
      <c r="K613" s="58"/>
      <c r="L613" s="58"/>
      <c r="M613" s="58"/>
      <c r="N613" s="58"/>
      <c r="O613" s="58"/>
      <c r="P613" s="58"/>
      <c r="Q613" s="58"/>
      <c r="R613" s="58"/>
      <c r="S613" s="58"/>
      <c r="T613" s="58"/>
      <c r="U613" s="58"/>
      <c r="V613" s="58"/>
      <c r="W613" s="58"/>
      <c r="X613" s="58"/>
      <c r="Y613" s="58"/>
      <c r="Z613" s="58"/>
    </row>
    <row r="614" ht="179.25" customHeight="1">
      <c r="A614" s="101" t="s">
        <v>3399</v>
      </c>
      <c r="B614" s="176" t="s">
        <v>142</v>
      </c>
      <c r="C614" s="75" t="s">
        <v>3400</v>
      </c>
      <c r="D614" s="75" t="s">
        <v>3401</v>
      </c>
      <c r="E614" s="75" t="s">
        <v>3402</v>
      </c>
      <c r="F614" s="75" t="s">
        <v>1820</v>
      </c>
      <c r="G614" s="76">
        <v>50.0</v>
      </c>
      <c r="H614" s="77">
        <v>25.0</v>
      </c>
      <c r="I614" s="77" t="s">
        <v>165</v>
      </c>
      <c r="J614" s="58"/>
      <c r="K614" s="58"/>
      <c r="L614" s="58"/>
      <c r="M614" s="58"/>
      <c r="N614" s="58"/>
      <c r="O614" s="58"/>
      <c r="P614" s="58"/>
      <c r="Q614" s="58"/>
      <c r="R614" s="58"/>
      <c r="S614" s="58"/>
      <c r="T614" s="58"/>
      <c r="U614" s="58"/>
      <c r="V614" s="58"/>
      <c r="W614" s="58"/>
      <c r="X614" s="58"/>
      <c r="Y614" s="58"/>
      <c r="Z614" s="58"/>
    </row>
    <row r="615" ht="123.75" customHeight="1">
      <c r="A615" s="101" t="s">
        <v>3399</v>
      </c>
      <c r="B615" s="176" t="s">
        <v>142</v>
      </c>
      <c r="C615" s="75" t="s">
        <v>3400</v>
      </c>
      <c r="D615" s="75" t="s">
        <v>3403</v>
      </c>
      <c r="E615" s="75" t="s">
        <v>3404</v>
      </c>
      <c r="F615" s="75" t="s">
        <v>2608</v>
      </c>
      <c r="G615" s="76">
        <v>15.0</v>
      </c>
      <c r="H615" s="77">
        <v>7.5</v>
      </c>
      <c r="I615" s="77" t="s">
        <v>165</v>
      </c>
      <c r="J615" s="58"/>
      <c r="K615" s="58"/>
      <c r="L615" s="58"/>
      <c r="M615" s="58"/>
      <c r="N615" s="58"/>
      <c r="O615" s="58"/>
      <c r="P615" s="58"/>
      <c r="Q615" s="58"/>
      <c r="R615" s="58"/>
      <c r="S615" s="58"/>
      <c r="T615" s="58"/>
      <c r="U615" s="58"/>
      <c r="V615" s="58"/>
      <c r="W615" s="58"/>
      <c r="X615" s="58"/>
      <c r="Y615" s="58"/>
      <c r="Z615" s="58"/>
    </row>
    <row r="616" ht="151.5" customHeight="1">
      <c r="A616" s="101" t="s">
        <v>3399</v>
      </c>
      <c r="B616" s="176" t="s">
        <v>142</v>
      </c>
      <c r="C616" s="75" t="s">
        <v>3400</v>
      </c>
      <c r="D616" s="75" t="s">
        <v>3405</v>
      </c>
      <c r="E616" s="75" t="s">
        <v>3406</v>
      </c>
      <c r="F616" s="75" t="s">
        <v>3407</v>
      </c>
      <c r="G616" s="76">
        <v>15.0</v>
      </c>
      <c r="H616" s="77">
        <v>7.5</v>
      </c>
      <c r="I616" s="77" t="s">
        <v>165</v>
      </c>
      <c r="J616" s="58"/>
      <c r="K616" s="58"/>
      <c r="L616" s="58"/>
      <c r="M616" s="58"/>
      <c r="N616" s="58"/>
      <c r="O616" s="58"/>
      <c r="P616" s="58"/>
      <c r="Q616" s="58"/>
      <c r="R616" s="58"/>
      <c r="S616" s="58"/>
      <c r="T616" s="58"/>
      <c r="U616" s="58"/>
      <c r="V616" s="58"/>
      <c r="W616" s="58"/>
      <c r="X616" s="58"/>
      <c r="Y616" s="58"/>
      <c r="Z616" s="58"/>
    </row>
    <row r="617" ht="96.0" customHeight="1">
      <c r="A617" s="101" t="s">
        <v>3408</v>
      </c>
      <c r="B617" s="176" t="s">
        <v>142</v>
      </c>
      <c r="C617" s="75" t="s">
        <v>3409</v>
      </c>
      <c r="D617" s="75" t="s">
        <v>3410</v>
      </c>
      <c r="E617" s="75" t="s">
        <v>3411</v>
      </c>
      <c r="F617" s="75" t="s">
        <v>3412</v>
      </c>
      <c r="G617" s="76">
        <v>15.0</v>
      </c>
      <c r="H617" s="77">
        <v>7.5</v>
      </c>
      <c r="I617" s="77" t="s">
        <v>165</v>
      </c>
      <c r="J617" s="58"/>
      <c r="K617" s="58"/>
      <c r="L617" s="58"/>
      <c r="M617" s="58"/>
      <c r="N617" s="58"/>
      <c r="O617" s="58"/>
      <c r="P617" s="58"/>
      <c r="Q617" s="58"/>
      <c r="R617" s="58"/>
      <c r="S617" s="58"/>
      <c r="T617" s="58"/>
      <c r="U617" s="58"/>
      <c r="V617" s="58"/>
      <c r="W617" s="58"/>
      <c r="X617" s="58"/>
      <c r="Y617" s="58"/>
      <c r="Z617" s="58"/>
    </row>
    <row r="618" ht="165.0" customHeight="1">
      <c r="A618" s="101" t="s">
        <v>165</v>
      </c>
      <c r="B618" s="176" t="s">
        <v>142</v>
      </c>
      <c r="C618" s="75" t="s">
        <v>3413</v>
      </c>
      <c r="D618" s="75" t="s">
        <v>3414</v>
      </c>
      <c r="E618" s="75" t="s">
        <v>635</v>
      </c>
      <c r="F618" s="75" t="s">
        <v>1820</v>
      </c>
      <c r="G618" s="76">
        <v>50.0</v>
      </c>
      <c r="H618" s="77">
        <v>50.0</v>
      </c>
      <c r="I618" s="77" t="s">
        <v>165</v>
      </c>
      <c r="J618" s="58"/>
      <c r="K618" s="58"/>
      <c r="L618" s="58"/>
      <c r="M618" s="58"/>
      <c r="N618" s="58"/>
      <c r="O618" s="58"/>
      <c r="P618" s="58"/>
      <c r="Q618" s="58"/>
      <c r="R618" s="58"/>
      <c r="S618" s="58"/>
      <c r="T618" s="58"/>
      <c r="U618" s="58"/>
      <c r="V618" s="58"/>
      <c r="W618" s="58"/>
      <c r="X618" s="58"/>
      <c r="Y618" s="58"/>
      <c r="Z618" s="58"/>
    </row>
    <row r="619" ht="165.0" customHeight="1">
      <c r="A619" s="101" t="s">
        <v>3415</v>
      </c>
      <c r="B619" s="176" t="s">
        <v>142</v>
      </c>
      <c r="C619" s="75" t="s">
        <v>3416</v>
      </c>
      <c r="D619" s="75" t="s">
        <v>3417</v>
      </c>
      <c r="E619" s="75" t="s">
        <v>3418</v>
      </c>
      <c r="F619" s="75" t="s">
        <v>3419</v>
      </c>
      <c r="G619" s="76">
        <v>50.0</v>
      </c>
      <c r="H619" s="77">
        <v>50.0</v>
      </c>
      <c r="I619" s="77" t="s">
        <v>168</v>
      </c>
      <c r="J619" s="58"/>
      <c r="K619" s="58"/>
      <c r="L619" s="58"/>
      <c r="M619" s="58"/>
      <c r="N619" s="58"/>
      <c r="O619" s="58"/>
      <c r="P619" s="58"/>
      <c r="Q619" s="58"/>
      <c r="R619" s="58"/>
      <c r="S619" s="58"/>
      <c r="T619" s="58"/>
      <c r="U619" s="58"/>
      <c r="V619" s="58"/>
      <c r="W619" s="58"/>
      <c r="X619" s="58"/>
      <c r="Y619" s="58"/>
      <c r="Z619" s="58"/>
    </row>
    <row r="620" ht="192.75" customHeight="1">
      <c r="A620" s="101" t="s">
        <v>3415</v>
      </c>
      <c r="B620" s="176" t="s">
        <v>142</v>
      </c>
      <c r="C620" s="75" t="s">
        <v>3416</v>
      </c>
      <c r="D620" s="75" t="s">
        <v>3420</v>
      </c>
      <c r="E620" s="75" t="s">
        <v>3421</v>
      </c>
      <c r="F620" s="75" t="s">
        <v>3422</v>
      </c>
      <c r="G620" s="76">
        <v>15.0</v>
      </c>
      <c r="H620" s="77">
        <v>15.0</v>
      </c>
      <c r="I620" s="77" t="s">
        <v>168</v>
      </c>
      <c r="J620" s="58"/>
      <c r="K620" s="58"/>
      <c r="L620" s="58"/>
      <c r="M620" s="58"/>
      <c r="N620" s="58"/>
      <c r="O620" s="58"/>
      <c r="P620" s="58"/>
      <c r="Q620" s="58"/>
      <c r="R620" s="58"/>
      <c r="S620" s="58"/>
      <c r="T620" s="58"/>
      <c r="U620" s="58"/>
      <c r="V620" s="58"/>
      <c r="W620" s="58"/>
      <c r="X620" s="58"/>
      <c r="Y620" s="58"/>
      <c r="Z620" s="58"/>
    </row>
    <row r="621" ht="123.75" customHeight="1">
      <c r="A621" s="101" t="s">
        <v>3415</v>
      </c>
      <c r="B621" s="176" t="s">
        <v>142</v>
      </c>
      <c r="C621" s="75" t="s">
        <v>3423</v>
      </c>
      <c r="D621" s="75" t="s">
        <v>3424</v>
      </c>
      <c r="E621" s="75" t="s">
        <v>3425</v>
      </c>
      <c r="F621" s="75" t="s">
        <v>3426</v>
      </c>
      <c r="G621" s="76">
        <v>15.0</v>
      </c>
      <c r="H621" s="77">
        <v>15.0</v>
      </c>
      <c r="I621" s="77" t="s">
        <v>168</v>
      </c>
      <c r="J621" s="58"/>
      <c r="K621" s="58"/>
      <c r="L621" s="58"/>
      <c r="M621" s="58"/>
      <c r="N621" s="58"/>
      <c r="O621" s="58"/>
      <c r="P621" s="58"/>
      <c r="Q621" s="58"/>
      <c r="R621" s="58"/>
      <c r="S621" s="58"/>
      <c r="T621" s="58"/>
      <c r="U621" s="58"/>
      <c r="V621" s="58"/>
      <c r="W621" s="58"/>
      <c r="X621" s="58"/>
      <c r="Y621" s="58"/>
      <c r="Z621" s="58"/>
    </row>
    <row r="622" ht="138.0" customHeight="1">
      <c r="A622" s="101" t="s">
        <v>3415</v>
      </c>
      <c r="B622" s="176" t="s">
        <v>142</v>
      </c>
      <c r="C622" s="75" t="s">
        <v>3427</v>
      </c>
      <c r="D622" s="75" t="s">
        <v>3428</v>
      </c>
      <c r="E622" s="75" t="s">
        <v>3429</v>
      </c>
      <c r="F622" s="75" t="s">
        <v>3430</v>
      </c>
      <c r="G622" s="76">
        <v>15.0</v>
      </c>
      <c r="H622" s="77">
        <v>15.0</v>
      </c>
      <c r="I622" s="77" t="s">
        <v>168</v>
      </c>
      <c r="J622" s="58"/>
      <c r="K622" s="58"/>
      <c r="L622" s="58"/>
      <c r="M622" s="58"/>
      <c r="N622" s="58"/>
      <c r="O622" s="58"/>
      <c r="P622" s="58"/>
      <c r="Q622" s="58"/>
      <c r="R622" s="58"/>
      <c r="S622" s="58"/>
      <c r="T622" s="58"/>
      <c r="U622" s="58"/>
      <c r="V622" s="58"/>
      <c r="W622" s="58"/>
      <c r="X622" s="58"/>
      <c r="Y622" s="58"/>
      <c r="Z622" s="58"/>
    </row>
    <row r="623" ht="165.0" customHeight="1">
      <c r="A623" s="101" t="s">
        <v>3415</v>
      </c>
      <c r="B623" s="176" t="s">
        <v>142</v>
      </c>
      <c r="C623" s="75" t="s">
        <v>3431</v>
      </c>
      <c r="D623" s="75" t="s">
        <v>3432</v>
      </c>
      <c r="E623" s="75" t="s">
        <v>3433</v>
      </c>
      <c r="F623" s="75" t="s">
        <v>3434</v>
      </c>
      <c r="G623" s="76">
        <v>15.0</v>
      </c>
      <c r="H623" s="77">
        <v>15.0</v>
      </c>
      <c r="I623" s="77" t="s">
        <v>168</v>
      </c>
      <c r="J623" s="58"/>
      <c r="K623" s="58"/>
      <c r="L623" s="58"/>
      <c r="M623" s="58"/>
      <c r="N623" s="58"/>
      <c r="O623" s="58"/>
      <c r="P623" s="58"/>
      <c r="Q623" s="58"/>
      <c r="R623" s="58"/>
      <c r="S623" s="58"/>
      <c r="T623" s="58"/>
      <c r="U623" s="58"/>
      <c r="V623" s="58"/>
      <c r="W623" s="58"/>
      <c r="X623" s="58"/>
      <c r="Y623" s="58"/>
      <c r="Z623" s="58"/>
    </row>
    <row r="624" ht="151.5" customHeight="1">
      <c r="A624" s="101" t="s">
        <v>3435</v>
      </c>
      <c r="B624" s="176" t="s">
        <v>142</v>
      </c>
      <c r="C624" s="75" t="s">
        <v>3436</v>
      </c>
      <c r="D624" s="75" t="s">
        <v>3437</v>
      </c>
      <c r="E624" s="75" t="s">
        <v>3438</v>
      </c>
      <c r="F624" s="75" t="s">
        <v>3355</v>
      </c>
      <c r="G624" s="76">
        <v>50.0</v>
      </c>
      <c r="H624" s="77">
        <v>50.0</v>
      </c>
      <c r="I624" s="77" t="s">
        <v>169</v>
      </c>
      <c r="J624" s="58"/>
      <c r="K624" s="58"/>
      <c r="L624" s="58"/>
      <c r="M624" s="58"/>
      <c r="N624" s="58"/>
      <c r="O624" s="58"/>
      <c r="P624" s="58"/>
      <c r="Q624" s="58"/>
      <c r="R624" s="58"/>
      <c r="S624" s="58"/>
      <c r="T624" s="58"/>
      <c r="U624" s="58"/>
      <c r="V624" s="58"/>
      <c r="W624" s="58"/>
      <c r="X624" s="58"/>
      <c r="Y624" s="58"/>
      <c r="Z624" s="58"/>
    </row>
    <row r="625" ht="123.75" customHeight="1">
      <c r="A625" s="101" t="s">
        <v>3435</v>
      </c>
      <c r="B625" s="176" t="s">
        <v>142</v>
      </c>
      <c r="C625" s="75" t="s">
        <v>3436</v>
      </c>
      <c r="D625" s="75" t="s">
        <v>3439</v>
      </c>
      <c r="E625" s="75" t="s">
        <v>3440</v>
      </c>
      <c r="F625" s="75" t="s">
        <v>3355</v>
      </c>
      <c r="G625" s="76">
        <v>50.0</v>
      </c>
      <c r="H625" s="77">
        <v>50.0</v>
      </c>
      <c r="I625" s="77" t="s">
        <v>169</v>
      </c>
      <c r="J625" s="58"/>
      <c r="K625" s="58"/>
      <c r="L625" s="58"/>
      <c r="M625" s="58"/>
      <c r="N625" s="58"/>
      <c r="O625" s="58"/>
      <c r="P625" s="58"/>
      <c r="Q625" s="58"/>
      <c r="R625" s="58"/>
      <c r="S625" s="58"/>
      <c r="T625" s="58"/>
      <c r="U625" s="58"/>
      <c r="V625" s="58"/>
      <c r="W625" s="58"/>
      <c r="X625" s="58"/>
      <c r="Y625" s="58"/>
      <c r="Z625" s="58"/>
    </row>
    <row r="626" ht="138.0" customHeight="1">
      <c r="A626" s="101" t="s">
        <v>3441</v>
      </c>
      <c r="B626" s="176" t="s">
        <v>142</v>
      </c>
      <c r="C626" s="75" t="s">
        <v>3442</v>
      </c>
      <c r="D626" s="75" t="s">
        <v>3443</v>
      </c>
      <c r="E626" s="75" t="s">
        <v>3444</v>
      </c>
      <c r="F626" s="75" t="s">
        <v>3355</v>
      </c>
      <c r="G626" s="76">
        <v>50.0</v>
      </c>
      <c r="H626" s="77">
        <v>50.0</v>
      </c>
      <c r="I626" s="77" t="s">
        <v>169</v>
      </c>
      <c r="J626" s="58"/>
      <c r="K626" s="58"/>
      <c r="L626" s="58"/>
      <c r="M626" s="58"/>
      <c r="N626" s="58"/>
      <c r="O626" s="58"/>
      <c r="P626" s="58"/>
      <c r="Q626" s="58"/>
      <c r="R626" s="58"/>
      <c r="S626" s="58"/>
      <c r="T626" s="58"/>
      <c r="U626" s="58"/>
      <c r="V626" s="58"/>
      <c r="W626" s="58"/>
      <c r="X626" s="58"/>
      <c r="Y626" s="58"/>
      <c r="Z626" s="58"/>
    </row>
    <row r="627" ht="138.0" customHeight="1">
      <c r="A627" s="101" t="s">
        <v>3441</v>
      </c>
      <c r="B627" s="176" t="s">
        <v>142</v>
      </c>
      <c r="C627" s="75" t="s">
        <v>3442</v>
      </c>
      <c r="D627" s="75" t="s">
        <v>3445</v>
      </c>
      <c r="E627" s="75" t="s">
        <v>3446</v>
      </c>
      <c r="F627" s="75" t="s">
        <v>3355</v>
      </c>
      <c r="G627" s="76">
        <v>50.0</v>
      </c>
      <c r="H627" s="77">
        <v>50.0</v>
      </c>
      <c r="I627" s="77" t="s">
        <v>169</v>
      </c>
      <c r="J627" s="58"/>
      <c r="K627" s="58"/>
      <c r="L627" s="58"/>
      <c r="M627" s="58"/>
      <c r="N627" s="58"/>
      <c r="O627" s="58"/>
      <c r="P627" s="58"/>
      <c r="Q627" s="58"/>
      <c r="R627" s="58"/>
      <c r="S627" s="58"/>
      <c r="T627" s="58"/>
      <c r="U627" s="58"/>
      <c r="V627" s="58"/>
      <c r="W627" s="58"/>
      <c r="X627" s="58"/>
      <c r="Y627" s="58"/>
      <c r="Z627" s="58"/>
    </row>
    <row r="628" ht="110.25" customHeight="1">
      <c r="A628" s="101" t="s">
        <v>3447</v>
      </c>
      <c r="B628" s="176" t="s">
        <v>142</v>
      </c>
      <c r="C628" s="75" t="s">
        <v>3448</v>
      </c>
      <c r="D628" s="75" t="s">
        <v>3449</v>
      </c>
      <c r="E628" s="75" t="s">
        <v>3450</v>
      </c>
      <c r="F628" s="75" t="s">
        <v>3355</v>
      </c>
      <c r="G628" s="76">
        <v>50.0</v>
      </c>
      <c r="H628" s="77">
        <v>50.0</v>
      </c>
      <c r="I628" s="77" t="s">
        <v>169</v>
      </c>
      <c r="J628" s="58"/>
      <c r="K628" s="58"/>
      <c r="L628" s="58"/>
      <c r="M628" s="58"/>
      <c r="N628" s="58"/>
      <c r="O628" s="58"/>
      <c r="P628" s="58"/>
      <c r="Q628" s="58"/>
      <c r="R628" s="58"/>
      <c r="S628" s="58"/>
      <c r="T628" s="58"/>
      <c r="U628" s="58"/>
      <c r="V628" s="58"/>
      <c r="W628" s="58"/>
      <c r="X628" s="58"/>
      <c r="Y628" s="58"/>
      <c r="Z628" s="58"/>
    </row>
    <row r="629" ht="165.0" customHeight="1">
      <c r="A629" s="101" t="s">
        <v>3435</v>
      </c>
      <c r="B629" s="176" t="s">
        <v>142</v>
      </c>
      <c r="C629" s="75" t="s">
        <v>3436</v>
      </c>
      <c r="D629" s="75" t="s">
        <v>3451</v>
      </c>
      <c r="E629" s="75" t="s">
        <v>3452</v>
      </c>
      <c r="F629" s="75" t="s">
        <v>3355</v>
      </c>
      <c r="G629" s="76">
        <v>50.0</v>
      </c>
      <c r="H629" s="77">
        <v>50.0</v>
      </c>
      <c r="I629" s="77" t="s">
        <v>169</v>
      </c>
      <c r="J629" s="58"/>
      <c r="K629" s="58"/>
      <c r="L629" s="58"/>
      <c r="M629" s="58"/>
      <c r="N629" s="58"/>
      <c r="O629" s="58"/>
      <c r="P629" s="58"/>
      <c r="Q629" s="58"/>
      <c r="R629" s="58"/>
      <c r="S629" s="58"/>
      <c r="T629" s="58"/>
      <c r="U629" s="58"/>
      <c r="V629" s="58"/>
      <c r="W629" s="58"/>
      <c r="X629" s="58"/>
      <c r="Y629" s="58"/>
      <c r="Z629" s="58"/>
    </row>
    <row r="630" ht="110.25" customHeight="1">
      <c r="A630" s="101" t="s">
        <v>3435</v>
      </c>
      <c r="B630" s="176" t="s">
        <v>142</v>
      </c>
      <c r="C630" s="75" t="s">
        <v>3436</v>
      </c>
      <c r="D630" s="75" t="s">
        <v>3453</v>
      </c>
      <c r="E630" s="75" t="s">
        <v>3454</v>
      </c>
      <c r="F630" s="75" t="s">
        <v>2608</v>
      </c>
      <c r="G630" s="76">
        <v>15.0</v>
      </c>
      <c r="H630" s="77">
        <v>15.0</v>
      </c>
      <c r="I630" s="77" t="s">
        <v>169</v>
      </c>
      <c r="J630" s="58"/>
      <c r="K630" s="58"/>
      <c r="L630" s="58"/>
      <c r="M630" s="58"/>
      <c r="N630" s="58"/>
      <c r="O630" s="58"/>
      <c r="P630" s="58"/>
      <c r="Q630" s="58"/>
      <c r="R630" s="58"/>
      <c r="S630" s="58"/>
      <c r="T630" s="58"/>
      <c r="U630" s="58"/>
      <c r="V630" s="58"/>
      <c r="W630" s="58"/>
      <c r="X630" s="58"/>
      <c r="Y630" s="58"/>
      <c r="Z630" s="58"/>
    </row>
    <row r="631" ht="110.25" customHeight="1">
      <c r="A631" s="101" t="s">
        <v>3455</v>
      </c>
      <c r="B631" s="176" t="s">
        <v>142</v>
      </c>
      <c r="C631" s="75" t="s">
        <v>3456</v>
      </c>
      <c r="D631" s="75" t="s">
        <v>3457</v>
      </c>
      <c r="E631" s="75" t="s">
        <v>3458</v>
      </c>
      <c r="F631" s="75" t="s">
        <v>3459</v>
      </c>
      <c r="G631" s="76">
        <v>15.0</v>
      </c>
      <c r="H631" s="77">
        <v>15.0</v>
      </c>
      <c r="I631" s="77" t="s">
        <v>169</v>
      </c>
      <c r="J631" s="58"/>
      <c r="K631" s="58"/>
      <c r="L631" s="58"/>
      <c r="M631" s="58"/>
      <c r="N631" s="58"/>
      <c r="O631" s="58"/>
      <c r="P631" s="58"/>
      <c r="Q631" s="58"/>
      <c r="R631" s="58"/>
      <c r="S631" s="58"/>
      <c r="T631" s="58"/>
      <c r="U631" s="58"/>
      <c r="V631" s="58"/>
      <c r="W631" s="58"/>
      <c r="X631" s="58"/>
      <c r="Y631" s="58"/>
      <c r="Z631" s="58"/>
    </row>
    <row r="632" ht="123.75" customHeight="1">
      <c r="A632" s="101" t="s">
        <v>3447</v>
      </c>
      <c r="B632" s="176" t="s">
        <v>142</v>
      </c>
      <c r="C632" s="75" t="s">
        <v>3448</v>
      </c>
      <c r="D632" s="75" t="s">
        <v>3460</v>
      </c>
      <c r="E632" s="75" t="s">
        <v>3461</v>
      </c>
      <c r="F632" s="75" t="s">
        <v>3355</v>
      </c>
      <c r="G632" s="76">
        <v>50.0</v>
      </c>
      <c r="H632" s="77">
        <v>50.0</v>
      </c>
      <c r="I632" s="77" t="s">
        <v>169</v>
      </c>
      <c r="J632" s="58"/>
      <c r="K632" s="58"/>
      <c r="L632" s="58"/>
      <c r="M632" s="58"/>
      <c r="N632" s="58"/>
      <c r="O632" s="58"/>
      <c r="P632" s="58"/>
      <c r="Q632" s="58"/>
      <c r="R632" s="58"/>
      <c r="S632" s="58"/>
      <c r="T632" s="58"/>
      <c r="U632" s="58"/>
      <c r="V632" s="58"/>
      <c r="W632" s="58"/>
      <c r="X632" s="58"/>
      <c r="Y632" s="58"/>
      <c r="Z632" s="58"/>
    </row>
    <row r="633" ht="179.25" customHeight="1">
      <c r="A633" s="101" t="s">
        <v>3441</v>
      </c>
      <c r="B633" s="176" t="s">
        <v>142</v>
      </c>
      <c r="C633" s="75" t="s">
        <v>3442</v>
      </c>
      <c r="D633" s="75" t="s">
        <v>3462</v>
      </c>
      <c r="E633" s="75" t="s">
        <v>3463</v>
      </c>
      <c r="F633" s="75" t="s">
        <v>3355</v>
      </c>
      <c r="G633" s="76">
        <v>50.0</v>
      </c>
      <c r="H633" s="77">
        <v>50.0</v>
      </c>
      <c r="I633" s="77" t="s">
        <v>169</v>
      </c>
      <c r="J633" s="58"/>
      <c r="K633" s="58"/>
      <c r="L633" s="58"/>
      <c r="M633" s="58"/>
      <c r="N633" s="58"/>
      <c r="O633" s="58"/>
      <c r="P633" s="58"/>
      <c r="Q633" s="58"/>
      <c r="R633" s="58"/>
      <c r="S633" s="58"/>
      <c r="T633" s="58"/>
      <c r="U633" s="58"/>
      <c r="V633" s="58"/>
      <c r="W633" s="58"/>
      <c r="X633" s="58"/>
      <c r="Y633" s="58"/>
      <c r="Z633" s="58"/>
    </row>
    <row r="634" ht="151.5" customHeight="1">
      <c r="A634" s="101" t="s">
        <v>3435</v>
      </c>
      <c r="B634" s="176" t="s">
        <v>142</v>
      </c>
      <c r="C634" s="75" t="s">
        <v>3436</v>
      </c>
      <c r="D634" s="75" t="s">
        <v>3464</v>
      </c>
      <c r="E634" s="75" t="s">
        <v>3465</v>
      </c>
      <c r="F634" s="75" t="s">
        <v>3355</v>
      </c>
      <c r="G634" s="76">
        <v>50.0</v>
      </c>
      <c r="H634" s="77">
        <v>50.0</v>
      </c>
      <c r="I634" s="77" t="s">
        <v>169</v>
      </c>
      <c r="J634" s="58"/>
      <c r="K634" s="58"/>
      <c r="L634" s="58"/>
      <c r="M634" s="58"/>
      <c r="N634" s="58"/>
      <c r="O634" s="58"/>
      <c r="P634" s="58"/>
      <c r="Q634" s="58"/>
      <c r="R634" s="58"/>
      <c r="S634" s="58"/>
      <c r="T634" s="58"/>
      <c r="U634" s="58"/>
      <c r="V634" s="58"/>
      <c r="W634" s="58"/>
      <c r="X634" s="58"/>
      <c r="Y634" s="58"/>
      <c r="Z634" s="58"/>
    </row>
    <row r="635" ht="151.5" customHeight="1">
      <c r="A635" s="101" t="s">
        <v>3435</v>
      </c>
      <c r="B635" s="176" t="s">
        <v>142</v>
      </c>
      <c r="C635" s="75" t="s">
        <v>3436</v>
      </c>
      <c r="D635" s="75" t="s">
        <v>3466</v>
      </c>
      <c r="E635" s="75" t="s">
        <v>3467</v>
      </c>
      <c r="F635" s="75" t="s">
        <v>3355</v>
      </c>
      <c r="G635" s="76">
        <v>50.0</v>
      </c>
      <c r="H635" s="77">
        <v>50.0</v>
      </c>
      <c r="I635" s="77" t="s">
        <v>169</v>
      </c>
      <c r="J635" s="58"/>
      <c r="K635" s="58"/>
      <c r="L635" s="58"/>
      <c r="M635" s="58"/>
      <c r="N635" s="58"/>
      <c r="O635" s="58"/>
      <c r="P635" s="58"/>
      <c r="Q635" s="58"/>
      <c r="R635" s="58"/>
      <c r="S635" s="58"/>
      <c r="T635" s="58"/>
      <c r="U635" s="58"/>
      <c r="V635" s="58"/>
      <c r="W635" s="58"/>
      <c r="X635" s="58"/>
      <c r="Y635" s="58"/>
      <c r="Z635" s="58"/>
    </row>
    <row r="636" ht="110.25" customHeight="1">
      <c r="A636" s="101" t="s">
        <v>3435</v>
      </c>
      <c r="B636" s="176" t="s">
        <v>142</v>
      </c>
      <c r="C636" s="75" t="s">
        <v>3436</v>
      </c>
      <c r="D636" s="75" t="s">
        <v>3468</v>
      </c>
      <c r="E636" s="75" t="s">
        <v>3469</v>
      </c>
      <c r="F636" s="75" t="s">
        <v>3470</v>
      </c>
      <c r="G636" s="76">
        <v>15.0</v>
      </c>
      <c r="H636" s="77">
        <v>15.0</v>
      </c>
      <c r="I636" s="77" t="s">
        <v>169</v>
      </c>
      <c r="J636" s="58"/>
      <c r="K636" s="58"/>
      <c r="L636" s="58"/>
      <c r="M636" s="58"/>
      <c r="N636" s="58"/>
      <c r="O636" s="58"/>
      <c r="P636" s="58"/>
      <c r="Q636" s="58"/>
      <c r="R636" s="58"/>
      <c r="S636" s="58"/>
      <c r="T636" s="58"/>
      <c r="U636" s="58"/>
      <c r="V636" s="58"/>
      <c r="W636" s="58"/>
      <c r="X636" s="58"/>
      <c r="Y636" s="58"/>
      <c r="Z636" s="58"/>
    </row>
    <row r="637" ht="179.25" customHeight="1">
      <c r="A637" s="101" t="s">
        <v>3447</v>
      </c>
      <c r="B637" s="176" t="s">
        <v>142</v>
      </c>
      <c r="C637" s="75" t="s">
        <v>3448</v>
      </c>
      <c r="D637" s="75" t="s">
        <v>3471</v>
      </c>
      <c r="E637" s="75" t="s">
        <v>3472</v>
      </c>
      <c r="F637" s="75" t="s">
        <v>3355</v>
      </c>
      <c r="G637" s="76">
        <v>50.0</v>
      </c>
      <c r="H637" s="77">
        <v>50.0</v>
      </c>
      <c r="I637" s="77" t="s">
        <v>169</v>
      </c>
      <c r="J637" s="58"/>
      <c r="K637" s="58"/>
      <c r="L637" s="58"/>
      <c r="M637" s="58"/>
      <c r="N637" s="58"/>
      <c r="O637" s="58"/>
      <c r="P637" s="58"/>
      <c r="Q637" s="58"/>
      <c r="R637" s="58"/>
      <c r="S637" s="58"/>
      <c r="T637" s="58"/>
      <c r="U637" s="58"/>
      <c r="V637" s="58"/>
      <c r="W637" s="58"/>
      <c r="X637" s="58"/>
      <c r="Y637" s="58"/>
      <c r="Z637" s="58"/>
    </row>
    <row r="638" ht="179.25" customHeight="1">
      <c r="A638" s="101" t="s">
        <v>3447</v>
      </c>
      <c r="B638" s="176" t="s">
        <v>142</v>
      </c>
      <c r="C638" s="75" t="s">
        <v>3448</v>
      </c>
      <c r="D638" s="75" t="s">
        <v>3473</v>
      </c>
      <c r="E638" s="75" t="s">
        <v>3474</v>
      </c>
      <c r="F638" s="75" t="s">
        <v>3475</v>
      </c>
      <c r="G638" s="76">
        <v>15.0</v>
      </c>
      <c r="H638" s="77">
        <v>15.0</v>
      </c>
      <c r="I638" s="77" t="s">
        <v>169</v>
      </c>
      <c r="J638" s="58"/>
      <c r="K638" s="58"/>
      <c r="L638" s="58"/>
      <c r="M638" s="58"/>
      <c r="N638" s="58"/>
      <c r="O638" s="58"/>
      <c r="P638" s="58"/>
      <c r="Q638" s="58"/>
      <c r="R638" s="58"/>
      <c r="S638" s="58"/>
      <c r="T638" s="58"/>
      <c r="U638" s="58"/>
      <c r="V638" s="58"/>
      <c r="W638" s="58"/>
      <c r="X638" s="58"/>
      <c r="Y638" s="58"/>
      <c r="Z638" s="58"/>
    </row>
    <row r="639" ht="123.75" customHeight="1">
      <c r="A639" s="101" t="s">
        <v>3476</v>
      </c>
      <c r="B639" s="176" t="s">
        <v>142</v>
      </c>
      <c r="C639" s="75" t="s">
        <v>3477</v>
      </c>
      <c r="D639" s="75" t="s">
        <v>3478</v>
      </c>
      <c r="E639" s="75" t="s">
        <v>3479</v>
      </c>
      <c r="F639" s="75" t="s">
        <v>1262</v>
      </c>
      <c r="G639" s="76">
        <v>15.0</v>
      </c>
      <c r="H639" s="77">
        <v>15.0</v>
      </c>
      <c r="I639" s="77" t="s">
        <v>169</v>
      </c>
      <c r="J639" s="58"/>
      <c r="K639" s="58"/>
      <c r="L639" s="58"/>
      <c r="M639" s="58"/>
      <c r="N639" s="58"/>
      <c r="O639" s="58"/>
      <c r="P639" s="58"/>
      <c r="Q639" s="58"/>
      <c r="R639" s="58"/>
      <c r="S639" s="58"/>
      <c r="T639" s="58"/>
      <c r="U639" s="58"/>
      <c r="V639" s="58"/>
      <c r="W639" s="58"/>
      <c r="X639" s="58"/>
      <c r="Y639" s="58"/>
      <c r="Z639" s="58"/>
    </row>
    <row r="640" ht="276.0" customHeight="1">
      <c r="A640" s="101" t="s">
        <v>3480</v>
      </c>
      <c r="B640" s="176" t="s">
        <v>142</v>
      </c>
      <c r="C640" s="75" t="s">
        <v>3481</v>
      </c>
      <c r="D640" s="75" t="s">
        <v>3482</v>
      </c>
      <c r="E640" s="75" t="s">
        <v>3483</v>
      </c>
      <c r="F640" s="75" t="s">
        <v>1820</v>
      </c>
      <c r="G640" s="76">
        <v>50.0</v>
      </c>
      <c r="H640" s="77">
        <v>25.0</v>
      </c>
      <c r="I640" s="77" t="s">
        <v>170</v>
      </c>
      <c r="J640" s="58"/>
      <c r="K640" s="58"/>
      <c r="L640" s="58"/>
      <c r="M640" s="58"/>
      <c r="N640" s="58"/>
      <c r="O640" s="58"/>
      <c r="P640" s="58"/>
      <c r="Q640" s="58"/>
      <c r="R640" s="58"/>
      <c r="S640" s="58"/>
      <c r="T640" s="58"/>
      <c r="U640" s="58"/>
      <c r="V640" s="58"/>
      <c r="W640" s="58"/>
      <c r="X640" s="58"/>
      <c r="Y640" s="58"/>
      <c r="Z640" s="58"/>
    </row>
    <row r="641" ht="138.0" customHeight="1">
      <c r="A641" s="101" t="s">
        <v>3480</v>
      </c>
      <c r="B641" s="176" t="s">
        <v>142</v>
      </c>
      <c r="C641" s="75" t="s">
        <v>3481</v>
      </c>
      <c r="D641" s="75" t="s">
        <v>3484</v>
      </c>
      <c r="E641" s="75" t="s">
        <v>3485</v>
      </c>
      <c r="F641" s="75" t="s">
        <v>1820</v>
      </c>
      <c r="G641" s="76">
        <v>50.0</v>
      </c>
      <c r="H641" s="77">
        <v>25.0</v>
      </c>
      <c r="I641" s="77" t="s">
        <v>170</v>
      </c>
      <c r="J641" s="58"/>
      <c r="K641" s="58"/>
      <c r="L641" s="58"/>
      <c r="M641" s="58"/>
      <c r="N641" s="58"/>
      <c r="O641" s="58"/>
      <c r="P641" s="58"/>
      <c r="Q641" s="58"/>
      <c r="R641" s="58"/>
      <c r="S641" s="58"/>
      <c r="T641" s="58"/>
      <c r="U641" s="58"/>
      <c r="V641" s="58"/>
      <c r="W641" s="58"/>
      <c r="X641" s="58"/>
      <c r="Y641" s="58"/>
      <c r="Z641" s="58"/>
    </row>
    <row r="642" ht="165.0" customHeight="1">
      <c r="A642" s="101" t="s">
        <v>3480</v>
      </c>
      <c r="B642" s="176" t="s">
        <v>142</v>
      </c>
      <c r="C642" s="75" t="s">
        <v>3481</v>
      </c>
      <c r="D642" s="75" t="s">
        <v>3486</v>
      </c>
      <c r="E642" s="75" t="s">
        <v>3487</v>
      </c>
      <c r="F642" s="75" t="s">
        <v>1820</v>
      </c>
      <c r="G642" s="76">
        <v>50.0</v>
      </c>
      <c r="H642" s="77">
        <v>25.0</v>
      </c>
      <c r="I642" s="77" t="s">
        <v>170</v>
      </c>
      <c r="J642" s="58"/>
      <c r="K642" s="58"/>
      <c r="L642" s="58"/>
      <c r="M642" s="58"/>
      <c r="N642" s="58"/>
      <c r="O642" s="58"/>
      <c r="P642" s="58"/>
      <c r="Q642" s="58"/>
      <c r="R642" s="58"/>
      <c r="S642" s="58"/>
      <c r="T642" s="58"/>
      <c r="U642" s="58"/>
      <c r="V642" s="58"/>
      <c r="W642" s="58"/>
      <c r="X642" s="58"/>
      <c r="Y642" s="58"/>
      <c r="Z642" s="58"/>
    </row>
    <row r="643" ht="165.0" customHeight="1">
      <c r="A643" s="101" t="s">
        <v>3488</v>
      </c>
      <c r="B643" s="176" t="s">
        <v>142</v>
      </c>
      <c r="C643" s="75" t="s">
        <v>3489</v>
      </c>
      <c r="D643" s="75" t="s">
        <v>3490</v>
      </c>
      <c r="E643" s="75" t="s">
        <v>3491</v>
      </c>
      <c r="F643" s="75" t="s">
        <v>3492</v>
      </c>
      <c r="G643" s="76">
        <v>15.0</v>
      </c>
      <c r="H643" s="77">
        <v>15.0</v>
      </c>
      <c r="I643" s="77" t="s">
        <v>170</v>
      </c>
      <c r="J643" s="58"/>
      <c r="K643" s="58"/>
      <c r="L643" s="58"/>
      <c r="M643" s="58"/>
      <c r="N643" s="58"/>
      <c r="O643" s="58"/>
      <c r="P643" s="58"/>
      <c r="Q643" s="58"/>
      <c r="R643" s="58"/>
      <c r="S643" s="58"/>
      <c r="T643" s="58"/>
      <c r="U643" s="58"/>
      <c r="V643" s="58"/>
      <c r="W643" s="58"/>
      <c r="X643" s="58"/>
      <c r="Y643" s="58"/>
      <c r="Z643" s="58"/>
    </row>
    <row r="644" ht="192.75" customHeight="1">
      <c r="A644" s="101" t="s">
        <v>3488</v>
      </c>
      <c r="B644" s="176" t="s">
        <v>142</v>
      </c>
      <c r="C644" s="75" t="s">
        <v>3493</v>
      </c>
      <c r="D644" s="75" t="s">
        <v>3494</v>
      </c>
      <c r="E644" s="75" t="s">
        <v>3495</v>
      </c>
      <c r="F644" s="75" t="s">
        <v>3496</v>
      </c>
      <c r="G644" s="76">
        <v>50.0</v>
      </c>
      <c r="H644" s="77">
        <v>50.0</v>
      </c>
      <c r="I644" s="77" t="s">
        <v>170</v>
      </c>
      <c r="J644" s="58"/>
      <c r="K644" s="58"/>
      <c r="L644" s="58"/>
      <c r="M644" s="58"/>
      <c r="N644" s="58"/>
      <c r="O644" s="58"/>
      <c r="P644" s="58"/>
      <c r="Q644" s="58"/>
      <c r="R644" s="58"/>
      <c r="S644" s="58"/>
      <c r="T644" s="58"/>
      <c r="U644" s="58"/>
      <c r="V644" s="58"/>
      <c r="W644" s="58"/>
      <c r="X644" s="58"/>
      <c r="Y644" s="58"/>
      <c r="Z644" s="58"/>
    </row>
    <row r="645" ht="151.5" customHeight="1">
      <c r="A645" s="101" t="s">
        <v>3497</v>
      </c>
      <c r="B645" s="176" t="s">
        <v>142</v>
      </c>
      <c r="C645" s="75" t="s">
        <v>3498</v>
      </c>
      <c r="D645" s="75" t="s">
        <v>3499</v>
      </c>
      <c r="E645" s="75" t="s">
        <v>3500</v>
      </c>
      <c r="F645" s="75" t="s">
        <v>3501</v>
      </c>
      <c r="G645" s="76">
        <v>15.0</v>
      </c>
      <c r="H645" s="77">
        <v>7.5</v>
      </c>
      <c r="I645" s="77" t="s">
        <v>172</v>
      </c>
      <c r="J645" s="58"/>
      <c r="K645" s="58"/>
      <c r="L645" s="58"/>
      <c r="M645" s="58"/>
      <c r="N645" s="58"/>
      <c r="O645" s="58"/>
      <c r="P645" s="58"/>
      <c r="Q645" s="58"/>
      <c r="R645" s="58"/>
      <c r="S645" s="58"/>
      <c r="T645" s="58"/>
      <c r="U645" s="58"/>
      <c r="V645" s="58"/>
      <c r="W645" s="58"/>
      <c r="X645" s="58"/>
      <c r="Y645" s="58"/>
      <c r="Z645" s="58"/>
    </row>
    <row r="646" ht="165.0" customHeight="1">
      <c r="A646" s="101" t="s">
        <v>3497</v>
      </c>
      <c r="B646" s="176" t="s">
        <v>142</v>
      </c>
      <c r="C646" s="75" t="s">
        <v>3498</v>
      </c>
      <c r="D646" s="75" t="s">
        <v>3502</v>
      </c>
      <c r="E646" s="75" t="s">
        <v>3503</v>
      </c>
      <c r="F646" s="75"/>
      <c r="G646" s="76">
        <v>15.0</v>
      </c>
      <c r="H646" s="77">
        <v>7.5</v>
      </c>
      <c r="I646" s="77" t="s">
        <v>172</v>
      </c>
      <c r="J646" s="58"/>
      <c r="K646" s="58"/>
      <c r="L646" s="58"/>
      <c r="M646" s="58"/>
      <c r="N646" s="58"/>
      <c r="O646" s="58"/>
      <c r="P646" s="58"/>
      <c r="Q646" s="58"/>
      <c r="R646" s="58"/>
      <c r="S646" s="58"/>
      <c r="T646" s="58"/>
      <c r="U646" s="58"/>
      <c r="V646" s="58"/>
      <c r="W646" s="58"/>
      <c r="X646" s="58"/>
      <c r="Y646" s="58"/>
      <c r="Z646" s="58"/>
    </row>
    <row r="647" ht="165.0" customHeight="1">
      <c r="A647" s="101" t="s">
        <v>3504</v>
      </c>
      <c r="B647" s="176" t="s">
        <v>142</v>
      </c>
      <c r="C647" s="75" t="s">
        <v>3505</v>
      </c>
      <c r="D647" s="75" t="s">
        <v>3506</v>
      </c>
      <c r="E647" s="75" t="s">
        <v>3507</v>
      </c>
      <c r="F647" s="75" t="s">
        <v>2272</v>
      </c>
      <c r="G647" s="76">
        <v>50.0</v>
      </c>
      <c r="H647" s="77">
        <v>25.0</v>
      </c>
      <c r="I647" s="77" t="s">
        <v>172</v>
      </c>
      <c r="J647" s="58"/>
      <c r="K647" s="58"/>
      <c r="L647" s="58"/>
      <c r="M647" s="58"/>
      <c r="N647" s="58"/>
      <c r="O647" s="58"/>
      <c r="P647" s="58"/>
      <c r="Q647" s="58"/>
      <c r="R647" s="58"/>
      <c r="S647" s="58"/>
      <c r="T647" s="58"/>
      <c r="U647" s="58"/>
      <c r="V647" s="58"/>
      <c r="W647" s="58"/>
      <c r="X647" s="58"/>
      <c r="Y647" s="58"/>
      <c r="Z647" s="58"/>
    </row>
    <row r="648" ht="165.0" customHeight="1">
      <c r="A648" s="101" t="s">
        <v>3508</v>
      </c>
      <c r="B648" s="176" t="s">
        <v>142</v>
      </c>
      <c r="C648" s="75" t="s">
        <v>3509</v>
      </c>
      <c r="D648" s="75" t="s">
        <v>3510</v>
      </c>
      <c r="E648" s="75" t="s">
        <v>3511</v>
      </c>
      <c r="F648" s="75" t="s">
        <v>1820</v>
      </c>
      <c r="G648" s="76">
        <v>50.0</v>
      </c>
      <c r="H648" s="77">
        <v>50.0</v>
      </c>
      <c r="I648" s="77" t="s">
        <v>172</v>
      </c>
      <c r="J648" s="58"/>
      <c r="K648" s="58"/>
      <c r="L648" s="58"/>
      <c r="M648" s="58"/>
      <c r="N648" s="58"/>
      <c r="O648" s="58"/>
      <c r="P648" s="58"/>
      <c r="Q648" s="58"/>
      <c r="R648" s="58"/>
      <c r="S648" s="58"/>
      <c r="T648" s="58"/>
      <c r="U648" s="58"/>
      <c r="V648" s="58"/>
      <c r="W648" s="58"/>
      <c r="X648" s="58"/>
      <c r="Y648" s="58"/>
      <c r="Z648" s="58"/>
    </row>
    <row r="649" ht="96.0" customHeight="1">
      <c r="A649" s="101" t="s">
        <v>3508</v>
      </c>
      <c r="B649" s="176" t="s">
        <v>142</v>
      </c>
      <c r="C649" s="75" t="s">
        <v>3512</v>
      </c>
      <c r="D649" s="75" t="s">
        <v>3513</v>
      </c>
      <c r="E649" s="75" t="s">
        <v>3514</v>
      </c>
      <c r="F649" s="75" t="s">
        <v>3515</v>
      </c>
      <c r="G649" s="76">
        <v>15.0</v>
      </c>
      <c r="H649" s="77">
        <v>15.0</v>
      </c>
      <c r="I649" s="77" t="s">
        <v>172</v>
      </c>
      <c r="J649" s="58"/>
      <c r="K649" s="58"/>
      <c r="L649" s="58"/>
      <c r="M649" s="58"/>
      <c r="N649" s="58"/>
      <c r="O649" s="58"/>
      <c r="P649" s="58"/>
      <c r="Q649" s="58"/>
      <c r="R649" s="58"/>
      <c r="S649" s="58"/>
      <c r="T649" s="58"/>
      <c r="U649" s="58"/>
      <c r="V649" s="58"/>
      <c r="W649" s="58"/>
      <c r="X649" s="58"/>
      <c r="Y649" s="58"/>
      <c r="Z649" s="58"/>
    </row>
    <row r="650" ht="138.0" customHeight="1">
      <c r="A650" s="101" t="s">
        <v>3508</v>
      </c>
      <c r="B650" s="176" t="s">
        <v>142</v>
      </c>
      <c r="C650" s="75" t="s">
        <v>3516</v>
      </c>
      <c r="D650" s="75" t="s">
        <v>3517</v>
      </c>
      <c r="E650" s="75" t="s">
        <v>3518</v>
      </c>
      <c r="F650" s="75"/>
      <c r="G650" s="76">
        <v>15.0</v>
      </c>
      <c r="H650" s="77">
        <v>15.0</v>
      </c>
      <c r="I650" s="77" t="s">
        <v>172</v>
      </c>
      <c r="J650" s="58"/>
      <c r="K650" s="58"/>
      <c r="L650" s="58"/>
      <c r="M650" s="58"/>
      <c r="N650" s="58"/>
      <c r="O650" s="58"/>
      <c r="P650" s="58"/>
      <c r="Q650" s="58"/>
      <c r="R650" s="58"/>
      <c r="S650" s="58"/>
      <c r="T650" s="58"/>
      <c r="U650" s="58"/>
      <c r="V650" s="58"/>
      <c r="W650" s="58"/>
      <c r="X650" s="58"/>
      <c r="Y650" s="58"/>
      <c r="Z650" s="58"/>
    </row>
    <row r="651" ht="110.25" customHeight="1">
      <c r="A651" s="101" t="s">
        <v>3508</v>
      </c>
      <c r="B651" s="176" t="s">
        <v>142</v>
      </c>
      <c r="C651" s="75" t="s">
        <v>3516</v>
      </c>
      <c r="D651" s="75" t="s">
        <v>3519</v>
      </c>
      <c r="E651" s="75" t="s">
        <v>3520</v>
      </c>
      <c r="F651" s="75" t="s">
        <v>3521</v>
      </c>
      <c r="G651" s="76">
        <v>15.0</v>
      </c>
      <c r="H651" s="77">
        <v>15.0</v>
      </c>
      <c r="I651" s="77" t="s">
        <v>172</v>
      </c>
      <c r="J651" s="58"/>
      <c r="K651" s="58"/>
      <c r="L651" s="58"/>
      <c r="M651" s="58"/>
      <c r="N651" s="58"/>
      <c r="O651" s="58"/>
      <c r="P651" s="58"/>
      <c r="Q651" s="58"/>
      <c r="R651" s="58"/>
      <c r="S651" s="58"/>
      <c r="T651" s="58"/>
      <c r="U651" s="58"/>
      <c r="V651" s="58"/>
      <c r="W651" s="58"/>
      <c r="X651" s="58"/>
      <c r="Y651" s="58"/>
      <c r="Z651" s="58"/>
    </row>
    <row r="652" ht="96.0" customHeight="1">
      <c r="A652" s="101" t="s">
        <v>3522</v>
      </c>
      <c r="B652" s="176" t="s">
        <v>142</v>
      </c>
      <c r="C652" s="75" t="s">
        <v>3523</v>
      </c>
      <c r="D652" s="75" t="s">
        <v>3524</v>
      </c>
      <c r="E652" s="75" t="s">
        <v>3525</v>
      </c>
      <c r="F652" s="75" t="s">
        <v>3526</v>
      </c>
      <c r="G652" s="76">
        <v>15.0</v>
      </c>
      <c r="H652" s="77">
        <v>7.5</v>
      </c>
      <c r="I652" s="77" t="s">
        <v>172</v>
      </c>
      <c r="J652" s="58"/>
      <c r="K652" s="58"/>
      <c r="L652" s="58"/>
      <c r="M652" s="58"/>
      <c r="N652" s="58"/>
      <c r="O652" s="58"/>
      <c r="P652" s="58"/>
      <c r="Q652" s="58"/>
      <c r="R652" s="58"/>
      <c r="S652" s="58"/>
      <c r="T652" s="58"/>
      <c r="U652" s="58"/>
      <c r="V652" s="58"/>
      <c r="W652" s="58"/>
      <c r="X652" s="58"/>
      <c r="Y652" s="58"/>
      <c r="Z652" s="58"/>
    </row>
    <row r="653" ht="96.0" customHeight="1">
      <c r="A653" s="101" t="s">
        <v>3527</v>
      </c>
      <c r="B653" s="176" t="s">
        <v>142</v>
      </c>
      <c r="C653" s="75" t="s">
        <v>3528</v>
      </c>
      <c r="D653" s="75" t="s">
        <v>3529</v>
      </c>
      <c r="E653" s="75" t="s">
        <v>3530</v>
      </c>
      <c r="F653" s="75" t="s">
        <v>3531</v>
      </c>
      <c r="G653" s="76">
        <v>15.0</v>
      </c>
      <c r="H653" s="77">
        <v>5.0</v>
      </c>
      <c r="I653" s="77" t="s">
        <v>172</v>
      </c>
      <c r="J653" s="58"/>
      <c r="K653" s="58"/>
      <c r="L653" s="58"/>
      <c r="M653" s="58"/>
      <c r="N653" s="58"/>
      <c r="O653" s="58"/>
      <c r="P653" s="58"/>
      <c r="Q653" s="58"/>
      <c r="R653" s="58"/>
      <c r="S653" s="58"/>
      <c r="T653" s="58"/>
      <c r="U653" s="58"/>
      <c r="V653" s="58"/>
      <c r="W653" s="58"/>
      <c r="X653" s="58"/>
      <c r="Y653" s="58"/>
      <c r="Z653" s="58"/>
    </row>
    <row r="654" ht="138.0" customHeight="1">
      <c r="A654" s="101" t="s">
        <v>311</v>
      </c>
      <c r="B654" s="176" t="s">
        <v>142</v>
      </c>
      <c r="C654" s="75" t="s">
        <v>3532</v>
      </c>
      <c r="D654" s="75" t="s">
        <v>3533</v>
      </c>
      <c r="E654" s="75" t="s">
        <v>3534</v>
      </c>
      <c r="F654" s="75" t="s">
        <v>2272</v>
      </c>
      <c r="G654" s="76">
        <v>50.0</v>
      </c>
      <c r="H654" s="77">
        <v>50.0</v>
      </c>
      <c r="I654" s="77" t="s">
        <v>173</v>
      </c>
      <c r="J654" s="58"/>
      <c r="K654" s="58"/>
      <c r="L654" s="58"/>
      <c r="M654" s="58"/>
      <c r="N654" s="58"/>
      <c r="O654" s="58"/>
      <c r="P654" s="58"/>
      <c r="Q654" s="58"/>
      <c r="R654" s="58"/>
      <c r="S654" s="58"/>
      <c r="T654" s="58"/>
      <c r="U654" s="58"/>
      <c r="V654" s="58"/>
      <c r="W654" s="58"/>
      <c r="X654" s="58"/>
      <c r="Y654" s="58"/>
      <c r="Z654" s="58"/>
    </row>
    <row r="655" ht="165.0" customHeight="1">
      <c r="A655" s="101" t="s">
        <v>311</v>
      </c>
      <c r="B655" s="176" t="s">
        <v>142</v>
      </c>
      <c r="C655" s="75" t="s">
        <v>3532</v>
      </c>
      <c r="D655" s="75" t="s">
        <v>3535</v>
      </c>
      <c r="E655" s="75" t="s">
        <v>3536</v>
      </c>
      <c r="F655" s="75" t="s">
        <v>2272</v>
      </c>
      <c r="G655" s="76">
        <v>50.0</v>
      </c>
      <c r="H655" s="77">
        <v>50.0</v>
      </c>
      <c r="I655" s="77" t="s">
        <v>173</v>
      </c>
      <c r="J655" s="58"/>
      <c r="K655" s="58"/>
      <c r="L655" s="58"/>
      <c r="M655" s="58"/>
      <c r="N655" s="58"/>
      <c r="O655" s="58"/>
      <c r="P655" s="58"/>
      <c r="Q655" s="58"/>
      <c r="R655" s="58"/>
      <c r="S655" s="58"/>
      <c r="T655" s="58"/>
      <c r="U655" s="58"/>
      <c r="V655" s="58"/>
      <c r="W655" s="58"/>
      <c r="X655" s="58"/>
      <c r="Y655" s="58"/>
      <c r="Z655" s="58"/>
    </row>
    <row r="656" ht="110.25" customHeight="1">
      <c r="A656" s="101" t="s">
        <v>311</v>
      </c>
      <c r="B656" s="176" t="s">
        <v>142</v>
      </c>
      <c r="C656" s="75" t="s">
        <v>3537</v>
      </c>
      <c r="D656" s="75" t="s">
        <v>3538</v>
      </c>
      <c r="E656" s="75" t="s">
        <v>3539</v>
      </c>
      <c r="F656" s="75" t="s">
        <v>3540</v>
      </c>
      <c r="G656" s="76">
        <v>15.0</v>
      </c>
      <c r="H656" s="77">
        <v>15.0</v>
      </c>
      <c r="I656" s="77" t="s">
        <v>173</v>
      </c>
      <c r="J656" s="58"/>
      <c r="K656" s="58"/>
      <c r="L656" s="58"/>
      <c r="M656" s="58"/>
      <c r="N656" s="58"/>
      <c r="O656" s="58"/>
      <c r="P656" s="58"/>
      <c r="Q656" s="58"/>
      <c r="R656" s="58"/>
      <c r="S656" s="58"/>
      <c r="T656" s="58"/>
      <c r="U656" s="58"/>
      <c r="V656" s="58"/>
      <c r="W656" s="58"/>
      <c r="X656" s="58"/>
      <c r="Y656" s="58"/>
      <c r="Z656" s="58"/>
    </row>
    <row r="657" ht="138.0" customHeight="1">
      <c r="A657" s="101" t="s">
        <v>311</v>
      </c>
      <c r="B657" s="176" t="s">
        <v>142</v>
      </c>
      <c r="C657" s="75" t="s">
        <v>3541</v>
      </c>
      <c r="D657" s="75" t="s">
        <v>3542</v>
      </c>
      <c r="E657" s="75" t="s">
        <v>3543</v>
      </c>
      <c r="F657" s="75" t="s">
        <v>1262</v>
      </c>
      <c r="G657" s="76">
        <v>15.0</v>
      </c>
      <c r="H657" s="77">
        <v>15.0</v>
      </c>
      <c r="I657" s="77" t="s">
        <v>173</v>
      </c>
      <c r="J657" s="58"/>
      <c r="K657" s="58"/>
      <c r="L657" s="58"/>
      <c r="M657" s="58"/>
      <c r="N657" s="58"/>
      <c r="O657" s="58"/>
      <c r="P657" s="58"/>
      <c r="Q657" s="58"/>
      <c r="R657" s="58"/>
      <c r="S657" s="58"/>
      <c r="T657" s="58"/>
      <c r="U657" s="58"/>
      <c r="V657" s="58"/>
      <c r="W657" s="58"/>
      <c r="X657" s="58"/>
      <c r="Y657" s="58"/>
      <c r="Z657" s="58"/>
    </row>
    <row r="658" ht="138.0" customHeight="1">
      <c r="A658" s="101" t="s">
        <v>311</v>
      </c>
      <c r="B658" s="176" t="s">
        <v>142</v>
      </c>
      <c r="C658" s="75" t="s">
        <v>3544</v>
      </c>
      <c r="D658" s="75" t="s">
        <v>3545</v>
      </c>
      <c r="E658" s="75" t="s">
        <v>3546</v>
      </c>
      <c r="F658" s="75" t="s">
        <v>3547</v>
      </c>
      <c r="G658" s="76">
        <v>15.0</v>
      </c>
      <c r="H658" s="77">
        <v>15.0</v>
      </c>
      <c r="I658" s="77" t="s">
        <v>173</v>
      </c>
      <c r="J658" s="58"/>
      <c r="K658" s="58"/>
      <c r="L658" s="58"/>
      <c r="M658" s="58"/>
      <c r="N658" s="58"/>
      <c r="O658" s="58"/>
      <c r="P658" s="58"/>
      <c r="Q658" s="58"/>
      <c r="R658" s="58"/>
      <c r="S658" s="58"/>
      <c r="T658" s="58"/>
      <c r="U658" s="58"/>
      <c r="V658" s="58"/>
      <c r="W658" s="58"/>
      <c r="X658" s="58"/>
      <c r="Y658" s="58"/>
      <c r="Z658" s="58"/>
    </row>
    <row r="659" ht="96.0" customHeight="1">
      <c r="A659" s="101" t="s">
        <v>311</v>
      </c>
      <c r="B659" s="176" t="s">
        <v>142</v>
      </c>
      <c r="C659" s="75" t="s">
        <v>3548</v>
      </c>
      <c r="D659" s="75" t="s">
        <v>3549</v>
      </c>
      <c r="E659" s="75" t="s">
        <v>3550</v>
      </c>
      <c r="F659" s="75" t="s">
        <v>3551</v>
      </c>
      <c r="G659" s="76">
        <v>15.0</v>
      </c>
      <c r="H659" s="77">
        <v>15.0</v>
      </c>
      <c r="I659" s="77" t="s">
        <v>173</v>
      </c>
      <c r="J659" s="58"/>
      <c r="K659" s="58"/>
      <c r="L659" s="58"/>
      <c r="M659" s="58"/>
      <c r="N659" s="58"/>
      <c r="O659" s="58"/>
      <c r="P659" s="58"/>
      <c r="Q659" s="58"/>
      <c r="R659" s="58"/>
      <c r="S659" s="58"/>
      <c r="T659" s="58"/>
      <c r="U659" s="58"/>
      <c r="V659" s="58"/>
      <c r="W659" s="58"/>
      <c r="X659" s="58"/>
      <c r="Y659" s="58"/>
      <c r="Z659" s="58"/>
    </row>
    <row r="660" ht="123.75" customHeight="1">
      <c r="A660" s="101" t="s">
        <v>311</v>
      </c>
      <c r="B660" s="176" t="s">
        <v>142</v>
      </c>
      <c r="C660" s="75" t="s">
        <v>3548</v>
      </c>
      <c r="D660" s="75" t="s">
        <v>3552</v>
      </c>
      <c r="E660" s="75" t="s">
        <v>3553</v>
      </c>
      <c r="F660" s="75" t="s">
        <v>3551</v>
      </c>
      <c r="G660" s="76">
        <v>15.0</v>
      </c>
      <c r="H660" s="77">
        <v>15.0</v>
      </c>
      <c r="I660" s="77" t="s">
        <v>173</v>
      </c>
      <c r="J660" s="58"/>
      <c r="K660" s="58"/>
      <c r="L660" s="58"/>
      <c r="M660" s="58"/>
      <c r="N660" s="58"/>
      <c r="O660" s="58"/>
      <c r="P660" s="58"/>
      <c r="Q660" s="58"/>
      <c r="R660" s="58"/>
      <c r="S660" s="58"/>
      <c r="T660" s="58"/>
      <c r="U660" s="58"/>
      <c r="V660" s="58"/>
      <c r="W660" s="58"/>
      <c r="X660" s="58"/>
      <c r="Y660" s="58"/>
      <c r="Z660" s="58"/>
    </row>
    <row r="661" ht="96.0" customHeight="1">
      <c r="A661" s="101" t="s">
        <v>311</v>
      </c>
      <c r="B661" s="176" t="s">
        <v>142</v>
      </c>
      <c r="C661" s="75" t="s">
        <v>3554</v>
      </c>
      <c r="D661" s="75" t="s">
        <v>3555</v>
      </c>
      <c r="E661" s="75" t="s">
        <v>3556</v>
      </c>
      <c r="F661" s="75" t="s">
        <v>3557</v>
      </c>
      <c r="G661" s="76">
        <v>15.0</v>
      </c>
      <c r="H661" s="77">
        <v>15.0</v>
      </c>
      <c r="I661" s="77" t="s">
        <v>173</v>
      </c>
      <c r="J661" s="58"/>
      <c r="K661" s="58"/>
      <c r="L661" s="58"/>
      <c r="M661" s="58"/>
      <c r="N661" s="58"/>
      <c r="O661" s="58"/>
      <c r="P661" s="58"/>
      <c r="Q661" s="58"/>
      <c r="R661" s="58"/>
      <c r="S661" s="58"/>
      <c r="T661" s="58"/>
      <c r="U661" s="58"/>
      <c r="V661" s="58"/>
      <c r="W661" s="58"/>
      <c r="X661" s="58"/>
      <c r="Y661" s="58"/>
      <c r="Z661" s="58"/>
    </row>
    <row r="662" ht="123.75" customHeight="1">
      <c r="A662" s="101" t="s">
        <v>311</v>
      </c>
      <c r="B662" s="176" t="s">
        <v>142</v>
      </c>
      <c r="C662" s="75" t="s">
        <v>3558</v>
      </c>
      <c r="D662" s="75" t="s">
        <v>3559</v>
      </c>
      <c r="E662" s="75" t="s">
        <v>3560</v>
      </c>
      <c r="F662" s="75" t="s">
        <v>3561</v>
      </c>
      <c r="G662" s="76">
        <v>15.0</v>
      </c>
      <c r="H662" s="77">
        <v>15.0</v>
      </c>
      <c r="I662" s="77" t="s">
        <v>173</v>
      </c>
      <c r="J662" s="58"/>
      <c r="K662" s="58"/>
      <c r="L662" s="58"/>
      <c r="M662" s="58"/>
      <c r="N662" s="58"/>
      <c r="O662" s="58"/>
      <c r="P662" s="58"/>
      <c r="Q662" s="58"/>
      <c r="R662" s="58"/>
      <c r="S662" s="58"/>
      <c r="T662" s="58"/>
      <c r="U662" s="58"/>
      <c r="V662" s="58"/>
      <c r="W662" s="58"/>
      <c r="X662" s="58"/>
      <c r="Y662" s="58"/>
      <c r="Z662" s="58"/>
    </row>
    <row r="663" ht="96.0" customHeight="1">
      <c r="A663" s="101" t="s">
        <v>311</v>
      </c>
      <c r="B663" s="176" t="s">
        <v>142</v>
      </c>
      <c r="C663" s="75" t="s">
        <v>3554</v>
      </c>
      <c r="D663" s="75" t="s">
        <v>3562</v>
      </c>
      <c r="E663" s="75" t="s">
        <v>3563</v>
      </c>
      <c r="F663" s="75" t="s">
        <v>3564</v>
      </c>
      <c r="G663" s="76">
        <v>15.0</v>
      </c>
      <c r="H663" s="77">
        <v>15.0</v>
      </c>
      <c r="I663" s="77" t="s">
        <v>173</v>
      </c>
      <c r="J663" s="58"/>
      <c r="K663" s="58"/>
      <c r="L663" s="58"/>
      <c r="M663" s="58"/>
      <c r="N663" s="58"/>
      <c r="O663" s="58"/>
      <c r="P663" s="58"/>
      <c r="Q663" s="58"/>
      <c r="R663" s="58"/>
      <c r="S663" s="58"/>
      <c r="T663" s="58"/>
      <c r="U663" s="58"/>
      <c r="V663" s="58"/>
      <c r="W663" s="58"/>
      <c r="X663" s="58"/>
      <c r="Y663" s="58"/>
      <c r="Z663" s="58"/>
    </row>
    <row r="664" ht="138.0" customHeight="1">
      <c r="A664" s="101" t="s">
        <v>311</v>
      </c>
      <c r="B664" s="176" t="s">
        <v>142</v>
      </c>
      <c r="C664" s="75" t="s">
        <v>3565</v>
      </c>
      <c r="D664" s="75" t="s">
        <v>3566</v>
      </c>
      <c r="E664" s="75" t="s">
        <v>3567</v>
      </c>
      <c r="F664" s="75" t="s">
        <v>2272</v>
      </c>
      <c r="G664" s="76">
        <v>50.0</v>
      </c>
      <c r="H664" s="77">
        <v>50.0</v>
      </c>
      <c r="I664" s="77" t="s">
        <v>173</v>
      </c>
      <c r="J664" s="58"/>
      <c r="K664" s="58"/>
      <c r="L664" s="58"/>
      <c r="M664" s="58"/>
      <c r="N664" s="58"/>
      <c r="O664" s="58"/>
      <c r="P664" s="58"/>
      <c r="Q664" s="58"/>
      <c r="R664" s="58"/>
      <c r="S664" s="58"/>
      <c r="T664" s="58"/>
      <c r="U664" s="58"/>
      <c r="V664" s="58"/>
      <c r="W664" s="58"/>
      <c r="X664" s="58"/>
      <c r="Y664" s="58"/>
      <c r="Z664" s="58"/>
    </row>
    <row r="665" ht="138.0" customHeight="1">
      <c r="A665" s="101" t="s">
        <v>311</v>
      </c>
      <c r="B665" s="176" t="s">
        <v>142</v>
      </c>
      <c r="C665" s="75" t="s">
        <v>3568</v>
      </c>
      <c r="D665" s="75" t="s">
        <v>3569</v>
      </c>
      <c r="E665" s="75" t="s">
        <v>3570</v>
      </c>
      <c r="F665" s="75" t="s">
        <v>3571</v>
      </c>
      <c r="G665" s="76">
        <v>15.0</v>
      </c>
      <c r="H665" s="77">
        <v>15.0</v>
      </c>
      <c r="I665" s="77" t="s">
        <v>173</v>
      </c>
      <c r="J665" s="58"/>
      <c r="K665" s="58"/>
      <c r="L665" s="58"/>
      <c r="M665" s="58"/>
      <c r="N665" s="58"/>
      <c r="O665" s="58"/>
      <c r="P665" s="58"/>
      <c r="Q665" s="58"/>
      <c r="R665" s="58"/>
      <c r="S665" s="58"/>
      <c r="T665" s="58"/>
      <c r="U665" s="58"/>
      <c r="V665" s="58"/>
      <c r="W665" s="58"/>
      <c r="X665" s="58"/>
      <c r="Y665" s="58"/>
      <c r="Z665" s="58"/>
    </row>
    <row r="666" ht="96.0" customHeight="1">
      <c r="A666" s="101" t="s">
        <v>311</v>
      </c>
      <c r="B666" s="176" t="s">
        <v>142</v>
      </c>
      <c r="C666" s="75" t="s">
        <v>3554</v>
      </c>
      <c r="D666" s="75" t="s">
        <v>3572</v>
      </c>
      <c r="E666" s="75" t="s">
        <v>3573</v>
      </c>
      <c r="F666" s="75" t="s">
        <v>3574</v>
      </c>
      <c r="G666" s="76">
        <v>15.0</v>
      </c>
      <c r="H666" s="77">
        <v>15.0</v>
      </c>
      <c r="I666" s="77" t="s">
        <v>173</v>
      </c>
      <c r="J666" s="58"/>
      <c r="K666" s="58"/>
      <c r="L666" s="58"/>
      <c r="M666" s="58"/>
      <c r="N666" s="58"/>
      <c r="O666" s="58"/>
      <c r="P666" s="58"/>
      <c r="Q666" s="58"/>
      <c r="R666" s="58"/>
      <c r="S666" s="58"/>
      <c r="T666" s="58"/>
      <c r="U666" s="58"/>
      <c r="V666" s="58"/>
      <c r="W666" s="58"/>
      <c r="X666" s="58"/>
      <c r="Y666" s="58"/>
      <c r="Z666" s="58"/>
    </row>
    <row r="667" ht="96.0" customHeight="1">
      <c r="A667" s="101" t="s">
        <v>311</v>
      </c>
      <c r="B667" s="176" t="s">
        <v>142</v>
      </c>
      <c r="C667" s="75" t="s">
        <v>3554</v>
      </c>
      <c r="D667" s="75" t="s">
        <v>3575</v>
      </c>
      <c r="E667" s="75" t="s">
        <v>3576</v>
      </c>
      <c r="F667" s="75" t="s">
        <v>3574</v>
      </c>
      <c r="G667" s="76">
        <v>15.0</v>
      </c>
      <c r="H667" s="77">
        <v>15.0</v>
      </c>
      <c r="I667" s="77" t="s">
        <v>173</v>
      </c>
      <c r="J667" s="58"/>
      <c r="K667" s="58"/>
      <c r="L667" s="58"/>
      <c r="M667" s="58"/>
      <c r="N667" s="58"/>
      <c r="O667" s="58"/>
      <c r="P667" s="58"/>
      <c r="Q667" s="58"/>
      <c r="R667" s="58"/>
      <c r="S667" s="58"/>
      <c r="T667" s="58"/>
      <c r="U667" s="58"/>
      <c r="V667" s="58"/>
      <c r="W667" s="58"/>
      <c r="X667" s="58"/>
      <c r="Y667" s="58"/>
      <c r="Z667" s="58"/>
    </row>
    <row r="668" ht="96.0" customHeight="1">
      <c r="A668" s="101" t="s">
        <v>311</v>
      </c>
      <c r="B668" s="176" t="s">
        <v>142</v>
      </c>
      <c r="C668" s="75" t="s">
        <v>3554</v>
      </c>
      <c r="D668" s="75" t="s">
        <v>3577</v>
      </c>
      <c r="E668" s="75" t="s">
        <v>3578</v>
      </c>
      <c r="F668" s="75" t="s">
        <v>3579</v>
      </c>
      <c r="G668" s="76">
        <v>15.0</v>
      </c>
      <c r="H668" s="77">
        <v>15.0</v>
      </c>
      <c r="I668" s="77" t="s">
        <v>173</v>
      </c>
      <c r="J668" s="58"/>
      <c r="K668" s="58"/>
      <c r="L668" s="58"/>
      <c r="M668" s="58"/>
      <c r="N668" s="58"/>
      <c r="O668" s="58"/>
      <c r="P668" s="58"/>
      <c r="Q668" s="58"/>
      <c r="R668" s="58"/>
      <c r="S668" s="58"/>
      <c r="T668" s="58"/>
      <c r="U668" s="58"/>
      <c r="V668" s="58"/>
      <c r="W668" s="58"/>
      <c r="X668" s="58"/>
      <c r="Y668" s="58"/>
      <c r="Z668" s="58"/>
    </row>
    <row r="669" ht="96.0" customHeight="1">
      <c r="A669" s="101" t="s">
        <v>311</v>
      </c>
      <c r="B669" s="176" t="s">
        <v>142</v>
      </c>
      <c r="C669" s="75" t="s">
        <v>3554</v>
      </c>
      <c r="D669" s="75" t="s">
        <v>3580</v>
      </c>
      <c r="E669" s="75" t="s">
        <v>3581</v>
      </c>
      <c r="F669" s="75" t="s">
        <v>3582</v>
      </c>
      <c r="G669" s="76">
        <v>15.0</v>
      </c>
      <c r="H669" s="77">
        <v>15.0</v>
      </c>
      <c r="I669" s="77" t="s">
        <v>173</v>
      </c>
      <c r="J669" s="58"/>
      <c r="K669" s="58"/>
      <c r="L669" s="58"/>
      <c r="M669" s="58"/>
      <c r="N669" s="58"/>
      <c r="O669" s="58"/>
      <c r="P669" s="58"/>
      <c r="Q669" s="58"/>
      <c r="R669" s="58"/>
      <c r="S669" s="58"/>
      <c r="T669" s="58"/>
      <c r="U669" s="58"/>
      <c r="V669" s="58"/>
      <c r="W669" s="58"/>
      <c r="X669" s="58"/>
      <c r="Y669" s="58"/>
      <c r="Z669" s="58"/>
    </row>
    <row r="670" ht="151.5" customHeight="1">
      <c r="A670" s="101" t="s">
        <v>311</v>
      </c>
      <c r="B670" s="176" t="s">
        <v>142</v>
      </c>
      <c r="C670" s="75" t="s">
        <v>3554</v>
      </c>
      <c r="D670" s="75" t="s">
        <v>3583</v>
      </c>
      <c r="E670" s="75" t="s">
        <v>3584</v>
      </c>
      <c r="F670" s="75" t="s">
        <v>3585</v>
      </c>
      <c r="G670" s="76">
        <v>15.0</v>
      </c>
      <c r="H670" s="77">
        <v>15.0</v>
      </c>
      <c r="I670" s="77" t="s">
        <v>173</v>
      </c>
      <c r="J670" s="58"/>
      <c r="K670" s="58"/>
      <c r="L670" s="58"/>
      <c r="M670" s="58"/>
      <c r="N670" s="58"/>
      <c r="O670" s="58"/>
      <c r="P670" s="58"/>
      <c r="Q670" s="58"/>
      <c r="R670" s="58"/>
      <c r="S670" s="58"/>
      <c r="T670" s="58"/>
      <c r="U670" s="58"/>
      <c r="V670" s="58"/>
      <c r="W670" s="58"/>
      <c r="X670" s="58"/>
      <c r="Y670" s="58"/>
      <c r="Z670" s="58"/>
    </row>
    <row r="671" ht="110.25" customHeight="1">
      <c r="A671" s="101" t="s">
        <v>311</v>
      </c>
      <c r="B671" s="176" t="s">
        <v>142</v>
      </c>
      <c r="C671" s="75" t="s">
        <v>3532</v>
      </c>
      <c r="D671" s="75" t="s">
        <v>3586</v>
      </c>
      <c r="E671" s="75" t="s">
        <v>3587</v>
      </c>
      <c r="F671" s="75" t="s">
        <v>3588</v>
      </c>
      <c r="G671" s="76">
        <v>15.0</v>
      </c>
      <c r="H671" s="77">
        <v>15.0</v>
      </c>
      <c r="I671" s="77" t="s">
        <v>173</v>
      </c>
      <c r="J671" s="58"/>
      <c r="K671" s="58"/>
      <c r="L671" s="58"/>
      <c r="M671" s="58"/>
      <c r="N671" s="58"/>
      <c r="O671" s="58"/>
      <c r="P671" s="58"/>
      <c r="Q671" s="58"/>
      <c r="R671" s="58"/>
      <c r="S671" s="58"/>
      <c r="T671" s="58"/>
      <c r="U671" s="58"/>
      <c r="V671" s="58"/>
      <c r="W671" s="58"/>
      <c r="X671" s="58"/>
      <c r="Y671" s="58"/>
      <c r="Z671" s="58"/>
    </row>
    <row r="672" ht="123.75" customHeight="1">
      <c r="A672" s="101" t="s">
        <v>311</v>
      </c>
      <c r="B672" s="176" t="s">
        <v>142</v>
      </c>
      <c r="C672" s="75" t="s">
        <v>3558</v>
      </c>
      <c r="D672" s="75" t="s">
        <v>3586</v>
      </c>
      <c r="E672" s="75" t="s">
        <v>3587</v>
      </c>
      <c r="F672" s="75" t="s">
        <v>3588</v>
      </c>
      <c r="G672" s="76">
        <v>15.0</v>
      </c>
      <c r="H672" s="77">
        <v>15.0</v>
      </c>
      <c r="I672" s="77" t="s">
        <v>173</v>
      </c>
      <c r="J672" s="58"/>
      <c r="K672" s="58"/>
      <c r="L672" s="58"/>
      <c r="M672" s="58"/>
      <c r="N672" s="58"/>
      <c r="O672" s="58"/>
      <c r="P672" s="58"/>
      <c r="Q672" s="58"/>
      <c r="R672" s="58"/>
      <c r="S672" s="58"/>
      <c r="T672" s="58"/>
      <c r="U672" s="58"/>
      <c r="V672" s="58"/>
      <c r="W672" s="58"/>
      <c r="X672" s="58"/>
      <c r="Y672" s="58"/>
      <c r="Z672" s="58"/>
    </row>
    <row r="673" ht="165.0" customHeight="1">
      <c r="A673" s="101" t="s">
        <v>311</v>
      </c>
      <c r="B673" s="176" t="s">
        <v>142</v>
      </c>
      <c r="C673" s="75" t="s">
        <v>3589</v>
      </c>
      <c r="D673" s="75" t="s">
        <v>3590</v>
      </c>
      <c r="E673" s="75" t="s">
        <v>3591</v>
      </c>
      <c r="F673" s="75" t="s">
        <v>3588</v>
      </c>
      <c r="G673" s="76">
        <v>15.0</v>
      </c>
      <c r="H673" s="77">
        <v>15.0</v>
      </c>
      <c r="I673" s="77" t="s">
        <v>173</v>
      </c>
      <c r="J673" s="58"/>
      <c r="K673" s="58"/>
      <c r="L673" s="58"/>
      <c r="M673" s="58"/>
      <c r="N673" s="58"/>
      <c r="O673" s="58"/>
      <c r="P673" s="58"/>
      <c r="Q673" s="58"/>
      <c r="R673" s="58"/>
      <c r="S673" s="58"/>
      <c r="T673" s="58"/>
      <c r="U673" s="58"/>
      <c r="V673" s="58"/>
      <c r="W673" s="58"/>
      <c r="X673" s="58"/>
      <c r="Y673" s="58"/>
      <c r="Z673" s="58"/>
    </row>
    <row r="674" ht="123.75" customHeight="1">
      <c r="A674" s="101" t="s">
        <v>311</v>
      </c>
      <c r="B674" s="176" t="s">
        <v>142</v>
      </c>
      <c r="C674" s="75" t="s">
        <v>3558</v>
      </c>
      <c r="D674" s="75" t="s">
        <v>3592</v>
      </c>
      <c r="E674" s="75" t="s">
        <v>3593</v>
      </c>
      <c r="F674" s="75" t="s">
        <v>3594</v>
      </c>
      <c r="G674" s="76">
        <v>15.0</v>
      </c>
      <c r="H674" s="77">
        <v>15.0</v>
      </c>
      <c r="I674" s="77" t="s">
        <v>173</v>
      </c>
      <c r="J674" s="58"/>
      <c r="K674" s="58"/>
      <c r="L674" s="58"/>
      <c r="M674" s="58"/>
      <c r="N674" s="58"/>
      <c r="O674" s="58"/>
      <c r="P674" s="58"/>
      <c r="Q674" s="58"/>
      <c r="R674" s="58"/>
      <c r="S674" s="58"/>
      <c r="T674" s="58"/>
      <c r="U674" s="58"/>
      <c r="V674" s="58"/>
      <c r="W674" s="58"/>
      <c r="X674" s="58"/>
      <c r="Y674" s="58"/>
      <c r="Z674" s="58"/>
    </row>
    <row r="675" ht="179.25" customHeight="1">
      <c r="A675" s="101" t="s">
        <v>311</v>
      </c>
      <c r="B675" s="176" t="s">
        <v>142</v>
      </c>
      <c r="C675" s="75" t="s">
        <v>3595</v>
      </c>
      <c r="D675" s="75" t="s">
        <v>3596</v>
      </c>
      <c r="E675" s="75" t="s">
        <v>3597</v>
      </c>
      <c r="F675" s="75" t="s">
        <v>3598</v>
      </c>
      <c r="G675" s="76">
        <v>15.0</v>
      </c>
      <c r="H675" s="77">
        <v>15.0</v>
      </c>
      <c r="I675" s="77" t="s">
        <v>173</v>
      </c>
      <c r="J675" s="58"/>
      <c r="K675" s="58"/>
      <c r="L675" s="58"/>
      <c r="M675" s="58"/>
      <c r="N675" s="58"/>
      <c r="O675" s="58"/>
      <c r="P675" s="58"/>
      <c r="Q675" s="58"/>
      <c r="R675" s="58"/>
      <c r="S675" s="58"/>
      <c r="T675" s="58"/>
      <c r="U675" s="58"/>
      <c r="V675" s="58"/>
      <c r="W675" s="58"/>
      <c r="X675" s="58"/>
      <c r="Y675" s="58"/>
      <c r="Z675" s="58"/>
    </row>
    <row r="676" ht="179.25" customHeight="1">
      <c r="A676" s="101" t="s">
        <v>311</v>
      </c>
      <c r="B676" s="176" t="s">
        <v>142</v>
      </c>
      <c r="C676" s="75" t="s">
        <v>3595</v>
      </c>
      <c r="D676" s="75" t="s">
        <v>3599</v>
      </c>
      <c r="E676" s="75" t="s">
        <v>3543</v>
      </c>
      <c r="F676" s="75" t="s">
        <v>3600</v>
      </c>
      <c r="G676" s="76">
        <v>15.0</v>
      </c>
      <c r="H676" s="77">
        <v>15.0</v>
      </c>
      <c r="I676" s="77" t="s">
        <v>173</v>
      </c>
      <c r="J676" s="58"/>
      <c r="K676" s="58"/>
      <c r="L676" s="58"/>
      <c r="M676" s="58"/>
      <c r="N676" s="58"/>
      <c r="O676" s="58"/>
      <c r="P676" s="58"/>
      <c r="Q676" s="58"/>
      <c r="R676" s="58"/>
      <c r="S676" s="58"/>
      <c r="T676" s="58"/>
      <c r="U676" s="58"/>
      <c r="V676" s="58"/>
      <c r="W676" s="58"/>
      <c r="X676" s="58"/>
      <c r="Y676" s="58"/>
      <c r="Z676" s="58"/>
    </row>
    <row r="677" ht="123.75" customHeight="1">
      <c r="A677" s="101" t="s">
        <v>311</v>
      </c>
      <c r="B677" s="176" t="s">
        <v>142</v>
      </c>
      <c r="C677" s="75" t="s">
        <v>3601</v>
      </c>
      <c r="D677" s="75" t="s">
        <v>3602</v>
      </c>
      <c r="E677" s="75" t="s">
        <v>3603</v>
      </c>
      <c r="F677" s="75" t="s">
        <v>3588</v>
      </c>
      <c r="G677" s="76">
        <v>15.0</v>
      </c>
      <c r="H677" s="77">
        <v>15.0</v>
      </c>
      <c r="I677" s="77" t="s">
        <v>173</v>
      </c>
      <c r="J677" s="58"/>
      <c r="K677" s="58"/>
      <c r="L677" s="58"/>
      <c r="M677" s="58"/>
      <c r="N677" s="58"/>
      <c r="O677" s="58"/>
      <c r="P677" s="58"/>
      <c r="Q677" s="58"/>
      <c r="R677" s="58"/>
      <c r="S677" s="58"/>
      <c r="T677" s="58"/>
      <c r="U677" s="58"/>
      <c r="V677" s="58"/>
      <c r="W677" s="58"/>
      <c r="X677" s="58"/>
      <c r="Y677" s="58"/>
      <c r="Z677" s="58"/>
    </row>
    <row r="678" ht="165.0" customHeight="1">
      <c r="A678" s="101" t="s">
        <v>311</v>
      </c>
      <c r="B678" s="176" t="s">
        <v>142</v>
      </c>
      <c r="C678" s="75" t="s">
        <v>3604</v>
      </c>
      <c r="D678" s="75" t="s">
        <v>3605</v>
      </c>
      <c r="E678" s="75" t="s">
        <v>3606</v>
      </c>
      <c r="F678" s="75" t="s">
        <v>3607</v>
      </c>
      <c r="G678" s="76">
        <v>15.0</v>
      </c>
      <c r="H678" s="77">
        <v>15.0</v>
      </c>
      <c r="I678" s="77" t="s">
        <v>173</v>
      </c>
      <c r="J678" s="58"/>
      <c r="K678" s="58"/>
      <c r="L678" s="58"/>
      <c r="M678" s="58"/>
      <c r="N678" s="58"/>
      <c r="O678" s="58"/>
      <c r="P678" s="58"/>
      <c r="Q678" s="58"/>
      <c r="R678" s="58"/>
      <c r="S678" s="58"/>
      <c r="T678" s="58"/>
      <c r="U678" s="58"/>
      <c r="V678" s="58"/>
      <c r="W678" s="58"/>
      <c r="X678" s="58"/>
      <c r="Y678" s="58"/>
      <c r="Z678" s="58"/>
    </row>
    <row r="679" ht="165.0" customHeight="1">
      <c r="A679" s="101" t="s">
        <v>311</v>
      </c>
      <c r="B679" s="176" t="s">
        <v>142</v>
      </c>
      <c r="C679" s="75" t="s">
        <v>3604</v>
      </c>
      <c r="D679" s="75" t="s">
        <v>3608</v>
      </c>
      <c r="E679" s="75" t="s">
        <v>3609</v>
      </c>
      <c r="F679" s="75" t="s">
        <v>1547</v>
      </c>
      <c r="G679" s="76">
        <v>15.0</v>
      </c>
      <c r="H679" s="77">
        <v>15.0</v>
      </c>
      <c r="I679" s="77" t="s">
        <v>173</v>
      </c>
      <c r="J679" s="58"/>
      <c r="K679" s="58"/>
      <c r="L679" s="58"/>
      <c r="M679" s="58"/>
      <c r="N679" s="58"/>
      <c r="O679" s="58"/>
      <c r="P679" s="58"/>
      <c r="Q679" s="58"/>
      <c r="R679" s="58"/>
      <c r="S679" s="58"/>
      <c r="T679" s="58"/>
      <c r="U679" s="58"/>
      <c r="V679" s="58"/>
      <c r="W679" s="58"/>
      <c r="X679" s="58"/>
      <c r="Y679" s="58"/>
      <c r="Z679" s="58"/>
    </row>
    <row r="680" ht="138.0" customHeight="1">
      <c r="A680" s="101" t="s">
        <v>311</v>
      </c>
      <c r="B680" s="176" t="s">
        <v>142</v>
      </c>
      <c r="C680" s="75" t="s">
        <v>3541</v>
      </c>
      <c r="D680" s="75" t="s">
        <v>3610</v>
      </c>
      <c r="E680" s="75" t="s">
        <v>3611</v>
      </c>
      <c r="F680" s="75" t="s">
        <v>3612</v>
      </c>
      <c r="G680" s="76">
        <v>15.0</v>
      </c>
      <c r="H680" s="77">
        <v>15.0</v>
      </c>
      <c r="I680" s="77" t="s">
        <v>173</v>
      </c>
      <c r="J680" s="58"/>
      <c r="K680" s="58"/>
      <c r="L680" s="58"/>
      <c r="M680" s="58"/>
      <c r="N680" s="58"/>
      <c r="O680" s="58"/>
      <c r="P680" s="58"/>
      <c r="Q680" s="58"/>
      <c r="R680" s="58"/>
      <c r="S680" s="58"/>
      <c r="T680" s="58"/>
      <c r="U680" s="58"/>
      <c r="V680" s="58"/>
      <c r="W680" s="58"/>
      <c r="X680" s="58"/>
      <c r="Y680" s="58"/>
      <c r="Z680" s="58"/>
    </row>
    <row r="681" ht="138.0" customHeight="1">
      <c r="A681" s="101" t="s">
        <v>311</v>
      </c>
      <c r="B681" s="176" t="s">
        <v>142</v>
      </c>
      <c r="C681" s="75" t="s">
        <v>3613</v>
      </c>
      <c r="D681" s="75" t="s">
        <v>3614</v>
      </c>
      <c r="E681" s="75" t="s">
        <v>3615</v>
      </c>
      <c r="F681" s="75" t="s">
        <v>3616</v>
      </c>
      <c r="G681" s="76">
        <v>15.0</v>
      </c>
      <c r="H681" s="77">
        <v>15.0</v>
      </c>
      <c r="I681" s="77" t="s">
        <v>173</v>
      </c>
      <c r="J681" s="58"/>
      <c r="K681" s="58"/>
      <c r="L681" s="58"/>
      <c r="M681" s="58"/>
      <c r="N681" s="58"/>
      <c r="O681" s="58"/>
      <c r="P681" s="58"/>
      <c r="Q681" s="58"/>
      <c r="R681" s="58"/>
      <c r="S681" s="58"/>
      <c r="T681" s="58"/>
      <c r="U681" s="58"/>
      <c r="V681" s="58"/>
      <c r="W681" s="58"/>
      <c r="X681" s="58"/>
      <c r="Y681" s="58"/>
      <c r="Z681" s="58"/>
    </row>
    <row r="682" ht="151.5" customHeight="1">
      <c r="A682" s="101" t="s">
        <v>311</v>
      </c>
      <c r="B682" s="176" t="s">
        <v>142</v>
      </c>
      <c r="C682" s="75" t="s">
        <v>3617</v>
      </c>
      <c r="D682" s="75" t="s">
        <v>3618</v>
      </c>
      <c r="E682" s="75" t="s">
        <v>3619</v>
      </c>
      <c r="F682" s="75" t="s">
        <v>1262</v>
      </c>
      <c r="G682" s="76">
        <v>15.0</v>
      </c>
      <c r="H682" s="77">
        <v>15.0</v>
      </c>
      <c r="I682" s="77" t="s">
        <v>173</v>
      </c>
      <c r="J682" s="58"/>
      <c r="K682" s="58"/>
      <c r="L682" s="58"/>
      <c r="M682" s="58"/>
      <c r="N682" s="58"/>
      <c r="O682" s="58"/>
      <c r="P682" s="58"/>
      <c r="Q682" s="58"/>
      <c r="R682" s="58"/>
      <c r="S682" s="58"/>
      <c r="T682" s="58"/>
      <c r="U682" s="58"/>
      <c r="V682" s="58"/>
      <c r="W682" s="58"/>
      <c r="X682" s="58"/>
      <c r="Y682" s="58"/>
      <c r="Z682" s="58"/>
    </row>
    <row r="683" ht="192.75" customHeight="1">
      <c r="A683" s="101" t="s">
        <v>311</v>
      </c>
      <c r="B683" s="176" t="s">
        <v>142</v>
      </c>
      <c r="C683" s="75" t="s">
        <v>3620</v>
      </c>
      <c r="D683" s="75" t="s">
        <v>3621</v>
      </c>
      <c r="E683" s="75" t="s">
        <v>3622</v>
      </c>
      <c r="F683" s="75" t="s">
        <v>3623</v>
      </c>
      <c r="G683" s="76">
        <v>15.0</v>
      </c>
      <c r="H683" s="77">
        <v>15.0</v>
      </c>
      <c r="I683" s="77" t="s">
        <v>173</v>
      </c>
      <c r="J683" s="58"/>
      <c r="K683" s="58"/>
      <c r="L683" s="58"/>
      <c r="M683" s="58"/>
      <c r="N683" s="58"/>
      <c r="O683" s="58"/>
      <c r="P683" s="58"/>
      <c r="Q683" s="58"/>
      <c r="R683" s="58"/>
      <c r="S683" s="58"/>
      <c r="T683" s="58"/>
      <c r="U683" s="58"/>
      <c r="V683" s="58"/>
      <c r="W683" s="58"/>
      <c r="X683" s="58"/>
      <c r="Y683" s="58"/>
      <c r="Z683" s="58"/>
    </row>
    <row r="684" ht="138.0" customHeight="1">
      <c r="A684" s="101" t="s">
        <v>311</v>
      </c>
      <c r="B684" s="176" t="s">
        <v>142</v>
      </c>
      <c r="C684" s="75" t="s">
        <v>3624</v>
      </c>
      <c r="D684" s="75" t="s">
        <v>3621</v>
      </c>
      <c r="E684" s="75" t="s">
        <v>3622</v>
      </c>
      <c r="F684" s="75" t="s">
        <v>3623</v>
      </c>
      <c r="G684" s="76">
        <v>15.0</v>
      </c>
      <c r="H684" s="77">
        <v>15.0</v>
      </c>
      <c r="I684" s="77" t="s">
        <v>173</v>
      </c>
      <c r="J684" s="58"/>
      <c r="K684" s="58"/>
      <c r="L684" s="58"/>
      <c r="M684" s="58"/>
      <c r="N684" s="58"/>
      <c r="O684" s="58"/>
      <c r="P684" s="58"/>
      <c r="Q684" s="58"/>
      <c r="R684" s="58"/>
      <c r="S684" s="58"/>
      <c r="T684" s="58"/>
      <c r="U684" s="58"/>
      <c r="V684" s="58"/>
      <c r="W684" s="58"/>
      <c r="X684" s="58"/>
      <c r="Y684" s="58"/>
      <c r="Z684" s="58"/>
    </row>
    <row r="685" ht="151.5" customHeight="1">
      <c r="A685" s="101" t="s">
        <v>311</v>
      </c>
      <c r="B685" s="176" t="s">
        <v>142</v>
      </c>
      <c r="C685" s="75" t="s">
        <v>3625</v>
      </c>
      <c r="D685" s="75" t="s">
        <v>3626</v>
      </c>
      <c r="E685" s="75" t="s">
        <v>3627</v>
      </c>
      <c r="F685" s="75" t="s">
        <v>1262</v>
      </c>
      <c r="G685" s="76">
        <v>15.0</v>
      </c>
      <c r="H685" s="77">
        <v>15.0</v>
      </c>
      <c r="I685" s="77" t="s">
        <v>173</v>
      </c>
      <c r="J685" s="58"/>
      <c r="K685" s="58"/>
      <c r="L685" s="58"/>
      <c r="M685" s="58"/>
      <c r="N685" s="58"/>
      <c r="O685" s="58"/>
      <c r="P685" s="58"/>
      <c r="Q685" s="58"/>
      <c r="R685" s="58"/>
      <c r="S685" s="58"/>
      <c r="T685" s="58"/>
      <c r="U685" s="58"/>
      <c r="V685" s="58"/>
      <c r="W685" s="58"/>
      <c r="X685" s="58"/>
      <c r="Y685" s="58"/>
      <c r="Z685" s="58"/>
    </row>
    <row r="686" ht="123.75" customHeight="1">
      <c r="A686" s="101" t="s">
        <v>311</v>
      </c>
      <c r="B686" s="176" t="s">
        <v>142</v>
      </c>
      <c r="C686" s="75" t="s">
        <v>3558</v>
      </c>
      <c r="D686" s="75" t="s">
        <v>3628</v>
      </c>
      <c r="E686" s="75" t="s">
        <v>3629</v>
      </c>
      <c r="F686" s="75" t="s">
        <v>3630</v>
      </c>
      <c r="G686" s="76">
        <v>15.0</v>
      </c>
      <c r="H686" s="77">
        <v>15.0</v>
      </c>
      <c r="I686" s="77" t="s">
        <v>173</v>
      </c>
      <c r="J686" s="58"/>
      <c r="K686" s="58"/>
      <c r="L686" s="58"/>
      <c r="M686" s="58"/>
      <c r="N686" s="58"/>
      <c r="O686" s="58"/>
      <c r="P686" s="58"/>
      <c r="Q686" s="58"/>
      <c r="R686" s="58"/>
      <c r="S686" s="58"/>
      <c r="T686" s="58"/>
      <c r="U686" s="58"/>
      <c r="V686" s="58"/>
      <c r="W686" s="58"/>
      <c r="X686" s="58"/>
      <c r="Y686" s="58"/>
      <c r="Z686" s="58"/>
    </row>
    <row r="687" ht="165.0" customHeight="1">
      <c r="A687" s="101" t="s">
        <v>311</v>
      </c>
      <c r="B687" s="176" t="s">
        <v>142</v>
      </c>
      <c r="C687" s="75" t="s">
        <v>3604</v>
      </c>
      <c r="D687" s="75" t="s">
        <v>3631</v>
      </c>
      <c r="E687" s="75" t="s">
        <v>3632</v>
      </c>
      <c r="F687" s="75" t="s">
        <v>3594</v>
      </c>
      <c r="G687" s="76">
        <v>15.0</v>
      </c>
      <c r="H687" s="77">
        <v>15.0</v>
      </c>
      <c r="I687" s="77" t="s">
        <v>173</v>
      </c>
      <c r="J687" s="58"/>
      <c r="K687" s="58"/>
      <c r="L687" s="58"/>
      <c r="M687" s="58"/>
      <c r="N687" s="58"/>
      <c r="O687" s="58"/>
      <c r="P687" s="58"/>
      <c r="Q687" s="58"/>
      <c r="R687" s="58"/>
      <c r="S687" s="58"/>
      <c r="T687" s="58"/>
      <c r="U687" s="58"/>
      <c r="V687" s="58"/>
      <c r="W687" s="58"/>
      <c r="X687" s="58"/>
      <c r="Y687" s="58"/>
      <c r="Z687" s="58"/>
    </row>
    <row r="688" ht="82.5" customHeight="1">
      <c r="A688" s="101" t="s">
        <v>3633</v>
      </c>
      <c r="B688" s="176" t="s">
        <v>142</v>
      </c>
      <c r="C688" s="75" t="s">
        <v>3634</v>
      </c>
      <c r="D688" s="75" t="s">
        <v>3635</v>
      </c>
      <c r="E688" s="75" t="s">
        <v>3636</v>
      </c>
      <c r="F688" s="75" t="s">
        <v>3637</v>
      </c>
      <c r="G688" s="76">
        <v>15.0</v>
      </c>
      <c r="H688" s="77">
        <v>7.5</v>
      </c>
      <c r="I688" s="77" t="s">
        <v>174</v>
      </c>
      <c r="J688" s="58"/>
      <c r="K688" s="58"/>
      <c r="L688" s="58"/>
      <c r="M688" s="58"/>
      <c r="N688" s="58"/>
      <c r="O688" s="58"/>
      <c r="P688" s="58"/>
      <c r="Q688" s="58"/>
      <c r="R688" s="58"/>
      <c r="S688" s="58"/>
      <c r="T688" s="58"/>
      <c r="U688" s="58"/>
      <c r="V688" s="58"/>
      <c r="W688" s="58"/>
      <c r="X688" s="58"/>
      <c r="Y688" s="58"/>
      <c r="Z688" s="58"/>
    </row>
    <row r="689" ht="207.0" customHeight="1">
      <c r="A689" s="101" t="s">
        <v>3638</v>
      </c>
      <c r="B689" s="176" t="s">
        <v>142</v>
      </c>
      <c r="C689" s="75" t="s">
        <v>3400</v>
      </c>
      <c r="D689" s="75" t="s">
        <v>3639</v>
      </c>
      <c r="E689" s="75" t="s">
        <v>3402</v>
      </c>
      <c r="F689" s="75" t="s">
        <v>1820</v>
      </c>
      <c r="G689" s="76">
        <v>50.0</v>
      </c>
      <c r="H689" s="77">
        <v>25.0</v>
      </c>
      <c r="I689" s="77" t="s">
        <v>174</v>
      </c>
      <c r="J689" s="58"/>
      <c r="K689" s="58"/>
      <c r="L689" s="58"/>
      <c r="M689" s="58"/>
      <c r="N689" s="58"/>
      <c r="O689" s="58"/>
      <c r="P689" s="58"/>
      <c r="Q689" s="58"/>
      <c r="R689" s="58"/>
      <c r="S689" s="58"/>
      <c r="T689" s="58"/>
      <c r="U689" s="58"/>
      <c r="V689" s="58"/>
      <c r="W689" s="58"/>
      <c r="X689" s="58"/>
      <c r="Y689" s="58"/>
      <c r="Z689" s="58"/>
    </row>
    <row r="690" ht="138.0" customHeight="1">
      <c r="A690" s="101" t="s">
        <v>3399</v>
      </c>
      <c r="B690" s="176" t="s">
        <v>142</v>
      </c>
      <c r="C690" s="75" t="s">
        <v>3400</v>
      </c>
      <c r="D690" s="75" t="s">
        <v>3640</v>
      </c>
      <c r="E690" s="75" t="s">
        <v>3406</v>
      </c>
      <c r="F690" s="75" t="s">
        <v>3407</v>
      </c>
      <c r="G690" s="76">
        <v>15.0</v>
      </c>
      <c r="H690" s="77">
        <v>7.5</v>
      </c>
      <c r="I690" s="77" t="s">
        <v>174</v>
      </c>
      <c r="J690" s="58"/>
      <c r="K690" s="58"/>
      <c r="L690" s="58"/>
      <c r="M690" s="58"/>
      <c r="N690" s="58"/>
      <c r="O690" s="58"/>
      <c r="P690" s="58"/>
      <c r="Q690" s="58"/>
      <c r="R690" s="58"/>
      <c r="S690" s="58"/>
      <c r="T690" s="58"/>
      <c r="U690" s="58"/>
      <c r="V690" s="58"/>
      <c r="W690" s="58"/>
      <c r="X690" s="58"/>
      <c r="Y690" s="58"/>
      <c r="Z690" s="58"/>
    </row>
    <row r="691" ht="123.75" customHeight="1">
      <c r="A691" s="101" t="s">
        <v>3399</v>
      </c>
      <c r="B691" s="176" t="s">
        <v>142</v>
      </c>
      <c r="C691" s="75" t="s">
        <v>3400</v>
      </c>
      <c r="D691" s="75" t="s">
        <v>3641</v>
      </c>
      <c r="E691" s="75" t="s">
        <v>3404</v>
      </c>
      <c r="F691" s="75" t="s">
        <v>2608</v>
      </c>
      <c r="G691" s="76">
        <v>15.0</v>
      </c>
      <c r="H691" s="77">
        <v>7.5</v>
      </c>
      <c r="I691" s="77" t="s">
        <v>174</v>
      </c>
      <c r="J691" s="58"/>
      <c r="K691" s="58"/>
      <c r="L691" s="58"/>
      <c r="M691" s="58"/>
      <c r="N691" s="58"/>
      <c r="O691" s="58"/>
      <c r="P691" s="58"/>
      <c r="Q691" s="58"/>
      <c r="R691" s="58"/>
      <c r="S691" s="58"/>
      <c r="T691" s="58"/>
      <c r="U691" s="58"/>
      <c r="V691" s="58"/>
      <c r="W691" s="58"/>
      <c r="X691" s="58"/>
      <c r="Y691" s="58"/>
      <c r="Z691" s="58"/>
    </row>
    <row r="692" ht="123.75" customHeight="1">
      <c r="A692" s="101" t="s">
        <v>633</v>
      </c>
      <c r="B692" s="176" t="s">
        <v>142</v>
      </c>
      <c r="C692" s="75" t="s">
        <v>3642</v>
      </c>
      <c r="D692" s="75" t="s">
        <v>3643</v>
      </c>
      <c r="E692" s="75"/>
      <c r="F692" s="75" t="s">
        <v>3644</v>
      </c>
      <c r="G692" s="76">
        <v>15.0</v>
      </c>
      <c r="H692" s="77">
        <v>15.0</v>
      </c>
      <c r="I692" s="77" t="s">
        <v>174</v>
      </c>
      <c r="J692" s="58"/>
      <c r="K692" s="58"/>
      <c r="L692" s="58"/>
      <c r="M692" s="58"/>
      <c r="N692" s="58"/>
      <c r="O692" s="58"/>
      <c r="P692" s="58"/>
      <c r="Q692" s="58"/>
      <c r="R692" s="58"/>
      <c r="S692" s="58"/>
      <c r="T692" s="58"/>
      <c r="U692" s="58"/>
      <c r="V692" s="58"/>
      <c r="W692" s="58"/>
      <c r="X692" s="58"/>
      <c r="Y692" s="58"/>
      <c r="Z692" s="58"/>
    </row>
    <row r="693" ht="96.0" customHeight="1">
      <c r="A693" s="101" t="s">
        <v>3399</v>
      </c>
      <c r="B693" s="176" t="s">
        <v>142</v>
      </c>
      <c r="C693" s="75" t="s">
        <v>3400</v>
      </c>
      <c r="D693" s="75" t="s">
        <v>3645</v>
      </c>
      <c r="E693" s="75" t="s">
        <v>3646</v>
      </c>
      <c r="F693" s="75"/>
      <c r="G693" s="76">
        <v>15.0</v>
      </c>
      <c r="H693" s="77">
        <v>7.5</v>
      </c>
      <c r="I693" s="77" t="s">
        <v>174</v>
      </c>
      <c r="J693" s="58"/>
      <c r="K693" s="58"/>
      <c r="L693" s="58"/>
      <c r="M693" s="58"/>
      <c r="N693" s="58"/>
      <c r="O693" s="58"/>
      <c r="P693" s="58"/>
      <c r="Q693" s="58"/>
      <c r="R693" s="58"/>
      <c r="S693" s="58"/>
      <c r="T693" s="58"/>
      <c r="U693" s="58"/>
      <c r="V693" s="58"/>
      <c r="W693" s="58"/>
      <c r="X693" s="58"/>
      <c r="Y693" s="58"/>
      <c r="Z693" s="58"/>
    </row>
    <row r="694" ht="192.75" customHeight="1">
      <c r="A694" s="101" t="s">
        <v>3647</v>
      </c>
      <c r="B694" s="176" t="s">
        <v>142</v>
      </c>
      <c r="C694" s="75" t="s">
        <v>3642</v>
      </c>
      <c r="D694" s="75" t="s">
        <v>3648</v>
      </c>
      <c r="E694" s="75" t="s">
        <v>3649</v>
      </c>
      <c r="F694" s="75" t="s">
        <v>3650</v>
      </c>
      <c r="G694" s="76">
        <v>50.0</v>
      </c>
      <c r="H694" s="77">
        <v>50.0</v>
      </c>
      <c r="I694" s="77" t="s">
        <v>174</v>
      </c>
      <c r="J694" s="58"/>
      <c r="K694" s="58"/>
      <c r="L694" s="58"/>
      <c r="M694" s="58"/>
      <c r="N694" s="58"/>
      <c r="O694" s="58"/>
      <c r="P694" s="58"/>
      <c r="Q694" s="58"/>
      <c r="R694" s="58"/>
      <c r="S694" s="58"/>
      <c r="T694" s="58"/>
      <c r="U694" s="58"/>
      <c r="V694" s="58"/>
      <c r="W694" s="58"/>
      <c r="X694" s="58"/>
      <c r="Y694" s="58"/>
      <c r="Z694" s="58"/>
    </row>
    <row r="695" ht="82.5" customHeight="1">
      <c r="A695" s="101" t="s">
        <v>3647</v>
      </c>
      <c r="B695" s="176" t="s">
        <v>3651</v>
      </c>
      <c r="C695" s="75" t="s">
        <v>3652</v>
      </c>
      <c r="D695" s="75" t="s">
        <v>3653</v>
      </c>
      <c r="E695" s="75" t="s">
        <v>3654</v>
      </c>
      <c r="F695" s="75" t="s">
        <v>1820</v>
      </c>
      <c r="G695" s="76">
        <v>50.0</v>
      </c>
      <c r="H695" s="77">
        <v>50.0</v>
      </c>
      <c r="I695" s="77" t="s">
        <v>174</v>
      </c>
      <c r="J695" s="58"/>
      <c r="K695" s="58"/>
      <c r="L695" s="58"/>
      <c r="M695" s="58"/>
      <c r="N695" s="58"/>
      <c r="O695" s="58"/>
      <c r="P695" s="58"/>
      <c r="Q695" s="58"/>
      <c r="R695" s="58"/>
      <c r="S695" s="58"/>
      <c r="T695" s="58"/>
      <c r="U695" s="58"/>
      <c r="V695" s="58"/>
      <c r="W695" s="58"/>
      <c r="X695" s="58"/>
      <c r="Y695" s="58"/>
      <c r="Z695" s="58"/>
    </row>
    <row r="696" ht="138.0" customHeight="1">
      <c r="A696" s="101" t="s">
        <v>3293</v>
      </c>
      <c r="B696" s="176" t="s">
        <v>142</v>
      </c>
      <c r="C696" s="75" t="s">
        <v>3294</v>
      </c>
      <c r="D696" s="75" t="s">
        <v>3655</v>
      </c>
      <c r="E696" s="75" t="s">
        <v>3296</v>
      </c>
      <c r="F696" s="75" t="s">
        <v>1820</v>
      </c>
      <c r="G696" s="76">
        <v>50.0</v>
      </c>
      <c r="H696" s="77">
        <v>25.0</v>
      </c>
      <c r="I696" s="77" t="s">
        <v>176</v>
      </c>
      <c r="J696" s="58"/>
      <c r="K696" s="58"/>
      <c r="L696" s="58"/>
      <c r="M696" s="58"/>
      <c r="N696" s="58"/>
      <c r="O696" s="58"/>
      <c r="P696" s="58"/>
      <c r="Q696" s="58"/>
      <c r="R696" s="58"/>
      <c r="S696" s="58"/>
      <c r="T696" s="58"/>
      <c r="U696" s="58"/>
      <c r="V696" s="58"/>
      <c r="W696" s="58"/>
      <c r="X696" s="58"/>
      <c r="Y696" s="58"/>
      <c r="Z696" s="58"/>
    </row>
    <row r="697" ht="110.25" customHeight="1">
      <c r="A697" s="101" t="s">
        <v>1277</v>
      </c>
      <c r="B697" s="176" t="s">
        <v>142</v>
      </c>
      <c r="C697" s="75" t="s">
        <v>3656</v>
      </c>
      <c r="D697" s="75" t="s">
        <v>3657</v>
      </c>
      <c r="E697" s="75" t="s">
        <v>3658</v>
      </c>
      <c r="F697" s="75" t="s">
        <v>2272</v>
      </c>
      <c r="G697" s="76">
        <v>50.0</v>
      </c>
      <c r="H697" s="77">
        <v>50.0</v>
      </c>
      <c r="I697" s="77" t="s">
        <v>178</v>
      </c>
      <c r="J697" s="58"/>
      <c r="K697" s="58"/>
      <c r="L697" s="58"/>
      <c r="M697" s="58"/>
      <c r="N697" s="58"/>
      <c r="O697" s="58"/>
      <c r="P697" s="58"/>
      <c r="Q697" s="58"/>
      <c r="R697" s="58"/>
      <c r="S697" s="58"/>
      <c r="T697" s="58"/>
      <c r="U697" s="58"/>
      <c r="V697" s="58"/>
      <c r="W697" s="58"/>
      <c r="X697" s="58"/>
      <c r="Y697" s="58"/>
      <c r="Z697" s="58"/>
    </row>
    <row r="698" ht="110.25" customHeight="1">
      <c r="A698" s="101" t="s">
        <v>1277</v>
      </c>
      <c r="B698" s="176" t="s">
        <v>142</v>
      </c>
      <c r="C698" s="75" t="s">
        <v>3659</v>
      </c>
      <c r="D698" s="75" t="s">
        <v>3657</v>
      </c>
      <c r="E698" s="75" t="s">
        <v>3658</v>
      </c>
      <c r="F698" s="75" t="s">
        <v>2272</v>
      </c>
      <c r="G698" s="76">
        <v>50.0</v>
      </c>
      <c r="H698" s="77">
        <v>50.0</v>
      </c>
      <c r="I698" s="77" t="s">
        <v>178</v>
      </c>
      <c r="J698" s="58"/>
      <c r="K698" s="58"/>
      <c r="L698" s="58"/>
      <c r="M698" s="58"/>
      <c r="N698" s="58"/>
      <c r="O698" s="58"/>
      <c r="P698" s="58"/>
      <c r="Q698" s="58"/>
      <c r="R698" s="58"/>
      <c r="S698" s="58"/>
      <c r="T698" s="58"/>
      <c r="U698" s="58"/>
      <c r="V698" s="58"/>
      <c r="W698" s="58"/>
      <c r="X698" s="58"/>
      <c r="Y698" s="58"/>
      <c r="Z698" s="58"/>
    </row>
    <row r="699" ht="123.75" customHeight="1">
      <c r="A699" s="101" t="s">
        <v>1277</v>
      </c>
      <c r="B699" s="176" t="s">
        <v>142</v>
      </c>
      <c r="C699" s="75" t="s">
        <v>3660</v>
      </c>
      <c r="D699" s="75" t="s">
        <v>3657</v>
      </c>
      <c r="E699" s="75" t="s">
        <v>3658</v>
      </c>
      <c r="F699" s="75" t="s">
        <v>2272</v>
      </c>
      <c r="G699" s="76">
        <v>50.0</v>
      </c>
      <c r="H699" s="77">
        <v>50.0</v>
      </c>
      <c r="I699" s="77" t="s">
        <v>178</v>
      </c>
      <c r="J699" s="58"/>
      <c r="K699" s="58"/>
      <c r="L699" s="58"/>
      <c r="M699" s="58"/>
      <c r="N699" s="58"/>
      <c r="O699" s="58"/>
      <c r="P699" s="58"/>
      <c r="Q699" s="58"/>
      <c r="R699" s="58"/>
      <c r="S699" s="58"/>
      <c r="T699" s="58"/>
      <c r="U699" s="58"/>
      <c r="V699" s="58"/>
      <c r="W699" s="58"/>
      <c r="X699" s="58"/>
      <c r="Y699" s="58"/>
      <c r="Z699" s="58"/>
    </row>
    <row r="700" ht="110.25" customHeight="1">
      <c r="A700" s="101" t="s">
        <v>3661</v>
      </c>
      <c r="B700" s="176" t="s">
        <v>142</v>
      </c>
      <c r="C700" s="75" t="s">
        <v>3662</v>
      </c>
      <c r="D700" s="75" t="s">
        <v>3657</v>
      </c>
      <c r="E700" s="75" t="s">
        <v>3658</v>
      </c>
      <c r="F700" s="75" t="s">
        <v>2272</v>
      </c>
      <c r="G700" s="76">
        <v>50.0</v>
      </c>
      <c r="H700" s="77">
        <v>25.0</v>
      </c>
      <c r="I700" s="77" t="s">
        <v>178</v>
      </c>
      <c r="J700" s="58"/>
      <c r="K700" s="58"/>
      <c r="L700" s="58"/>
      <c r="M700" s="58"/>
      <c r="N700" s="58"/>
      <c r="O700" s="58"/>
      <c r="P700" s="58"/>
      <c r="Q700" s="58"/>
      <c r="R700" s="58"/>
      <c r="S700" s="58"/>
      <c r="T700" s="58"/>
      <c r="U700" s="58"/>
      <c r="V700" s="58"/>
      <c r="W700" s="58"/>
      <c r="X700" s="58"/>
      <c r="Y700" s="58"/>
      <c r="Z700" s="58"/>
    </row>
    <row r="701" ht="179.25" customHeight="1">
      <c r="A701" s="101" t="s">
        <v>3663</v>
      </c>
      <c r="B701" s="176" t="s">
        <v>142</v>
      </c>
      <c r="C701" s="75" t="s">
        <v>3664</v>
      </c>
      <c r="D701" s="75" t="s">
        <v>3665</v>
      </c>
      <c r="E701" s="75" t="s">
        <v>3666</v>
      </c>
      <c r="F701" s="75" t="s">
        <v>2272</v>
      </c>
      <c r="G701" s="76">
        <v>50.0</v>
      </c>
      <c r="H701" s="77">
        <v>25.0</v>
      </c>
      <c r="I701" s="77" t="s">
        <v>178</v>
      </c>
      <c r="J701" s="58"/>
      <c r="K701" s="58"/>
      <c r="L701" s="58"/>
      <c r="M701" s="58"/>
      <c r="N701" s="58"/>
      <c r="O701" s="58"/>
      <c r="P701" s="58"/>
      <c r="Q701" s="58"/>
      <c r="R701" s="58"/>
      <c r="S701" s="58"/>
      <c r="T701" s="58"/>
      <c r="U701" s="58"/>
      <c r="V701" s="58"/>
      <c r="W701" s="58"/>
      <c r="X701" s="58"/>
      <c r="Y701" s="58"/>
      <c r="Z701" s="58"/>
    </row>
    <row r="702" ht="123.75" customHeight="1">
      <c r="A702" s="101" t="s">
        <v>3663</v>
      </c>
      <c r="B702" s="176" t="s">
        <v>142</v>
      </c>
      <c r="C702" s="75" t="s">
        <v>3667</v>
      </c>
      <c r="D702" s="75" t="s">
        <v>3668</v>
      </c>
      <c r="E702" s="75" t="s">
        <v>3669</v>
      </c>
      <c r="F702" s="75" t="s">
        <v>3670</v>
      </c>
      <c r="G702" s="76">
        <v>50.0</v>
      </c>
      <c r="H702" s="77">
        <v>25.0</v>
      </c>
      <c r="I702" s="77" t="s">
        <v>178</v>
      </c>
      <c r="J702" s="58"/>
      <c r="K702" s="58"/>
      <c r="L702" s="58"/>
      <c r="M702" s="58"/>
      <c r="N702" s="58"/>
      <c r="O702" s="58"/>
      <c r="P702" s="58"/>
      <c r="Q702" s="58"/>
      <c r="R702" s="58"/>
      <c r="S702" s="58"/>
      <c r="T702" s="58"/>
      <c r="U702" s="58"/>
      <c r="V702" s="58"/>
      <c r="W702" s="58"/>
      <c r="X702" s="58"/>
      <c r="Y702" s="58"/>
      <c r="Z702" s="58"/>
    </row>
    <row r="703" ht="123.75" customHeight="1">
      <c r="A703" s="101" t="s">
        <v>1277</v>
      </c>
      <c r="B703" s="176" t="s">
        <v>142</v>
      </c>
      <c r="C703" s="75" t="s">
        <v>3671</v>
      </c>
      <c r="D703" s="75" t="s">
        <v>3672</v>
      </c>
      <c r="E703" s="75" t="s">
        <v>3673</v>
      </c>
      <c r="F703" s="75" t="s">
        <v>3670</v>
      </c>
      <c r="G703" s="76">
        <v>50.0</v>
      </c>
      <c r="H703" s="77">
        <v>50.0</v>
      </c>
      <c r="I703" s="77" t="s">
        <v>178</v>
      </c>
      <c r="J703" s="58"/>
      <c r="K703" s="58"/>
      <c r="L703" s="58"/>
      <c r="M703" s="58"/>
      <c r="N703" s="58"/>
      <c r="O703" s="58"/>
      <c r="P703" s="58"/>
      <c r="Q703" s="58"/>
      <c r="R703" s="58"/>
      <c r="S703" s="58"/>
      <c r="T703" s="58"/>
      <c r="U703" s="58"/>
      <c r="V703" s="58"/>
      <c r="W703" s="58"/>
      <c r="X703" s="58"/>
      <c r="Y703" s="58"/>
      <c r="Z703" s="58"/>
    </row>
    <row r="704" ht="123.75" customHeight="1">
      <c r="A704" s="101" t="s">
        <v>1277</v>
      </c>
      <c r="B704" s="176" t="s">
        <v>142</v>
      </c>
      <c r="C704" s="75" t="s">
        <v>3674</v>
      </c>
      <c r="D704" s="75" t="s">
        <v>3675</v>
      </c>
      <c r="E704" s="75" t="s">
        <v>2987</v>
      </c>
      <c r="F704" s="75" t="s">
        <v>1796</v>
      </c>
      <c r="G704" s="76">
        <v>15.0</v>
      </c>
      <c r="H704" s="77">
        <v>15.0</v>
      </c>
      <c r="I704" s="77" t="s">
        <v>178</v>
      </c>
      <c r="J704" s="58"/>
      <c r="K704" s="58"/>
      <c r="L704" s="58"/>
      <c r="M704" s="58"/>
      <c r="N704" s="58"/>
      <c r="O704" s="58"/>
      <c r="P704" s="58"/>
      <c r="Q704" s="58"/>
      <c r="R704" s="58"/>
      <c r="S704" s="58"/>
      <c r="T704" s="58"/>
      <c r="U704" s="58"/>
      <c r="V704" s="58"/>
      <c r="W704" s="58"/>
      <c r="X704" s="58"/>
      <c r="Y704" s="58"/>
      <c r="Z704" s="58"/>
    </row>
    <row r="705" ht="151.5" customHeight="1">
      <c r="A705" s="101" t="s">
        <v>3676</v>
      </c>
      <c r="B705" s="176" t="s">
        <v>142</v>
      </c>
      <c r="C705" s="75" t="s">
        <v>3677</v>
      </c>
      <c r="D705" s="75" t="s">
        <v>3678</v>
      </c>
      <c r="E705" s="75" t="s">
        <v>3679</v>
      </c>
      <c r="F705" s="75" t="s">
        <v>2272</v>
      </c>
      <c r="G705" s="76">
        <v>50.0</v>
      </c>
      <c r="H705" s="77">
        <v>25.0</v>
      </c>
      <c r="I705" s="77" t="s">
        <v>178</v>
      </c>
      <c r="J705" s="58"/>
      <c r="K705" s="58"/>
      <c r="L705" s="58"/>
      <c r="M705" s="58"/>
      <c r="N705" s="58"/>
      <c r="O705" s="58"/>
      <c r="P705" s="58"/>
      <c r="Q705" s="58"/>
      <c r="R705" s="58"/>
      <c r="S705" s="58"/>
      <c r="T705" s="58"/>
      <c r="U705" s="58"/>
      <c r="V705" s="58"/>
      <c r="W705" s="58"/>
      <c r="X705" s="58"/>
      <c r="Y705" s="58"/>
      <c r="Z705" s="58"/>
    </row>
    <row r="706" ht="151.5" customHeight="1">
      <c r="A706" s="101" t="s">
        <v>3676</v>
      </c>
      <c r="B706" s="176" t="s">
        <v>142</v>
      </c>
      <c r="C706" s="75" t="s">
        <v>3677</v>
      </c>
      <c r="D706" s="75" t="s">
        <v>3680</v>
      </c>
      <c r="E706" s="75" t="s">
        <v>3681</v>
      </c>
      <c r="F706" s="75" t="s">
        <v>2272</v>
      </c>
      <c r="G706" s="76">
        <v>50.0</v>
      </c>
      <c r="H706" s="77">
        <v>25.0</v>
      </c>
      <c r="I706" s="77" t="s">
        <v>178</v>
      </c>
      <c r="J706" s="58"/>
      <c r="K706" s="58"/>
      <c r="L706" s="58"/>
      <c r="M706" s="58"/>
      <c r="N706" s="58"/>
      <c r="O706" s="58"/>
      <c r="P706" s="58"/>
      <c r="Q706" s="58"/>
      <c r="R706" s="58"/>
      <c r="S706" s="58"/>
      <c r="T706" s="58"/>
      <c r="U706" s="58"/>
      <c r="V706" s="58"/>
      <c r="W706" s="58"/>
      <c r="X706" s="58"/>
      <c r="Y706" s="58"/>
      <c r="Z706" s="58"/>
    </row>
    <row r="707" ht="151.5" customHeight="1">
      <c r="A707" s="101" t="s">
        <v>3682</v>
      </c>
      <c r="B707" s="176" t="s">
        <v>142</v>
      </c>
      <c r="C707" s="75" t="s">
        <v>3683</v>
      </c>
      <c r="D707" s="75" t="s">
        <v>3684</v>
      </c>
      <c r="E707" s="75" t="s">
        <v>3685</v>
      </c>
      <c r="F707" s="75" t="s">
        <v>3686</v>
      </c>
      <c r="G707" s="76">
        <v>15.0</v>
      </c>
      <c r="H707" s="77">
        <v>15.0</v>
      </c>
      <c r="I707" s="77" t="s">
        <v>178</v>
      </c>
      <c r="J707" s="58"/>
      <c r="K707" s="58"/>
      <c r="L707" s="58"/>
      <c r="M707" s="58"/>
      <c r="N707" s="58"/>
      <c r="O707" s="58"/>
      <c r="P707" s="58"/>
      <c r="Q707" s="58"/>
      <c r="R707" s="58"/>
      <c r="S707" s="58"/>
      <c r="T707" s="58"/>
      <c r="U707" s="58"/>
      <c r="V707" s="58"/>
      <c r="W707" s="58"/>
      <c r="X707" s="58"/>
      <c r="Y707" s="58"/>
      <c r="Z707" s="58"/>
    </row>
    <row r="708" ht="138.0" customHeight="1">
      <c r="A708" s="101" t="s">
        <v>3687</v>
      </c>
      <c r="B708" s="176" t="s">
        <v>142</v>
      </c>
      <c r="C708" s="75" t="s">
        <v>3688</v>
      </c>
      <c r="D708" s="75" t="s">
        <v>3689</v>
      </c>
      <c r="E708" s="75" t="s">
        <v>3690</v>
      </c>
      <c r="F708" s="75" t="s">
        <v>3691</v>
      </c>
      <c r="G708" s="76">
        <v>15.0</v>
      </c>
      <c r="H708" s="77">
        <v>5.0</v>
      </c>
      <c r="I708" s="77" t="s">
        <v>178</v>
      </c>
      <c r="J708" s="58"/>
      <c r="K708" s="58"/>
      <c r="L708" s="58"/>
      <c r="M708" s="58"/>
      <c r="N708" s="58"/>
      <c r="O708" s="58"/>
      <c r="P708" s="58"/>
      <c r="Q708" s="58"/>
      <c r="R708" s="58"/>
      <c r="S708" s="58"/>
      <c r="T708" s="58"/>
      <c r="U708" s="58"/>
      <c r="V708" s="58"/>
      <c r="W708" s="58"/>
      <c r="X708" s="58"/>
      <c r="Y708" s="58"/>
      <c r="Z708" s="58"/>
    </row>
    <row r="709" ht="96.0" customHeight="1">
      <c r="A709" s="101" t="s">
        <v>3692</v>
      </c>
      <c r="B709" s="176" t="s">
        <v>142</v>
      </c>
      <c r="C709" s="75" t="s">
        <v>3656</v>
      </c>
      <c r="D709" s="75" t="s">
        <v>3693</v>
      </c>
      <c r="E709" s="75" t="s">
        <v>3694</v>
      </c>
      <c r="F709" s="75" t="s">
        <v>3691</v>
      </c>
      <c r="G709" s="76">
        <v>15.0</v>
      </c>
      <c r="H709" s="77">
        <v>15.0</v>
      </c>
      <c r="I709" s="77" t="s">
        <v>178</v>
      </c>
      <c r="J709" s="58"/>
      <c r="K709" s="58"/>
      <c r="L709" s="58"/>
      <c r="M709" s="58"/>
      <c r="N709" s="58"/>
      <c r="O709" s="58"/>
      <c r="P709" s="58"/>
      <c r="Q709" s="58"/>
      <c r="R709" s="58"/>
      <c r="S709" s="58"/>
      <c r="T709" s="58"/>
      <c r="U709" s="58"/>
      <c r="V709" s="58"/>
      <c r="W709" s="58"/>
      <c r="X709" s="58"/>
      <c r="Y709" s="58"/>
      <c r="Z709" s="58"/>
    </row>
    <row r="710" ht="110.25" customHeight="1">
      <c r="A710" s="101" t="s">
        <v>3692</v>
      </c>
      <c r="B710" s="176" t="s">
        <v>142</v>
      </c>
      <c r="C710" s="75" t="s">
        <v>3656</v>
      </c>
      <c r="D710" s="75" t="s">
        <v>3695</v>
      </c>
      <c r="E710" s="75" t="s">
        <v>3696</v>
      </c>
      <c r="F710" s="75" t="s">
        <v>2272</v>
      </c>
      <c r="G710" s="76">
        <v>50.0</v>
      </c>
      <c r="H710" s="77">
        <v>50.0</v>
      </c>
      <c r="I710" s="77" t="s">
        <v>178</v>
      </c>
      <c r="J710" s="58"/>
      <c r="K710" s="58"/>
      <c r="L710" s="58"/>
      <c r="M710" s="58"/>
      <c r="N710" s="58"/>
      <c r="O710" s="58"/>
      <c r="P710" s="58"/>
      <c r="Q710" s="58"/>
      <c r="R710" s="58"/>
      <c r="S710" s="58"/>
      <c r="T710" s="58"/>
      <c r="U710" s="58"/>
      <c r="V710" s="58"/>
      <c r="W710" s="58"/>
      <c r="X710" s="58"/>
      <c r="Y710" s="58"/>
      <c r="Z710" s="58"/>
    </row>
    <row r="711" ht="138.0" customHeight="1">
      <c r="A711" s="101" t="s">
        <v>3692</v>
      </c>
      <c r="B711" s="176" t="s">
        <v>142</v>
      </c>
      <c r="C711" s="75" t="s">
        <v>3656</v>
      </c>
      <c r="D711" s="75" t="s">
        <v>3697</v>
      </c>
      <c r="E711" s="75" t="s">
        <v>3698</v>
      </c>
      <c r="F711" s="75" t="s">
        <v>3691</v>
      </c>
      <c r="G711" s="76">
        <v>15.0</v>
      </c>
      <c r="H711" s="77">
        <v>15.0</v>
      </c>
      <c r="I711" s="77" t="s">
        <v>178</v>
      </c>
      <c r="J711" s="58"/>
      <c r="K711" s="58"/>
      <c r="L711" s="58"/>
      <c r="M711" s="58"/>
      <c r="N711" s="58"/>
      <c r="O711" s="58"/>
      <c r="P711" s="58"/>
      <c r="Q711" s="58"/>
      <c r="R711" s="58"/>
      <c r="S711" s="58"/>
      <c r="T711" s="58"/>
      <c r="U711" s="58"/>
      <c r="V711" s="58"/>
      <c r="W711" s="58"/>
      <c r="X711" s="58"/>
      <c r="Y711" s="58"/>
      <c r="Z711" s="58"/>
    </row>
    <row r="712" ht="110.25" customHeight="1">
      <c r="A712" s="101" t="s">
        <v>3692</v>
      </c>
      <c r="B712" s="176" t="s">
        <v>142</v>
      </c>
      <c r="C712" s="75" t="s">
        <v>3656</v>
      </c>
      <c r="D712" s="75" t="s">
        <v>3699</v>
      </c>
      <c r="E712" s="75" t="s">
        <v>3700</v>
      </c>
      <c r="F712" s="75" t="s">
        <v>2272</v>
      </c>
      <c r="G712" s="76">
        <v>50.0</v>
      </c>
      <c r="H712" s="77">
        <v>50.0</v>
      </c>
      <c r="I712" s="77" t="s">
        <v>178</v>
      </c>
      <c r="J712" s="58"/>
      <c r="K712" s="58"/>
      <c r="L712" s="58"/>
      <c r="M712" s="58"/>
      <c r="N712" s="58"/>
      <c r="O712" s="58"/>
      <c r="P712" s="58"/>
      <c r="Q712" s="58"/>
      <c r="R712" s="58"/>
      <c r="S712" s="58"/>
      <c r="T712" s="58"/>
      <c r="U712" s="58"/>
      <c r="V712" s="58"/>
      <c r="W712" s="58"/>
      <c r="X712" s="58"/>
      <c r="Y712" s="58"/>
      <c r="Z712" s="58"/>
    </row>
    <row r="713" ht="96.0" customHeight="1">
      <c r="A713" s="101" t="s">
        <v>3692</v>
      </c>
      <c r="B713" s="176" t="s">
        <v>142</v>
      </c>
      <c r="C713" s="75" t="s">
        <v>3656</v>
      </c>
      <c r="D713" s="75" t="s">
        <v>3701</v>
      </c>
      <c r="E713" s="75" t="s">
        <v>3146</v>
      </c>
      <c r="F713" s="75" t="s">
        <v>3691</v>
      </c>
      <c r="G713" s="76">
        <v>15.0</v>
      </c>
      <c r="H713" s="77">
        <v>15.0</v>
      </c>
      <c r="I713" s="77" t="s">
        <v>178</v>
      </c>
      <c r="J713" s="58"/>
      <c r="K713" s="58"/>
      <c r="L713" s="58"/>
      <c r="M713" s="58"/>
      <c r="N713" s="58"/>
      <c r="O713" s="58"/>
      <c r="P713" s="58"/>
      <c r="Q713" s="58"/>
      <c r="R713" s="58"/>
      <c r="S713" s="58"/>
      <c r="T713" s="58"/>
      <c r="U713" s="58"/>
      <c r="V713" s="58"/>
      <c r="W713" s="58"/>
      <c r="X713" s="58"/>
      <c r="Y713" s="58"/>
      <c r="Z713" s="58"/>
    </row>
    <row r="714" ht="110.25" customHeight="1">
      <c r="A714" s="101" t="s">
        <v>3692</v>
      </c>
      <c r="B714" s="176" t="s">
        <v>142</v>
      </c>
      <c r="C714" s="75" t="s">
        <v>3656</v>
      </c>
      <c r="D714" s="75" t="s">
        <v>3702</v>
      </c>
      <c r="E714" s="75" t="s">
        <v>3703</v>
      </c>
      <c r="F714" s="75" t="s">
        <v>3704</v>
      </c>
      <c r="G714" s="76">
        <v>15.0</v>
      </c>
      <c r="H714" s="77">
        <v>15.0</v>
      </c>
      <c r="I714" s="77" t="s">
        <v>178</v>
      </c>
      <c r="J714" s="58"/>
      <c r="K714" s="58"/>
      <c r="L714" s="58"/>
      <c r="M714" s="58"/>
      <c r="N714" s="58"/>
      <c r="O714" s="58"/>
      <c r="P714" s="58"/>
      <c r="Q714" s="58"/>
      <c r="R714" s="58"/>
      <c r="S714" s="58"/>
      <c r="T714" s="58"/>
      <c r="U714" s="58"/>
      <c r="V714" s="58"/>
      <c r="W714" s="58"/>
      <c r="X714" s="58"/>
      <c r="Y714" s="58"/>
      <c r="Z714" s="58"/>
    </row>
    <row r="715" ht="151.5" customHeight="1">
      <c r="A715" s="101" t="s">
        <v>3692</v>
      </c>
      <c r="B715" s="176" t="s">
        <v>142</v>
      </c>
      <c r="C715" s="75" t="s">
        <v>3659</v>
      </c>
      <c r="D715" s="75" t="s">
        <v>3705</v>
      </c>
      <c r="E715" s="75" t="s">
        <v>3706</v>
      </c>
      <c r="F715" s="75" t="s">
        <v>2272</v>
      </c>
      <c r="G715" s="76">
        <v>50.0</v>
      </c>
      <c r="H715" s="77">
        <v>50.0</v>
      </c>
      <c r="I715" s="77" t="s">
        <v>178</v>
      </c>
      <c r="J715" s="58"/>
      <c r="K715" s="58"/>
      <c r="L715" s="58"/>
      <c r="M715" s="58"/>
      <c r="N715" s="58"/>
      <c r="O715" s="58"/>
      <c r="P715" s="58"/>
      <c r="Q715" s="58"/>
      <c r="R715" s="58"/>
      <c r="S715" s="58"/>
      <c r="T715" s="58"/>
      <c r="U715" s="58"/>
      <c r="V715" s="58"/>
      <c r="W715" s="58"/>
      <c r="X715" s="58"/>
      <c r="Y715" s="58"/>
      <c r="Z715" s="58"/>
    </row>
    <row r="716" ht="138.0" customHeight="1">
      <c r="A716" s="101" t="s">
        <v>3692</v>
      </c>
      <c r="B716" s="176" t="s">
        <v>142</v>
      </c>
      <c r="C716" s="75" t="s">
        <v>3659</v>
      </c>
      <c r="D716" s="75" t="s">
        <v>3707</v>
      </c>
      <c r="E716" s="75" t="s">
        <v>3708</v>
      </c>
      <c r="F716" s="75" t="s">
        <v>3691</v>
      </c>
      <c r="G716" s="76">
        <v>15.0</v>
      </c>
      <c r="H716" s="77">
        <v>15.0</v>
      </c>
      <c r="I716" s="77" t="s">
        <v>178</v>
      </c>
      <c r="J716" s="58"/>
      <c r="K716" s="58"/>
      <c r="L716" s="58"/>
      <c r="M716" s="58"/>
      <c r="N716" s="58"/>
      <c r="O716" s="58"/>
      <c r="P716" s="58"/>
      <c r="Q716" s="58"/>
      <c r="R716" s="58"/>
      <c r="S716" s="58"/>
      <c r="T716" s="58"/>
      <c r="U716" s="58"/>
      <c r="V716" s="58"/>
      <c r="W716" s="58"/>
      <c r="X716" s="58"/>
      <c r="Y716" s="58"/>
      <c r="Z716" s="58"/>
    </row>
    <row r="717" ht="165.0" customHeight="1">
      <c r="A717" s="101" t="s">
        <v>3692</v>
      </c>
      <c r="B717" s="176" t="s">
        <v>142</v>
      </c>
      <c r="C717" s="75" t="s">
        <v>3709</v>
      </c>
      <c r="D717" s="75" t="s">
        <v>3710</v>
      </c>
      <c r="E717" s="75" t="s">
        <v>3711</v>
      </c>
      <c r="F717" s="75" t="s">
        <v>2272</v>
      </c>
      <c r="G717" s="76">
        <v>50.0</v>
      </c>
      <c r="H717" s="77">
        <v>50.0</v>
      </c>
      <c r="I717" s="77" t="s">
        <v>178</v>
      </c>
      <c r="J717" s="58"/>
      <c r="K717" s="58"/>
      <c r="L717" s="58"/>
      <c r="M717" s="58"/>
      <c r="N717" s="58"/>
      <c r="O717" s="58"/>
      <c r="P717" s="58"/>
      <c r="Q717" s="58"/>
      <c r="R717" s="58"/>
      <c r="S717" s="58"/>
      <c r="T717" s="58"/>
      <c r="U717" s="58"/>
      <c r="V717" s="58"/>
      <c r="W717" s="58"/>
      <c r="X717" s="58"/>
      <c r="Y717" s="58"/>
      <c r="Z717" s="58"/>
    </row>
    <row r="718" ht="138.0" customHeight="1">
      <c r="A718" s="101" t="s">
        <v>3712</v>
      </c>
      <c r="B718" s="176" t="s">
        <v>142</v>
      </c>
      <c r="C718" s="75" t="s">
        <v>3713</v>
      </c>
      <c r="D718" s="75" t="s">
        <v>3714</v>
      </c>
      <c r="E718" s="75" t="s">
        <v>3715</v>
      </c>
      <c r="F718" s="75" t="s">
        <v>2272</v>
      </c>
      <c r="G718" s="76">
        <v>50.0</v>
      </c>
      <c r="H718" s="77">
        <v>25.0</v>
      </c>
      <c r="I718" s="77" t="s">
        <v>178</v>
      </c>
      <c r="J718" s="58"/>
      <c r="K718" s="58"/>
      <c r="L718" s="58"/>
      <c r="M718" s="58"/>
      <c r="N718" s="58"/>
      <c r="O718" s="58"/>
      <c r="P718" s="58"/>
      <c r="Q718" s="58"/>
      <c r="R718" s="58"/>
      <c r="S718" s="58"/>
      <c r="T718" s="58"/>
      <c r="U718" s="58"/>
      <c r="V718" s="58"/>
      <c r="W718" s="58"/>
      <c r="X718" s="58"/>
      <c r="Y718" s="58"/>
      <c r="Z718" s="58"/>
    </row>
    <row r="719" ht="138.0" customHeight="1">
      <c r="A719" s="101" t="s">
        <v>3712</v>
      </c>
      <c r="B719" s="176" t="s">
        <v>142</v>
      </c>
      <c r="C719" s="75" t="s">
        <v>3716</v>
      </c>
      <c r="D719" s="75" t="s">
        <v>3717</v>
      </c>
      <c r="E719" s="75" t="s">
        <v>3718</v>
      </c>
      <c r="F719" s="75" t="s">
        <v>2272</v>
      </c>
      <c r="G719" s="76">
        <v>50.0</v>
      </c>
      <c r="H719" s="77">
        <v>25.0</v>
      </c>
      <c r="I719" s="77" t="s">
        <v>178</v>
      </c>
      <c r="J719" s="58"/>
      <c r="K719" s="58"/>
      <c r="L719" s="58"/>
      <c r="M719" s="58"/>
      <c r="N719" s="58"/>
      <c r="O719" s="58"/>
      <c r="P719" s="58"/>
      <c r="Q719" s="58"/>
      <c r="R719" s="58"/>
      <c r="S719" s="58"/>
      <c r="T719" s="58"/>
      <c r="U719" s="58"/>
      <c r="V719" s="58"/>
      <c r="W719" s="58"/>
      <c r="X719" s="58"/>
      <c r="Y719" s="58"/>
      <c r="Z719" s="58"/>
    </row>
    <row r="720" ht="138.0" customHeight="1">
      <c r="A720" s="101" t="s">
        <v>3712</v>
      </c>
      <c r="B720" s="176" t="s">
        <v>142</v>
      </c>
      <c r="C720" s="75" t="s">
        <v>3719</v>
      </c>
      <c r="D720" s="75" t="s">
        <v>3720</v>
      </c>
      <c r="E720" s="75" t="s">
        <v>3721</v>
      </c>
      <c r="F720" s="75" t="s">
        <v>3691</v>
      </c>
      <c r="G720" s="76">
        <v>15.0</v>
      </c>
      <c r="H720" s="77">
        <v>7.5</v>
      </c>
      <c r="I720" s="77" t="s">
        <v>178</v>
      </c>
      <c r="J720" s="58"/>
      <c r="K720" s="58"/>
      <c r="L720" s="58"/>
      <c r="M720" s="58"/>
      <c r="N720" s="58"/>
      <c r="O720" s="58"/>
      <c r="P720" s="58"/>
      <c r="Q720" s="58"/>
      <c r="R720" s="58"/>
      <c r="S720" s="58"/>
      <c r="T720" s="58"/>
      <c r="U720" s="58"/>
      <c r="V720" s="58"/>
      <c r="W720" s="58"/>
      <c r="X720" s="58"/>
      <c r="Y720" s="58"/>
      <c r="Z720" s="58"/>
    </row>
    <row r="721" ht="138.0" customHeight="1">
      <c r="A721" s="101" t="s">
        <v>3722</v>
      </c>
      <c r="B721" s="176" t="s">
        <v>142</v>
      </c>
      <c r="C721" s="75" t="s">
        <v>3723</v>
      </c>
      <c r="D721" s="75" t="s">
        <v>3724</v>
      </c>
      <c r="E721" s="75" t="s">
        <v>3725</v>
      </c>
      <c r="F721" s="75" t="s">
        <v>3691</v>
      </c>
      <c r="G721" s="76">
        <v>15.0</v>
      </c>
      <c r="H721" s="77">
        <v>5.0</v>
      </c>
      <c r="I721" s="77" t="s">
        <v>178</v>
      </c>
      <c r="J721" s="58"/>
      <c r="K721" s="58"/>
      <c r="L721" s="58"/>
      <c r="M721" s="58"/>
      <c r="N721" s="58"/>
      <c r="O721" s="58"/>
      <c r="P721" s="58"/>
      <c r="Q721" s="58"/>
      <c r="R721" s="58"/>
      <c r="S721" s="58"/>
      <c r="T721" s="58"/>
      <c r="U721" s="58"/>
      <c r="V721" s="58"/>
      <c r="W721" s="58"/>
      <c r="X721" s="58"/>
      <c r="Y721" s="58"/>
      <c r="Z721" s="58"/>
    </row>
    <row r="722" ht="179.25" customHeight="1">
      <c r="A722" s="101" t="s">
        <v>3726</v>
      </c>
      <c r="B722" s="176" t="s">
        <v>142</v>
      </c>
      <c r="C722" s="75" t="s">
        <v>3727</v>
      </c>
      <c r="D722" s="75" t="s">
        <v>3728</v>
      </c>
      <c r="E722" s="75" t="s">
        <v>3729</v>
      </c>
      <c r="F722" s="75" t="s">
        <v>2272</v>
      </c>
      <c r="G722" s="76">
        <v>50.0</v>
      </c>
      <c r="H722" s="77">
        <v>16.666666666666668</v>
      </c>
      <c r="I722" s="77" t="s">
        <v>178</v>
      </c>
      <c r="J722" s="58"/>
      <c r="K722" s="58"/>
      <c r="L722" s="58"/>
      <c r="M722" s="58"/>
      <c r="N722" s="58"/>
      <c r="O722" s="58"/>
      <c r="P722" s="58"/>
      <c r="Q722" s="58"/>
      <c r="R722" s="58"/>
      <c r="S722" s="58"/>
      <c r="T722" s="58"/>
      <c r="U722" s="58"/>
      <c r="V722" s="58"/>
      <c r="W722" s="58"/>
      <c r="X722" s="58"/>
      <c r="Y722" s="58"/>
      <c r="Z722" s="58"/>
    </row>
    <row r="723" ht="179.25" customHeight="1">
      <c r="A723" s="101" t="s">
        <v>3726</v>
      </c>
      <c r="B723" s="176" t="s">
        <v>142</v>
      </c>
      <c r="C723" s="75" t="s">
        <v>3727</v>
      </c>
      <c r="D723" s="75" t="s">
        <v>3730</v>
      </c>
      <c r="E723" s="75" t="s">
        <v>3731</v>
      </c>
      <c r="F723" s="75" t="s">
        <v>2272</v>
      </c>
      <c r="G723" s="76">
        <v>50.0</v>
      </c>
      <c r="H723" s="77">
        <v>16.666666666666668</v>
      </c>
      <c r="I723" s="77" t="s">
        <v>178</v>
      </c>
      <c r="J723" s="58"/>
      <c r="K723" s="58"/>
      <c r="L723" s="58"/>
      <c r="M723" s="58"/>
      <c r="N723" s="58"/>
      <c r="O723" s="58"/>
      <c r="P723" s="58"/>
      <c r="Q723" s="58"/>
      <c r="R723" s="58"/>
      <c r="S723" s="58"/>
      <c r="T723" s="58"/>
      <c r="U723" s="58"/>
      <c r="V723" s="58"/>
      <c r="W723" s="58"/>
      <c r="X723" s="58"/>
      <c r="Y723" s="58"/>
      <c r="Z723" s="58"/>
    </row>
    <row r="724" ht="179.25" customHeight="1">
      <c r="A724" s="101" t="s">
        <v>3726</v>
      </c>
      <c r="B724" s="176" t="s">
        <v>142</v>
      </c>
      <c r="C724" s="75" t="s">
        <v>3727</v>
      </c>
      <c r="D724" s="75" t="s">
        <v>3732</v>
      </c>
      <c r="E724" s="75" t="s">
        <v>3733</v>
      </c>
      <c r="F724" s="75" t="s">
        <v>3734</v>
      </c>
      <c r="G724" s="76">
        <v>15.0</v>
      </c>
      <c r="H724" s="77">
        <v>5.0</v>
      </c>
      <c r="I724" s="77" t="s">
        <v>178</v>
      </c>
      <c r="J724" s="58"/>
      <c r="K724" s="58"/>
      <c r="L724" s="58"/>
      <c r="M724" s="58"/>
      <c r="N724" s="58"/>
      <c r="O724" s="58"/>
      <c r="P724" s="58"/>
      <c r="Q724" s="58"/>
      <c r="R724" s="58"/>
      <c r="S724" s="58"/>
      <c r="T724" s="58"/>
      <c r="U724" s="58"/>
      <c r="V724" s="58"/>
      <c r="W724" s="58"/>
      <c r="X724" s="58"/>
      <c r="Y724" s="58"/>
      <c r="Z724" s="58"/>
    </row>
    <row r="725" ht="151.5" customHeight="1">
      <c r="A725" s="101" t="s">
        <v>3661</v>
      </c>
      <c r="B725" s="176" t="s">
        <v>142</v>
      </c>
      <c r="C725" s="75" t="s">
        <v>3662</v>
      </c>
      <c r="D725" s="75" t="s">
        <v>3735</v>
      </c>
      <c r="E725" s="75" t="s">
        <v>3090</v>
      </c>
      <c r="F725" s="75" t="s">
        <v>2272</v>
      </c>
      <c r="G725" s="76">
        <v>50.0</v>
      </c>
      <c r="H725" s="77">
        <v>25.0</v>
      </c>
      <c r="I725" s="77" t="s">
        <v>178</v>
      </c>
      <c r="J725" s="58"/>
      <c r="K725" s="58"/>
      <c r="L725" s="58"/>
      <c r="M725" s="58"/>
      <c r="N725" s="58"/>
      <c r="O725" s="58"/>
      <c r="P725" s="58"/>
      <c r="Q725" s="58"/>
      <c r="R725" s="58"/>
      <c r="S725" s="58"/>
      <c r="T725" s="58"/>
      <c r="U725" s="58"/>
      <c r="V725" s="58"/>
      <c r="W725" s="58"/>
      <c r="X725" s="58"/>
      <c r="Y725" s="58"/>
      <c r="Z725" s="58"/>
    </row>
    <row r="726" ht="151.5" customHeight="1">
      <c r="A726" s="101" t="s">
        <v>3661</v>
      </c>
      <c r="B726" s="176" t="s">
        <v>142</v>
      </c>
      <c r="C726" s="75" t="s">
        <v>3662</v>
      </c>
      <c r="D726" s="75" t="s">
        <v>3736</v>
      </c>
      <c r="E726" s="75" t="s">
        <v>3025</v>
      </c>
      <c r="F726" s="75" t="s">
        <v>2272</v>
      </c>
      <c r="G726" s="76">
        <v>50.0</v>
      </c>
      <c r="H726" s="77">
        <v>25.0</v>
      </c>
      <c r="I726" s="77" t="s">
        <v>178</v>
      </c>
      <c r="J726" s="58"/>
      <c r="K726" s="58"/>
      <c r="L726" s="58"/>
      <c r="M726" s="58"/>
      <c r="N726" s="58"/>
      <c r="O726" s="58"/>
      <c r="P726" s="58"/>
      <c r="Q726" s="58"/>
      <c r="R726" s="58"/>
      <c r="S726" s="58"/>
      <c r="T726" s="58"/>
      <c r="U726" s="58"/>
      <c r="V726" s="58"/>
      <c r="W726" s="58"/>
      <c r="X726" s="58"/>
      <c r="Y726" s="58"/>
      <c r="Z726" s="58"/>
    </row>
    <row r="727" ht="110.25" customHeight="1">
      <c r="A727" s="101" t="s">
        <v>3661</v>
      </c>
      <c r="B727" s="176" t="s">
        <v>142</v>
      </c>
      <c r="C727" s="75" t="s">
        <v>3662</v>
      </c>
      <c r="D727" s="75" t="s">
        <v>3737</v>
      </c>
      <c r="E727" s="75" t="s">
        <v>3082</v>
      </c>
      <c r="F727" s="75" t="s">
        <v>2272</v>
      </c>
      <c r="G727" s="76">
        <v>50.0</v>
      </c>
      <c r="H727" s="77">
        <v>25.0</v>
      </c>
      <c r="I727" s="77" t="s">
        <v>178</v>
      </c>
      <c r="J727" s="58"/>
      <c r="K727" s="58"/>
      <c r="L727" s="58"/>
      <c r="M727" s="58"/>
      <c r="N727" s="58"/>
      <c r="O727" s="58"/>
      <c r="P727" s="58"/>
      <c r="Q727" s="58"/>
      <c r="R727" s="58"/>
      <c r="S727" s="58"/>
      <c r="T727" s="58"/>
      <c r="U727" s="58"/>
      <c r="V727" s="58"/>
      <c r="W727" s="58"/>
      <c r="X727" s="58"/>
      <c r="Y727" s="58"/>
      <c r="Z727" s="58"/>
    </row>
    <row r="728" ht="151.5" customHeight="1">
      <c r="A728" s="101" t="s">
        <v>3738</v>
      </c>
      <c r="B728" s="176" t="s">
        <v>142</v>
      </c>
      <c r="C728" s="75" t="s">
        <v>3739</v>
      </c>
      <c r="D728" s="75" t="s">
        <v>3740</v>
      </c>
      <c r="E728" s="75" t="s">
        <v>3741</v>
      </c>
      <c r="F728" s="75" t="s">
        <v>2272</v>
      </c>
      <c r="G728" s="76">
        <v>50.0</v>
      </c>
      <c r="H728" s="77">
        <v>25.0</v>
      </c>
      <c r="I728" s="77" t="s">
        <v>178</v>
      </c>
      <c r="J728" s="58"/>
      <c r="K728" s="58"/>
      <c r="L728" s="58"/>
      <c r="M728" s="58"/>
      <c r="N728" s="58"/>
      <c r="O728" s="58"/>
      <c r="P728" s="58"/>
      <c r="Q728" s="58"/>
      <c r="R728" s="58"/>
      <c r="S728" s="58"/>
      <c r="T728" s="58"/>
      <c r="U728" s="58"/>
      <c r="V728" s="58"/>
      <c r="W728" s="58"/>
      <c r="X728" s="58"/>
      <c r="Y728" s="58"/>
      <c r="Z728" s="58"/>
    </row>
    <row r="729" ht="110.25" customHeight="1">
      <c r="A729" s="101" t="s">
        <v>3692</v>
      </c>
      <c r="B729" s="176" t="s">
        <v>142</v>
      </c>
      <c r="C729" s="75" t="s">
        <v>3659</v>
      </c>
      <c r="D729" s="75" t="s">
        <v>3742</v>
      </c>
      <c r="E729" s="75" t="s">
        <v>3743</v>
      </c>
      <c r="F729" s="75" t="s">
        <v>1890</v>
      </c>
      <c r="G729" s="76">
        <v>50.0</v>
      </c>
      <c r="H729" s="77">
        <v>50.0</v>
      </c>
      <c r="I729" s="77" t="s">
        <v>178</v>
      </c>
      <c r="J729" s="58"/>
      <c r="K729" s="58"/>
      <c r="L729" s="58"/>
      <c r="M729" s="58"/>
      <c r="N729" s="58"/>
      <c r="O729" s="58"/>
      <c r="P729" s="58"/>
      <c r="Q729" s="58"/>
      <c r="R729" s="58"/>
      <c r="S729" s="58"/>
      <c r="T729" s="58"/>
      <c r="U729" s="58"/>
      <c r="V729" s="58"/>
      <c r="W729" s="58"/>
      <c r="X729" s="58"/>
      <c r="Y729" s="58"/>
      <c r="Z729" s="58"/>
    </row>
    <row r="730" ht="110.25" customHeight="1">
      <c r="A730" s="101" t="s">
        <v>178</v>
      </c>
      <c r="B730" s="176" t="s">
        <v>142</v>
      </c>
      <c r="C730" s="75" t="s">
        <v>3659</v>
      </c>
      <c r="D730" s="75" t="s">
        <v>3744</v>
      </c>
      <c r="E730" s="75" t="s">
        <v>3745</v>
      </c>
      <c r="F730" s="75" t="s">
        <v>3691</v>
      </c>
      <c r="G730" s="76">
        <v>15.0</v>
      </c>
      <c r="H730" s="77">
        <v>15.0</v>
      </c>
      <c r="I730" s="77" t="s">
        <v>178</v>
      </c>
      <c r="J730" s="58"/>
      <c r="K730" s="58"/>
      <c r="L730" s="58"/>
      <c r="M730" s="58"/>
      <c r="N730" s="58"/>
      <c r="O730" s="58"/>
      <c r="P730" s="58"/>
      <c r="Q730" s="58"/>
      <c r="R730" s="58"/>
      <c r="S730" s="58"/>
      <c r="T730" s="58"/>
      <c r="U730" s="58"/>
      <c r="V730" s="58"/>
      <c r="W730" s="58"/>
      <c r="X730" s="58"/>
      <c r="Y730" s="58"/>
      <c r="Z730" s="58"/>
    </row>
    <row r="731" ht="138.0" customHeight="1">
      <c r="A731" s="101" t="s">
        <v>178</v>
      </c>
      <c r="B731" s="176" t="s">
        <v>142</v>
      </c>
      <c r="C731" s="75" t="s">
        <v>3746</v>
      </c>
      <c r="D731" s="75" t="s">
        <v>3747</v>
      </c>
      <c r="E731" s="75" t="s">
        <v>3149</v>
      </c>
      <c r="F731" s="75" t="s">
        <v>3691</v>
      </c>
      <c r="G731" s="76">
        <v>15.0</v>
      </c>
      <c r="H731" s="77">
        <v>15.0</v>
      </c>
      <c r="I731" s="77" t="s">
        <v>178</v>
      </c>
      <c r="J731" s="58"/>
      <c r="K731" s="58"/>
      <c r="L731" s="58"/>
      <c r="M731" s="58"/>
      <c r="N731" s="58"/>
      <c r="O731" s="58"/>
      <c r="P731" s="58"/>
      <c r="Q731" s="58"/>
      <c r="R731" s="58"/>
      <c r="S731" s="58"/>
      <c r="T731" s="58"/>
      <c r="U731" s="58"/>
      <c r="V731" s="58"/>
      <c r="W731" s="58"/>
      <c r="X731" s="58"/>
      <c r="Y731" s="58"/>
      <c r="Z731" s="58"/>
    </row>
    <row r="732" ht="151.5" customHeight="1">
      <c r="A732" s="101" t="s">
        <v>3748</v>
      </c>
      <c r="B732" s="176" t="s">
        <v>142</v>
      </c>
      <c r="C732" s="75" t="s">
        <v>3749</v>
      </c>
      <c r="D732" s="75" t="s">
        <v>3747</v>
      </c>
      <c r="E732" s="75" t="s">
        <v>3149</v>
      </c>
      <c r="F732" s="75" t="s">
        <v>3691</v>
      </c>
      <c r="G732" s="76">
        <v>15.0</v>
      </c>
      <c r="H732" s="77">
        <v>5.0</v>
      </c>
      <c r="I732" s="77" t="s">
        <v>178</v>
      </c>
      <c r="J732" s="58"/>
      <c r="K732" s="58"/>
      <c r="L732" s="58"/>
      <c r="M732" s="58"/>
      <c r="N732" s="58"/>
      <c r="O732" s="58"/>
      <c r="P732" s="58"/>
      <c r="Q732" s="58"/>
      <c r="R732" s="58"/>
      <c r="S732" s="58"/>
      <c r="T732" s="58"/>
      <c r="U732" s="58"/>
      <c r="V732" s="58"/>
      <c r="W732" s="58"/>
      <c r="X732" s="58"/>
      <c r="Y732" s="58"/>
      <c r="Z732" s="58"/>
    </row>
    <row r="733" ht="96.0" customHeight="1">
      <c r="A733" s="101" t="s">
        <v>3692</v>
      </c>
      <c r="B733" s="176" t="s">
        <v>142</v>
      </c>
      <c r="C733" s="75" t="s">
        <v>3659</v>
      </c>
      <c r="D733" s="75" t="s">
        <v>3747</v>
      </c>
      <c r="E733" s="75" t="s">
        <v>3149</v>
      </c>
      <c r="F733" s="75" t="s">
        <v>3691</v>
      </c>
      <c r="G733" s="76">
        <v>15.0</v>
      </c>
      <c r="H733" s="77">
        <v>15.0</v>
      </c>
      <c r="I733" s="77" t="s">
        <v>178</v>
      </c>
      <c r="J733" s="58"/>
      <c r="K733" s="58"/>
      <c r="L733" s="58"/>
      <c r="M733" s="58"/>
      <c r="N733" s="58"/>
      <c r="O733" s="58"/>
      <c r="P733" s="58"/>
      <c r="Q733" s="58"/>
      <c r="R733" s="58"/>
      <c r="S733" s="58"/>
      <c r="T733" s="58"/>
      <c r="U733" s="58"/>
      <c r="V733" s="58"/>
      <c r="W733" s="58"/>
      <c r="X733" s="58"/>
      <c r="Y733" s="58"/>
      <c r="Z733" s="58"/>
    </row>
    <row r="734" ht="151.5" customHeight="1">
      <c r="A734" s="101" t="s">
        <v>3750</v>
      </c>
      <c r="B734" s="176" t="s">
        <v>142</v>
      </c>
      <c r="C734" s="75" t="s">
        <v>3751</v>
      </c>
      <c r="D734" s="75" t="s">
        <v>3747</v>
      </c>
      <c r="E734" s="75" t="s">
        <v>3149</v>
      </c>
      <c r="F734" s="75" t="s">
        <v>3691</v>
      </c>
      <c r="G734" s="76">
        <v>15.0</v>
      </c>
      <c r="H734" s="77">
        <v>5.0</v>
      </c>
      <c r="I734" s="77" t="s">
        <v>178</v>
      </c>
      <c r="J734" s="58"/>
      <c r="K734" s="58"/>
      <c r="L734" s="58"/>
      <c r="M734" s="58"/>
      <c r="N734" s="58"/>
      <c r="O734" s="58"/>
      <c r="P734" s="58"/>
      <c r="Q734" s="58"/>
      <c r="R734" s="58"/>
      <c r="S734" s="58"/>
      <c r="T734" s="58"/>
      <c r="U734" s="58"/>
      <c r="V734" s="58"/>
      <c r="W734" s="58"/>
      <c r="X734" s="58"/>
      <c r="Y734" s="58"/>
      <c r="Z734" s="58"/>
    </row>
    <row r="735" ht="123.75" customHeight="1">
      <c r="A735" s="101" t="s">
        <v>3692</v>
      </c>
      <c r="B735" s="176" t="s">
        <v>142</v>
      </c>
      <c r="C735" s="75" t="s">
        <v>3752</v>
      </c>
      <c r="D735" s="75" t="s">
        <v>3753</v>
      </c>
      <c r="E735" s="75" t="s">
        <v>3754</v>
      </c>
      <c r="F735" s="75" t="s">
        <v>3691</v>
      </c>
      <c r="G735" s="76">
        <v>15.0</v>
      </c>
      <c r="H735" s="77">
        <v>15.0</v>
      </c>
      <c r="I735" s="77" t="s">
        <v>178</v>
      </c>
      <c r="J735" s="58"/>
      <c r="K735" s="58"/>
      <c r="L735" s="58"/>
      <c r="M735" s="58"/>
      <c r="N735" s="58"/>
      <c r="O735" s="58"/>
      <c r="P735" s="58"/>
      <c r="Q735" s="58"/>
      <c r="R735" s="58"/>
      <c r="S735" s="58"/>
      <c r="T735" s="58"/>
      <c r="U735" s="58"/>
      <c r="V735" s="58"/>
      <c r="W735" s="58"/>
      <c r="X735" s="58"/>
      <c r="Y735" s="58"/>
      <c r="Z735" s="58"/>
    </row>
    <row r="736" ht="138.0" customHeight="1">
      <c r="A736" s="101" t="s">
        <v>3692</v>
      </c>
      <c r="B736" s="176" t="s">
        <v>142</v>
      </c>
      <c r="C736" s="75" t="s">
        <v>3755</v>
      </c>
      <c r="D736" s="75" t="s">
        <v>3756</v>
      </c>
      <c r="E736" s="75" t="s">
        <v>3757</v>
      </c>
      <c r="F736" s="75" t="s">
        <v>3691</v>
      </c>
      <c r="G736" s="76">
        <v>15.0</v>
      </c>
      <c r="H736" s="77">
        <v>15.0</v>
      </c>
      <c r="I736" s="77" t="s">
        <v>178</v>
      </c>
      <c r="J736" s="58"/>
      <c r="K736" s="58"/>
      <c r="L736" s="58"/>
      <c r="M736" s="58"/>
      <c r="N736" s="58"/>
      <c r="O736" s="58"/>
      <c r="P736" s="58"/>
      <c r="Q736" s="58"/>
      <c r="R736" s="58"/>
      <c r="S736" s="58"/>
      <c r="T736" s="58"/>
      <c r="U736" s="58"/>
      <c r="V736" s="58"/>
      <c r="W736" s="58"/>
      <c r="X736" s="58"/>
      <c r="Y736" s="58"/>
      <c r="Z736" s="58"/>
    </row>
    <row r="737" ht="192.75" customHeight="1">
      <c r="A737" s="101" t="s">
        <v>3758</v>
      </c>
      <c r="B737" s="176" t="s">
        <v>142</v>
      </c>
      <c r="C737" s="75" t="s">
        <v>3759</v>
      </c>
      <c r="D737" s="75" t="s">
        <v>3760</v>
      </c>
      <c r="E737" s="75" t="s">
        <v>3761</v>
      </c>
      <c r="F737" s="75" t="s">
        <v>2272</v>
      </c>
      <c r="G737" s="76">
        <v>50.0</v>
      </c>
      <c r="H737" s="77">
        <v>50.0</v>
      </c>
      <c r="I737" s="77" t="s">
        <v>178</v>
      </c>
      <c r="J737" s="58"/>
      <c r="K737" s="58"/>
      <c r="L737" s="58"/>
      <c r="M737" s="58"/>
      <c r="N737" s="58"/>
      <c r="O737" s="58"/>
      <c r="P737" s="58"/>
      <c r="Q737" s="58"/>
      <c r="R737" s="58"/>
      <c r="S737" s="58"/>
      <c r="T737" s="58"/>
      <c r="U737" s="58"/>
      <c r="V737" s="58"/>
      <c r="W737" s="58"/>
      <c r="X737" s="58"/>
      <c r="Y737" s="58"/>
      <c r="Z737" s="58"/>
    </row>
    <row r="738" ht="123.75" customHeight="1">
      <c r="A738" s="101" t="s">
        <v>3758</v>
      </c>
      <c r="B738" s="176" t="s">
        <v>142</v>
      </c>
      <c r="C738" s="75" t="s">
        <v>3759</v>
      </c>
      <c r="D738" s="75" t="s">
        <v>3762</v>
      </c>
      <c r="E738" s="75" t="s">
        <v>3763</v>
      </c>
      <c r="F738" s="75" t="s">
        <v>2272</v>
      </c>
      <c r="G738" s="76">
        <v>50.0</v>
      </c>
      <c r="H738" s="77">
        <v>50.0</v>
      </c>
      <c r="I738" s="77" t="s">
        <v>178</v>
      </c>
      <c r="J738" s="58"/>
      <c r="K738" s="58"/>
      <c r="L738" s="58"/>
      <c r="M738" s="58"/>
      <c r="N738" s="58"/>
      <c r="O738" s="58"/>
      <c r="P738" s="58"/>
      <c r="Q738" s="58"/>
      <c r="R738" s="58"/>
      <c r="S738" s="58"/>
      <c r="T738" s="58"/>
      <c r="U738" s="58"/>
      <c r="V738" s="58"/>
      <c r="W738" s="58"/>
      <c r="X738" s="58"/>
      <c r="Y738" s="58"/>
      <c r="Z738" s="58"/>
    </row>
    <row r="739" ht="151.5" customHeight="1">
      <c r="A739" s="101" t="s">
        <v>3764</v>
      </c>
      <c r="B739" s="176" t="s">
        <v>142</v>
      </c>
      <c r="C739" s="75" t="s">
        <v>3723</v>
      </c>
      <c r="D739" s="75" t="s">
        <v>3765</v>
      </c>
      <c r="E739" s="75" t="s">
        <v>3725</v>
      </c>
      <c r="F739" s="75" t="s">
        <v>3691</v>
      </c>
      <c r="G739" s="76">
        <v>15.0</v>
      </c>
      <c r="H739" s="77">
        <v>5.0</v>
      </c>
      <c r="I739" s="77" t="s">
        <v>178</v>
      </c>
      <c r="J739" s="58"/>
      <c r="K739" s="58"/>
      <c r="L739" s="58"/>
      <c r="M739" s="58"/>
      <c r="N739" s="58"/>
      <c r="O739" s="58"/>
      <c r="P739" s="58"/>
      <c r="Q739" s="58"/>
      <c r="R739" s="58"/>
      <c r="S739" s="58"/>
      <c r="T739" s="58"/>
      <c r="U739" s="58"/>
      <c r="V739" s="58"/>
      <c r="W739" s="58"/>
      <c r="X739" s="58"/>
      <c r="Y739" s="58"/>
      <c r="Z739" s="58"/>
    </row>
    <row r="740" ht="151.5" customHeight="1">
      <c r="A740" s="101" t="s">
        <v>3766</v>
      </c>
      <c r="B740" s="176" t="s">
        <v>142</v>
      </c>
      <c r="C740" s="75" t="s">
        <v>3749</v>
      </c>
      <c r="D740" s="75" t="s">
        <v>3767</v>
      </c>
      <c r="E740" s="75" t="s">
        <v>3768</v>
      </c>
      <c r="F740" s="75" t="s">
        <v>3691</v>
      </c>
      <c r="G740" s="76">
        <v>15.0</v>
      </c>
      <c r="H740" s="77">
        <v>5.0</v>
      </c>
      <c r="I740" s="77" t="s">
        <v>178</v>
      </c>
      <c r="J740" s="58"/>
      <c r="K740" s="58"/>
      <c r="L740" s="58"/>
      <c r="M740" s="58"/>
      <c r="N740" s="58"/>
      <c r="O740" s="58"/>
      <c r="P740" s="58"/>
      <c r="Q740" s="58"/>
      <c r="R740" s="58"/>
      <c r="S740" s="58"/>
      <c r="T740" s="58"/>
      <c r="U740" s="58"/>
      <c r="V740" s="58"/>
      <c r="W740" s="58"/>
      <c r="X740" s="58"/>
      <c r="Y740" s="58"/>
      <c r="Z740" s="58"/>
    </row>
    <row r="741" ht="151.5" customHeight="1">
      <c r="A741" s="101" t="s">
        <v>3766</v>
      </c>
      <c r="B741" s="176" t="s">
        <v>142</v>
      </c>
      <c r="C741" s="75" t="s">
        <v>3749</v>
      </c>
      <c r="D741" s="75" t="s">
        <v>3769</v>
      </c>
      <c r="E741" s="75" t="s">
        <v>3770</v>
      </c>
      <c r="F741" s="75" t="s">
        <v>3691</v>
      </c>
      <c r="G741" s="76">
        <v>15.0</v>
      </c>
      <c r="H741" s="77">
        <v>5.0</v>
      </c>
      <c r="I741" s="77" t="s">
        <v>178</v>
      </c>
      <c r="J741" s="58"/>
      <c r="K741" s="58"/>
      <c r="L741" s="58"/>
      <c r="M741" s="58"/>
      <c r="N741" s="58"/>
      <c r="O741" s="58"/>
      <c r="P741" s="58"/>
      <c r="Q741" s="58"/>
      <c r="R741" s="58"/>
      <c r="S741" s="58"/>
      <c r="T741" s="58"/>
      <c r="U741" s="58"/>
      <c r="V741" s="58"/>
      <c r="W741" s="58"/>
      <c r="X741" s="58"/>
      <c r="Y741" s="58"/>
      <c r="Z741" s="58"/>
    </row>
    <row r="742" ht="138.0" customHeight="1">
      <c r="A742" s="101" t="s">
        <v>3764</v>
      </c>
      <c r="B742" s="176" t="s">
        <v>142</v>
      </c>
      <c r="C742" s="75" t="s">
        <v>3723</v>
      </c>
      <c r="D742" s="75" t="s">
        <v>3771</v>
      </c>
      <c r="E742" s="75" t="s">
        <v>3772</v>
      </c>
      <c r="F742" s="75" t="s">
        <v>2487</v>
      </c>
      <c r="G742" s="76">
        <v>50.0</v>
      </c>
      <c r="H742" s="77">
        <v>16.666666666666668</v>
      </c>
      <c r="I742" s="77" t="s">
        <v>178</v>
      </c>
      <c r="J742" s="58"/>
      <c r="K742" s="58"/>
      <c r="L742" s="58"/>
      <c r="M742" s="58"/>
      <c r="N742" s="58"/>
      <c r="O742" s="58"/>
      <c r="P742" s="58"/>
      <c r="Q742" s="58"/>
      <c r="R742" s="58"/>
      <c r="S742" s="58"/>
      <c r="T742" s="58"/>
      <c r="U742" s="58"/>
      <c r="V742" s="58"/>
      <c r="W742" s="58"/>
      <c r="X742" s="58"/>
      <c r="Y742" s="58"/>
      <c r="Z742" s="58"/>
    </row>
    <row r="743" ht="151.5" customHeight="1">
      <c r="A743" s="101" t="s">
        <v>3773</v>
      </c>
      <c r="B743" s="176" t="s">
        <v>142</v>
      </c>
      <c r="C743" s="75" t="s">
        <v>3774</v>
      </c>
      <c r="D743" s="75" t="s">
        <v>3769</v>
      </c>
      <c r="E743" s="75" t="s">
        <v>3770</v>
      </c>
      <c r="F743" s="75" t="s">
        <v>3691</v>
      </c>
      <c r="G743" s="76">
        <v>15.0</v>
      </c>
      <c r="H743" s="77">
        <v>15.0</v>
      </c>
      <c r="I743" s="77" t="s">
        <v>178</v>
      </c>
      <c r="J743" s="58"/>
      <c r="K743" s="58"/>
      <c r="L743" s="58"/>
      <c r="M743" s="58"/>
      <c r="N743" s="58"/>
      <c r="O743" s="58"/>
      <c r="P743" s="58"/>
      <c r="Q743" s="58"/>
      <c r="R743" s="58"/>
      <c r="S743" s="58"/>
      <c r="T743" s="58"/>
      <c r="U743" s="58"/>
      <c r="V743" s="58"/>
      <c r="W743" s="58"/>
      <c r="X743" s="58"/>
      <c r="Y743" s="58"/>
      <c r="Z743" s="58"/>
    </row>
    <row r="744" ht="151.5" customHeight="1">
      <c r="A744" s="101" t="s">
        <v>3663</v>
      </c>
      <c r="B744" s="176" t="s">
        <v>142</v>
      </c>
      <c r="C744" s="75" t="s">
        <v>3667</v>
      </c>
      <c r="D744" s="75" t="s">
        <v>3775</v>
      </c>
      <c r="E744" s="75" t="s">
        <v>3776</v>
      </c>
      <c r="F744" s="75" t="s">
        <v>2272</v>
      </c>
      <c r="G744" s="76">
        <v>50.0</v>
      </c>
      <c r="H744" s="77">
        <v>25.0</v>
      </c>
      <c r="I744" s="77" t="s">
        <v>178</v>
      </c>
      <c r="J744" s="58"/>
      <c r="K744" s="58"/>
      <c r="L744" s="58"/>
      <c r="M744" s="58"/>
      <c r="N744" s="58"/>
      <c r="O744" s="58"/>
      <c r="P744" s="58"/>
      <c r="Q744" s="58"/>
      <c r="R744" s="58"/>
      <c r="S744" s="58"/>
      <c r="T744" s="58"/>
      <c r="U744" s="58"/>
      <c r="V744" s="58"/>
      <c r="W744" s="58"/>
      <c r="X744" s="58"/>
      <c r="Y744" s="58"/>
      <c r="Z744" s="58"/>
    </row>
    <row r="745" ht="179.25" customHeight="1">
      <c r="A745" s="101" t="s">
        <v>3777</v>
      </c>
      <c r="B745" s="176" t="s">
        <v>142</v>
      </c>
      <c r="C745" s="75" t="s">
        <v>3778</v>
      </c>
      <c r="D745" s="75" t="s">
        <v>3779</v>
      </c>
      <c r="E745" s="75" t="s">
        <v>3780</v>
      </c>
      <c r="F745" s="75" t="s">
        <v>3355</v>
      </c>
      <c r="G745" s="76">
        <v>50.0</v>
      </c>
      <c r="H745" s="77">
        <v>16.666666666666668</v>
      </c>
      <c r="I745" s="77" t="s">
        <v>178</v>
      </c>
      <c r="J745" s="58"/>
      <c r="K745" s="58"/>
      <c r="L745" s="58"/>
      <c r="M745" s="58"/>
      <c r="N745" s="58"/>
      <c r="O745" s="58"/>
      <c r="P745" s="58"/>
      <c r="Q745" s="58"/>
      <c r="R745" s="58"/>
      <c r="S745" s="58"/>
      <c r="T745" s="58"/>
      <c r="U745" s="58"/>
      <c r="V745" s="58"/>
      <c r="W745" s="58"/>
      <c r="X745" s="58"/>
      <c r="Y745" s="58"/>
      <c r="Z745" s="58"/>
    </row>
    <row r="746" ht="138.0" customHeight="1">
      <c r="A746" s="101" t="s">
        <v>3777</v>
      </c>
      <c r="B746" s="176" t="s">
        <v>142</v>
      </c>
      <c r="C746" s="75" t="s">
        <v>3778</v>
      </c>
      <c r="D746" s="75" t="s">
        <v>3781</v>
      </c>
      <c r="E746" s="75" t="s">
        <v>3770</v>
      </c>
      <c r="F746" s="75" t="s">
        <v>3691</v>
      </c>
      <c r="G746" s="76">
        <v>15.0</v>
      </c>
      <c r="H746" s="77">
        <v>5.0</v>
      </c>
      <c r="I746" s="77" t="s">
        <v>178</v>
      </c>
      <c r="J746" s="58"/>
      <c r="K746" s="58"/>
      <c r="L746" s="58"/>
      <c r="M746" s="58"/>
      <c r="N746" s="58"/>
      <c r="O746" s="58"/>
      <c r="P746" s="58"/>
      <c r="Q746" s="58"/>
      <c r="R746" s="58"/>
      <c r="S746" s="58"/>
      <c r="T746" s="58"/>
      <c r="U746" s="58"/>
      <c r="V746" s="58"/>
      <c r="W746" s="58"/>
      <c r="X746" s="58"/>
      <c r="Y746" s="58"/>
      <c r="Z746" s="58"/>
    </row>
    <row r="747" ht="409.5" customHeight="1">
      <c r="A747" s="525" t="s">
        <v>3782</v>
      </c>
      <c r="B747" s="176" t="s">
        <v>123</v>
      </c>
      <c r="C747" s="176" t="s">
        <v>3783</v>
      </c>
      <c r="D747" s="176" t="s">
        <v>3784</v>
      </c>
      <c r="E747" s="176" t="s">
        <v>3785</v>
      </c>
      <c r="F747" s="176" t="s">
        <v>3786</v>
      </c>
      <c r="G747" s="526">
        <v>50.0</v>
      </c>
      <c r="H747" s="527">
        <v>50.0</v>
      </c>
      <c r="I747" s="77" t="s">
        <v>179</v>
      </c>
      <c r="J747" s="58"/>
      <c r="K747" s="58"/>
      <c r="L747" s="58"/>
      <c r="M747" s="58"/>
      <c r="N747" s="58"/>
      <c r="O747" s="58"/>
      <c r="P747" s="58"/>
      <c r="Q747" s="58"/>
      <c r="R747" s="58"/>
      <c r="S747" s="58"/>
      <c r="T747" s="58"/>
      <c r="U747" s="58"/>
      <c r="V747" s="58"/>
      <c r="W747" s="58"/>
      <c r="X747" s="58"/>
      <c r="Y747" s="58"/>
      <c r="Z747" s="58"/>
    </row>
    <row r="748" ht="409.5" customHeight="1">
      <c r="A748" s="525" t="s">
        <v>3787</v>
      </c>
      <c r="B748" s="176" t="s">
        <v>123</v>
      </c>
      <c r="C748" s="176" t="s">
        <v>3783</v>
      </c>
      <c r="D748" s="176" t="s">
        <v>3788</v>
      </c>
      <c r="E748" s="176" t="s">
        <v>3789</v>
      </c>
      <c r="F748" s="176" t="s">
        <v>3790</v>
      </c>
      <c r="G748" s="526">
        <v>50.0</v>
      </c>
      <c r="H748" s="527">
        <v>50.0</v>
      </c>
      <c r="I748" s="77" t="s">
        <v>179</v>
      </c>
      <c r="J748" s="58"/>
      <c r="K748" s="58"/>
      <c r="L748" s="58"/>
      <c r="M748" s="58"/>
      <c r="N748" s="58"/>
      <c r="O748" s="58"/>
      <c r="P748" s="58"/>
      <c r="Q748" s="58"/>
      <c r="R748" s="58"/>
      <c r="S748" s="58"/>
      <c r="T748" s="58"/>
      <c r="U748" s="58"/>
      <c r="V748" s="58"/>
      <c r="W748" s="58"/>
      <c r="X748" s="58"/>
      <c r="Y748" s="58"/>
      <c r="Z748" s="58"/>
    </row>
    <row r="749" ht="409.5" customHeight="1">
      <c r="A749" s="176" t="s">
        <v>3791</v>
      </c>
      <c r="B749" s="176" t="s">
        <v>123</v>
      </c>
      <c r="C749" s="176" t="s">
        <v>3783</v>
      </c>
      <c r="D749" s="176" t="s">
        <v>3792</v>
      </c>
      <c r="E749" s="176" t="s">
        <v>3793</v>
      </c>
      <c r="F749" s="176" t="s">
        <v>3794</v>
      </c>
      <c r="G749" s="526">
        <v>50.0</v>
      </c>
      <c r="H749" s="527">
        <v>50.0</v>
      </c>
      <c r="I749" s="77" t="s">
        <v>179</v>
      </c>
      <c r="J749" s="58"/>
      <c r="K749" s="58"/>
      <c r="L749" s="58"/>
      <c r="M749" s="58"/>
      <c r="N749" s="58"/>
      <c r="O749" s="58"/>
      <c r="P749" s="58"/>
      <c r="Q749" s="58"/>
      <c r="R749" s="58"/>
      <c r="S749" s="58"/>
      <c r="T749" s="58"/>
      <c r="U749" s="58"/>
      <c r="V749" s="58"/>
      <c r="W749" s="58"/>
      <c r="X749" s="58"/>
      <c r="Y749" s="58"/>
      <c r="Z749" s="58"/>
    </row>
    <row r="750" ht="192.75" customHeight="1">
      <c r="A750" s="525" t="s">
        <v>3795</v>
      </c>
      <c r="B750" s="176" t="s">
        <v>123</v>
      </c>
      <c r="C750" s="176" t="s">
        <v>3796</v>
      </c>
      <c r="D750" s="176" t="s">
        <v>3797</v>
      </c>
      <c r="E750" s="176" t="s">
        <v>3798</v>
      </c>
      <c r="F750" s="176" t="s">
        <v>3799</v>
      </c>
      <c r="G750" s="526">
        <v>50.0</v>
      </c>
      <c r="H750" s="527">
        <v>12.5</v>
      </c>
      <c r="I750" s="77" t="s">
        <v>179</v>
      </c>
      <c r="J750" s="58"/>
      <c r="K750" s="58"/>
      <c r="L750" s="58"/>
      <c r="M750" s="58"/>
      <c r="N750" s="58"/>
      <c r="O750" s="58"/>
      <c r="P750" s="58"/>
      <c r="Q750" s="58"/>
      <c r="R750" s="58"/>
      <c r="S750" s="58"/>
      <c r="T750" s="58"/>
      <c r="U750" s="58"/>
      <c r="V750" s="58"/>
      <c r="W750" s="58"/>
      <c r="X750" s="58"/>
      <c r="Y750" s="58"/>
      <c r="Z750" s="58"/>
    </row>
    <row r="751" ht="192.75" customHeight="1">
      <c r="A751" s="176" t="s">
        <v>3800</v>
      </c>
      <c r="B751" s="176" t="s">
        <v>123</v>
      </c>
      <c r="C751" s="176" t="s">
        <v>3796</v>
      </c>
      <c r="D751" s="176" t="s">
        <v>3801</v>
      </c>
      <c r="E751" s="176" t="s">
        <v>3802</v>
      </c>
      <c r="F751" s="176" t="s">
        <v>3803</v>
      </c>
      <c r="G751" s="526">
        <v>50.0</v>
      </c>
      <c r="H751" s="527">
        <v>12.5</v>
      </c>
      <c r="I751" s="77" t="s">
        <v>179</v>
      </c>
      <c r="J751" s="58"/>
      <c r="K751" s="58"/>
      <c r="L751" s="58"/>
      <c r="M751" s="58"/>
      <c r="N751" s="58"/>
      <c r="O751" s="58"/>
      <c r="P751" s="58"/>
      <c r="Q751" s="58"/>
      <c r="R751" s="58"/>
      <c r="S751" s="58"/>
      <c r="T751" s="58"/>
      <c r="U751" s="58"/>
      <c r="V751" s="58"/>
      <c r="W751" s="58"/>
      <c r="X751" s="58"/>
      <c r="Y751" s="58"/>
      <c r="Z751" s="58"/>
    </row>
    <row r="752" ht="207.0" customHeight="1">
      <c r="A752" s="176" t="s">
        <v>3804</v>
      </c>
      <c r="B752" s="176" t="s">
        <v>123</v>
      </c>
      <c r="C752" s="176" t="s">
        <v>3796</v>
      </c>
      <c r="D752" s="176" t="s">
        <v>3805</v>
      </c>
      <c r="E752" s="528" t="s">
        <v>3806</v>
      </c>
      <c r="F752" s="176" t="s">
        <v>3807</v>
      </c>
      <c r="G752" s="526">
        <v>50.0</v>
      </c>
      <c r="H752" s="527">
        <v>12.5</v>
      </c>
      <c r="I752" s="77" t="s">
        <v>179</v>
      </c>
      <c r="J752" s="58"/>
      <c r="K752" s="58"/>
      <c r="L752" s="58"/>
      <c r="M752" s="58"/>
      <c r="N752" s="58"/>
      <c r="O752" s="58"/>
      <c r="P752" s="58"/>
      <c r="Q752" s="58"/>
      <c r="R752" s="58"/>
      <c r="S752" s="58"/>
      <c r="T752" s="58"/>
      <c r="U752" s="58"/>
      <c r="V752" s="58"/>
      <c r="W752" s="58"/>
      <c r="X752" s="58"/>
      <c r="Y752" s="58"/>
      <c r="Z752" s="58"/>
    </row>
    <row r="753" ht="207.0" customHeight="1">
      <c r="A753" s="176" t="s">
        <v>3808</v>
      </c>
      <c r="B753" s="176" t="s">
        <v>123</v>
      </c>
      <c r="C753" s="176" t="s">
        <v>3796</v>
      </c>
      <c r="D753" s="176" t="s">
        <v>3809</v>
      </c>
      <c r="E753" s="528" t="s">
        <v>3810</v>
      </c>
      <c r="F753" s="176" t="s">
        <v>3811</v>
      </c>
      <c r="G753" s="526">
        <v>15.0</v>
      </c>
      <c r="H753" s="527">
        <v>3.75</v>
      </c>
      <c r="I753" s="77" t="s">
        <v>179</v>
      </c>
      <c r="J753" s="58"/>
      <c r="K753" s="58"/>
      <c r="L753" s="58"/>
      <c r="M753" s="58"/>
      <c r="N753" s="58"/>
      <c r="O753" s="58"/>
      <c r="P753" s="58"/>
      <c r="Q753" s="58"/>
      <c r="R753" s="58"/>
      <c r="S753" s="58"/>
      <c r="T753" s="58"/>
      <c r="U753" s="58"/>
      <c r="V753" s="58"/>
      <c r="W753" s="58"/>
      <c r="X753" s="58"/>
      <c r="Y753" s="58"/>
      <c r="Z753" s="58"/>
    </row>
    <row r="754" ht="207.0" customHeight="1">
      <c r="A754" s="176" t="s">
        <v>3812</v>
      </c>
      <c r="B754" s="176" t="s">
        <v>123</v>
      </c>
      <c r="C754" s="176" t="s">
        <v>3796</v>
      </c>
      <c r="D754" s="176" t="s">
        <v>3813</v>
      </c>
      <c r="E754" s="528" t="s">
        <v>3814</v>
      </c>
      <c r="F754" s="176" t="s">
        <v>3815</v>
      </c>
      <c r="G754" s="526">
        <v>15.0</v>
      </c>
      <c r="H754" s="527">
        <v>3.75</v>
      </c>
      <c r="I754" s="77" t="s">
        <v>179</v>
      </c>
      <c r="J754" s="58"/>
      <c r="K754" s="58"/>
      <c r="L754" s="58"/>
      <c r="M754" s="58"/>
      <c r="N754" s="58"/>
      <c r="O754" s="58"/>
      <c r="P754" s="58"/>
      <c r="Q754" s="58"/>
      <c r="R754" s="58"/>
      <c r="S754" s="58"/>
      <c r="T754" s="58"/>
      <c r="U754" s="58"/>
      <c r="V754" s="58"/>
      <c r="W754" s="58"/>
      <c r="X754" s="58"/>
      <c r="Y754" s="58"/>
      <c r="Z754" s="58"/>
    </row>
    <row r="755" ht="234.0" customHeight="1">
      <c r="A755" s="176" t="s">
        <v>3816</v>
      </c>
      <c r="B755" s="176" t="s">
        <v>123</v>
      </c>
      <c r="C755" s="176" t="s">
        <v>3796</v>
      </c>
      <c r="D755" s="176" t="s">
        <v>3817</v>
      </c>
      <c r="E755" s="528" t="s">
        <v>3818</v>
      </c>
      <c r="F755" s="176" t="s">
        <v>3819</v>
      </c>
      <c r="G755" s="526">
        <v>15.0</v>
      </c>
      <c r="H755" s="527">
        <v>3.75</v>
      </c>
      <c r="I755" s="77" t="s">
        <v>179</v>
      </c>
      <c r="J755" s="58"/>
      <c r="K755" s="58"/>
      <c r="L755" s="58"/>
      <c r="M755" s="58"/>
      <c r="N755" s="58"/>
      <c r="O755" s="58"/>
      <c r="P755" s="58"/>
      <c r="Q755" s="58"/>
      <c r="R755" s="58"/>
      <c r="S755" s="58"/>
      <c r="T755" s="58"/>
      <c r="U755" s="58"/>
      <c r="V755" s="58"/>
      <c r="W755" s="58"/>
      <c r="X755" s="58"/>
      <c r="Y755" s="58"/>
      <c r="Z755" s="58"/>
    </row>
    <row r="756" ht="234.0" customHeight="1">
      <c r="A756" s="525" t="s">
        <v>3820</v>
      </c>
      <c r="B756" s="176" t="s">
        <v>123</v>
      </c>
      <c r="C756" s="176" t="s">
        <v>3821</v>
      </c>
      <c r="D756" s="525" t="s">
        <v>3822</v>
      </c>
      <c r="E756" s="525" t="s">
        <v>3823</v>
      </c>
      <c r="F756" s="525" t="s">
        <v>3824</v>
      </c>
      <c r="G756" s="529">
        <v>50.0</v>
      </c>
      <c r="H756" s="529">
        <v>50.0</v>
      </c>
      <c r="I756" s="77" t="s">
        <v>179</v>
      </c>
      <c r="J756" s="58"/>
      <c r="K756" s="58"/>
      <c r="L756" s="58"/>
      <c r="M756" s="58"/>
      <c r="N756" s="58"/>
      <c r="O756" s="58"/>
      <c r="P756" s="58"/>
      <c r="Q756" s="58"/>
      <c r="R756" s="58"/>
      <c r="S756" s="58"/>
      <c r="T756" s="58"/>
      <c r="U756" s="58"/>
      <c r="V756" s="58"/>
      <c r="W756" s="58"/>
      <c r="X756" s="58"/>
      <c r="Y756" s="58"/>
      <c r="Z756" s="58"/>
    </row>
    <row r="757" ht="234.0" customHeight="1">
      <c r="A757" s="525" t="s">
        <v>3825</v>
      </c>
      <c r="B757" s="176" t="s">
        <v>123</v>
      </c>
      <c r="C757" s="176" t="s">
        <v>3821</v>
      </c>
      <c r="D757" s="176" t="s">
        <v>3826</v>
      </c>
      <c r="E757" s="530" t="s">
        <v>3827</v>
      </c>
      <c r="F757" s="176" t="s">
        <v>3828</v>
      </c>
      <c r="G757" s="531">
        <v>50.0</v>
      </c>
      <c r="H757" s="531">
        <v>50.0</v>
      </c>
      <c r="I757" s="77" t="s">
        <v>179</v>
      </c>
      <c r="J757" s="58"/>
      <c r="K757" s="58"/>
      <c r="L757" s="58"/>
      <c r="M757" s="58"/>
      <c r="N757" s="58"/>
      <c r="O757" s="58"/>
      <c r="P757" s="58"/>
      <c r="Q757" s="58"/>
      <c r="R757" s="58"/>
      <c r="S757" s="58"/>
      <c r="T757" s="58"/>
      <c r="U757" s="58"/>
      <c r="V757" s="58"/>
      <c r="W757" s="58"/>
      <c r="X757" s="58"/>
      <c r="Y757" s="58"/>
      <c r="Z757" s="58"/>
    </row>
    <row r="758" ht="234.0" customHeight="1">
      <c r="A758" s="176" t="s">
        <v>3829</v>
      </c>
      <c r="B758" s="176" t="s">
        <v>123</v>
      </c>
      <c r="C758" s="176" t="s">
        <v>3821</v>
      </c>
      <c r="D758" s="176" t="s">
        <v>3830</v>
      </c>
      <c r="E758" s="528" t="s">
        <v>3831</v>
      </c>
      <c r="F758" s="528" t="s">
        <v>3832</v>
      </c>
      <c r="G758" s="531">
        <v>15.0</v>
      </c>
      <c r="H758" s="531">
        <v>15.0</v>
      </c>
      <c r="I758" s="77" t="s">
        <v>179</v>
      </c>
      <c r="J758" s="58"/>
      <c r="K758" s="58"/>
      <c r="L758" s="58"/>
      <c r="M758" s="58"/>
      <c r="N758" s="58"/>
      <c r="O758" s="58"/>
      <c r="P758" s="58"/>
      <c r="Q758" s="58"/>
      <c r="R758" s="58"/>
      <c r="S758" s="58"/>
      <c r="T758" s="58"/>
      <c r="U758" s="58"/>
      <c r="V758" s="58"/>
      <c r="W758" s="58"/>
      <c r="X758" s="58"/>
      <c r="Y758" s="58"/>
      <c r="Z758" s="58"/>
    </row>
    <row r="759" ht="179.25" customHeight="1">
      <c r="A759" s="176" t="s">
        <v>3833</v>
      </c>
      <c r="B759" s="176" t="s">
        <v>123</v>
      </c>
      <c r="C759" s="176" t="s">
        <v>3834</v>
      </c>
      <c r="D759" s="176" t="s">
        <v>3835</v>
      </c>
      <c r="E759" s="423" t="s">
        <v>3836</v>
      </c>
      <c r="F759" s="176" t="s">
        <v>3837</v>
      </c>
      <c r="G759" s="531">
        <v>15.0</v>
      </c>
      <c r="H759" s="531">
        <v>15.0</v>
      </c>
      <c r="I759" s="77" t="s">
        <v>179</v>
      </c>
      <c r="J759" s="58"/>
      <c r="K759" s="58"/>
      <c r="L759" s="58"/>
      <c r="M759" s="58"/>
      <c r="N759" s="58"/>
      <c r="O759" s="58"/>
      <c r="P759" s="58"/>
      <c r="Q759" s="58"/>
      <c r="R759" s="58"/>
      <c r="S759" s="58"/>
      <c r="T759" s="58"/>
      <c r="U759" s="58"/>
      <c r="V759" s="58"/>
      <c r="W759" s="58"/>
      <c r="X759" s="58"/>
      <c r="Y759" s="58"/>
      <c r="Z759" s="58"/>
    </row>
    <row r="760" ht="179.25" customHeight="1">
      <c r="A760" s="176" t="s">
        <v>3833</v>
      </c>
      <c r="B760" s="176" t="s">
        <v>123</v>
      </c>
      <c r="C760" s="176" t="s">
        <v>3834</v>
      </c>
      <c r="D760" s="176" t="s">
        <v>3838</v>
      </c>
      <c r="E760" s="423" t="s">
        <v>3839</v>
      </c>
      <c r="F760" s="176" t="s">
        <v>3840</v>
      </c>
      <c r="G760" s="531">
        <v>50.0</v>
      </c>
      <c r="H760" s="531">
        <v>50.0</v>
      </c>
      <c r="I760" s="77" t="s">
        <v>179</v>
      </c>
      <c r="J760" s="58"/>
      <c r="K760" s="58"/>
      <c r="L760" s="58"/>
      <c r="M760" s="58"/>
      <c r="N760" s="58"/>
      <c r="O760" s="58"/>
      <c r="P760" s="58"/>
      <c r="Q760" s="58"/>
      <c r="R760" s="58"/>
      <c r="S760" s="58"/>
      <c r="T760" s="58"/>
      <c r="U760" s="58"/>
      <c r="V760" s="58"/>
      <c r="W760" s="58"/>
      <c r="X760" s="58"/>
      <c r="Y760" s="58"/>
      <c r="Z760" s="58"/>
    </row>
    <row r="761" ht="179.25" customHeight="1">
      <c r="A761" s="176" t="s">
        <v>3841</v>
      </c>
      <c r="B761" s="176" t="s">
        <v>123</v>
      </c>
      <c r="C761" s="176" t="s">
        <v>3842</v>
      </c>
      <c r="D761" s="503" t="s">
        <v>3843</v>
      </c>
      <c r="E761" s="503" t="s">
        <v>3844</v>
      </c>
      <c r="F761" s="503" t="s">
        <v>3845</v>
      </c>
      <c r="G761" s="532">
        <v>50.0</v>
      </c>
      <c r="H761" s="532">
        <v>50.0</v>
      </c>
      <c r="I761" s="77" t="s">
        <v>179</v>
      </c>
      <c r="J761" s="58"/>
      <c r="K761" s="58"/>
      <c r="L761" s="58"/>
      <c r="M761" s="58"/>
      <c r="N761" s="58"/>
      <c r="O761" s="58"/>
      <c r="P761" s="58"/>
      <c r="Q761" s="58"/>
      <c r="R761" s="58"/>
      <c r="S761" s="58"/>
      <c r="T761" s="58"/>
      <c r="U761" s="58"/>
      <c r="V761" s="58"/>
      <c r="W761" s="58"/>
      <c r="X761" s="58"/>
      <c r="Y761" s="58"/>
      <c r="Z761" s="58"/>
    </row>
    <row r="762" ht="14.25" customHeight="1">
      <c r="A762" s="101"/>
      <c r="B762" s="176"/>
      <c r="C762" s="75"/>
      <c r="D762" s="75"/>
      <c r="E762" s="75"/>
      <c r="F762" s="75"/>
      <c r="G762" s="76"/>
      <c r="H762" s="77"/>
      <c r="I762" s="77"/>
      <c r="J762" s="58"/>
      <c r="K762" s="58"/>
      <c r="L762" s="58"/>
      <c r="M762" s="58"/>
      <c r="N762" s="58"/>
      <c r="O762" s="58"/>
      <c r="P762" s="58"/>
      <c r="Q762" s="58"/>
      <c r="R762" s="58"/>
      <c r="S762" s="58"/>
      <c r="T762" s="58"/>
      <c r="U762" s="58"/>
      <c r="V762" s="58"/>
      <c r="W762" s="58"/>
      <c r="X762" s="58"/>
      <c r="Y762" s="58"/>
      <c r="Z762" s="58"/>
    </row>
    <row r="763" ht="14.25" customHeight="1">
      <c r="A763" s="101"/>
      <c r="B763" s="176"/>
      <c r="C763" s="75"/>
      <c r="D763" s="75"/>
      <c r="E763" s="75"/>
      <c r="F763" s="75"/>
      <c r="G763" s="76"/>
      <c r="H763" s="77"/>
      <c r="I763" s="77"/>
      <c r="J763" s="58"/>
      <c r="K763" s="58"/>
      <c r="L763" s="58"/>
      <c r="M763" s="58"/>
      <c r="N763" s="58"/>
      <c r="O763" s="58"/>
      <c r="P763" s="58"/>
      <c r="Q763" s="58"/>
      <c r="R763" s="58"/>
      <c r="S763" s="58"/>
      <c r="T763" s="58"/>
      <c r="U763" s="58"/>
      <c r="V763" s="58"/>
      <c r="W763" s="58"/>
      <c r="X763" s="58"/>
      <c r="Y763" s="58"/>
      <c r="Z763" s="58"/>
    </row>
    <row r="764" ht="14.25" customHeight="1">
      <c r="A764" s="101"/>
      <c r="B764" s="176"/>
      <c r="C764" s="75"/>
      <c r="D764" s="75"/>
      <c r="E764" s="75"/>
      <c r="F764" s="75"/>
      <c r="G764" s="76"/>
      <c r="H764" s="77"/>
      <c r="I764" s="77"/>
      <c r="J764" s="58"/>
      <c r="K764" s="58"/>
      <c r="L764" s="58"/>
      <c r="M764" s="58"/>
      <c r="N764" s="58"/>
      <c r="O764" s="58"/>
      <c r="P764" s="58"/>
      <c r="Q764" s="58"/>
      <c r="R764" s="58"/>
      <c r="S764" s="58"/>
      <c r="T764" s="58"/>
      <c r="U764" s="58"/>
      <c r="V764" s="58"/>
      <c r="W764" s="58"/>
      <c r="X764" s="58"/>
      <c r="Y764" s="58"/>
      <c r="Z764" s="58"/>
    </row>
    <row r="765" ht="14.25" customHeight="1">
      <c r="A765" s="104" t="s">
        <v>180</v>
      </c>
      <c r="B765" s="53"/>
      <c r="C765" s="53"/>
      <c r="D765" s="1"/>
      <c r="E765" s="1"/>
      <c r="F765" s="1"/>
      <c r="G765" s="57"/>
      <c r="H765" s="105">
        <f>SUM(H9:H764)</f>
        <v>15481.55</v>
      </c>
    </row>
    <row r="766" ht="14.25" customHeight="1">
      <c r="A766" s="52"/>
      <c r="B766" s="53"/>
      <c r="C766" s="53"/>
      <c r="D766" s="1"/>
      <c r="E766" s="1"/>
      <c r="F766" s="1"/>
      <c r="G766" s="1"/>
      <c r="H766" s="1"/>
    </row>
    <row r="767" ht="14.25" customHeight="1">
      <c r="A767" s="106" t="s">
        <v>330</v>
      </c>
      <c r="B767" s="107"/>
      <c r="C767" s="107"/>
      <c r="D767" s="107"/>
      <c r="E767" s="107"/>
      <c r="F767" s="107"/>
      <c r="G767" s="107"/>
      <c r="H767" s="108"/>
    </row>
    <row r="768" ht="14.25" customHeight="1">
      <c r="A768" s="52"/>
      <c r="B768" s="53"/>
      <c r="C768" s="53"/>
      <c r="D768" s="1"/>
      <c r="E768" s="1"/>
      <c r="F768" s="1"/>
      <c r="G768" s="1"/>
      <c r="H768" s="1"/>
    </row>
    <row r="769" ht="14.25" customHeight="1">
      <c r="A769" s="52"/>
      <c r="B769" s="53"/>
      <c r="C769" s="53"/>
      <c r="D769" s="1"/>
      <c r="E769" s="1"/>
      <c r="F769" s="1"/>
      <c r="G769" s="1"/>
      <c r="H769" s="1"/>
    </row>
    <row r="770" ht="14.25" customHeight="1">
      <c r="A770" s="52"/>
      <c r="B770" s="53"/>
      <c r="C770" s="53"/>
      <c r="D770" s="1"/>
      <c r="E770" s="1"/>
      <c r="F770" s="1"/>
      <c r="G770" s="1"/>
      <c r="H770" s="1"/>
    </row>
    <row r="771" ht="14.25" customHeight="1">
      <c r="A771" s="52"/>
      <c r="B771" s="53"/>
      <c r="C771" s="53"/>
      <c r="D771" s="1"/>
      <c r="E771" s="1"/>
      <c r="F771" s="1"/>
      <c r="G771" s="1"/>
      <c r="H771" s="1"/>
    </row>
    <row r="772" ht="14.25" customHeight="1">
      <c r="A772" s="52"/>
      <c r="B772" s="53"/>
      <c r="C772" s="53"/>
      <c r="D772" s="1"/>
      <c r="E772" s="1"/>
      <c r="F772" s="1"/>
      <c r="G772" s="1"/>
      <c r="H772" s="1"/>
    </row>
    <row r="773" ht="14.25" customHeight="1">
      <c r="A773" s="52"/>
      <c r="B773" s="53"/>
      <c r="C773" s="53"/>
      <c r="D773" s="1"/>
      <c r="E773" s="1"/>
      <c r="F773" s="1"/>
      <c r="G773" s="1"/>
      <c r="H773" s="1"/>
    </row>
    <row r="774" ht="14.25" customHeight="1">
      <c r="A774" s="52"/>
      <c r="B774" s="53"/>
      <c r="C774" s="53"/>
      <c r="D774" s="1"/>
      <c r="E774" s="1"/>
      <c r="F774" s="1"/>
      <c r="G774" s="1"/>
      <c r="H774" s="1"/>
    </row>
    <row r="775" ht="14.25" customHeight="1">
      <c r="A775" s="52"/>
      <c r="B775" s="53"/>
      <c r="C775" s="53"/>
      <c r="D775" s="1"/>
      <c r="E775" s="1"/>
      <c r="F775" s="1"/>
      <c r="G775" s="1"/>
      <c r="H775" s="1"/>
    </row>
    <row r="776" ht="14.25" customHeight="1">
      <c r="A776" s="52"/>
      <c r="B776" s="53"/>
      <c r="C776" s="53"/>
      <c r="D776" s="1"/>
      <c r="E776" s="1"/>
      <c r="F776" s="1"/>
      <c r="G776" s="1"/>
      <c r="H776" s="1"/>
    </row>
    <row r="777" ht="14.25" customHeight="1">
      <c r="A777" s="52"/>
      <c r="B777" s="53"/>
      <c r="C777" s="53"/>
      <c r="D777" s="1"/>
      <c r="E777" s="1"/>
      <c r="F777" s="1"/>
      <c r="G777" s="1"/>
      <c r="H777" s="1"/>
    </row>
    <row r="778" ht="14.25" customHeight="1">
      <c r="A778" s="52"/>
      <c r="B778" s="53"/>
      <c r="C778" s="53"/>
      <c r="D778" s="1"/>
      <c r="E778" s="1"/>
      <c r="F778" s="1"/>
      <c r="G778" s="1"/>
      <c r="H778" s="1"/>
    </row>
    <row r="779" ht="14.25" customHeight="1">
      <c r="A779" s="52"/>
      <c r="B779" s="53"/>
      <c r="C779" s="53"/>
      <c r="D779" s="1"/>
      <c r="E779" s="1"/>
      <c r="F779" s="1"/>
      <c r="G779" s="1"/>
      <c r="H779" s="1"/>
    </row>
    <row r="780" ht="14.25" customHeight="1">
      <c r="A780" s="52"/>
      <c r="B780" s="53"/>
      <c r="C780" s="53"/>
      <c r="D780" s="1"/>
      <c r="E780" s="1"/>
      <c r="F780" s="1"/>
      <c r="G780" s="1"/>
      <c r="H780" s="1"/>
    </row>
    <row r="781" ht="14.25" customHeight="1">
      <c r="A781" s="52"/>
      <c r="B781" s="53"/>
      <c r="C781" s="53"/>
      <c r="D781" s="1"/>
      <c r="E781" s="1"/>
      <c r="F781" s="1"/>
      <c r="G781" s="1"/>
      <c r="H781" s="1"/>
    </row>
    <row r="782" ht="14.25" customHeight="1">
      <c r="A782" s="52"/>
      <c r="B782" s="53"/>
      <c r="C782" s="53"/>
      <c r="D782" s="1"/>
      <c r="E782" s="1"/>
      <c r="F782" s="1"/>
      <c r="G782" s="1"/>
      <c r="H782" s="1"/>
    </row>
    <row r="783" ht="14.25" customHeight="1">
      <c r="A783" s="52"/>
      <c r="B783" s="53"/>
      <c r="C783" s="53"/>
      <c r="D783" s="1"/>
      <c r="E783" s="1"/>
      <c r="F783" s="1"/>
      <c r="G783" s="1"/>
      <c r="H783" s="1"/>
    </row>
    <row r="784" ht="14.25" customHeight="1">
      <c r="A784" s="52"/>
      <c r="B784" s="53"/>
      <c r="C784" s="53"/>
      <c r="D784" s="1"/>
      <c r="E784" s="1"/>
      <c r="F784" s="1"/>
      <c r="G784" s="1"/>
      <c r="H784" s="1"/>
    </row>
    <row r="785" ht="14.25" customHeight="1">
      <c r="A785" s="52"/>
      <c r="B785" s="53"/>
      <c r="C785" s="53"/>
      <c r="D785" s="1"/>
      <c r="E785" s="1"/>
      <c r="F785" s="1"/>
      <c r="G785" s="1"/>
      <c r="H785" s="1"/>
    </row>
    <row r="786" ht="14.25" customHeight="1">
      <c r="A786" s="52"/>
      <c r="B786" s="53"/>
      <c r="C786" s="53"/>
      <c r="D786" s="1"/>
      <c r="E786" s="1"/>
      <c r="F786" s="1"/>
      <c r="G786" s="1"/>
      <c r="H786" s="1"/>
    </row>
    <row r="787" ht="14.25" customHeight="1">
      <c r="A787" s="52"/>
      <c r="B787" s="53"/>
      <c r="C787" s="53"/>
      <c r="D787" s="1"/>
      <c r="E787" s="1"/>
      <c r="F787" s="1"/>
      <c r="G787" s="1"/>
      <c r="H787" s="1"/>
    </row>
    <row r="788" ht="14.25" customHeight="1">
      <c r="A788" s="52"/>
      <c r="B788" s="53"/>
      <c r="C788" s="53"/>
      <c r="D788" s="1"/>
      <c r="E788" s="1"/>
      <c r="F788" s="1"/>
      <c r="G788" s="1"/>
      <c r="H788" s="1"/>
    </row>
    <row r="789" ht="14.25" customHeight="1">
      <c r="A789" s="52"/>
      <c r="B789" s="53"/>
      <c r="C789" s="53"/>
      <c r="D789" s="1"/>
      <c r="E789" s="1"/>
      <c r="F789" s="1"/>
      <c r="G789" s="1"/>
      <c r="H789" s="1"/>
    </row>
    <row r="790" ht="14.25" customHeight="1">
      <c r="A790" s="52"/>
      <c r="B790" s="53"/>
      <c r="C790" s="53"/>
      <c r="D790" s="1"/>
      <c r="E790" s="1"/>
      <c r="F790" s="1"/>
      <c r="G790" s="1"/>
      <c r="H790" s="1"/>
    </row>
    <row r="791" ht="14.25" customHeight="1">
      <c r="A791" s="52"/>
      <c r="B791" s="53"/>
      <c r="C791" s="53"/>
      <c r="D791" s="1"/>
      <c r="E791" s="1"/>
      <c r="F791" s="1"/>
      <c r="G791" s="1"/>
      <c r="H791" s="1"/>
    </row>
    <row r="792" ht="14.25" customHeight="1">
      <c r="A792" s="52"/>
      <c r="B792" s="53"/>
      <c r="C792" s="53"/>
      <c r="D792" s="1"/>
      <c r="E792" s="1"/>
      <c r="F792" s="1"/>
      <c r="G792" s="1"/>
      <c r="H792" s="1"/>
    </row>
    <row r="793" ht="14.25" customHeight="1">
      <c r="A793" s="52"/>
      <c r="B793" s="53"/>
      <c r="C793" s="53"/>
      <c r="D793" s="1"/>
      <c r="E793" s="1"/>
      <c r="F793" s="1"/>
      <c r="G793" s="1"/>
      <c r="H793" s="1"/>
    </row>
    <row r="794" ht="14.25" customHeight="1">
      <c r="A794" s="52"/>
      <c r="B794" s="53"/>
      <c r="C794" s="53"/>
      <c r="D794" s="1"/>
      <c r="E794" s="1"/>
      <c r="F794" s="1"/>
      <c r="G794" s="1"/>
      <c r="H794" s="1"/>
    </row>
    <row r="795" ht="14.25" customHeight="1">
      <c r="A795" s="52"/>
      <c r="B795" s="53"/>
      <c r="C795" s="53"/>
      <c r="D795" s="1"/>
      <c r="E795" s="1"/>
      <c r="F795" s="1"/>
      <c r="G795" s="1"/>
      <c r="H795" s="1"/>
    </row>
    <row r="796" ht="14.25" customHeight="1">
      <c r="A796" s="52"/>
      <c r="B796" s="53"/>
      <c r="C796" s="53"/>
      <c r="D796" s="1"/>
      <c r="E796" s="1"/>
      <c r="F796" s="1"/>
      <c r="G796" s="1"/>
      <c r="H796" s="1"/>
    </row>
    <row r="797" ht="14.25" customHeight="1">
      <c r="A797" s="52"/>
      <c r="B797" s="53"/>
      <c r="C797" s="53"/>
      <c r="D797" s="1"/>
      <c r="E797" s="1"/>
      <c r="F797" s="1"/>
      <c r="G797" s="1"/>
      <c r="H797" s="1"/>
    </row>
    <row r="798" ht="14.25" customHeight="1">
      <c r="A798" s="52"/>
      <c r="B798" s="53"/>
      <c r="C798" s="53"/>
      <c r="D798" s="1"/>
      <c r="E798" s="1"/>
      <c r="F798" s="1"/>
      <c r="G798" s="1"/>
      <c r="H798" s="1"/>
    </row>
    <row r="799" ht="14.25" customHeight="1">
      <c r="A799" s="52"/>
      <c r="B799" s="53"/>
      <c r="C799" s="53"/>
      <c r="D799" s="1"/>
      <c r="E799" s="1"/>
      <c r="F799" s="1"/>
      <c r="G799" s="1"/>
      <c r="H799" s="1"/>
    </row>
    <row r="800" ht="14.25" customHeight="1">
      <c r="A800" s="52"/>
      <c r="B800" s="53"/>
      <c r="C800" s="53"/>
      <c r="D800" s="1"/>
      <c r="E800" s="1"/>
      <c r="F800" s="1"/>
      <c r="G800" s="1"/>
      <c r="H800" s="1"/>
    </row>
    <row r="801" ht="14.25" customHeight="1">
      <c r="A801" s="52"/>
      <c r="B801" s="53"/>
      <c r="C801" s="53"/>
      <c r="D801" s="1"/>
      <c r="E801" s="1"/>
      <c r="F801" s="1"/>
      <c r="G801" s="1"/>
      <c r="H801" s="1"/>
    </row>
    <row r="802" ht="14.25" customHeight="1">
      <c r="A802" s="52"/>
      <c r="B802" s="53"/>
      <c r="C802" s="53"/>
      <c r="D802" s="1"/>
      <c r="E802" s="1"/>
      <c r="F802" s="1"/>
      <c r="G802" s="1"/>
      <c r="H802" s="1"/>
    </row>
    <row r="803" ht="14.25" customHeight="1">
      <c r="A803" s="52"/>
      <c r="B803" s="53"/>
      <c r="C803" s="53"/>
      <c r="D803" s="1"/>
      <c r="E803" s="1"/>
      <c r="F803" s="1"/>
      <c r="G803" s="1"/>
      <c r="H803" s="1"/>
    </row>
    <row r="804" ht="14.25" customHeight="1">
      <c r="A804" s="52"/>
      <c r="B804" s="53"/>
      <c r="C804" s="53"/>
      <c r="D804" s="1"/>
      <c r="E804" s="1"/>
      <c r="F804" s="1"/>
      <c r="G804" s="1"/>
      <c r="H804" s="1"/>
    </row>
    <row r="805" ht="14.25" customHeight="1">
      <c r="A805" s="52"/>
      <c r="B805" s="53"/>
      <c r="C805" s="53"/>
      <c r="D805" s="1"/>
      <c r="E805" s="1"/>
      <c r="F805" s="1"/>
      <c r="G805" s="1"/>
      <c r="H805" s="1"/>
    </row>
    <row r="806" ht="14.25" customHeight="1">
      <c r="A806" s="52"/>
      <c r="B806" s="53"/>
      <c r="C806" s="53"/>
      <c r="D806" s="1"/>
      <c r="E806" s="1"/>
      <c r="F806" s="1"/>
      <c r="G806" s="1"/>
      <c r="H806" s="1"/>
    </row>
    <row r="807" ht="14.25" customHeight="1">
      <c r="A807" s="52"/>
      <c r="B807" s="53"/>
      <c r="C807" s="53"/>
      <c r="D807" s="1"/>
      <c r="E807" s="1"/>
      <c r="F807" s="1"/>
      <c r="G807" s="1"/>
      <c r="H807" s="1"/>
    </row>
    <row r="808" ht="14.25" customHeight="1">
      <c r="A808" s="52"/>
      <c r="B808" s="53"/>
      <c r="C808" s="53"/>
      <c r="D808" s="1"/>
      <c r="E808" s="1"/>
      <c r="F808" s="1"/>
      <c r="G808" s="1"/>
      <c r="H808" s="1"/>
    </row>
    <row r="809" ht="14.25" customHeight="1">
      <c r="A809" s="52"/>
      <c r="B809" s="53"/>
      <c r="C809" s="53"/>
      <c r="D809" s="1"/>
      <c r="E809" s="1"/>
      <c r="F809" s="1"/>
      <c r="G809" s="1"/>
      <c r="H809" s="1"/>
    </row>
    <row r="810" ht="14.25" customHeight="1">
      <c r="A810" s="52"/>
      <c r="B810" s="53"/>
      <c r="C810" s="53"/>
      <c r="D810" s="1"/>
      <c r="E810" s="1"/>
      <c r="F810" s="1"/>
      <c r="G810" s="1"/>
      <c r="H810" s="1"/>
    </row>
    <row r="811" ht="14.25" customHeight="1">
      <c r="A811" s="52"/>
      <c r="B811" s="53"/>
      <c r="C811" s="53"/>
      <c r="D811" s="1"/>
      <c r="E811" s="1"/>
      <c r="F811" s="1"/>
      <c r="G811" s="1"/>
      <c r="H811" s="1"/>
    </row>
    <row r="812" ht="14.25" customHeight="1">
      <c r="A812" s="52"/>
      <c r="B812" s="53"/>
      <c r="C812" s="53"/>
      <c r="D812" s="1"/>
      <c r="E812" s="1"/>
      <c r="F812" s="1"/>
      <c r="G812" s="1"/>
      <c r="H812" s="1"/>
    </row>
    <row r="813" ht="14.25" customHeight="1">
      <c r="A813" s="52"/>
      <c r="B813" s="53"/>
      <c r="C813" s="53"/>
      <c r="D813" s="1"/>
      <c r="E813" s="1"/>
      <c r="F813" s="1"/>
      <c r="G813" s="1"/>
      <c r="H813" s="1"/>
    </row>
    <row r="814" ht="14.25" customHeight="1">
      <c r="A814" s="52"/>
      <c r="B814" s="53"/>
      <c r="C814" s="53"/>
      <c r="D814" s="1"/>
      <c r="E814" s="1"/>
      <c r="F814" s="1"/>
      <c r="G814" s="1"/>
      <c r="H814" s="1"/>
    </row>
    <row r="815" ht="14.25" customHeight="1">
      <c r="A815" s="52"/>
      <c r="B815" s="53"/>
      <c r="C815" s="53"/>
      <c r="D815" s="1"/>
      <c r="E815" s="1"/>
      <c r="F815" s="1"/>
      <c r="G815" s="1"/>
      <c r="H815" s="1"/>
    </row>
    <row r="816" ht="14.25" customHeight="1">
      <c r="A816" s="52"/>
      <c r="B816" s="53"/>
      <c r="C816" s="53"/>
      <c r="D816" s="1"/>
      <c r="E816" s="1"/>
      <c r="F816" s="1"/>
      <c r="G816" s="1"/>
      <c r="H816" s="1"/>
    </row>
    <row r="817" ht="14.25" customHeight="1">
      <c r="A817" s="52"/>
      <c r="B817" s="53"/>
      <c r="C817" s="53"/>
      <c r="D817" s="1"/>
      <c r="E817" s="1"/>
      <c r="F817" s="1"/>
      <c r="G817" s="1"/>
      <c r="H817" s="1"/>
    </row>
    <row r="818" ht="14.25" customHeight="1">
      <c r="A818" s="52"/>
      <c r="B818" s="53"/>
      <c r="C818" s="53"/>
      <c r="D818" s="1"/>
      <c r="E818" s="1"/>
      <c r="F818" s="1"/>
      <c r="G818" s="1"/>
      <c r="H818" s="1"/>
    </row>
    <row r="819" ht="14.25" customHeight="1">
      <c r="A819" s="52"/>
      <c r="B819" s="53"/>
      <c r="C819" s="53"/>
      <c r="D819" s="1"/>
      <c r="E819" s="1"/>
      <c r="F819" s="1"/>
      <c r="G819" s="1"/>
      <c r="H819" s="1"/>
    </row>
    <row r="820" ht="14.25" customHeight="1">
      <c r="A820" s="52"/>
      <c r="B820" s="53"/>
      <c r="C820" s="53"/>
      <c r="D820" s="1"/>
      <c r="E820" s="1"/>
      <c r="F820" s="1"/>
      <c r="G820" s="1"/>
      <c r="H820" s="1"/>
    </row>
    <row r="821" ht="14.25" customHeight="1">
      <c r="A821" s="52"/>
      <c r="B821" s="53"/>
      <c r="C821" s="53"/>
      <c r="D821" s="1"/>
      <c r="E821" s="1"/>
      <c r="F821" s="1"/>
      <c r="G821" s="1"/>
      <c r="H821" s="1"/>
    </row>
    <row r="822" ht="14.25" customHeight="1">
      <c r="A822" s="52"/>
      <c r="B822" s="53"/>
      <c r="C822" s="53"/>
      <c r="D822" s="1"/>
      <c r="E822" s="1"/>
      <c r="F822" s="1"/>
      <c r="G822" s="1"/>
      <c r="H822" s="1"/>
    </row>
    <row r="823" ht="14.25" customHeight="1">
      <c r="A823" s="52"/>
      <c r="B823" s="53"/>
      <c r="C823" s="53"/>
      <c r="D823" s="1"/>
      <c r="E823" s="1"/>
      <c r="F823" s="1"/>
      <c r="G823" s="1"/>
      <c r="H823" s="1"/>
    </row>
    <row r="824" ht="14.25" customHeight="1">
      <c r="A824" s="52"/>
      <c r="B824" s="53"/>
      <c r="C824" s="53"/>
      <c r="D824" s="1"/>
      <c r="E824" s="1"/>
      <c r="F824" s="1"/>
      <c r="G824" s="1"/>
      <c r="H824" s="1"/>
    </row>
    <row r="825" ht="14.25" customHeight="1">
      <c r="A825" s="52"/>
      <c r="B825" s="53"/>
      <c r="C825" s="53"/>
      <c r="D825" s="1"/>
      <c r="E825" s="1"/>
      <c r="F825" s="1"/>
      <c r="G825" s="1"/>
      <c r="H825" s="1"/>
    </row>
    <row r="826" ht="14.25" customHeight="1">
      <c r="A826" s="52"/>
      <c r="B826" s="53"/>
      <c r="C826" s="53"/>
      <c r="D826" s="1"/>
      <c r="E826" s="1"/>
      <c r="F826" s="1"/>
      <c r="G826" s="1"/>
      <c r="H826" s="1"/>
    </row>
    <row r="827" ht="14.25" customHeight="1">
      <c r="A827" s="52"/>
      <c r="B827" s="53"/>
      <c r="C827" s="53"/>
      <c r="D827" s="1"/>
      <c r="E827" s="1"/>
      <c r="F827" s="1"/>
      <c r="G827" s="1"/>
      <c r="H827" s="1"/>
    </row>
    <row r="828" ht="14.25" customHeight="1">
      <c r="A828" s="52"/>
      <c r="B828" s="53"/>
      <c r="C828" s="53"/>
      <c r="D828" s="1"/>
      <c r="E828" s="1"/>
      <c r="F828" s="1"/>
      <c r="G828" s="1"/>
      <c r="H828" s="1"/>
    </row>
    <row r="829" ht="14.25" customHeight="1">
      <c r="A829" s="52"/>
      <c r="B829" s="53"/>
      <c r="C829" s="53"/>
      <c r="D829" s="1"/>
      <c r="E829" s="1"/>
      <c r="F829" s="1"/>
      <c r="G829" s="1"/>
      <c r="H829" s="1"/>
    </row>
    <row r="830" ht="14.25" customHeight="1">
      <c r="A830" s="52"/>
      <c r="B830" s="53"/>
      <c r="C830" s="53"/>
      <c r="D830" s="1"/>
      <c r="E830" s="1"/>
      <c r="F830" s="1"/>
      <c r="G830" s="1"/>
      <c r="H830" s="1"/>
    </row>
    <row r="831" ht="14.25" customHeight="1">
      <c r="A831" s="52"/>
      <c r="B831" s="53"/>
      <c r="C831" s="53"/>
      <c r="D831" s="1"/>
      <c r="E831" s="1"/>
      <c r="F831" s="1"/>
      <c r="G831" s="1"/>
      <c r="H831" s="1"/>
    </row>
    <row r="832" ht="14.25" customHeight="1">
      <c r="A832" s="52"/>
      <c r="B832" s="53"/>
      <c r="C832" s="53"/>
      <c r="D832" s="1"/>
      <c r="E832" s="1"/>
      <c r="F832" s="1"/>
      <c r="G832" s="1"/>
      <c r="H832" s="1"/>
    </row>
    <row r="833" ht="14.25" customHeight="1">
      <c r="A833" s="52"/>
      <c r="B833" s="53"/>
      <c r="C833" s="53"/>
      <c r="D833" s="1"/>
      <c r="E833" s="1"/>
      <c r="F833" s="1"/>
      <c r="G833" s="1"/>
      <c r="H833" s="1"/>
    </row>
    <row r="834" ht="14.25" customHeight="1">
      <c r="A834" s="52"/>
      <c r="B834" s="53"/>
      <c r="C834" s="53"/>
      <c r="D834" s="1"/>
      <c r="E834" s="1"/>
      <c r="F834" s="1"/>
      <c r="G834" s="1"/>
      <c r="H834" s="1"/>
    </row>
    <row r="835" ht="14.25" customHeight="1">
      <c r="A835" s="52"/>
      <c r="B835" s="53"/>
      <c r="C835" s="53"/>
      <c r="D835" s="1"/>
      <c r="E835" s="1"/>
      <c r="F835" s="1"/>
      <c r="G835" s="1"/>
      <c r="H835" s="1"/>
    </row>
    <row r="836" ht="14.25" customHeight="1">
      <c r="A836" s="52"/>
      <c r="B836" s="53"/>
      <c r="C836" s="53"/>
      <c r="D836" s="1"/>
      <c r="E836" s="1"/>
      <c r="F836" s="1"/>
      <c r="G836" s="1"/>
      <c r="H836" s="1"/>
    </row>
    <row r="837" ht="14.25" customHeight="1">
      <c r="A837" s="52"/>
      <c r="B837" s="53"/>
      <c r="C837" s="53"/>
      <c r="D837" s="1"/>
      <c r="E837" s="1"/>
      <c r="F837" s="1"/>
      <c r="G837" s="1"/>
      <c r="H837" s="1"/>
    </row>
    <row r="838" ht="14.25" customHeight="1">
      <c r="A838" s="52"/>
      <c r="B838" s="53"/>
      <c r="C838" s="53"/>
      <c r="D838" s="1"/>
      <c r="E838" s="1"/>
      <c r="F838" s="1"/>
      <c r="G838" s="1"/>
      <c r="H838" s="1"/>
    </row>
    <row r="839" ht="14.25" customHeight="1">
      <c r="A839" s="52"/>
      <c r="B839" s="53"/>
      <c r="C839" s="53"/>
      <c r="D839" s="1"/>
      <c r="E839" s="1"/>
      <c r="F839" s="1"/>
      <c r="G839" s="1"/>
      <c r="H839" s="1"/>
    </row>
    <row r="840" ht="14.25" customHeight="1">
      <c r="A840" s="52"/>
      <c r="B840" s="53"/>
      <c r="C840" s="53"/>
      <c r="D840" s="1"/>
      <c r="E840" s="1"/>
      <c r="F840" s="1"/>
      <c r="G840" s="1"/>
      <c r="H840" s="1"/>
    </row>
    <row r="841" ht="14.25" customHeight="1">
      <c r="A841" s="52"/>
      <c r="B841" s="53"/>
      <c r="C841" s="53"/>
      <c r="D841" s="1"/>
      <c r="E841" s="1"/>
      <c r="F841" s="1"/>
      <c r="G841" s="1"/>
      <c r="H841" s="1"/>
    </row>
    <row r="842" ht="14.25" customHeight="1">
      <c r="A842" s="52"/>
      <c r="B842" s="53"/>
      <c r="C842" s="53"/>
      <c r="D842" s="1"/>
      <c r="E842" s="1"/>
      <c r="F842" s="1"/>
      <c r="G842" s="1"/>
      <c r="H842" s="1"/>
    </row>
    <row r="843" ht="14.25" customHeight="1">
      <c r="A843" s="52"/>
      <c r="B843" s="53"/>
      <c r="C843" s="53"/>
      <c r="D843" s="1"/>
      <c r="E843" s="1"/>
      <c r="F843" s="1"/>
      <c r="G843" s="1"/>
      <c r="H843" s="1"/>
    </row>
    <row r="844" ht="14.25" customHeight="1">
      <c r="A844" s="52"/>
      <c r="B844" s="53"/>
      <c r="C844" s="53"/>
      <c r="D844" s="1"/>
      <c r="E844" s="1"/>
      <c r="F844" s="1"/>
      <c r="G844" s="1"/>
      <c r="H844" s="1"/>
    </row>
    <row r="845" ht="14.25" customHeight="1">
      <c r="A845" s="52"/>
      <c r="B845" s="53"/>
      <c r="C845" s="53"/>
      <c r="D845" s="1"/>
      <c r="E845" s="1"/>
      <c r="F845" s="1"/>
      <c r="G845" s="1"/>
      <c r="H845" s="1"/>
    </row>
    <row r="846" ht="14.25" customHeight="1">
      <c r="A846" s="52"/>
      <c r="B846" s="53"/>
      <c r="C846" s="53"/>
      <c r="D846" s="1"/>
      <c r="E846" s="1"/>
      <c r="F846" s="1"/>
      <c r="G846" s="1"/>
      <c r="H846" s="1"/>
    </row>
    <row r="847" ht="14.25" customHeight="1">
      <c r="A847" s="52"/>
      <c r="B847" s="53"/>
      <c r="C847" s="53"/>
      <c r="D847" s="1"/>
      <c r="E847" s="1"/>
      <c r="F847" s="1"/>
      <c r="G847" s="1"/>
      <c r="H847" s="1"/>
    </row>
    <row r="848" ht="14.25" customHeight="1">
      <c r="A848" s="52"/>
      <c r="B848" s="53"/>
      <c r="C848" s="53"/>
      <c r="D848" s="1"/>
      <c r="E848" s="1"/>
      <c r="F848" s="1"/>
      <c r="G848" s="1"/>
      <c r="H848" s="1"/>
    </row>
    <row r="849" ht="14.25" customHeight="1">
      <c r="A849" s="52"/>
      <c r="B849" s="53"/>
      <c r="C849" s="53"/>
      <c r="D849" s="1"/>
      <c r="E849" s="1"/>
      <c r="F849" s="1"/>
      <c r="G849" s="1"/>
      <c r="H849" s="1"/>
    </row>
    <row r="850" ht="14.25" customHeight="1">
      <c r="A850" s="52"/>
      <c r="B850" s="53"/>
      <c r="C850" s="53"/>
      <c r="D850" s="1"/>
      <c r="E850" s="1"/>
      <c r="F850" s="1"/>
      <c r="G850" s="1"/>
      <c r="H850" s="1"/>
    </row>
    <row r="851" ht="14.25" customHeight="1">
      <c r="A851" s="52"/>
      <c r="B851" s="53"/>
      <c r="C851" s="53"/>
      <c r="D851" s="1"/>
      <c r="E851" s="1"/>
      <c r="F851" s="1"/>
      <c r="G851" s="1"/>
      <c r="H851" s="1"/>
    </row>
    <row r="852" ht="14.25" customHeight="1">
      <c r="A852" s="52"/>
      <c r="B852" s="53"/>
      <c r="C852" s="53"/>
      <c r="D852" s="1"/>
      <c r="E852" s="1"/>
      <c r="F852" s="1"/>
      <c r="G852" s="1"/>
      <c r="H852" s="1"/>
    </row>
    <row r="853" ht="14.25" customHeight="1">
      <c r="A853" s="52"/>
      <c r="B853" s="53"/>
      <c r="C853" s="53"/>
      <c r="D853" s="1"/>
      <c r="E853" s="1"/>
      <c r="F853" s="1"/>
      <c r="G853" s="1"/>
      <c r="H853" s="1"/>
    </row>
    <row r="854" ht="14.25" customHeight="1">
      <c r="A854" s="52"/>
      <c r="B854" s="53"/>
      <c r="C854" s="53"/>
      <c r="D854" s="1"/>
      <c r="E854" s="1"/>
      <c r="F854" s="1"/>
      <c r="G854" s="1"/>
      <c r="H854" s="1"/>
    </row>
    <row r="855" ht="14.25" customHeight="1">
      <c r="A855" s="52"/>
      <c r="B855" s="53"/>
      <c r="C855" s="53"/>
      <c r="D855" s="1"/>
      <c r="E855" s="1"/>
      <c r="F855" s="1"/>
      <c r="G855" s="1"/>
      <c r="H855" s="1"/>
    </row>
    <row r="856" ht="14.25" customHeight="1">
      <c r="A856" s="52"/>
      <c r="B856" s="53"/>
      <c r="C856" s="53"/>
      <c r="D856" s="1"/>
      <c r="E856" s="1"/>
      <c r="F856" s="1"/>
      <c r="G856" s="1"/>
      <c r="H856" s="1"/>
    </row>
    <row r="857" ht="14.25" customHeight="1">
      <c r="A857" s="52"/>
      <c r="B857" s="53"/>
      <c r="C857" s="53"/>
      <c r="D857" s="1"/>
      <c r="E857" s="1"/>
      <c r="F857" s="1"/>
      <c r="G857" s="1"/>
      <c r="H857" s="1"/>
    </row>
    <row r="858" ht="14.25" customHeight="1">
      <c r="A858" s="52"/>
      <c r="B858" s="53"/>
      <c r="C858" s="53"/>
      <c r="D858" s="1"/>
      <c r="E858" s="1"/>
      <c r="F858" s="1"/>
      <c r="G858" s="1"/>
      <c r="H858" s="1"/>
    </row>
    <row r="859" ht="14.25" customHeight="1">
      <c r="A859" s="52"/>
      <c r="B859" s="53"/>
      <c r="C859" s="53"/>
      <c r="D859" s="1"/>
      <c r="E859" s="1"/>
      <c r="F859" s="1"/>
      <c r="G859" s="1"/>
      <c r="H859" s="1"/>
    </row>
    <row r="860" ht="14.25" customHeight="1">
      <c r="A860" s="52"/>
      <c r="B860" s="53"/>
      <c r="C860" s="53"/>
      <c r="D860" s="1"/>
      <c r="E860" s="1"/>
      <c r="F860" s="1"/>
      <c r="G860" s="1"/>
      <c r="H860" s="1"/>
    </row>
    <row r="861" ht="14.25" customHeight="1">
      <c r="A861" s="52"/>
      <c r="B861" s="53"/>
      <c r="C861" s="53"/>
      <c r="D861" s="1"/>
      <c r="E861" s="1"/>
      <c r="F861" s="1"/>
      <c r="G861" s="1"/>
      <c r="H861" s="1"/>
    </row>
    <row r="862" ht="14.25" customHeight="1">
      <c r="A862" s="52"/>
      <c r="B862" s="53"/>
      <c r="C862" s="53"/>
      <c r="D862" s="1"/>
      <c r="E862" s="1"/>
      <c r="F862" s="1"/>
      <c r="G862" s="1"/>
      <c r="H862" s="1"/>
    </row>
    <row r="863" ht="14.25" customHeight="1">
      <c r="A863" s="52"/>
      <c r="B863" s="53"/>
      <c r="C863" s="53"/>
      <c r="D863" s="1"/>
      <c r="E863" s="1"/>
      <c r="F863" s="1"/>
      <c r="G863" s="1"/>
      <c r="H863" s="1"/>
    </row>
    <row r="864" ht="14.25" customHeight="1">
      <c r="A864" s="52"/>
      <c r="B864" s="53"/>
      <c r="C864" s="53"/>
      <c r="D864" s="1"/>
      <c r="E864" s="1"/>
      <c r="F864" s="1"/>
      <c r="G864" s="1"/>
      <c r="H864" s="1"/>
    </row>
    <row r="865" ht="14.25" customHeight="1">
      <c r="A865" s="52"/>
      <c r="B865" s="53"/>
      <c r="C865" s="53"/>
      <c r="D865" s="1"/>
      <c r="E865" s="1"/>
      <c r="F865" s="1"/>
      <c r="G865" s="1"/>
      <c r="H865" s="1"/>
    </row>
    <row r="866" ht="14.25" customHeight="1">
      <c r="A866" s="52"/>
      <c r="B866" s="53"/>
      <c r="C866" s="53"/>
      <c r="D866" s="1"/>
      <c r="E866" s="1"/>
      <c r="F866" s="1"/>
      <c r="G866" s="1"/>
      <c r="H866" s="1"/>
    </row>
    <row r="867" ht="14.25" customHeight="1">
      <c r="A867" s="52"/>
      <c r="B867" s="53"/>
      <c r="C867" s="53"/>
      <c r="D867" s="1"/>
      <c r="E867" s="1"/>
      <c r="F867" s="1"/>
      <c r="G867" s="1"/>
      <c r="H867" s="1"/>
    </row>
    <row r="868" ht="14.25" customHeight="1">
      <c r="A868" s="52"/>
      <c r="B868" s="53"/>
      <c r="C868" s="53"/>
      <c r="D868" s="1"/>
      <c r="E868" s="1"/>
      <c r="F868" s="1"/>
      <c r="G868" s="1"/>
      <c r="H868" s="1"/>
    </row>
    <row r="869" ht="14.25" customHeight="1">
      <c r="A869" s="52"/>
      <c r="B869" s="53"/>
      <c r="C869" s="53"/>
      <c r="D869" s="1"/>
      <c r="E869" s="1"/>
      <c r="F869" s="1"/>
      <c r="G869" s="1"/>
      <c r="H869" s="1"/>
    </row>
    <row r="870" ht="14.25" customHeight="1">
      <c r="A870" s="52"/>
      <c r="B870" s="53"/>
      <c r="C870" s="53"/>
      <c r="D870" s="1"/>
      <c r="E870" s="1"/>
      <c r="F870" s="1"/>
      <c r="G870" s="1"/>
      <c r="H870" s="1"/>
    </row>
    <row r="871" ht="14.25" customHeight="1">
      <c r="A871" s="52"/>
      <c r="B871" s="53"/>
      <c r="C871" s="53"/>
      <c r="D871" s="1"/>
      <c r="E871" s="1"/>
      <c r="F871" s="1"/>
      <c r="G871" s="1"/>
      <c r="H871" s="1"/>
    </row>
    <row r="872" ht="14.25" customHeight="1">
      <c r="A872" s="52"/>
      <c r="B872" s="53"/>
      <c r="C872" s="53"/>
      <c r="D872" s="1"/>
      <c r="E872" s="1"/>
      <c r="F872" s="1"/>
      <c r="G872" s="1"/>
      <c r="H872" s="1"/>
    </row>
    <row r="873" ht="14.25" customHeight="1">
      <c r="A873" s="52"/>
      <c r="B873" s="53"/>
      <c r="C873" s="53"/>
      <c r="D873" s="1"/>
      <c r="E873" s="1"/>
      <c r="F873" s="1"/>
      <c r="G873" s="1"/>
      <c r="H873" s="1"/>
    </row>
    <row r="874" ht="14.25" customHeight="1">
      <c r="A874" s="52"/>
      <c r="B874" s="53"/>
      <c r="C874" s="53"/>
      <c r="D874" s="1"/>
      <c r="E874" s="1"/>
      <c r="F874" s="1"/>
      <c r="G874" s="1"/>
      <c r="H874" s="1"/>
    </row>
    <row r="875" ht="14.25" customHeight="1">
      <c r="A875" s="52"/>
      <c r="B875" s="53"/>
      <c r="C875" s="53"/>
      <c r="D875" s="1"/>
      <c r="E875" s="1"/>
      <c r="F875" s="1"/>
      <c r="G875" s="1"/>
      <c r="H875" s="1"/>
    </row>
    <row r="876" ht="14.25" customHeight="1">
      <c r="A876" s="52"/>
      <c r="B876" s="53"/>
      <c r="C876" s="53"/>
      <c r="D876" s="1"/>
      <c r="E876" s="1"/>
      <c r="F876" s="1"/>
      <c r="G876" s="1"/>
      <c r="H876" s="1"/>
    </row>
    <row r="877" ht="14.25" customHeight="1">
      <c r="A877" s="52"/>
      <c r="B877" s="53"/>
      <c r="C877" s="53"/>
      <c r="D877" s="1"/>
      <c r="E877" s="1"/>
      <c r="F877" s="1"/>
      <c r="G877" s="1"/>
      <c r="H877" s="1"/>
    </row>
    <row r="878" ht="14.25" customHeight="1">
      <c r="A878" s="52"/>
      <c r="B878" s="53"/>
      <c r="C878" s="53"/>
      <c r="D878" s="1"/>
      <c r="E878" s="1"/>
      <c r="F878" s="1"/>
      <c r="G878" s="1"/>
      <c r="H878" s="1"/>
    </row>
    <row r="879" ht="14.25" customHeight="1">
      <c r="A879" s="52"/>
      <c r="B879" s="53"/>
      <c r="C879" s="53"/>
      <c r="D879" s="1"/>
      <c r="E879" s="1"/>
      <c r="F879" s="1"/>
      <c r="G879" s="1"/>
      <c r="H879" s="1"/>
    </row>
    <row r="880" ht="14.25" customHeight="1">
      <c r="A880" s="52"/>
      <c r="B880" s="53"/>
      <c r="C880" s="53"/>
      <c r="D880" s="1"/>
      <c r="E880" s="1"/>
      <c r="F880" s="1"/>
      <c r="G880" s="1"/>
      <c r="H880" s="1"/>
    </row>
    <row r="881" ht="14.25" customHeight="1">
      <c r="A881" s="52"/>
      <c r="B881" s="53"/>
      <c r="C881" s="53"/>
      <c r="D881" s="1"/>
      <c r="E881" s="1"/>
      <c r="F881" s="1"/>
      <c r="G881" s="1"/>
      <c r="H881" s="1"/>
    </row>
    <row r="882" ht="14.25" customHeight="1">
      <c r="A882" s="52"/>
      <c r="B882" s="53"/>
      <c r="C882" s="53"/>
      <c r="D882" s="1"/>
      <c r="E882" s="1"/>
      <c r="F882" s="1"/>
      <c r="G882" s="1"/>
      <c r="H882" s="1"/>
    </row>
    <row r="883" ht="14.25" customHeight="1">
      <c r="A883" s="52"/>
      <c r="B883" s="53"/>
      <c r="C883" s="53"/>
      <c r="D883" s="1"/>
      <c r="E883" s="1"/>
      <c r="F883" s="1"/>
      <c r="G883" s="1"/>
      <c r="H883" s="1"/>
    </row>
    <row r="884" ht="14.25" customHeight="1">
      <c r="A884" s="52"/>
      <c r="B884" s="53"/>
      <c r="C884" s="53"/>
      <c r="D884" s="1"/>
      <c r="E884" s="1"/>
      <c r="F884" s="1"/>
      <c r="G884" s="1"/>
      <c r="H884" s="1"/>
    </row>
    <row r="885" ht="14.25" customHeight="1">
      <c r="A885" s="52"/>
      <c r="B885" s="53"/>
      <c r="C885" s="53"/>
      <c r="D885" s="1"/>
      <c r="E885" s="1"/>
      <c r="F885" s="1"/>
      <c r="G885" s="1"/>
      <c r="H885" s="1"/>
    </row>
    <row r="886" ht="14.25" customHeight="1">
      <c r="A886" s="52"/>
      <c r="B886" s="53"/>
      <c r="C886" s="53"/>
      <c r="D886" s="1"/>
      <c r="E886" s="1"/>
      <c r="F886" s="1"/>
      <c r="G886" s="1"/>
      <c r="H886" s="1"/>
    </row>
    <row r="887" ht="14.25" customHeight="1">
      <c r="A887" s="52"/>
      <c r="B887" s="53"/>
      <c r="C887" s="53"/>
      <c r="D887" s="1"/>
      <c r="E887" s="1"/>
      <c r="F887" s="1"/>
      <c r="G887" s="1"/>
      <c r="H887" s="1"/>
    </row>
    <row r="888" ht="14.25" customHeight="1">
      <c r="A888" s="52"/>
      <c r="B888" s="53"/>
      <c r="C888" s="53"/>
      <c r="D888" s="1"/>
      <c r="E888" s="1"/>
      <c r="F888" s="1"/>
      <c r="G888" s="1"/>
      <c r="H888" s="1"/>
    </row>
    <row r="889" ht="14.25" customHeight="1">
      <c r="A889" s="52"/>
      <c r="B889" s="53"/>
      <c r="C889" s="53"/>
      <c r="D889" s="1"/>
      <c r="E889" s="1"/>
      <c r="F889" s="1"/>
      <c r="G889" s="1"/>
      <c r="H889" s="1"/>
    </row>
    <row r="890" ht="14.25" customHeight="1">
      <c r="A890" s="52"/>
      <c r="B890" s="53"/>
      <c r="C890" s="53"/>
      <c r="D890" s="1"/>
      <c r="E890" s="1"/>
      <c r="F890" s="1"/>
      <c r="G890" s="1"/>
      <c r="H890" s="1"/>
    </row>
    <row r="891" ht="14.25" customHeight="1">
      <c r="A891" s="52"/>
      <c r="B891" s="53"/>
      <c r="C891" s="53"/>
      <c r="D891" s="1"/>
      <c r="E891" s="1"/>
      <c r="F891" s="1"/>
      <c r="G891" s="1"/>
      <c r="H891" s="1"/>
    </row>
    <row r="892" ht="14.25" customHeight="1">
      <c r="A892" s="52"/>
      <c r="B892" s="53"/>
      <c r="C892" s="53"/>
      <c r="D892" s="1"/>
      <c r="E892" s="1"/>
      <c r="F892" s="1"/>
      <c r="G892" s="1"/>
      <c r="H892" s="1"/>
    </row>
    <row r="893" ht="14.25" customHeight="1">
      <c r="A893" s="52"/>
      <c r="B893" s="53"/>
      <c r="C893" s="53"/>
      <c r="D893" s="1"/>
      <c r="E893" s="1"/>
      <c r="F893" s="1"/>
      <c r="G893" s="1"/>
      <c r="H893" s="1"/>
    </row>
    <row r="894" ht="14.25" customHeight="1">
      <c r="A894" s="52"/>
      <c r="B894" s="53"/>
      <c r="C894" s="53"/>
      <c r="D894" s="1"/>
      <c r="E894" s="1"/>
      <c r="F894" s="1"/>
      <c r="G894" s="1"/>
      <c r="H894" s="1"/>
    </row>
    <row r="895" ht="14.25" customHeight="1">
      <c r="A895" s="52"/>
      <c r="B895" s="53"/>
      <c r="C895" s="53"/>
      <c r="D895" s="1"/>
      <c r="E895" s="1"/>
      <c r="F895" s="1"/>
      <c r="G895" s="1"/>
      <c r="H895" s="1"/>
    </row>
    <row r="896" ht="14.25" customHeight="1">
      <c r="A896" s="52"/>
      <c r="B896" s="53"/>
      <c r="C896" s="53"/>
      <c r="D896" s="1"/>
      <c r="E896" s="1"/>
      <c r="F896" s="1"/>
      <c r="G896" s="1"/>
      <c r="H896" s="1"/>
    </row>
    <row r="897" ht="14.25" customHeight="1">
      <c r="A897" s="52"/>
      <c r="B897" s="53"/>
      <c r="C897" s="53"/>
      <c r="D897" s="1"/>
      <c r="E897" s="1"/>
      <c r="F897" s="1"/>
      <c r="G897" s="1"/>
      <c r="H897" s="1"/>
    </row>
    <row r="898" ht="14.25" customHeight="1">
      <c r="A898" s="52"/>
      <c r="B898" s="53"/>
      <c r="C898" s="53"/>
      <c r="D898" s="1"/>
      <c r="E898" s="1"/>
      <c r="F898" s="1"/>
      <c r="G898" s="1"/>
      <c r="H898" s="1"/>
    </row>
    <row r="899" ht="14.25" customHeight="1">
      <c r="A899" s="52"/>
      <c r="B899" s="53"/>
      <c r="C899" s="53"/>
      <c r="D899" s="1"/>
      <c r="E899" s="1"/>
      <c r="F899" s="1"/>
      <c r="G899" s="1"/>
      <c r="H899" s="1"/>
    </row>
    <row r="900" ht="14.25" customHeight="1">
      <c r="A900" s="52"/>
      <c r="B900" s="53"/>
      <c r="C900" s="53"/>
      <c r="D900" s="1"/>
      <c r="E900" s="1"/>
      <c r="F900" s="1"/>
      <c r="G900" s="1"/>
      <c r="H900" s="1"/>
    </row>
    <row r="901" ht="14.25" customHeight="1">
      <c r="A901" s="52"/>
      <c r="B901" s="53"/>
      <c r="C901" s="53"/>
      <c r="D901" s="1"/>
      <c r="E901" s="1"/>
      <c r="F901" s="1"/>
      <c r="G901" s="1"/>
      <c r="H901" s="1"/>
    </row>
    <row r="902" ht="14.25" customHeight="1">
      <c r="A902" s="52"/>
      <c r="B902" s="53"/>
      <c r="C902" s="53"/>
      <c r="D902" s="1"/>
      <c r="E902" s="1"/>
      <c r="F902" s="1"/>
      <c r="G902" s="1"/>
      <c r="H902" s="1"/>
    </row>
    <row r="903" ht="14.25" customHeight="1">
      <c r="A903" s="52"/>
      <c r="B903" s="53"/>
      <c r="C903" s="53"/>
      <c r="D903" s="1"/>
      <c r="E903" s="1"/>
      <c r="F903" s="1"/>
      <c r="G903" s="1"/>
      <c r="H903" s="1"/>
    </row>
    <row r="904" ht="14.25" customHeight="1">
      <c r="A904" s="52"/>
      <c r="B904" s="53"/>
      <c r="C904" s="53"/>
      <c r="D904" s="1"/>
      <c r="E904" s="1"/>
      <c r="F904" s="1"/>
      <c r="G904" s="1"/>
      <c r="H904" s="1"/>
    </row>
    <row r="905" ht="14.25" customHeight="1">
      <c r="A905" s="52"/>
      <c r="B905" s="53"/>
      <c r="C905" s="53"/>
      <c r="D905" s="1"/>
      <c r="E905" s="1"/>
      <c r="F905" s="1"/>
      <c r="G905" s="1"/>
      <c r="H905" s="1"/>
    </row>
    <row r="906" ht="14.25" customHeight="1">
      <c r="A906" s="52"/>
      <c r="B906" s="53"/>
      <c r="C906" s="53"/>
      <c r="D906" s="1"/>
      <c r="E906" s="1"/>
      <c r="F906" s="1"/>
      <c r="G906" s="1"/>
      <c r="H906" s="1"/>
    </row>
    <row r="907" ht="14.25" customHeight="1">
      <c r="A907" s="52"/>
      <c r="B907" s="53"/>
      <c r="C907" s="53"/>
      <c r="D907" s="1"/>
      <c r="E907" s="1"/>
      <c r="F907" s="1"/>
      <c r="G907" s="1"/>
      <c r="H907" s="1"/>
    </row>
    <row r="908" ht="14.25" customHeight="1">
      <c r="A908" s="52"/>
      <c r="B908" s="53"/>
      <c r="C908" s="53"/>
      <c r="D908" s="1"/>
      <c r="E908" s="1"/>
      <c r="F908" s="1"/>
      <c r="G908" s="1"/>
      <c r="H908" s="1"/>
    </row>
    <row r="909" ht="14.25" customHeight="1">
      <c r="A909" s="52"/>
      <c r="B909" s="53"/>
      <c r="C909" s="53"/>
      <c r="D909" s="1"/>
      <c r="E909" s="1"/>
      <c r="F909" s="1"/>
      <c r="G909" s="1"/>
      <c r="H909" s="1"/>
    </row>
    <row r="910" ht="14.25" customHeight="1">
      <c r="A910" s="52"/>
      <c r="B910" s="53"/>
      <c r="C910" s="53"/>
      <c r="D910" s="1"/>
      <c r="E910" s="1"/>
      <c r="F910" s="1"/>
      <c r="G910" s="1"/>
      <c r="H910" s="1"/>
    </row>
    <row r="911" ht="14.25" customHeight="1">
      <c r="A911" s="52"/>
      <c r="B911" s="53"/>
      <c r="C911" s="53"/>
      <c r="D911" s="1"/>
      <c r="E911" s="1"/>
      <c r="F911" s="1"/>
      <c r="G911" s="1"/>
      <c r="H911" s="1"/>
    </row>
    <row r="912" ht="14.25" customHeight="1">
      <c r="A912" s="52"/>
      <c r="B912" s="53"/>
      <c r="C912" s="53"/>
      <c r="D912" s="1"/>
      <c r="E912" s="1"/>
      <c r="F912" s="1"/>
      <c r="G912" s="1"/>
      <c r="H912" s="1"/>
    </row>
    <row r="913" ht="14.25" customHeight="1">
      <c r="A913" s="52"/>
      <c r="B913" s="53"/>
      <c r="C913" s="53"/>
      <c r="D913" s="1"/>
      <c r="E913" s="1"/>
      <c r="F913" s="1"/>
      <c r="G913" s="1"/>
      <c r="H913" s="1"/>
    </row>
    <row r="914" ht="14.25" customHeight="1">
      <c r="A914" s="52"/>
      <c r="B914" s="53"/>
      <c r="C914" s="53"/>
      <c r="D914" s="1"/>
      <c r="E914" s="1"/>
      <c r="F914" s="1"/>
      <c r="G914" s="1"/>
      <c r="H914" s="1"/>
    </row>
    <row r="915" ht="14.25" customHeight="1">
      <c r="A915" s="52"/>
      <c r="B915" s="53"/>
      <c r="C915" s="53"/>
      <c r="D915" s="1"/>
      <c r="E915" s="1"/>
      <c r="F915" s="1"/>
      <c r="G915" s="1"/>
      <c r="H915" s="1"/>
    </row>
    <row r="916" ht="14.25" customHeight="1">
      <c r="A916" s="52"/>
      <c r="B916" s="53"/>
      <c r="C916" s="53"/>
      <c r="D916" s="1"/>
      <c r="E916" s="1"/>
      <c r="F916" s="1"/>
      <c r="G916" s="1"/>
      <c r="H916" s="1"/>
    </row>
    <row r="917" ht="14.25" customHeight="1">
      <c r="A917" s="52"/>
      <c r="B917" s="53"/>
      <c r="C917" s="53"/>
      <c r="D917" s="1"/>
      <c r="E917" s="1"/>
      <c r="F917" s="1"/>
      <c r="G917" s="1"/>
      <c r="H917" s="1"/>
    </row>
    <row r="918" ht="14.25" customHeight="1">
      <c r="A918" s="52"/>
      <c r="B918" s="53"/>
      <c r="C918" s="53"/>
      <c r="D918" s="1"/>
      <c r="E918" s="1"/>
      <c r="F918" s="1"/>
      <c r="G918" s="1"/>
      <c r="H918" s="1"/>
    </row>
    <row r="919" ht="14.25" customHeight="1">
      <c r="A919" s="52"/>
      <c r="B919" s="53"/>
      <c r="C919" s="53"/>
      <c r="D919" s="1"/>
      <c r="E919" s="1"/>
      <c r="F919" s="1"/>
      <c r="G919" s="1"/>
      <c r="H919" s="1"/>
    </row>
    <row r="920" ht="14.25" customHeight="1">
      <c r="A920" s="52"/>
      <c r="B920" s="53"/>
      <c r="C920" s="53"/>
      <c r="D920" s="1"/>
      <c r="E920" s="1"/>
      <c r="F920" s="1"/>
      <c r="G920" s="1"/>
      <c r="H920" s="1"/>
    </row>
    <row r="921" ht="14.25" customHeight="1">
      <c r="A921" s="52"/>
      <c r="B921" s="53"/>
      <c r="C921" s="53"/>
      <c r="D921" s="1"/>
      <c r="E921" s="1"/>
      <c r="F921" s="1"/>
      <c r="G921" s="1"/>
      <c r="H921" s="1"/>
    </row>
    <row r="922" ht="14.25" customHeight="1">
      <c r="A922" s="52"/>
      <c r="B922" s="53"/>
      <c r="C922" s="53"/>
      <c r="D922" s="1"/>
      <c r="E922" s="1"/>
      <c r="F922" s="1"/>
      <c r="G922" s="1"/>
      <c r="H922" s="1"/>
    </row>
    <row r="923" ht="14.25" customHeight="1">
      <c r="A923" s="52"/>
      <c r="B923" s="53"/>
      <c r="C923" s="53"/>
      <c r="D923" s="1"/>
      <c r="E923" s="1"/>
      <c r="F923" s="1"/>
      <c r="G923" s="1"/>
      <c r="H923" s="1"/>
    </row>
    <row r="924" ht="14.25" customHeight="1">
      <c r="A924" s="52"/>
      <c r="B924" s="53"/>
      <c r="C924" s="53"/>
      <c r="D924" s="1"/>
      <c r="E924" s="1"/>
      <c r="F924" s="1"/>
      <c r="G924" s="1"/>
      <c r="H924" s="1"/>
    </row>
    <row r="925" ht="14.25" customHeight="1">
      <c r="A925" s="52"/>
      <c r="B925" s="53"/>
      <c r="C925" s="53"/>
      <c r="D925" s="1"/>
      <c r="E925" s="1"/>
      <c r="F925" s="1"/>
      <c r="G925" s="1"/>
      <c r="H925" s="1"/>
    </row>
    <row r="926" ht="14.25" customHeight="1">
      <c r="A926" s="52"/>
      <c r="B926" s="53"/>
      <c r="C926" s="53"/>
      <c r="D926" s="1"/>
      <c r="E926" s="1"/>
      <c r="F926" s="1"/>
      <c r="G926" s="1"/>
      <c r="H926" s="1"/>
    </row>
    <row r="927" ht="14.25" customHeight="1">
      <c r="A927" s="52"/>
      <c r="B927" s="53"/>
      <c r="C927" s="53"/>
      <c r="D927" s="1"/>
      <c r="E927" s="1"/>
      <c r="F927" s="1"/>
      <c r="G927" s="1"/>
      <c r="H927" s="1"/>
    </row>
    <row r="928" ht="14.25" customHeight="1">
      <c r="A928" s="52"/>
      <c r="B928" s="53"/>
      <c r="C928" s="53"/>
      <c r="D928" s="1"/>
      <c r="E928" s="1"/>
      <c r="F928" s="1"/>
      <c r="G928" s="1"/>
      <c r="H928" s="1"/>
    </row>
    <row r="929" ht="14.25" customHeight="1">
      <c r="A929" s="52"/>
      <c r="B929" s="53"/>
      <c r="C929" s="53"/>
      <c r="D929" s="1"/>
      <c r="E929" s="1"/>
      <c r="F929" s="1"/>
      <c r="G929" s="1"/>
      <c r="H929" s="1"/>
    </row>
    <row r="930" ht="14.25" customHeight="1">
      <c r="A930" s="52"/>
      <c r="B930" s="53"/>
      <c r="C930" s="53"/>
      <c r="D930" s="1"/>
      <c r="E930" s="1"/>
      <c r="F930" s="1"/>
      <c r="G930" s="1"/>
      <c r="H930" s="1"/>
    </row>
    <row r="931" ht="14.25" customHeight="1">
      <c r="A931" s="52"/>
      <c r="B931" s="53"/>
      <c r="C931" s="53"/>
      <c r="D931" s="1"/>
      <c r="E931" s="1"/>
      <c r="F931" s="1"/>
      <c r="G931" s="1"/>
      <c r="H931" s="1"/>
    </row>
    <row r="932" ht="14.25" customHeight="1">
      <c r="A932" s="52"/>
      <c r="B932" s="53"/>
      <c r="C932" s="53"/>
      <c r="D932" s="1"/>
      <c r="E932" s="1"/>
      <c r="F932" s="1"/>
      <c r="G932" s="1"/>
      <c r="H932" s="1"/>
    </row>
    <row r="933" ht="14.25" customHeight="1">
      <c r="A933" s="52"/>
      <c r="B933" s="53"/>
      <c r="C933" s="53"/>
      <c r="D933" s="1"/>
      <c r="E933" s="1"/>
      <c r="F933" s="1"/>
      <c r="G933" s="1"/>
      <c r="H933" s="1"/>
    </row>
    <row r="934" ht="14.25" customHeight="1">
      <c r="A934" s="52"/>
      <c r="B934" s="53"/>
      <c r="C934" s="53"/>
      <c r="D934" s="1"/>
      <c r="E934" s="1"/>
      <c r="F934" s="1"/>
      <c r="G934" s="1"/>
      <c r="H934" s="1"/>
    </row>
    <row r="935" ht="14.25" customHeight="1">
      <c r="A935" s="52"/>
      <c r="B935" s="53"/>
      <c r="C935" s="53"/>
      <c r="D935" s="1"/>
      <c r="E935" s="1"/>
      <c r="F935" s="1"/>
      <c r="G935" s="1"/>
      <c r="H935" s="1"/>
    </row>
    <row r="936" ht="14.25" customHeight="1">
      <c r="A936" s="52"/>
      <c r="B936" s="53"/>
      <c r="C936" s="53"/>
      <c r="D936" s="1"/>
      <c r="E936" s="1"/>
      <c r="F936" s="1"/>
      <c r="G936" s="1"/>
      <c r="H936" s="1"/>
    </row>
    <row r="937" ht="14.25" customHeight="1">
      <c r="A937" s="52"/>
      <c r="B937" s="53"/>
      <c r="C937" s="53"/>
      <c r="D937" s="1"/>
      <c r="E937" s="1"/>
      <c r="F937" s="1"/>
      <c r="G937" s="1"/>
      <c r="H937" s="1"/>
    </row>
    <row r="938" ht="14.25" customHeight="1">
      <c r="A938" s="52"/>
      <c r="B938" s="53"/>
      <c r="C938" s="53"/>
      <c r="D938" s="1"/>
      <c r="E938" s="1"/>
      <c r="F938" s="1"/>
      <c r="G938" s="1"/>
      <c r="H938" s="1"/>
    </row>
    <row r="939" ht="14.25" customHeight="1">
      <c r="A939" s="52"/>
      <c r="B939" s="53"/>
      <c r="C939" s="53"/>
      <c r="D939" s="1"/>
      <c r="E939" s="1"/>
      <c r="F939" s="1"/>
      <c r="G939" s="1"/>
      <c r="H939" s="1"/>
    </row>
    <row r="940" ht="14.25" customHeight="1">
      <c r="A940" s="52"/>
      <c r="B940" s="53"/>
      <c r="C940" s="53"/>
      <c r="D940" s="1"/>
      <c r="E940" s="1"/>
      <c r="F940" s="1"/>
      <c r="G940" s="1"/>
      <c r="H940" s="1"/>
    </row>
    <row r="941" ht="14.25" customHeight="1">
      <c r="A941" s="52"/>
      <c r="B941" s="53"/>
      <c r="C941" s="53"/>
      <c r="D941" s="1"/>
      <c r="E941" s="1"/>
      <c r="F941" s="1"/>
      <c r="G941" s="1"/>
      <c r="H941" s="1"/>
    </row>
    <row r="942" ht="14.25" customHeight="1">
      <c r="A942" s="52"/>
      <c r="B942" s="53"/>
      <c r="C942" s="53"/>
      <c r="D942" s="1"/>
      <c r="E942" s="1"/>
      <c r="F942" s="1"/>
      <c r="G942" s="1"/>
      <c r="H942" s="1"/>
    </row>
    <row r="943" ht="14.25" customHeight="1">
      <c r="A943" s="52"/>
      <c r="B943" s="53"/>
      <c r="C943" s="53"/>
      <c r="D943" s="1"/>
      <c r="E943" s="1"/>
      <c r="F943" s="1"/>
      <c r="G943" s="1"/>
      <c r="H943" s="1"/>
    </row>
    <row r="944" ht="14.25" customHeight="1">
      <c r="A944" s="52"/>
      <c r="B944" s="53"/>
      <c r="C944" s="53"/>
      <c r="D944" s="1"/>
      <c r="E944" s="1"/>
      <c r="F944" s="1"/>
      <c r="G944" s="1"/>
      <c r="H944" s="1"/>
    </row>
    <row r="945" ht="14.25" customHeight="1">
      <c r="A945" s="52"/>
      <c r="B945" s="53"/>
      <c r="C945" s="53"/>
      <c r="D945" s="1"/>
      <c r="E945" s="1"/>
      <c r="F945" s="1"/>
      <c r="G945" s="1"/>
      <c r="H945" s="1"/>
    </row>
    <row r="946" ht="14.25" customHeight="1">
      <c r="A946" s="52"/>
      <c r="B946" s="53"/>
      <c r="C946" s="53"/>
      <c r="D946" s="1"/>
      <c r="E946" s="1"/>
      <c r="F946" s="1"/>
      <c r="G946" s="1"/>
      <c r="H946" s="1"/>
    </row>
    <row r="947" ht="14.25" customHeight="1">
      <c r="A947" s="52"/>
      <c r="B947" s="53"/>
      <c r="C947" s="53"/>
      <c r="D947" s="1"/>
      <c r="E947" s="1"/>
      <c r="F947" s="1"/>
      <c r="G947" s="1"/>
      <c r="H947" s="1"/>
    </row>
    <row r="948" ht="14.25" customHeight="1">
      <c r="A948" s="52"/>
      <c r="B948" s="53"/>
      <c r="C948" s="53"/>
      <c r="D948" s="1"/>
      <c r="E948" s="1"/>
      <c r="F948" s="1"/>
      <c r="G948" s="1"/>
      <c r="H948" s="1"/>
    </row>
    <row r="949" ht="14.25" customHeight="1">
      <c r="A949" s="52"/>
      <c r="B949" s="53"/>
      <c r="C949" s="53"/>
      <c r="D949" s="1"/>
      <c r="E949" s="1"/>
      <c r="F949" s="1"/>
      <c r="G949" s="1"/>
      <c r="H949" s="1"/>
    </row>
    <row r="950" ht="14.25" customHeight="1">
      <c r="A950" s="52"/>
      <c r="B950" s="53"/>
      <c r="C950" s="53"/>
      <c r="D950" s="1"/>
      <c r="E950" s="1"/>
      <c r="F950" s="1"/>
      <c r="G950" s="1"/>
      <c r="H950" s="1"/>
    </row>
    <row r="951" ht="14.25" customHeight="1">
      <c r="A951" s="52"/>
      <c r="B951" s="53"/>
      <c r="C951" s="53"/>
      <c r="D951" s="1"/>
      <c r="E951" s="1"/>
      <c r="F951" s="1"/>
      <c r="G951" s="1"/>
      <c r="H951" s="1"/>
    </row>
    <row r="952" ht="14.25" customHeight="1">
      <c r="A952" s="52"/>
      <c r="B952" s="53"/>
      <c r="C952" s="53"/>
      <c r="D952" s="1"/>
      <c r="E952" s="1"/>
      <c r="F952" s="1"/>
      <c r="G952" s="1"/>
      <c r="H952" s="1"/>
    </row>
    <row r="953" ht="14.25" customHeight="1">
      <c r="A953" s="52"/>
      <c r="B953" s="53"/>
      <c r="C953" s="53"/>
      <c r="D953" s="1"/>
      <c r="E953" s="1"/>
      <c r="F953" s="1"/>
      <c r="G953" s="1"/>
      <c r="H953" s="1"/>
    </row>
    <row r="954" ht="14.25" customHeight="1">
      <c r="A954" s="52"/>
      <c r="B954" s="53"/>
      <c r="C954" s="53"/>
      <c r="D954" s="1"/>
      <c r="E954" s="1"/>
      <c r="F954" s="1"/>
      <c r="G954" s="1"/>
      <c r="H954" s="1"/>
    </row>
    <row r="955" ht="14.25" customHeight="1">
      <c r="A955" s="52"/>
      <c r="B955" s="53"/>
      <c r="C955" s="53"/>
      <c r="D955" s="1"/>
      <c r="E955" s="1"/>
      <c r="F955" s="1"/>
      <c r="G955" s="1"/>
      <c r="H955" s="1"/>
    </row>
    <row r="956" ht="14.25" customHeight="1">
      <c r="A956" s="52"/>
      <c r="B956" s="53"/>
      <c r="C956" s="53"/>
      <c r="D956" s="1"/>
      <c r="E956" s="1"/>
      <c r="F956" s="1"/>
      <c r="G956" s="1"/>
      <c r="H956" s="1"/>
    </row>
    <row r="957" ht="14.25" customHeight="1">
      <c r="A957" s="52"/>
      <c r="B957" s="53"/>
      <c r="C957" s="53"/>
      <c r="D957" s="1"/>
      <c r="E957" s="1"/>
      <c r="F957" s="1"/>
      <c r="G957" s="1"/>
      <c r="H957" s="1"/>
    </row>
    <row r="958" ht="14.25" customHeight="1">
      <c r="A958" s="52"/>
      <c r="B958" s="53"/>
      <c r="C958" s="53"/>
      <c r="D958" s="1"/>
      <c r="E958" s="1"/>
      <c r="F958" s="1"/>
      <c r="G958" s="1"/>
      <c r="H958" s="1"/>
    </row>
    <row r="959" ht="14.25" customHeight="1">
      <c r="A959" s="52"/>
      <c r="B959" s="53"/>
      <c r="C959" s="53"/>
      <c r="D959" s="1"/>
      <c r="E959" s="1"/>
      <c r="F959" s="1"/>
      <c r="G959" s="1"/>
      <c r="H959" s="1"/>
    </row>
    <row r="960" ht="14.25" customHeight="1">
      <c r="A960" s="52"/>
      <c r="B960" s="53"/>
      <c r="C960" s="53"/>
      <c r="D960" s="1"/>
      <c r="E960" s="1"/>
      <c r="F960" s="1"/>
      <c r="G960" s="1"/>
      <c r="H960" s="1"/>
    </row>
    <row r="961" ht="14.25" customHeight="1">
      <c r="A961" s="52"/>
      <c r="B961" s="53"/>
      <c r="C961" s="53"/>
      <c r="D961" s="1"/>
      <c r="E961" s="1"/>
      <c r="F961" s="1"/>
      <c r="G961" s="1"/>
      <c r="H961" s="1"/>
    </row>
    <row r="962" ht="14.25" customHeight="1">
      <c r="A962" s="52"/>
      <c r="B962" s="53"/>
      <c r="C962" s="53"/>
      <c r="D962" s="1"/>
      <c r="E962" s="1"/>
      <c r="F962" s="1"/>
      <c r="G962" s="1"/>
      <c r="H962" s="1"/>
    </row>
    <row r="963" ht="14.25" customHeight="1">
      <c r="A963" s="52"/>
      <c r="B963" s="53"/>
      <c r="C963" s="53"/>
      <c r="D963" s="1"/>
      <c r="E963" s="1"/>
      <c r="F963" s="1"/>
      <c r="G963" s="1"/>
      <c r="H963" s="1"/>
    </row>
    <row r="964" ht="14.25" customHeight="1">
      <c r="A964" s="52"/>
      <c r="B964" s="53"/>
      <c r="C964" s="53"/>
      <c r="D964" s="1"/>
      <c r="E964" s="1"/>
      <c r="F964" s="1"/>
      <c r="G964" s="1"/>
      <c r="H964" s="1"/>
    </row>
    <row r="965" ht="14.25" customHeight="1">
      <c r="A965" s="52"/>
      <c r="B965" s="53"/>
      <c r="C965" s="53"/>
      <c r="D965" s="1"/>
      <c r="E965" s="1"/>
      <c r="F965" s="1"/>
      <c r="G965" s="1"/>
      <c r="H965" s="1"/>
    </row>
    <row r="966" ht="14.25" customHeight="1">
      <c r="A966" s="52"/>
      <c r="B966" s="53"/>
      <c r="C966" s="53"/>
      <c r="D966" s="1"/>
      <c r="E966" s="1"/>
      <c r="F966" s="1"/>
      <c r="G966" s="1"/>
      <c r="H966" s="1"/>
    </row>
    <row r="967" ht="14.25" customHeight="1">
      <c r="A967" s="52"/>
      <c r="B967" s="53"/>
      <c r="C967" s="53"/>
      <c r="D967" s="1"/>
      <c r="E967" s="1"/>
      <c r="F967" s="1"/>
      <c r="G967" s="1"/>
      <c r="H967" s="1"/>
    </row>
    <row r="968" ht="14.25" customHeight="1">
      <c r="A968" s="52"/>
      <c r="B968" s="53"/>
      <c r="C968" s="53"/>
      <c r="D968" s="1"/>
      <c r="E968" s="1"/>
      <c r="F968" s="1"/>
      <c r="G968" s="1"/>
      <c r="H968" s="1"/>
    </row>
    <row r="969" ht="14.25" customHeight="1">
      <c r="A969" s="52"/>
      <c r="B969" s="53"/>
      <c r="C969" s="53"/>
      <c r="D969" s="1"/>
      <c r="E969" s="1"/>
      <c r="F969" s="1"/>
      <c r="G969" s="1"/>
      <c r="H969" s="1"/>
    </row>
    <row r="970" ht="14.25" customHeight="1">
      <c r="A970" s="52"/>
      <c r="B970" s="53"/>
      <c r="C970" s="53"/>
      <c r="D970" s="1"/>
      <c r="E970" s="1"/>
      <c r="F970" s="1"/>
      <c r="G970" s="1"/>
      <c r="H970" s="1"/>
    </row>
    <row r="971" ht="14.25" customHeight="1">
      <c r="A971" s="52"/>
      <c r="B971" s="53"/>
      <c r="C971" s="53"/>
      <c r="D971" s="1"/>
      <c r="E971" s="1"/>
      <c r="F971" s="1"/>
      <c r="G971" s="1"/>
      <c r="H971" s="1"/>
    </row>
    <row r="972" ht="14.25" customHeight="1">
      <c r="A972" s="52"/>
      <c r="B972" s="53"/>
      <c r="C972" s="53"/>
      <c r="D972" s="1"/>
      <c r="E972" s="1"/>
      <c r="F972" s="1"/>
      <c r="G972" s="1"/>
      <c r="H972" s="1"/>
    </row>
    <row r="973" ht="14.25" customHeight="1">
      <c r="A973" s="52"/>
      <c r="B973" s="53"/>
      <c r="C973" s="53"/>
      <c r="D973" s="1"/>
      <c r="E973" s="1"/>
      <c r="F973" s="1"/>
      <c r="G973" s="1"/>
      <c r="H973" s="1"/>
    </row>
    <row r="974" ht="14.25" customHeight="1">
      <c r="A974" s="52"/>
      <c r="B974" s="53"/>
      <c r="C974" s="53"/>
      <c r="D974" s="1"/>
      <c r="E974" s="1"/>
      <c r="F974" s="1"/>
      <c r="G974" s="1"/>
      <c r="H974" s="1"/>
    </row>
    <row r="975" ht="14.25" customHeight="1">
      <c r="A975" s="52"/>
      <c r="B975" s="53"/>
      <c r="C975" s="53"/>
      <c r="D975" s="1"/>
      <c r="E975" s="1"/>
      <c r="F975" s="1"/>
      <c r="G975" s="1"/>
      <c r="H975" s="1"/>
    </row>
    <row r="976" ht="14.25" customHeight="1">
      <c r="A976" s="52"/>
      <c r="B976" s="53"/>
      <c r="C976" s="53"/>
      <c r="D976" s="1"/>
      <c r="E976" s="1"/>
      <c r="F976" s="1"/>
      <c r="G976" s="1"/>
      <c r="H976" s="1"/>
    </row>
    <row r="977" ht="14.25" customHeight="1">
      <c r="A977" s="52"/>
      <c r="B977" s="53"/>
      <c r="C977" s="53"/>
      <c r="D977" s="1"/>
      <c r="E977" s="1"/>
      <c r="F977" s="1"/>
      <c r="G977" s="1"/>
      <c r="H977" s="1"/>
    </row>
    <row r="978" ht="14.25" customHeight="1">
      <c r="A978" s="52"/>
      <c r="B978" s="53"/>
      <c r="C978" s="53"/>
      <c r="D978" s="1"/>
      <c r="E978" s="1"/>
      <c r="F978" s="1"/>
      <c r="G978" s="1"/>
      <c r="H978" s="1"/>
    </row>
    <row r="979" ht="14.25" customHeight="1">
      <c r="A979" s="52"/>
      <c r="B979" s="53"/>
      <c r="C979" s="53"/>
      <c r="D979" s="1"/>
      <c r="E979" s="1"/>
      <c r="F979" s="1"/>
      <c r="G979" s="1"/>
      <c r="H979" s="1"/>
    </row>
    <row r="980" ht="14.25" customHeight="1">
      <c r="A980" s="52"/>
      <c r="B980" s="53"/>
      <c r="C980" s="53"/>
      <c r="D980" s="1"/>
      <c r="E980" s="1"/>
      <c r="F980" s="1"/>
      <c r="G980" s="1"/>
      <c r="H980" s="1"/>
    </row>
    <row r="981" ht="14.25" customHeight="1">
      <c r="A981" s="52"/>
      <c r="B981" s="53"/>
      <c r="C981" s="53"/>
      <c r="D981" s="1"/>
      <c r="E981" s="1"/>
      <c r="F981" s="1"/>
      <c r="G981" s="1"/>
      <c r="H981" s="1"/>
    </row>
    <row r="982" ht="14.25" customHeight="1">
      <c r="A982" s="52"/>
      <c r="B982" s="53"/>
      <c r="C982" s="53"/>
      <c r="D982" s="1"/>
      <c r="E982" s="1"/>
      <c r="F982" s="1"/>
      <c r="G982" s="1"/>
      <c r="H982" s="1"/>
    </row>
    <row r="983" ht="14.25" customHeight="1">
      <c r="A983" s="52"/>
      <c r="B983" s="53"/>
      <c r="C983" s="53"/>
      <c r="D983" s="1"/>
      <c r="E983" s="1"/>
      <c r="F983" s="1"/>
      <c r="G983" s="1"/>
      <c r="H983" s="1"/>
    </row>
    <row r="984" ht="14.25" customHeight="1">
      <c r="A984" s="52"/>
      <c r="B984" s="53"/>
      <c r="C984" s="53"/>
      <c r="D984" s="1"/>
      <c r="E984" s="1"/>
      <c r="F984" s="1"/>
      <c r="G984" s="1"/>
      <c r="H984" s="1"/>
    </row>
    <row r="985" ht="14.25" customHeight="1">
      <c r="A985" s="52"/>
      <c r="B985" s="53"/>
      <c r="C985" s="53"/>
      <c r="D985" s="1"/>
      <c r="E985" s="1"/>
      <c r="F985" s="1"/>
      <c r="G985" s="1"/>
      <c r="H985" s="1"/>
    </row>
    <row r="986" ht="14.25" customHeight="1">
      <c r="A986" s="52"/>
      <c r="B986" s="53"/>
      <c r="C986" s="53"/>
      <c r="D986" s="1"/>
      <c r="E986" s="1"/>
      <c r="F986" s="1"/>
      <c r="G986" s="1"/>
      <c r="H986" s="1"/>
    </row>
    <row r="987" ht="14.25" customHeight="1">
      <c r="A987" s="52"/>
      <c r="B987" s="53"/>
      <c r="C987" s="53"/>
      <c r="D987" s="1"/>
      <c r="E987" s="1"/>
      <c r="F987" s="1"/>
      <c r="G987" s="1"/>
      <c r="H987" s="1"/>
    </row>
    <row r="988" ht="14.25" customHeight="1">
      <c r="A988" s="52"/>
      <c r="B988" s="53"/>
      <c r="C988" s="53"/>
      <c r="D988" s="1"/>
      <c r="E988" s="1"/>
      <c r="F988" s="1"/>
      <c r="G988" s="1"/>
      <c r="H988" s="1"/>
    </row>
    <row r="989" ht="14.25" customHeight="1">
      <c r="A989" s="52"/>
      <c r="B989" s="53"/>
      <c r="C989" s="53"/>
      <c r="D989" s="1"/>
      <c r="E989" s="1"/>
      <c r="F989" s="1"/>
      <c r="G989" s="1"/>
      <c r="H989" s="1"/>
    </row>
    <row r="990" ht="14.25" customHeight="1">
      <c r="A990" s="52"/>
      <c r="B990" s="53"/>
      <c r="C990" s="53"/>
      <c r="D990" s="1"/>
      <c r="E990" s="1"/>
      <c r="F990" s="1"/>
      <c r="G990" s="1"/>
      <c r="H990" s="1"/>
    </row>
    <row r="991" ht="14.25" customHeight="1">
      <c r="A991" s="52"/>
      <c r="B991" s="53"/>
      <c r="C991" s="53"/>
      <c r="D991" s="1"/>
      <c r="E991" s="1"/>
      <c r="F991" s="1"/>
      <c r="G991" s="1"/>
      <c r="H991" s="1"/>
    </row>
    <row r="992" ht="14.25" customHeight="1">
      <c r="A992" s="52"/>
      <c r="B992" s="53"/>
      <c r="C992" s="53"/>
      <c r="D992" s="1"/>
      <c r="E992" s="1"/>
      <c r="F992" s="1"/>
      <c r="G992" s="1"/>
      <c r="H992" s="1"/>
    </row>
    <row r="993" ht="14.25" customHeight="1">
      <c r="A993" s="52"/>
      <c r="B993" s="53"/>
      <c r="C993" s="53"/>
      <c r="D993" s="1"/>
      <c r="E993" s="1"/>
      <c r="F993" s="1"/>
      <c r="G993" s="1"/>
      <c r="H993" s="1"/>
    </row>
    <row r="994" ht="14.25" customHeight="1">
      <c r="A994" s="52"/>
      <c r="B994" s="53"/>
      <c r="C994" s="53"/>
      <c r="D994" s="1"/>
      <c r="E994" s="1"/>
      <c r="F994" s="1"/>
      <c r="G994" s="1"/>
      <c r="H994" s="1"/>
    </row>
    <row r="995" ht="14.25" customHeight="1">
      <c r="A995" s="52"/>
      <c r="B995" s="53"/>
      <c r="C995" s="53"/>
      <c r="D995" s="1"/>
      <c r="E995" s="1"/>
      <c r="F995" s="1"/>
      <c r="G995" s="1"/>
      <c r="H995" s="1"/>
    </row>
    <row r="996" ht="14.25" customHeight="1">
      <c r="A996" s="52"/>
      <c r="B996" s="53"/>
      <c r="C996" s="53"/>
      <c r="D996" s="1"/>
      <c r="E996" s="1"/>
      <c r="F996" s="1"/>
      <c r="G996" s="1"/>
      <c r="H996" s="1"/>
    </row>
    <row r="997" ht="14.25" customHeight="1">
      <c r="A997" s="52"/>
      <c r="B997" s="53"/>
      <c r="C997" s="53"/>
      <c r="D997" s="1"/>
      <c r="E997" s="1"/>
      <c r="F997" s="1"/>
      <c r="G997" s="1"/>
      <c r="H997" s="1"/>
    </row>
    <row r="998" ht="14.25" customHeight="1">
      <c r="A998" s="52"/>
      <c r="B998" s="53"/>
      <c r="C998" s="53"/>
      <c r="D998" s="1"/>
      <c r="E998" s="1"/>
      <c r="F998" s="1"/>
      <c r="G998" s="1"/>
      <c r="H998" s="1"/>
    </row>
    <row r="999" ht="14.25" customHeight="1">
      <c r="A999" s="52"/>
      <c r="B999" s="53"/>
      <c r="C999" s="53"/>
      <c r="D999" s="1"/>
      <c r="E999" s="1"/>
      <c r="F999" s="1"/>
      <c r="G999" s="1"/>
      <c r="H999" s="1"/>
    </row>
    <row r="1000" ht="14.25" customHeight="1">
      <c r="A1000" s="52"/>
      <c r="B1000" s="53"/>
      <c r="C1000" s="53"/>
      <c r="D1000" s="1"/>
      <c r="E1000" s="1"/>
      <c r="F1000" s="1"/>
      <c r="G1000" s="1"/>
      <c r="H1000" s="1"/>
    </row>
  </sheetData>
  <mergeCells count="5">
    <mergeCell ref="A2:H2"/>
    <mergeCell ref="A4:H4"/>
    <mergeCell ref="A5:H5"/>
    <mergeCell ref="A6:H6"/>
    <mergeCell ref="A767:H767"/>
  </mergeCells>
  <hyperlinks>
    <hyperlink r:id="rId1" ref="E9"/>
    <hyperlink r:id="rId2" ref="E10"/>
    <hyperlink r:id="rId3" ref="E11"/>
    <hyperlink r:id="rId4" ref="E12"/>
    <hyperlink r:id="rId5" ref="E13"/>
    <hyperlink r:id="rId6" ref="E14"/>
    <hyperlink r:id="rId7" ref="E15"/>
    <hyperlink r:id="rId8" ref="E16"/>
    <hyperlink r:id="rId9" ref="E17"/>
    <hyperlink r:id="rId10" ref="E18"/>
    <hyperlink r:id="rId11" ref="E19"/>
    <hyperlink r:id="rId12" ref="E20"/>
    <hyperlink r:id="rId13" ref="E21"/>
    <hyperlink r:id="rId14" ref="E22"/>
    <hyperlink r:id="rId15" ref="F25"/>
    <hyperlink r:id="rId16" ref="E26"/>
    <hyperlink r:id="rId17" ref="F26"/>
    <hyperlink r:id="rId18" ref="E27"/>
    <hyperlink r:id="rId19" ref="F27"/>
    <hyperlink r:id="rId20" ref="E29"/>
    <hyperlink r:id="rId21" ref="E30"/>
    <hyperlink r:id="rId22" ref="E31"/>
    <hyperlink r:id="rId23" ref="F31"/>
    <hyperlink r:id="rId24" ref="F32"/>
    <hyperlink r:id="rId25" ref="F33"/>
    <hyperlink r:id="rId26" ref="E34"/>
    <hyperlink r:id="rId27" ref="E35"/>
    <hyperlink r:id="rId28" ref="E36"/>
    <hyperlink r:id="rId29" ref="F36"/>
    <hyperlink r:id="rId30" ref="E37"/>
    <hyperlink r:id="rId31" ref="E38"/>
    <hyperlink r:id="rId32" ref="F38"/>
    <hyperlink r:id="rId33" ref="E41"/>
    <hyperlink r:id="rId34" ref="E43"/>
    <hyperlink r:id="rId35" ref="E44"/>
    <hyperlink r:id="rId36" ref="E45"/>
    <hyperlink r:id="rId37" ref="E46"/>
    <hyperlink r:id="rId38" ref="E47"/>
    <hyperlink r:id="rId39" ref="E48"/>
    <hyperlink r:id="rId40" ref="E49"/>
    <hyperlink r:id="rId41" ref="E50"/>
    <hyperlink r:id="rId42" ref="E51"/>
    <hyperlink r:id="rId43" ref="E52"/>
    <hyperlink r:id="rId44" ref="E53"/>
    <hyperlink r:id="rId45" ref="E54"/>
    <hyperlink r:id="rId46" ref="E56"/>
    <hyperlink r:id="rId47" ref="E57"/>
    <hyperlink r:id="rId48" ref="E58"/>
    <hyperlink r:id="rId49" ref="E59"/>
    <hyperlink r:id="rId50" ref="E60"/>
    <hyperlink r:id="rId51" ref="E62"/>
    <hyperlink r:id="rId52" ref="E63"/>
    <hyperlink r:id="rId53" ref="E64"/>
    <hyperlink r:id="rId54" ref="E65"/>
    <hyperlink r:id="rId55" ref="E66"/>
    <hyperlink r:id="rId56" ref="E67"/>
    <hyperlink r:id="rId57" ref="E68"/>
    <hyperlink r:id="rId58" ref="E69"/>
    <hyperlink r:id="rId59" ref="E70"/>
    <hyperlink r:id="rId60" ref="E71"/>
    <hyperlink r:id="rId61" ref="E72"/>
    <hyperlink r:id="rId62" ref="E73"/>
    <hyperlink r:id="rId63" ref="E74"/>
    <hyperlink r:id="rId64" ref="E75"/>
    <hyperlink r:id="rId65" ref="E76"/>
    <hyperlink r:id="rId66" ref="E77"/>
    <hyperlink r:id="rId67" ref="E78"/>
    <hyperlink r:id="rId68" ref="E79"/>
    <hyperlink r:id="rId69" ref="E80"/>
    <hyperlink r:id="rId70" ref="E81"/>
    <hyperlink r:id="rId71" ref="E82"/>
    <hyperlink r:id="rId72" ref="E83"/>
    <hyperlink r:id="rId73" ref="E84"/>
    <hyperlink r:id="rId74" ref="E85"/>
    <hyperlink r:id="rId75" ref="E86"/>
    <hyperlink r:id="rId76" ref="E87"/>
    <hyperlink r:id="rId77" ref="E88"/>
    <hyperlink r:id="rId78" ref="E89"/>
    <hyperlink r:id="rId79" ref="E91"/>
    <hyperlink r:id="rId80" ref="E92"/>
    <hyperlink r:id="rId81" ref="E93"/>
    <hyperlink r:id="rId82" ref="E94"/>
    <hyperlink r:id="rId83" ref="E106"/>
    <hyperlink r:id="rId84" ref="E107"/>
    <hyperlink r:id="rId85" ref="E113"/>
    <hyperlink r:id="rId86" ref="C114"/>
    <hyperlink r:id="rId87" ref="D114"/>
    <hyperlink r:id="rId88" ref="C115"/>
    <hyperlink r:id="rId89" ref="D115"/>
    <hyperlink r:id="rId90" ref="C116"/>
    <hyperlink r:id="rId91" ref="C117"/>
    <hyperlink r:id="rId92" ref="C118"/>
    <hyperlink r:id="rId93" ref="C119"/>
    <hyperlink r:id="rId94" ref="A120"/>
    <hyperlink r:id="rId95" ref="E126"/>
    <hyperlink r:id="rId96" ref="E128"/>
    <hyperlink r:id="rId97" ref="E129"/>
    <hyperlink r:id="rId98" ref="E130"/>
    <hyperlink r:id="rId99" ref="E131"/>
    <hyperlink r:id="rId100" ref="E132"/>
    <hyperlink r:id="rId101" ref="E140"/>
    <hyperlink r:id="rId102" ref="E141"/>
    <hyperlink r:id="rId103" ref="E142"/>
    <hyperlink r:id="rId104" ref="E143"/>
    <hyperlink r:id="rId105" ref="E144"/>
    <hyperlink r:id="rId106" ref="E145"/>
    <hyperlink r:id="rId107" ref="E146"/>
    <hyperlink r:id="rId108" ref="E147"/>
    <hyperlink r:id="rId109" ref="E148"/>
    <hyperlink r:id="rId110" ref="E149"/>
    <hyperlink r:id="rId111" ref="E150"/>
    <hyperlink r:id="rId112" ref="E151"/>
    <hyperlink r:id="rId113" ref="E152"/>
    <hyperlink r:id="rId114" ref="E154"/>
    <hyperlink r:id="rId115" ref="E156"/>
    <hyperlink r:id="rId116" ref="E157"/>
    <hyperlink r:id="rId117" ref="E158"/>
    <hyperlink r:id="rId118" ref="E159"/>
    <hyperlink r:id="rId119" ref="E160"/>
    <hyperlink r:id="rId120" ref="E161"/>
    <hyperlink r:id="rId121" ref="E162"/>
    <hyperlink r:id="rId122" ref="E163"/>
    <hyperlink r:id="rId123" ref="E164"/>
    <hyperlink r:id="rId124" ref="E165"/>
    <hyperlink r:id="rId125" ref="E166"/>
    <hyperlink r:id="rId126" ref="E168"/>
    <hyperlink r:id="rId127" ref="E169"/>
    <hyperlink r:id="rId128" ref="E170"/>
    <hyperlink r:id="rId129" ref="E171"/>
    <hyperlink r:id="rId130" ref="E173"/>
    <hyperlink r:id="rId131" ref="E174"/>
    <hyperlink r:id="rId132" ref="E175"/>
    <hyperlink r:id="rId133" ref="E176"/>
    <hyperlink r:id="rId134" ref="E177"/>
    <hyperlink r:id="rId135" ref="E178"/>
    <hyperlink r:id="rId136" ref="E179"/>
    <hyperlink r:id="rId137" ref="E180"/>
    <hyperlink r:id="rId138" ref="E181"/>
    <hyperlink r:id="rId139" ref="E182"/>
    <hyperlink r:id="rId140" ref="E183"/>
    <hyperlink r:id="rId141" ref="E184"/>
    <hyperlink r:id="rId142" ref="E185"/>
    <hyperlink r:id="rId143" ref="E187"/>
    <hyperlink r:id="rId144" ref="E188"/>
    <hyperlink r:id="rId145" ref="E189"/>
    <hyperlink r:id="rId146" ref="E190"/>
    <hyperlink r:id="rId147" ref="E192"/>
    <hyperlink r:id="rId148" ref="E193"/>
    <hyperlink r:id="rId149" ref="E194"/>
    <hyperlink r:id="rId150" ref="E195"/>
    <hyperlink r:id="rId151" ref="E196"/>
    <hyperlink r:id="rId152" ref="E199"/>
    <hyperlink r:id="rId153" ref="E203"/>
    <hyperlink r:id="rId154" ref="E204"/>
    <hyperlink r:id="rId155" ref="E205"/>
    <hyperlink r:id="rId156" ref="E206"/>
    <hyperlink r:id="rId157" ref="D207"/>
    <hyperlink r:id="rId158" ref="E207"/>
    <hyperlink r:id="rId159" ref="C213"/>
    <hyperlink r:id="rId160" ref="C214"/>
    <hyperlink r:id="rId161" ref="E215"/>
    <hyperlink r:id="rId162" ref="E216"/>
    <hyperlink r:id="rId163" ref="F216"/>
    <hyperlink r:id="rId164" ref="E217"/>
    <hyperlink r:id="rId165" ref="F217"/>
    <hyperlink r:id="rId166" ref="E218"/>
    <hyperlink r:id="rId167" ref="F218"/>
    <hyperlink r:id="rId168" ref="E219"/>
    <hyperlink r:id="rId169" ref="E221"/>
    <hyperlink r:id="rId170" ref="E223"/>
    <hyperlink r:id="rId171" ref="E224"/>
    <hyperlink r:id="rId172" ref="E225"/>
    <hyperlink r:id="rId173" ref="E226"/>
    <hyperlink r:id="rId174" ref="E227"/>
    <hyperlink r:id="rId175" ref="E228"/>
    <hyperlink r:id="rId176" ref="E229"/>
    <hyperlink r:id="rId177" ref="E230"/>
    <hyperlink r:id="rId178" ref="E231"/>
    <hyperlink r:id="rId179" ref="E232"/>
    <hyperlink r:id="rId180" ref="E233"/>
    <hyperlink r:id="rId181" ref="E234"/>
    <hyperlink r:id="rId182" ref="E235"/>
    <hyperlink r:id="rId183" ref="E236"/>
    <hyperlink r:id="rId184" ref="E237"/>
    <hyperlink r:id="rId185" ref="E238"/>
    <hyperlink r:id="rId186" ref="E239"/>
    <hyperlink r:id="rId187" ref="E240"/>
    <hyperlink r:id="rId188" ref="E241"/>
    <hyperlink r:id="rId189" ref="E242"/>
    <hyperlink r:id="rId190" ref="E243"/>
    <hyperlink r:id="rId191" ref="E244"/>
    <hyperlink r:id="rId192" ref="E246"/>
    <hyperlink r:id="rId193" ref="E247"/>
    <hyperlink r:id="rId194" ref="E248"/>
    <hyperlink r:id="rId195" ref="E249"/>
    <hyperlink r:id="rId196" ref="E250"/>
    <hyperlink r:id="rId197" ref="C254"/>
    <hyperlink r:id="rId198" ref="E254"/>
    <hyperlink r:id="rId199" ref="E255"/>
    <hyperlink r:id="rId200" ref="E256"/>
    <hyperlink r:id="rId201" ref="E257"/>
    <hyperlink r:id="rId202" ref="E258"/>
    <hyperlink r:id="rId203" ref="E260"/>
    <hyperlink r:id="rId204" ref="E261"/>
    <hyperlink r:id="rId205" ref="E262"/>
    <hyperlink r:id="rId206" ref="E263"/>
    <hyperlink r:id="rId207" ref="E264"/>
    <hyperlink r:id="rId208" ref="E265"/>
    <hyperlink r:id="rId209" ref="E266"/>
    <hyperlink r:id="rId210" ref="E267"/>
    <hyperlink r:id="rId211" ref="E268"/>
    <hyperlink r:id="rId212" ref="E269"/>
    <hyperlink r:id="rId213" ref="E270"/>
    <hyperlink r:id="rId214" ref="E271"/>
    <hyperlink r:id="rId215" ref="E272"/>
    <hyperlink r:id="rId216" ref="E273"/>
    <hyperlink r:id="rId217" ref="E276"/>
    <hyperlink r:id="rId218" ref="E277"/>
    <hyperlink r:id="rId219" ref="E278"/>
    <hyperlink r:id="rId220" ref="E279"/>
    <hyperlink r:id="rId221" ref="E280"/>
    <hyperlink r:id="rId222" ref="E281"/>
    <hyperlink r:id="rId223" ref="E282"/>
    <hyperlink r:id="rId224" ref="E283"/>
    <hyperlink r:id="rId225" ref="E284"/>
    <hyperlink r:id="rId226" ref="E285"/>
    <hyperlink r:id="rId227" ref="E286"/>
    <hyperlink r:id="rId228" ref="E287"/>
    <hyperlink r:id="rId229" ref="E288"/>
    <hyperlink r:id="rId230" ref="E289"/>
    <hyperlink r:id="rId231" ref="F289"/>
    <hyperlink r:id="rId232" ref="E290"/>
    <hyperlink r:id="rId233" ref="E291"/>
    <hyperlink r:id="rId234" ref="E292"/>
    <hyperlink r:id="rId235" ref="E293"/>
    <hyperlink r:id="rId236" ref="E294"/>
    <hyperlink r:id="rId237" ref="E295"/>
    <hyperlink r:id="rId238" ref="E297"/>
    <hyperlink r:id="rId239" ref="E299"/>
    <hyperlink r:id="rId240" ref="E300"/>
    <hyperlink r:id="rId241" ref="E301"/>
    <hyperlink r:id="rId242" ref="E302"/>
    <hyperlink r:id="rId243" ref="F302"/>
    <hyperlink r:id="rId244" ref="E304"/>
    <hyperlink r:id="rId245" ref="F304"/>
    <hyperlink r:id="rId246" ref="E305"/>
    <hyperlink r:id="rId247" ref="E306"/>
    <hyperlink r:id="rId248" ref="E307"/>
    <hyperlink r:id="rId249" ref="E308"/>
    <hyperlink r:id="rId250" ref="E309"/>
    <hyperlink r:id="rId251" ref="E310"/>
    <hyperlink r:id="rId252" ref="F310"/>
    <hyperlink r:id="rId253" ref="E311"/>
    <hyperlink r:id="rId254" ref="F311"/>
    <hyperlink r:id="rId255" ref="E312"/>
    <hyperlink r:id="rId256" ref="F312"/>
    <hyperlink r:id="rId257" ref="E313"/>
    <hyperlink r:id="rId258" ref="E314"/>
    <hyperlink r:id="rId259" ref="F314"/>
    <hyperlink r:id="rId260" ref="E315"/>
    <hyperlink r:id="rId261" ref="E317"/>
    <hyperlink r:id="rId262" ref="E318"/>
    <hyperlink r:id="rId263" ref="E319"/>
    <hyperlink r:id="rId264" ref="E320"/>
    <hyperlink r:id="rId265" ref="E321"/>
    <hyperlink r:id="rId266" ref="E322"/>
    <hyperlink r:id="rId267" ref="E323"/>
    <hyperlink r:id="rId268" ref="E324"/>
    <hyperlink r:id="rId269" ref="F324"/>
    <hyperlink r:id="rId270" ref="E325"/>
    <hyperlink r:id="rId271" ref="F325"/>
    <hyperlink r:id="rId272" ref="E326"/>
    <hyperlink r:id="rId273" ref="E327"/>
    <hyperlink r:id="rId274" ref="F327"/>
    <hyperlink r:id="rId275" ref="E328"/>
    <hyperlink r:id="rId276" ref="F328"/>
    <hyperlink r:id="rId277" ref="E329"/>
    <hyperlink r:id="rId278" ref="E330"/>
    <hyperlink r:id="rId279" ref="E336"/>
    <hyperlink r:id="rId280" ref="E339"/>
    <hyperlink r:id="rId281" ref="F339"/>
    <hyperlink r:id="rId282" ref="E340"/>
    <hyperlink r:id="rId283" ref="F340"/>
    <hyperlink r:id="rId284" ref="E341"/>
    <hyperlink r:id="rId285" ref="F341"/>
    <hyperlink r:id="rId286" ref="E342"/>
    <hyperlink r:id="rId287" ref="F342"/>
    <hyperlink r:id="rId288" ref="E343"/>
    <hyperlink r:id="rId289" ref="F343"/>
    <hyperlink r:id="rId290" ref="E344"/>
    <hyperlink r:id="rId291" ref="E345"/>
    <hyperlink r:id="rId292" ref="F345"/>
    <hyperlink r:id="rId293" ref="E346"/>
    <hyperlink r:id="rId294" ref="E347"/>
    <hyperlink r:id="rId295" ref="F347"/>
    <hyperlink r:id="rId296" ref="E348"/>
    <hyperlink r:id="rId297" ref="E349"/>
    <hyperlink r:id="rId298" ref="F349"/>
    <hyperlink r:id="rId299" ref="E350"/>
    <hyperlink r:id="rId300" ref="E351"/>
    <hyperlink r:id="rId301" ref="E352"/>
    <hyperlink r:id="rId302" ref="E353"/>
    <hyperlink r:id="rId303" ref="E355"/>
    <hyperlink r:id="rId304" ref="E356"/>
    <hyperlink r:id="rId305" ref="E357"/>
    <hyperlink r:id="rId306" ref="E358"/>
    <hyperlink r:id="rId307" ref="E359"/>
    <hyperlink r:id="rId308" ref="E360"/>
    <hyperlink r:id="rId309" ref="E361"/>
    <hyperlink r:id="rId310" ref="E362"/>
    <hyperlink r:id="rId311" ref="F362"/>
    <hyperlink r:id="rId312" ref="E363"/>
    <hyperlink r:id="rId313" ref="F363"/>
    <hyperlink r:id="rId314" ref="E364"/>
    <hyperlink r:id="rId315" ref="F364"/>
    <hyperlink r:id="rId316" ref="E365"/>
    <hyperlink r:id="rId317" ref="F365"/>
    <hyperlink r:id="rId318" ref="E366"/>
    <hyperlink r:id="rId319" ref="E367"/>
    <hyperlink r:id="rId320" ref="F367"/>
    <hyperlink r:id="rId321" ref="E368"/>
    <hyperlink r:id="rId322" ref="E369"/>
    <hyperlink r:id="rId323" ref="E370"/>
    <hyperlink r:id="rId324" ref="F370"/>
    <hyperlink r:id="rId325" ref="E371"/>
    <hyperlink r:id="rId326" ref="E372"/>
    <hyperlink r:id="rId327" ref="F372"/>
    <hyperlink r:id="rId328" ref="E373"/>
    <hyperlink r:id="rId329" ref="F373"/>
    <hyperlink r:id="rId330" ref="E374"/>
    <hyperlink r:id="rId331" ref="F374"/>
    <hyperlink r:id="rId332" ref="E375"/>
    <hyperlink r:id="rId333" ref="F375"/>
    <hyperlink r:id="rId334" ref="E376"/>
    <hyperlink r:id="rId335" ref="F376"/>
    <hyperlink r:id="rId336" ref="E377"/>
    <hyperlink r:id="rId337" ref="E378"/>
    <hyperlink r:id="rId338" ref="E379"/>
    <hyperlink r:id="rId339" ref="F379"/>
    <hyperlink r:id="rId340" ref="E380"/>
    <hyperlink r:id="rId341" ref="F380"/>
    <hyperlink r:id="rId342" ref="E381"/>
    <hyperlink r:id="rId343" ref="F381"/>
    <hyperlink r:id="rId344" ref="E504"/>
    <hyperlink r:id="rId345" ref="E505"/>
    <hyperlink r:id="rId346" ref="E506"/>
    <hyperlink r:id="rId347" ref="E507"/>
    <hyperlink r:id="rId348" ref="E508"/>
    <hyperlink r:id="rId349" ref="E509"/>
    <hyperlink r:id="rId350" ref="E510"/>
    <hyperlink r:id="rId351" ref="E511"/>
    <hyperlink r:id="rId352" ref="E512"/>
    <hyperlink r:id="rId353" ref="E513"/>
    <hyperlink r:id="rId354" ref="E514"/>
    <hyperlink r:id="rId355" ref="E515"/>
    <hyperlink r:id="rId356" ref="E516"/>
    <hyperlink r:id="rId357" ref="E517"/>
    <hyperlink r:id="rId358" ref="E518"/>
    <hyperlink r:id="rId359" ref="E519"/>
    <hyperlink r:id="rId360" ref="E520"/>
    <hyperlink r:id="rId361" ref="E521"/>
    <hyperlink r:id="rId362" ref="E522"/>
    <hyperlink r:id="rId363" ref="E523"/>
    <hyperlink r:id="rId364" ref="E525"/>
    <hyperlink r:id="rId365" ref="E526"/>
    <hyperlink r:id="rId366" ref="E527"/>
    <hyperlink r:id="rId367" ref="E528"/>
    <hyperlink r:id="rId368" ref="E529"/>
    <hyperlink r:id="rId369" ref="E530"/>
    <hyperlink r:id="rId370" ref="E531"/>
    <hyperlink r:id="rId371" ref="E532"/>
    <hyperlink r:id="rId372" ref="E533"/>
    <hyperlink r:id="rId373" ref="E534"/>
    <hyperlink r:id="rId374" ref="E535"/>
    <hyperlink r:id="rId375" ref="E536"/>
    <hyperlink r:id="rId376" ref="E537"/>
    <hyperlink r:id="rId377" ref="E539"/>
    <hyperlink r:id="rId378" ref="E540"/>
    <hyperlink r:id="rId379" ref="E541"/>
    <hyperlink r:id="rId380" ref="E542"/>
    <hyperlink r:id="rId381" ref="E543"/>
    <hyperlink r:id="rId382" ref="E544"/>
    <hyperlink r:id="rId383" ref="E545"/>
    <hyperlink r:id="rId384" ref="E546"/>
    <hyperlink r:id="rId385" ref="E547"/>
    <hyperlink r:id="rId386" ref="E548"/>
    <hyperlink r:id="rId387" ref="E549"/>
    <hyperlink r:id="rId388" ref="E550"/>
    <hyperlink r:id="rId389" ref="E551"/>
    <hyperlink r:id="rId390" ref="E552"/>
    <hyperlink r:id="rId391" ref="E553"/>
    <hyperlink r:id="rId392" ref="E554"/>
    <hyperlink r:id="rId393" ref="E556"/>
    <hyperlink r:id="rId394" ref="E557"/>
    <hyperlink r:id="rId395" ref="E558"/>
    <hyperlink r:id="rId396" ref="E559"/>
    <hyperlink r:id="rId397" ref="E560"/>
    <hyperlink r:id="rId398" ref="E561"/>
    <hyperlink r:id="rId399" ref="E562"/>
    <hyperlink r:id="rId400" ref="E563"/>
    <hyperlink r:id="rId401" ref="E564"/>
    <hyperlink r:id="rId402" ref="E565"/>
    <hyperlink r:id="rId403" ref="E566"/>
    <hyperlink r:id="rId404" ref="E567"/>
    <hyperlink r:id="rId405" ref="E568"/>
    <hyperlink r:id="rId406" ref="E569"/>
    <hyperlink r:id="rId407" ref="E570"/>
    <hyperlink r:id="rId408" ref="E571"/>
    <hyperlink r:id="rId409" ref="E572"/>
    <hyperlink r:id="rId410" ref="E573"/>
    <hyperlink r:id="rId411" ref="E574"/>
    <hyperlink r:id="rId412" ref="E575"/>
    <hyperlink r:id="rId413" ref="E576"/>
    <hyperlink r:id="rId414" ref="E577"/>
    <hyperlink r:id="rId415" ref="E578"/>
    <hyperlink r:id="rId416" ref="E579"/>
    <hyperlink r:id="rId417" ref="E752"/>
    <hyperlink r:id="rId418" ref="E757"/>
    <hyperlink r:id="rId419" ref="E758"/>
    <hyperlink r:id="rId420" ref="F758"/>
    <hyperlink r:id="rId421" ref="E760"/>
  </hyperlinks>
  <printOptions/>
  <pageMargins bottom="0.75" footer="0.0" header="0.0" left="0.7" right="0.7" top="0.75"/>
  <pageSetup orientation="landscape"/>
  <drawing r:id="rId42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43"/>
    <col customWidth="1" min="2" max="2" width="33.14"/>
    <col customWidth="1" min="3" max="3" width="12.0"/>
    <col customWidth="1" min="4" max="4" width="20.71"/>
    <col customWidth="1" min="5" max="5" width="13.14"/>
    <col customWidth="1" min="6" max="6" width="15.43"/>
    <col customWidth="1" min="7" max="7" width="21.0"/>
    <col customWidth="1" min="8" max="8" width="9.14"/>
    <col customWidth="1" min="9" max="26" width="10.0"/>
  </cols>
  <sheetData>
    <row r="1" ht="14.25" customHeight="1">
      <c r="A1" s="52"/>
      <c r="B1" s="53"/>
      <c r="C1" s="53"/>
      <c r="D1" s="1"/>
      <c r="E1" s="1"/>
      <c r="F1" s="1"/>
    </row>
    <row r="2" ht="15.0" customHeight="1">
      <c r="A2" s="54" t="s">
        <v>3846</v>
      </c>
      <c r="B2" s="55"/>
      <c r="C2" s="55"/>
      <c r="D2" s="55"/>
      <c r="E2" s="55"/>
      <c r="F2" s="159"/>
      <c r="G2" s="57"/>
      <c r="H2" s="57"/>
      <c r="I2" s="58"/>
      <c r="J2" s="58"/>
      <c r="K2" s="58"/>
      <c r="L2" s="58"/>
      <c r="M2" s="58"/>
      <c r="N2" s="58"/>
      <c r="O2" s="58"/>
      <c r="P2" s="58"/>
      <c r="Q2" s="58"/>
      <c r="R2" s="58"/>
      <c r="S2" s="58"/>
      <c r="T2" s="58"/>
      <c r="U2" s="58"/>
      <c r="V2" s="58"/>
      <c r="W2" s="58"/>
      <c r="X2" s="58"/>
      <c r="Y2" s="58"/>
      <c r="Z2" s="58"/>
    </row>
    <row r="3" ht="15.0" customHeight="1">
      <c r="A3" s="156"/>
      <c r="B3" s="156"/>
      <c r="C3" s="156"/>
      <c r="D3" s="156"/>
      <c r="E3" s="156"/>
      <c r="F3" s="156"/>
      <c r="G3" s="57"/>
      <c r="H3" s="57"/>
      <c r="I3" s="58"/>
      <c r="J3" s="58"/>
      <c r="K3" s="58"/>
      <c r="L3" s="58"/>
      <c r="M3" s="58"/>
      <c r="N3" s="58"/>
      <c r="O3" s="58"/>
      <c r="P3" s="58"/>
      <c r="Q3" s="58"/>
      <c r="R3" s="58"/>
      <c r="S3" s="58"/>
      <c r="T3" s="58"/>
      <c r="U3" s="58"/>
      <c r="V3" s="58"/>
      <c r="W3" s="58"/>
      <c r="X3" s="58"/>
      <c r="Y3" s="58"/>
      <c r="Z3" s="58"/>
    </row>
    <row r="4" ht="21.0" customHeight="1">
      <c r="A4" s="359" t="s">
        <v>3847</v>
      </c>
      <c r="B4" s="55"/>
      <c r="C4" s="55"/>
      <c r="D4" s="55"/>
      <c r="E4" s="55"/>
      <c r="F4" s="56"/>
      <c r="G4" s="57"/>
      <c r="H4" s="57"/>
      <c r="I4" s="58"/>
      <c r="J4" s="58"/>
      <c r="K4" s="58"/>
      <c r="L4" s="58"/>
      <c r="M4" s="58"/>
      <c r="N4" s="58"/>
      <c r="O4" s="58"/>
      <c r="P4" s="58"/>
      <c r="Q4" s="58"/>
      <c r="R4" s="58"/>
      <c r="S4" s="58"/>
      <c r="T4" s="58"/>
      <c r="U4" s="58"/>
      <c r="V4" s="58"/>
      <c r="W4" s="58"/>
      <c r="X4" s="58"/>
      <c r="Y4" s="58"/>
      <c r="Z4" s="58"/>
    </row>
    <row r="5" ht="98.25" customHeight="1">
      <c r="A5" s="60" t="s">
        <v>3848</v>
      </c>
      <c r="B5" s="55"/>
      <c r="C5" s="55"/>
      <c r="D5" s="55"/>
      <c r="E5" s="55"/>
      <c r="F5" s="56"/>
      <c r="G5" s="57"/>
      <c r="H5" s="57"/>
      <c r="I5" s="58"/>
      <c r="J5" s="58"/>
      <c r="K5" s="58"/>
      <c r="L5" s="58"/>
      <c r="M5" s="58"/>
      <c r="N5" s="58"/>
      <c r="O5" s="58"/>
      <c r="P5" s="58"/>
      <c r="Q5" s="58"/>
      <c r="R5" s="58"/>
      <c r="S5" s="58"/>
      <c r="T5" s="58"/>
      <c r="U5" s="58"/>
      <c r="V5" s="58"/>
      <c r="W5" s="58"/>
      <c r="X5" s="58"/>
      <c r="Y5" s="58"/>
      <c r="Z5" s="58"/>
    </row>
    <row r="6" ht="14.25" customHeight="1">
      <c r="A6" s="61"/>
      <c r="B6" s="62"/>
      <c r="C6" s="62"/>
      <c r="D6" s="61"/>
      <c r="E6" s="61"/>
      <c r="F6" s="61"/>
      <c r="G6" s="1"/>
      <c r="H6" s="1"/>
    </row>
    <row r="7" ht="14.25" customHeight="1">
      <c r="A7" s="52"/>
      <c r="B7" s="53"/>
      <c r="C7" s="53"/>
      <c r="D7" s="1"/>
      <c r="E7" s="1"/>
      <c r="F7" s="1"/>
    </row>
    <row r="8" ht="41.25" customHeight="1">
      <c r="A8" s="203" t="s">
        <v>3849</v>
      </c>
      <c r="B8" s="309" t="s">
        <v>3850</v>
      </c>
      <c r="C8" s="309" t="s">
        <v>9</v>
      </c>
      <c r="D8" s="309" t="s">
        <v>3851</v>
      </c>
      <c r="E8" s="203" t="s">
        <v>208</v>
      </c>
      <c r="F8" s="203" t="s">
        <v>209</v>
      </c>
      <c r="G8" s="65" t="s">
        <v>210</v>
      </c>
    </row>
    <row r="9" ht="14.25" customHeight="1">
      <c r="A9" s="101"/>
      <c r="B9" s="101"/>
      <c r="C9" s="75"/>
      <c r="D9" s="102"/>
      <c r="E9" s="185"/>
      <c r="F9" s="180"/>
      <c r="G9" s="77"/>
    </row>
    <row r="10" ht="14.25" customHeight="1">
      <c r="A10" s="101"/>
      <c r="B10" s="101"/>
      <c r="C10" s="75"/>
      <c r="D10" s="102"/>
      <c r="E10" s="185"/>
      <c r="F10" s="180"/>
      <c r="G10" s="77"/>
    </row>
    <row r="11" ht="14.25" customHeight="1">
      <c r="A11" s="101"/>
      <c r="B11" s="101"/>
      <c r="C11" s="75"/>
      <c r="D11" s="102"/>
      <c r="E11" s="185"/>
      <c r="F11" s="180"/>
      <c r="G11" s="77"/>
    </row>
    <row r="12" ht="14.25" customHeight="1">
      <c r="A12" s="101"/>
      <c r="B12" s="101"/>
      <c r="C12" s="75"/>
      <c r="D12" s="102"/>
      <c r="E12" s="185"/>
      <c r="F12" s="180"/>
      <c r="G12" s="77"/>
    </row>
    <row r="13" ht="14.25" customHeight="1">
      <c r="A13" s="101"/>
      <c r="B13" s="101"/>
      <c r="C13" s="75"/>
      <c r="D13" s="102"/>
      <c r="E13" s="373"/>
      <c r="F13" s="180"/>
      <c r="G13" s="77"/>
    </row>
    <row r="14" ht="14.25" customHeight="1">
      <c r="A14" s="101"/>
      <c r="B14" s="101"/>
      <c r="C14" s="75"/>
      <c r="D14" s="102"/>
      <c r="E14" s="373"/>
      <c r="F14" s="180"/>
      <c r="G14" s="77"/>
    </row>
    <row r="15" ht="14.25" customHeight="1">
      <c r="A15" s="101"/>
      <c r="B15" s="101"/>
      <c r="C15" s="75"/>
      <c r="D15" s="102"/>
      <c r="E15" s="373"/>
      <c r="F15" s="180"/>
      <c r="G15" s="77"/>
    </row>
    <row r="16" ht="14.25" customHeight="1">
      <c r="A16" s="101"/>
      <c r="B16" s="101"/>
      <c r="C16" s="75"/>
      <c r="D16" s="102"/>
      <c r="E16" s="373"/>
      <c r="F16" s="180"/>
      <c r="G16" s="77"/>
    </row>
    <row r="17" ht="14.25" customHeight="1">
      <c r="A17" s="101"/>
      <c r="B17" s="101"/>
      <c r="C17" s="75"/>
      <c r="D17" s="102"/>
      <c r="E17" s="373"/>
      <c r="F17" s="180"/>
      <c r="G17" s="77"/>
    </row>
    <row r="18" ht="14.25" customHeight="1">
      <c r="A18" s="104" t="s">
        <v>180</v>
      </c>
      <c r="B18" s="53"/>
      <c r="C18" s="53"/>
      <c r="D18" s="53"/>
      <c r="E18" s="57"/>
      <c r="F18" s="533">
        <f>SUM(F9:F17)</f>
        <v>0</v>
      </c>
    </row>
    <row r="19" ht="14.25" customHeight="1">
      <c r="A19" s="52"/>
      <c r="B19" s="53"/>
      <c r="C19" s="53"/>
      <c r="D19" s="53"/>
      <c r="E19" s="53"/>
      <c r="F19" s="53"/>
    </row>
    <row r="20" ht="14.25" customHeight="1">
      <c r="A20" s="534" t="s">
        <v>330</v>
      </c>
      <c r="B20" s="107"/>
      <c r="C20" s="107"/>
      <c r="D20" s="107"/>
      <c r="E20" s="107"/>
      <c r="F20" s="108"/>
    </row>
    <row r="21" ht="14.25" customHeight="1">
      <c r="A21" s="52"/>
      <c r="B21" s="53"/>
      <c r="C21" s="53"/>
      <c r="D21" s="1"/>
      <c r="E21" s="1"/>
      <c r="F21" s="1"/>
    </row>
    <row r="22" ht="14.25" customHeight="1">
      <c r="A22" s="52"/>
      <c r="B22" s="53"/>
      <c r="C22" s="53"/>
      <c r="D22" s="1"/>
      <c r="E22" s="1"/>
      <c r="F22" s="1"/>
    </row>
    <row r="23" ht="14.25" customHeight="1">
      <c r="A23" s="52"/>
      <c r="B23" s="53"/>
      <c r="C23" s="53"/>
      <c r="D23" s="1"/>
      <c r="E23" s="1"/>
      <c r="F23" s="1"/>
    </row>
    <row r="24" ht="14.25" customHeight="1">
      <c r="A24" s="52"/>
      <c r="B24" s="53"/>
      <c r="C24" s="53"/>
      <c r="D24" s="1"/>
      <c r="E24" s="1"/>
      <c r="F24" s="1"/>
    </row>
    <row r="25" ht="14.25" customHeight="1">
      <c r="A25" s="52"/>
      <c r="B25" s="53"/>
      <c r="C25" s="53"/>
      <c r="D25" s="1"/>
      <c r="E25" s="1"/>
      <c r="F25" s="1"/>
    </row>
    <row r="26" ht="14.25" customHeight="1">
      <c r="A26" s="52"/>
      <c r="B26" s="53"/>
      <c r="C26" s="53"/>
      <c r="D26" s="1"/>
      <c r="E26" s="1"/>
      <c r="F26" s="1"/>
    </row>
    <row r="27" ht="14.25" customHeight="1">
      <c r="A27" s="52"/>
      <c r="B27" s="53"/>
      <c r="C27" s="53"/>
      <c r="D27" s="1"/>
      <c r="E27" s="1"/>
      <c r="F27" s="1"/>
    </row>
    <row r="28" ht="14.25" customHeight="1">
      <c r="A28" s="52"/>
      <c r="B28" s="53"/>
      <c r="C28" s="53"/>
      <c r="D28" s="1"/>
      <c r="E28" s="1"/>
      <c r="F28" s="1"/>
    </row>
    <row r="29" ht="14.25" customHeight="1">
      <c r="A29" s="52"/>
      <c r="B29" s="53"/>
      <c r="C29" s="53"/>
      <c r="D29" s="1"/>
      <c r="E29" s="1"/>
      <c r="F29" s="1"/>
    </row>
    <row r="30" ht="14.25" customHeight="1">
      <c r="A30" s="52"/>
      <c r="B30" s="53"/>
      <c r="C30" s="53"/>
      <c r="D30" s="1"/>
      <c r="E30" s="1"/>
      <c r="F30" s="1"/>
    </row>
    <row r="31" ht="14.25" customHeight="1">
      <c r="A31" s="52"/>
      <c r="B31" s="53"/>
      <c r="C31" s="53"/>
      <c r="D31" s="1"/>
      <c r="E31" s="1"/>
      <c r="F31" s="1"/>
    </row>
    <row r="32" ht="14.25" customHeight="1">
      <c r="A32" s="52"/>
      <c r="B32" s="53"/>
      <c r="C32" s="53"/>
      <c r="D32" s="1"/>
      <c r="E32" s="1"/>
      <c r="F32" s="1"/>
    </row>
    <row r="33" ht="14.25" customHeight="1">
      <c r="A33" s="52"/>
      <c r="B33" s="53"/>
      <c r="C33" s="53"/>
      <c r="D33" s="1"/>
      <c r="E33" s="1"/>
      <c r="F33" s="1"/>
    </row>
    <row r="34" ht="14.25" customHeight="1">
      <c r="A34" s="52"/>
      <c r="B34" s="53"/>
      <c r="C34" s="53"/>
      <c r="D34" s="1"/>
      <c r="E34" s="1"/>
      <c r="F34" s="1"/>
    </row>
    <row r="35" ht="14.25" customHeight="1">
      <c r="A35" s="52"/>
      <c r="B35" s="53"/>
      <c r="C35" s="53"/>
      <c r="D35" s="1"/>
      <c r="E35" s="1"/>
      <c r="F35" s="1"/>
    </row>
    <row r="36" ht="14.25" customHeight="1">
      <c r="A36" s="52"/>
      <c r="B36" s="53"/>
      <c r="C36" s="53"/>
      <c r="D36" s="1"/>
      <c r="E36" s="1"/>
      <c r="F36" s="1"/>
    </row>
    <row r="37" ht="14.25" customHeight="1">
      <c r="A37" s="52"/>
      <c r="B37" s="53"/>
      <c r="C37" s="53"/>
      <c r="D37" s="1"/>
      <c r="E37" s="1"/>
      <c r="F37" s="1"/>
    </row>
    <row r="38" ht="14.25" customHeight="1">
      <c r="A38" s="52"/>
      <c r="B38" s="53"/>
      <c r="C38" s="53"/>
      <c r="D38" s="1"/>
      <c r="E38" s="1"/>
      <c r="F38" s="1"/>
    </row>
    <row r="39" ht="14.25" customHeight="1">
      <c r="A39" s="52"/>
      <c r="B39" s="53"/>
      <c r="C39" s="53"/>
      <c r="D39" s="1"/>
      <c r="E39" s="1"/>
      <c r="F39" s="1"/>
    </row>
    <row r="40" ht="14.25" customHeight="1">
      <c r="A40" s="52"/>
      <c r="B40" s="53"/>
      <c r="C40" s="53"/>
      <c r="D40" s="1"/>
      <c r="E40" s="1"/>
      <c r="F40" s="1"/>
    </row>
    <row r="41" ht="14.25" customHeight="1">
      <c r="A41" s="52"/>
      <c r="B41" s="53"/>
      <c r="C41" s="53"/>
      <c r="D41" s="1"/>
      <c r="E41" s="1"/>
      <c r="F41" s="1"/>
    </row>
    <row r="42" ht="14.25" customHeight="1">
      <c r="A42" s="52"/>
      <c r="B42" s="53"/>
      <c r="C42" s="53"/>
      <c r="D42" s="1"/>
      <c r="E42" s="1"/>
      <c r="F42" s="1"/>
    </row>
    <row r="43" ht="14.25" customHeight="1">
      <c r="A43" s="52"/>
      <c r="B43" s="53"/>
      <c r="C43" s="53"/>
      <c r="D43" s="1"/>
      <c r="E43" s="1"/>
      <c r="F43" s="1"/>
    </row>
    <row r="44" ht="14.25" customHeight="1">
      <c r="A44" s="52"/>
      <c r="B44" s="53"/>
      <c r="C44" s="53"/>
      <c r="D44" s="1"/>
      <c r="E44" s="1"/>
      <c r="F44" s="1"/>
    </row>
    <row r="45" ht="14.25" customHeight="1">
      <c r="A45" s="52"/>
      <c r="B45" s="53"/>
      <c r="C45" s="53"/>
      <c r="D45" s="1"/>
      <c r="E45" s="1"/>
      <c r="F45" s="1"/>
    </row>
    <row r="46" ht="14.25" customHeight="1">
      <c r="A46" s="52"/>
      <c r="B46" s="53"/>
      <c r="C46" s="53"/>
      <c r="D46" s="1"/>
      <c r="E46" s="1"/>
      <c r="F46" s="1"/>
    </row>
    <row r="47" ht="14.25" customHeight="1">
      <c r="A47" s="52"/>
      <c r="B47" s="53"/>
      <c r="C47" s="53"/>
      <c r="D47" s="1"/>
      <c r="E47" s="1"/>
      <c r="F47" s="1"/>
    </row>
    <row r="48" ht="14.25" customHeight="1">
      <c r="A48" s="52"/>
      <c r="B48" s="53"/>
      <c r="C48" s="53"/>
      <c r="D48" s="1"/>
      <c r="E48" s="1"/>
      <c r="F48" s="1"/>
    </row>
    <row r="49" ht="14.25" customHeight="1">
      <c r="A49" s="52"/>
      <c r="B49" s="53"/>
      <c r="C49" s="53"/>
      <c r="D49" s="1"/>
      <c r="E49" s="1"/>
      <c r="F49" s="1"/>
    </row>
    <row r="50" ht="14.25" customHeight="1">
      <c r="A50" s="52"/>
      <c r="B50" s="53"/>
      <c r="C50" s="53"/>
      <c r="D50" s="1"/>
      <c r="E50" s="1"/>
      <c r="F50" s="1"/>
    </row>
    <row r="51" ht="14.25" customHeight="1">
      <c r="A51" s="52"/>
      <c r="B51" s="53"/>
      <c r="C51" s="53"/>
      <c r="D51" s="1"/>
      <c r="E51" s="1"/>
      <c r="F51" s="1"/>
    </row>
    <row r="52" ht="14.25" customHeight="1">
      <c r="A52" s="52"/>
      <c r="B52" s="53"/>
      <c r="C52" s="53"/>
      <c r="D52" s="1"/>
      <c r="E52" s="1"/>
      <c r="F52" s="1"/>
    </row>
    <row r="53" ht="14.25" customHeight="1">
      <c r="A53" s="52"/>
      <c r="B53" s="53"/>
      <c r="C53" s="53"/>
      <c r="D53" s="1"/>
      <c r="E53" s="1"/>
      <c r="F53" s="1"/>
    </row>
    <row r="54" ht="14.25" customHeight="1">
      <c r="A54" s="52"/>
      <c r="B54" s="53"/>
      <c r="C54" s="53"/>
      <c r="D54" s="1"/>
      <c r="E54" s="1"/>
      <c r="F54" s="1"/>
    </row>
    <row r="55" ht="14.25" customHeight="1">
      <c r="A55" s="52"/>
      <c r="B55" s="53"/>
      <c r="C55" s="53"/>
      <c r="D55" s="1"/>
      <c r="E55" s="1"/>
      <c r="F55" s="1"/>
    </row>
    <row r="56" ht="14.25" customHeight="1">
      <c r="A56" s="52"/>
      <c r="B56" s="53"/>
      <c r="C56" s="53"/>
      <c r="D56" s="1"/>
      <c r="E56" s="1"/>
      <c r="F56" s="1"/>
    </row>
    <row r="57" ht="14.25" customHeight="1">
      <c r="A57" s="52"/>
      <c r="B57" s="53"/>
      <c r="C57" s="53"/>
      <c r="D57" s="1"/>
      <c r="E57" s="1"/>
      <c r="F57" s="1"/>
    </row>
    <row r="58" ht="14.25" customHeight="1">
      <c r="A58" s="52"/>
      <c r="B58" s="53"/>
      <c r="C58" s="53"/>
      <c r="D58" s="1"/>
      <c r="E58" s="1"/>
      <c r="F58" s="1"/>
    </row>
    <row r="59" ht="14.25" customHeight="1">
      <c r="A59" s="52"/>
      <c r="B59" s="53"/>
      <c r="C59" s="53"/>
      <c r="D59" s="1"/>
      <c r="E59" s="1"/>
      <c r="F59" s="1"/>
    </row>
    <row r="60" ht="14.25" customHeight="1">
      <c r="A60" s="52"/>
      <c r="B60" s="53"/>
      <c r="C60" s="53"/>
      <c r="D60" s="1"/>
      <c r="E60" s="1"/>
      <c r="F60" s="1"/>
    </row>
    <row r="61" ht="14.25" customHeight="1">
      <c r="A61" s="52"/>
      <c r="B61" s="53"/>
      <c r="C61" s="53"/>
      <c r="D61" s="1"/>
      <c r="E61" s="1"/>
      <c r="F61" s="1"/>
    </row>
    <row r="62" ht="14.25" customHeight="1">
      <c r="A62" s="52"/>
      <c r="B62" s="53"/>
      <c r="C62" s="53"/>
      <c r="D62" s="1"/>
      <c r="E62" s="1"/>
      <c r="F62" s="1"/>
    </row>
    <row r="63" ht="14.25" customHeight="1">
      <c r="A63" s="52"/>
      <c r="B63" s="53"/>
      <c r="C63" s="53"/>
      <c r="D63" s="1"/>
      <c r="E63" s="1"/>
      <c r="F63" s="1"/>
    </row>
    <row r="64" ht="14.25" customHeight="1">
      <c r="A64" s="52"/>
      <c r="B64" s="53"/>
      <c r="C64" s="53"/>
      <c r="D64" s="1"/>
      <c r="E64" s="1"/>
      <c r="F64" s="1"/>
    </row>
    <row r="65" ht="14.25" customHeight="1">
      <c r="A65" s="52"/>
      <c r="B65" s="53"/>
      <c r="C65" s="53"/>
      <c r="D65" s="1"/>
      <c r="E65" s="1"/>
      <c r="F65" s="1"/>
    </row>
    <row r="66" ht="14.25" customHeight="1">
      <c r="A66" s="52"/>
      <c r="B66" s="53"/>
      <c r="C66" s="53"/>
      <c r="D66" s="1"/>
      <c r="E66" s="1"/>
      <c r="F66" s="1"/>
    </row>
    <row r="67" ht="14.25" customHeight="1">
      <c r="A67" s="52"/>
      <c r="B67" s="53"/>
      <c r="C67" s="53"/>
      <c r="D67" s="1"/>
      <c r="E67" s="1"/>
      <c r="F67" s="1"/>
    </row>
    <row r="68" ht="14.25" customHeight="1">
      <c r="A68" s="52"/>
      <c r="B68" s="53"/>
      <c r="C68" s="53"/>
      <c r="D68" s="1"/>
      <c r="E68" s="1"/>
      <c r="F68" s="1"/>
    </row>
    <row r="69" ht="14.25" customHeight="1">
      <c r="A69" s="52"/>
      <c r="B69" s="53"/>
      <c r="C69" s="53"/>
      <c r="D69" s="1"/>
      <c r="E69" s="1"/>
      <c r="F69" s="1"/>
    </row>
    <row r="70" ht="14.25" customHeight="1">
      <c r="A70" s="52"/>
      <c r="B70" s="53"/>
      <c r="C70" s="53"/>
      <c r="D70" s="1"/>
      <c r="E70" s="1"/>
      <c r="F70" s="1"/>
    </row>
    <row r="71" ht="14.25" customHeight="1">
      <c r="A71" s="52"/>
      <c r="B71" s="53"/>
      <c r="C71" s="53"/>
      <c r="D71" s="1"/>
      <c r="E71" s="1"/>
      <c r="F71" s="1"/>
    </row>
    <row r="72" ht="14.25" customHeight="1">
      <c r="A72" s="52"/>
      <c r="B72" s="53"/>
      <c r="C72" s="53"/>
      <c r="D72" s="1"/>
      <c r="E72" s="1"/>
      <c r="F72" s="1"/>
    </row>
    <row r="73" ht="14.25" customHeight="1">
      <c r="A73" s="52"/>
      <c r="B73" s="53"/>
      <c r="C73" s="53"/>
      <c r="D73" s="1"/>
      <c r="E73" s="1"/>
      <c r="F73" s="1"/>
    </row>
    <row r="74" ht="14.25" customHeight="1">
      <c r="A74" s="52"/>
      <c r="B74" s="53"/>
      <c r="C74" s="53"/>
      <c r="D74" s="1"/>
      <c r="E74" s="1"/>
      <c r="F74" s="1"/>
    </row>
    <row r="75" ht="14.25" customHeight="1">
      <c r="A75" s="52"/>
      <c r="B75" s="53"/>
      <c r="C75" s="53"/>
      <c r="D75" s="1"/>
      <c r="E75" s="1"/>
      <c r="F75" s="1"/>
    </row>
    <row r="76" ht="14.25" customHeight="1">
      <c r="A76" s="52"/>
      <c r="B76" s="53"/>
      <c r="C76" s="53"/>
      <c r="D76" s="1"/>
      <c r="E76" s="1"/>
      <c r="F76" s="1"/>
    </row>
    <row r="77" ht="14.25" customHeight="1">
      <c r="A77" s="52"/>
      <c r="B77" s="53"/>
      <c r="C77" s="53"/>
      <c r="D77" s="1"/>
      <c r="E77" s="1"/>
      <c r="F77" s="1"/>
    </row>
    <row r="78" ht="14.25" customHeight="1">
      <c r="A78" s="52"/>
      <c r="B78" s="53"/>
      <c r="C78" s="53"/>
      <c r="D78" s="1"/>
      <c r="E78" s="1"/>
      <c r="F78" s="1"/>
    </row>
    <row r="79" ht="14.25" customHeight="1">
      <c r="A79" s="52"/>
      <c r="B79" s="53"/>
      <c r="C79" s="53"/>
      <c r="D79" s="1"/>
      <c r="E79" s="1"/>
      <c r="F79" s="1"/>
    </row>
    <row r="80" ht="14.25" customHeight="1">
      <c r="A80" s="52"/>
      <c r="B80" s="53"/>
      <c r="C80" s="53"/>
      <c r="D80" s="1"/>
      <c r="E80" s="1"/>
      <c r="F80" s="1"/>
    </row>
    <row r="81" ht="14.25" customHeight="1">
      <c r="A81" s="52"/>
      <c r="B81" s="53"/>
      <c r="C81" s="53"/>
      <c r="D81" s="1"/>
      <c r="E81" s="1"/>
      <c r="F81" s="1"/>
    </row>
    <row r="82" ht="14.25" customHeight="1">
      <c r="A82" s="52"/>
      <c r="B82" s="53"/>
      <c r="C82" s="53"/>
      <c r="D82" s="1"/>
      <c r="E82" s="1"/>
      <c r="F82" s="1"/>
    </row>
    <row r="83" ht="14.25" customHeight="1">
      <c r="A83" s="52"/>
      <c r="B83" s="53"/>
      <c r="C83" s="53"/>
      <c r="D83" s="1"/>
      <c r="E83" s="1"/>
      <c r="F83" s="1"/>
    </row>
    <row r="84" ht="14.25" customHeight="1">
      <c r="A84" s="52"/>
      <c r="B84" s="53"/>
      <c r="C84" s="53"/>
      <c r="D84" s="1"/>
      <c r="E84" s="1"/>
      <c r="F84" s="1"/>
    </row>
    <row r="85" ht="14.25" customHeight="1">
      <c r="A85" s="52"/>
      <c r="B85" s="53"/>
      <c r="C85" s="53"/>
      <c r="D85" s="1"/>
      <c r="E85" s="1"/>
      <c r="F85" s="1"/>
    </row>
    <row r="86" ht="14.25" customHeight="1">
      <c r="A86" s="52"/>
      <c r="B86" s="53"/>
      <c r="C86" s="53"/>
      <c r="D86" s="1"/>
      <c r="E86" s="1"/>
      <c r="F86" s="1"/>
    </row>
    <row r="87" ht="14.25" customHeight="1">
      <c r="A87" s="52"/>
      <c r="B87" s="53"/>
      <c r="C87" s="53"/>
      <c r="D87" s="1"/>
      <c r="E87" s="1"/>
      <c r="F87" s="1"/>
    </row>
    <row r="88" ht="14.25" customHeight="1">
      <c r="A88" s="52"/>
      <c r="B88" s="53"/>
      <c r="C88" s="53"/>
      <c r="D88" s="1"/>
      <c r="E88" s="1"/>
      <c r="F88" s="1"/>
    </row>
    <row r="89" ht="14.25" customHeight="1">
      <c r="A89" s="52"/>
      <c r="B89" s="53"/>
      <c r="C89" s="53"/>
      <c r="D89" s="1"/>
      <c r="E89" s="1"/>
      <c r="F89" s="1"/>
    </row>
    <row r="90" ht="14.25" customHeight="1">
      <c r="A90" s="52"/>
      <c r="B90" s="53"/>
      <c r="C90" s="53"/>
      <c r="D90" s="1"/>
      <c r="E90" s="1"/>
      <c r="F90" s="1"/>
    </row>
    <row r="91" ht="14.25" customHeight="1">
      <c r="A91" s="52"/>
      <c r="B91" s="53"/>
      <c r="C91" s="53"/>
      <c r="D91" s="1"/>
      <c r="E91" s="1"/>
      <c r="F91" s="1"/>
    </row>
    <row r="92" ht="14.25" customHeight="1">
      <c r="A92" s="52"/>
      <c r="B92" s="53"/>
      <c r="C92" s="53"/>
      <c r="D92" s="1"/>
      <c r="E92" s="1"/>
      <c r="F92" s="1"/>
    </row>
    <row r="93" ht="14.25" customHeight="1">
      <c r="A93" s="52"/>
      <c r="B93" s="53"/>
      <c r="C93" s="53"/>
      <c r="D93" s="1"/>
      <c r="E93" s="1"/>
      <c r="F93" s="1"/>
    </row>
    <row r="94" ht="14.25" customHeight="1">
      <c r="A94" s="52"/>
      <c r="B94" s="53"/>
      <c r="C94" s="53"/>
      <c r="D94" s="1"/>
      <c r="E94" s="1"/>
      <c r="F94" s="1"/>
    </row>
    <row r="95" ht="14.25" customHeight="1">
      <c r="A95" s="52"/>
      <c r="B95" s="53"/>
      <c r="C95" s="53"/>
      <c r="D95" s="1"/>
      <c r="E95" s="1"/>
      <c r="F95" s="1"/>
    </row>
    <row r="96" ht="14.25" customHeight="1">
      <c r="A96" s="52"/>
      <c r="B96" s="53"/>
      <c r="C96" s="53"/>
      <c r="D96" s="1"/>
      <c r="E96" s="1"/>
      <c r="F96" s="1"/>
    </row>
    <row r="97" ht="14.25" customHeight="1">
      <c r="A97" s="52"/>
      <c r="B97" s="53"/>
      <c r="C97" s="53"/>
      <c r="D97" s="1"/>
      <c r="E97" s="1"/>
      <c r="F97" s="1"/>
    </row>
    <row r="98" ht="14.25" customHeight="1">
      <c r="A98" s="52"/>
      <c r="B98" s="53"/>
      <c r="C98" s="53"/>
      <c r="D98" s="1"/>
      <c r="E98" s="1"/>
      <c r="F98" s="1"/>
    </row>
    <row r="99" ht="14.25" customHeight="1">
      <c r="A99" s="52"/>
      <c r="B99" s="53"/>
      <c r="C99" s="53"/>
      <c r="D99" s="1"/>
      <c r="E99" s="1"/>
      <c r="F99" s="1"/>
    </row>
    <row r="100" ht="14.25" customHeight="1">
      <c r="A100" s="52"/>
      <c r="B100" s="53"/>
      <c r="C100" s="53"/>
      <c r="D100" s="1"/>
      <c r="E100" s="1"/>
      <c r="F100" s="1"/>
    </row>
    <row r="101" ht="14.25" customHeight="1">
      <c r="A101" s="52"/>
      <c r="B101" s="53"/>
      <c r="C101" s="53"/>
      <c r="D101" s="1"/>
      <c r="E101" s="1"/>
      <c r="F101" s="1"/>
    </row>
    <row r="102" ht="14.25" customHeight="1">
      <c r="A102" s="52"/>
      <c r="B102" s="53"/>
      <c r="C102" s="53"/>
      <c r="D102" s="1"/>
      <c r="E102" s="1"/>
      <c r="F102" s="1"/>
    </row>
    <row r="103" ht="14.25" customHeight="1">
      <c r="A103" s="52"/>
      <c r="B103" s="53"/>
      <c r="C103" s="53"/>
      <c r="D103" s="1"/>
      <c r="E103" s="1"/>
      <c r="F103" s="1"/>
    </row>
    <row r="104" ht="14.25" customHeight="1">
      <c r="A104" s="52"/>
      <c r="B104" s="53"/>
      <c r="C104" s="53"/>
      <c r="D104" s="1"/>
      <c r="E104" s="1"/>
      <c r="F104" s="1"/>
    </row>
    <row r="105" ht="14.25" customHeight="1">
      <c r="A105" s="52"/>
      <c r="B105" s="53"/>
      <c r="C105" s="53"/>
      <c r="D105" s="1"/>
      <c r="E105" s="1"/>
      <c r="F105" s="1"/>
    </row>
    <row r="106" ht="14.25" customHeight="1">
      <c r="A106" s="52"/>
      <c r="B106" s="53"/>
      <c r="C106" s="53"/>
      <c r="D106" s="1"/>
      <c r="E106" s="1"/>
      <c r="F106" s="1"/>
    </row>
    <row r="107" ht="14.25" customHeight="1">
      <c r="A107" s="52"/>
      <c r="B107" s="53"/>
      <c r="C107" s="53"/>
      <c r="D107" s="1"/>
      <c r="E107" s="1"/>
      <c r="F107" s="1"/>
    </row>
    <row r="108" ht="14.25" customHeight="1">
      <c r="A108" s="52"/>
      <c r="B108" s="53"/>
      <c r="C108" s="53"/>
      <c r="D108" s="1"/>
      <c r="E108" s="1"/>
      <c r="F108" s="1"/>
    </row>
    <row r="109" ht="14.25" customHeight="1">
      <c r="A109" s="52"/>
      <c r="B109" s="53"/>
      <c r="C109" s="53"/>
      <c r="D109" s="1"/>
      <c r="E109" s="1"/>
      <c r="F109" s="1"/>
    </row>
    <row r="110" ht="14.25" customHeight="1">
      <c r="A110" s="52"/>
      <c r="B110" s="53"/>
      <c r="C110" s="53"/>
      <c r="D110" s="1"/>
      <c r="E110" s="1"/>
      <c r="F110" s="1"/>
    </row>
    <row r="111" ht="14.25" customHeight="1">
      <c r="A111" s="52"/>
      <c r="B111" s="53"/>
      <c r="C111" s="53"/>
      <c r="D111" s="1"/>
      <c r="E111" s="1"/>
      <c r="F111" s="1"/>
    </row>
    <row r="112" ht="14.25" customHeight="1">
      <c r="A112" s="52"/>
      <c r="B112" s="53"/>
      <c r="C112" s="53"/>
      <c r="D112" s="1"/>
      <c r="E112" s="1"/>
      <c r="F112" s="1"/>
    </row>
    <row r="113" ht="14.25" customHeight="1">
      <c r="A113" s="52"/>
      <c r="B113" s="53"/>
      <c r="C113" s="53"/>
      <c r="D113" s="1"/>
      <c r="E113" s="1"/>
      <c r="F113" s="1"/>
    </row>
    <row r="114" ht="14.25" customHeight="1">
      <c r="A114" s="52"/>
      <c r="B114" s="53"/>
      <c r="C114" s="53"/>
      <c r="D114" s="1"/>
      <c r="E114" s="1"/>
      <c r="F114" s="1"/>
    </row>
    <row r="115" ht="14.25" customHeight="1">
      <c r="A115" s="52"/>
      <c r="B115" s="53"/>
      <c r="C115" s="53"/>
      <c r="D115" s="1"/>
      <c r="E115" s="1"/>
      <c r="F115" s="1"/>
    </row>
    <row r="116" ht="14.25" customHeight="1">
      <c r="A116" s="52"/>
      <c r="B116" s="53"/>
      <c r="C116" s="53"/>
      <c r="D116" s="1"/>
      <c r="E116" s="1"/>
      <c r="F116" s="1"/>
    </row>
    <row r="117" ht="14.25" customHeight="1">
      <c r="A117" s="52"/>
      <c r="B117" s="53"/>
      <c r="C117" s="53"/>
      <c r="D117" s="1"/>
      <c r="E117" s="1"/>
      <c r="F117" s="1"/>
    </row>
    <row r="118" ht="14.25" customHeight="1">
      <c r="A118" s="52"/>
      <c r="B118" s="53"/>
      <c r="C118" s="53"/>
      <c r="D118" s="1"/>
      <c r="E118" s="1"/>
      <c r="F118" s="1"/>
    </row>
    <row r="119" ht="14.25" customHeight="1">
      <c r="A119" s="52"/>
      <c r="B119" s="53"/>
      <c r="C119" s="53"/>
      <c r="D119" s="1"/>
      <c r="E119" s="1"/>
      <c r="F119" s="1"/>
    </row>
    <row r="120" ht="14.25" customHeight="1">
      <c r="A120" s="52"/>
      <c r="B120" s="53"/>
      <c r="C120" s="53"/>
      <c r="D120" s="1"/>
      <c r="E120" s="1"/>
      <c r="F120" s="1"/>
    </row>
    <row r="121" ht="14.25" customHeight="1">
      <c r="A121" s="52"/>
      <c r="B121" s="53"/>
      <c r="C121" s="53"/>
      <c r="D121" s="1"/>
      <c r="E121" s="1"/>
      <c r="F121" s="1"/>
    </row>
    <row r="122" ht="14.25" customHeight="1">
      <c r="A122" s="52"/>
      <c r="B122" s="53"/>
      <c r="C122" s="53"/>
      <c r="D122" s="1"/>
      <c r="E122" s="1"/>
      <c r="F122" s="1"/>
    </row>
    <row r="123" ht="14.25" customHeight="1">
      <c r="A123" s="52"/>
      <c r="B123" s="53"/>
      <c r="C123" s="53"/>
      <c r="D123" s="1"/>
      <c r="E123" s="1"/>
      <c r="F123" s="1"/>
    </row>
    <row r="124" ht="14.25" customHeight="1">
      <c r="A124" s="52"/>
      <c r="B124" s="53"/>
      <c r="C124" s="53"/>
      <c r="D124" s="1"/>
      <c r="E124" s="1"/>
      <c r="F124" s="1"/>
    </row>
    <row r="125" ht="14.25" customHeight="1">
      <c r="A125" s="52"/>
      <c r="B125" s="53"/>
      <c r="C125" s="53"/>
      <c r="D125" s="1"/>
      <c r="E125" s="1"/>
      <c r="F125" s="1"/>
    </row>
    <row r="126" ht="14.25" customHeight="1">
      <c r="A126" s="52"/>
      <c r="B126" s="53"/>
      <c r="C126" s="53"/>
      <c r="D126" s="1"/>
      <c r="E126" s="1"/>
      <c r="F126" s="1"/>
    </row>
    <row r="127" ht="14.25" customHeight="1">
      <c r="A127" s="52"/>
      <c r="B127" s="53"/>
      <c r="C127" s="53"/>
      <c r="D127" s="1"/>
      <c r="E127" s="1"/>
      <c r="F127" s="1"/>
    </row>
    <row r="128" ht="14.25" customHeight="1">
      <c r="A128" s="52"/>
      <c r="B128" s="53"/>
      <c r="C128" s="53"/>
      <c r="D128" s="1"/>
      <c r="E128" s="1"/>
      <c r="F128" s="1"/>
    </row>
    <row r="129" ht="14.25" customHeight="1">
      <c r="A129" s="52"/>
      <c r="B129" s="53"/>
      <c r="C129" s="53"/>
      <c r="D129" s="1"/>
      <c r="E129" s="1"/>
      <c r="F129" s="1"/>
    </row>
    <row r="130" ht="14.25" customHeight="1">
      <c r="A130" s="52"/>
      <c r="B130" s="53"/>
      <c r="C130" s="53"/>
      <c r="D130" s="1"/>
      <c r="E130" s="1"/>
      <c r="F130" s="1"/>
    </row>
    <row r="131" ht="14.25" customHeight="1">
      <c r="A131" s="52"/>
      <c r="B131" s="53"/>
      <c r="C131" s="53"/>
      <c r="D131" s="1"/>
      <c r="E131" s="1"/>
      <c r="F131" s="1"/>
    </row>
    <row r="132" ht="14.25" customHeight="1">
      <c r="A132" s="52"/>
      <c r="B132" s="53"/>
      <c r="C132" s="53"/>
      <c r="D132" s="1"/>
      <c r="E132" s="1"/>
      <c r="F132" s="1"/>
    </row>
    <row r="133" ht="14.25" customHeight="1">
      <c r="A133" s="52"/>
      <c r="B133" s="53"/>
      <c r="C133" s="53"/>
      <c r="D133" s="1"/>
      <c r="E133" s="1"/>
      <c r="F133" s="1"/>
    </row>
    <row r="134" ht="14.25" customHeight="1">
      <c r="A134" s="52"/>
      <c r="B134" s="53"/>
      <c r="C134" s="53"/>
      <c r="D134" s="1"/>
      <c r="E134" s="1"/>
      <c r="F134" s="1"/>
    </row>
    <row r="135" ht="14.25" customHeight="1">
      <c r="A135" s="52"/>
      <c r="B135" s="53"/>
      <c r="C135" s="53"/>
      <c r="D135" s="1"/>
      <c r="E135" s="1"/>
      <c r="F135" s="1"/>
    </row>
    <row r="136" ht="14.25" customHeight="1">
      <c r="A136" s="52"/>
      <c r="B136" s="53"/>
      <c r="C136" s="53"/>
      <c r="D136" s="1"/>
      <c r="E136" s="1"/>
      <c r="F136" s="1"/>
    </row>
    <row r="137" ht="14.25" customHeight="1">
      <c r="A137" s="52"/>
      <c r="B137" s="53"/>
      <c r="C137" s="53"/>
      <c r="D137" s="1"/>
      <c r="E137" s="1"/>
      <c r="F137" s="1"/>
    </row>
    <row r="138" ht="14.25" customHeight="1">
      <c r="A138" s="52"/>
      <c r="B138" s="53"/>
      <c r="C138" s="53"/>
      <c r="D138" s="1"/>
      <c r="E138" s="1"/>
      <c r="F138" s="1"/>
    </row>
    <row r="139" ht="14.25" customHeight="1">
      <c r="A139" s="52"/>
      <c r="B139" s="53"/>
      <c r="C139" s="53"/>
      <c r="D139" s="1"/>
      <c r="E139" s="1"/>
      <c r="F139" s="1"/>
    </row>
    <row r="140" ht="14.25" customHeight="1">
      <c r="A140" s="52"/>
      <c r="B140" s="53"/>
      <c r="C140" s="53"/>
      <c r="D140" s="1"/>
      <c r="E140" s="1"/>
      <c r="F140" s="1"/>
    </row>
    <row r="141" ht="14.25" customHeight="1">
      <c r="A141" s="52"/>
      <c r="B141" s="53"/>
      <c r="C141" s="53"/>
      <c r="D141" s="1"/>
      <c r="E141" s="1"/>
      <c r="F141" s="1"/>
    </row>
    <row r="142" ht="14.25" customHeight="1">
      <c r="A142" s="52"/>
      <c r="B142" s="53"/>
      <c r="C142" s="53"/>
      <c r="D142" s="1"/>
      <c r="E142" s="1"/>
      <c r="F142" s="1"/>
    </row>
    <row r="143" ht="14.25" customHeight="1">
      <c r="A143" s="52"/>
      <c r="B143" s="53"/>
      <c r="C143" s="53"/>
      <c r="D143" s="1"/>
      <c r="E143" s="1"/>
      <c r="F143" s="1"/>
    </row>
    <row r="144" ht="14.25" customHeight="1">
      <c r="A144" s="52"/>
      <c r="B144" s="53"/>
      <c r="C144" s="53"/>
      <c r="D144" s="1"/>
      <c r="E144" s="1"/>
      <c r="F144" s="1"/>
    </row>
    <row r="145" ht="14.25" customHeight="1">
      <c r="A145" s="52"/>
      <c r="B145" s="53"/>
      <c r="C145" s="53"/>
      <c r="D145" s="1"/>
      <c r="E145" s="1"/>
      <c r="F145" s="1"/>
    </row>
    <row r="146" ht="14.25" customHeight="1">
      <c r="A146" s="52"/>
      <c r="B146" s="53"/>
      <c r="C146" s="53"/>
      <c r="D146" s="1"/>
      <c r="E146" s="1"/>
      <c r="F146" s="1"/>
    </row>
    <row r="147" ht="14.25" customHeight="1">
      <c r="A147" s="52"/>
      <c r="B147" s="53"/>
      <c r="C147" s="53"/>
      <c r="D147" s="1"/>
      <c r="E147" s="1"/>
      <c r="F147" s="1"/>
    </row>
    <row r="148" ht="14.25" customHeight="1">
      <c r="A148" s="52"/>
      <c r="B148" s="53"/>
      <c r="C148" s="53"/>
      <c r="D148" s="1"/>
      <c r="E148" s="1"/>
      <c r="F148" s="1"/>
    </row>
    <row r="149" ht="14.25" customHeight="1">
      <c r="A149" s="52"/>
      <c r="B149" s="53"/>
      <c r="C149" s="53"/>
      <c r="D149" s="1"/>
      <c r="E149" s="1"/>
      <c r="F149" s="1"/>
    </row>
    <row r="150" ht="14.25" customHeight="1">
      <c r="A150" s="52"/>
      <c r="B150" s="53"/>
      <c r="C150" s="53"/>
      <c r="D150" s="1"/>
      <c r="E150" s="1"/>
      <c r="F150" s="1"/>
    </row>
    <row r="151" ht="14.25" customHeight="1">
      <c r="A151" s="52"/>
      <c r="B151" s="53"/>
      <c r="C151" s="53"/>
      <c r="D151" s="1"/>
      <c r="E151" s="1"/>
      <c r="F151" s="1"/>
    </row>
    <row r="152" ht="14.25" customHeight="1">
      <c r="A152" s="52"/>
      <c r="B152" s="53"/>
      <c r="C152" s="53"/>
      <c r="D152" s="1"/>
      <c r="E152" s="1"/>
      <c r="F152" s="1"/>
    </row>
    <row r="153" ht="14.25" customHeight="1">
      <c r="A153" s="52"/>
      <c r="B153" s="53"/>
      <c r="C153" s="53"/>
      <c r="D153" s="1"/>
      <c r="E153" s="1"/>
      <c r="F153" s="1"/>
    </row>
    <row r="154" ht="14.25" customHeight="1">
      <c r="A154" s="52"/>
      <c r="B154" s="53"/>
      <c r="C154" s="53"/>
      <c r="D154" s="1"/>
      <c r="E154" s="1"/>
      <c r="F154" s="1"/>
    </row>
    <row r="155" ht="14.25" customHeight="1">
      <c r="A155" s="52"/>
      <c r="B155" s="53"/>
      <c r="C155" s="53"/>
      <c r="D155" s="1"/>
      <c r="E155" s="1"/>
      <c r="F155" s="1"/>
    </row>
    <row r="156" ht="14.25" customHeight="1">
      <c r="A156" s="52"/>
      <c r="B156" s="53"/>
      <c r="C156" s="53"/>
      <c r="D156" s="1"/>
      <c r="E156" s="1"/>
      <c r="F156" s="1"/>
    </row>
    <row r="157" ht="14.25" customHeight="1">
      <c r="A157" s="52"/>
      <c r="B157" s="53"/>
      <c r="C157" s="53"/>
      <c r="D157" s="1"/>
      <c r="E157" s="1"/>
      <c r="F157" s="1"/>
    </row>
    <row r="158" ht="14.25" customHeight="1">
      <c r="A158" s="52"/>
      <c r="B158" s="53"/>
      <c r="C158" s="53"/>
      <c r="D158" s="1"/>
      <c r="E158" s="1"/>
      <c r="F158" s="1"/>
    </row>
    <row r="159" ht="14.25" customHeight="1">
      <c r="A159" s="52"/>
      <c r="B159" s="53"/>
      <c r="C159" s="53"/>
      <c r="D159" s="1"/>
      <c r="E159" s="1"/>
      <c r="F159" s="1"/>
    </row>
    <row r="160" ht="14.25" customHeight="1">
      <c r="A160" s="52"/>
      <c r="B160" s="53"/>
      <c r="C160" s="53"/>
      <c r="D160" s="1"/>
      <c r="E160" s="1"/>
      <c r="F160" s="1"/>
    </row>
    <row r="161" ht="14.25" customHeight="1">
      <c r="A161" s="52"/>
      <c r="B161" s="53"/>
      <c r="C161" s="53"/>
      <c r="D161" s="1"/>
      <c r="E161" s="1"/>
      <c r="F161" s="1"/>
    </row>
    <row r="162" ht="14.25" customHeight="1">
      <c r="A162" s="52"/>
      <c r="B162" s="53"/>
      <c r="C162" s="53"/>
      <c r="D162" s="1"/>
      <c r="E162" s="1"/>
      <c r="F162" s="1"/>
    </row>
    <row r="163" ht="14.25" customHeight="1">
      <c r="A163" s="52"/>
      <c r="B163" s="53"/>
      <c r="C163" s="53"/>
      <c r="D163" s="1"/>
      <c r="E163" s="1"/>
      <c r="F163" s="1"/>
    </row>
    <row r="164" ht="14.25" customHeight="1">
      <c r="A164" s="52"/>
      <c r="B164" s="53"/>
      <c r="C164" s="53"/>
      <c r="D164" s="1"/>
      <c r="E164" s="1"/>
      <c r="F164" s="1"/>
    </row>
    <row r="165" ht="14.25" customHeight="1">
      <c r="A165" s="52"/>
      <c r="B165" s="53"/>
      <c r="C165" s="53"/>
      <c r="D165" s="1"/>
      <c r="E165" s="1"/>
      <c r="F165" s="1"/>
    </row>
    <row r="166" ht="14.25" customHeight="1">
      <c r="A166" s="52"/>
      <c r="B166" s="53"/>
      <c r="C166" s="53"/>
      <c r="D166" s="1"/>
      <c r="E166" s="1"/>
      <c r="F166" s="1"/>
    </row>
    <row r="167" ht="14.25" customHeight="1">
      <c r="A167" s="52"/>
      <c r="B167" s="53"/>
      <c r="C167" s="53"/>
      <c r="D167" s="1"/>
      <c r="E167" s="1"/>
      <c r="F167" s="1"/>
    </row>
    <row r="168" ht="14.25" customHeight="1">
      <c r="A168" s="52"/>
      <c r="B168" s="53"/>
      <c r="C168" s="53"/>
      <c r="D168" s="1"/>
      <c r="E168" s="1"/>
      <c r="F168" s="1"/>
    </row>
    <row r="169" ht="14.25" customHeight="1">
      <c r="A169" s="52"/>
      <c r="B169" s="53"/>
      <c r="C169" s="53"/>
      <c r="D169" s="1"/>
      <c r="E169" s="1"/>
      <c r="F169" s="1"/>
    </row>
    <row r="170" ht="14.25" customHeight="1">
      <c r="A170" s="52"/>
      <c r="B170" s="53"/>
      <c r="C170" s="53"/>
      <c r="D170" s="1"/>
      <c r="E170" s="1"/>
      <c r="F170" s="1"/>
    </row>
    <row r="171" ht="14.25" customHeight="1">
      <c r="A171" s="52"/>
      <c r="B171" s="53"/>
      <c r="C171" s="53"/>
      <c r="D171" s="1"/>
      <c r="E171" s="1"/>
      <c r="F171" s="1"/>
    </row>
    <row r="172" ht="14.25" customHeight="1">
      <c r="A172" s="52"/>
      <c r="B172" s="53"/>
      <c r="C172" s="53"/>
      <c r="D172" s="1"/>
      <c r="E172" s="1"/>
      <c r="F172" s="1"/>
    </row>
    <row r="173" ht="14.25" customHeight="1">
      <c r="A173" s="52"/>
      <c r="B173" s="53"/>
      <c r="C173" s="53"/>
      <c r="D173" s="1"/>
      <c r="E173" s="1"/>
      <c r="F173" s="1"/>
    </row>
    <row r="174" ht="14.25" customHeight="1">
      <c r="A174" s="52"/>
      <c r="B174" s="53"/>
      <c r="C174" s="53"/>
      <c r="D174" s="1"/>
      <c r="E174" s="1"/>
      <c r="F174" s="1"/>
    </row>
    <row r="175" ht="14.25" customHeight="1">
      <c r="A175" s="52"/>
      <c r="B175" s="53"/>
      <c r="C175" s="53"/>
      <c r="D175" s="1"/>
      <c r="E175" s="1"/>
      <c r="F175" s="1"/>
    </row>
    <row r="176" ht="14.25" customHeight="1">
      <c r="A176" s="52"/>
      <c r="B176" s="53"/>
      <c r="C176" s="53"/>
      <c r="D176" s="1"/>
      <c r="E176" s="1"/>
      <c r="F176" s="1"/>
    </row>
    <row r="177" ht="14.25" customHeight="1">
      <c r="A177" s="52"/>
      <c r="B177" s="53"/>
      <c r="C177" s="53"/>
      <c r="D177" s="1"/>
      <c r="E177" s="1"/>
      <c r="F177" s="1"/>
    </row>
    <row r="178" ht="14.25" customHeight="1">
      <c r="A178" s="52"/>
      <c r="B178" s="53"/>
      <c r="C178" s="53"/>
      <c r="D178" s="1"/>
      <c r="E178" s="1"/>
      <c r="F178" s="1"/>
    </row>
    <row r="179" ht="14.25" customHeight="1">
      <c r="A179" s="52"/>
      <c r="B179" s="53"/>
      <c r="C179" s="53"/>
      <c r="D179" s="1"/>
      <c r="E179" s="1"/>
      <c r="F179" s="1"/>
    </row>
    <row r="180" ht="14.25" customHeight="1">
      <c r="A180" s="52"/>
      <c r="B180" s="53"/>
      <c r="C180" s="53"/>
      <c r="D180" s="1"/>
      <c r="E180" s="1"/>
      <c r="F180" s="1"/>
    </row>
    <row r="181" ht="14.25" customHeight="1">
      <c r="A181" s="52"/>
      <c r="B181" s="53"/>
      <c r="C181" s="53"/>
      <c r="D181" s="1"/>
      <c r="E181" s="1"/>
      <c r="F181" s="1"/>
    </row>
    <row r="182" ht="14.25" customHeight="1">
      <c r="A182" s="52"/>
      <c r="B182" s="53"/>
      <c r="C182" s="53"/>
      <c r="D182" s="1"/>
      <c r="E182" s="1"/>
      <c r="F182" s="1"/>
    </row>
    <row r="183" ht="14.25" customHeight="1">
      <c r="A183" s="52"/>
      <c r="B183" s="53"/>
      <c r="C183" s="53"/>
      <c r="D183" s="1"/>
      <c r="E183" s="1"/>
      <c r="F183" s="1"/>
    </row>
    <row r="184" ht="14.25" customHeight="1">
      <c r="A184" s="52"/>
      <c r="B184" s="53"/>
      <c r="C184" s="53"/>
      <c r="D184" s="1"/>
      <c r="E184" s="1"/>
      <c r="F184" s="1"/>
    </row>
    <row r="185" ht="14.25" customHeight="1">
      <c r="A185" s="52"/>
      <c r="B185" s="53"/>
      <c r="C185" s="53"/>
      <c r="D185" s="1"/>
      <c r="E185" s="1"/>
      <c r="F185" s="1"/>
    </row>
    <row r="186" ht="14.25" customHeight="1">
      <c r="A186" s="52"/>
      <c r="B186" s="53"/>
      <c r="C186" s="53"/>
      <c r="D186" s="1"/>
      <c r="E186" s="1"/>
      <c r="F186" s="1"/>
    </row>
    <row r="187" ht="14.25" customHeight="1">
      <c r="A187" s="52"/>
      <c r="B187" s="53"/>
      <c r="C187" s="53"/>
      <c r="D187" s="1"/>
      <c r="E187" s="1"/>
      <c r="F187" s="1"/>
    </row>
    <row r="188" ht="14.25" customHeight="1">
      <c r="A188" s="52"/>
      <c r="B188" s="53"/>
      <c r="C188" s="53"/>
      <c r="D188" s="1"/>
      <c r="E188" s="1"/>
      <c r="F188" s="1"/>
    </row>
    <row r="189" ht="14.25" customHeight="1">
      <c r="A189" s="52"/>
      <c r="B189" s="53"/>
      <c r="C189" s="53"/>
      <c r="D189" s="1"/>
      <c r="E189" s="1"/>
      <c r="F189" s="1"/>
    </row>
    <row r="190" ht="14.25" customHeight="1">
      <c r="A190" s="52"/>
      <c r="B190" s="53"/>
      <c r="C190" s="53"/>
      <c r="D190" s="1"/>
      <c r="E190" s="1"/>
      <c r="F190" s="1"/>
    </row>
    <row r="191" ht="14.25" customHeight="1">
      <c r="A191" s="52"/>
      <c r="B191" s="53"/>
      <c r="C191" s="53"/>
      <c r="D191" s="1"/>
      <c r="E191" s="1"/>
      <c r="F191" s="1"/>
    </row>
    <row r="192" ht="14.25" customHeight="1">
      <c r="A192" s="52"/>
      <c r="B192" s="53"/>
      <c r="C192" s="53"/>
      <c r="D192" s="1"/>
      <c r="E192" s="1"/>
      <c r="F192" s="1"/>
    </row>
    <row r="193" ht="14.25" customHeight="1">
      <c r="A193" s="52"/>
      <c r="B193" s="53"/>
      <c r="C193" s="53"/>
      <c r="D193" s="1"/>
      <c r="E193" s="1"/>
      <c r="F193" s="1"/>
    </row>
    <row r="194" ht="14.25" customHeight="1">
      <c r="A194" s="52"/>
      <c r="B194" s="53"/>
      <c r="C194" s="53"/>
      <c r="D194" s="1"/>
      <c r="E194" s="1"/>
      <c r="F194" s="1"/>
    </row>
    <row r="195" ht="14.25" customHeight="1">
      <c r="A195" s="52"/>
      <c r="B195" s="53"/>
      <c r="C195" s="53"/>
      <c r="D195" s="1"/>
      <c r="E195" s="1"/>
      <c r="F195" s="1"/>
    </row>
    <row r="196" ht="14.25" customHeight="1">
      <c r="A196" s="52"/>
      <c r="B196" s="53"/>
      <c r="C196" s="53"/>
      <c r="D196" s="1"/>
      <c r="E196" s="1"/>
      <c r="F196" s="1"/>
    </row>
    <row r="197" ht="14.25" customHeight="1">
      <c r="A197" s="52"/>
      <c r="B197" s="53"/>
      <c r="C197" s="53"/>
      <c r="D197" s="1"/>
      <c r="E197" s="1"/>
      <c r="F197" s="1"/>
    </row>
    <row r="198" ht="14.25" customHeight="1">
      <c r="A198" s="52"/>
      <c r="B198" s="53"/>
      <c r="C198" s="53"/>
      <c r="D198" s="1"/>
      <c r="E198" s="1"/>
      <c r="F198" s="1"/>
    </row>
    <row r="199" ht="14.25" customHeight="1">
      <c r="A199" s="52"/>
      <c r="B199" s="53"/>
      <c r="C199" s="53"/>
      <c r="D199" s="1"/>
      <c r="E199" s="1"/>
      <c r="F199" s="1"/>
    </row>
    <row r="200" ht="14.25" customHeight="1">
      <c r="A200" s="52"/>
      <c r="B200" s="53"/>
      <c r="C200" s="53"/>
      <c r="D200" s="1"/>
      <c r="E200" s="1"/>
      <c r="F200" s="1"/>
    </row>
    <row r="201" ht="14.25" customHeight="1">
      <c r="A201" s="52"/>
      <c r="B201" s="53"/>
      <c r="C201" s="53"/>
      <c r="D201" s="1"/>
      <c r="E201" s="1"/>
      <c r="F201" s="1"/>
    </row>
    <row r="202" ht="14.25" customHeight="1">
      <c r="A202" s="52"/>
      <c r="B202" s="53"/>
      <c r="C202" s="53"/>
      <c r="D202" s="1"/>
      <c r="E202" s="1"/>
      <c r="F202" s="1"/>
    </row>
    <row r="203" ht="14.25" customHeight="1">
      <c r="A203" s="52"/>
      <c r="B203" s="53"/>
      <c r="C203" s="53"/>
      <c r="D203" s="1"/>
      <c r="E203" s="1"/>
      <c r="F203" s="1"/>
    </row>
    <row r="204" ht="14.25" customHeight="1">
      <c r="A204" s="52"/>
      <c r="B204" s="53"/>
      <c r="C204" s="53"/>
      <c r="D204" s="1"/>
      <c r="E204" s="1"/>
      <c r="F204" s="1"/>
    </row>
    <row r="205" ht="14.25" customHeight="1">
      <c r="A205" s="52"/>
      <c r="B205" s="53"/>
      <c r="C205" s="53"/>
      <c r="D205" s="1"/>
      <c r="E205" s="1"/>
      <c r="F205" s="1"/>
    </row>
    <row r="206" ht="14.25" customHeight="1">
      <c r="A206" s="52"/>
      <c r="B206" s="53"/>
      <c r="C206" s="53"/>
      <c r="D206" s="1"/>
      <c r="E206" s="1"/>
      <c r="F206" s="1"/>
    </row>
    <row r="207" ht="14.25" customHeight="1">
      <c r="A207" s="52"/>
      <c r="B207" s="53"/>
      <c r="C207" s="53"/>
      <c r="D207" s="1"/>
      <c r="E207" s="1"/>
      <c r="F207" s="1"/>
    </row>
    <row r="208" ht="14.25" customHeight="1">
      <c r="A208" s="52"/>
      <c r="B208" s="53"/>
      <c r="C208" s="53"/>
      <c r="D208" s="1"/>
      <c r="E208" s="1"/>
      <c r="F208" s="1"/>
    </row>
    <row r="209" ht="14.25" customHeight="1">
      <c r="A209" s="52"/>
      <c r="B209" s="53"/>
      <c r="C209" s="53"/>
      <c r="D209" s="1"/>
      <c r="E209" s="1"/>
      <c r="F209" s="1"/>
    </row>
    <row r="210" ht="14.25" customHeight="1">
      <c r="A210" s="52"/>
      <c r="B210" s="53"/>
      <c r="C210" s="53"/>
      <c r="D210" s="1"/>
      <c r="E210" s="1"/>
      <c r="F210" s="1"/>
    </row>
    <row r="211" ht="14.25" customHeight="1">
      <c r="A211" s="52"/>
      <c r="B211" s="53"/>
      <c r="C211" s="53"/>
      <c r="D211" s="1"/>
      <c r="E211" s="1"/>
      <c r="F211" s="1"/>
    </row>
    <row r="212" ht="14.25" customHeight="1">
      <c r="A212" s="52"/>
      <c r="B212" s="53"/>
      <c r="C212" s="53"/>
      <c r="D212" s="1"/>
      <c r="E212" s="1"/>
      <c r="F212" s="1"/>
    </row>
    <row r="213" ht="14.25" customHeight="1">
      <c r="A213" s="52"/>
      <c r="B213" s="53"/>
      <c r="C213" s="53"/>
      <c r="D213" s="1"/>
      <c r="E213" s="1"/>
      <c r="F213" s="1"/>
    </row>
    <row r="214" ht="14.25" customHeight="1">
      <c r="A214" s="52"/>
      <c r="B214" s="53"/>
      <c r="C214" s="53"/>
      <c r="D214" s="1"/>
      <c r="E214" s="1"/>
      <c r="F214" s="1"/>
    </row>
    <row r="215" ht="14.25" customHeight="1">
      <c r="A215" s="52"/>
      <c r="B215" s="53"/>
      <c r="C215" s="53"/>
      <c r="D215" s="1"/>
      <c r="E215" s="1"/>
      <c r="F215" s="1"/>
    </row>
    <row r="216" ht="14.25" customHeight="1">
      <c r="A216" s="52"/>
      <c r="B216" s="53"/>
      <c r="C216" s="53"/>
      <c r="D216" s="1"/>
      <c r="E216" s="1"/>
      <c r="F216" s="1"/>
    </row>
    <row r="217" ht="14.25" customHeight="1">
      <c r="A217" s="52"/>
      <c r="B217" s="53"/>
      <c r="C217" s="53"/>
      <c r="D217" s="1"/>
      <c r="E217" s="1"/>
      <c r="F217" s="1"/>
    </row>
    <row r="218" ht="14.25" customHeight="1">
      <c r="A218" s="52"/>
      <c r="B218" s="53"/>
      <c r="C218" s="53"/>
      <c r="D218" s="1"/>
      <c r="E218" s="1"/>
      <c r="F218" s="1"/>
    </row>
    <row r="219" ht="14.25" customHeight="1">
      <c r="A219" s="52"/>
      <c r="B219" s="53"/>
      <c r="C219" s="53"/>
      <c r="D219" s="1"/>
      <c r="E219" s="1"/>
      <c r="F219" s="1"/>
    </row>
    <row r="220" ht="14.25" customHeight="1">
      <c r="A220" s="52"/>
      <c r="B220" s="53"/>
      <c r="C220" s="53"/>
      <c r="D220" s="1"/>
      <c r="E220" s="1"/>
      <c r="F220" s="1"/>
    </row>
    <row r="221" ht="14.25" customHeight="1">
      <c r="A221" s="52"/>
      <c r="B221" s="53"/>
      <c r="C221" s="53"/>
      <c r="D221" s="1"/>
      <c r="E221" s="1"/>
      <c r="F221" s="1"/>
    </row>
    <row r="222" ht="14.25" customHeight="1">
      <c r="A222" s="52"/>
      <c r="B222" s="53"/>
      <c r="C222" s="53"/>
      <c r="D222" s="1"/>
      <c r="E222" s="1"/>
      <c r="F222" s="1"/>
    </row>
    <row r="223" ht="14.25" customHeight="1">
      <c r="A223" s="52"/>
      <c r="B223" s="53"/>
      <c r="C223" s="53"/>
      <c r="D223" s="1"/>
      <c r="E223" s="1"/>
      <c r="F223" s="1"/>
    </row>
    <row r="224" ht="14.25" customHeight="1">
      <c r="A224" s="52"/>
      <c r="B224" s="53"/>
      <c r="C224" s="53"/>
      <c r="D224" s="1"/>
      <c r="E224" s="1"/>
      <c r="F224" s="1"/>
    </row>
    <row r="225" ht="14.25" customHeight="1">
      <c r="A225" s="52"/>
      <c r="B225" s="53"/>
      <c r="C225" s="53"/>
      <c r="D225" s="1"/>
      <c r="E225" s="1"/>
      <c r="F225" s="1"/>
    </row>
    <row r="226" ht="14.25" customHeight="1">
      <c r="A226" s="52"/>
      <c r="B226" s="53"/>
      <c r="C226" s="53"/>
      <c r="D226" s="1"/>
      <c r="E226" s="1"/>
      <c r="F226" s="1"/>
    </row>
    <row r="227" ht="14.25" customHeight="1">
      <c r="A227" s="52"/>
      <c r="B227" s="53"/>
      <c r="C227" s="53"/>
      <c r="D227" s="1"/>
      <c r="E227" s="1"/>
      <c r="F227" s="1"/>
    </row>
    <row r="228" ht="14.25" customHeight="1">
      <c r="A228" s="52"/>
      <c r="B228" s="53"/>
      <c r="C228" s="53"/>
      <c r="D228" s="1"/>
      <c r="E228" s="1"/>
      <c r="F228" s="1"/>
    </row>
    <row r="229" ht="14.25" customHeight="1">
      <c r="A229" s="52"/>
      <c r="B229" s="53"/>
      <c r="C229" s="53"/>
      <c r="D229" s="1"/>
      <c r="E229" s="1"/>
      <c r="F229" s="1"/>
    </row>
    <row r="230" ht="14.25" customHeight="1">
      <c r="A230" s="52"/>
      <c r="B230" s="53"/>
      <c r="C230" s="53"/>
      <c r="D230" s="1"/>
      <c r="E230" s="1"/>
      <c r="F230" s="1"/>
    </row>
    <row r="231" ht="14.25" customHeight="1">
      <c r="A231" s="52"/>
      <c r="B231" s="53"/>
      <c r="C231" s="53"/>
      <c r="D231" s="1"/>
      <c r="E231" s="1"/>
      <c r="F231" s="1"/>
    </row>
    <row r="232" ht="14.25" customHeight="1">
      <c r="A232" s="52"/>
      <c r="B232" s="53"/>
      <c r="C232" s="53"/>
      <c r="D232" s="1"/>
      <c r="E232" s="1"/>
      <c r="F232" s="1"/>
    </row>
    <row r="233" ht="14.25" customHeight="1">
      <c r="A233" s="52"/>
      <c r="B233" s="53"/>
      <c r="C233" s="53"/>
      <c r="D233" s="1"/>
      <c r="E233" s="1"/>
      <c r="F233" s="1"/>
    </row>
    <row r="234" ht="14.25" customHeight="1">
      <c r="A234" s="52"/>
      <c r="B234" s="53"/>
      <c r="C234" s="53"/>
      <c r="D234" s="1"/>
      <c r="E234" s="1"/>
      <c r="F234" s="1"/>
    </row>
    <row r="235" ht="14.25" customHeight="1">
      <c r="A235" s="52"/>
      <c r="B235" s="53"/>
      <c r="C235" s="53"/>
      <c r="D235" s="1"/>
      <c r="E235" s="1"/>
      <c r="F235" s="1"/>
    </row>
    <row r="236" ht="14.25" customHeight="1">
      <c r="A236" s="52"/>
      <c r="B236" s="53"/>
      <c r="C236" s="53"/>
      <c r="D236" s="1"/>
      <c r="E236" s="1"/>
      <c r="F236" s="1"/>
    </row>
    <row r="237" ht="14.25" customHeight="1">
      <c r="A237" s="52"/>
      <c r="B237" s="53"/>
      <c r="C237" s="53"/>
      <c r="D237" s="1"/>
      <c r="E237" s="1"/>
      <c r="F237" s="1"/>
    </row>
    <row r="238" ht="14.25" customHeight="1">
      <c r="A238" s="52"/>
      <c r="B238" s="53"/>
      <c r="C238" s="53"/>
      <c r="D238" s="1"/>
      <c r="E238" s="1"/>
      <c r="F238" s="1"/>
    </row>
    <row r="239" ht="14.25" customHeight="1">
      <c r="A239" s="52"/>
      <c r="B239" s="53"/>
      <c r="C239" s="53"/>
      <c r="D239" s="1"/>
      <c r="E239" s="1"/>
      <c r="F239" s="1"/>
    </row>
    <row r="240" ht="14.25" customHeight="1">
      <c r="A240" s="52"/>
      <c r="B240" s="53"/>
      <c r="C240" s="53"/>
      <c r="D240" s="1"/>
      <c r="E240" s="1"/>
      <c r="F240" s="1"/>
    </row>
    <row r="241" ht="14.25" customHeight="1">
      <c r="A241" s="52"/>
      <c r="B241" s="53"/>
      <c r="C241" s="53"/>
      <c r="D241" s="1"/>
      <c r="E241" s="1"/>
      <c r="F241" s="1"/>
    </row>
    <row r="242" ht="14.25" customHeight="1">
      <c r="A242" s="52"/>
      <c r="B242" s="53"/>
      <c r="C242" s="53"/>
      <c r="D242" s="1"/>
      <c r="E242" s="1"/>
      <c r="F242" s="1"/>
    </row>
    <row r="243" ht="14.25" customHeight="1">
      <c r="A243" s="52"/>
      <c r="B243" s="53"/>
      <c r="C243" s="53"/>
      <c r="D243" s="1"/>
      <c r="E243" s="1"/>
      <c r="F243" s="1"/>
    </row>
    <row r="244" ht="14.25" customHeight="1">
      <c r="A244" s="52"/>
      <c r="B244" s="53"/>
      <c r="C244" s="53"/>
      <c r="D244" s="1"/>
      <c r="E244" s="1"/>
      <c r="F244" s="1"/>
    </row>
    <row r="245" ht="14.25" customHeight="1">
      <c r="A245" s="52"/>
      <c r="B245" s="53"/>
      <c r="C245" s="53"/>
      <c r="D245" s="1"/>
      <c r="E245" s="1"/>
      <c r="F245" s="1"/>
    </row>
    <row r="246" ht="14.25" customHeight="1">
      <c r="A246" s="52"/>
      <c r="B246" s="53"/>
      <c r="C246" s="53"/>
      <c r="D246" s="1"/>
      <c r="E246" s="1"/>
      <c r="F246" s="1"/>
    </row>
    <row r="247" ht="14.25" customHeight="1">
      <c r="A247" s="52"/>
      <c r="B247" s="53"/>
      <c r="C247" s="53"/>
      <c r="D247" s="1"/>
      <c r="E247" s="1"/>
      <c r="F247" s="1"/>
    </row>
    <row r="248" ht="14.25" customHeight="1">
      <c r="A248" s="52"/>
      <c r="B248" s="53"/>
      <c r="C248" s="53"/>
      <c r="D248" s="1"/>
      <c r="E248" s="1"/>
      <c r="F248" s="1"/>
    </row>
    <row r="249" ht="14.25" customHeight="1">
      <c r="A249" s="52"/>
      <c r="B249" s="53"/>
      <c r="C249" s="53"/>
      <c r="D249" s="1"/>
      <c r="E249" s="1"/>
      <c r="F249" s="1"/>
    </row>
    <row r="250" ht="14.25" customHeight="1">
      <c r="A250" s="52"/>
      <c r="B250" s="53"/>
      <c r="C250" s="53"/>
      <c r="D250" s="1"/>
      <c r="E250" s="1"/>
      <c r="F250" s="1"/>
    </row>
    <row r="251" ht="14.25" customHeight="1">
      <c r="A251" s="52"/>
      <c r="B251" s="53"/>
      <c r="C251" s="53"/>
      <c r="D251" s="1"/>
      <c r="E251" s="1"/>
      <c r="F251" s="1"/>
    </row>
    <row r="252" ht="14.25" customHeight="1">
      <c r="A252" s="52"/>
      <c r="B252" s="53"/>
      <c r="C252" s="53"/>
      <c r="D252" s="1"/>
      <c r="E252" s="1"/>
      <c r="F252" s="1"/>
    </row>
    <row r="253" ht="14.25" customHeight="1">
      <c r="A253" s="52"/>
      <c r="B253" s="53"/>
      <c r="C253" s="53"/>
      <c r="D253" s="1"/>
      <c r="E253" s="1"/>
      <c r="F253" s="1"/>
    </row>
    <row r="254" ht="14.25" customHeight="1">
      <c r="A254" s="52"/>
      <c r="B254" s="53"/>
      <c r="C254" s="53"/>
      <c r="D254" s="1"/>
      <c r="E254" s="1"/>
      <c r="F254" s="1"/>
    </row>
    <row r="255" ht="14.25" customHeight="1">
      <c r="A255" s="52"/>
      <c r="B255" s="53"/>
      <c r="C255" s="53"/>
      <c r="D255" s="1"/>
      <c r="E255" s="1"/>
      <c r="F255" s="1"/>
    </row>
    <row r="256" ht="14.25" customHeight="1">
      <c r="A256" s="52"/>
      <c r="B256" s="53"/>
      <c r="C256" s="53"/>
      <c r="D256" s="1"/>
      <c r="E256" s="1"/>
      <c r="F256" s="1"/>
    </row>
    <row r="257" ht="14.25" customHeight="1">
      <c r="A257" s="52"/>
      <c r="B257" s="53"/>
      <c r="C257" s="53"/>
      <c r="D257" s="1"/>
      <c r="E257" s="1"/>
      <c r="F257" s="1"/>
    </row>
    <row r="258" ht="14.25" customHeight="1">
      <c r="A258" s="52"/>
      <c r="B258" s="53"/>
      <c r="C258" s="53"/>
      <c r="D258" s="1"/>
      <c r="E258" s="1"/>
      <c r="F258" s="1"/>
    </row>
    <row r="259" ht="14.25" customHeight="1">
      <c r="A259" s="52"/>
      <c r="B259" s="53"/>
      <c r="C259" s="53"/>
      <c r="D259" s="1"/>
      <c r="E259" s="1"/>
      <c r="F259" s="1"/>
    </row>
    <row r="260" ht="14.25" customHeight="1">
      <c r="A260" s="52"/>
      <c r="B260" s="53"/>
      <c r="C260" s="53"/>
      <c r="D260" s="1"/>
      <c r="E260" s="1"/>
      <c r="F260" s="1"/>
    </row>
    <row r="261" ht="14.25" customHeight="1">
      <c r="A261" s="52"/>
      <c r="B261" s="53"/>
      <c r="C261" s="53"/>
      <c r="D261" s="1"/>
      <c r="E261" s="1"/>
      <c r="F261" s="1"/>
    </row>
    <row r="262" ht="14.25" customHeight="1">
      <c r="A262" s="52"/>
      <c r="B262" s="53"/>
      <c r="C262" s="53"/>
      <c r="D262" s="1"/>
      <c r="E262" s="1"/>
      <c r="F262" s="1"/>
    </row>
    <row r="263" ht="14.25" customHeight="1">
      <c r="A263" s="52"/>
      <c r="B263" s="53"/>
      <c r="C263" s="53"/>
      <c r="D263" s="1"/>
      <c r="E263" s="1"/>
      <c r="F263" s="1"/>
    </row>
    <row r="264" ht="14.25" customHeight="1">
      <c r="A264" s="52"/>
      <c r="B264" s="53"/>
      <c r="C264" s="53"/>
      <c r="D264" s="1"/>
      <c r="E264" s="1"/>
      <c r="F264" s="1"/>
    </row>
    <row r="265" ht="14.25" customHeight="1">
      <c r="A265" s="52"/>
      <c r="B265" s="53"/>
      <c r="C265" s="53"/>
      <c r="D265" s="1"/>
      <c r="E265" s="1"/>
      <c r="F265" s="1"/>
    </row>
    <row r="266" ht="14.25" customHeight="1">
      <c r="A266" s="52"/>
      <c r="B266" s="53"/>
      <c r="C266" s="53"/>
      <c r="D266" s="1"/>
      <c r="E266" s="1"/>
      <c r="F266" s="1"/>
    </row>
    <row r="267" ht="14.25" customHeight="1">
      <c r="A267" s="52"/>
      <c r="B267" s="53"/>
      <c r="C267" s="53"/>
      <c r="D267" s="1"/>
      <c r="E267" s="1"/>
      <c r="F267" s="1"/>
    </row>
    <row r="268" ht="14.25" customHeight="1">
      <c r="A268" s="52"/>
      <c r="B268" s="53"/>
      <c r="C268" s="53"/>
      <c r="D268" s="1"/>
      <c r="E268" s="1"/>
      <c r="F268" s="1"/>
    </row>
    <row r="269" ht="14.25" customHeight="1">
      <c r="A269" s="52"/>
      <c r="B269" s="53"/>
      <c r="C269" s="53"/>
      <c r="D269" s="1"/>
      <c r="E269" s="1"/>
      <c r="F269" s="1"/>
    </row>
    <row r="270" ht="14.25" customHeight="1">
      <c r="A270" s="52"/>
      <c r="B270" s="53"/>
      <c r="C270" s="53"/>
      <c r="D270" s="1"/>
      <c r="E270" s="1"/>
      <c r="F270" s="1"/>
    </row>
    <row r="271" ht="14.25" customHeight="1">
      <c r="A271" s="52"/>
      <c r="B271" s="53"/>
      <c r="C271" s="53"/>
      <c r="D271" s="1"/>
      <c r="E271" s="1"/>
      <c r="F271" s="1"/>
    </row>
    <row r="272" ht="14.25" customHeight="1">
      <c r="A272" s="52"/>
      <c r="B272" s="53"/>
      <c r="C272" s="53"/>
      <c r="D272" s="1"/>
      <c r="E272" s="1"/>
      <c r="F272" s="1"/>
    </row>
    <row r="273" ht="14.25" customHeight="1">
      <c r="A273" s="52"/>
      <c r="B273" s="53"/>
      <c r="C273" s="53"/>
      <c r="D273" s="1"/>
      <c r="E273" s="1"/>
      <c r="F273" s="1"/>
    </row>
    <row r="274" ht="14.25" customHeight="1">
      <c r="A274" s="52"/>
      <c r="B274" s="53"/>
      <c r="C274" s="53"/>
      <c r="D274" s="1"/>
      <c r="E274" s="1"/>
      <c r="F274" s="1"/>
    </row>
    <row r="275" ht="14.25" customHeight="1">
      <c r="A275" s="52"/>
      <c r="B275" s="53"/>
      <c r="C275" s="53"/>
      <c r="D275" s="1"/>
      <c r="E275" s="1"/>
      <c r="F275" s="1"/>
    </row>
    <row r="276" ht="14.25" customHeight="1">
      <c r="A276" s="52"/>
      <c r="B276" s="53"/>
      <c r="C276" s="53"/>
      <c r="D276" s="1"/>
      <c r="E276" s="1"/>
      <c r="F276" s="1"/>
    </row>
    <row r="277" ht="14.25" customHeight="1">
      <c r="A277" s="52"/>
      <c r="B277" s="53"/>
      <c r="C277" s="53"/>
      <c r="D277" s="1"/>
      <c r="E277" s="1"/>
      <c r="F277" s="1"/>
    </row>
    <row r="278" ht="14.25" customHeight="1">
      <c r="A278" s="52"/>
      <c r="B278" s="53"/>
      <c r="C278" s="53"/>
      <c r="D278" s="1"/>
      <c r="E278" s="1"/>
      <c r="F278" s="1"/>
    </row>
    <row r="279" ht="14.25" customHeight="1">
      <c r="A279" s="52"/>
      <c r="B279" s="53"/>
      <c r="C279" s="53"/>
      <c r="D279" s="1"/>
      <c r="E279" s="1"/>
      <c r="F279" s="1"/>
    </row>
    <row r="280" ht="14.25" customHeight="1">
      <c r="A280" s="52"/>
      <c r="B280" s="53"/>
      <c r="C280" s="53"/>
      <c r="D280" s="1"/>
      <c r="E280" s="1"/>
      <c r="F280" s="1"/>
    </row>
    <row r="281" ht="14.25" customHeight="1">
      <c r="A281" s="52"/>
      <c r="B281" s="53"/>
      <c r="C281" s="53"/>
      <c r="D281" s="1"/>
      <c r="E281" s="1"/>
      <c r="F281" s="1"/>
    </row>
    <row r="282" ht="14.25" customHeight="1">
      <c r="A282" s="52"/>
      <c r="B282" s="53"/>
      <c r="C282" s="53"/>
      <c r="D282" s="1"/>
      <c r="E282" s="1"/>
      <c r="F282" s="1"/>
    </row>
    <row r="283" ht="14.25" customHeight="1">
      <c r="A283" s="52"/>
      <c r="B283" s="53"/>
      <c r="C283" s="53"/>
      <c r="D283" s="1"/>
      <c r="E283" s="1"/>
      <c r="F283" s="1"/>
    </row>
    <row r="284" ht="14.25" customHeight="1">
      <c r="A284" s="52"/>
      <c r="B284" s="53"/>
      <c r="C284" s="53"/>
      <c r="D284" s="1"/>
      <c r="E284" s="1"/>
      <c r="F284" s="1"/>
    </row>
    <row r="285" ht="14.25" customHeight="1">
      <c r="A285" s="52"/>
      <c r="B285" s="53"/>
      <c r="C285" s="53"/>
      <c r="D285" s="1"/>
      <c r="E285" s="1"/>
      <c r="F285" s="1"/>
    </row>
    <row r="286" ht="14.25" customHeight="1">
      <c r="A286" s="52"/>
      <c r="B286" s="53"/>
      <c r="C286" s="53"/>
      <c r="D286" s="1"/>
      <c r="E286" s="1"/>
      <c r="F286" s="1"/>
    </row>
    <row r="287" ht="14.25" customHeight="1">
      <c r="A287" s="52"/>
      <c r="B287" s="53"/>
      <c r="C287" s="53"/>
      <c r="D287" s="1"/>
      <c r="E287" s="1"/>
      <c r="F287" s="1"/>
    </row>
    <row r="288" ht="14.25" customHeight="1">
      <c r="A288" s="52"/>
      <c r="B288" s="53"/>
      <c r="C288" s="53"/>
      <c r="D288" s="1"/>
      <c r="E288" s="1"/>
      <c r="F288" s="1"/>
    </row>
    <row r="289" ht="14.25" customHeight="1">
      <c r="A289" s="52"/>
      <c r="B289" s="53"/>
      <c r="C289" s="53"/>
      <c r="D289" s="1"/>
      <c r="E289" s="1"/>
      <c r="F289" s="1"/>
    </row>
    <row r="290" ht="14.25" customHeight="1">
      <c r="A290" s="52"/>
      <c r="B290" s="53"/>
      <c r="C290" s="53"/>
      <c r="D290" s="1"/>
      <c r="E290" s="1"/>
      <c r="F290" s="1"/>
    </row>
    <row r="291" ht="14.25" customHeight="1">
      <c r="A291" s="52"/>
      <c r="B291" s="53"/>
      <c r="C291" s="53"/>
      <c r="D291" s="1"/>
      <c r="E291" s="1"/>
      <c r="F291" s="1"/>
    </row>
    <row r="292" ht="14.25" customHeight="1">
      <c r="A292" s="52"/>
      <c r="B292" s="53"/>
      <c r="C292" s="53"/>
      <c r="D292" s="1"/>
      <c r="E292" s="1"/>
      <c r="F292" s="1"/>
    </row>
    <row r="293" ht="14.25" customHeight="1">
      <c r="A293" s="52"/>
      <c r="B293" s="53"/>
      <c r="C293" s="53"/>
      <c r="D293" s="1"/>
      <c r="E293" s="1"/>
      <c r="F293" s="1"/>
    </row>
    <row r="294" ht="14.25" customHeight="1">
      <c r="A294" s="52"/>
      <c r="B294" s="53"/>
      <c r="C294" s="53"/>
      <c r="D294" s="1"/>
      <c r="E294" s="1"/>
      <c r="F294" s="1"/>
    </row>
    <row r="295" ht="14.25" customHeight="1">
      <c r="A295" s="52"/>
      <c r="B295" s="53"/>
      <c r="C295" s="53"/>
      <c r="D295" s="1"/>
      <c r="E295" s="1"/>
      <c r="F295" s="1"/>
    </row>
    <row r="296" ht="14.25" customHeight="1">
      <c r="A296" s="52"/>
      <c r="B296" s="53"/>
      <c r="C296" s="53"/>
      <c r="D296" s="1"/>
      <c r="E296" s="1"/>
      <c r="F296" s="1"/>
    </row>
    <row r="297" ht="14.25" customHeight="1">
      <c r="A297" s="52"/>
      <c r="B297" s="53"/>
      <c r="C297" s="53"/>
      <c r="D297" s="1"/>
      <c r="E297" s="1"/>
      <c r="F297" s="1"/>
    </row>
    <row r="298" ht="14.25" customHeight="1">
      <c r="A298" s="52"/>
      <c r="B298" s="53"/>
      <c r="C298" s="53"/>
      <c r="D298" s="1"/>
      <c r="E298" s="1"/>
      <c r="F298" s="1"/>
    </row>
    <row r="299" ht="14.25" customHeight="1">
      <c r="A299" s="52"/>
      <c r="B299" s="53"/>
      <c r="C299" s="53"/>
      <c r="D299" s="1"/>
      <c r="E299" s="1"/>
      <c r="F299" s="1"/>
    </row>
    <row r="300" ht="14.25" customHeight="1">
      <c r="A300" s="52"/>
      <c r="B300" s="53"/>
      <c r="C300" s="53"/>
      <c r="D300" s="1"/>
      <c r="E300" s="1"/>
      <c r="F300" s="1"/>
    </row>
    <row r="301" ht="14.25" customHeight="1">
      <c r="A301" s="52"/>
      <c r="B301" s="53"/>
      <c r="C301" s="53"/>
      <c r="D301" s="1"/>
      <c r="E301" s="1"/>
      <c r="F301" s="1"/>
    </row>
    <row r="302" ht="14.25" customHeight="1">
      <c r="A302" s="52"/>
      <c r="B302" s="53"/>
      <c r="C302" s="53"/>
      <c r="D302" s="1"/>
      <c r="E302" s="1"/>
      <c r="F302" s="1"/>
    </row>
    <row r="303" ht="14.25" customHeight="1">
      <c r="A303" s="52"/>
      <c r="B303" s="53"/>
      <c r="C303" s="53"/>
      <c r="D303" s="1"/>
      <c r="E303" s="1"/>
      <c r="F303" s="1"/>
    </row>
    <row r="304" ht="14.25" customHeight="1">
      <c r="A304" s="52"/>
      <c r="B304" s="53"/>
      <c r="C304" s="53"/>
      <c r="D304" s="1"/>
      <c r="E304" s="1"/>
      <c r="F304" s="1"/>
    </row>
    <row r="305" ht="14.25" customHeight="1">
      <c r="A305" s="52"/>
      <c r="B305" s="53"/>
      <c r="C305" s="53"/>
      <c r="D305" s="1"/>
      <c r="E305" s="1"/>
      <c r="F305" s="1"/>
    </row>
    <row r="306" ht="14.25" customHeight="1">
      <c r="A306" s="52"/>
      <c r="B306" s="53"/>
      <c r="C306" s="53"/>
      <c r="D306" s="1"/>
      <c r="E306" s="1"/>
      <c r="F306" s="1"/>
    </row>
    <row r="307" ht="14.25" customHeight="1">
      <c r="A307" s="52"/>
      <c r="B307" s="53"/>
      <c r="C307" s="53"/>
      <c r="D307" s="1"/>
      <c r="E307" s="1"/>
      <c r="F307" s="1"/>
    </row>
    <row r="308" ht="14.25" customHeight="1">
      <c r="A308" s="52"/>
      <c r="B308" s="53"/>
      <c r="C308" s="53"/>
      <c r="D308" s="1"/>
      <c r="E308" s="1"/>
      <c r="F308" s="1"/>
    </row>
    <row r="309" ht="14.25" customHeight="1">
      <c r="A309" s="52"/>
      <c r="B309" s="53"/>
      <c r="C309" s="53"/>
      <c r="D309" s="1"/>
      <c r="E309" s="1"/>
      <c r="F309" s="1"/>
    </row>
    <row r="310" ht="14.25" customHeight="1">
      <c r="A310" s="52"/>
      <c r="B310" s="53"/>
      <c r="C310" s="53"/>
      <c r="D310" s="1"/>
      <c r="E310" s="1"/>
      <c r="F310" s="1"/>
    </row>
    <row r="311" ht="14.25" customHeight="1">
      <c r="A311" s="52"/>
      <c r="B311" s="53"/>
      <c r="C311" s="53"/>
      <c r="D311" s="1"/>
      <c r="E311" s="1"/>
      <c r="F311" s="1"/>
    </row>
    <row r="312" ht="14.25" customHeight="1">
      <c r="A312" s="52"/>
      <c r="B312" s="53"/>
      <c r="C312" s="53"/>
      <c r="D312" s="1"/>
      <c r="E312" s="1"/>
      <c r="F312" s="1"/>
    </row>
    <row r="313" ht="14.25" customHeight="1">
      <c r="A313" s="52"/>
      <c r="B313" s="53"/>
      <c r="C313" s="53"/>
      <c r="D313" s="1"/>
      <c r="E313" s="1"/>
      <c r="F313" s="1"/>
    </row>
    <row r="314" ht="14.25" customHeight="1">
      <c r="A314" s="52"/>
      <c r="B314" s="53"/>
      <c r="C314" s="53"/>
      <c r="D314" s="1"/>
      <c r="E314" s="1"/>
      <c r="F314" s="1"/>
    </row>
    <row r="315" ht="14.25" customHeight="1">
      <c r="A315" s="52"/>
      <c r="B315" s="53"/>
      <c r="C315" s="53"/>
      <c r="D315" s="1"/>
      <c r="E315" s="1"/>
      <c r="F315" s="1"/>
    </row>
    <row r="316" ht="14.25" customHeight="1">
      <c r="A316" s="52"/>
      <c r="B316" s="53"/>
      <c r="C316" s="53"/>
      <c r="D316" s="1"/>
      <c r="E316" s="1"/>
      <c r="F316" s="1"/>
    </row>
    <row r="317" ht="14.25" customHeight="1">
      <c r="A317" s="52"/>
      <c r="B317" s="53"/>
      <c r="C317" s="53"/>
      <c r="D317" s="1"/>
      <c r="E317" s="1"/>
      <c r="F317" s="1"/>
    </row>
    <row r="318" ht="14.25" customHeight="1">
      <c r="A318" s="52"/>
      <c r="B318" s="53"/>
      <c r="C318" s="53"/>
      <c r="D318" s="1"/>
      <c r="E318" s="1"/>
      <c r="F318" s="1"/>
    </row>
    <row r="319" ht="14.25" customHeight="1">
      <c r="A319" s="52"/>
      <c r="B319" s="53"/>
      <c r="C319" s="53"/>
      <c r="D319" s="1"/>
      <c r="E319" s="1"/>
      <c r="F319" s="1"/>
    </row>
    <row r="320" ht="14.25" customHeight="1">
      <c r="A320" s="52"/>
      <c r="B320" s="53"/>
      <c r="C320" s="53"/>
      <c r="D320" s="1"/>
      <c r="E320" s="1"/>
      <c r="F320" s="1"/>
    </row>
    <row r="321" ht="14.25" customHeight="1">
      <c r="A321" s="52"/>
      <c r="B321" s="53"/>
      <c r="C321" s="53"/>
      <c r="D321" s="1"/>
      <c r="E321" s="1"/>
      <c r="F321" s="1"/>
    </row>
    <row r="322" ht="14.25" customHeight="1">
      <c r="A322" s="52"/>
      <c r="B322" s="53"/>
      <c r="C322" s="53"/>
      <c r="D322" s="1"/>
      <c r="E322" s="1"/>
      <c r="F322" s="1"/>
    </row>
    <row r="323" ht="14.25" customHeight="1">
      <c r="A323" s="52"/>
      <c r="B323" s="53"/>
      <c r="C323" s="53"/>
      <c r="D323" s="1"/>
      <c r="E323" s="1"/>
      <c r="F323" s="1"/>
    </row>
    <row r="324" ht="14.25" customHeight="1">
      <c r="A324" s="52"/>
      <c r="B324" s="53"/>
      <c r="C324" s="53"/>
      <c r="D324" s="1"/>
      <c r="E324" s="1"/>
      <c r="F324" s="1"/>
    </row>
    <row r="325" ht="14.25" customHeight="1">
      <c r="A325" s="52"/>
      <c r="B325" s="53"/>
      <c r="C325" s="53"/>
      <c r="D325" s="1"/>
      <c r="E325" s="1"/>
      <c r="F325" s="1"/>
    </row>
    <row r="326" ht="14.25" customHeight="1">
      <c r="A326" s="52"/>
      <c r="B326" s="53"/>
      <c r="C326" s="53"/>
      <c r="D326" s="1"/>
      <c r="E326" s="1"/>
      <c r="F326" s="1"/>
    </row>
    <row r="327" ht="14.25" customHeight="1">
      <c r="A327" s="52"/>
      <c r="B327" s="53"/>
      <c r="C327" s="53"/>
      <c r="D327" s="1"/>
      <c r="E327" s="1"/>
      <c r="F327" s="1"/>
    </row>
    <row r="328" ht="14.25" customHeight="1">
      <c r="A328" s="52"/>
      <c r="B328" s="53"/>
      <c r="C328" s="53"/>
      <c r="D328" s="1"/>
      <c r="E328" s="1"/>
      <c r="F328" s="1"/>
    </row>
    <row r="329" ht="14.25" customHeight="1">
      <c r="A329" s="52"/>
      <c r="B329" s="53"/>
      <c r="C329" s="53"/>
      <c r="D329" s="1"/>
      <c r="E329" s="1"/>
      <c r="F329" s="1"/>
    </row>
    <row r="330" ht="14.25" customHeight="1">
      <c r="A330" s="52"/>
      <c r="B330" s="53"/>
      <c r="C330" s="53"/>
      <c r="D330" s="1"/>
      <c r="E330" s="1"/>
      <c r="F330" s="1"/>
    </row>
    <row r="331" ht="14.25" customHeight="1">
      <c r="A331" s="52"/>
      <c r="B331" s="53"/>
      <c r="C331" s="53"/>
      <c r="D331" s="1"/>
      <c r="E331" s="1"/>
      <c r="F331" s="1"/>
    </row>
    <row r="332" ht="14.25" customHeight="1">
      <c r="A332" s="52"/>
      <c r="B332" s="53"/>
      <c r="C332" s="53"/>
      <c r="D332" s="1"/>
      <c r="E332" s="1"/>
      <c r="F332" s="1"/>
    </row>
    <row r="333" ht="14.25" customHeight="1">
      <c r="A333" s="52"/>
      <c r="B333" s="53"/>
      <c r="C333" s="53"/>
      <c r="D333" s="1"/>
      <c r="E333" s="1"/>
      <c r="F333" s="1"/>
    </row>
    <row r="334" ht="14.25" customHeight="1">
      <c r="A334" s="52"/>
      <c r="B334" s="53"/>
      <c r="C334" s="53"/>
      <c r="D334" s="1"/>
      <c r="E334" s="1"/>
      <c r="F334" s="1"/>
    </row>
    <row r="335" ht="14.25" customHeight="1">
      <c r="A335" s="52"/>
      <c r="B335" s="53"/>
      <c r="C335" s="53"/>
      <c r="D335" s="1"/>
      <c r="E335" s="1"/>
      <c r="F335" s="1"/>
    </row>
    <row r="336" ht="14.25" customHeight="1">
      <c r="A336" s="52"/>
      <c r="B336" s="53"/>
      <c r="C336" s="53"/>
      <c r="D336" s="1"/>
      <c r="E336" s="1"/>
      <c r="F336" s="1"/>
    </row>
    <row r="337" ht="14.25" customHeight="1">
      <c r="A337" s="52"/>
      <c r="B337" s="53"/>
      <c r="C337" s="53"/>
      <c r="D337" s="1"/>
      <c r="E337" s="1"/>
      <c r="F337" s="1"/>
    </row>
    <row r="338" ht="14.25" customHeight="1">
      <c r="A338" s="52"/>
      <c r="B338" s="53"/>
      <c r="C338" s="53"/>
      <c r="D338" s="1"/>
      <c r="E338" s="1"/>
      <c r="F338" s="1"/>
    </row>
    <row r="339" ht="14.25" customHeight="1">
      <c r="A339" s="52"/>
      <c r="B339" s="53"/>
      <c r="C339" s="53"/>
      <c r="D339" s="1"/>
      <c r="E339" s="1"/>
      <c r="F339" s="1"/>
    </row>
    <row r="340" ht="14.25" customHeight="1">
      <c r="A340" s="52"/>
      <c r="B340" s="53"/>
      <c r="C340" s="53"/>
      <c r="D340" s="1"/>
      <c r="E340" s="1"/>
      <c r="F340" s="1"/>
    </row>
    <row r="341" ht="14.25" customHeight="1">
      <c r="A341" s="52"/>
      <c r="B341" s="53"/>
      <c r="C341" s="53"/>
      <c r="D341" s="1"/>
      <c r="E341" s="1"/>
      <c r="F341" s="1"/>
    </row>
    <row r="342" ht="14.25" customHeight="1">
      <c r="A342" s="52"/>
      <c r="B342" s="53"/>
      <c r="C342" s="53"/>
      <c r="D342" s="1"/>
      <c r="E342" s="1"/>
      <c r="F342" s="1"/>
    </row>
    <row r="343" ht="14.25" customHeight="1">
      <c r="A343" s="52"/>
      <c r="B343" s="53"/>
      <c r="C343" s="53"/>
      <c r="D343" s="1"/>
      <c r="E343" s="1"/>
      <c r="F343" s="1"/>
    </row>
    <row r="344" ht="14.25" customHeight="1">
      <c r="A344" s="52"/>
      <c r="B344" s="53"/>
      <c r="C344" s="53"/>
      <c r="D344" s="1"/>
      <c r="E344" s="1"/>
      <c r="F344" s="1"/>
    </row>
    <row r="345" ht="14.25" customHeight="1">
      <c r="A345" s="52"/>
      <c r="B345" s="53"/>
      <c r="C345" s="53"/>
      <c r="D345" s="1"/>
      <c r="E345" s="1"/>
      <c r="F345" s="1"/>
    </row>
    <row r="346" ht="14.25" customHeight="1">
      <c r="A346" s="52"/>
      <c r="B346" s="53"/>
      <c r="C346" s="53"/>
      <c r="D346" s="1"/>
      <c r="E346" s="1"/>
      <c r="F346" s="1"/>
    </row>
    <row r="347" ht="14.25" customHeight="1">
      <c r="A347" s="52"/>
      <c r="B347" s="53"/>
      <c r="C347" s="53"/>
      <c r="D347" s="1"/>
      <c r="E347" s="1"/>
      <c r="F347" s="1"/>
    </row>
    <row r="348" ht="14.25" customHeight="1">
      <c r="A348" s="52"/>
      <c r="B348" s="53"/>
      <c r="C348" s="53"/>
      <c r="D348" s="1"/>
      <c r="E348" s="1"/>
      <c r="F348" s="1"/>
    </row>
    <row r="349" ht="14.25" customHeight="1">
      <c r="A349" s="52"/>
      <c r="B349" s="53"/>
      <c r="C349" s="53"/>
      <c r="D349" s="1"/>
      <c r="E349" s="1"/>
      <c r="F349" s="1"/>
    </row>
    <row r="350" ht="14.25" customHeight="1">
      <c r="A350" s="52"/>
      <c r="B350" s="53"/>
      <c r="C350" s="53"/>
      <c r="D350" s="1"/>
      <c r="E350" s="1"/>
      <c r="F350" s="1"/>
    </row>
    <row r="351" ht="14.25" customHeight="1">
      <c r="A351" s="52"/>
      <c r="B351" s="53"/>
      <c r="C351" s="53"/>
      <c r="D351" s="1"/>
      <c r="E351" s="1"/>
      <c r="F351" s="1"/>
    </row>
    <row r="352" ht="14.25" customHeight="1">
      <c r="A352" s="52"/>
      <c r="B352" s="53"/>
      <c r="C352" s="53"/>
      <c r="D352" s="1"/>
      <c r="E352" s="1"/>
      <c r="F352" s="1"/>
    </row>
    <row r="353" ht="14.25" customHeight="1">
      <c r="A353" s="52"/>
      <c r="B353" s="53"/>
      <c r="C353" s="53"/>
      <c r="D353" s="1"/>
      <c r="E353" s="1"/>
      <c r="F353" s="1"/>
    </row>
    <row r="354" ht="14.25" customHeight="1">
      <c r="A354" s="52"/>
      <c r="B354" s="53"/>
      <c r="C354" s="53"/>
      <c r="D354" s="1"/>
      <c r="E354" s="1"/>
      <c r="F354" s="1"/>
    </row>
    <row r="355" ht="14.25" customHeight="1">
      <c r="A355" s="52"/>
      <c r="B355" s="53"/>
      <c r="C355" s="53"/>
      <c r="D355" s="1"/>
      <c r="E355" s="1"/>
      <c r="F355" s="1"/>
    </row>
    <row r="356" ht="14.25" customHeight="1">
      <c r="A356" s="52"/>
      <c r="B356" s="53"/>
      <c r="C356" s="53"/>
      <c r="D356" s="1"/>
      <c r="E356" s="1"/>
      <c r="F356" s="1"/>
    </row>
    <row r="357" ht="14.25" customHeight="1">
      <c r="A357" s="52"/>
      <c r="B357" s="53"/>
      <c r="C357" s="53"/>
      <c r="D357" s="1"/>
      <c r="E357" s="1"/>
      <c r="F357" s="1"/>
    </row>
    <row r="358" ht="14.25" customHeight="1">
      <c r="A358" s="52"/>
      <c r="B358" s="53"/>
      <c r="C358" s="53"/>
      <c r="D358" s="1"/>
      <c r="E358" s="1"/>
      <c r="F358" s="1"/>
    </row>
    <row r="359" ht="14.25" customHeight="1">
      <c r="A359" s="52"/>
      <c r="B359" s="53"/>
      <c r="C359" s="53"/>
      <c r="D359" s="1"/>
      <c r="E359" s="1"/>
      <c r="F359" s="1"/>
    </row>
    <row r="360" ht="14.25" customHeight="1">
      <c r="A360" s="52"/>
      <c r="B360" s="53"/>
      <c r="C360" s="53"/>
      <c r="D360" s="1"/>
      <c r="E360" s="1"/>
      <c r="F360" s="1"/>
    </row>
    <row r="361" ht="14.25" customHeight="1">
      <c r="A361" s="52"/>
      <c r="B361" s="53"/>
      <c r="C361" s="53"/>
      <c r="D361" s="1"/>
      <c r="E361" s="1"/>
      <c r="F361" s="1"/>
    </row>
    <row r="362" ht="14.25" customHeight="1">
      <c r="A362" s="52"/>
      <c r="B362" s="53"/>
      <c r="C362" s="53"/>
      <c r="D362" s="1"/>
      <c r="E362" s="1"/>
      <c r="F362" s="1"/>
    </row>
    <row r="363" ht="14.25" customHeight="1">
      <c r="A363" s="52"/>
      <c r="B363" s="53"/>
      <c r="C363" s="53"/>
      <c r="D363" s="1"/>
      <c r="E363" s="1"/>
      <c r="F363" s="1"/>
    </row>
    <row r="364" ht="14.25" customHeight="1">
      <c r="A364" s="52"/>
      <c r="B364" s="53"/>
      <c r="C364" s="53"/>
      <c r="D364" s="1"/>
      <c r="E364" s="1"/>
      <c r="F364" s="1"/>
    </row>
    <row r="365" ht="14.25" customHeight="1">
      <c r="A365" s="52"/>
      <c r="B365" s="53"/>
      <c r="C365" s="53"/>
      <c r="D365" s="1"/>
      <c r="E365" s="1"/>
      <c r="F365" s="1"/>
    </row>
    <row r="366" ht="14.25" customHeight="1">
      <c r="A366" s="52"/>
      <c r="B366" s="53"/>
      <c r="C366" s="53"/>
      <c r="D366" s="1"/>
      <c r="E366" s="1"/>
      <c r="F366" s="1"/>
    </row>
    <row r="367" ht="14.25" customHeight="1">
      <c r="A367" s="52"/>
      <c r="B367" s="53"/>
      <c r="C367" s="53"/>
      <c r="D367" s="1"/>
      <c r="E367" s="1"/>
      <c r="F367" s="1"/>
    </row>
    <row r="368" ht="14.25" customHeight="1">
      <c r="A368" s="52"/>
      <c r="B368" s="53"/>
      <c r="C368" s="53"/>
      <c r="D368" s="1"/>
      <c r="E368" s="1"/>
      <c r="F368" s="1"/>
    </row>
    <row r="369" ht="14.25" customHeight="1">
      <c r="A369" s="52"/>
      <c r="B369" s="53"/>
      <c r="C369" s="53"/>
      <c r="D369" s="1"/>
      <c r="E369" s="1"/>
      <c r="F369" s="1"/>
    </row>
    <row r="370" ht="14.25" customHeight="1">
      <c r="A370" s="52"/>
      <c r="B370" s="53"/>
      <c r="C370" s="53"/>
      <c r="D370" s="1"/>
      <c r="E370" s="1"/>
      <c r="F370" s="1"/>
    </row>
    <row r="371" ht="14.25" customHeight="1">
      <c r="A371" s="52"/>
      <c r="B371" s="53"/>
      <c r="C371" s="53"/>
      <c r="D371" s="1"/>
      <c r="E371" s="1"/>
      <c r="F371" s="1"/>
    </row>
    <row r="372" ht="14.25" customHeight="1">
      <c r="A372" s="52"/>
      <c r="B372" s="53"/>
      <c r="C372" s="53"/>
      <c r="D372" s="1"/>
      <c r="E372" s="1"/>
      <c r="F372" s="1"/>
    </row>
    <row r="373" ht="14.25" customHeight="1">
      <c r="A373" s="52"/>
      <c r="B373" s="53"/>
      <c r="C373" s="53"/>
      <c r="D373" s="1"/>
      <c r="E373" s="1"/>
      <c r="F373" s="1"/>
    </row>
    <row r="374" ht="14.25" customHeight="1">
      <c r="A374" s="52"/>
      <c r="B374" s="53"/>
      <c r="C374" s="53"/>
      <c r="D374" s="1"/>
      <c r="E374" s="1"/>
      <c r="F374" s="1"/>
    </row>
    <row r="375" ht="14.25" customHeight="1">
      <c r="A375" s="52"/>
      <c r="B375" s="53"/>
      <c r="C375" s="53"/>
      <c r="D375" s="1"/>
      <c r="E375" s="1"/>
      <c r="F375" s="1"/>
    </row>
    <row r="376" ht="14.25" customHeight="1">
      <c r="A376" s="52"/>
      <c r="B376" s="53"/>
      <c r="C376" s="53"/>
      <c r="D376" s="1"/>
      <c r="E376" s="1"/>
      <c r="F376" s="1"/>
    </row>
    <row r="377" ht="14.25" customHeight="1">
      <c r="A377" s="52"/>
      <c r="B377" s="53"/>
      <c r="C377" s="53"/>
      <c r="D377" s="1"/>
      <c r="E377" s="1"/>
      <c r="F377" s="1"/>
    </row>
    <row r="378" ht="14.25" customHeight="1">
      <c r="A378" s="52"/>
      <c r="B378" s="53"/>
      <c r="C378" s="53"/>
      <c r="D378" s="1"/>
      <c r="E378" s="1"/>
      <c r="F378" s="1"/>
    </row>
    <row r="379" ht="14.25" customHeight="1">
      <c r="A379" s="52"/>
      <c r="B379" s="53"/>
      <c r="C379" s="53"/>
      <c r="D379" s="1"/>
      <c r="E379" s="1"/>
      <c r="F379" s="1"/>
    </row>
    <row r="380" ht="14.25" customHeight="1">
      <c r="A380" s="52"/>
      <c r="B380" s="53"/>
      <c r="C380" s="53"/>
      <c r="D380" s="1"/>
      <c r="E380" s="1"/>
      <c r="F380" s="1"/>
    </row>
    <row r="381" ht="14.25" customHeight="1">
      <c r="A381" s="52"/>
      <c r="B381" s="53"/>
      <c r="C381" s="53"/>
      <c r="D381" s="1"/>
      <c r="E381" s="1"/>
      <c r="F381" s="1"/>
    </row>
    <row r="382" ht="14.25" customHeight="1">
      <c r="A382" s="52"/>
      <c r="B382" s="53"/>
      <c r="C382" s="53"/>
      <c r="D382" s="1"/>
      <c r="E382" s="1"/>
      <c r="F382" s="1"/>
    </row>
    <row r="383" ht="14.25" customHeight="1">
      <c r="A383" s="52"/>
      <c r="B383" s="53"/>
      <c r="C383" s="53"/>
      <c r="D383" s="1"/>
      <c r="E383" s="1"/>
      <c r="F383" s="1"/>
    </row>
    <row r="384" ht="14.25" customHeight="1">
      <c r="A384" s="52"/>
      <c r="B384" s="53"/>
      <c r="C384" s="53"/>
      <c r="D384" s="1"/>
      <c r="E384" s="1"/>
      <c r="F384" s="1"/>
    </row>
    <row r="385" ht="14.25" customHeight="1">
      <c r="A385" s="52"/>
      <c r="B385" s="53"/>
      <c r="C385" s="53"/>
      <c r="D385" s="1"/>
      <c r="E385" s="1"/>
      <c r="F385" s="1"/>
    </row>
    <row r="386" ht="14.25" customHeight="1">
      <c r="A386" s="52"/>
      <c r="B386" s="53"/>
      <c r="C386" s="53"/>
      <c r="D386" s="1"/>
      <c r="E386" s="1"/>
      <c r="F386" s="1"/>
    </row>
    <row r="387" ht="14.25" customHeight="1">
      <c r="A387" s="52"/>
      <c r="B387" s="53"/>
      <c r="C387" s="53"/>
      <c r="D387" s="1"/>
      <c r="E387" s="1"/>
      <c r="F387" s="1"/>
    </row>
    <row r="388" ht="14.25" customHeight="1">
      <c r="A388" s="52"/>
      <c r="B388" s="53"/>
      <c r="C388" s="53"/>
      <c r="D388" s="1"/>
      <c r="E388" s="1"/>
      <c r="F388" s="1"/>
    </row>
    <row r="389" ht="14.25" customHeight="1">
      <c r="A389" s="52"/>
      <c r="B389" s="53"/>
      <c r="C389" s="53"/>
      <c r="D389" s="1"/>
      <c r="E389" s="1"/>
      <c r="F389" s="1"/>
    </row>
    <row r="390" ht="14.25" customHeight="1">
      <c r="A390" s="52"/>
      <c r="B390" s="53"/>
      <c r="C390" s="53"/>
      <c r="D390" s="1"/>
      <c r="E390" s="1"/>
      <c r="F390" s="1"/>
    </row>
    <row r="391" ht="14.25" customHeight="1">
      <c r="A391" s="52"/>
      <c r="B391" s="53"/>
      <c r="C391" s="53"/>
      <c r="D391" s="1"/>
      <c r="E391" s="1"/>
      <c r="F391" s="1"/>
    </row>
    <row r="392" ht="14.25" customHeight="1">
      <c r="A392" s="52"/>
      <c r="B392" s="53"/>
      <c r="C392" s="53"/>
      <c r="D392" s="1"/>
      <c r="E392" s="1"/>
      <c r="F392" s="1"/>
    </row>
    <row r="393" ht="14.25" customHeight="1">
      <c r="A393" s="52"/>
      <c r="B393" s="53"/>
      <c r="C393" s="53"/>
      <c r="D393" s="1"/>
      <c r="E393" s="1"/>
      <c r="F393" s="1"/>
    </row>
    <row r="394" ht="14.25" customHeight="1">
      <c r="A394" s="52"/>
      <c r="B394" s="53"/>
      <c r="C394" s="53"/>
      <c r="D394" s="1"/>
      <c r="E394" s="1"/>
      <c r="F394" s="1"/>
    </row>
    <row r="395" ht="14.25" customHeight="1">
      <c r="A395" s="52"/>
      <c r="B395" s="53"/>
      <c r="C395" s="53"/>
      <c r="D395" s="1"/>
      <c r="E395" s="1"/>
      <c r="F395" s="1"/>
    </row>
    <row r="396" ht="14.25" customHeight="1">
      <c r="A396" s="52"/>
      <c r="B396" s="53"/>
      <c r="C396" s="53"/>
      <c r="D396" s="1"/>
      <c r="E396" s="1"/>
      <c r="F396" s="1"/>
    </row>
    <row r="397" ht="14.25" customHeight="1">
      <c r="A397" s="52"/>
      <c r="B397" s="53"/>
      <c r="C397" s="53"/>
      <c r="D397" s="1"/>
      <c r="E397" s="1"/>
      <c r="F397" s="1"/>
    </row>
    <row r="398" ht="14.25" customHeight="1">
      <c r="A398" s="52"/>
      <c r="B398" s="53"/>
      <c r="C398" s="53"/>
      <c r="D398" s="1"/>
      <c r="E398" s="1"/>
      <c r="F398" s="1"/>
    </row>
    <row r="399" ht="14.25" customHeight="1">
      <c r="A399" s="52"/>
      <c r="B399" s="53"/>
      <c r="C399" s="53"/>
      <c r="D399" s="1"/>
      <c r="E399" s="1"/>
      <c r="F399" s="1"/>
    </row>
    <row r="400" ht="14.25" customHeight="1">
      <c r="A400" s="52"/>
      <c r="B400" s="53"/>
      <c r="C400" s="53"/>
      <c r="D400" s="1"/>
      <c r="E400" s="1"/>
      <c r="F400" s="1"/>
    </row>
    <row r="401" ht="14.25" customHeight="1">
      <c r="A401" s="52"/>
      <c r="B401" s="53"/>
      <c r="C401" s="53"/>
      <c r="D401" s="1"/>
      <c r="E401" s="1"/>
      <c r="F401" s="1"/>
    </row>
    <row r="402" ht="14.25" customHeight="1">
      <c r="A402" s="52"/>
      <c r="B402" s="53"/>
      <c r="C402" s="53"/>
      <c r="D402" s="1"/>
      <c r="E402" s="1"/>
      <c r="F402" s="1"/>
    </row>
    <row r="403" ht="14.25" customHeight="1">
      <c r="A403" s="52"/>
      <c r="B403" s="53"/>
      <c r="C403" s="53"/>
      <c r="D403" s="1"/>
      <c r="E403" s="1"/>
      <c r="F403" s="1"/>
    </row>
    <row r="404" ht="14.25" customHeight="1">
      <c r="A404" s="52"/>
      <c r="B404" s="53"/>
      <c r="C404" s="53"/>
      <c r="D404" s="1"/>
      <c r="E404" s="1"/>
      <c r="F404" s="1"/>
    </row>
    <row r="405" ht="14.25" customHeight="1">
      <c r="A405" s="52"/>
      <c r="B405" s="53"/>
      <c r="C405" s="53"/>
      <c r="D405" s="1"/>
      <c r="E405" s="1"/>
      <c r="F405" s="1"/>
    </row>
    <row r="406" ht="14.25" customHeight="1">
      <c r="A406" s="52"/>
      <c r="B406" s="53"/>
      <c r="C406" s="53"/>
      <c r="D406" s="1"/>
      <c r="E406" s="1"/>
      <c r="F406" s="1"/>
    </row>
    <row r="407" ht="14.25" customHeight="1">
      <c r="A407" s="52"/>
      <c r="B407" s="53"/>
      <c r="C407" s="53"/>
      <c r="D407" s="1"/>
      <c r="E407" s="1"/>
      <c r="F407" s="1"/>
    </row>
    <row r="408" ht="14.25" customHeight="1">
      <c r="A408" s="52"/>
      <c r="B408" s="53"/>
      <c r="C408" s="53"/>
      <c r="D408" s="1"/>
      <c r="E408" s="1"/>
      <c r="F408" s="1"/>
    </row>
    <row r="409" ht="14.25" customHeight="1">
      <c r="A409" s="52"/>
      <c r="B409" s="53"/>
      <c r="C409" s="53"/>
      <c r="D409" s="1"/>
      <c r="E409" s="1"/>
      <c r="F409" s="1"/>
    </row>
    <row r="410" ht="14.25" customHeight="1">
      <c r="A410" s="52"/>
      <c r="B410" s="53"/>
      <c r="C410" s="53"/>
      <c r="D410" s="1"/>
      <c r="E410" s="1"/>
      <c r="F410" s="1"/>
    </row>
    <row r="411" ht="14.25" customHeight="1">
      <c r="A411" s="52"/>
      <c r="B411" s="53"/>
      <c r="C411" s="53"/>
      <c r="D411" s="1"/>
      <c r="E411" s="1"/>
      <c r="F411" s="1"/>
    </row>
    <row r="412" ht="14.25" customHeight="1">
      <c r="A412" s="52"/>
      <c r="B412" s="53"/>
      <c r="C412" s="53"/>
      <c r="D412" s="1"/>
      <c r="E412" s="1"/>
      <c r="F412" s="1"/>
    </row>
    <row r="413" ht="14.25" customHeight="1">
      <c r="A413" s="52"/>
      <c r="B413" s="53"/>
      <c r="C413" s="53"/>
      <c r="D413" s="1"/>
      <c r="E413" s="1"/>
      <c r="F413" s="1"/>
    </row>
    <row r="414" ht="14.25" customHeight="1">
      <c r="A414" s="52"/>
      <c r="B414" s="53"/>
      <c r="C414" s="53"/>
      <c r="D414" s="1"/>
      <c r="E414" s="1"/>
      <c r="F414" s="1"/>
    </row>
    <row r="415" ht="14.25" customHeight="1">
      <c r="A415" s="52"/>
      <c r="B415" s="53"/>
      <c r="C415" s="53"/>
      <c r="D415" s="1"/>
      <c r="E415" s="1"/>
      <c r="F415" s="1"/>
    </row>
    <row r="416" ht="14.25" customHeight="1">
      <c r="A416" s="52"/>
      <c r="B416" s="53"/>
      <c r="C416" s="53"/>
      <c r="D416" s="1"/>
      <c r="E416" s="1"/>
      <c r="F416" s="1"/>
    </row>
    <row r="417" ht="14.25" customHeight="1">
      <c r="A417" s="52"/>
      <c r="B417" s="53"/>
      <c r="C417" s="53"/>
      <c r="D417" s="1"/>
      <c r="E417" s="1"/>
      <c r="F417" s="1"/>
    </row>
    <row r="418" ht="14.25" customHeight="1">
      <c r="A418" s="52"/>
      <c r="B418" s="53"/>
      <c r="C418" s="53"/>
      <c r="D418" s="1"/>
      <c r="E418" s="1"/>
      <c r="F418" s="1"/>
    </row>
    <row r="419" ht="14.25" customHeight="1">
      <c r="A419" s="52"/>
      <c r="B419" s="53"/>
      <c r="C419" s="53"/>
      <c r="D419" s="1"/>
      <c r="E419" s="1"/>
      <c r="F419" s="1"/>
    </row>
    <row r="420" ht="14.25" customHeight="1">
      <c r="A420" s="52"/>
      <c r="B420" s="53"/>
      <c r="C420" s="53"/>
      <c r="D420" s="1"/>
      <c r="E420" s="1"/>
      <c r="F420" s="1"/>
    </row>
    <row r="421" ht="14.25" customHeight="1">
      <c r="A421" s="52"/>
      <c r="B421" s="53"/>
      <c r="C421" s="53"/>
      <c r="D421" s="1"/>
      <c r="E421" s="1"/>
      <c r="F421" s="1"/>
    </row>
    <row r="422" ht="14.25" customHeight="1">
      <c r="A422" s="52"/>
      <c r="B422" s="53"/>
      <c r="C422" s="53"/>
      <c r="D422" s="1"/>
      <c r="E422" s="1"/>
      <c r="F422" s="1"/>
    </row>
    <row r="423" ht="14.25" customHeight="1">
      <c r="A423" s="52"/>
      <c r="B423" s="53"/>
      <c r="C423" s="53"/>
      <c r="D423" s="1"/>
      <c r="E423" s="1"/>
      <c r="F423" s="1"/>
    </row>
    <row r="424" ht="14.25" customHeight="1">
      <c r="A424" s="52"/>
      <c r="B424" s="53"/>
      <c r="C424" s="53"/>
      <c r="D424" s="1"/>
      <c r="E424" s="1"/>
      <c r="F424" s="1"/>
    </row>
    <row r="425" ht="14.25" customHeight="1">
      <c r="A425" s="52"/>
      <c r="B425" s="53"/>
      <c r="C425" s="53"/>
      <c r="D425" s="1"/>
      <c r="E425" s="1"/>
      <c r="F425" s="1"/>
    </row>
    <row r="426" ht="14.25" customHeight="1">
      <c r="A426" s="52"/>
      <c r="B426" s="53"/>
      <c r="C426" s="53"/>
      <c r="D426" s="1"/>
      <c r="E426" s="1"/>
      <c r="F426" s="1"/>
    </row>
    <row r="427" ht="14.25" customHeight="1">
      <c r="A427" s="52"/>
      <c r="B427" s="53"/>
      <c r="C427" s="53"/>
      <c r="D427" s="1"/>
      <c r="E427" s="1"/>
      <c r="F427" s="1"/>
    </row>
    <row r="428" ht="14.25" customHeight="1">
      <c r="A428" s="52"/>
      <c r="B428" s="53"/>
      <c r="C428" s="53"/>
      <c r="D428" s="1"/>
      <c r="E428" s="1"/>
      <c r="F428" s="1"/>
    </row>
    <row r="429" ht="14.25" customHeight="1">
      <c r="A429" s="52"/>
      <c r="B429" s="53"/>
      <c r="C429" s="53"/>
      <c r="D429" s="1"/>
      <c r="E429" s="1"/>
      <c r="F429" s="1"/>
    </row>
    <row r="430" ht="14.25" customHeight="1">
      <c r="A430" s="52"/>
      <c r="B430" s="53"/>
      <c r="C430" s="53"/>
      <c r="D430" s="1"/>
      <c r="E430" s="1"/>
      <c r="F430" s="1"/>
    </row>
    <row r="431" ht="14.25" customHeight="1">
      <c r="A431" s="52"/>
      <c r="B431" s="53"/>
      <c r="C431" s="53"/>
      <c r="D431" s="1"/>
      <c r="E431" s="1"/>
      <c r="F431" s="1"/>
    </row>
    <row r="432" ht="14.25" customHeight="1">
      <c r="A432" s="52"/>
      <c r="B432" s="53"/>
      <c r="C432" s="53"/>
      <c r="D432" s="1"/>
      <c r="E432" s="1"/>
      <c r="F432" s="1"/>
    </row>
    <row r="433" ht="14.25" customHeight="1">
      <c r="A433" s="52"/>
      <c r="B433" s="53"/>
      <c r="C433" s="53"/>
      <c r="D433" s="1"/>
      <c r="E433" s="1"/>
      <c r="F433" s="1"/>
    </row>
    <row r="434" ht="14.25" customHeight="1">
      <c r="A434" s="52"/>
      <c r="B434" s="53"/>
      <c r="C434" s="53"/>
      <c r="D434" s="1"/>
      <c r="E434" s="1"/>
      <c r="F434" s="1"/>
    </row>
    <row r="435" ht="14.25" customHeight="1">
      <c r="A435" s="52"/>
      <c r="B435" s="53"/>
      <c r="C435" s="53"/>
      <c r="D435" s="1"/>
      <c r="E435" s="1"/>
      <c r="F435" s="1"/>
    </row>
    <row r="436" ht="14.25" customHeight="1">
      <c r="A436" s="52"/>
      <c r="B436" s="53"/>
      <c r="C436" s="53"/>
      <c r="D436" s="1"/>
      <c r="E436" s="1"/>
      <c r="F436" s="1"/>
    </row>
    <row r="437" ht="14.25" customHeight="1">
      <c r="A437" s="52"/>
      <c r="B437" s="53"/>
      <c r="C437" s="53"/>
      <c r="D437" s="1"/>
      <c r="E437" s="1"/>
      <c r="F437" s="1"/>
    </row>
    <row r="438" ht="14.25" customHeight="1">
      <c r="A438" s="52"/>
      <c r="B438" s="53"/>
      <c r="C438" s="53"/>
      <c r="D438" s="1"/>
      <c r="E438" s="1"/>
      <c r="F438" s="1"/>
    </row>
    <row r="439" ht="14.25" customHeight="1">
      <c r="A439" s="52"/>
      <c r="B439" s="53"/>
      <c r="C439" s="53"/>
      <c r="D439" s="1"/>
      <c r="E439" s="1"/>
      <c r="F439" s="1"/>
    </row>
    <row r="440" ht="14.25" customHeight="1">
      <c r="A440" s="52"/>
      <c r="B440" s="53"/>
      <c r="C440" s="53"/>
      <c r="D440" s="1"/>
      <c r="E440" s="1"/>
      <c r="F440" s="1"/>
    </row>
    <row r="441" ht="14.25" customHeight="1">
      <c r="A441" s="52"/>
      <c r="B441" s="53"/>
      <c r="C441" s="53"/>
      <c r="D441" s="1"/>
      <c r="E441" s="1"/>
      <c r="F441" s="1"/>
    </row>
    <row r="442" ht="14.25" customHeight="1">
      <c r="A442" s="52"/>
      <c r="B442" s="53"/>
      <c r="C442" s="53"/>
      <c r="D442" s="1"/>
      <c r="E442" s="1"/>
      <c r="F442" s="1"/>
    </row>
    <row r="443" ht="14.25" customHeight="1">
      <c r="A443" s="52"/>
      <c r="B443" s="53"/>
      <c r="C443" s="53"/>
      <c r="D443" s="1"/>
      <c r="E443" s="1"/>
      <c r="F443" s="1"/>
    </row>
    <row r="444" ht="14.25" customHeight="1">
      <c r="A444" s="52"/>
      <c r="B444" s="53"/>
      <c r="C444" s="53"/>
      <c r="D444" s="1"/>
      <c r="E444" s="1"/>
      <c r="F444" s="1"/>
    </row>
    <row r="445" ht="14.25" customHeight="1">
      <c r="A445" s="52"/>
      <c r="B445" s="53"/>
      <c r="C445" s="53"/>
      <c r="D445" s="1"/>
      <c r="E445" s="1"/>
      <c r="F445" s="1"/>
    </row>
    <row r="446" ht="14.25" customHeight="1">
      <c r="A446" s="52"/>
      <c r="B446" s="53"/>
      <c r="C446" s="53"/>
      <c r="D446" s="1"/>
      <c r="E446" s="1"/>
      <c r="F446" s="1"/>
    </row>
    <row r="447" ht="14.25" customHeight="1">
      <c r="A447" s="52"/>
      <c r="B447" s="53"/>
      <c r="C447" s="53"/>
      <c r="D447" s="1"/>
      <c r="E447" s="1"/>
      <c r="F447" s="1"/>
    </row>
    <row r="448" ht="14.25" customHeight="1">
      <c r="A448" s="52"/>
      <c r="B448" s="53"/>
      <c r="C448" s="53"/>
      <c r="D448" s="1"/>
      <c r="E448" s="1"/>
      <c r="F448" s="1"/>
    </row>
    <row r="449" ht="14.25" customHeight="1">
      <c r="A449" s="52"/>
      <c r="B449" s="53"/>
      <c r="C449" s="53"/>
      <c r="D449" s="1"/>
      <c r="E449" s="1"/>
      <c r="F449" s="1"/>
    </row>
    <row r="450" ht="14.25" customHeight="1">
      <c r="A450" s="52"/>
      <c r="B450" s="53"/>
      <c r="C450" s="53"/>
      <c r="D450" s="1"/>
      <c r="E450" s="1"/>
      <c r="F450" s="1"/>
    </row>
    <row r="451" ht="14.25" customHeight="1">
      <c r="A451" s="52"/>
      <c r="B451" s="53"/>
      <c r="C451" s="53"/>
      <c r="D451" s="1"/>
      <c r="E451" s="1"/>
      <c r="F451" s="1"/>
    </row>
    <row r="452" ht="14.25" customHeight="1">
      <c r="A452" s="52"/>
      <c r="B452" s="53"/>
      <c r="C452" s="53"/>
      <c r="D452" s="1"/>
      <c r="E452" s="1"/>
      <c r="F452" s="1"/>
    </row>
    <row r="453" ht="14.25" customHeight="1">
      <c r="A453" s="52"/>
      <c r="B453" s="53"/>
      <c r="C453" s="53"/>
      <c r="D453" s="1"/>
      <c r="E453" s="1"/>
      <c r="F453" s="1"/>
    </row>
    <row r="454" ht="14.25" customHeight="1">
      <c r="A454" s="52"/>
      <c r="B454" s="53"/>
      <c r="C454" s="53"/>
      <c r="D454" s="1"/>
      <c r="E454" s="1"/>
      <c r="F454" s="1"/>
    </row>
    <row r="455" ht="14.25" customHeight="1">
      <c r="A455" s="52"/>
      <c r="B455" s="53"/>
      <c r="C455" s="53"/>
      <c r="D455" s="1"/>
      <c r="E455" s="1"/>
      <c r="F455" s="1"/>
    </row>
    <row r="456" ht="14.25" customHeight="1">
      <c r="A456" s="52"/>
      <c r="B456" s="53"/>
      <c r="C456" s="53"/>
      <c r="D456" s="1"/>
      <c r="E456" s="1"/>
      <c r="F456" s="1"/>
    </row>
    <row r="457" ht="14.25" customHeight="1">
      <c r="A457" s="52"/>
      <c r="B457" s="53"/>
      <c r="C457" s="53"/>
      <c r="D457" s="1"/>
      <c r="E457" s="1"/>
      <c r="F457" s="1"/>
    </row>
    <row r="458" ht="14.25" customHeight="1">
      <c r="A458" s="52"/>
      <c r="B458" s="53"/>
      <c r="C458" s="53"/>
      <c r="D458" s="1"/>
      <c r="E458" s="1"/>
      <c r="F458" s="1"/>
    </row>
    <row r="459" ht="14.25" customHeight="1">
      <c r="A459" s="52"/>
      <c r="B459" s="53"/>
      <c r="C459" s="53"/>
      <c r="D459" s="1"/>
      <c r="E459" s="1"/>
      <c r="F459" s="1"/>
    </row>
    <row r="460" ht="14.25" customHeight="1">
      <c r="A460" s="52"/>
      <c r="B460" s="53"/>
      <c r="C460" s="53"/>
      <c r="D460" s="1"/>
      <c r="E460" s="1"/>
      <c r="F460" s="1"/>
    </row>
    <row r="461" ht="14.25" customHeight="1">
      <c r="A461" s="52"/>
      <c r="B461" s="53"/>
      <c r="C461" s="53"/>
      <c r="D461" s="1"/>
      <c r="E461" s="1"/>
      <c r="F461" s="1"/>
    </row>
    <row r="462" ht="14.25" customHeight="1">
      <c r="A462" s="52"/>
      <c r="B462" s="53"/>
      <c r="C462" s="53"/>
      <c r="D462" s="1"/>
      <c r="E462" s="1"/>
      <c r="F462" s="1"/>
    </row>
    <row r="463" ht="14.25" customHeight="1">
      <c r="A463" s="52"/>
      <c r="B463" s="53"/>
      <c r="C463" s="53"/>
      <c r="D463" s="1"/>
      <c r="E463" s="1"/>
      <c r="F463" s="1"/>
    </row>
    <row r="464" ht="14.25" customHeight="1">
      <c r="A464" s="52"/>
      <c r="B464" s="53"/>
      <c r="C464" s="53"/>
      <c r="D464" s="1"/>
      <c r="E464" s="1"/>
      <c r="F464" s="1"/>
    </row>
    <row r="465" ht="14.25" customHeight="1">
      <c r="A465" s="52"/>
      <c r="B465" s="53"/>
      <c r="C465" s="53"/>
      <c r="D465" s="1"/>
      <c r="E465" s="1"/>
      <c r="F465" s="1"/>
    </row>
    <row r="466" ht="14.25" customHeight="1">
      <c r="A466" s="52"/>
      <c r="B466" s="53"/>
      <c r="C466" s="53"/>
      <c r="D466" s="1"/>
      <c r="E466" s="1"/>
      <c r="F466" s="1"/>
    </row>
    <row r="467" ht="14.25" customHeight="1">
      <c r="A467" s="52"/>
      <c r="B467" s="53"/>
      <c r="C467" s="53"/>
      <c r="D467" s="1"/>
      <c r="E467" s="1"/>
      <c r="F467" s="1"/>
    </row>
    <row r="468" ht="14.25" customHeight="1">
      <c r="A468" s="52"/>
      <c r="B468" s="53"/>
      <c r="C468" s="53"/>
      <c r="D468" s="1"/>
      <c r="E468" s="1"/>
      <c r="F468" s="1"/>
    </row>
    <row r="469" ht="14.25" customHeight="1">
      <c r="A469" s="52"/>
      <c r="B469" s="53"/>
      <c r="C469" s="53"/>
      <c r="D469" s="1"/>
      <c r="E469" s="1"/>
      <c r="F469" s="1"/>
    </row>
    <row r="470" ht="14.25" customHeight="1">
      <c r="A470" s="52"/>
      <c r="B470" s="53"/>
      <c r="C470" s="53"/>
      <c r="D470" s="1"/>
      <c r="E470" s="1"/>
      <c r="F470" s="1"/>
    </row>
    <row r="471" ht="14.25" customHeight="1">
      <c r="A471" s="52"/>
      <c r="B471" s="53"/>
      <c r="C471" s="53"/>
      <c r="D471" s="1"/>
      <c r="E471" s="1"/>
      <c r="F471" s="1"/>
    </row>
    <row r="472" ht="14.25" customHeight="1">
      <c r="A472" s="52"/>
      <c r="B472" s="53"/>
      <c r="C472" s="53"/>
      <c r="D472" s="1"/>
      <c r="E472" s="1"/>
      <c r="F472" s="1"/>
    </row>
    <row r="473" ht="14.25" customHeight="1">
      <c r="A473" s="52"/>
      <c r="B473" s="53"/>
      <c r="C473" s="53"/>
      <c r="D473" s="1"/>
      <c r="E473" s="1"/>
      <c r="F473" s="1"/>
    </row>
    <row r="474" ht="14.25" customHeight="1">
      <c r="A474" s="52"/>
      <c r="B474" s="53"/>
      <c r="C474" s="53"/>
      <c r="D474" s="1"/>
      <c r="E474" s="1"/>
      <c r="F474" s="1"/>
    </row>
    <row r="475" ht="14.25" customHeight="1">
      <c r="A475" s="52"/>
      <c r="B475" s="53"/>
      <c r="C475" s="53"/>
      <c r="D475" s="1"/>
      <c r="E475" s="1"/>
      <c r="F475" s="1"/>
    </row>
    <row r="476" ht="14.25" customHeight="1">
      <c r="A476" s="52"/>
      <c r="B476" s="53"/>
      <c r="C476" s="53"/>
      <c r="D476" s="1"/>
      <c r="E476" s="1"/>
      <c r="F476" s="1"/>
    </row>
    <row r="477" ht="14.25" customHeight="1">
      <c r="A477" s="52"/>
      <c r="B477" s="53"/>
      <c r="C477" s="53"/>
      <c r="D477" s="1"/>
      <c r="E477" s="1"/>
      <c r="F477" s="1"/>
    </row>
    <row r="478" ht="14.25" customHeight="1">
      <c r="A478" s="52"/>
      <c r="B478" s="53"/>
      <c r="C478" s="53"/>
      <c r="D478" s="1"/>
      <c r="E478" s="1"/>
      <c r="F478" s="1"/>
    </row>
    <row r="479" ht="14.25" customHeight="1">
      <c r="A479" s="52"/>
      <c r="B479" s="53"/>
      <c r="C479" s="53"/>
      <c r="D479" s="1"/>
      <c r="E479" s="1"/>
      <c r="F479" s="1"/>
    </row>
    <row r="480" ht="14.25" customHeight="1">
      <c r="A480" s="52"/>
      <c r="B480" s="53"/>
      <c r="C480" s="53"/>
      <c r="D480" s="1"/>
      <c r="E480" s="1"/>
      <c r="F480" s="1"/>
    </row>
    <row r="481" ht="14.25" customHeight="1">
      <c r="A481" s="52"/>
      <c r="B481" s="53"/>
      <c r="C481" s="53"/>
      <c r="D481" s="1"/>
      <c r="E481" s="1"/>
      <c r="F481" s="1"/>
    </row>
    <row r="482" ht="14.25" customHeight="1">
      <c r="A482" s="52"/>
      <c r="B482" s="53"/>
      <c r="C482" s="53"/>
      <c r="D482" s="1"/>
      <c r="E482" s="1"/>
      <c r="F482" s="1"/>
    </row>
    <row r="483" ht="14.25" customHeight="1">
      <c r="A483" s="52"/>
      <c r="B483" s="53"/>
      <c r="C483" s="53"/>
      <c r="D483" s="1"/>
      <c r="E483" s="1"/>
      <c r="F483" s="1"/>
    </row>
    <row r="484" ht="14.25" customHeight="1">
      <c r="A484" s="52"/>
      <c r="B484" s="53"/>
      <c r="C484" s="53"/>
      <c r="D484" s="1"/>
      <c r="E484" s="1"/>
      <c r="F484" s="1"/>
    </row>
    <row r="485" ht="14.25" customHeight="1">
      <c r="A485" s="52"/>
      <c r="B485" s="53"/>
      <c r="C485" s="53"/>
      <c r="D485" s="1"/>
      <c r="E485" s="1"/>
      <c r="F485" s="1"/>
    </row>
    <row r="486" ht="14.25" customHeight="1">
      <c r="A486" s="52"/>
      <c r="B486" s="53"/>
      <c r="C486" s="53"/>
      <c r="D486" s="1"/>
      <c r="E486" s="1"/>
      <c r="F486" s="1"/>
    </row>
    <row r="487" ht="14.25" customHeight="1">
      <c r="A487" s="52"/>
      <c r="B487" s="53"/>
      <c r="C487" s="53"/>
      <c r="D487" s="1"/>
      <c r="E487" s="1"/>
      <c r="F487" s="1"/>
    </row>
    <row r="488" ht="14.25" customHeight="1">
      <c r="A488" s="52"/>
      <c r="B488" s="53"/>
      <c r="C488" s="53"/>
      <c r="D488" s="1"/>
      <c r="E488" s="1"/>
      <c r="F488" s="1"/>
    </row>
    <row r="489" ht="14.25" customHeight="1">
      <c r="A489" s="52"/>
      <c r="B489" s="53"/>
      <c r="C489" s="53"/>
      <c r="D489" s="1"/>
      <c r="E489" s="1"/>
      <c r="F489" s="1"/>
    </row>
    <row r="490" ht="14.25" customHeight="1">
      <c r="A490" s="52"/>
      <c r="B490" s="53"/>
      <c r="C490" s="53"/>
      <c r="D490" s="1"/>
      <c r="E490" s="1"/>
      <c r="F490" s="1"/>
    </row>
    <row r="491" ht="14.25" customHeight="1">
      <c r="A491" s="52"/>
      <c r="B491" s="53"/>
      <c r="C491" s="53"/>
      <c r="D491" s="1"/>
      <c r="E491" s="1"/>
      <c r="F491" s="1"/>
    </row>
    <row r="492" ht="14.25" customHeight="1">
      <c r="A492" s="52"/>
      <c r="B492" s="53"/>
      <c r="C492" s="53"/>
      <c r="D492" s="1"/>
      <c r="E492" s="1"/>
      <c r="F492" s="1"/>
    </row>
    <row r="493" ht="14.25" customHeight="1">
      <c r="A493" s="52"/>
      <c r="B493" s="53"/>
      <c r="C493" s="53"/>
      <c r="D493" s="1"/>
      <c r="E493" s="1"/>
      <c r="F493" s="1"/>
    </row>
    <row r="494" ht="14.25" customHeight="1">
      <c r="A494" s="52"/>
      <c r="B494" s="53"/>
      <c r="C494" s="53"/>
      <c r="D494" s="1"/>
      <c r="E494" s="1"/>
      <c r="F494" s="1"/>
    </row>
    <row r="495" ht="14.25" customHeight="1">
      <c r="A495" s="52"/>
      <c r="B495" s="53"/>
      <c r="C495" s="53"/>
      <c r="D495" s="1"/>
      <c r="E495" s="1"/>
      <c r="F495" s="1"/>
    </row>
    <row r="496" ht="14.25" customHeight="1">
      <c r="A496" s="52"/>
      <c r="B496" s="53"/>
      <c r="C496" s="53"/>
      <c r="D496" s="1"/>
      <c r="E496" s="1"/>
      <c r="F496" s="1"/>
    </row>
    <row r="497" ht="14.25" customHeight="1">
      <c r="A497" s="52"/>
      <c r="B497" s="53"/>
      <c r="C497" s="53"/>
      <c r="D497" s="1"/>
      <c r="E497" s="1"/>
      <c r="F497" s="1"/>
    </row>
    <row r="498" ht="14.25" customHeight="1">
      <c r="A498" s="52"/>
      <c r="B498" s="53"/>
      <c r="C498" s="53"/>
      <c r="D498" s="1"/>
      <c r="E498" s="1"/>
      <c r="F498" s="1"/>
    </row>
    <row r="499" ht="14.25" customHeight="1">
      <c r="A499" s="52"/>
      <c r="B499" s="53"/>
      <c r="C499" s="53"/>
      <c r="D499" s="1"/>
      <c r="E499" s="1"/>
      <c r="F499" s="1"/>
    </row>
    <row r="500" ht="14.25" customHeight="1">
      <c r="A500" s="52"/>
      <c r="B500" s="53"/>
      <c r="C500" s="53"/>
      <c r="D500" s="1"/>
      <c r="E500" s="1"/>
      <c r="F500" s="1"/>
    </row>
    <row r="501" ht="14.25" customHeight="1">
      <c r="A501" s="52"/>
      <c r="B501" s="53"/>
      <c r="C501" s="53"/>
      <c r="D501" s="1"/>
      <c r="E501" s="1"/>
      <c r="F501" s="1"/>
    </row>
    <row r="502" ht="14.25" customHeight="1">
      <c r="A502" s="52"/>
      <c r="B502" s="53"/>
      <c r="C502" s="53"/>
      <c r="D502" s="1"/>
      <c r="E502" s="1"/>
      <c r="F502" s="1"/>
    </row>
    <row r="503" ht="14.25" customHeight="1">
      <c r="A503" s="52"/>
      <c r="B503" s="53"/>
      <c r="C503" s="53"/>
      <c r="D503" s="1"/>
      <c r="E503" s="1"/>
      <c r="F503" s="1"/>
    </row>
    <row r="504" ht="14.25" customHeight="1">
      <c r="A504" s="52"/>
      <c r="B504" s="53"/>
      <c r="C504" s="53"/>
      <c r="D504" s="1"/>
      <c r="E504" s="1"/>
      <c r="F504" s="1"/>
    </row>
    <row r="505" ht="14.25" customHeight="1">
      <c r="A505" s="52"/>
      <c r="B505" s="53"/>
      <c r="C505" s="53"/>
      <c r="D505" s="1"/>
      <c r="E505" s="1"/>
      <c r="F505" s="1"/>
    </row>
    <row r="506" ht="14.25" customHeight="1">
      <c r="A506" s="52"/>
      <c r="B506" s="53"/>
      <c r="C506" s="53"/>
      <c r="D506" s="1"/>
      <c r="E506" s="1"/>
      <c r="F506" s="1"/>
    </row>
    <row r="507" ht="14.25" customHeight="1">
      <c r="A507" s="52"/>
      <c r="B507" s="53"/>
      <c r="C507" s="53"/>
      <c r="D507" s="1"/>
      <c r="E507" s="1"/>
      <c r="F507" s="1"/>
    </row>
    <row r="508" ht="14.25" customHeight="1">
      <c r="A508" s="52"/>
      <c r="B508" s="53"/>
      <c r="C508" s="53"/>
      <c r="D508" s="1"/>
      <c r="E508" s="1"/>
      <c r="F508" s="1"/>
    </row>
    <row r="509" ht="14.25" customHeight="1">
      <c r="A509" s="52"/>
      <c r="B509" s="53"/>
      <c r="C509" s="53"/>
      <c r="D509" s="1"/>
      <c r="E509" s="1"/>
      <c r="F509" s="1"/>
    </row>
    <row r="510" ht="14.25" customHeight="1">
      <c r="A510" s="52"/>
      <c r="B510" s="53"/>
      <c r="C510" s="53"/>
      <c r="D510" s="1"/>
      <c r="E510" s="1"/>
      <c r="F510" s="1"/>
    </row>
    <row r="511" ht="14.25" customHeight="1">
      <c r="A511" s="52"/>
      <c r="B511" s="53"/>
      <c r="C511" s="53"/>
      <c r="D511" s="1"/>
      <c r="E511" s="1"/>
      <c r="F511" s="1"/>
    </row>
    <row r="512" ht="14.25" customHeight="1">
      <c r="A512" s="52"/>
      <c r="B512" s="53"/>
      <c r="C512" s="53"/>
      <c r="D512" s="1"/>
      <c r="E512" s="1"/>
      <c r="F512" s="1"/>
    </row>
    <row r="513" ht="14.25" customHeight="1">
      <c r="A513" s="52"/>
      <c r="B513" s="53"/>
      <c r="C513" s="53"/>
      <c r="D513" s="1"/>
      <c r="E513" s="1"/>
      <c r="F513" s="1"/>
    </row>
    <row r="514" ht="14.25" customHeight="1">
      <c r="A514" s="52"/>
      <c r="B514" s="53"/>
      <c r="C514" s="53"/>
      <c r="D514" s="1"/>
      <c r="E514" s="1"/>
      <c r="F514" s="1"/>
    </row>
    <row r="515" ht="14.25" customHeight="1">
      <c r="A515" s="52"/>
      <c r="B515" s="53"/>
      <c r="C515" s="53"/>
      <c r="D515" s="1"/>
      <c r="E515" s="1"/>
      <c r="F515" s="1"/>
    </row>
    <row r="516" ht="14.25" customHeight="1">
      <c r="A516" s="52"/>
      <c r="B516" s="53"/>
      <c r="C516" s="53"/>
      <c r="D516" s="1"/>
      <c r="E516" s="1"/>
      <c r="F516" s="1"/>
    </row>
    <row r="517" ht="14.25" customHeight="1">
      <c r="A517" s="52"/>
      <c r="B517" s="53"/>
      <c r="C517" s="53"/>
      <c r="D517" s="1"/>
      <c r="E517" s="1"/>
      <c r="F517" s="1"/>
    </row>
    <row r="518" ht="14.25" customHeight="1">
      <c r="A518" s="52"/>
      <c r="B518" s="53"/>
      <c r="C518" s="53"/>
      <c r="D518" s="1"/>
      <c r="E518" s="1"/>
      <c r="F518" s="1"/>
    </row>
    <row r="519" ht="14.25" customHeight="1">
      <c r="A519" s="52"/>
      <c r="B519" s="53"/>
      <c r="C519" s="53"/>
      <c r="D519" s="1"/>
      <c r="E519" s="1"/>
      <c r="F519" s="1"/>
    </row>
    <row r="520" ht="14.25" customHeight="1">
      <c r="A520" s="52"/>
      <c r="B520" s="53"/>
      <c r="C520" s="53"/>
      <c r="D520" s="1"/>
      <c r="E520" s="1"/>
      <c r="F520" s="1"/>
    </row>
    <row r="521" ht="14.25" customHeight="1">
      <c r="A521" s="52"/>
      <c r="B521" s="53"/>
      <c r="C521" s="53"/>
      <c r="D521" s="1"/>
      <c r="E521" s="1"/>
      <c r="F521" s="1"/>
    </row>
    <row r="522" ht="14.25" customHeight="1">
      <c r="A522" s="52"/>
      <c r="B522" s="53"/>
      <c r="C522" s="53"/>
      <c r="D522" s="1"/>
      <c r="E522" s="1"/>
      <c r="F522" s="1"/>
    </row>
    <row r="523" ht="14.25" customHeight="1">
      <c r="A523" s="52"/>
      <c r="B523" s="53"/>
      <c r="C523" s="53"/>
      <c r="D523" s="1"/>
      <c r="E523" s="1"/>
      <c r="F523" s="1"/>
    </row>
    <row r="524" ht="14.25" customHeight="1">
      <c r="A524" s="52"/>
      <c r="B524" s="53"/>
      <c r="C524" s="53"/>
      <c r="D524" s="1"/>
      <c r="E524" s="1"/>
      <c r="F524" s="1"/>
    </row>
    <row r="525" ht="14.25" customHeight="1">
      <c r="A525" s="52"/>
      <c r="B525" s="53"/>
      <c r="C525" s="53"/>
      <c r="D525" s="1"/>
      <c r="E525" s="1"/>
      <c r="F525" s="1"/>
    </row>
    <row r="526" ht="14.25" customHeight="1">
      <c r="A526" s="52"/>
      <c r="B526" s="53"/>
      <c r="C526" s="53"/>
      <c r="D526" s="1"/>
      <c r="E526" s="1"/>
      <c r="F526" s="1"/>
    </row>
    <row r="527" ht="14.25" customHeight="1">
      <c r="A527" s="52"/>
      <c r="B527" s="53"/>
      <c r="C527" s="53"/>
      <c r="D527" s="1"/>
      <c r="E527" s="1"/>
      <c r="F527" s="1"/>
    </row>
    <row r="528" ht="14.25" customHeight="1">
      <c r="A528" s="52"/>
      <c r="B528" s="53"/>
      <c r="C528" s="53"/>
      <c r="D528" s="1"/>
      <c r="E528" s="1"/>
      <c r="F528" s="1"/>
    </row>
    <row r="529" ht="14.25" customHeight="1">
      <c r="A529" s="52"/>
      <c r="B529" s="53"/>
      <c r="C529" s="53"/>
      <c r="D529" s="1"/>
      <c r="E529" s="1"/>
      <c r="F529" s="1"/>
    </row>
    <row r="530" ht="14.25" customHeight="1">
      <c r="A530" s="52"/>
      <c r="B530" s="53"/>
      <c r="C530" s="53"/>
      <c r="D530" s="1"/>
      <c r="E530" s="1"/>
      <c r="F530" s="1"/>
    </row>
    <row r="531" ht="14.25" customHeight="1">
      <c r="A531" s="52"/>
      <c r="B531" s="53"/>
      <c r="C531" s="53"/>
      <c r="D531" s="1"/>
      <c r="E531" s="1"/>
      <c r="F531" s="1"/>
    </row>
    <row r="532" ht="14.25" customHeight="1">
      <c r="A532" s="52"/>
      <c r="B532" s="53"/>
      <c r="C532" s="53"/>
      <c r="D532" s="1"/>
      <c r="E532" s="1"/>
      <c r="F532" s="1"/>
    </row>
    <row r="533" ht="14.25" customHeight="1">
      <c r="A533" s="52"/>
      <c r="B533" s="53"/>
      <c r="C533" s="53"/>
      <c r="D533" s="1"/>
      <c r="E533" s="1"/>
      <c r="F533" s="1"/>
    </row>
    <row r="534" ht="14.25" customHeight="1">
      <c r="A534" s="52"/>
      <c r="B534" s="53"/>
      <c r="C534" s="53"/>
      <c r="D534" s="1"/>
      <c r="E534" s="1"/>
      <c r="F534" s="1"/>
    </row>
    <row r="535" ht="14.25" customHeight="1">
      <c r="A535" s="52"/>
      <c r="B535" s="53"/>
      <c r="C535" s="53"/>
      <c r="D535" s="1"/>
      <c r="E535" s="1"/>
      <c r="F535" s="1"/>
    </row>
    <row r="536" ht="14.25" customHeight="1">
      <c r="A536" s="52"/>
      <c r="B536" s="53"/>
      <c r="C536" s="53"/>
      <c r="D536" s="1"/>
      <c r="E536" s="1"/>
      <c r="F536" s="1"/>
    </row>
    <row r="537" ht="14.25" customHeight="1">
      <c r="A537" s="52"/>
      <c r="B537" s="53"/>
      <c r="C537" s="53"/>
      <c r="D537" s="1"/>
      <c r="E537" s="1"/>
      <c r="F537" s="1"/>
    </row>
    <row r="538" ht="14.25" customHeight="1">
      <c r="A538" s="52"/>
      <c r="B538" s="53"/>
      <c r="C538" s="53"/>
      <c r="D538" s="1"/>
      <c r="E538" s="1"/>
      <c r="F538" s="1"/>
    </row>
    <row r="539" ht="14.25" customHeight="1">
      <c r="A539" s="52"/>
      <c r="B539" s="53"/>
      <c r="C539" s="53"/>
      <c r="D539" s="1"/>
      <c r="E539" s="1"/>
      <c r="F539" s="1"/>
    </row>
    <row r="540" ht="14.25" customHeight="1">
      <c r="A540" s="52"/>
      <c r="B540" s="53"/>
      <c r="C540" s="53"/>
      <c r="D540" s="1"/>
      <c r="E540" s="1"/>
      <c r="F540" s="1"/>
    </row>
    <row r="541" ht="14.25" customHeight="1">
      <c r="A541" s="52"/>
      <c r="B541" s="53"/>
      <c r="C541" s="53"/>
      <c r="D541" s="1"/>
      <c r="E541" s="1"/>
      <c r="F541" s="1"/>
    </row>
    <row r="542" ht="14.25" customHeight="1">
      <c r="A542" s="52"/>
      <c r="B542" s="53"/>
      <c r="C542" s="53"/>
      <c r="D542" s="1"/>
      <c r="E542" s="1"/>
      <c r="F542" s="1"/>
    </row>
    <row r="543" ht="14.25" customHeight="1">
      <c r="A543" s="52"/>
      <c r="B543" s="53"/>
      <c r="C543" s="53"/>
      <c r="D543" s="1"/>
      <c r="E543" s="1"/>
      <c r="F543" s="1"/>
    </row>
    <row r="544" ht="14.25" customHeight="1">
      <c r="A544" s="52"/>
      <c r="B544" s="53"/>
      <c r="C544" s="53"/>
      <c r="D544" s="1"/>
      <c r="E544" s="1"/>
      <c r="F544" s="1"/>
    </row>
    <row r="545" ht="14.25" customHeight="1">
      <c r="A545" s="52"/>
      <c r="B545" s="53"/>
      <c r="C545" s="53"/>
      <c r="D545" s="1"/>
      <c r="E545" s="1"/>
      <c r="F545" s="1"/>
    </row>
    <row r="546" ht="14.25" customHeight="1">
      <c r="A546" s="52"/>
      <c r="B546" s="53"/>
      <c r="C546" s="53"/>
      <c r="D546" s="1"/>
      <c r="E546" s="1"/>
      <c r="F546" s="1"/>
    </row>
    <row r="547" ht="14.25" customHeight="1">
      <c r="A547" s="52"/>
      <c r="B547" s="53"/>
      <c r="C547" s="53"/>
      <c r="D547" s="1"/>
      <c r="E547" s="1"/>
      <c r="F547" s="1"/>
    </row>
    <row r="548" ht="14.25" customHeight="1">
      <c r="A548" s="52"/>
      <c r="B548" s="53"/>
      <c r="C548" s="53"/>
      <c r="D548" s="1"/>
      <c r="E548" s="1"/>
      <c r="F548" s="1"/>
    </row>
    <row r="549" ht="14.25" customHeight="1">
      <c r="A549" s="52"/>
      <c r="B549" s="53"/>
      <c r="C549" s="53"/>
      <c r="D549" s="1"/>
      <c r="E549" s="1"/>
      <c r="F549" s="1"/>
    </row>
    <row r="550" ht="14.25" customHeight="1">
      <c r="A550" s="52"/>
      <c r="B550" s="53"/>
      <c r="C550" s="53"/>
      <c r="D550" s="1"/>
      <c r="E550" s="1"/>
      <c r="F550" s="1"/>
    </row>
    <row r="551" ht="14.25" customHeight="1">
      <c r="A551" s="52"/>
      <c r="B551" s="53"/>
      <c r="C551" s="53"/>
      <c r="D551" s="1"/>
      <c r="E551" s="1"/>
      <c r="F551" s="1"/>
    </row>
    <row r="552" ht="14.25" customHeight="1">
      <c r="A552" s="52"/>
      <c r="B552" s="53"/>
      <c r="C552" s="53"/>
      <c r="D552" s="1"/>
      <c r="E552" s="1"/>
      <c r="F552" s="1"/>
    </row>
    <row r="553" ht="14.25" customHeight="1">
      <c r="A553" s="52"/>
      <c r="B553" s="53"/>
      <c r="C553" s="53"/>
      <c r="D553" s="1"/>
      <c r="E553" s="1"/>
      <c r="F553" s="1"/>
    </row>
    <row r="554" ht="14.25" customHeight="1">
      <c r="A554" s="52"/>
      <c r="B554" s="53"/>
      <c r="C554" s="53"/>
      <c r="D554" s="1"/>
      <c r="E554" s="1"/>
      <c r="F554" s="1"/>
    </row>
    <row r="555" ht="14.25" customHeight="1">
      <c r="A555" s="52"/>
      <c r="B555" s="53"/>
      <c r="C555" s="53"/>
      <c r="D555" s="1"/>
      <c r="E555" s="1"/>
      <c r="F555" s="1"/>
    </row>
    <row r="556" ht="14.25" customHeight="1">
      <c r="A556" s="52"/>
      <c r="B556" s="53"/>
      <c r="C556" s="53"/>
      <c r="D556" s="1"/>
      <c r="E556" s="1"/>
      <c r="F556" s="1"/>
    </row>
    <row r="557" ht="14.25" customHeight="1">
      <c r="A557" s="52"/>
      <c r="B557" s="53"/>
      <c r="C557" s="53"/>
      <c r="D557" s="1"/>
      <c r="E557" s="1"/>
      <c r="F557" s="1"/>
    </row>
    <row r="558" ht="14.25" customHeight="1">
      <c r="A558" s="52"/>
      <c r="B558" s="53"/>
      <c r="C558" s="53"/>
      <c r="D558" s="1"/>
      <c r="E558" s="1"/>
      <c r="F558" s="1"/>
    </row>
    <row r="559" ht="14.25" customHeight="1">
      <c r="A559" s="52"/>
      <c r="B559" s="53"/>
      <c r="C559" s="53"/>
      <c r="D559" s="1"/>
      <c r="E559" s="1"/>
      <c r="F559" s="1"/>
    </row>
    <row r="560" ht="14.25" customHeight="1">
      <c r="A560" s="52"/>
      <c r="B560" s="53"/>
      <c r="C560" s="53"/>
      <c r="D560" s="1"/>
      <c r="E560" s="1"/>
      <c r="F560" s="1"/>
    </row>
    <row r="561" ht="14.25" customHeight="1">
      <c r="A561" s="52"/>
      <c r="B561" s="53"/>
      <c r="C561" s="53"/>
      <c r="D561" s="1"/>
      <c r="E561" s="1"/>
      <c r="F561" s="1"/>
    </row>
    <row r="562" ht="14.25" customHeight="1">
      <c r="A562" s="52"/>
      <c r="B562" s="53"/>
      <c r="C562" s="53"/>
      <c r="D562" s="1"/>
      <c r="E562" s="1"/>
      <c r="F562" s="1"/>
    </row>
    <row r="563" ht="14.25" customHeight="1">
      <c r="A563" s="52"/>
      <c r="B563" s="53"/>
      <c r="C563" s="53"/>
      <c r="D563" s="1"/>
      <c r="E563" s="1"/>
      <c r="F563" s="1"/>
    </row>
    <row r="564" ht="14.25" customHeight="1">
      <c r="A564" s="52"/>
      <c r="B564" s="53"/>
      <c r="C564" s="53"/>
      <c r="D564" s="1"/>
      <c r="E564" s="1"/>
      <c r="F564" s="1"/>
    </row>
    <row r="565" ht="14.25" customHeight="1">
      <c r="A565" s="52"/>
      <c r="B565" s="53"/>
      <c r="C565" s="53"/>
      <c r="D565" s="1"/>
      <c r="E565" s="1"/>
      <c r="F565" s="1"/>
    </row>
    <row r="566" ht="14.25" customHeight="1">
      <c r="A566" s="52"/>
      <c r="B566" s="53"/>
      <c r="C566" s="53"/>
      <c r="D566" s="1"/>
      <c r="E566" s="1"/>
      <c r="F566" s="1"/>
    </row>
    <row r="567" ht="14.25" customHeight="1">
      <c r="A567" s="52"/>
      <c r="B567" s="53"/>
      <c r="C567" s="53"/>
      <c r="D567" s="1"/>
      <c r="E567" s="1"/>
      <c r="F567" s="1"/>
    </row>
    <row r="568" ht="14.25" customHeight="1">
      <c r="A568" s="52"/>
      <c r="B568" s="53"/>
      <c r="C568" s="53"/>
      <c r="D568" s="1"/>
      <c r="E568" s="1"/>
      <c r="F568" s="1"/>
    </row>
    <row r="569" ht="14.25" customHeight="1">
      <c r="A569" s="52"/>
      <c r="B569" s="53"/>
      <c r="C569" s="53"/>
      <c r="D569" s="1"/>
      <c r="E569" s="1"/>
      <c r="F569" s="1"/>
    </row>
    <row r="570" ht="14.25" customHeight="1">
      <c r="A570" s="52"/>
      <c r="B570" s="53"/>
      <c r="C570" s="53"/>
      <c r="D570" s="1"/>
      <c r="E570" s="1"/>
      <c r="F570" s="1"/>
    </row>
    <row r="571" ht="14.25" customHeight="1">
      <c r="A571" s="52"/>
      <c r="B571" s="53"/>
      <c r="C571" s="53"/>
      <c r="D571" s="1"/>
      <c r="E571" s="1"/>
      <c r="F571" s="1"/>
    </row>
    <row r="572" ht="14.25" customHeight="1">
      <c r="A572" s="52"/>
      <c r="B572" s="53"/>
      <c r="C572" s="53"/>
      <c r="D572" s="1"/>
      <c r="E572" s="1"/>
      <c r="F572" s="1"/>
    </row>
    <row r="573" ht="14.25" customHeight="1">
      <c r="A573" s="52"/>
      <c r="B573" s="53"/>
      <c r="C573" s="53"/>
      <c r="D573" s="1"/>
      <c r="E573" s="1"/>
      <c r="F573" s="1"/>
    </row>
    <row r="574" ht="14.25" customHeight="1">
      <c r="A574" s="52"/>
      <c r="B574" s="53"/>
      <c r="C574" s="53"/>
      <c r="D574" s="1"/>
      <c r="E574" s="1"/>
      <c r="F574" s="1"/>
    </row>
    <row r="575" ht="14.25" customHeight="1">
      <c r="A575" s="52"/>
      <c r="B575" s="53"/>
      <c r="C575" s="53"/>
      <c r="D575" s="1"/>
      <c r="E575" s="1"/>
      <c r="F575" s="1"/>
    </row>
    <row r="576" ht="14.25" customHeight="1">
      <c r="A576" s="52"/>
      <c r="B576" s="53"/>
      <c r="C576" s="53"/>
      <c r="D576" s="1"/>
      <c r="E576" s="1"/>
      <c r="F576" s="1"/>
    </row>
    <row r="577" ht="14.25" customHeight="1">
      <c r="A577" s="52"/>
      <c r="B577" s="53"/>
      <c r="C577" s="53"/>
      <c r="D577" s="1"/>
      <c r="E577" s="1"/>
      <c r="F577" s="1"/>
    </row>
    <row r="578" ht="14.25" customHeight="1">
      <c r="A578" s="52"/>
      <c r="B578" s="53"/>
      <c r="C578" s="53"/>
      <c r="D578" s="1"/>
      <c r="E578" s="1"/>
      <c r="F578" s="1"/>
    </row>
    <row r="579" ht="14.25" customHeight="1">
      <c r="A579" s="52"/>
      <c r="B579" s="53"/>
      <c r="C579" s="53"/>
      <c r="D579" s="1"/>
      <c r="E579" s="1"/>
      <c r="F579" s="1"/>
    </row>
    <row r="580" ht="14.25" customHeight="1">
      <c r="A580" s="52"/>
      <c r="B580" s="53"/>
      <c r="C580" s="53"/>
      <c r="D580" s="1"/>
      <c r="E580" s="1"/>
      <c r="F580" s="1"/>
    </row>
    <row r="581" ht="14.25" customHeight="1">
      <c r="A581" s="52"/>
      <c r="B581" s="53"/>
      <c r="C581" s="53"/>
      <c r="D581" s="1"/>
      <c r="E581" s="1"/>
      <c r="F581" s="1"/>
    </row>
    <row r="582" ht="14.25" customHeight="1">
      <c r="A582" s="52"/>
      <c r="B582" s="53"/>
      <c r="C582" s="53"/>
      <c r="D582" s="1"/>
      <c r="E582" s="1"/>
      <c r="F582" s="1"/>
    </row>
    <row r="583" ht="14.25" customHeight="1">
      <c r="A583" s="52"/>
      <c r="B583" s="53"/>
      <c r="C583" s="53"/>
      <c r="D583" s="1"/>
      <c r="E583" s="1"/>
      <c r="F583" s="1"/>
    </row>
    <row r="584" ht="14.25" customHeight="1">
      <c r="A584" s="52"/>
      <c r="B584" s="53"/>
      <c r="C584" s="53"/>
      <c r="D584" s="1"/>
      <c r="E584" s="1"/>
      <c r="F584" s="1"/>
    </row>
    <row r="585" ht="14.25" customHeight="1">
      <c r="A585" s="52"/>
      <c r="B585" s="53"/>
      <c r="C585" s="53"/>
      <c r="D585" s="1"/>
      <c r="E585" s="1"/>
      <c r="F585" s="1"/>
    </row>
    <row r="586" ht="14.25" customHeight="1">
      <c r="A586" s="52"/>
      <c r="B586" s="53"/>
      <c r="C586" s="53"/>
      <c r="D586" s="1"/>
      <c r="E586" s="1"/>
      <c r="F586" s="1"/>
    </row>
    <row r="587" ht="14.25" customHeight="1">
      <c r="A587" s="52"/>
      <c r="B587" s="53"/>
      <c r="C587" s="53"/>
      <c r="D587" s="1"/>
      <c r="E587" s="1"/>
      <c r="F587" s="1"/>
    </row>
    <row r="588" ht="14.25" customHeight="1">
      <c r="A588" s="52"/>
      <c r="B588" s="53"/>
      <c r="C588" s="53"/>
      <c r="D588" s="1"/>
      <c r="E588" s="1"/>
      <c r="F588" s="1"/>
    </row>
    <row r="589" ht="14.25" customHeight="1">
      <c r="A589" s="52"/>
      <c r="B589" s="53"/>
      <c r="C589" s="53"/>
      <c r="D589" s="1"/>
      <c r="E589" s="1"/>
      <c r="F589" s="1"/>
    </row>
    <row r="590" ht="14.25" customHeight="1">
      <c r="A590" s="52"/>
      <c r="B590" s="53"/>
      <c r="C590" s="53"/>
      <c r="D590" s="1"/>
      <c r="E590" s="1"/>
      <c r="F590" s="1"/>
    </row>
    <row r="591" ht="14.25" customHeight="1">
      <c r="A591" s="52"/>
      <c r="B591" s="53"/>
      <c r="C591" s="53"/>
      <c r="D591" s="1"/>
      <c r="E591" s="1"/>
      <c r="F591" s="1"/>
    </row>
    <row r="592" ht="14.25" customHeight="1">
      <c r="A592" s="52"/>
      <c r="B592" s="53"/>
      <c r="C592" s="53"/>
      <c r="D592" s="1"/>
      <c r="E592" s="1"/>
      <c r="F592" s="1"/>
    </row>
    <row r="593" ht="14.25" customHeight="1">
      <c r="A593" s="52"/>
      <c r="B593" s="53"/>
      <c r="C593" s="53"/>
      <c r="D593" s="1"/>
      <c r="E593" s="1"/>
      <c r="F593" s="1"/>
    </row>
    <row r="594" ht="14.25" customHeight="1">
      <c r="A594" s="52"/>
      <c r="B594" s="53"/>
      <c r="C594" s="53"/>
      <c r="D594" s="1"/>
      <c r="E594" s="1"/>
      <c r="F594" s="1"/>
    </row>
    <row r="595" ht="14.25" customHeight="1">
      <c r="A595" s="52"/>
      <c r="B595" s="53"/>
      <c r="C595" s="53"/>
      <c r="D595" s="1"/>
      <c r="E595" s="1"/>
      <c r="F595" s="1"/>
    </row>
    <row r="596" ht="14.25" customHeight="1">
      <c r="A596" s="52"/>
      <c r="B596" s="53"/>
      <c r="C596" s="53"/>
      <c r="D596" s="1"/>
      <c r="E596" s="1"/>
      <c r="F596" s="1"/>
    </row>
    <row r="597" ht="14.25" customHeight="1">
      <c r="A597" s="52"/>
      <c r="B597" s="53"/>
      <c r="C597" s="53"/>
      <c r="D597" s="1"/>
      <c r="E597" s="1"/>
      <c r="F597" s="1"/>
    </row>
    <row r="598" ht="14.25" customHeight="1">
      <c r="A598" s="52"/>
      <c r="B598" s="53"/>
      <c r="C598" s="53"/>
      <c r="D598" s="1"/>
      <c r="E598" s="1"/>
      <c r="F598" s="1"/>
    </row>
    <row r="599" ht="14.25" customHeight="1">
      <c r="A599" s="52"/>
      <c r="B599" s="53"/>
      <c r="C599" s="53"/>
      <c r="D599" s="1"/>
      <c r="E599" s="1"/>
      <c r="F599" s="1"/>
    </row>
    <row r="600" ht="14.25" customHeight="1">
      <c r="A600" s="52"/>
      <c r="B600" s="53"/>
      <c r="C600" s="53"/>
      <c r="D600" s="1"/>
      <c r="E600" s="1"/>
      <c r="F600" s="1"/>
    </row>
    <row r="601" ht="14.25" customHeight="1">
      <c r="A601" s="52"/>
      <c r="B601" s="53"/>
      <c r="C601" s="53"/>
      <c r="D601" s="1"/>
      <c r="E601" s="1"/>
      <c r="F601" s="1"/>
    </row>
    <row r="602" ht="14.25" customHeight="1">
      <c r="A602" s="52"/>
      <c r="B602" s="53"/>
      <c r="C602" s="53"/>
      <c r="D602" s="1"/>
      <c r="E602" s="1"/>
      <c r="F602" s="1"/>
    </row>
    <row r="603" ht="14.25" customHeight="1">
      <c r="A603" s="52"/>
      <c r="B603" s="53"/>
      <c r="C603" s="53"/>
      <c r="D603" s="1"/>
      <c r="E603" s="1"/>
      <c r="F603" s="1"/>
    </row>
    <row r="604" ht="14.25" customHeight="1">
      <c r="A604" s="52"/>
      <c r="B604" s="53"/>
      <c r="C604" s="53"/>
      <c r="D604" s="1"/>
      <c r="E604" s="1"/>
      <c r="F604" s="1"/>
    </row>
    <row r="605" ht="14.25" customHeight="1">
      <c r="A605" s="52"/>
      <c r="B605" s="53"/>
      <c r="C605" s="53"/>
      <c r="D605" s="1"/>
      <c r="E605" s="1"/>
      <c r="F605" s="1"/>
    </row>
    <row r="606" ht="14.25" customHeight="1">
      <c r="A606" s="52"/>
      <c r="B606" s="53"/>
      <c r="C606" s="53"/>
      <c r="D606" s="1"/>
      <c r="E606" s="1"/>
      <c r="F606" s="1"/>
    </row>
    <row r="607" ht="14.25" customHeight="1">
      <c r="A607" s="52"/>
      <c r="B607" s="53"/>
      <c r="C607" s="53"/>
      <c r="D607" s="1"/>
      <c r="E607" s="1"/>
      <c r="F607" s="1"/>
    </row>
    <row r="608" ht="14.25" customHeight="1">
      <c r="A608" s="52"/>
      <c r="B608" s="53"/>
      <c r="C608" s="53"/>
      <c r="D608" s="1"/>
      <c r="E608" s="1"/>
      <c r="F608" s="1"/>
    </row>
    <row r="609" ht="14.25" customHeight="1">
      <c r="A609" s="52"/>
      <c r="B609" s="53"/>
      <c r="C609" s="53"/>
      <c r="D609" s="1"/>
      <c r="E609" s="1"/>
      <c r="F609" s="1"/>
    </row>
    <row r="610" ht="14.25" customHeight="1">
      <c r="A610" s="52"/>
      <c r="B610" s="53"/>
      <c r="C610" s="53"/>
      <c r="D610" s="1"/>
      <c r="E610" s="1"/>
      <c r="F610" s="1"/>
    </row>
    <row r="611" ht="14.25" customHeight="1">
      <c r="A611" s="52"/>
      <c r="B611" s="53"/>
      <c r="C611" s="53"/>
      <c r="D611" s="1"/>
      <c r="E611" s="1"/>
      <c r="F611" s="1"/>
    </row>
    <row r="612" ht="14.25" customHeight="1">
      <c r="A612" s="52"/>
      <c r="B612" s="53"/>
      <c r="C612" s="53"/>
      <c r="D612" s="1"/>
      <c r="E612" s="1"/>
      <c r="F612" s="1"/>
    </row>
    <row r="613" ht="14.25" customHeight="1">
      <c r="A613" s="52"/>
      <c r="B613" s="53"/>
      <c r="C613" s="53"/>
      <c r="D613" s="1"/>
      <c r="E613" s="1"/>
      <c r="F613" s="1"/>
    </row>
    <row r="614" ht="14.25" customHeight="1">
      <c r="A614" s="52"/>
      <c r="B614" s="53"/>
      <c r="C614" s="53"/>
      <c r="D614" s="1"/>
      <c r="E614" s="1"/>
      <c r="F614" s="1"/>
    </row>
    <row r="615" ht="14.25" customHeight="1">
      <c r="A615" s="52"/>
      <c r="B615" s="53"/>
      <c r="C615" s="53"/>
      <c r="D615" s="1"/>
      <c r="E615" s="1"/>
      <c r="F615" s="1"/>
    </row>
    <row r="616" ht="14.25" customHeight="1">
      <c r="A616" s="52"/>
      <c r="B616" s="53"/>
      <c r="C616" s="53"/>
      <c r="D616" s="1"/>
      <c r="E616" s="1"/>
      <c r="F616" s="1"/>
    </row>
    <row r="617" ht="14.25" customHeight="1">
      <c r="A617" s="52"/>
      <c r="B617" s="53"/>
      <c r="C617" s="53"/>
      <c r="D617" s="1"/>
      <c r="E617" s="1"/>
      <c r="F617" s="1"/>
    </row>
    <row r="618" ht="14.25" customHeight="1">
      <c r="A618" s="52"/>
      <c r="B618" s="53"/>
      <c r="C618" s="53"/>
      <c r="D618" s="1"/>
      <c r="E618" s="1"/>
      <c r="F618" s="1"/>
    </row>
    <row r="619" ht="14.25" customHeight="1">
      <c r="A619" s="52"/>
      <c r="B619" s="53"/>
      <c r="C619" s="53"/>
      <c r="D619" s="1"/>
      <c r="E619" s="1"/>
      <c r="F619" s="1"/>
    </row>
    <row r="620" ht="14.25" customHeight="1">
      <c r="A620" s="52"/>
      <c r="B620" s="53"/>
      <c r="C620" s="53"/>
      <c r="D620" s="1"/>
      <c r="E620" s="1"/>
      <c r="F620" s="1"/>
    </row>
    <row r="621" ht="14.25" customHeight="1">
      <c r="A621" s="52"/>
      <c r="B621" s="53"/>
      <c r="C621" s="53"/>
      <c r="D621" s="1"/>
      <c r="E621" s="1"/>
      <c r="F621" s="1"/>
    </row>
    <row r="622" ht="14.25" customHeight="1">
      <c r="A622" s="52"/>
      <c r="B622" s="53"/>
      <c r="C622" s="53"/>
      <c r="D622" s="1"/>
      <c r="E622" s="1"/>
      <c r="F622" s="1"/>
    </row>
    <row r="623" ht="14.25" customHeight="1">
      <c r="A623" s="52"/>
      <c r="B623" s="53"/>
      <c r="C623" s="53"/>
      <c r="D623" s="1"/>
      <c r="E623" s="1"/>
      <c r="F623" s="1"/>
    </row>
    <row r="624" ht="14.25" customHeight="1">
      <c r="A624" s="52"/>
      <c r="B624" s="53"/>
      <c r="C624" s="53"/>
      <c r="D624" s="1"/>
      <c r="E624" s="1"/>
      <c r="F624" s="1"/>
    </row>
    <row r="625" ht="14.25" customHeight="1">
      <c r="A625" s="52"/>
      <c r="B625" s="53"/>
      <c r="C625" s="53"/>
      <c r="D625" s="1"/>
      <c r="E625" s="1"/>
      <c r="F625" s="1"/>
    </row>
    <row r="626" ht="14.25" customHeight="1">
      <c r="A626" s="52"/>
      <c r="B626" s="53"/>
      <c r="C626" s="53"/>
      <c r="D626" s="1"/>
      <c r="E626" s="1"/>
      <c r="F626" s="1"/>
    </row>
    <row r="627" ht="14.25" customHeight="1">
      <c r="A627" s="52"/>
      <c r="B627" s="53"/>
      <c r="C627" s="53"/>
      <c r="D627" s="1"/>
      <c r="E627" s="1"/>
      <c r="F627" s="1"/>
    </row>
    <row r="628" ht="14.25" customHeight="1">
      <c r="A628" s="52"/>
      <c r="B628" s="53"/>
      <c r="C628" s="53"/>
      <c r="D628" s="1"/>
      <c r="E628" s="1"/>
      <c r="F628" s="1"/>
    </row>
    <row r="629" ht="14.25" customHeight="1">
      <c r="A629" s="52"/>
      <c r="B629" s="53"/>
      <c r="C629" s="53"/>
      <c r="D629" s="1"/>
      <c r="E629" s="1"/>
      <c r="F629" s="1"/>
    </row>
    <row r="630" ht="14.25" customHeight="1">
      <c r="A630" s="52"/>
      <c r="B630" s="53"/>
      <c r="C630" s="53"/>
      <c r="D630" s="1"/>
      <c r="E630" s="1"/>
      <c r="F630" s="1"/>
    </row>
    <row r="631" ht="14.25" customHeight="1">
      <c r="A631" s="52"/>
      <c r="B631" s="53"/>
      <c r="C631" s="53"/>
      <c r="D631" s="1"/>
      <c r="E631" s="1"/>
      <c r="F631" s="1"/>
    </row>
    <row r="632" ht="14.25" customHeight="1">
      <c r="A632" s="52"/>
      <c r="B632" s="53"/>
      <c r="C632" s="53"/>
      <c r="D632" s="1"/>
      <c r="E632" s="1"/>
      <c r="F632" s="1"/>
    </row>
    <row r="633" ht="14.25" customHeight="1">
      <c r="A633" s="52"/>
      <c r="B633" s="53"/>
      <c r="C633" s="53"/>
      <c r="D633" s="1"/>
      <c r="E633" s="1"/>
      <c r="F633" s="1"/>
    </row>
    <row r="634" ht="14.25" customHeight="1">
      <c r="A634" s="52"/>
      <c r="B634" s="53"/>
      <c r="C634" s="53"/>
      <c r="D634" s="1"/>
      <c r="E634" s="1"/>
      <c r="F634" s="1"/>
    </row>
    <row r="635" ht="14.25" customHeight="1">
      <c r="A635" s="52"/>
      <c r="B635" s="53"/>
      <c r="C635" s="53"/>
      <c r="D635" s="1"/>
      <c r="E635" s="1"/>
      <c r="F635" s="1"/>
    </row>
    <row r="636" ht="14.25" customHeight="1">
      <c r="A636" s="52"/>
      <c r="B636" s="53"/>
      <c r="C636" s="53"/>
      <c r="D636" s="1"/>
      <c r="E636" s="1"/>
      <c r="F636" s="1"/>
    </row>
    <row r="637" ht="14.25" customHeight="1">
      <c r="A637" s="52"/>
      <c r="B637" s="53"/>
      <c r="C637" s="53"/>
      <c r="D637" s="1"/>
      <c r="E637" s="1"/>
      <c r="F637" s="1"/>
    </row>
    <row r="638" ht="14.25" customHeight="1">
      <c r="A638" s="52"/>
      <c r="B638" s="53"/>
      <c r="C638" s="53"/>
      <c r="D638" s="1"/>
      <c r="E638" s="1"/>
      <c r="F638" s="1"/>
    </row>
    <row r="639" ht="14.25" customHeight="1">
      <c r="A639" s="52"/>
      <c r="B639" s="53"/>
      <c r="C639" s="53"/>
      <c r="D639" s="1"/>
      <c r="E639" s="1"/>
      <c r="F639" s="1"/>
    </row>
    <row r="640" ht="14.25" customHeight="1">
      <c r="A640" s="52"/>
      <c r="B640" s="53"/>
      <c r="C640" s="53"/>
      <c r="D640" s="1"/>
      <c r="E640" s="1"/>
      <c r="F640" s="1"/>
    </row>
    <row r="641" ht="14.25" customHeight="1">
      <c r="A641" s="52"/>
      <c r="B641" s="53"/>
      <c r="C641" s="53"/>
      <c r="D641" s="1"/>
      <c r="E641" s="1"/>
      <c r="F641" s="1"/>
    </row>
    <row r="642" ht="14.25" customHeight="1">
      <c r="A642" s="52"/>
      <c r="B642" s="53"/>
      <c r="C642" s="53"/>
      <c r="D642" s="1"/>
      <c r="E642" s="1"/>
      <c r="F642" s="1"/>
    </row>
    <row r="643" ht="14.25" customHeight="1">
      <c r="A643" s="52"/>
      <c r="B643" s="53"/>
      <c r="C643" s="53"/>
      <c r="D643" s="1"/>
      <c r="E643" s="1"/>
      <c r="F643" s="1"/>
    </row>
    <row r="644" ht="14.25" customHeight="1">
      <c r="A644" s="52"/>
      <c r="B644" s="53"/>
      <c r="C644" s="53"/>
      <c r="D644" s="1"/>
      <c r="E644" s="1"/>
      <c r="F644" s="1"/>
    </row>
    <row r="645" ht="14.25" customHeight="1">
      <c r="A645" s="52"/>
      <c r="B645" s="53"/>
      <c r="C645" s="53"/>
      <c r="D645" s="1"/>
      <c r="E645" s="1"/>
      <c r="F645" s="1"/>
    </row>
    <row r="646" ht="14.25" customHeight="1">
      <c r="A646" s="52"/>
      <c r="B646" s="53"/>
      <c r="C646" s="53"/>
      <c r="D646" s="1"/>
      <c r="E646" s="1"/>
      <c r="F646" s="1"/>
    </row>
    <row r="647" ht="14.25" customHeight="1">
      <c r="A647" s="52"/>
      <c r="B647" s="53"/>
      <c r="C647" s="53"/>
      <c r="D647" s="1"/>
      <c r="E647" s="1"/>
      <c r="F647" s="1"/>
    </row>
    <row r="648" ht="14.25" customHeight="1">
      <c r="A648" s="52"/>
      <c r="B648" s="53"/>
      <c r="C648" s="53"/>
      <c r="D648" s="1"/>
      <c r="E648" s="1"/>
      <c r="F648" s="1"/>
    </row>
    <row r="649" ht="14.25" customHeight="1">
      <c r="A649" s="52"/>
      <c r="B649" s="53"/>
      <c r="C649" s="53"/>
      <c r="D649" s="1"/>
      <c r="E649" s="1"/>
      <c r="F649" s="1"/>
    </row>
    <row r="650" ht="14.25" customHeight="1">
      <c r="A650" s="52"/>
      <c r="B650" s="53"/>
      <c r="C650" s="53"/>
      <c r="D650" s="1"/>
      <c r="E650" s="1"/>
      <c r="F650" s="1"/>
    </row>
    <row r="651" ht="14.25" customHeight="1">
      <c r="A651" s="52"/>
      <c r="B651" s="53"/>
      <c r="C651" s="53"/>
      <c r="D651" s="1"/>
      <c r="E651" s="1"/>
      <c r="F651" s="1"/>
    </row>
    <row r="652" ht="14.25" customHeight="1">
      <c r="A652" s="52"/>
      <c r="B652" s="53"/>
      <c r="C652" s="53"/>
      <c r="D652" s="1"/>
      <c r="E652" s="1"/>
      <c r="F652" s="1"/>
    </row>
    <row r="653" ht="14.25" customHeight="1">
      <c r="A653" s="52"/>
      <c r="B653" s="53"/>
      <c r="C653" s="53"/>
      <c r="D653" s="1"/>
      <c r="E653" s="1"/>
      <c r="F653" s="1"/>
    </row>
    <row r="654" ht="14.25" customHeight="1">
      <c r="A654" s="52"/>
      <c r="B654" s="53"/>
      <c r="C654" s="53"/>
      <c r="D654" s="1"/>
      <c r="E654" s="1"/>
      <c r="F654" s="1"/>
    </row>
    <row r="655" ht="14.25" customHeight="1">
      <c r="A655" s="52"/>
      <c r="B655" s="53"/>
      <c r="C655" s="53"/>
      <c r="D655" s="1"/>
      <c r="E655" s="1"/>
      <c r="F655" s="1"/>
    </row>
    <row r="656" ht="14.25" customHeight="1">
      <c r="A656" s="52"/>
      <c r="B656" s="53"/>
      <c r="C656" s="53"/>
      <c r="D656" s="1"/>
      <c r="E656" s="1"/>
      <c r="F656" s="1"/>
    </row>
    <row r="657" ht="14.25" customHeight="1">
      <c r="A657" s="52"/>
      <c r="B657" s="53"/>
      <c r="C657" s="53"/>
      <c r="D657" s="1"/>
      <c r="E657" s="1"/>
      <c r="F657" s="1"/>
    </row>
    <row r="658" ht="14.25" customHeight="1">
      <c r="A658" s="52"/>
      <c r="B658" s="53"/>
      <c r="C658" s="53"/>
      <c r="D658" s="1"/>
      <c r="E658" s="1"/>
      <c r="F658" s="1"/>
    </row>
    <row r="659" ht="14.25" customHeight="1">
      <c r="A659" s="52"/>
      <c r="B659" s="53"/>
      <c r="C659" s="53"/>
      <c r="D659" s="1"/>
      <c r="E659" s="1"/>
      <c r="F659" s="1"/>
    </row>
    <row r="660" ht="14.25" customHeight="1">
      <c r="A660" s="52"/>
      <c r="B660" s="53"/>
      <c r="C660" s="53"/>
      <c r="D660" s="1"/>
      <c r="E660" s="1"/>
      <c r="F660" s="1"/>
    </row>
    <row r="661" ht="14.25" customHeight="1">
      <c r="A661" s="52"/>
      <c r="B661" s="53"/>
      <c r="C661" s="53"/>
      <c r="D661" s="1"/>
      <c r="E661" s="1"/>
      <c r="F661" s="1"/>
    </row>
    <row r="662" ht="14.25" customHeight="1">
      <c r="A662" s="52"/>
      <c r="B662" s="53"/>
      <c r="C662" s="53"/>
      <c r="D662" s="1"/>
      <c r="E662" s="1"/>
      <c r="F662" s="1"/>
    </row>
    <row r="663" ht="14.25" customHeight="1">
      <c r="A663" s="52"/>
      <c r="B663" s="53"/>
      <c r="C663" s="53"/>
      <c r="D663" s="1"/>
      <c r="E663" s="1"/>
      <c r="F663" s="1"/>
    </row>
    <row r="664" ht="14.25" customHeight="1">
      <c r="A664" s="52"/>
      <c r="B664" s="53"/>
      <c r="C664" s="53"/>
      <c r="D664" s="1"/>
      <c r="E664" s="1"/>
      <c r="F664" s="1"/>
    </row>
    <row r="665" ht="14.25" customHeight="1">
      <c r="A665" s="52"/>
      <c r="B665" s="53"/>
      <c r="C665" s="53"/>
      <c r="D665" s="1"/>
      <c r="E665" s="1"/>
      <c r="F665" s="1"/>
    </row>
    <row r="666" ht="14.25" customHeight="1">
      <c r="A666" s="52"/>
      <c r="B666" s="53"/>
      <c r="C666" s="53"/>
      <c r="D666" s="1"/>
      <c r="E666" s="1"/>
      <c r="F666" s="1"/>
    </row>
    <row r="667" ht="14.25" customHeight="1">
      <c r="A667" s="52"/>
      <c r="B667" s="53"/>
      <c r="C667" s="53"/>
      <c r="D667" s="1"/>
      <c r="E667" s="1"/>
      <c r="F667" s="1"/>
    </row>
    <row r="668" ht="14.25" customHeight="1">
      <c r="A668" s="52"/>
      <c r="B668" s="53"/>
      <c r="C668" s="53"/>
      <c r="D668" s="1"/>
      <c r="E668" s="1"/>
      <c r="F668" s="1"/>
    </row>
    <row r="669" ht="14.25" customHeight="1">
      <c r="A669" s="52"/>
      <c r="B669" s="53"/>
      <c r="C669" s="53"/>
      <c r="D669" s="1"/>
      <c r="E669" s="1"/>
      <c r="F669" s="1"/>
    </row>
    <row r="670" ht="14.25" customHeight="1">
      <c r="A670" s="52"/>
      <c r="B670" s="53"/>
      <c r="C670" s="53"/>
      <c r="D670" s="1"/>
      <c r="E670" s="1"/>
      <c r="F670" s="1"/>
    </row>
    <row r="671" ht="14.25" customHeight="1">
      <c r="A671" s="52"/>
      <c r="B671" s="53"/>
      <c r="C671" s="53"/>
      <c r="D671" s="1"/>
      <c r="E671" s="1"/>
      <c r="F671" s="1"/>
    </row>
    <row r="672" ht="14.25" customHeight="1">
      <c r="A672" s="52"/>
      <c r="B672" s="53"/>
      <c r="C672" s="53"/>
      <c r="D672" s="1"/>
      <c r="E672" s="1"/>
      <c r="F672" s="1"/>
    </row>
    <row r="673" ht="14.25" customHeight="1">
      <c r="A673" s="52"/>
      <c r="B673" s="53"/>
      <c r="C673" s="53"/>
      <c r="D673" s="1"/>
      <c r="E673" s="1"/>
      <c r="F673" s="1"/>
    </row>
    <row r="674" ht="14.25" customHeight="1">
      <c r="A674" s="52"/>
      <c r="B674" s="53"/>
      <c r="C674" s="53"/>
      <c r="D674" s="1"/>
      <c r="E674" s="1"/>
      <c r="F674" s="1"/>
    </row>
    <row r="675" ht="14.25" customHeight="1">
      <c r="A675" s="52"/>
      <c r="B675" s="53"/>
      <c r="C675" s="53"/>
      <c r="D675" s="1"/>
      <c r="E675" s="1"/>
      <c r="F675" s="1"/>
    </row>
    <row r="676" ht="14.25" customHeight="1">
      <c r="A676" s="52"/>
      <c r="B676" s="53"/>
      <c r="C676" s="53"/>
      <c r="D676" s="1"/>
      <c r="E676" s="1"/>
      <c r="F676" s="1"/>
    </row>
    <row r="677" ht="14.25" customHeight="1">
      <c r="A677" s="52"/>
      <c r="B677" s="53"/>
      <c r="C677" s="53"/>
      <c r="D677" s="1"/>
      <c r="E677" s="1"/>
      <c r="F677" s="1"/>
    </row>
    <row r="678" ht="14.25" customHeight="1">
      <c r="A678" s="52"/>
      <c r="B678" s="53"/>
      <c r="C678" s="53"/>
      <c r="D678" s="1"/>
      <c r="E678" s="1"/>
      <c r="F678" s="1"/>
    </row>
    <row r="679" ht="14.25" customHeight="1">
      <c r="A679" s="52"/>
      <c r="B679" s="53"/>
      <c r="C679" s="53"/>
      <c r="D679" s="1"/>
      <c r="E679" s="1"/>
      <c r="F679" s="1"/>
    </row>
    <row r="680" ht="14.25" customHeight="1">
      <c r="A680" s="52"/>
      <c r="B680" s="53"/>
      <c r="C680" s="53"/>
      <c r="D680" s="1"/>
      <c r="E680" s="1"/>
      <c r="F680" s="1"/>
    </row>
    <row r="681" ht="14.25" customHeight="1">
      <c r="A681" s="52"/>
      <c r="B681" s="53"/>
      <c r="C681" s="53"/>
      <c r="D681" s="1"/>
      <c r="E681" s="1"/>
      <c r="F681" s="1"/>
    </row>
    <row r="682" ht="14.25" customHeight="1">
      <c r="A682" s="52"/>
      <c r="B682" s="53"/>
      <c r="C682" s="53"/>
      <c r="D682" s="1"/>
      <c r="E682" s="1"/>
      <c r="F682" s="1"/>
    </row>
    <row r="683" ht="14.25" customHeight="1">
      <c r="A683" s="52"/>
      <c r="B683" s="53"/>
      <c r="C683" s="53"/>
      <c r="D683" s="1"/>
      <c r="E683" s="1"/>
      <c r="F683" s="1"/>
    </row>
    <row r="684" ht="14.25" customHeight="1">
      <c r="A684" s="52"/>
      <c r="B684" s="53"/>
      <c r="C684" s="53"/>
      <c r="D684" s="1"/>
      <c r="E684" s="1"/>
      <c r="F684" s="1"/>
    </row>
    <row r="685" ht="14.25" customHeight="1">
      <c r="A685" s="52"/>
      <c r="B685" s="53"/>
      <c r="C685" s="53"/>
      <c r="D685" s="1"/>
      <c r="E685" s="1"/>
      <c r="F685" s="1"/>
    </row>
    <row r="686" ht="14.25" customHeight="1">
      <c r="A686" s="52"/>
      <c r="B686" s="53"/>
      <c r="C686" s="53"/>
      <c r="D686" s="1"/>
      <c r="E686" s="1"/>
      <c r="F686" s="1"/>
    </row>
    <row r="687" ht="14.25" customHeight="1">
      <c r="A687" s="52"/>
      <c r="B687" s="53"/>
      <c r="C687" s="53"/>
      <c r="D687" s="1"/>
      <c r="E687" s="1"/>
      <c r="F687" s="1"/>
    </row>
    <row r="688" ht="14.25" customHeight="1">
      <c r="A688" s="52"/>
      <c r="B688" s="53"/>
      <c r="C688" s="53"/>
      <c r="D688" s="1"/>
      <c r="E688" s="1"/>
      <c r="F688" s="1"/>
    </row>
    <row r="689" ht="14.25" customHeight="1">
      <c r="A689" s="52"/>
      <c r="B689" s="53"/>
      <c r="C689" s="53"/>
      <c r="D689" s="1"/>
      <c r="E689" s="1"/>
      <c r="F689" s="1"/>
    </row>
    <row r="690" ht="14.25" customHeight="1">
      <c r="A690" s="52"/>
      <c r="B690" s="53"/>
      <c r="C690" s="53"/>
      <c r="D690" s="1"/>
      <c r="E690" s="1"/>
      <c r="F690" s="1"/>
    </row>
    <row r="691" ht="14.25" customHeight="1">
      <c r="A691" s="52"/>
      <c r="B691" s="53"/>
      <c r="C691" s="53"/>
      <c r="D691" s="1"/>
      <c r="E691" s="1"/>
      <c r="F691" s="1"/>
    </row>
    <row r="692" ht="14.25" customHeight="1">
      <c r="A692" s="52"/>
      <c r="B692" s="53"/>
      <c r="C692" s="53"/>
      <c r="D692" s="1"/>
      <c r="E692" s="1"/>
      <c r="F692" s="1"/>
    </row>
    <row r="693" ht="14.25" customHeight="1">
      <c r="A693" s="52"/>
      <c r="B693" s="53"/>
      <c r="C693" s="53"/>
      <c r="D693" s="1"/>
      <c r="E693" s="1"/>
      <c r="F693" s="1"/>
    </row>
    <row r="694" ht="14.25" customHeight="1">
      <c r="A694" s="52"/>
      <c r="B694" s="53"/>
      <c r="C694" s="53"/>
      <c r="D694" s="1"/>
      <c r="E694" s="1"/>
      <c r="F694" s="1"/>
    </row>
    <row r="695" ht="14.25" customHeight="1">
      <c r="A695" s="52"/>
      <c r="B695" s="53"/>
      <c r="C695" s="53"/>
      <c r="D695" s="1"/>
      <c r="E695" s="1"/>
      <c r="F695" s="1"/>
    </row>
    <row r="696" ht="14.25" customHeight="1">
      <c r="A696" s="52"/>
      <c r="B696" s="53"/>
      <c r="C696" s="53"/>
      <c r="D696" s="1"/>
      <c r="E696" s="1"/>
      <c r="F696" s="1"/>
    </row>
    <row r="697" ht="14.25" customHeight="1">
      <c r="A697" s="52"/>
      <c r="B697" s="53"/>
      <c r="C697" s="53"/>
      <c r="D697" s="1"/>
      <c r="E697" s="1"/>
      <c r="F697" s="1"/>
    </row>
    <row r="698" ht="14.25" customHeight="1">
      <c r="A698" s="52"/>
      <c r="B698" s="53"/>
      <c r="C698" s="53"/>
      <c r="D698" s="1"/>
      <c r="E698" s="1"/>
      <c r="F698" s="1"/>
    </row>
    <row r="699" ht="14.25" customHeight="1">
      <c r="A699" s="52"/>
      <c r="B699" s="53"/>
      <c r="C699" s="53"/>
      <c r="D699" s="1"/>
      <c r="E699" s="1"/>
      <c r="F699" s="1"/>
    </row>
    <row r="700" ht="14.25" customHeight="1">
      <c r="A700" s="52"/>
      <c r="B700" s="53"/>
      <c r="C700" s="53"/>
      <c r="D700" s="1"/>
      <c r="E700" s="1"/>
      <c r="F700" s="1"/>
    </row>
    <row r="701" ht="14.25" customHeight="1">
      <c r="A701" s="52"/>
      <c r="B701" s="53"/>
      <c r="C701" s="53"/>
      <c r="D701" s="1"/>
      <c r="E701" s="1"/>
      <c r="F701" s="1"/>
    </row>
    <row r="702" ht="14.25" customHeight="1">
      <c r="A702" s="52"/>
      <c r="B702" s="53"/>
      <c r="C702" s="53"/>
      <c r="D702" s="1"/>
      <c r="E702" s="1"/>
      <c r="F702" s="1"/>
    </row>
    <row r="703" ht="14.25" customHeight="1">
      <c r="A703" s="52"/>
      <c r="B703" s="53"/>
      <c r="C703" s="53"/>
      <c r="D703" s="1"/>
      <c r="E703" s="1"/>
      <c r="F703" s="1"/>
    </row>
    <row r="704" ht="14.25" customHeight="1">
      <c r="A704" s="52"/>
      <c r="B704" s="53"/>
      <c r="C704" s="53"/>
      <c r="D704" s="1"/>
      <c r="E704" s="1"/>
      <c r="F704" s="1"/>
    </row>
    <row r="705" ht="14.25" customHeight="1">
      <c r="A705" s="52"/>
      <c r="B705" s="53"/>
      <c r="C705" s="53"/>
      <c r="D705" s="1"/>
      <c r="E705" s="1"/>
      <c r="F705" s="1"/>
    </row>
    <row r="706" ht="14.25" customHeight="1">
      <c r="A706" s="52"/>
      <c r="B706" s="53"/>
      <c r="C706" s="53"/>
      <c r="D706" s="1"/>
      <c r="E706" s="1"/>
      <c r="F706" s="1"/>
    </row>
    <row r="707" ht="14.25" customHeight="1">
      <c r="A707" s="52"/>
      <c r="B707" s="53"/>
      <c r="C707" s="53"/>
      <c r="D707" s="1"/>
      <c r="E707" s="1"/>
      <c r="F707" s="1"/>
    </row>
    <row r="708" ht="14.25" customHeight="1">
      <c r="A708" s="52"/>
      <c r="B708" s="53"/>
      <c r="C708" s="53"/>
      <c r="D708" s="1"/>
      <c r="E708" s="1"/>
      <c r="F708" s="1"/>
    </row>
    <row r="709" ht="14.25" customHeight="1">
      <c r="A709" s="52"/>
      <c r="B709" s="53"/>
      <c r="C709" s="53"/>
      <c r="D709" s="1"/>
      <c r="E709" s="1"/>
      <c r="F709" s="1"/>
    </row>
    <row r="710" ht="14.25" customHeight="1">
      <c r="A710" s="52"/>
      <c r="B710" s="53"/>
      <c r="C710" s="53"/>
      <c r="D710" s="1"/>
      <c r="E710" s="1"/>
      <c r="F710" s="1"/>
    </row>
    <row r="711" ht="14.25" customHeight="1">
      <c r="A711" s="52"/>
      <c r="B711" s="53"/>
      <c r="C711" s="53"/>
      <c r="D711" s="1"/>
      <c r="E711" s="1"/>
      <c r="F711" s="1"/>
    </row>
    <row r="712" ht="14.25" customHeight="1">
      <c r="A712" s="52"/>
      <c r="B712" s="53"/>
      <c r="C712" s="53"/>
      <c r="D712" s="1"/>
      <c r="E712" s="1"/>
      <c r="F712" s="1"/>
    </row>
    <row r="713" ht="14.25" customHeight="1">
      <c r="A713" s="52"/>
      <c r="B713" s="53"/>
      <c r="C713" s="53"/>
      <c r="D713" s="1"/>
      <c r="E713" s="1"/>
      <c r="F713" s="1"/>
    </row>
    <row r="714" ht="14.25" customHeight="1">
      <c r="A714" s="52"/>
      <c r="B714" s="53"/>
      <c r="C714" s="53"/>
      <c r="D714" s="1"/>
      <c r="E714" s="1"/>
      <c r="F714" s="1"/>
    </row>
    <row r="715" ht="14.25" customHeight="1">
      <c r="A715" s="52"/>
      <c r="B715" s="53"/>
      <c r="C715" s="53"/>
      <c r="D715" s="1"/>
      <c r="E715" s="1"/>
      <c r="F715" s="1"/>
    </row>
    <row r="716" ht="14.25" customHeight="1">
      <c r="A716" s="52"/>
      <c r="B716" s="53"/>
      <c r="C716" s="53"/>
      <c r="D716" s="1"/>
      <c r="E716" s="1"/>
      <c r="F716" s="1"/>
    </row>
    <row r="717" ht="14.25" customHeight="1">
      <c r="A717" s="52"/>
      <c r="B717" s="53"/>
      <c r="C717" s="53"/>
      <c r="D717" s="1"/>
      <c r="E717" s="1"/>
      <c r="F717" s="1"/>
    </row>
    <row r="718" ht="14.25" customHeight="1">
      <c r="A718" s="52"/>
      <c r="B718" s="53"/>
      <c r="C718" s="53"/>
      <c r="D718" s="1"/>
      <c r="E718" s="1"/>
      <c r="F718" s="1"/>
    </row>
    <row r="719" ht="14.25" customHeight="1">
      <c r="A719" s="52"/>
      <c r="B719" s="53"/>
      <c r="C719" s="53"/>
      <c r="D719" s="1"/>
      <c r="E719" s="1"/>
      <c r="F719" s="1"/>
    </row>
    <row r="720" ht="14.25" customHeight="1">
      <c r="A720" s="52"/>
      <c r="B720" s="53"/>
      <c r="C720" s="53"/>
      <c r="D720" s="1"/>
      <c r="E720" s="1"/>
      <c r="F720" s="1"/>
    </row>
    <row r="721" ht="14.25" customHeight="1">
      <c r="A721" s="52"/>
      <c r="B721" s="53"/>
      <c r="C721" s="53"/>
      <c r="D721" s="1"/>
      <c r="E721" s="1"/>
      <c r="F721" s="1"/>
    </row>
    <row r="722" ht="14.25" customHeight="1">
      <c r="A722" s="52"/>
      <c r="B722" s="53"/>
      <c r="C722" s="53"/>
      <c r="D722" s="1"/>
      <c r="E722" s="1"/>
      <c r="F722" s="1"/>
    </row>
    <row r="723" ht="14.25" customHeight="1">
      <c r="A723" s="52"/>
      <c r="B723" s="53"/>
      <c r="C723" s="53"/>
      <c r="D723" s="1"/>
      <c r="E723" s="1"/>
      <c r="F723" s="1"/>
    </row>
    <row r="724" ht="14.25" customHeight="1">
      <c r="A724" s="52"/>
      <c r="B724" s="53"/>
      <c r="C724" s="53"/>
      <c r="D724" s="1"/>
      <c r="E724" s="1"/>
      <c r="F724" s="1"/>
    </row>
    <row r="725" ht="14.25" customHeight="1">
      <c r="A725" s="52"/>
      <c r="B725" s="53"/>
      <c r="C725" s="53"/>
      <c r="D725" s="1"/>
      <c r="E725" s="1"/>
      <c r="F725" s="1"/>
    </row>
    <row r="726" ht="14.25" customHeight="1">
      <c r="A726" s="52"/>
      <c r="B726" s="53"/>
      <c r="C726" s="53"/>
      <c r="D726" s="1"/>
      <c r="E726" s="1"/>
      <c r="F726" s="1"/>
    </row>
    <row r="727" ht="14.25" customHeight="1">
      <c r="A727" s="52"/>
      <c r="B727" s="53"/>
      <c r="C727" s="53"/>
      <c r="D727" s="1"/>
      <c r="E727" s="1"/>
      <c r="F727" s="1"/>
    </row>
    <row r="728" ht="14.25" customHeight="1">
      <c r="A728" s="52"/>
      <c r="B728" s="53"/>
      <c r="C728" s="53"/>
      <c r="D728" s="1"/>
      <c r="E728" s="1"/>
      <c r="F728" s="1"/>
    </row>
    <row r="729" ht="14.25" customHeight="1">
      <c r="A729" s="52"/>
      <c r="B729" s="53"/>
      <c r="C729" s="53"/>
      <c r="D729" s="1"/>
      <c r="E729" s="1"/>
      <c r="F729" s="1"/>
    </row>
    <row r="730" ht="14.25" customHeight="1">
      <c r="A730" s="52"/>
      <c r="B730" s="53"/>
      <c r="C730" s="53"/>
      <c r="D730" s="1"/>
      <c r="E730" s="1"/>
      <c r="F730" s="1"/>
    </row>
    <row r="731" ht="14.25" customHeight="1">
      <c r="A731" s="52"/>
      <c r="B731" s="53"/>
      <c r="C731" s="53"/>
      <c r="D731" s="1"/>
      <c r="E731" s="1"/>
      <c r="F731" s="1"/>
    </row>
    <row r="732" ht="14.25" customHeight="1">
      <c r="A732" s="52"/>
      <c r="B732" s="53"/>
      <c r="C732" s="53"/>
      <c r="D732" s="1"/>
      <c r="E732" s="1"/>
      <c r="F732" s="1"/>
    </row>
    <row r="733" ht="14.25" customHeight="1">
      <c r="A733" s="52"/>
      <c r="B733" s="53"/>
      <c r="C733" s="53"/>
      <c r="D733" s="1"/>
      <c r="E733" s="1"/>
      <c r="F733" s="1"/>
    </row>
    <row r="734" ht="14.25" customHeight="1">
      <c r="A734" s="52"/>
      <c r="B734" s="53"/>
      <c r="C734" s="53"/>
      <c r="D734" s="1"/>
      <c r="E734" s="1"/>
      <c r="F734" s="1"/>
    </row>
    <row r="735" ht="14.25" customHeight="1">
      <c r="A735" s="52"/>
      <c r="B735" s="53"/>
      <c r="C735" s="53"/>
      <c r="D735" s="1"/>
      <c r="E735" s="1"/>
      <c r="F735" s="1"/>
    </row>
    <row r="736" ht="14.25" customHeight="1">
      <c r="A736" s="52"/>
      <c r="B736" s="53"/>
      <c r="C736" s="53"/>
      <c r="D736" s="1"/>
      <c r="E736" s="1"/>
      <c r="F736" s="1"/>
    </row>
    <row r="737" ht="14.25" customHeight="1">
      <c r="A737" s="52"/>
      <c r="B737" s="53"/>
      <c r="C737" s="53"/>
      <c r="D737" s="1"/>
      <c r="E737" s="1"/>
      <c r="F737" s="1"/>
    </row>
    <row r="738" ht="14.25" customHeight="1">
      <c r="A738" s="52"/>
      <c r="B738" s="53"/>
      <c r="C738" s="53"/>
      <c r="D738" s="1"/>
      <c r="E738" s="1"/>
      <c r="F738" s="1"/>
    </row>
    <row r="739" ht="14.25" customHeight="1">
      <c r="A739" s="52"/>
      <c r="B739" s="53"/>
      <c r="C739" s="53"/>
      <c r="D739" s="1"/>
      <c r="E739" s="1"/>
      <c r="F739" s="1"/>
    </row>
    <row r="740" ht="14.25" customHeight="1">
      <c r="A740" s="52"/>
      <c r="B740" s="53"/>
      <c r="C740" s="53"/>
      <c r="D740" s="1"/>
      <c r="E740" s="1"/>
      <c r="F740" s="1"/>
    </row>
    <row r="741" ht="14.25" customHeight="1">
      <c r="A741" s="52"/>
      <c r="B741" s="53"/>
      <c r="C741" s="53"/>
      <c r="D741" s="1"/>
      <c r="E741" s="1"/>
      <c r="F741" s="1"/>
    </row>
    <row r="742" ht="14.25" customHeight="1">
      <c r="A742" s="52"/>
      <c r="B742" s="53"/>
      <c r="C742" s="53"/>
      <c r="D742" s="1"/>
      <c r="E742" s="1"/>
      <c r="F742" s="1"/>
    </row>
    <row r="743" ht="14.25" customHeight="1">
      <c r="A743" s="52"/>
      <c r="B743" s="53"/>
      <c r="C743" s="53"/>
      <c r="D743" s="1"/>
      <c r="E743" s="1"/>
      <c r="F743" s="1"/>
    </row>
    <row r="744" ht="14.25" customHeight="1">
      <c r="A744" s="52"/>
      <c r="B744" s="53"/>
      <c r="C744" s="53"/>
      <c r="D744" s="1"/>
      <c r="E744" s="1"/>
      <c r="F744" s="1"/>
    </row>
    <row r="745" ht="14.25" customHeight="1">
      <c r="A745" s="52"/>
      <c r="B745" s="53"/>
      <c r="C745" s="53"/>
      <c r="D745" s="1"/>
      <c r="E745" s="1"/>
      <c r="F745" s="1"/>
    </row>
    <row r="746" ht="14.25" customHeight="1">
      <c r="A746" s="52"/>
      <c r="B746" s="53"/>
      <c r="C746" s="53"/>
      <c r="D746" s="1"/>
      <c r="E746" s="1"/>
      <c r="F746" s="1"/>
    </row>
    <row r="747" ht="14.25" customHeight="1">
      <c r="A747" s="52"/>
      <c r="B747" s="53"/>
      <c r="C747" s="53"/>
      <c r="D747" s="1"/>
      <c r="E747" s="1"/>
      <c r="F747" s="1"/>
    </row>
    <row r="748" ht="14.25" customHeight="1">
      <c r="A748" s="52"/>
      <c r="B748" s="53"/>
      <c r="C748" s="53"/>
      <c r="D748" s="1"/>
      <c r="E748" s="1"/>
      <c r="F748" s="1"/>
    </row>
    <row r="749" ht="14.25" customHeight="1">
      <c r="A749" s="52"/>
      <c r="B749" s="53"/>
      <c r="C749" s="53"/>
      <c r="D749" s="1"/>
      <c r="E749" s="1"/>
      <c r="F749" s="1"/>
    </row>
    <row r="750" ht="14.25" customHeight="1">
      <c r="A750" s="52"/>
      <c r="B750" s="53"/>
      <c r="C750" s="53"/>
      <c r="D750" s="1"/>
      <c r="E750" s="1"/>
      <c r="F750" s="1"/>
    </row>
    <row r="751" ht="14.25" customHeight="1">
      <c r="A751" s="52"/>
      <c r="B751" s="53"/>
      <c r="C751" s="53"/>
      <c r="D751" s="1"/>
      <c r="E751" s="1"/>
      <c r="F751" s="1"/>
    </row>
    <row r="752" ht="14.25" customHeight="1">
      <c r="A752" s="52"/>
      <c r="B752" s="53"/>
      <c r="C752" s="53"/>
      <c r="D752" s="1"/>
      <c r="E752" s="1"/>
      <c r="F752" s="1"/>
    </row>
    <row r="753" ht="14.25" customHeight="1">
      <c r="A753" s="52"/>
      <c r="B753" s="53"/>
      <c r="C753" s="53"/>
      <c r="D753" s="1"/>
      <c r="E753" s="1"/>
      <c r="F753" s="1"/>
    </row>
    <row r="754" ht="14.25" customHeight="1">
      <c r="A754" s="52"/>
      <c r="B754" s="53"/>
      <c r="C754" s="53"/>
      <c r="D754" s="1"/>
      <c r="E754" s="1"/>
      <c r="F754" s="1"/>
    </row>
    <row r="755" ht="14.25" customHeight="1">
      <c r="A755" s="52"/>
      <c r="B755" s="53"/>
      <c r="C755" s="53"/>
      <c r="D755" s="1"/>
      <c r="E755" s="1"/>
      <c r="F755" s="1"/>
    </row>
    <row r="756" ht="14.25" customHeight="1">
      <c r="A756" s="52"/>
      <c r="B756" s="53"/>
      <c r="C756" s="53"/>
      <c r="D756" s="1"/>
      <c r="E756" s="1"/>
      <c r="F756" s="1"/>
    </row>
    <row r="757" ht="14.25" customHeight="1">
      <c r="A757" s="52"/>
      <c r="B757" s="53"/>
      <c r="C757" s="53"/>
      <c r="D757" s="1"/>
      <c r="E757" s="1"/>
      <c r="F757" s="1"/>
    </row>
    <row r="758" ht="14.25" customHeight="1">
      <c r="A758" s="52"/>
      <c r="B758" s="53"/>
      <c r="C758" s="53"/>
      <c r="D758" s="1"/>
      <c r="E758" s="1"/>
      <c r="F758" s="1"/>
    </row>
    <row r="759" ht="14.25" customHeight="1">
      <c r="A759" s="52"/>
      <c r="B759" s="53"/>
      <c r="C759" s="53"/>
      <c r="D759" s="1"/>
      <c r="E759" s="1"/>
      <c r="F759" s="1"/>
    </row>
    <row r="760" ht="14.25" customHeight="1">
      <c r="A760" s="52"/>
      <c r="B760" s="53"/>
      <c r="C760" s="53"/>
      <c r="D760" s="1"/>
      <c r="E760" s="1"/>
      <c r="F760" s="1"/>
    </row>
    <row r="761" ht="14.25" customHeight="1">
      <c r="A761" s="52"/>
      <c r="B761" s="53"/>
      <c r="C761" s="53"/>
      <c r="D761" s="1"/>
      <c r="E761" s="1"/>
      <c r="F761" s="1"/>
    </row>
    <row r="762" ht="14.25" customHeight="1">
      <c r="A762" s="52"/>
      <c r="B762" s="53"/>
      <c r="C762" s="53"/>
      <c r="D762" s="1"/>
      <c r="E762" s="1"/>
      <c r="F762" s="1"/>
    </row>
    <row r="763" ht="14.25" customHeight="1">
      <c r="A763" s="52"/>
      <c r="B763" s="53"/>
      <c r="C763" s="53"/>
      <c r="D763" s="1"/>
      <c r="E763" s="1"/>
      <c r="F763" s="1"/>
    </row>
    <row r="764" ht="14.25" customHeight="1">
      <c r="A764" s="52"/>
      <c r="B764" s="53"/>
      <c r="C764" s="53"/>
      <c r="D764" s="1"/>
      <c r="E764" s="1"/>
      <c r="F764" s="1"/>
    </row>
    <row r="765" ht="14.25" customHeight="1">
      <c r="A765" s="52"/>
      <c r="B765" s="53"/>
      <c r="C765" s="53"/>
      <c r="D765" s="1"/>
      <c r="E765" s="1"/>
      <c r="F765" s="1"/>
    </row>
    <row r="766" ht="14.25" customHeight="1">
      <c r="A766" s="52"/>
      <c r="B766" s="53"/>
      <c r="C766" s="53"/>
      <c r="D766" s="1"/>
      <c r="E766" s="1"/>
      <c r="F766" s="1"/>
    </row>
    <row r="767" ht="14.25" customHeight="1">
      <c r="A767" s="52"/>
      <c r="B767" s="53"/>
      <c r="C767" s="53"/>
      <c r="D767" s="1"/>
      <c r="E767" s="1"/>
      <c r="F767" s="1"/>
    </row>
    <row r="768" ht="14.25" customHeight="1">
      <c r="A768" s="52"/>
      <c r="B768" s="53"/>
      <c r="C768" s="53"/>
      <c r="D768" s="1"/>
      <c r="E768" s="1"/>
      <c r="F768" s="1"/>
    </row>
    <row r="769" ht="14.25" customHeight="1">
      <c r="A769" s="52"/>
      <c r="B769" s="53"/>
      <c r="C769" s="53"/>
      <c r="D769" s="1"/>
      <c r="E769" s="1"/>
      <c r="F769" s="1"/>
    </row>
    <row r="770" ht="14.25" customHeight="1">
      <c r="A770" s="52"/>
      <c r="B770" s="53"/>
      <c r="C770" s="53"/>
      <c r="D770" s="1"/>
      <c r="E770" s="1"/>
      <c r="F770" s="1"/>
    </row>
    <row r="771" ht="14.25" customHeight="1">
      <c r="A771" s="52"/>
      <c r="B771" s="53"/>
      <c r="C771" s="53"/>
      <c r="D771" s="1"/>
      <c r="E771" s="1"/>
      <c r="F771" s="1"/>
    </row>
    <row r="772" ht="14.25" customHeight="1">
      <c r="A772" s="52"/>
      <c r="B772" s="53"/>
      <c r="C772" s="53"/>
      <c r="D772" s="1"/>
      <c r="E772" s="1"/>
      <c r="F772" s="1"/>
    </row>
    <row r="773" ht="14.25" customHeight="1">
      <c r="A773" s="52"/>
      <c r="B773" s="53"/>
      <c r="C773" s="53"/>
      <c r="D773" s="1"/>
      <c r="E773" s="1"/>
      <c r="F773" s="1"/>
    </row>
    <row r="774" ht="14.25" customHeight="1">
      <c r="A774" s="52"/>
      <c r="B774" s="53"/>
      <c r="C774" s="53"/>
      <c r="D774" s="1"/>
      <c r="E774" s="1"/>
      <c r="F774" s="1"/>
    </row>
    <row r="775" ht="14.25" customHeight="1">
      <c r="A775" s="52"/>
      <c r="B775" s="53"/>
      <c r="C775" s="53"/>
      <c r="D775" s="1"/>
      <c r="E775" s="1"/>
      <c r="F775" s="1"/>
    </row>
    <row r="776" ht="14.25" customHeight="1">
      <c r="A776" s="52"/>
      <c r="B776" s="53"/>
      <c r="C776" s="53"/>
      <c r="D776" s="1"/>
      <c r="E776" s="1"/>
      <c r="F776" s="1"/>
    </row>
    <row r="777" ht="14.25" customHeight="1">
      <c r="A777" s="52"/>
      <c r="B777" s="53"/>
      <c r="C777" s="53"/>
      <c r="D777" s="1"/>
      <c r="E777" s="1"/>
      <c r="F777" s="1"/>
    </row>
    <row r="778" ht="14.25" customHeight="1">
      <c r="A778" s="52"/>
      <c r="B778" s="53"/>
      <c r="C778" s="53"/>
      <c r="D778" s="1"/>
      <c r="E778" s="1"/>
      <c r="F778" s="1"/>
    </row>
    <row r="779" ht="14.25" customHeight="1">
      <c r="A779" s="52"/>
      <c r="B779" s="53"/>
      <c r="C779" s="53"/>
      <c r="D779" s="1"/>
      <c r="E779" s="1"/>
      <c r="F779" s="1"/>
    </row>
    <row r="780" ht="14.25" customHeight="1">
      <c r="A780" s="52"/>
      <c r="B780" s="53"/>
      <c r="C780" s="53"/>
      <c r="D780" s="1"/>
      <c r="E780" s="1"/>
      <c r="F780" s="1"/>
    </row>
    <row r="781" ht="14.25" customHeight="1">
      <c r="A781" s="52"/>
      <c r="B781" s="53"/>
      <c r="C781" s="53"/>
      <c r="D781" s="1"/>
      <c r="E781" s="1"/>
      <c r="F781" s="1"/>
    </row>
    <row r="782" ht="14.25" customHeight="1">
      <c r="A782" s="52"/>
      <c r="B782" s="53"/>
      <c r="C782" s="53"/>
      <c r="D782" s="1"/>
      <c r="E782" s="1"/>
      <c r="F782" s="1"/>
    </row>
    <row r="783" ht="14.25" customHeight="1">
      <c r="A783" s="52"/>
      <c r="B783" s="53"/>
      <c r="C783" s="53"/>
      <c r="D783" s="1"/>
      <c r="E783" s="1"/>
      <c r="F783" s="1"/>
    </row>
    <row r="784" ht="14.25" customHeight="1">
      <c r="A784" s="52"/>
      <c r="B784" s="53"/>
      <c r="C784" s="53"/>
      <c r="D784" s="1"/>
      <c r="E784" s="1"/>
      <c r="F784" s="1"/>
    </row>
    <row r="785" ht="14.25" customHeight="1">
      <c r="A785" s="52"/>
      <c r="B785" s="53"/>
      <c r="C785" s="53"/>
      <c r="D785" s="1"/>
      <c r="E785" s="1"/>
      <c r="F785" s="1"/>
    </row>
    <row r="786" ht="14.25" customHeight="1">
      <c r="A786" s="52"/>
      <c r="B786" s="53"/>
      <c r="C786" s="53"/>
      <c r="D786" s="1"/>
      <c r="E786" s="1"/>
      <c r="F786" s="1"/>
    </row>
    <row r="787" ht="14.25" customHeight="1">
      <c r="A787" s="52"/>
      <c r="B787" s="53"/>
      <c r="C787" s="53"/>
      <c r="D787" s="1"/>
      <c r="E787" s="1"/>
      <c r="F787" s="1"/>
    </row>
    <row r="788" ht="14.25" customHeight="1">
      <c r="A788" s="52"/>
      <c r="B788" s="53"/>
      <c r="C788" s="53"/>
      <c r="D788" s="1"/>
      <c r="E788" s="1"/>
      <c r="F788" s="1"/>
    </row>
    <row r="789" ht="14.25" customHeight="1">
      <c r="A789" s="52"/>
      <c r="B789" s="53"/>
      <c r="C789" s="53"/>
      <c r="D789" s="1"/>
      <c r="E789" s="1"/>
      <c r="F789" s="1"/>
    </row>
    <row r="790" ht="14.25" customHeight="1">
      <c r="A790" s="52"/>
      <c r="B790" s="53"/>
      <c r="C790" s="53"/>
      <c r="D790" s="1"/>
      <c r="E790" s="1"/>
      <c r="F790" s="1"/>
    </row>
    <row r="791" ht="14.25" customHeight="1">
      <c r="A791" s="52"/>
      <c r="B791" s="53"/>
      <c r="C791" s="53"/>
      <c r="D791" s="1"/>
      <c r="E791" s="1"/>
      <c r="F791" s="1"/>
    </row>
    <row r="792" ht="14.25" customHeight="1">
      <c r="A792" s="52"/>
      <c r="B792" s="53"/>
      <c r="C792" s="53"/>
      <c r="D792" s="1"/>
      <c r="E792" s="1"/>
      <c r="F792" s="1"/>
    </row>
    <row r="793" ht="14.25" customHeight="1">
      <c r="A793" s="52"/>
      <c r="B793" s="53"/>
      <c r="C793" s="53"/>
      <c r="D793" s="1"/>
      <c r="E793" s="1"/>
      <c r="F793" s="1"/>
    </row>
    <row r="794" ht="14.25" customHeight="1">
      <c r="A794" s="52"/>
      <c r="B794" s="53"/>
      <c r="C794" s="53"/>
      <c r="D794" s="1"/>
      <c r="E794" s="1"/>
      <c r="F794" s="1"/>
    </row>
    <row r="795" ht="14.25" customHeight="1">
      <c r="A795" s="52"/>
      <c r="B795" s="53"/>
      <c r="C795" s="53"/>
      <c r="D795" s="1"/>
      <c r="E795" s="1"/>
      <c r="F795" s="1"/>
    </row>
    <row r="796" ht="14.25" customHeight="1">
      <c r="A796" s="52"/>
      <c r="B796" s="53"/>
      <c r="C796" s="53"/>
      <c r="D796" s="1"/>
      <c r="E796" s="1"/>
      <c r="F796" s="1"/>
    </row>
    <row r="797" ht="14.25" customHeight="1">
      <c r="A797" s="52"/>
      <c r="B797" s="53"/>
      <c r="C797" s="53"/>
      <c r="D797" s="1"/>
      <c r="E797" s="1"/>
      <c r="F797" s="1"/>
    </row>
    <row r="798" ht="14.25" customHeight="1">
      <c r="A798" s="52"/>
      <c r="B798" s="53"/>
      <c r="C798" s="53"/>
      <c r="D798" s="1"/>
      <c r="E798" s="1"/>
      <c r="F798" s="1"/>
    </row>
    <row r="799" ht="14.25" customHeight="1">
      <c r="A799" s="52"/>
      <c r="B799" s="53"/>
      <c r="C799" s="53"/>
      <c r="D799" s="1"/>
      <c r="E799" s="1"/>
      <c r="F799" s="1"/>
    </row>
    <row r="800" ht="14.25" customHeight="1">
      <c r="A800" s="52"/>
      <c r="B800" s="53"/>
      <c r="C800" s="53"/>
      <c r="D800" s="1"/>
      <c r="E800" s="1"/>
      <c r="F800" s="1"/>
    </row>
    <row r="801" ht="14.25" customHeight="1">
      <c r="A801" s="52"/>
      <c r="B801" s="53"/>
      <c r="C801" s="53"/>
      <c r="D801" s="1"/>
      <c r="E801" s="1"/>
      <c r="F801" s="1"/>
    </row>
    <row r="802" ht="14.25" customHeight="1">
      <c r="A802" s="52"/>
      <c r="B802" s="53"/>
      <c r="C802" s="53"/>
      <c r="D802" s="1"/>
      <c r="E802" s="1"/>
      <c r="F802" s="1"/>
    </row>
    <row r="803" ht="14.25" customHeight="1">
      <c r="A803" s="52"/>
      <c r="B803" s="53"/>
      <c r="C803" s="53"/>
      <c r="D803" s="1"/>
      <c r="E803" s="1"/>
      <c r="F803" s="1"/>
    </row>
    <row r="804" ht="14.25" customHeight="1">
      <c r="A804" s="52"/>
      <c r="B804" s="53"/>
      <c r="C804" s="53"/>
      <c r="D804" s="1"/>
      <c r="E804" s="1"/>
      <c r="F804" s="1"/>
    </row>
    <row r="805" ht="14.25" customHeight="1">
      <c r="A805" s="52"/>
      <c r="B805" s="53"/>
      <c r="C805" s="53"/>
      <c r="D805" s="1"/>
      <c r="E805" s="1"/>
      <c r="F805" s="1"/>
    </row>
    <row r="806" ht="14.25" customHeight="1">
      <c r="A806" s="52"/>
      <c r="B806" s="53"/>
      <c r="C806" s="53"/>
      <c r="D806" s="1"/>
      <c r="E806" s="1"/>
      <c r="F806" s="1"/>
    </row>
    <row r="807" ht="14.25" customHeight="1">
      <c r="A807" s="52"/>
      <c r="B807" s="53"/>
      <c r="C807" s="53"/>
      <c r="D807" s="1"/>
      <c r="E807" s="1"/>
      <c r="F807" s="1"/>
    </row>
    <row r="808" ht="14.25" customHeight="1">
      <c r="A808" s="52"/>
      <c r="B808" s="53"/>
      <c r="C808" s="53"/>
      <c r="D808" s="1"/>
      <c r="E808" s="1"/>
      <c r="F808" s="1"/>
    </row>
    <row r="809" ht="14.25" customHeight="1">
      <c r="A809" s="52"/>
      <c r="B809" s="53"/>
      <c r="C809" s="53"/>
      <c r="D809" s="1"/>
      <c r="E809" s="1"/>
      <c r="F809" s="1"/>
    </row>
    <row r="810" ht="14.25" customHeight="1">
      <c r="A810" s="52"/>
      <c r="B810" s="53"/>
      <c r="C810" s="53"/>
      <c r="D810" s="1"/>
      <c r="E810" s="1"/>
      <c r="F810" s="1"/>
    </row>
    <row r="811" ht="14.25" customHeight="1">
      <c r="A811" s="52"/>
      <c r="B811" s="53"/>
      <c r="C811" s="53"/>
      <c r="D811" s="1"/>
      <c r="E811" s="1"/>
      <c r="F811" s="1"/>
    </row>
    <row r="812" ht="14.25" customHeight="1">
      <c r="A812" s="52"/>
      <c r="B812" s="53"/>
      <c r="C812" s="53"/>
      <c r="D812" s="1"/>
      <c r="E812" s="1"/>
      <c r="F812" s="1"/>
    </row>
    <row r="813" ht="14.25" customHeight="1">
      <c r="A813" s="52"/>
      <c r="B813" s="53"/>
      <c r="C813" s="53"/>
      <c r="D813" s="1"/>
      <c r="E813" s="1"/>
      <c r="F813" s="1"/>
    </row>
    <row r="814" ht="14.25" customHeight="1">
      <c r="A814" s="52"/>
      <c r="B814" s="53"/>
      <c r="C814" s="53"/>
      <c r="D814" s="1"/>
      <c r="E814" s="1"/>
      <c r="F814" s="1"/>
    </row>
    <row r="815" ht="14.25" customHeight="1">
      <c r="A815" s="52"/>
      <c r="B815" s="53"/>
      <c r="C815" s="53"/>
      <c r="D815" s="1"/>
      <c r="E815" s="1"/>
      <c r="F815" s="1"/>
    </row>
    <row r="816" ht="14.25" customHeight="1">
      <c r="A816" s="52"/>
      <c r="B816" s="53"/>
      <c r="C816" s="53"/>
      <c r="D816" s="1"/>
      <c r="E816" s="1"/>
      <c r="F816" s="1"/>
    </row>
    <row r="817" ht="14.25" customHeight="1">
      <c r="A817" s="52"/>
      <c r="B817" s="53"/>
      <c r="C817" s="53"/>
      <c r="D817" s="1"/>
      <c r="E817" s="1"/>
      <c r="F817" s="1"/>
    </row>
    <row r="818" ht="14.25" customHeight="1">
      <c r="A818" s="52"/>
      <c r="B818" s="53"/>
      <c r="C818" s="53"/>
      <c r="D818" s="1"/>
      <c r="E818" s="1"/>
      <c r="F818" s="1"/>
    </row>
    <row r="819" ht="14.25" customHeight="1">
      <c r="A819" s="52"/>
      <c r="B819" s="53"/>
      <c r="C819" s="53"/>
      <c r="D819" s="1"/>
      <c r="E819" s="1"/>
      <c r="F819" s="1"/>
    </row>
    <row r="820" ht="14.25" customHeight="1">
      <c r="A820" s="52"/>
      <c r="B820" s="53"/>
      <c r="C820" s="53"/>
      <c r="D820" s="1"/>
      <c r="E820" s="1"/>
      <c r="F820" s="1"/>
    </row>
    <row r="821" ht="14.25" customHeight="1">
      <c r="A821" s="52"/>
      <c r="B821" s="53"/>
      <c r="C821" s="53"/>
      <c r="D821" s="1"/>
      <c r="E821" s="1"/>
      <c r="F821" s="1"/>
    </row>
    <row r="822" ht="14.25" customHeight="1">
      <c r="A822" s="52"/>
      <c r="B822" s="53"/>
      <c r="C822" s="53"/>
      <c r="D822" s="1"/>
      <c r="E822" s="1"/>
      <c r="F822" s="1"/>
    </row>
    <row r="823" ht="14.25" customHeight="1">
      <c r="A823" s="52"/>
      <c r="B823" s="53"/>
      <c r="C823" s="53"/>
      <c r="D823" s="1"/>
      <c r="E823" s="1"/>
      <c r="F823" s="1"/>
    </row>
    <row r="824" ht="14.25" customHeight="1">
      <c r="A824" s="52"/>
      <c r="B824" s="53"/>
      <c r="C824" s="53"/>
      <c r="D824" s="1"/>
      <c r="E824" s="1"/>
      <c r="F824" s="1"/>
    </row>
    <row r="825" ht="14.25" customHeight="1">
      <c r="A825" s="52"/>
      <c r="B825" s="53"/>
      <c r="C825" s="53"/>
      <c r="D825" s="1"/>
      <c r="E825" s="1"/>
      <c r="F825" s="1"/>
    </row>
    <row r="826" ht="14.25" customHeight="1">
      <c r="A826" s="52"/>
      <c r="B826" s="53"/>
      <c r="C826" s="53"/>
      <c r="D826" s="1"/>
      <c r="E826" s="1"/>
      <c r="F826" s="1"/>
    </row>
    <row r="827" ht="14.25" customHeight="1">
      <c r="A827" s="52"/>
      <c r="B827" s="53"/>
      <c r="C827" s="53"/>
      <c r="D827" s="1"/>
      <c r="E827" s="1"/>
      <c r="F827" s="1"/>
    </row>
    <row r="828" ht="14.25" customHeight="1">
      <c r="A828" s="52"/>
      <c r="B828" s="53"/>
      <c r="C828" s="53"/>
      <c r="D828" s="1"/>
      <c r="E828" s="1"/>
      <c r="F828" s="1"/>
    </row>
    <row r="829" ht="14.25" customHeight="1">
      <c r="A829" s="52"/>
      <c r="B829" s="53"/>
      <c r="C829" s="53"/>
      <c r="D829" s="1"/>
      <c r="E829" s="1"/>
      <c r="F829" s="1"/>
    </row>
    <row r="830" ht="14.25" customHeight="1">
      <c r="A830" s="52"/>
      <c r="B830" s="53"/>
      <c r="C830" s="53"/>
      <c r="D830" s="1"/>
      <c r="E830" s="1"/>
      <c r="F830" s="1"/>
    </row>
    <row r="831" ht="14.25" customHeight="1">
      <c r="A831" s="52"/>
      <c r="B831" s="53"/>
      <c r="C831" s="53"/>
      <c r="D831" s="1"/>
      <c r="E831" s="1"/>
      <c r="F831" s="1"/>
    </row>
    <row r="832" ht="14.25" customHeight="1">
      <c r="A832" s="52"/>
      <c r="B832" s="53"/>
      <c r="C832" s="53"/>
      <c r="D832" s="1"/>
      <c r="E832" s="1"/>
      <c r="F832" s="1"/>
    </row>
    <row r="833" ht="14.25" customHeight="1">
      <c r="A833" s="52"/>
      <c r="B833" s="53"/>
      <c r="C833" s="53"/>
      <c r="D833" s="1"/>
      <c r="E833" s="1"/>
      <c r="F833" s="1"/>
    </row>
    <row r="834" ht="14.25" customHeight="1">
      <c r="A834" s="52"/>
      <c r="B834" s="53"/>
      <c r="C834" s="53"/>
      <c r="D834" s="1"/>
      <c r="E834" s="1"/>
      <c r="F834" s="1"/>
    </row>
    <row r="835" ht="14.25" customHeight="1">
      <c r="A835" s="52"/>
      <c r="B835" s="53"/>
      <c r="C835" s="53"/>
      <c r="D835" s="1"/>
      <c r="E835" s="1"/>
      <c r="F835" s="1"/>
    </row>
    <row r="836" ht="14.25" customHeight="1">
      <c r="A836" s="52"/>
      <c r="B836" s="53"/>
      <c r="C836" s="53"/>
      <c r="D836" s="1"/>
      <c r="E836" s="1"/>
      <c r="F836" s="1"/>
    </row>
    <row r="837" ht="14.25" customHeight="1">
      <c r="A837" s="52"/>
      <c r="B837" s="53"/>
      <c r="C837" s="53"/>
      <c r="D837" s="1"/>
      <c r="E837" s="1"/>
      <c r="F837" s="1"/>
    </row>
    <row r="838" ht="14.25" customHeight="1">
      <c r="A838" s="52"/>
      <c r="B838" s="53"/>
      <c r="C838" s="53"/>
      <c r="D838" s="1"/>
      <c r="E838" s="1"/>
      <c r="F838" s="1"/>
    </row>
    <row r="839" ht="14.25" customHeight="1">
      <c r="A839" s="52"/>
      <c r="B839" s="53"/>
      <c r="C839" s="53"/>
      <c r="D839" s="1"/>
      <c r="E839" s="1"/>
      <c r="F839" s="1"/>
    </row>
    <row r="840" ht="14.25" customHeight="1">
      <c r="A840" s="52"/>
      <c r="B840" s="53"/>
      <c r="C840" s="53"/>
      <c r="D840" s="1"/>
      <c r="E840" s="1"/>
      <c r="F840" s="1"/>
    </row>
    <row r="841" ht="14.25" customHeight="1">
      <c r="A841" s="52"/>
      <c r="B841" s="53"/>
      <c r="C841" s="53"/>
      <c r="D841" s="1"/>
      <c r="E841" s="1"/>
      <c r="F841" s="1"/>
    </row>
    <row r="842" ht="14.25" customHeight="1">
      <c r="A842" s="52"/>
      <c r="B842" s="53"/>
      <c r="C842" s="53"/>
      <c r="D842" s="1"/>
      <c r="E842" s="1"/>
      <c r="F842" s="1"/>
    </row>
    <row r="843" ht="14.25" customHeight="1">
      <c r="A843" s="52"/>
      <c r="B843" s="53"/>
      <c r="C843" s="53"/>
      <c r="D843" s="1"/>
      <c r="E843" s="1"/>
      <c r="F843" s="1"/>
    </row>
    <row r="844" ht="14.25" customHeight="1">
      <c r="A844" s="52"/>
      <c r="B844" s="53"/>
      <c r="C844" s="53"/>
      <c r="D844" s="1"/>
      <c r="E844" s="1"/>
      <c r="F844" s="1"/>
    </row>
    <row r="845" ht="14.25" customHeight="1">
      <c r="A845" s="52"/>
      <c r="B845" s="53"/>
      <c r="C845" s="53"/>
      <c r="D845" s="1"/>
      <c r="E845" s="1"/>
      <c r="F845" s="1"/>
    </row>
    <row r="846" ht="14.25" customHeight="1">
      <c r="A846" s="52"/>
      <c r="B846" s="53"/>
      <c r="C846" s="53"/>
      <c r="D846" s="1"/>
      <c r="E846" s="1"/>
      <c r="F846" s="1"/>
    </row>
    <row r="847" ht="14.25" customHeight="1">
      <c r="A847" s="52"/>
      <c r="B847" s="53"/>
      <c r="C847" s="53"/>
      <c r="D847" s="1"/>
      <c r="E847" s="1"/>
      <c r="F847" s="1"/>
    </row>
    <row r="848" ht="14.25" customHeight="1">
      <c r="A848" s="52"/>
      <c r="B848" s="53"/>
      <c r="C848" s="53"/>
      <c r="D848" s="1"/>
      <c r="E848" s="1"/>
      <c r="F848" s="1"/>
    </row>
    <row r="849" ht="14.25" customHeight="1">
      <c r="A849" s="52"/>
      <c r="B849" s="53"/>
      <c r="C849" s="53"/>
      <c r="D849" s="1"/>
      <c r="E849" s="1"/>
      <c r="F849" s="1"/>
    </row>
    <row r="850" ht="14.25" customHeight="1">
      <c r="A850" s="52"/>
      <c r="B850" s="53"/>
      <c r="C850" s="53"/>
      <c r="D850" s="1"/>
      <c r="E850" s="1"/>
      <c r="F850" s="1"/>
    </row>
    <row r="851" ht="14.25" customHeight="1">
      <c r="A851" s="52"/>
      <c r="B851" s="53"/>
      <c r="C851" s="53"/>
      <c r="D851" s="1"/>
      <c r="E851" s="1"/>
      <c r="F851" s="1"/>
    </row>
    <row r="852" ht="14.25" customHeight="1">
      <c r="A852" s="52"/>
      <c r="B852" s="53"/>
      <c r="C852" s="53"/>
      <c r="D852" s="1"/>
      <c r="E852" s="1"/>
      <c r="F852" s="1"/>
    </row>
    <row r="853" ht="14.25" customHeight="1">
      <c r="A853" s="52"/>
      <c r="B853" s="53"/>
      <c r="C853" s="53"/>
      <c r="D853" s="1"/>
      <c r="E853" s="1"/>
      <c r="F853" s="1"/>
    </row>
    <row r="854" ht="14.25" customHeight="1">
      <c r="A854" s="52"/>
      <c r="B854" s="53"/>
      <c r="C854" s="53"/>
      <c r="D854" s="1"/>
      <c r="E854" s="1"/>
      <c r="F854" s="1"/>
    </row>
    <row r="855" ht="14.25" customHeight="1">
      <c r="A855" s="52"/>
      <c r="B855" s="53"/>
      <c r="C855" s="53"/>
      <c r="D855" s="1"/>
      <c r="E855" s="1"/>
      <c r="F855" s="1"/>
    </row>
    <row r="856" ht="14.25" customHeight="1">
      <c r="A856" s="52"/>
      <c r="B856" s="53"/>
      <c r="C856" s="53"/>
      <c r="D856" s="1"/>
      <c r="E856" s="1"/>
      <c r="F856" s="1"/>
    </row>
    <row r="857" ht="14.25" customHeight="1">
      <c r="A857" s="52"/>
      <c r="B857" s="53"/>
      <c r="C857" s="53"/>
      <c r="D857" s="1"/>
      <c r="E857" s="1"/>
      <c r="F857" s="1"/>
    </row>
    <row r="858" ht="14.25" customHeight="1">
      <c r="A858" s="52"/>
      <c r="B858" s="53"/>
      <c r="C858" s="53"/>
      <c r="D858" s="1"/>
      <c r="E858" s="1"/>
      <c r="F858" s="1"/>
    </row>
    <row r="859" ht="14.25" customHeight="1">
      <c r="A859" s="52"/>
      <c r="B859" s="53"/>
      <c r="C859" s="53"/>
      <c r="D859" s="1"/>
      <c r="E859" s="1"/>
      <c r="F859" s="1"/>
    </row>
    <row r="860" ht="14.25" customHeight="1">
      <c r="A860" s="52"/>
      <c r="B860" s="53"/>
      <c r="C860" s="53"/>
      <c r="D860" s="1"/>
      <c r="E860" s="1"/>
      <c r="F860" s="1"/>
    </row>
    <row r="861" ht="14.25" customHeight="1">
      <c r="A861" s="52"/>
      <c r="B861" s="53"/>
      <c r="C861" s="53"/>
      <c r="D861" s="1"/>
      <c r="E861" s="1"/>
      <c r="F861" s="1"/>
    </row>
    <row r="862" ht="14.25" customHeight="1">
      <c r="A862" s="52"/>
      <c r="B862" s="53"/>
      <c r="C862" s="53"/>
      <c r="D862" s="1"/>
      <c r="E862" s="1"/>
      <c r="F862" s="1"/>
    </row>
    <row r="863" ht="14.25" customHeight="1">
      <c r="A863" s="52"/>
      <c r="B863" s="53"/>
      <c r="C863" s="53"/>
      <c r="D863" s="1"/>
      <c r="E863" s="1"/>
      <c r="F863" s="1"/>
    </row>
    <row r="864" ht="14.25" customHeight="1">
      <c r="A864" s="52"/>
      <c r="B864" s="53"/>
      <c r="C864" s="53"/>
      <c r="D864" s="1"/>
      <c r="E864" s="1"/>
      <c r="F864" s="1"/>
    </row>
    <row r="865" ht="14.25" customHeight="1">
      <c r="A865" s="52"/>
      <c r="B865" s="53"/>
      <c r="C865" s="53"/>
      <c r="D865" s="1"/>
      <c r="E865" s="1"/>
      <c r="F865" s="1"/>
    </row>
    <row r="866" ht="14.25" customHeight="1">
      <c r="A866" s="52"/>
      <c r="B866" s="53"/>
      <c r="C866" s="53"/>
      <c r="D866" s="1"/>
      <c r="E866" s="1"/>
      <c r="F866" s="1"/>
    </row>
    <row r="867" ht="14.25" customHeight="1">
      <c r="A867" s="52"/>
      <c r="B867" s="53"/>
      <c r="C867" s="53"/>
      <c r="D867" s="1"/>
      <c r="E867" s="1"/>
      <c r="F867" s="1"/>
    </row>
    <row r="868" ht="14.25" customHeight="1">
      <c r="A868" s="52"/>
      <c r="B868" s="53"/>
      <c r="C868" s="53"/>
      <c r="D868" s="1"/>
      <c r="E868" s="1"/>
      <c r="F868" s="1"/>
    </row>
    <row r="869" ht="14.25" customHeight="1">
      <c r="A869" s="52"/>
      <c r="B869" s="53"/>
      <c r="C869" s="53"/>
      <c r="D869" s="1"/>
      <c r="E869" s="1"/>
      <c r="F869" s="1"/>
    </row>
    <row r="870" ht="14.25" customHeight="1">
      <c r="A870" s="52"/>
      <c r="B870" s="53"/>
      <c r="C870" s="53"/>
      <c r="D870" s="1"/>
      <c r="E870" s="1"/>
      <c r="F870" s="1"/>
    </row>
    <row r="871" ht="14.25" customHeight="1">
      <c r="A871" s="52"/>
      <c r="B871" s="53"/>
      <c r="C871" s="53"/>
      <c r="D871" s="1"/>
      <c r="E871" s="1"/>
      <c r="F871" s="1"/>
    </row>
    <row r="872" ht="14.25" customHeight="1">
      <c r="A872" s="52"/>
      <c r="B872" s="53"/>
      <c r="C872" s="53"/>
      <c r="D872" s="1"/>
      <c r="E872" s="1"/>
      <c r="F872" s="1"/>
    </row>
    <row r="873" ht="14.25" customHeight="1">
      <c r="A873" s="52"/>
      <c r="B873" s="53"/>
      <c r="C873" s="53"/>
      <c r="D873" s="1"/>
      <c r="E873" s="1"/>
      <c r="F873" s="1"/>
    </row>
    <row r="874" ht="14.25" customHeight="1">
      <c r="A874" s="52"/>
      <c r="B874" s="53"/>
      <c r="C874" s="53"/>
      <c r="D874" s="1"/>
      <c r="E874" s="1"/>
      <c r="F874" s="1"/>
    </row>
    <row r="875" ht="14.25" customHeight="1">
      <c r="A875" s="52"/>
      <c r="B875" s="53"/>
      <c r="C875" s="53"/>
      <c r="D875" s="1"/>
      <c r="E875" s="1"/>
      <c r="F875" s="1"/>
    </row>
    <row r="876" ht="14.25" customHeight="1">
      <c r="A876" s="52"/>
      <c r="B876" s="53"/>
      <c r="C876" s="53"/>
      <c r="D876" s="1"/>
      <c r="E876" s="1"/>
      <c r="F876" s="1"/>
    </row>
    <row r="877" ht="14.25" customHeight="1">
      <c r="A877" s="52"/>
      <c r="B877" s="53"/>
      <c r="C877" s="53"/>
      <c r="D877" s="1"/>
      <c r="E877" s="1"/>
      <c r="F877" s="1"/>
    </row>
    <row r="878" ht="14.25" customHeight="1">
      <c r="A878" s="52"/>
      <c r="B878" s="53"/>
      <c r="C878" s="53"/>
      <c r="D878" s="1"/>
      <c r="E878" s="1"/>
      <c r="F878" s="1"/>
    </row>
    <row r="879" ht="14.25" customHeight="1">
      <c r="A879" s="52"/>
      <c r="B879" s="53"/>
      <c r="C879" s="53"/>
      <c r="D879" s="1"/>
      <c r="E879" s="1"/>
      <c r="F879" s="1"/>
    </row>
    <row r="880" ht="14.25" customHeight="1">
      <c r="A880" s="52"/>
      <c r="B880" s="53"/>
      <c r="C880" s="53"/>
      <c r="D880" s="1"/>
      <c r="E880" s="1"/>
      <c r="F880" s="1"/>
    </row>
    <row r="881" ht="14.25" customHeight="1">
      <c r="A881" s="52"/>
      <c r="B881" s="53"/>
      <c r="C881" s="53"/>
      <c r="D881" s="1"/>
      <c r="E881" s="1"/>
      <c r="F881" s="1"/>
    </row>
    <row r="882" ht="14.25" customHeight="1">
      <c r="A882" s="52"/>
      <c r="B882" s="53"/>
      <c r="C882" s="53"/>
      <c r="D882" s="1"/>
      <c r="E882" s="1"/>
      <c r="F882" s="1"/>
    </row>
    <row r="883" ht="14.25" customHeight="1">
      <c r="A883" s="52"/>
      <c r="B883" s="53"/>
      <c r="C883" s="53"/>
      <c r="D883" s="1"/>
      <c r="E883" s="1"/>
      <c r="F883" s="1"/>
    </row>
    <row r="884" ht="14.25" customHeight="1">
      <c r="A884" s="52"/>
      <c r="B884" s="53"/>
      <c r="C884" s="53"/>
      <c r="D884" s="1"/>
      <c r="E884" s="1"/>
      <c r="F884" s="1"/>
    </row>
    <row r="885" ht="14.25" customHeight="1">
      <c r="A885" s="52"/>
      <c r="B885" s="53"/>
      <c r="C885" s="53"/>
      <c r="D885" s="1"/>
      <c r="E885" s="1"/>
      <c r="F885" s="1"/>
    </row>
    <row r="886" ht="14.25" customHeight="1">
      <c r="A886" s="52"/>
      <c r="B886" s="53"/>
      <c r="C886" s="53"/>
      <c r="D886" s="1"/>
      <c r="E886" s="1"/>
      <c r="F886" s="1"/>
    </row>
    <row r="887" ht="14.25" customHeight="1">
      <c r="A887" s="52"/>
      <c r="B887" s="53"/>
      <c r="C887" s="53"/>
      <c r="D887" s="1"/>
      <c r="E887" s="1"/>
      <c r="F887" s="1"/>
    </row>
    <row r="888" ht="14.25" customHeight="1">
      <c r="A888" s="52"/>
      <c r="B888" s="53"/>
      <c r="C888" s="53"/>
      <c r="D888" s="1"/>
      <c r="E888" s="1"/>
      <c r="F888" s="1"/>
    </row>
    <row r="889" ht="14.25" customHeight="1">
      <c r="A889" s="52"/>
      <c r="B889" s="53"/>
      <c r="C889" s="53"/>
      <c r="D889" s="1"/>
      <c r="E889" s="1"/>
      <c r="F889" s="1"/>
    </row>
    <row r="890" ht="14.25" customHeight="1">
      <c r="A890" s="52"/>
      <c r="B890" s="53"/>
      <c r="C890" s="53"/>
      <c r="D890" s="1"/>
      <c r="E890" s="1"/>
      <c r="F890" s="1"/>
    </row>
    <row r="891" ht="14.25" customHeight="1">
      <c r="A891" s="52"/>
      <c r="B891" s="53"/>
      <c r="C891" s="53"/>
      <c r="D891" s="1"/>
      <c r="E891" s="1"/>
      <c r="F891" s="1"/>
    </row>
    <row r="892" ht="14.25" customHeight="1">
      <c r="A892" s="52"/>
      <c r="B892" s="53"/>
      <c r="C892" s="53"/>
      <c r="D892" s="1"/>
      <c r="E892" s="1"/>
      <c r="F892" s="1"/>
    </row>
    <row r="893" ht="14.25" customHeight="1">
      <c r="A893" s="52"/>
      <c r="B893" s="53"/>
      <c r="C893" s="53"/>
      <c r="D893" s="1"/>
      <c r="E893" s="1"/>
      <c r="F893" s="1"/>
    </row>
    <row r="894" ht="14.25" customHeight="1">
      <c r="A894" s="52"/>
      <c r="B894" s="53"/>
      <c r="C894" s="53"/>
      <c r="D894" s="1"/>
      <c r="E894" s="1"/>
      <c r="F894" s="1"/>
    </row>
    <row r="895" ht="14.25" customHeight="1">
      <c r="A895" s="52"/>
      <c r="B895" s="53"/>
      <c r="C895" s="53"/>
      <c r="D895" s="1"/>
      <c r="E895" s="1"/>
      <c r="F895" s="1"/>
    </row>
    <row r="896" ht="14.25" customHeight="1">
      <c r="A896" s="52"/>
      <c r="B896" s="53"/>
      <c r="C896" s="53"/>
      <c r="D896" s="1"/>
      <c r="E896" s="1"/>
      <c r="F896" s="1"/>
    </row>
    <row r="897" ht="14.25" customHeight="1">
      <c r="A897" s="52"/>
      <c r="B897" s="53"/>
      <c r="C897" s="53"/>
      <c r="D897" s="1"/>
      <c r="E897" s="1"/>
      <c r="F897" s="1"/>
    </row>
    <row r="898" ht="14.25" customHeight="1">
      <c r="A898" s="52"/>
      <c r="B898" s="53"/>
      <c r="C898" s="53"/>
      <c r="D898" s="1"/>
      <c r="E898" s="1"/>
      <c r="F898" s="1"/>
    </row>
    <row r="899" ht="14.25" customHeight="1">
      <c r="A899" s="52"/>
      <c r="B899" s="53"/>
      <c r="C899" s="53"/>
      <c r="D899" s="1"/>
      <c r="E899" s="1"/>
      <c r="F899" s="1"/>
    </row>
    <row r="900" ht="14.25" customHeight="1">
      <c r="A900" s="52"/>
      <c r="B900" s="53"/>
      <c r="C900" s="53"/>
      <c r="D900" s="1"/>
      <c r="E900" s="1"/>
      <c r="F900" s="1"/>
    </row>
    <row r="901" ht="14.25" customHeight="1">
      <c r="A901" s="52"/>
      <c r="B901" s="53"/>
      <c r="C901" s="53"/>
      <c r="D901" s="1"/>
      <c r="E901" s="1"/>
      <c r="F901" s="1"/>
    </row>
    <row r="902" ht="14.25" customHeight="1">
      <c r="A902" s="52"/>
      <c r="B902" s="53"/>
      <c r="C902" s="53"/>
      <c r="D902" s="1"/>
      <c r="E902" s="1"/>
      <c r="F902" s="1"/>
    </row>
    <row r="903" ht="14.25" customHeight="1">
      <c r="A903" s="52"/>
      <c r="B903" s="53"/>
      <c r="C903" s="53"/>
      <c r="D903" s="1"/>
      <c r="E903" s="1"/>
      <c r="F903" s="1"/>
    </row>
    <row r="904" ht="14.25" customHeight="1">
      <c r="A904" s="52"/>
      <c r="B904" s="53"/>
      <c r="C904" s="53"/>
      <c r="D904" s="1"/>
      <c r="E904" s="1"/>
      <c r="F904" s="1"/>
    </row>
    <row r="905" ht="14.25" customHeight="1">
      <c r="A905" s="52"/>
      <c r="B905" s="53"/>
      <c r="C905" s="53"/>
      <c r="D905" s="1"/>
      <c r="E905" s="1"/>
      <c r="F905" s="1"/>
    </row>
    <row r="906" ht="14.25" customHeight="1">
      <c r="A906" s="52"/>
      <c r="B906" s="53"/>
      <c r="C906" s="53"/>
      <c r="D906" s="1"/>
      <c r="E906" s="1"/>
      <c r="F906" s="1"/>
    </row>
    <row r="907" ht="14.25" customHeight="1">
      <c r="A907" s="52"/>
      <c r="B907" s="53"/>
      <c r="C907" s="53"/>
      <c r="D907" s="1"/>
      <c r="E907" s="1"/>
      <c r="F907" s="1"/>
    </row>
    <row r="908" ht="14.25" customHeight="1">
      <c r="A908" s="52"/>
      <c r="B908" s="53"/>
      <c r="C908" s="53"/>
      <c r="D908" s="1"/>
      <c r="E908" s="1"/>
      <c r="F908" s="1"/>
    </row>
    <row r="909" ht="14.25" customHeight="1">
      <c r="A909" s="52"/>
      <c r="B909" s="53"/>
      <c r="C909" s="53"/>
      <c r="D909" s="1"/>
      <c r="E909" s="1"/>
      <c r="F909" s="1"/>
    </row>
    <row r="910" ht="14.25" customHeight="1">
      <c r="A910" s="52"/>
      <c r="B910" s="53"/>
      <c r="C910" s="53"/>
      <c r="D910" s="1"/>
      <c r="E910" s="1"/>
      <c r="F910" s="1"/>
    </row>
    <row r="911" ht="14.25" customHeight="1">
      <c r="A911" s="52"/>
      <c r="B911" s="53"/>
      <c r="C911" s="53"/>
      <c r="D911" s="1"/>
      <c r="E911" s="1"/>
      <c r="F911" s="1"/>
    </row>
    <row r="912" ht="14.25" customHeight="1">
      <c r="A912" s="52"/>
      <c r="B912" s="53"/>
      <c r="C912" s="53"/>
      <c r="D912" s="1"/>
      <c r="E912" s="1"/>
      <c r="F912" s="1"/>
    </row>
    <row r="913" ht="14.25" customHeight="1">
      <c r="A913" s="52"/>
      <c r="B913" s="53"/>
      <c r="C913" s="53"/>
      <c r="D913" s="1"/>
      <c r="E913" s="1"/>
      <c r="F913" s="1"/>
    </row>
    <row r="914" ht="14.25" customHeight="1">
      <c r="A914" s="52"/>
      <c r="B914" s="53"/>
      <c r="C914" s="53"/>
      <c r="D914" s="1"/>
      <c r="E914" s="1"/>
      <c r="F914" s="1"/>
    </row>
    <row r="915" ht="14.25" customHeight="1">
      <c r="A915" s="52"/>
      <c r="B915" s="53"/>
      <c r="C915" s="53"/>
      <c r="D915" s="1"/>
      <c r="E915" s="1"/>
      <c r="F915" s="1"/>
    </row>
    <row r="916" ht="14.25" customHeight="1">
      <c r="A916" s="52"/>
      <c r="B916" s="53"/>
      <c r="C916" s="53"/>
      <c r="D916" s="1"/>
      <c r="E916" s="1"/>
      <c r="F916" s="1"/>
    </row>
    <row r="917" ht="14.25" customHeight="1">
      <c r="A917" s="52"/>
      <c r="B917" s="53"/>
      <c r="C917" s="53"/>
      <c r="D917" s="1"/>
      <c r="E917" s="1"/>
      <c r="F917" s="1"/>
    </row>
    <row r="918" ht="14.25" customHeight="1">
      <c r="A918" s="52"/>
      <c r="B918" s="53"/>
      <c r="C918" s="53"/>
      <c r="D918" s="1"/>
      <c r="E918" s="1"/>
      <c r="F918" s="1"/>
    </row>
    <row r="919" ht="14.25" customHeight="1">
      <c r="A919" s="52"/>
      <c r="B919" s="53"/>
      <c r="C919" s="53"/>
      <c r="D919" s="1"/>
      <c r="E919" s="1"/>
      <c r="F919" s="1"/>
    </row>
    <row r="920" ht="14.25" customHeight="1">
      <c r="A920" s="52"/>
      <c r="B920" s="53"/>
      <c r="C920" s="53"/>
      <c r="D920" s="1"/>
      <c r="E920" s="1"/>
      <c r="F920" s="1"/>
    </row>
    <row r="921" ht="14.25" customHeight="1">
      <c r="A921" s="52"/>
      <c r="B921" s="53"/>
      <c r="C921" s="53"/>
      <c r="D921" s="1"/>
      <c r="E921" s="1"/>
      <c r="F921" s="1"/>
    </row>
    <row r="922" ht="14.25" customHeight="1">
      <c r="A922" s="52"/>
      <c r="B922" s="53"/>
      <c r="C922" s="53"/>
      <c r="D922" s="1"/>
      <c r="E922" s="1"/>
      <c r="F922" s="1"/>
    </row>
    <row r="923" ht="14.25" customHeight="1">
      <c r="A923" s="52"/>
      <c r="B923" s="53"/>
      <c r="C923" s="53"/>
      <c r="D923" s="1"/>
      <c r="E923" s="1"/>
      <c r="F923" s="1"/>
    </row>
    <row r="924" ht="14.25" customHeight="1">
      <c r="A924" s="52"/>
      <c r="B924" s="53"/>
      <c r="C924" s="53"/>
      <c r="D924" s="1"/>
      <c r="E924" s="1"/>
      <c r="F924" s="1"/>
    </row>
    <row r="925" ht="14.25" customHeight="1">
      <c r="A925" s="52"/>
      <c r="B925" s="53"/>
      <c r="C925" s="53"/>
      <c r="D925" s="1"/>
      <c r="E925" s="1"/>
      <c r="F925" s="1"/>
    </row>
    <row r="926" ht="14.25" customHeight="1">
      <c r="A926" s="52"/>
      <c r="B926" s="53"/>
      <c r="C926" s="53"/>
      <c r="D926" s="1"/>
      <c r="E926" s="1"/>
      <c r="F926" s="1"/>
    </row>
    <row r="927" ht="14.25" customHeight="1">
      <c r="A927" s="52"/>
      <c r="B927" s="53"/>
      <c r="C927" s="53"/>
      <c r="D927" s="1"/>
      <c r="E927" s="1"/>
      <c r="F927" s="1"/>
    </row>
    <row r="928" ht="14.25" customHeight="1">
      <c r="A928" s="52"/>
      <c r="B928" s="53"/>
      <c r="C928" s="53"/>
      <c r="D928" s="1"/>
      <c r="E928" s="1"/>
      <c r="F928" s="1"/>
    </row>
    <row r="929" ht="14.25" customHeight="1">
      <c r="A929" s="52"/>
      <c r="B929" s="53"/>
      <c r="C929" s="53"/>
      <c r="D929" s="1"/>
      <c r="E929" s="1"/>
      <c r="F929" s="1"/>
    </row>
    <row r="930" ht="14.25" customHeight="1">
      <c r="A930" s="52"/>
      <c r="B930" s="53"/>
      <c r="C930" s="53"/>
      <c r="D930" s="1"/>
      <c r="E930" s="1"/>
      <c r="F930" s="1"/>
    </row>
    <row r="931" ht="14.25" customHeight="1">
      <c r="A931" s="52"/>
      <c r="B931" s="53"/>
      <c r="C931" s="53"/>
      <c r="D931" s="1"/>
      <c r="E931" s="1"/>
      <c r="F931" s="1"/>
    </row>
    <row r="932" ht="14.25" customHeight="1">
      <c r="A932" s="52"/>
      <c r="B932" s="53"/>
      <c r="C932" s="53"/>
      <c r="D932" s="1"/>
      <c r="E932" s="1"/>
      <c r="F932" s="1"/>
    </row>
    <row r="933" ht="14.25" customHeight="1">
      <c r="A933" s="52"/>
      <c r="B933" s="53"/>
      <c r="C933" s="53"/>
      <c r="D933" s="1"/>
      <c r="E933" s="1"/>
      <c r="F933" s="1"/>
    </row>
    <row r="934" ht="14.25" customHeight="1">
      <c r="A934" s="52"/>
      <c r="B934" s="53"/>
      <c r="C934" s="53"/>
      <c r="D934" s="1"/>
      <c r="E934" s="1"/>
      <c r="F934" s="1"/>
    </row>
    <row r="935" ht="14.25" customHeight="1">
      <c r="A935" s="52"/>
      <c r="B935" s="53"/>
      <c r="C935" s="53"/>
      <c r="D935" s="1"/>
      <c r="E935" s="1"/>
      <c r="F935" s="1"/>
    </row>
    <row r="936" ht="14.25" customHeight="1">
      <c r="A936" s="52"/>
      <c r="B936" s="53"/>
      <c r="C936" s="53"/>
      <c r="D936" s="1"/>
      <c r="E936" s="1"/>
      <c r="F936" s="1"/>
    </row>
    <row r="937" ht="14.25" customHeight="1">
      <c r="A937" s="52"/>
      <c r="B937" s="53"/>
      <c r="C937" s="53"/>
      <c r="D937" s="1"/>
      <c r="E937" s="1"/>
      <c r="F937" s="1"/>
    </row>
    <row r="938" ht="14.25" customHeight="1">
      <c r="A938" s="52"/>
      <c r="B938" s="53"/>
      <c r="C938" s="53"/>
      <c r="D938" s="1"/>
      <c r="E938" s="1"/>
      <c r="F938" s="1"/>
    </row>
    <row r="939" ht="14.25" customHeight="1">
      <c r="A939" s="52"/>
      <c r="B939" s="53"/>
      <c r="C939" s="53"/>
      <c r="D939" s="1"/>
      <c r="E939" s="1"/>
      <c r="F939" s="1"/>
    </row>
    <row r="940" ht="14.25" customHeight="1">
      <c r="A940" s="52"/>
      <c r="B940" s="53"/>
      <c r="C940" s="53"/>
      <c r="D940" s="1"/>
      <c r="E940" s="1"/>
      <c r="F940" s="1"/>
    </row>
    <row r="941" ht="14.25" customHeight="1">
      <c r="A941" s="52"/>
      <c r="B941" s="53"/>
      <c r="C941" s="53"/>
      <c r="D941" s="1"/>
      <c r="E941" s="1"/>
      <c r="F941" s="1"/>
    </row>
    <row r="942" ht="14.25" customHeight="1">
      <c r="A942" s="52"/>
      <c r="B942" s="53"/>
      <c r="C942" s="53"/>
      <c r="D942" s="1"/>
      <c r="E942" s="1"/>
      <c r="F942" s="1"/>
    </row>
    <row r="943" ht="14.25" customHeight="1">
      <c r="A943" s="52"/>
      <c r="B943" s="53"/>
      <c r="C943" s="53"/>
      <c r="D943" s="1"/>
      <c r="E943" s="1"/>
      <c r="F943" s="1"/>
    </row>
    <row r="944" ht="14.25" customHeight="1">
      <c r="A944" s="52"/>
      <c r="B944" s="53"/>
      <c r="C944" s="53"/>
      <c r="D944" s="1"/>
      <c r="E944" s="1"/>
      <c r="F944" s="1"/>
    </row>
    <row r="945" ht="14.25" customHeight="1">
      <c r="A945" s="52"/>
      <c r="B945" s="53"/>
      <c r="C945" s="53"/>
      <c r="D945" s="1"/>
      <c r="E945" s="1"/>
      <c r="F945" s="1"/>
    </row>
    <row r="946" ht="14.25" customHeight="1">
      <c r="A946" s="52"/>
      <c r="B946" s="53"/>
      <c r="C946" s="53"/>
      <c r="D946" s="1"/>
      <c r="E946" s="1"/>
      <c r="F946" s="1"/>
    </row>
    <row r="947" ht="14.25" customHeight="1">
      <c r="A947" s="52"/>
      <c r="B947" s="53"/>
      <c r="C947" s="53"/>
      <c r="D947" s="1"/>
      <c r="E947" s="1"/>
      <c r="F947" s="1"/>
    </row>
    <row r="948" ht="14.25" customHeight="1">
      <c r="A948" s="52"/>
      <c r="B948" s="53"/>
      <c r="C948" s="53"/>
      <c r="D948" s="1"/>
      <c r="E948" s="1"/>
      <c r="F948" s="1"/>
    </row>
    <row r="949" ht="14.25" customHeight="1">
      <c r="A949" s="52"/>
      <c r="B949" s="53"/>
      <c r="C949" s="53"/>
      <c r="D949" s="1"/>
      <c r="E949" s="1"/>
      <c r="F949" s="1"/>
    </row>
    <row r="950" ht="14.25" customHeight="1">
      <c r="A950" s="52"/>
      <c r="B950" s="53"/>
      <c r="C950" s="53"/>
      <c r="D950" s="1"/>
      <c r="E950" s="1"/>
      <c r="F950" s="1"/>
    </row>
    <row r="951" ht="14.25" customHeight="1">
      <c r="A951" s="52"/>
      <c r="B951" s="53"/>
      <c r="C951" s="53"/>
      <c r="D951" s="1"/>
      <c r="E951" s="1"/>
      <c r="F951" s="1"/>
    </row>
    <row r="952" ht="14.25" customHeight="1">
      <c r="A952" s="52"/>
      <c r="B952" s="53"/>
      <c r="C952" s="53"/>
      <c r="D952" s="1"/>
      <c r="E952" s="1"/>
      <c r="F952" s="1"/>
    </row>
    <row r="953" ht="14.25" customHeight="1">
      <c r="A953" s="52"/>
      <c r="B953" s="53"/>
      <c r="C953" s="53"/>
      <c r="D953" s="1"/>
      <c r="E953" s="1"/>
      <c r="F953" s="1"/>
    </row>
    <row r="954" ht="14.25" customHeight="1">
      <c r="A954" s="52"/>
      <c r="B954" s="53"/>
      <c r="C954" s="53"/>
      <c r="D954" s="1"/>
      <c r="E954" s="1"/>
      <c r="F954" s="1"/>
    </row>
    <row r="955" ht="14.25" customHeight="1">
      <c r="A955" s="52"/>
      <c r="B955" s="53"/>
      <c r="C955" s="53"/>
      <c r="D955" s="1"/>
      <c r="E955" s="1"/>
      <c r="F955" s="1"/>
    </row>
    <row r="956" ht="14.25" customHeight="1">
      <c r="A956" s="52"/>
      <c r="B956" s="53"/>
      <c r="C956" s="53"/>
      <c r="D956" s="1"/>
      <c r="E956" s="1"/>
      <c r="F956" s="1"/>
    </row>
    <row r="957" ht="14.25" customHeight="1">
      <c r="A957" s="52"/>
      <c r="B957" s="53"/>
      <c r="C957" s="53"/>
      <c r="D957" s="1"/>
      <c r="E957" s="1"/>
      <c r="F957" s="1"/>
    </row>
    <row r="958" ht="14.25" customHeight="1">
      <c r="A958" s="52"/>
      <c r="B958" s="53"/>
      <c r="C958" s="53"/>
      <c r="D958" s="1"/>
      <c r="E958" s="1"/>
      <c r="F958" s="1"/>
    </row>
    <row r="959" ht="14.25" customHeight="1">
      <c r="A959" s="52"/>
      <c r="B959" s="53"/>
      <c r="C959" s="53"/>
      <c r="D959" s="1"/>
      <c r="E959" s="1"/>
      <c r="F959" s="1"/>
    </row>
    <row r="960" ht="14.25" customHeight="1">
      <c r="A960" s="52"/>
      <c r="B960" s="53"/>
      <c r="C960" s="53"/>
      <c r="D960" s="1"/>
      <c r="E960" s="1"/>
      <c r="F960" s="1"/>
    </row>
    <row r="961" ht="14.25" customHeight="1">
      <c r="A961" s="52"/>
      <c r="B961" s="53"/>
      <c r="C961" s="53"/>
      <c r="D961" s="1"/>
      <c r="E961" s="1"/>
      <c r="F961" s="1"/>
    </row>
    <row r="962" ht="14.25" customHeight="1">
      <c r="A962" s="52"/>
      <c r="B962" s="53"/>
      <c r="C962" s="53"/>
      <c r="D962" s="1"/>
      <c r="E962" s="1"/>
      <c r="F962" s="1"/>
    </row>
    <row r="963" ht="14.25" customHeight="1">
      <c r="A963" s="52"/>
      <c r="B963" s="53"/>
      <c r="C963" s="53"/>
      <c r="D963" s="1"/>
      <c r="E963" s="1"/>
      <c r="F963" s="1"/>
    </row>
    <row r="964" ht="14.25" customHeight="1">
      <c r="A964" s="52"/>
      <c r="B964" s="53"/>
      <c r="C964" s="53"/>
      <c r="D964" s="1"/>
      <c r="E964" s="1"/>
      <c r="F964" s="1"/>
    </row>
    <row r="965" ht="14.25" customHeight="1">
      <c r="A965" s="52"/>
      <c r="B965" s="53"/>
      <c r="C965" s="53"/>
      <c r="D965" s="1"/>
      <c r="E965" s="1"/>
      <c r="F965" s="1"/>
    </row>
    <row r="966" ht="14.25" customHeight="1">
      <c r="A966" s="52"/>
      <c r="B966" s="53"/>
      <c r="C966" s="53"/>
      <c r="D966" s="1"/>
      <c r="E966" s="1"/>
      <c r="F966" s="1"/>
    </row>
    <row r="967" ht="14.25" customHeight="1">
      <c r="A967" s="52"/>
      <c r="B967" s="53"/>
      <c r="C967" s="53"/>
      <c r="D967" s="1"/>
      <c r="E967" s="1"/>
      <c r="F967" s="1"/>
    </row>
    <row r="968" ht="14.25" customHeight="1">
      <c r="A968" s="52"/>
      <c r="B968" s="53"/>
      <c r="C968" s="53"/>
      <c r="D968" s="1"/>
      <c r="E968" s="1"/>
      <c r="F968" s="1"/>
    </row>
    <row r="969" ht="14.25" customHeight="1">
      <c r="A969" s="52"/>
      <c r="B969" s="53"/>
      <c r="C969" s="53"/>
      <c r="D969" s="1"/>
      <c r="E969" s="1"/>
      <c r="F969" s="1"/>
    </row>
    <row r="970" ht="14.25" customHeight="1">
      <c r="A970" s="52"/>
      <c r="B970" s="53"/>
      <c r="C970" s="53"/>
      <c r="D970" s="1"/>
      <c r="E970" s="1"/>
      <c r="F970" s="1"/>
    </row>
    <row r="971" ht="14.25" customHeight="1">
      <c r="A971" s="52"/>
      <c r="B971" s="53"/>
      <c r="C971" s="53"/>
      <c r="D971" s="1"/>
      <c r="E971" s="1"/>
      <c r="F971" s="1"/>
    </row>
    <row r="972" ht="14.25" customHeight="1">
      <c r="A972" s="52"/>
      <c r="B972" s="53"/>
      <c r="C972" s="53"/>
      <c r="D972" s="1"/>
      <c r="E972" s="1"/>
      <c r="F972" s="1"/>
    </row>
    <row r="973" ht="14.25" customHeight="1">
      <c r="A973" s="52"/>
      <c r="B973" s="53"/>
      <c r="C973" s="53"/>
      <c r="D973" s="1"/>
      <c r="E973" s="1"/>
      <c r="F973" s="1"/>
    </row>
    <row r="974" ht="14.25" customHeight="1">
      <c r="A974" s="52"/>
      <c r="B974" s="53"/>
      <c r="C974" s="53"/>
      <c r="D974" s="1"/>
      <c r="E974" s="1"/>
      <c r="F974" s="1"/>
    </row>
    <row r="975" ht="14.25" customHeight="1">
      <c r="A975" s="52"/>
      <c r="B975" s="53"/>
      <c r="C975" s="53"/>
      <c r="D975" s="1"/>
      <c r="E975" s="1"/>
      <c r="F975" s="1"/>
    </row>
    <row r="976" ht="14.25" customHeight="1">
      <c r="A976" s="52"/>
      <c r="B976" s="53"/>
      <c r="C976" s="53"/>
      <c r="D976" s="1"/>
      <c r="E976" s="1"/>
      <c r="F976" s="1"/>
    </row>
    <row r="977" ht="14.25" customHeight="1">
      <c r="A977" s="52"/>
      <c r="B977" s="53"/>
      <c r="C977" s="53"/>
      <c r="D977" s="1"/>
      <c r="E977" s="1"/>
      <c r="F977" s="1"/>
    </row>
    <row r="978" ht="14.25" customHeight="1">
      <c r="A978" s="52"/>
      <c r="B978" s="53"/>
      <c r="C978" s="53"/>
      <c r="D978" s="1"/>
      <c r="E978" s="1"/>
      <c r="F978" s="1"/>
    </row>
    <row r="979" ht="14.25" customHeight="1">
      <c r="A979" s="52"/>
      <c r="B979" s="53"/>
      <c r="C979" s="53"/>
      <c r="D979" s="1"/>
      <c r="E979" s="1"/>
      <c r="F979" s="1"/>
    </row>
    <row r="980" ht="14.25" customHeight="1">
      <c r="A980" s="52"/>
      <c r="B980" s="53"/>
      <c r="C980" s="53"/>
      <c r="D980" s="1"/>
      <c r="E980" s="1"/>
      <c r="F980" s="1"/>
    </row>
    <row r="981" ht="14.25" customHeight="1">
      <c r="A981" s="52"/>
      <c r="B981" s="53"/>
      <c r="C981" s="53"/>
      <c r="D981" s="1"/>
      <c r="E981" s="1"/>
      <c r="F981" s="1"/>
    </row>
    <row r="982" ht="14.25" customHeight="1">
      <c r="A982" s="52"/>
      <c r="B982" s="53"/>
      <c r="C982" s="53"/>
      <c r="D982" s="1"/>
      <c r="E982" s="1"/>
      <c r="F982" s="1"/>
    </row>
    <row r="983" ht="14.25" customHeight="1">
      <c r="A983" s="52"/>
      <c r="B983" s="53"/>
      <c r="C983" s="53"/>
      <c r="D983" s="1"/>
      <c r="E983" s="1"/>
      <c r="F983" s="1"/>
    </row>
    <row r="984" ht="14.25" customHeight="1">
      <c r="A984" s="52"/>
      <c r="B984" s="53"/>
      <c r="C984" s="53"/>
      <c r="D984" s="1"/>
      <c r="E984" s="1"/>
      <c r="F984" s="1"/>
    </row>
    <row r="985" ht="14.25" customHeight="1">
      <c r="A985" s="52"/>
      <c r="B985" s="53"/>
      <c r="C985" s="53"/>
      <c r="D985" s="1"/>
      <c r="E985" s="1"/>
      <c r="F985" s="1"/>
    </row>
    <row r="986" ht="14.25" customHeight="1">
      <c r="A986" s="52"/>
      <c r="B986" s="53"/>
      <c r="C986" s="53"/>
      <c r="D986" s="1"/>
      <c r="E986" s="1"/>
      <c r="F986" s="1"/>
    </row>
    <row r="987" ht="14.25" customHeight="1">
      <c r="A987" s="52"/>
      <c r="B987" s="53"/>
      <c r="C987" s="53"/>
      <c r="D987" s="1"/>
      <c r="E987" s="1"/>
      <c r="F987" s="1"/>
    </row>
    <row r="988" ht="14.25" customHeight="1">
      <c r="A988" s="52"/>
      <c r="B988" s="53"/>
      <c r="C988" s="53"/>
      <c r="D988" s="1"/>
      <c r="E988" s="1"/>
      <c r="F988" s="1"/>
    </row>
    <row r="989" ht="14.25" customHeight="1">
      <c r="A989" s="52"/>
      <c r="B989" s="53"/>
      <c r="C989" s="53"/>
      <c r="D989" s="1"/>
      <c r="E989" s="1"/>
      <c r="F989" s="1"/>
    </row>
    <row r="990" ht="14.25" customHeight="1">
      <c r="A990" s="52"/>
      <c r="B990" s="53"/>
      <c r="C990" s="53"/>
      <c r="D990" s="1"/>
      <c r="E990" s="1"/>
      <c r="F990" s="1"/>
    </row>
    <row r="991" ht="14.25" customHeight="1">
      <c r="A991" s="52"/>
      <c r="B991" s="53"/>
      <c r="C991" s="53"/>
      <c r="D991" s="1"/>
      <c r="E991" s="1"/>
      <c r="F991" s="1"/>
    </row>
    <row r="992" ht="14.25" customHeight="1">
      <c r="A992" s="52"/>
      <c r="B992" s="53"/>
      <c r="C992" s="53"/>
      <c r="D992" s="1"/>
      <c r="E992" s="1"/>
      <c r="F992" s="1"/>
    </row>
    <row r="993" ht="14.25" customHeight="1">
      <c r="A993" s="52"/>
      <c r="B993" s="53"/>
      <c r="C993" s="53"/>
      <c r="D993" s="1"/>
      <c r="E993" s="1"/>
      <c r="F993" s="1"/>
    </row>
    <row r="994" ht="14.25" customHeight="1">
      <c r="A994" s="52"/>
      <c r="B994" s="53"/>
      <c r="C994" s="53"/>
      <c r="D994" s="1"/>
      <c r="E994" s="1"/>
      <c r="F994" s="1"/>
    </row>
    <row r="995" ht="14.25" customHeight="1">
      <c r="A995" s="52"/>
      <c r="B995" s="53"/>
      <c r="C995" s="53"/>
      <c r="D995" s="1"/>
      <c r="E995" s="1"/>
      <c r="F995" s="1"/>
    </row>
    <row r="996" ht="14.25" customHeight="1">
      <c r="A996" s="52"/>
      <c r="B996" s="53"/>
      <c r="C996" s="53"/>
      <c r="D996" s="1"/>
      <c r="E996" s="1"/>
      <c r="F996" s="1"/>
    </row>
    <row r="997" ht="14.25" customHeight="1">
      <c r="A997" s="52"/>
      <c r="B997" s="53"/>
      <c r="C997" s="53"/>
      <c r="D997" s="1"/>
      <c r="E997" s="1"/>
      <c r="F997" s="1"/>
    </row>
    <row r="998" ht="14.25" customHeight="1">
      <c r="A998" s="52"/>
      <c r="B998" s="53"/>
      <c r="C998" s="53"/>
      <c r="D998" s="1"/>
      <c r="E998" s="1"/>
      <c r="F998" s="1"/>
    </row>
    <row r="999" ht="14.25" customHeight="1">
      <c r="A999" s="52"/>
      <c r="B999" s="53"/>
      <c r="C999" s="53"/>
      <c r="D999" s="1"/>
      <c r="E999" s="1"/>
      <c r="F999" s="1"/>
    </row>
    <row r="1000" ht="14.25" customHeight="1">
      <c r="A1000" s="52"/>
      <c r="B1000" s="53"/>
      <c r="C1000" s="53"/>
      <c r="D1000" s="1"/>
      <c r="E1000" s="1"/>
      <c r="F1000" s="1"/>
    </row>
  </sheetData>
  <mergeCells count="4">
    <mergeCell ref="A2:F2"/>
    <mergeCell ref="A4:F4"/>
    <mergeCell ref="A5:F5"/>
    <mergeCell ref="A20:F20"/>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1"/>
    <col customWidth="1" min="2" max="2" width="30.43"/>
    <col customWidth="1" min="3" max="3" width="16.86"/>
    <col customWidth="1" min="4" max="4" width="22.43"/>
    <col customWidth="1" min="5" max="5" width="14.14"/>
    <col customWidth="1" min="6" max="6" width="12.0"/>
    <col customWidth="1" min="7" max="7" width="21.14"/>
    <col customWidth="1" min="8" max="26" width="10.0"/>
  </cols>
  <sheetData>
    <row r="1" ht="14.25" customHeight="1">
      <c r="A1" s="52"/>
      <c r="B1" s="53"/>
      <c r="C1" s="53"/>
      <c r="D1" s="53"/>
      <c r="E1" s="1"/>
      <c r="F1" s="1"/>
    </row>
    <row r="2" ht="15.0" customHeight="1">
      <c r="A2" s="54" t="s">
        <v>3852</v>
      </c>
      <c r="B2" s="55"/>
      <c r="C2" s="55"/>
      <c r="D2" s="55"/>
      <c r="E2" s="55"/>
      <c r="F2" s="56"/>
      <c r="G2" s="58"/>
      <c r="H2" s="58"/>
      <c r="I2" s="58"/>
      <c r="J2" s="58"/>
      <c r="K2" s="58"/>
      <c r="L2" s="58"/>
      <c r="M2" s="58"/>
      <c r="N2" s="58"/>
      <c r="O2" s="58"/>
      <c r="P2" s="58"/>
      <c r="Q2" s="58"/>
      <c r="R2" s="58"/>
      <c r="S2" s="58"/>
      <c r="T2" s="58"/>
      <c r="U2" s="58"/>
      <c r="V2" s="58"/>
      <c r="W2" s="58"/>
      <c r="X2" s="58"/>
      <c r="Y2" s="58"/>
      <c r="Z2" s="58"/>
    </row>
    <row r="3" ht="15.0" customHeight="1">
      <c r="A3" s="115"/>
      <c r="B3" s="115"/>
      <c r="C3" s="115"/>
      <c r="D3" s="115"/>
      <c r="E3" s="115"/>
      <c r="F3" s="57"/>
      <c r="G3" s="58"/>
      <c r="H3" s="58"/>
      <c r="I3" s="58"/>
      <c r="J3" s="58"/>
      <c r="K3" s="58"/>
      <c r="L3" s="58"/>
      <c r="M3" s="58"/>
      <c r="N3" s="58"/>
      <c r="O3" s="58"/>
      <c r="P3" s="58"/>
      <c r="Q3" s="58"/>
      <c r="R3" s="58"/>
      <c r="S3" s="58"/>
      <c r="T3" s="58"/>
      <c r="U3" s="58"/>
      <c r="V3" s="58"/>
      <c r="W3" s="58"/>
      <c r="X3" s="58"/>
      <c r="Y3" s="58"/>
      <c r="Z3" s="58"/>
    </row>
    <row r="4" ht="15.0" customHeight="1">
      <c r="A4" s="117" t="s">
        <v>3853</v>
      </c>
      <c r="B4" s="55"/>
      <c r="C4" s="55"/>
      <c r="D4" s="55"/>
      <c r="E4" s="55"/>
      <c r="F4" s="56"/>
      <c r="G4" s="58"/>
      <c r="H4" s="58"/>
      <c r="I4" s="58"/>
      <c r="J4" s="58"/>
      <c r="K4" s="58"/>
      <c r="L4" s="58"/>
      <c r="M4" s="58"/>
      <c r="N4" s="58"/>
      <c r="O4" s="58"/>
      <c r="P4" s="58"/>
      <c r="Q4" s="58"/>
      <c r="R4" s="58"/>
      <c r="S4" s="58"/>
      <c r="T4" s="58"/>
      <c r="U4" s="58"/>
      <c r="V4" s="58"/>
      <c r="W4" s="58"/>
      <c r="X4" s="58"/>
      <c r="Y4" s="58"/>
      <c r="Z4" s="58"/>
    </row>
    <row r="5" ht="75.0" customHeight="1">
      <c r="A5" s="60" t="s">
        <v>3854</v>
      </c>
      <c r="B5" s="55"/>
      <c r="C5" s="55"/>
      <c r="D5" s="55"/>
      <c r="E5" s="55"/>
      <c r="F5" s="56"/>
      <c r="G5" s="58"/>
      <c r="H5" s="58"/>
      <c r="I5" s="58"/>
      <c r="J5" s="58"/>
      <c r="K5" s="58"/>
      <c r="L5" s="58"/>
      <c r="M5" s="58"/>
      <c r="N5" s="58"/>
      <c r="O5" s="58"/>
      <c r="P5" s="58"/>
      <c r="Q5" s="58"/>
      <c r="R5" s="58"/>
      <c r="S5" s="58"/>
      <c r="T5" s="58"/>
      <c r="U5" s="58"/>
      <c r="V5" s="58"/>
      <c r="W5" s="58"/>
      <c r="X5" s="58"/>
      <c r="Y5" s="58"/>
      <c r="Z5" s="58"/>
    </row>
    <row r="6" ht="14.25" customHeight="1">
      <c r="A6" s="52"/>
      <c r="B6" s="53"/>
      <c r="C6" s="53"/>
      <c r="D6" s="53"/>
      <c r="E6" s="1"/>
      <c r="F6" s="1"/>
      <c r="G6" s="58"/>
      <c r="H6" s="58"/>
      <c r="I6" s="58"/>
      <c r="J6" s="58"/>
      <c r="K6" s="58"/>
      <c r="L6" s="58"/>
      <c r="M6" s="58"/>
      <c r="N6" s="58"/>
      <c r="O6" s="58"/>
      <c r="P6" s="58"/>
      <c r="Q6" s="58"/>
      <c r="R6" s="58"/>
      <c r="S6" s="58"/>
      <c r="T6" s="58"/>
      <c r="U6" s="58"/>
      <c r="V6" s="58"/>
      <c r="W6" s="58"/>
      <c r="X6" s="58"/>
      <c r="Y6" s="58"/>
      <c r="Z6" s="58"/>
    </row>
    <row r="7" ht="38.25" customHeight="1">
      <c r="A7" s="203" t="s">
        <v>3855</v>
      </c>
      <c r="B7" s="309" t="s">
        <v>3850</v>
      </c>
      <c r="C7" s="309" t="s">
        <v>9</v>
      </c>
      <c r="D7" s="309" t="s">
        <v>3856</v>
      </c>
      <c r="E7" s="203" t="s">
        <v>208</v>
      </c>
      <c r="F7" s="203" t="s">
        <v>209</v>
      </c>
      <c r="G7" s="65" t="s">
        <v>210</v>
      </c>
    </row>
    <row r="8" ht="14.25" customHeight="1">
      <c r="A8" s="535"/>
      <c r="B8" s="536"/>
      <c r="C8" s="536"/>
      <c r="D8" s="536"/>
      <c r="E8" s="535"/>
      <c r="F8" s="537"/>
      <c r="G8" s="77"/>
    </row>
    <row r="9" ht="14.25" customHeight="1">
      <c r="A9" s="101"/>
      <c r="B9" s="101"/>
      <c r="C9" s="75"/>
      <c r="D9" s="102"/>
      <c r="E9" s="185"/>
      <c r="F9" s="180"/>
      <c r="G9" s="77"/>
    </row>
    <row r="10" ht="14.25" customHeight="1">
      <c r="A10" s="101"/>
      <c r="B10" s="101"/>
      <c r="C10" s="75"/>
      <c r="D10" s="102"/>
      <c r="E10" s="185"/>
      <c r="F10" s="180"/>
      <c r="G10" s="77"/>
    </row>
    <row r="11" ht="18.75" customHeight="1">
      <c r="A11" s="101"/>
      <c r="B11" s="101"/>
      <c r="C11" s="75"/>
      <c r="D11" s="102"/>
      <c r="E11" s="185"/>
      <c r="F11" s="180"/>
      <c r="G11" s="77"/>
    </row>
    <row r="12" ht="14.25" customHeight="1">
      <c r="A12" s="101"/>
      <c r="B12" s="101"/>
      <c r="C12" s="75"/>
      <c r="D12" s="102"/>
      <c r="E12" s="373"/>
      <c r="F12" s="180"/>
      <c r="G12" s="77"/>
    </row>
    <row r="13" ht="14.25" customHeight="1">
      <c r="A13" s="101"/>
      <c r="B13" s="101"/>
      <c r="C13" s="75"/>
      <c r="D13" s="102"/>
      <c r="E13" s="373"/>
      <c r="F13" s="180"/>
      <c r="G13" s="77"/>
    </row>
    <row r="14" ht="14.25" customHeight="1">
      <c r="A14" s="101"/>
      <c r="B14" s="101"/>
      <c r="C14" s="75"/>
      <c r="D14" s="102"/>
      <c r="E14" s="373"/>
      <c r="F14" s="180"/>
      <c r="G14" s="77"/>
    </row>
    <row r="15" ht="14.25" customHeight="1">
      <c r="A15" s="101"/>
      <c r="B15" s="101"/>
      <c r="C15" s="75"/>
      <c r="D15" s="102"/>
      <c r="E15" s="373"/>
      <c r="F15" s="180"/>
      <c r="G15" s="77"/>
    </row>
    <row r="16" ht="14.25" customHeight="1">
      <c r="A16" s="104" t="s">
        <v>180</v>
      </c>
      <c r="B16" s="53"/>
      <c r="C16" s="53"/>
      <c r="D16" s="53"/>
      <c r="E16" s="57"/>
      <c r="F16" s="533">
        <f>SUM(F8:F15)</f>
        <v>0</v>
      </c>
    </row>
    <row r="17" ht="14.25" customHeight="1">
      <c r="A17" s="52"/>
      <c r="B17" s="53"/>
      <c r="C17" s="53"/>
      <c r="D17" s="53"/>
      <c r="E17" s="1"/>
      <c r="F17" s="1"/>
    </row>
    <row r="18" ht="14.25" customHeight="1">
      <c r="A18" s="534" t="s">
        <v>330</v>
      </c>
      <c r="B18" s="107"/>
      <c r="C18" s="107"/>
      <c r="D18" s="107"/>
      <c r="E18" s="107"/>
      <c r="F18" s="108"/>
    </row>
    <row r="19" ht="14.25" customHeight="1">
      <c r="A19" s="52"/>
      <c r="B19" s="53"/>
      <c r="C19" s="53"/>
      <c r="D19" s="53"/>
      <c r="E19" s="1"/>
      <c r="F19" s="1"/>
    </row>
    <row r="20" ht="14.25" customHeight="1">
      <c r="A20" s="52"/>
      <c r="B20" s="53"/>
      <c r="C20" s="53"/>
      <c r="D20" s="53"/>
      <c r="E20" s="1"/>
      <c r="F20" s="1"/>
    </row>
    <row r="21" ht="14.25" customHeight="1">
      <c r="A21" s="52"/>
      <c r="B21" s="53"/>
      <c r="C21" s="53"/>
      <c r="D21" s="53"/>
      <c r="E21" s="1"/>
      <c r="F21" s="1"/>
    </row>
    <row r="22" ht="14.25" customHeight="1">
      <c r="A22" s="52"/>
      <c r="B22" s="53"/>
      <c r="C22" s="53"/>
      <c r="D22" s="53"/>
      <c r="E22" s="1"/>
      <c r="F22" s="1"/>
    </row>
    <row r="23" ht="14.25" customHeight="1">
      <c r="A23" s="52"/>
      <c r="B23" s="53"/>
      <c r="C23" s="53"/>
      <c r="D23" s="53"/>
      <c r="E23" s="1"/>
      <c r="F23" s="1"/>
    </row>
    <row r="24" ht="14.25" customHeight="1">
      <c r="A24" s="52"/>
      <c r="B24" s="53"/>
      <c r="C24" s="53"/>
      <c r="D24" s="53"/>
      <c r="E24" s="1"/>
      <c r="F24" s="1"/>
    </row>
    <row r="25" ht="14.25" customHeight="1">
      <c r="A25" s="52"/>
      <c r="B25" s="53"/>
      <c r="C25" s="53"/>
      <c r="D25" s="53"/>
      <c r="E25" s="1"/>
      <c r="F25" s="1"/>
    </row>
    <row r="26" ht="14.25" customHeight="1">
      <c r="A26" s="52"/>
      <c r="B26" s="53"/>
      <c r="C26" s="53"/>
      <c r="D26" s="53"/>
      <c r="E26" s="1"/>
      <c r="F26" s="1"/>
    </row>
    <row r="27" ht="14.25" customHeight="1">
      <c r="A27" s="52"/>
      <c r="B27" s="53"/>
      <c r="C27" s="53"/>
      <c r="D27" s="53"/>
      <c r="E27" s="1"/>
      <c r="F27" s="1"/>
    </row>
    <row r="28" ht="14.25" customHeight="1">
      <c r="A28" s="52"/>
      <c r="B28" s="53"/>
      <c r="C28" s="53"/>
      <c r="D28" s="53"/>
      <c r="E28" s="1"/>
      <c r="F28" s="1"/>
    </row>
    <row r="29" ht="14.25" customHeight="1">
      <c r="A29" s="52"/>
      <c r="B29" s="53"/>
      <c r="C29" s="53"/>
      <c r="D29" s="53"/>
      <c r="E29" s="1"/>
      <c r="F29" s="1"/>
    </row>
    <row r="30" ht="14.25" customHeight="1">
      <c r="A30" s="52"/>
      <c r="B30" s="53"/>
      <c r="C30" s="53"/>
      <c r="D30" s="53"/>
      <c r="E30" s="1"/>
      <c r="F30" s="1"/>
    </row>
    <row r="31" ht="14.25" customHeight="1">
      <c r="A31" s="52"/>
      <c r="B31" s="53"/>
      <c r="C31" s="53"/>
      <c r="D31" s="53"/>
      <c r="E31" s="1"/>
      <c r="F31" s="1"/>
    </row>
    <row r="32" ht="14.25" customHeight="1">
      <c r="A32" s="52"/>
      <c r="B32" s="53"/>
      <c r="C32" s="53"/>
      <c r="D32" s="53"/>
      <c r="E32" s="1"/>
      <c r="F32" s="1"/>
    </row>
    <row r="33" ht="14.25" customHeight="1">
      <c r="A33" s="52"/>
      <c r="B33" s="53"/>
      <c r="C33" s="53"/>
      <c r="D33" s="53"/>
      <c r="E33" s="1"/>
      <c r="F33" s="1"/>
    </row>
    <row r="34" ht="14.25" customHeight="1">
      <c r="A34" s="52"/>
      <c r="B34" s="53"/>
      <c r="C34" s="53"/>
      <c r="D34" s="53"/>
      <c r="E34" s="1"/>
      <c r="F34" s="1"/>
    </row>
    <row r="35" ht="14.25" customHeight="1">
      <c r="A35" s="52"/>
      <c r="B35" s="53"/>
      <c r="C35" s="53"/>
      <c r="D35" s="53"/>
      <c r="E35" s="1"/>
      <c r="F35" s="1"/>
    </row>
    <row r="36" ht="14.25" customHeight="1">
      <c r="A36" s="52"/>
      <c r="B36" s="53"/>
      <c r="C36" s="53"/>
      <c r="D36" s="53"/>
      <c r="E36" s="1"/>
      <c r="F36" s="1"/>
    </row>
    <row r="37" ht="14.25" customHeight="1">
      <c r="A37" s="52"/>
      <c r="B37" s="53"/>
      <c r="C37" s="53"/>
      <c r="D37" s="53"/>
      <c r="E37" s="1"/>
      <c r="F37" s="1"/>
    </row>
    <row r="38" ht="14.25" customHeight="1">
      <c r="A38" s="52"/>
      <c r="B38" s="53"/>
      <c r="C38" s="53"/>
      <c r="D38" s="53"/>
      <c r="E38" s="1"/>
      <c r="F38" s="1"/>
    </row>
    <row r="39" ht="14.25" customHeight="1">
      <c r="A39" s="52"/>
      <c r="B39" s="53"/>
      <c r="C39" s="53"/>
      <c r="D39" s="53"/>
      <c r="E39" s="1"/>
      <c r="F39" s="1"/>
    </row>
    <row r="40" ht="14.25" customHeight="1">
      <c r="A40" s="52"/>
      <c r="B40" s="53"/>
      <c r="C40" s="53"/>
      <c r="D40" s="53"/>
      <c r="E40" s="1"/>
      <c r="F40" s="1"/>
    </row>
    <row r="41" ht="14.25" customHeight="1">
      <c r="A41" s="52"/>
      <c r="B41" s="53"/>
      <c r="C41" s="53"/>
      <c r="D41" s="53"/>
      <c r="E41" s="1"/>
      <c r="F41" s="1"/>
    </row>
    <row r="42" ht="14.25" customHeight="1">
      <c r="A42" s="52"/>
      <c r="B42" s="53"/>
      <c r="C42" s="53"/>
      <c r="D42" s="53"/>
      <c r="E42" s="1"/>
      <c r="F42" s="1"/>
    </row>
    <row r="43" ht="14.25" customHeight="1">
      <c r="A43" s="52"/>
      <c r="B43" s="53"/>
      <c r="C43" s="53"/>
      <c r="D43" s="53"/>
      <c r="E43" s="1"/>
      <c r="F43" s="1"/>
    </row>
    <row r="44" ht="14.25" customHeight="1">
      <c r="A44" s="52"/>
      <c r="B44" s="53"/>
      <c r="C44" s="53"/>
      <c r="D44" s="53"/>
      <c r="E44" s="1"/>
      <c r="F44" s="1"/>
    </row>
    <row r="45" ht="14.25" customHeight="1">
      <c r="A45" s="52"/>
      <c r="B45" s="53"/>
      <c r="C45" s="53"/>
      <c r="D45" s="53"/>
      <c r="E45" s="1"/>
      <c r="F45" s="1"/>
    </row>
    <row r="46" ht="14.25" customHeight="1">
      <c r="A46" s="52"/>
      <c r="B46" s="53"/>
      <c r="C46" s="53"/>
      <c r="D46" s="53"/>
      <c r="E46" s="1"/>
      <c r="F46" s="1"/>
    </row>
    <row r="47" ht="14.25" customHeight="1">
      <c r="A47" s="52"/>
      <c r="B47" s="53"/>
      <c r="C47" s="53"/>
      <c r="D47" s="53"/>
      <c r="E47" s="1"/>
      <c r="F47" s="1"/>
    </row>
    <row r="48" ht="14.25" customHeight="1">
      <c r="A48" s="52"/>
      <c r="B48" s="53"/>
      <c r="C48" s="53"/>
      <c r="D48" s="53"/>
      <c r="E48" s="1"/>
      <c r="F48" s="1"/>
    </row>
    <row r="49" ht="14.25" customHeight="1">
      <c r="A49" s="52"/>
      <c r="B49" s="53"/>
      <c r="C49" s="53"/>
      <c r="D49" s="53"/>
      <c r="E49" s="1"/>
      <c r="F49" s="1"/>
    </row>
    <row r="50" ht="14.25" customHeight="1">
      <c r="A50" s="52"/>
      <c r="B50" s="53"/>
      <c r="C50" s="53"/>
      <c r="D50" s="53"/>
      <c r="E50" s="1"/>
      <c r="F50" s="1"/>
    </row>
    <row r="51" ht="14.25" customHeight="1">
      <c r="A51" s="52"/>
      <c r="B51" s="53"/>
      <c r="C51" s="53"/>
      <c r="D51" s="53"/>
      <c r="E51" s="1"/>
      <c r="F51" s="1"/>
    </row>
    <row r="52" ht="14.25" customHeight="1">
      <c r="A52" s="52"/>
      <c r="B52" s="53"/>
      <c r="C52" s="53"/>
      <c r="D52" s="53"/>
      <c r="E52" s="1"/>
      <c r="F52" s="1"/>
    </row>
    <row r="53" ht="14.25" customHeight="1">
      <c r="A53" s="52"/>
      <c r="B53" s="53"/>
      <c r="C53" s="53"/>
      <c r="D53" s="53"/>
      <c r="E53" s="1"/>
      <c r="F53" s="1"/>
    </row>
    <row r="54" ht="14.25" customHeight="1">
      <c r="A54" s="52"/>
      <c r="B54" s="53"/>
      <c r="C54" s="53"/>
      <c r="D54" s="53"/>
      <c r="E54" s="1"/>
      <c r="F54" s="1"/>
    </row>
    <row r="55" ht="14.25" customHeight="1">
      <c r="A55" s="52"/>
      <c r="B55" s="53"/>
      <c r="C55" s="53"/>
      <c r="D55" s="53"/>
      <c r="E55" s="1"/>
      <c r="F55" s="1"/>
    </row>
    <row r="56" ht="14.25" customHeight="1">
      <c r="A56" s="52"/>
      <c r="B56" s="53"/>
      <c r="C56" s="53"/>
      <c r="D56" s="53"/>
      <c r="E56" s="1"/>
      <c r="F56" s="1"/>
    </row>
    <row r="57" ht="14.25" customHeight="1">
      <c r="A57" s="52"/>
      <c r="B57" s="53"/>
      <c r="C57" s="53"/>
      <c r="D57" s="53"/>
      <c r="E57" s="1"/>
      <c r="F57" s="1"/>
    </row>
    <row r="58" ht="14.25" customHeight="1">
      <c r="A58" s="52"/>
      <c r="B58" s="53"/>
      <c r="C58" s="53"/>
      <c r="D58" s="53"/>
      <c r="E58" s="1"/>
      <c r="F58" s="1"/>
    </row>
    <row r="59" ht="14.25" customHeight="1">
      <c r="A59" s="52"/>
      <c r="B59" s="53"/>
      <c r="C59" s="53"/>
      <c r="D59" s="53"/>
      <c r="E59" s="1"/>
      <c r="F59" s="1"/>
    </row>
    <row r="60" ht="14.25" customHeight="1">
      <c r="A60" s="52"/>
      <c r="B60" s="53"/>
      <c r="C60" s="53"/>
      <c r="D60" s="53"/>
      <c r="E60" s="1"/>
      <c r="F60" s="1"/>
    </row>
    <row r="61" ht="14.25" customHeight="1">
      <c r="A61" s="52"/>
      <c r="B61" s="53"/>
      <c r="C61" s="53"/>
      <c r="D61" s="53"/>
      <c r="E61" s="1"/>
      <c r="F61" s="1"/>
    </row>
    <row r="62" ht="14.25" customHeight="1">
      <c r="A62" s="52"/>
      <c r="B62" s="53"/>
      <c r="C62" s="53"/>
      <c r="D62" s="53"/>
      <c r="E62" s="1"/>
      <c r="F62" s="1"/>
    </row>
    <row r="63" ht="14.25" customHeight="1">
      <c r="A63" s="52"/>
      <c r="B63" s="53"/>
      <c r="C63" s="53"/>
      <c r="D63" s="53"/>
      <c r="E63" s="1"/>
      <c r="F63" s="1"/>
    </row>
    <row r="64" ht="14.25" customHeight="1">
      <c r="A64" s="52"/>
      <c r="B64" s="53"/>
      <c r="C64" s="53"/>
      <c r="D64" s="53"/>
      <c r="E64" s="1"/>
      <c r="F64" s="1"/>
    </row>
    <row r="65" ht="14.25" customHeight="1">
      <c r="A65" s="52"/>
      <c r="B65" s="53"/>
      <c r="C65" s="53"/>
      <c r="D65" s="53"/>
      <c r="E65" s="1"/>
      <c r="F65" s="1"/>
    </row>
    <row r="66" ht="14.25" customHeight="1">
      <c r="A66" s="52"/>
      <c r="B66" s="53"/>
      <c r="C66" s="53"/>
      <c r="D66" s="53"/>
      <c r="E66" s="1"/>
      <c r="F66" s="1"/>
    </row>
    <row r="67" ht="14.25" customHeight="1">
      <c r="A67" s="52"/>
      <c r="B67" s="53"/>
      <c r="C67" s="53"/>
      <c r="D67" s="53"/>
      <c r="E67" s="1"/>
      <c r="F67" s="1"/>
    </row>
    <row r="68" ht="14.25" customHeight="1">
      <c r="A68" s="52"/>
      <c r="B68" s="53"/>
      <c r="C68" s="53"/>
      <c r="D68" s="53"/>
      <c r="E68" s="1"/>
      <c r="F68" s="1"/>
    </row>
    <row r="69" ht="14.25" customHeight="1">
      <c r="A69" s="52"/>
      <c r="B69" s="53"/>
      <c r="C69" s="53"/>
      <c r="D69" s="53"/>
      <c r="E69" s="1"/>
      <c r="F69" s="1"/>
    </row>
    <row r="70" ht="14.25" customHeight="1">
      <c r="A70" s="52"/>
      <c r="B70" s="53"/>
      <c r="C70" s="53"/>
      <c r="D70" s="53"/>
      <c r="E70" s="1"/>
      <c r="F70" s="1"/>
    </row>
    <row r="71" ht="14.25" customHeight="1">
      <c r="A71" s="52"/>
      <c r="B71" s="53"/>
      <c r="C71" s="53"/>
      <c r="D71" s="53"/>
      <c r="E71" s="1"/>
      <c r="F71" s="1"/>
    </row>
    <row r="72" ht="14.25" customHeight="1">
      <c r="A72" s="52"/>
      <c r="B72" s="53"/>
      <c r="C72" s="53"/>
      <c r="D72" s="53"/>
      <c r="E72" s="1"/>
      <c r="F72" s="1"/>
    </row>
    <row r="73" ht="14.25" customHeight="1">
      <c r="A73" s="52"/>
      <c r="B73" s="53"/>
      <c r="C73" s="53"/>
      <c r="D73" s="53"/>
      <c r="E73" s="1"/>
      <c r="F73" s="1"/>
    </row>
    <row r="74" ht="14.25" customHeight="1">
      <c r="A74" s="52"/>
      <c r="B74" s="53"/>
      <c r="C74" s="53"/>
      <c r="D74" s="53"/>
      <c r="E74" s="1"/>
      <c r="F74" s="1"/>
    </row>
    <row r="75" ht="14.25" customHeight="1">
      <c r="A75" s="52"/>
      <c r="B75" s="53"/>
      <c r="C75" s="53"/>
      <c r="D75" s="53"/>
      <c r="E75" s="1"/>
      <c r="F75" s="1"/>
    </row>
    <row r="76" ht="14.25" customHeight="1">
      <c r="A76" s="52"/>
      <c r="B76" s="53"/>
      <c r="C76" s="53"/>
      <c r="D76" s="53"/>
      <c r="E76" s="1"/>
      <c r="F76" s="1"/>
    </row>
    <row r="77" ht="14.25" customHeight="1">
      <c r="A77" s="52"/>
      <c r="B77" s="53"/>
      <c r="C77" s="53"/>
      <c r="D77" s="53"/>
      <c r="E77" s="1"/>
      <c r="F77" s="1"/>
    </row>
    <row r="78" ht="14.25" customHeight="1">
      <c r="A78" s="52"/>
      <c r="B78" s="53"/>
      <c r="C78" s="53"/>
      <c r="D78" s="53"/>
      <c r="E78" s="1"/>
      <c r="F78" s="1"/>
    </row>
    <row r="79" ht="14.25" customHeight="1">
      <c r="A79" s="52"/>
      <c r="B79" s="53"/>
      <c r="C79" s="53"/>
      <c r="D79" s="53"/>
      <c r="E79" s="1"/>
      <c r="F79" s="1"/>
    </row>
    <row r="80" ht="14.25" customHeight="1">
      <c r="A80" s="52"/>
      <c r="B80" s="53"/>
      <c r="C80" s="53"/>
      <c r="D80" s="53"/>
      <c r="E80" s="1"/>
      <c r="F80" s="1"/>
    </row>
    <row r="81" ht="14.25" customHeight="1">
      <c r="A81" s="52"/>
      <c r="B81" s="53"/>
      <c r="C81" s="53"/>
      <c r="D81" s="53"/>
      <c r="E81" s="1"/>
      <c r="F81" s="1"/>
    </row>
    <row r="82" ht="14.25" customHeight="1">
      <c r="A82" s="52"/>
      <c r="B82" s="53"/>
      <c r="C82" s="53"/>
      <c r="D82" s="53"/>
      <c r="E82" s="1"/>
      <c r="F82" s="1"/>
    </row>
    <row r="83" ht="14.25" customHeight="1">
      <c r="A83" s="52"/>
      <c r="B83" s="53"/>
      <c r="C83" s="53"/>
      <c r="D83" s="53"/>
      <c r="E83" s="1"/>
      <c r="F83" s="1"/>
    </row>
    <row r="84" ht="14.25" customHeight="1">
      <c r="A84" s="52"/>
      <c r="B84" s="53"/>
      <c r="C84" s="53"/>
      <c r="D84" s="53"/>
      <c r="E84" s="1"/>
      <c r="F84" s="1"/>
    </row>
    <row r="85" ht="14.25" customHeight="1">
      <c r="A85" s="52"/>
      <c r="B85" s="53"/>
      <c r="C85" s="53"/>
      <c r="D85" s="53"/>
      <c r="E85" s="1"/>
      <c r="F85" s="1"/>
    </row>
    <row r="86" ht="14.25" customHeight="1">
      <c r="A86" s="52"/>
      <c r="B86" s="53"/>
      <c r="C86" s="53"/>
      <c r="D86" s="53"/>
      <c r="E86" s="1"/>
      <c r="F86" s="1"/>
    </row>
    <row r="87" ht="14.25" customHeight="1">
      <c r="A87" s="52"/>
      <c r="B87" s="53"/>
      <c r="C87" s="53"/>
      <c r="D87" s="53"/>
      <c r="E87" s="1"/>
      <c r="F87" s="1"/>
    </row>
    <row r="88" ht="14.25" customHeight="1">
      <c r="A88" s="52"/>
      <c r="B88" s="53"/>
      <c r="C88" s="53"/>
      <c r="D88" s="53"/>
      <c r="E88" s="1"/>
      <c r="F88" s="1"/>
    </row>
    <row r="89" ht="14.25" customHeight="1">
      <c r="A89" s="52"/>
      <c r="B89" s="53"/>
      <c r="C89" s="53"/>
      <c r="D89" s="53"/>
      <c r="E89" s="1"/>
      <c r="F89" s="1"/>
    </row>
    <row r="90" ht="14.25" customHeight="1">
      <c r="A90" s="52"/>
      <c r="B90" s="53"/>
      <c r="C90" s="53"/>
      <c r="D90" s="53"/>
      <c r="E90" s="1"/>
      <c r="F90" s="1"/>
    </row>
    <row r="91" ht="14.25" customHeight="1">
      <c r="A91" s="52"/>
      <c r="B91" s="53"/>
      <c r="C91" s="53"/>
      <c r="D91" s="53"/>
      <c r="E91" s="1"/>
      <c r="F91" s="1"/>
    </row>
    <row r="92" ht="14.25" customHeight="1">
      <c r="A92" s="52"/>
      <c r="B92" s="53"/>
      <c r="C92" s="53"/>
      <c r="D92" s="53"/>
      <c r="E92" s="1"/>
      <c r="F92" s="1"/>
    </row>
    <row r="93" ht="14.25" customHeight="1">
      <c r="A93" s="52"/>
      <c r="B93" s="53"/>
      <c r="C93" s="53"/>
      <c r="D93" s="53"/>
      <c r="E93" s="1"/>
      <c r="F93" s="1"/>
    </row>
    <row r="94" ht="14.25" customHeight="1">
      <c r="A94" s="52"/>
      <c r="B94" s="53"/>
      <c r="C94" s="53"/>
      <c r="D94" s="53"/>
      <c r="E94" s="1"/>
      <c r="F94" s="1"/>
    </row>
    <row r="95" ht="14.25" customHeight="1">
      <c r="A95" s="52"/>
      <c r="B95" s="53"/>
      <c r="C95" s="53"/>
      <c r="D95" s="53"/>
      <c r="E95" s="1"/>
      <c r="F95" s="1"/>
    </row>
    <row r="96" ht="14.25" customHeight="1">
      <c r="A96" s="52"/>
      <c r="B96" s="53"/>
      <c r="C96" s="53"/>
      <c r="D96" s="53"/>
      <c r="E96" s="1"/>
      <c r="F96" s="1"/>
    </row>
    <row r="97" ht="14.25" customHeight="1">
      <c r="A97" s="52"/>
      <c r="B97" s="53"/>
      <c r="C97" s="53"/>
      <c r="D97" s="53"/>
      <c r="E97" s="1"/>
      <c r="F97" s="1"/>
    </row>
    <row r="98" ht="14.25" customHeight="1">
      <c r="A98" s="52"/>
      <c r="B98" s="53"/>
      <c r="C98" s="53"/>
      <c r="D98" s="53"/>
      <c r="E98" s="1"/>
      <c r="F98" s="1"/>
    </row>
    <row r="99" ht="14.25" customHeight="1">
      <c r="A99" s="52"/>
      <c r="B99" s="53"/>
      <c r="C99" s="53"/>
      <c r="D99" s="53"/>
      <c r="E99" s="1"/>
      <c r="F99" s="1"/>
    </row>
    <row r="100" ht="14.25" customHeight="1">
      <c r="A100" s="52"/>
      <c r="B100" s="53"/>
      <c r="C100" s="53"/>
      <c r="D100" s="53"/>
      <c r="E100" s="1"/>
      <c r="F100" s="1"/>
    </row>
    <row r="101" ht="14.25" customHeight="1">
      <c r="A101" s="52"/>
      <c r="B101" s="53"/>
      <c r="C101" s="53"/>
      <c r="D101" s="53"/>
      <c r="E101" s="1"/>
      <c r="F101" s="1"/>
    </row>
    <row r="102" ht="14.25" customHeight="1">
      <c r="A102" s="52"/>
      <c r="B102" s="53"/>
      <c r="C102" s="53"/>
      <c r="D102" s="53"/>
      <c r="E102" s="1"/>
      <c r="F102" s="1"/>
    </row>
    <row r="103" ht="14.25" customHeight="1">
      <c r="A103" s="52"/>
      <c r="B103" s="53"/>
      <c r="C103" s="53"/>
      <c r="D103" s="53"/>
      <c r="E103" s="1"/>
      <c r="F103" s="1"/>
    </row>
    <row r="104" ht="14.25" customHeight="1">
      <c r="A104" s="52"/>
      <c r="B104" s="53"/>
      <c r="C104" s="53"/>
      <c r="D104" s="53"/>
      <c r="E104" s="1"/>
      <c r="F104" s="1"/>
    </row>
    <row r="105" ht="14.25" customHeight="1">
      <c r="A105" s="52"/>
      <c r="B105" s="53"/>
      <c r="C105" s="53"/>
      <c r="D105" s="53"/>
      <c r="E105" s="1"/>
      <c r="F105" s="1"/>
    </row>
    <row r="106" ht="14.25" customHeight="1">
      <c r="A106" s="52"/>
      <c r="B106" s="53"/>
      <c r="C106" s="53"/>
      <c r="D106" s="53"/>
      <c r="E106" s="1"/>
      <c r="F106" s="1"/>
    </row>
    <row r="107" ht="14.25" customHeight="1">
      <c r="A107" s="52"/>
      <c r="B107" s="53"/>
      <c r="C107" s="53"/>
      <c r="D107" s="53"/>
      <c r="E107" s="1"/>
      <c r="F107" s="1"/>
    </row>
    <row r="108" ht="14.25" customHeight="1">
      <c r="A108" s="52"/>
      <c r="B108" s="53"/>
      <c r="C108" s="53"/>
      <c r="D108" s="53"/>
      <c r="E108" s="1"/>
      <c r="F108" s="1"/>
    </row>
    <row r="109" ht="14.25" customHeight="1">
      <c r="A109" s="52"/>
      <c r="B109" s="53"/>
      <c r="C109" s="53"/>
      <c r="D109" s="53"/>
      <c r="E109" s="1"/>
      <c r="F109" s="1"/>
    </row>
    <row r="110" ht="14.25" customHeight="1">
      <c r="A110" s="52"/>
      <c r="B110" s="53"/>
      <c r="C110" s="53"/>
      <c r="D110" s="53"/>
      <c r="E110" s="1"/>
      <c r="F110" s="1"/>
    </row>
    <row r="111" ht="14.25" customHeight="1">
      <c r="A111" s="52"/>
      <c r="B111" s="53"/>
      <c r="C111" s="53"/>
      <c r="D111" s="53"/>
      <c r="E111" s="1"/>
      <c r="F111" s="1"/>
    </row>
    <row r="112" ht="14.25" customHeight="1">
      <c r="A112" s="52"/>
      <c r="B112" s="53"/>
      <c r="C112" s="53"/>
      <c r="D112" s="53"/>
      <c r="E112" s="1"/>
      <c r="F112" s="1"/>
    </row>
    <row r="113" ht="14.25" customHeight="1">
      <c r="A113" s="52"/>
      <c r="B113" s="53"/>
      <c r="C113" s="53"/>
      <c r="D113" s="53"/>
      <c r="E113" s="1"/>
      <c r="F113" s="1"/>
    </row>
    <row r="114" ht="14.25" customHeight="1">
      <c r="A114" s="52"/>
      <c r="B114" s="53"/>
      <c r="C114" s="53"/>
      <c r="D114" s="53"/>
      <c r="E114" s="1"/>
      <c r="F114" s="1"/>
    </row>
    <row r="115" ht="14.25" customHeight="1">
      <c r="A115" s="52"/>
      <c r="B115" s="53"/>
      <c r="C115" s="53"/>
      <c r="D115" s="53"/>
      <c r="E115" s="1"/>
      <c r="F115" s="1"/>
    </row>
    <row r="116" ht="14.25" customHeight="1">
      <c r="A116" s="52"/>
      <c r="B116" s="53"/>
      <c r="C116" s="53"/>
      <c r="D116" s="53"/>
      <c r="E116" s="1"/>
      <c r="F116" s="1"/>
    </row>
    <row r="117" ht="14.25" customHeight="1">
      <c r="A117" s="52"/>
      <c r="B117" s="53"/>
      <c r="C117" s="53"/>
      <c r="D117" s="53"/>
      <c r="E117" s="1"/>
      <c r="F117" s="1"/>
    </row>
    <row r="118" ht="14.25" customHeight="1">
      <c r="A118" s="52"/>
      <c r="B118" s="53"/>
      <c r="C118" s="53"/>
      <c r="D118" s="53"/>
      <c r="E118" s="1"/>
      <c r="F118" s="1"/>
    </row>
    <row r="119" ht="14.25" customHeight="1">
      <c r="A119" s="52"/>
      <c r="B119" s="53"/>
      <c r="C119" s="53"/>
      <c r="D119" s="53"/>
      <c r="E119" s="1"/>
      <c r="F119" s="1"/>
    </row>
    <row r="120" ht="14.25" customHeight="1">
      <c r="A120" s="52"/>
      <c r="B120" s="53"/>
      <c r="C120" s="53"/>
      <c r="D120" s="53"/>
      <c r="E120" s="1"/>
      <c r="F120" s="1"/>
    </row>
    <row r="121" ht="14.25" customHeight="1">
      <c r="A121" s="52"/>
      <c r="B121" s="53"/>
      <c r="C121" s="53"/>
      <c r="D121" s="53"/>
      <c r="E121" s="1"/>
      <c r="F121" s="1"/>
    </row>
    <row r="122" ht="14.25" customHeight="1">
      <c r="A122" s="52"/>
      <c r="B122" s="53"/>
      <c r="C122" s="53"/>
      <c r="D122" s="53"/>
      <c r="E122" s="1"/>
      <c r="F122" s="1"/>
    </row>
    <row r="123" ht="14.25" customHeight="1">
      <c r="A123" s="52"/>
      <c r="B123" s="53"/>
      <c r="C123" s="53"/>
      <c r="D123" s="53"/>
      <c r="E123" s="1"/>
      <c r="F123" s="1"/>
    </row>
    <row r="124" ht="14.25" customHeight="1">
      <c r="A124" s="52"/>
      <c r="B124" s="53"/>
      <c r="C124" s="53"/>
      <c r="D124" s="53"/>
      <c r="E124" s="1"/>
      <c r="F124" s="1"/>
    </row>
    <row r="125" ht="14.25" customHeight="1">
      <c r="A125" s="52"/>
      <c r="B125" s="53"/>
      <c r="C125" s="53"/>
      <c r="D125" s="53"/>
      <c r="E125" s="1"/>
      <c r="F125" s="1"/>
    </row>
    <row r="126" ht="14.25" customHeight="1">
      <c r="A126" s="52"/>
      <c r="B126" s="53"/>
      <c r="C126" s="53"/>
      <c r="D126" s="53"/>
      <c r="E126" s="1"/>
      <c r="F126" s="1"/>
    </row>
    <row r="127" ht="14.25" customHeight="1">
      <c r="A127" s="52"/>
      <c r="B127" s="53"/>
      <c r="C127" s="53"/>
      <c r="D127" s="53"/>
      <c r="E127" s="1"/>
      <c r="F127" s="1"/>
    </row>
    <row r="128" ht="14.25" customHeight="1">
      <c r="A128" s="52"/>
      <c r="B128" s="53"/>
      <c r="C128" s="53"/>
      <c r="D128" s="53"/>
      <c r="E128" s="1"/>
      <c r="F128" s="1"/>
    </row>
    <row r="129" ht="14.25" customHeight="1">
      <c r="A129" s="52"/>
      <c r="B129" s="53"/>
      <c r="C129" s="53"/>
      <c r="D129" s="53"/>
      <c r="E129" s="1"/>
      <c r="F129" s="1"/>
    </row>
    <row r="130" ht="14.25" customHeight="1">
      <c r="A130" s="52"/>
      <c r="B130" s="53"/>
      <c r="C130" s="53"/>
      <c r="D130" s="53"/>
      <c r="E130" s="1"/>
      <c r="F130" s="1"/>
    </row>
    <row r="131" ht="14.25" customHeight="1">
      <c r="A131" s="52"/>
      <c r="B131" s="53"/>
      <c r="C131" s="53"/>
      <c r="D131" s="53"/>
      <c r="E131" s="1"/>
      <c r="F131" s="1"/>
    </row>
    <row r="132" ht="14.25" customHeight="1">
      <c r="A132" s="52"/>
      <c r="B132" s="53"/>
      <c r="C132" s="53"/>
      <c r="D132" s="53"/>
      <c r="E132" s="1"/>
      <c r="F132" s="1"/>
    </row>
    <row r="133" ht="14.25" customHeight="1">
      <c r="A133" s="52"/>
      <c r="B133" s="53"/>
      <c r="C133" s="53"/>
      <c r="D133" s="53"/>
      <c r="E133" s="1"/>
      <c r="F133" s="1"/>
    </row>
    <row r="134" ht="14.25" customHeight="1">
      <c r="A134" s="52"/>
      <c r="B134" s="53"/>
      <c r="C134" s="53"/>
      <c r="D134" s="53"/>
      <c r="E134" s="1"/>
      <c r="F134" s="1"/>
    </row>
    <row r="135" ht="14.25" customHeight="1">
      <c r="A135" s="52"/>
      <c r="B135" s="53"/>
      <c r="C135" s="53"/>
      <c r="D135" s="53"/>
      <c r="E135" s="1"/>
      <c r="F135" s="1"/>
    </row>
    <row r="136" ht="14.25" customHeight="1">
      <c r="A136" s="52"/>
      <c r="B136" s="53"/>
      <c r="C136" s="53"/>
      <c r="D136" s="53"/>
      <c r="E136" s="1"/>
      <c r="F136" s="1"/>
    </row>
    <row r="137" ht="14.25" customHeight="1">
      <c r="A137" s="52"/>
      <c r="B137" s="53"/>
      <c r="C137" s="53"/>
      <c r="D137" s="53"/>
      <c r="E137" s="1"/>
      <c r="F137" s="1"/>
    </row>
    <row r="138" ht="14.25" customHeight="1">
      <c r="A138" s="52"/>
      <c r="B138" s="53"/>
      <c r="C138" s="53"/>
      <c r="D138" s="53"/>
      <c r="E138" s="1"/>
      <c r="F138" s="1"/>
    </row>
    <row r="139" ht="14.25" customHeight="1">
      <c r="A139" s="52"/>
      <c r="B139" s="53"/>
      <c r="C139" s="53"/>
      <c r="D139" s="53"/>
      <c r="E139" s="1"/>
      <c r="F139" s="1"/>
    </row>
    <row r="140" ht="14.25" customHeight="1">
      <c r="A140" s="52"/>
      <c r="B140" s="53"/>
      <c r="C140" s="53"/>
      <c r="D140" s="53"/>
      <c r="E140" s="1"/>
      <c r="F140" s="1"/>
    </row>
    <row r="141" ht="14.25" customHeight="1">
      <c r="A141" s="52"/>
      <c r="B141" s="53"/>
      <c r="C141" s="53"/>
      <c r="D141" s="53"/>
      <c r="E141" s="1"/>
      <c r="F141" s="1"/>
    </row>
    <row r="142" ht="14.25" customHeight="1">
      <c r="A142" s="52"/>
      <c r="B142" s="53"/>
      <c r="C142" s="53"/>
      <c r="D142" s="53"/>
      <c r="E142" s="1"/>
      <c r="F142" s="1"/>
    </row>
    <row r="143" ht="14.25" customHeight="1">
      <c r="A143" s="52"/>
      <c r="B143" s="53"/>
      <c r="C143" s="53"/>
      <c r="D143" s="53"/>
      <c r="E143" s="1"/>
      <c r="F143" s="1"/>
    </row>
    <row r="144" ht="14.25" customHeight="1">
      <c r="A144" s="52"/>
      <c r="B144" s="53"/>
      <c r="C144" s="53"/>
      <c r="D144" s="53"/>
      <c r="E144" s="1"/>
      <c r="F144" s="1"/>
    </row>
    <row r="145" ht="14.25" customHeight="1">
      <c r="A145" s="52"/>
      <c r="B145" s="53"/>
      <c r="C145" s="53"/>
      <c r="D145" s="53"/>
      <c r="E145" s="1"/>
      <c r="F145" s="1"/>
    </row>
    <row r="146" ht="14.25" customHeight="1">
      <c r="A146" s="52"/>
      <c r="B146" s="53"/>
      <c r="C146" s="53"/>
      <c r="D146" s="53"/>
      <c r="E146" s="1"/>
      <c r="F146" s="1"/>
    </row>
    <row r="147" ht="14.25" customHeight="1">
      <c r="A147" s="52"/>
      <c r="B147" s="53"/>
      <c r="C147" s="53"/>
      <c r="D147" s="53"/>
      <c r="E147" s="1"/>
      <c r="F147" s="1"/>
    </row>
    <row r="148" ht="14.25" customHeight="1">
      <c r="A148" s="52"/>
      <c r="B148" s="53"/>
      <c r="C148" s="53"/>
      <c r="D148" s="53"/>
      <c r="E148" s="1"/>
      <c r="F148" s="1"/>
    </row>
    <row r="149" ht="14.25" customHeight="1">
      <c r="A149" s="52"/>
      <c r="B149" s="53"/>
      <c r="C149" s="53"/>
      <c r="D149" s="53"/>
      <c r="E149" s="1"/>
      <c r="F149" s="1"/>
    </row>
    <row r="150" ht="14.25" customHeight="1">
      <c r="A150" s="52"/>
      <c r="B150" s="53"/>
      <c r="C150" s="53"/>
      <c r="D150" s="53"/>
      <c r="E150" s="1"/>
      <c r="F150" s="1"/>
    </row>
    <row r="151" ht="14.25" customHeight="1">
      <c r="A151" s="52"/>
      <c r="B151" s="53"/>
      <c r="C151" s="53"/>
      <c r="D151" s="53"/>
      <c r="E151" s="1"/>
      <c r="F151" s="1"/>
    </row>
    <row r="152" ht="14.25" customHeight="1">
      <c r="A152" s="52"/>
      <c r="B152" s="53"/>
      <c r="C152" s="53"/>
      <c r="D152" s="53"/>
      <c r="E152" s="1"/>
      <c r="F152" s="1"/>
    </row>
    <row r="153" ht="14.25" customHeight="1">
      <c r="A153" s="52"/>
      <c r="B153" s="53"/>
      <c r="C153" s="53"/>
      <c r="D153" s="53"/>
      <c r="E153" s="1"/>
      <c r="F153" s="1"/>
    </row>
    <row r="154" ht="14.25" customHeight="1">
      <c r="A154" s="52"/>
      <c r="B154" s="53"/>
      <c r="C154" s="53"/>
      <c r="D154" s="53"/>
      <c r="E154" s="1"/>
      <c r="F154" s="1"/>
    </row>
    <row r="155" ht="14.25" customHeight="1">
      <c r="A155" s="52"/>
      <c r="B155" s="53"/>
      <c r="C155" s="53"/>
      <c r="D155" s="53"/>
      <c r="E155" s="1"/>
      <c r="F155" s="1"/>
    </row>
    <row r="156" ht="14.25" customHeight="1">
      <c r="A156" s="52"/>
      <c r="B156" s="53"/>
      <c r="C156" s="53"/>
      <c r="D156" s="53"/>
      <c r="E156" s="1"/>
      <c r="F156" s="1"/>
    </row>
    <row r="157" ht="14.25" customHeight="1">
      <c r="A157" s="52"/>
      <c r="B157" s="53"/>
      <c r="C157" s="53"/>
      <c r="D157" s="53"/>
      <c r="E157" s="1"/>
      <c r="F157" s="1"/>
    </row>
    <row r="158" ht="14.25" customHeight="1">
      <c r="A158" s="52"/>
      <c r="B158" s="53"/>
      <c r="C158" s="53"/>
      <c r="D158" s="53"/>
      <c r="E158" s="1"/>
      <c r="F158" s="1"/>
    </row>
    <row r="159" ht="14.25" customHeight="1">
      <c r="A159" s="52"/>
      <c r="B159" s="53"/>
      <c r="C159" s="53"/>
      <c r="D159" s="53"/>
      <c r="E159" s="1"/>
      <c r="F159" s="1"/>
    </row>
    <row r="160" ht="14.25" customHeight="1">
      <c r="A160" s="52"/>
      <c r="B160" s="53"/>
      <c r="C160" s="53"/>
      <c r="D160" s="53"/>
      <c r="E160" s="1"/>
      <c r="F160" s="1"/>
    </row>
    <row r="161" ht="14.25" customHeight="1">
      <c r="A161" s="52"/>
      <c r="B161" s="53"/>
      <c r="C161" s="53"/>
      <c r="D161" s="53"/>
      <c r="E161" s="1"/>
      <c r="F161" s="1"/>
    </row>
    <row r="162" ht="14.25" customHeight="1">
      <c r="A162" s="52"/>
      <c r="B162" s="53"/>
      <c r="C162" s="53"/>
      <c r="D162" s="53"/>
      <c r="E162" s="1"/>
      <c r="F162" s="1"/>
    </row>
    <row r="163" ht="14.25" customHeight="1">
      <c r="A163" s="52"/>
      <c r="B163" s="53"/>
      <c r="C163" s="53"/>
      <c r="D163" s="53"/>
      <c r="E163" s="1"/>
      <c r="F163" s="1"/>
    </row>
    <row r="164" ht="14.25" customHeight="1">
      <c r="A164" s="52"/>
      <c r="B164" s="53"/>
      <c r="C164" s="53"/>
      <c r="D164" s="53"/>
      <c r="E164" s="1"/>
      <c r="F164" s="1"/>
    </row>
    <row r="165" ht="14.25" customHeight="1">
      <c r="A165" s="52"/>
      <c r="B165" s="53"/>
      <c r="C165" s="53"/>
      <c r="D165" s="53"/>
      <c r="E165" s="1"/>
      <c r="F165" s="1"/>
    </row>
    <row r="166" ht="14.25" customHeight="1">
      <c r="A166" s="52"/>
      <c r="B166" s="53"/>
      <c r="C166" s="53"/>
      <c r="D166" s="53"/>
      <c r="E166" s="1"/>
      <c r="F166" s="1"/>
    </row>
    <row r="167" ht="14.25" customHeight="1">
      <c r="A167" s="52"/>
      <c r="B167" s="53"/>
      <c r="C167" s="53"/>
      <c r="D167" s="53"/>
      <c r="E167" s="1"/>
      <c r="F167" s="1"/>
    </row>
    <row r="168" ht="14.25" customHeight="1">
      <c r="A168" s="52"/>
      <c r="B168" s="53"/>
      <c r="C168" s="53"/>
      <c r="D168" s="53"/>
      <c r="E168" s="1"/>
      <c r="F168" s="1"/>
    </row>
    <row r="169" ht="14.25" customHeight="1">
      <c r="A169" s="52"/>
      <c r="B169" s="53"/>
      <c r="C169" s="53"/>
      <c r="D169" s="53"/>
      <c r="E169" s="1"/>
      <c r="F169" s="1"/>
    </row>
    <row r="170" ht="14.25" customHeight="1">
      <c r="A170" s="52"/>
      <c r="B170" s="53"/>
      <c r="C170" s="53"/>
      <c r="D170" s="53"/>
      <c r="E170" s="1"/>
      <c r="F170" s="1"/>
    </row>
    <row r="171" ht="14.25" customHeight="1">
      <c r="A171" s="52"/>
      <c r="B171" s="53"/>
      <c r="C171" s="53"/>
      <c r="D171" s="53"/>
      <c r="E171" s="1"/>
      <c r="F171" s="1"/>
    </row>
    <row r="172" ht="14.25" customHeight="1">
      <c r="A172" s="52"/>
      <c r="B172" s="53"/>
      <c r="C172" s="53"/>
      <c r="D172" s="53"/>
      <c r="E172" s="1"/>
      <c r="F172" s="1"/>
    </row>
    <row r="173" ht="14.25" customHeight="1">
      <c r="A173" s="52"/>
      <c r="B173" s="53"/>
      <c r="C173" s="53"/>
      <c r="D173" s="53"/>
      <c r="E173" s="1"/>
      <c r="F173" s="1"/>
    </row>
    <row r="174" ht="14.25" customHeight="1">
      <c r="A174" s="52"/>
      <c r="B174" s="53"/>
      <c r="C174" s="53"/>
      <c r="D174" s="53"/>
      <c r="E174" s="1"/>
      <c r="F174" s="1"/>
    </row>
    <row r="175" ht="14.25" customHeight="1">
      <c r="A175" s="52"/>
      <c r="B175" s="53"/>
      <c r="C175" s="53"/>
      <c r="D175" s="53"/>
      <c r="E175" s="1"/>
      <c r="F175" s="1"/>
    </row>
    <row r="176" ht="14.25" customHeight="1">
      <c r="A176" s="52"/>
      <c r="B176" s="53"/>
      <c r="C176" s="53"/>
      <c r="D176" s="53"/>
      <c r="E176" s="1"/>
      <c r="F176" s="1"/>
    </row>
    <row r="177" ht="14.25" customHeight="1">
      <c r="A177" s="52"/>
      <c r="B177" s="53"/>
      <c r="C177" s="53"/>
      <c r="D177" s="53"/>
      <c r="E177" s="1"/>
      <c r="F177" s="1"/>
    </row>
    <row r="178" ht="14.25" customHeight="1">
      <c r="A178" s="52"/>
      <c r="B178" s="53"/>
      <c r="C178" s="53"/>
      <c r="D178" s="53"/>
      <c r="E178" s="1"/>
      <c r="F178" s="1"/>
    </row>
    <row r="179" ht="14.25" customHeight="1">
      <c r="A179" s="52"/>
      <c r="B179" s="53"/>
      <c r="C179" s="53"/>
      <c r="D179" s="53"/>
      <c r="E179" s="1"/>
      <c r="F179" s="1"/>
    </row>
    <row r="180" ht="14.25" customHeight="1">
      <c r="A180" s="52"/>
      <c r="B180" s="53"/>
      <c r="C180" s="53"/>
      <c r="D180" s="53"/>
      <c r="E180" s="1"/>
      <c r="F180" s="1"/>
    </row>
    <row r="181" ht="14.25" customHeight="1">
      <c r="A181" s="52"/>
      <c r="B181" s="53"/>
      <c r="C181" s="53"/>
      <c r="D181" s="53"/>
      <c r="E181" s="1"/>
      <c r="F181" s="1"/>
    </row>
    <row r="182" ht="14.25" customHeight="1">
      <c r="A182" s="52"/>
      <c r="B182" s="53"/>
      <c r="C182" s="53"/>
      <c r="D182" s="53"/>
      <c r="E182" s="1"/>
      <c r="F182" s="1"/>
    </row>
    <row r="183" ht="14.25" customHeight="1">
      <c r="A183" s="52"/>
      <c r="B183" s="53"/>
      <c r="C183" s="53"/>
      <c r="D183" s="53"/>
      <c r="E183" s="1"/>
      <c r="F183" s="1"/>
    </row>
    <row r="184" ht="14.25" customHeight="1">
      <c r="A184" s="52"/>
      <c r="B184" s="53"/>
      <c r="C184" s="53"/>
      <c r="D184" s="53"/>
      <c r="E184" s="1"/>
      <c r="F184" s="1"/>
    </row>
    <row r="185" ht="14.25" customHeight="1">
      <c r="A185" s="52"/>
      <c r="B185" s="53"/>
      <c r="C185" s="53"/>
      <c r="D185" s="53"/>
      <c r="E185" s="1"/>
      <c r="F185" s="1"/>
    </row>
    <row r="186" ht="14.25" customHeight="1">
      <c r="A186" s="52"/>
      <c r="B186" s="53"/>
      <c r="C186" s="53"/>
      <c r="D186" s="53"/>
      <c r="E186" s="1"/>
      <c r="F186" s="1"/>
    </row>
    <row r="187" ht="14.25" customHeight="1">
      <c r="A187" s="52"/>
      <c r="B187" s="53"/>
      <c r="C187" s="53"/>
      <c r="D187" s="53"/>
      <c r="E187" s="1"/>
      <c r="F187" s="1"/>
    </row>
    <row r="188" ht="14.25" customHeight="1">
      <c r="A188" s="52"/>
      <c r="B188" s="53"/>
      <c r="C188" s="53"/>
      <c r="D188" s="53"/>
      <c r="E188" s="1"/>
      <c r="F188" s="1"/>
    </row>
    <row r="189" ht="14.25" customHeight="1">
      <c r="A189" s="52"/>
      <c r="B189" s="53"/>
      <c r="C189" s="53"/>
      <c r="D189" s="53"/>
      <c r="E189" s="1"/>
      <c r="F189" s="1"/>
    </row>
    <row r="190" ht="14.25" customHeight="1">
      <c r="A190" s="52"/>
      <c r="B190" s="53"/>
      <c r="C190" s="53"/>
      <c r="D190" s="53"/>
      <c r="E190" s="1"/>
      <c r="F190" s="1"/>
    </row>
    <row r="191" ht="14.25" customHeight="1">
      <c r="A191" s="52"/>
      <c r="B191" s="53"/>
      <c r="C191" s="53"/>
      <c r="D191" s="53"/>
      <c r="E191" s="1"/>
      <c r="F191" s="1"/>
    </row>
    <row r="192" ht="14.25" customHeight="1">
      <c r="A192" s="52"/>
      <c r="B192" s="53"/>
      <c r="C192" s="53"/>
      <c r="D192" s="53"/>
      <c r="E192" s="1"/>
      <c r="F192" s="1"/>
    </row>
    <row r="193" ht="14.25" customHeight="1">
      <c r="A193" s="52"/>
      <c r="B193" s="53"/>
      <c r="C193" s="53"/>
      <c r="D193" s="53"/>
      <c r="E193" s="1"/>
      <c r="F193" s="1"/>
    </row>
    <row r="194" ht="14.25" customHeight="1">
      <c r="A194" s="52"/>
      <c r="B194" s="53"/>
      <c r="C194" s="53"/>
      <c r="D194" s="53"/>
      <c r="E194" s="1"/>
      <c r="F194" s="1"/>
    </row>
    <row r="195" ht="14.25" customHeight="1">
      <c r="A195" s="52"/>
      <c r="B195" s="53"/>
      <c r="C195" s="53"/>
      <c r="D195" s="53"/>
      <c r="E195" s="1"/>
      <c r="F195" s="1"/>
    </row>
    <row r="196" ht="14.25" customHeight="1">
      <c r="A196" s="52"/>
      <c r="B196" s="53"/>
      <c r="C196" s="53"/>
      <c r="D196" s="53"/>
      <c r="E196" s="1"/>
      <c r="F196" s="1"/>
    </row>
    <row r="197" ht="14.25" customHeight="1">
      <c r="A197" s="52"/>
      <c r="B197" s="53"/>
      <c r="C197" s="53"/>
      <c r="D197" s="53"/>
      <c r="E197" s="1"/>
      <c r="F197" s="1"/>
    </row>
    <row r="198" ht="14.25" customHeight="1">
      <c r="A198" s="52"/>
      <c r="B198" s="53"/>
      <c r="C198" s="53"/>
      <c r="D198" s="53"/>
      <c r="E198" s="1"/>
      <c r="F198" s="1"/>
    </row>
    <row r="199" ht="14.25" customHeight="1">
      <c r="A199" s="52"/>
      <c r="B199" s="53"/>
      <c r="C199" s="53"/>
      <c r="D199" s="53"/>
      <c r="E199" s="1"/>
      <c r="F199" s="1"/>
    </row>
    <row r="200" ht="14.25" customHeight="1">
      <c r="A200" s="52"/>
      <c r="B200" s="53"/>
      <c r="C200" s="53"/>
      <c r="D200" s="53"/>
      <c r="E200" s="1"/>
      <c r="F200" s="1"/>
    </row>
    <row r="201" ht="14.25" customHeight="1">
      <c r="A201" s="52"/>
      <c r="B201" s="53"/>
      <c r="C201" s="53"/>
      <c r="D201" s="53"/>
      <c r="E201" s="1"/>
      <c r="F201" s="1"/>
    </row>
    <row r="202" ht="14.25" customHeight="1">
      <c r="A202" s="52"/>
      <c r="B202" s="53"/>
      <c r="C202" s="53"/>
      <c r="D202" s="53"/>
      <c r="E202" s="1"/>
      <c r="F202" s="1"/>
    </row>
    <row r="203" ht="14.25" customHeight="1">
      <c r="A203" s="52"/>
      <c r="B203" s="53"/>
      <c r="C203" s="53"/>
      <c r="D203" s="53"/>
      <c r="E203" s="1"/>
      <c r="F203" s="1"/>
    </row>
    <row r="204" ht="14.25" customHeight="1">
      <c r="A204" s="52"/>
      <c r="B204" s="53"/>
      <c r="C204" s="53"/>
      <c r="D204" s="53"/>
      <c r="E204" s="1"/>
      <c r="F204" s="1"/>
    </row>
    <row r="205" ht="14.25" customHeight="1">
      <c r="A205" s="52"/>
      <c r="B205" s="53"/>
      <c r="C205" s="53"/>
      <c r="D205" s="53"/>
      <c r="E205" s="1"/>
      <c r="F205" s="1"/>
    </row>
    <row r="206" ht="14.25" customHeight="1">
      <c r="A206" s="52"/>
      <c r="B206" s="53"/>
      <c r="C206" s="53"/>
      <c r="D206" s="53"/>
      <c r="E206" s="1"/>
      <c r="F206" s="1"/>
    </row>
    <row r="207" ht="14.25" customHeight="1">
      <c r="A207" s="52"/>
      <c r="B207" s="53"/>
      <c r="C207" s="53"/>
      <c r="D207" s="53"/>
      <c r="E207" s="1"/>
      <c r="F207" s="1"/>
    </row>
    <row r="208" ht="14.25" customHeight="1">
      <c r="A208" s="52"/>
      <c r="B208" s="53"/>
      <c r="C208" s="53"/>
      <c r="D208" s="53"/>
      <c r="E208" s="1"/>
      <c r="F208" s="1"/>
    </row>
    <row r="209" ht="14.25" customHeight="1">
      <c r="A209" s="52"/>
      <c r="B209" s="53"/>
      <c r="C209" s="53"/>
      <c r="D209" s="53"/>
      <c r="E209" s="1"/>
      <c r="F209" s="1"/>
    </row>
    <row r="210" ht="14.25" customHeight="1">
      <c r="A210" s="52"/>
      <c r="B210" s="53"/>
      <c r="C210" s="53"/>
      <c r="D210" s="53"/>
      <c r="E210" s="1"/>
      <c r="F210" s="1"/>
    </row>
    <row r="211" ht="14.25" customHeight="1">
      <c r="A211" s="52"/>
      <c r="B211" s="53"/>
      <c r="C211" s="53"/>
      <c r="D211" s="53"/>
      <c r="E211" s="1"/>
      <c r="F211" s="1"/>
    </row>
    <row r="212" ht="14.25" customHeight="1">
      <c r="A212" s="52"/>
      <c r="B212" s="53"/>
      <c r="C212" s="53"/>
      <c r="D212" s="53"/>
      <c r="E212" s="1"/>
      <c r="F212" s="1"/>
    </row>
    <row r="213" ht="14.25" customHeight="1">
      <c r="A213" s="52"/>
      <c r="B213" s="53"/>
      <c r="C213" s="53"/>
      <c r="D213" s="53"/>
      <c r="E213" s="1"/>
      <c r="F213" s="1"/>
    </row>
    <row r="214" ht="14.25" customHeight="1">
      <c r="A214" s="52"/>
      <c r="B214" s="53"/>
      <c r="C214" s="53"/>
      <c r="D214" s="53"/>
      <c r="E214" s="1"/>
      <c r="F214" s="1"/>
    </row>
    <row r="215" ht="14.25" customHeight="1">
      <c r="A215" s="52"/>
      <c r="B215" s="53"/>
      <c r="C215" s="53"/>
      <c r="D215" s="53"/>
      <c r="E215" s="1"/>
      <c r="F215" s="1"/>
    </row>
    <row r="216" ht="14.25" customHeight="1">
      <c r="A216" s="52"/>
      <c r="B216" s="53"/>
      <c r="C216" s="53"/>
      <c r="D216" s="53"/>
      <c r="E216" s="1"/>
      <c r="F216" s="1"/>
    </row>
    <row r="217" ht="14.25" customHeight="1">
      <c r="A217" s="52"/>
      <c r="B217" s="53"/>
      <c r="C217" s="53"/>
      <c r="D217" s="53"/>
      <c r="E217" s="1"/>
      <c r="F217" s="1"/>
    </row>
    <row r="218" ht="14.25" customHeight="1">
      <c r="A218" s="52"/>
      <c r="B218" s="53"/>
      <c r="C218" s="53"/>
      <c r="D218" s="53"/>
      <c r="E218" s="1"/>
      <c r="F218" s="1"/>
    </row>
    <row r="219" ht="14.25" customHeight="1">
      <c r="A219" s="52"/>
      <c r="B219" s="53"/>
      <c r="C219" s="53"/>
      <c r="D219" s="53"/>
      <c r="E219" s="1"/>
      <c r="F219" s="1"/>
    </row>
    <row r="220" ht="14.25" customHeight="1">
      <c r="A220" s="52"/>
      <c r="B220" s="53"/>
      <c r="C220" s="53"/>
      <c r="D220" s="53"/>
      <c r="E220" s="1"/>
      <c r="F220" s="1"/>
    </row>
    <row r="221" ht="14.25" customHeight="1">
      <c r="A221" s="52"/>
      <c r="B221" s="53"/>
      <c r="C221" s="53"/>
      <c r="D221" s="53"/>
      <c r="E221" s="1"/>
      <c r="F221" s="1"/>
    </row>
    <row r="222" ht="14.25" customHeight="1">
      <c r="A222" s="52"/>
      <c r="B222" s="53"/>
      <c r="C222" s="53"/>
      <c r="D222" s="53"/>
      <c r="E222" s="1"/>
      <c r="F222" s="1"/>
    </row>
    <row r="223" ht="14.25" customHeight="1">
      <c r="A223" s="52"/>
      <c r="B223" s="53"/>
      <c r="C223" s="53"/>
      <c r="D223" s="53"/>
      <c r="E223" s="1"/>
      <c r="F223" s="1"/>
    </row>
    <row r="224" ht="14.25" customHeight="1">
      <c r="A224" s="52"/>
      <c r="B224" s="53"/>
      <c r="C224" s="53"/>
      <c r="D224" s="53"/>
      <c r="E224" s="1"/>
      <c r="F224" s="1"/>
    </row>
    <row r="225" ht="14.25" customHeight="1">
      <c r="A225" s="52"/>
      <c r="B225" s="53"/>
      <c r="C225" s="53"/>
      <c r="D225" s="53"/>
      <c r="E225" s="1"/>
      <c r="F225" s="1"/>
    </row>
    <row r="226" ht="14.25" customHeight="1">
      <c r="A226" s="52"/>
      <c r="B226" s="53"/>
      <c r="C226" s="53"/>
      <c r="D226" s="53"/>
      <c r="E226" s="1"/>
      <c r="F226" s="1"/>
    </row>
    <row r="227" ht="14.25" customHeight="1">
      <c r="A227" s="52"/>
      <c r="B227" s="53"/>
      <c r="C227" s="53"/>
      <c r="D227" s="53"/>
      <c r="E227" s="1"/>
      <c r="F227" s="1"/>
    </row>
    <row r="228" ht="14.25" customHeight="1">
      <c r="A228" s="52"/>
      <c r="B228" s="53"/>
      <c r="C228" s="53"/>
      <c r="D228" s="53"/>
      <c r="E228" s="1"/>
      <c r="F228" s="1"/>
    </row>
    <row r="229" ht="14.25" customHeight="1">
      <c r="A229" s="52"/>
      <c r="B229" s="53"/>
      <c r="C229" s="53"/>
      <c r="D229" s="53"/>
      <c r="E229" s="1"/>
      <c r="F229" s="1"/>
    </row>
    <row r="230" ht="14.25" customHeight="1">
      <c r="A230" s="52"/>
      <c r="B230" s="53"/>
      <c r="C230" s="53"/>
      <c r="D230" s="53"/>
      <c r="E230" s="1"/>
      <c r="F230" s="1"/>
    </row>
    <row r="231" ht="14.25" customHeight="1">
      <c r="A231" s="52"/>
      <c r="B231" s="53"/>
      <c r="C231" s="53"/>
      <c r="D231" s="53"/>
      <c r="E231" s="1"/>
      <c r="F231" s="1"/>
    </row>
    <row r="232" ht="14.25" customHeight="1">
      <c r="A232" s="52"/>
      <c r="B232" s="53"/>
      <c r="C232" s="53"/>
      <c r="D232" s="53"/>
      <c r="E232" s="1"/>
      <c r="F232" s="1"/>
    </row>
    <row r="233" ht="14.25" customHeight="1">
      <c r="A233" s="52"/>
      <c r="B233" s="53"/>
      <c r="C233" s="53"/>
      <c r="D233" s="53"/>
      <c r="E233" s="1"/>
      <c r="F233" s="1"/>
    </row>
    <row r="234" ht="14.25" customHeight="1">
      <c r="A234" s="52"/>
      <c r="B234" s="53"/>
      <c r="C234" s="53"/>
      <c r="D234" s="53"/>
      <c r="E234" s="1"/>
      <c r="F234" s="1"/>
    </row>
    <row r="235" ht="14.25" customHeight="1">
      <c r="A235" s="52"/>
      <c r="B235" s="53"/>
      <c r="C235" s="53"/>
      <c r="D235" s="53"/>
      <c r="E235" s="1"/>
      <c r="F235" s="1"/>
    </row>
    <row r="236" ht="14.25" customHeight="1">
      <c r="A236" s="52"/>
      <c r="B236" s="53"/>
      <c r="C236" s="53"/>
      <c r="D236" s="53"/>
      <c r="E236" s="1"/>
      <c r="F236" s="1"/>
    </row>
    <row r="237" ht="14.25" customHeight="1">
      <c r="A237" s="52"/>
      <c r="B237" s="53"/>
      <c r="C237" s="53"/>
      <c r="D237" s="53"/>
      <c r="E237" s="1"/>
      <c r="F237" s="1"/>
    </row>
    <row r="238" ht="14.25" customHeight="1">
      <c r="A238" s="52"/>
      <c r="B238" s="53"/>
      <c r="C238" s="53"/>
      <c r="D238" s="53"/>
      <c r="E238" s="1"/>
      <c r="F238" s="1"/>
    </row>
    <row r="239" ht="14.25" customHeight="1">
      <c r="A239" s="52"/>
      <c r="B239" s="53"/>
      <c r="C239" s="53"/>
      <c r="D239" s="53"/>
      <c r="E239" s="1"/>
      <c r="F239" s="1"/>
    </row>
    <row r="240" ht="14.25" customHeight="1">
      <c r="A240" s="52"/>
      <c r="B240" s="53"/>
      <c r="C240" s="53"/>
      <c r="D240" s="53"/>
      <c r="E240" s="1"/>
      <c r="F240" s="1"/>
    </row>
    <row r="241" ht="14.25" customHeight="1">
      <c r="A241" s="52"/>
      <c r="B241" s="53"/>
      <c r="C241" s="53"/>
      <c r="D241" s="53"/>
      <c r="E241" s="1"/>
      <c r="F241" s="1"/>
    </row>
    <row r="242" ht="14.25" customHeight="1">
      <c r="A242" s="52"/>
      <c r="B242" s="53"/>
      <c r="C242" s="53"/>
      <c r="D242" s="53"/>
      <c r="E242" s="1"/>
      <c r="F242" s="1"/>
    </row>
    <row r="243" ht="14.25" customHeight="1">
      <c r="A243" s="52"/>
      <c r="B243" s="53"/>
      <c r="C243" s="53"/>
      <c r="D243" s="53"/>
      <c r="E243" s="1"/>
      <c r="F243" s="1"/>
    </row>
    <row r="244" ht="14.25" customHeight="1">
      <c r="A244" s="52"/>
      <c r="B244" s="53"/>
      <c r="C244" s="53"/>
      <c r="D244" s="53"/>
      <c r="E244" s="1"/>
      <c r="F244" s="1"/>
    </row>
    <row r="245" ht="14.25" customHeight="1">
      <c r="A245" s="52"/>
      <c r="B245" s="53"/>
      <c r="C245" s="53"/>
      <c r="D245" s="53"/>
      <c r="E245" s="1"/>
      <c r="F245" s="1"/>
    </row>
    <row r="246" ht="14.25" customHeight="1">
      <c r="A246" s="52"/>
      <c r="B246" s="53"/>
      <c r="C246" s="53"/>
      <c r="D246" s="53"/>
      <c r="E246" s="1"/>
      <c r="F246" s="1"/>
    </row>
    <row r="247" ht="14.25" customHeight="1">
      <c r="A247" s="52"/>
      <c r="B247" s="53"/>
      <c r="C247" s="53"/>
      <c r="D247" s="53"/>
      <c r="E247" s="1"/>
      <c r="F247" s="1"/>
    </row>
    <row r="248" ht="14.25" customHeight="1">
      <c r="A248" s="52"/>
      <c r="B248" s="53"/>
      <c r="C248" s="53"/>
      <c r="D248" s="53"/>
      <c r="E248" s="1"/>
      <c r="F248" s="1"/>
    </row>
    <row r="249" ht="14.25" customHeight="1">
      <c r="A249" s="52"/>
      <c r="B249" s="53"/>
      <c r="C249" s="53"/>
      <c r="D249" s="53"/>
      <c r="E249" s="1"/>
      <c r="F249" s="1"/>
    </row>
    <row r="250" ht="14.25" customHeight="1">
      <c r="A250" s="52"/>
      <c r="B250" s="53"/>
      <c r="C250" s="53"/>
      <c r="D250" s="53"/>
      <c r="E250" s="1"/>
      <c r="F250" s="1"/>
    </row>
    <row r="251" ht="14.25" customHeight="1">
      <c r="A251" s="52"/>
      <c r="B251" s="53"/>
      <c r="C251" s="53"/>
      <c r="D251" s="53"/>
      <c r="E251" s="1"/>
      <c r="F251" s="1"/>
    </row>
    <row r="252" ht="14.25" customHeight="1">
      <c r="A252" s="52"/>
      <c r="B252" s="53"/>
      <c r="C252" s="53"/>
      <c r="D252" s="53"/>
      <c r="E252" s="1"/>
      <c r="F252" s="1"/>
    </row>
    <row r="253" ht="14.25" customHeight="1">
      <c r="A253" s="52"/>
      <c r="B253" s="53"/>
      <c r="C253" s="53"/>
      <c r="D253" s="53"/>
      <c r="E253" s="1"/>
      <c r="F253" s="1"/>
    </row>
    <row r="254" ht="14.25" customHeight="1">
      <c r="A254" s="52"/>
      <c r="B254" s="53"/>
      <c r="C254" s="53"/>
      <c r="D254" s="53"/>
      <c r="E254" s="1"/>
      <c r="F254" s="1"/>
    </row>
    <row r="255" ht="14.25" customHeight="1">
      <c r="A255" s="52"/>
      <c r="B255" s="53"/>
      <c r="C255" s="53"/>
      <c r="D255" s="53"/>
      <c r="E255" s="1"/>
      <c r="F255" s="1"/>
    </row>
    <row r="256" ht="14.25" customHeight="1">
      <c r="A256" s="52"/>
      <c r="B256" s="53"/>
      <c r="C256" s="53"/>
      <c r="D256" s="53"/>
      <c r="E256" s="1"/>
      <c r="F256" s="1"/>
    </row>
    <row r="257" ht="14.25" customHeight="1">
      <c r="A257" s="52"/>
      <c r="B257" s="53"/>
      <c r="C257" s="53"/>
      <c r="D257" s="53"/>
      <c r="E257" s="1"/>
      <c r="F257" s="1"/>
    </row>
    <row r="258" ht="14.25" customHeight="1">
      <c r="A258" s="52"/>
      <c r="B258" s="53"/>
      <c r="C258" s="53"/>
      <c r="D258" s="53"/>
      <c r="E258" s="1"/>
      <c r="F258" s="1"/>
    </row>
    <row r="259" ht="14.25" customHeight="1">
      <c r="A259" s="52"/>
      <c r="B259" s="53"/>
      <c r="C259" s="53"/>
      <c r="D259" s="53"/>
      <c r="E259" s="1"/>
      <c r="F259" s="1"/>
    </row>
    <row r="260" ht="14.25" customHeight="1">
      <c r="A260" s="52"/>
      <c r="B260" s="53"/>
      <c r="C260" s="53"/>
      <c r="D260" s="53"/>
      <c r="E260" s="1"/>
      <c r="F260" s="1"/>
    </row>
    <row r="261" ht="14.25" customHeight="1">
      <c r="A261" s="52"/>
      <c r="B261" s="53"/>
      <c r="C261" s="53"/>
      <c r="D261" s="53"/>
      <c r="E261" s="1"/>
      <c r="F261" s="1"/>
    </row>
    <row r="262" ht="14.25" customHeight="1">
      <c r="A262" s="52"/>
      <c r="B262" s="53"/>
      <c r="C262" s="53"/>
      <c r="D262" s="53"/>
      <c r="E262" s="1"/>
      <c r="F262" s="1"/>
    </row>
    <row r="263" ht="14.25" customHeight="1">
      <c r="A263" s="52"/>
      <c r="B263" s="53"/>
      <c r="C263" s="53"/>
      <c r="D263" s="53"/>
      <c r="E263" s="1"/>
      <c r="F263" s="1"/>
    </row>
    <row r="264" ht="14.25" customHeight="1">
      <c r="A264" s="52"/>
      <c r="B264" s="53"/>
      <c r="C264" s="53"/>
      <c r="D264" s="53"/>
      <c r="E264" s="1"/>
      <c r="F264" s="1"/>
    </row>
    <row r="265" ht="14.25" customHeight="1">
      <c r="A265" s="52"/>
      <c r="B265" s="53"/>
      <c r="C265" s="53"/>
      <c r="D265" s="53"/>
      <c r="E265" s="1"/>
      <c r="F265" s="1"/>
    </row>
    <row r="266" ht="14.25" customHeight="1">
      <c r="A266" s="52"/>
      <c r="B266" s="53"/>
      <c r="C266" s="53"/>
      <c r="D266" s="53"/>
      <c r="E266" s="1"/>
      <c r="F266" s="1"/>
    </row>
    <row r="267" ht="14.25" customHeight="1">
      <c r="A267" s="52"/>
      <c r="B267" s="53"/>
      <c r="C267" s="53"/>
      <c r="D267" s="53"/>
      <c r="E267" s="1"/>
      <c r="F267" s="1"/>
    </row>
    <row r="268" ht="14.25" customHeight="1">
      <c r="A268" s="52"/>
      <c r="B268" s="53"/>
      <c r="C268" s="53"/>
      <c r="D268" s="53"/>
      <c r="E268" s="1"/>
      <c r="F268" s="1"/>
    </row>
    <row r="269" ht="14.25" customHeight="1">
      <c r="A269" s="52"/>
      <c r="B269" s="53"/>
      <c r="C269" s="53"/>
      <c r="D269" s="53"/>
      <c r="E269" s="1"/>
      <c r="F269" s="1"/>
    </row>
    <row r="270" ht="14.25" customHeight="1">
      <c r="A270" s="52"/>
      <c r="B270" s="53"/>
      <c r="C270" s="53"/>
      <c r="D270" s="53"/>
      <c r="E270" s="1"/>
      <c r="F270" s="1"/>
    </row>
    <row r="271" ht="14.25" customHeight="1">
      <c r="A271" s="52"/>
      <c r="B271" s="53"/>
      <c r="C271" s="53"/>
      <c r="D271" s="53"/>
      <c r="E271" s="1"/>
      <c r="F271" s="1"/>
    </row>
    <row r="272" ht="14.25" customHeight="1">
      <c r="A272" s="52"/>
      <c r="B272" s="53"/>
      <c r="C272" s="53"/>
      <c r="D272" s="53"/>
      <c r="E272" s="1"/>
      <c r="F272" s="1"/>
    </row>
    <row r="273" ht="14.25" customHeight="1">
      <c r="A273" s="52"/>
      <c r="B273" s="53"/>
      <c r="C273" s="53"/>
      <c r="D273" s="53"/>
      <c r="E273" s="1"/>
      <c r="F273" s="1"/>
    </row>
    <row r="274" ht="14.25" customHeight="1">
      <c r="A274" s="52"/>
      <c r="B274" s="53"/>
      <c r="C274" s="53"/>
      <c r="D274" s="53"/>
      <c r="E274" s="1"/>
      <c r="F274" s="1"/>
    </row>
    <row r="275" ht="14.25" customHeight="1">
      <c r="A275" s="52"/>
      <c r="B275" s="53"/>
      <c r="C275" s="53"/>
      <c r="D275" s="53"/>
      <c r="E275" s="1"/>
      <c r="F275" s="1"/>
    </row>
    <row r="276" ht="14.25" customHeight="1">
      <c r="A276" s="52"/>
      <c r="B276" s="53"/>
      <c r="C276" s="53"/>
      <c r="D276" s="53"/>
      <c r="E276" s="1"/>
      <c r="F276" s="1"/>
    </row>
    <row r="277" ht="14.25" customHeight="1">
      <c r="A277" s="52"/>
      <c r="B277" s="53"/>
      <c r="C277" s="53"/>
      <c r="D277" s="53"/>
      <c r="E277" s="1"/>
      <c r="F277" s="1"/>
    </row>
    <row r="278" ht="14.25" customHeight="1">
      <c r="A278" s="52"/>
      <c r="B278" s="53"/>
      <c r="C278" s="53"/>
      <c r="D278" s="53"/>
      <c r="E278" s="1"/>
      <c r="F278" s="1"/>
    </row>
    <row r="279" ht="14.25" customHeight="1">
      <c r="A279" s="52"/>
      <c r="B279" s="53"/>
      <c r="C279" s="53"/>
      <c r="D279" s="53"/>
      <c r="E279" s="1"/>
      <c r="F279" s="1"/>
    </row>
    <row r="280" ht="14.25" customHeight="1">
      <c r="A280" s="52"/>
      <c r="B280" s="53"/>
      <c r="C280" s="53"/>
      <c r="D280" s="53"/>
      <c r="E280" s="1"/>
      <c r="F280" s="1"/>
    </row>
    <row r="281" ht="14.25" customHeight="1">
      <c r="A281" s="52"/>
      <c r="B281" s="53"/>
      <c r="C281" s="53"/>
      <c r="D281" s="53"/>
      <c r="E281" s="1"/>
      <c r="F281" s="1"/>
    </row>
    <row r="282" ht="14.25" customHeight="1">
      <c r="A282" s="52"/>
      <c r="B282" s="53"/>
      <c r="C282" s="53"/>
      <c r="D282" s="53"/>
      <c r="E282" s="1"/>
      <c r="F282" s="1"/>
    </row>
    <row r="283" ht="14.25" customHeight="1">
      <c r="A283" s="52"/>
      <c r="B283" s="53"/>
      <c r="C283" s="53"/>
      <c r="D283" s="53"/>
      <c r="E283" s="1"/>
      <c r="F283" s="1"/>
    </row>
    <row r="284" ht="14.25" customHeight="1">
      <c r="A284" s="52"/>
      <c r="B284" s="53"/>
      <c r="C284" s="53"/>
      <c r="D284" s="53"/>
      <c r="E284" s="1"/>
      <c r="F284" s="1"/>
    </row>
    <row r="285" ht="14.25" customHeight="1">
      <c r="A285" s="52"/>
      <c r="B285" s="53"/>
      <c r="C285" s="53"/>
      <c r="D285" s="53"/>
      <c r="E285" s="1"/>
      <c r="F285" s="1"/>
    </row>
    <row r="286" ht="14.25" customHeight="1">
      <c r="A286" s="52"/>
      <c r="B286" s="53"/>
      <c r="C286" s="53"/>
      <c r="D286" s="53"/>
      <c r="E286" s="1"/>
      <c r="F286" s="1"/>
    </row>
    <row r="287" ht="14.25" customHeight="1">
      <c r="A287" s="52"/>
      <c r="B287" s="53"/>
      <c r="C287" s="53"/>
      <c r="D287" s="53"/>
      <c r="E287" s="1"/>
      <c r="F287" s="1"/>
    </row>
    <row r="288" ht="14.25" customHeight="1">
      <c r="A288" s="52"/>
      <c r="B288" s="53"/>
      <c r="C288" s="53"/>
      <c r="D288" s="53"/>
      <c r="E288" s="1"/>
      <c r="F288" s="1"/>
    </row>
    <row r="289" ht="14.25" customHeight="1">
      <c r="A289" s="52"/>
      <c r="B289" s="53"/>
      <c r="C289" s="53"/>
      <c r="D289" s="53"/>
      <c r="E289" s="1"/>
      <c r="F289" s="1"/>
    </row>
    <row r="290" ht="14.25" customHeight="1">
      <c r="A290" s="52"/>
      <c r="B290" s="53"/>
      <c r="C290" s="53"/>
      <c r="D290" s="53"/>
      <c r="E290" s="1"/>
      <c r="F290" s="1"/>
    </row>
    <row r="291" ht="14.25" customHeight="1">
      <c r="A291" s="52"/>
      <c r="B291" s="53"/>
      <c r="C291" s="53"/>
      <c r="D291" s="53"/>
      <c r="E291" s="1"/>
      <c r="F291" s="1"/>
    </row>
    <row r="292" ht="14.25" customHeight="1">
      <c r="A292" s="52"/>
      <c r="B292" s="53"/>
      <c r="C292" s="53"/>
      <c r="D292" s="53"/>
      <c r="E292" s="1"/>
      <c r="F292" s="1"/>
    </row>
    <row r="293" ht="14.25" customHeight="1">
      <c r="A293" s="52"/>
      <c r="B293" s="53"/>
      <c r="C293" s="53"/>
      <c r="D293" s="53"/>
      <c r="E293" s="1"/>
      <c r="F293" s="1"/>
    </row>
    <row r="294" ht="14.25" customHeight="1">
      <c r="A294" s="52"/>
      <c r="B294" s="53"/>
      <c r="C294" s="53"/>
      <c r="D294" s="53"/>
      <c r="E294" s="1"/>
      <c r="F294" s="1"/>
    </row>
    <row r="295" ht="14.25" customHeight="1">
      <c r="A295" s="52"/>
      <c r="B295" s="53"/>
      <c r="C295" s="53"/>
      <c r="D295" s="53"/>
      <c r="E295" s="1"/>
      <c r="F295" s="1"/>
    </row>
    <row r="296" ht="14.25" customHeight="1">
      <c r="A296" s="52"/>
      <c r="B296" s="53"/>
      <c r="C296" s="53"/>
      <c r="D296" s="53"/>
      <c r="E296" s="1"/>
      <c r="F296" s="1"/>
    </row>
    <row r="297" ht="14.25" customHeight="1">
      <c r="A297" s="52"/>
      <c r="B297" s="53"/>
      <c r="C297" s="53"/>
      <c r="D297" s="53"/>
      <c r="E297" s="1"/>
      <c r="F297" s="1"/>
    </row>
    <row r="298" ht="14.25" customHeight="1">
      <c r="A298" s="52"/>
      <c r="B298" s="53"/>
      <c r="C298" s="53"/>
      <c r="D298" s="53"/>
      <c r="E298" s="1"/>
      <c r="F298" s="1"/>
    </row>
    <row r="299" ht="14.25" customHeight="1">
      <c r="A299" s="52"/>
      <c r="B299" s="53"/>
      <c r="C299" s="53"/>
      <c r="D299" s="53"/>
      <c r="E299" s="1"/>
      <c r="F299" s="1"/>
    </row>
    <row r="300" ht="14.25" customHeight="1">
      <c r="A300" s="52"/>
      <c r="B300" s="53"/>
      <c r="C300" s="53"/>
      <c r="D300" s="53"/>
      <c r="E300" s="1"/>
      <c r="F300" s="1"/>
    </row>
    <row r="301" ht="14.25" customHeight="1">
      <c r="A301" s="52"/>
      <c r="B301" s="53"/>
      <c r="C301" s="53"/>
      <c r="D301" s="53"/>
      <c r="E301" s="1"/>
      <c r="F301" s="1"/>
    </row>
    <row r="302" ht="14.25" customHeight="1">
      <c r="A302" s="52"/>
      <c r="B302" s="53"/>
      <c r="C302" s="53"/>
      <c r="D302" s="53"/>
      <c r="E302" s="1"/>
      <c r="F302" s="1"/>
    </row>
    <row r="303" ht="14.25" customHeight="1">
      <c r="A303" s="52"/>
      <c r="B303" s="53"/>
      <c r="C303" s="53"/>
      <c r="D303" s="53"/>
      <c r="E303" s="1"/>
      <c r="F303" s="1"/>
    </row>
    <row r="304" ht="14.25" customHeight="1">
      <c r="A304" s="52"/>
      <c r="B304" s="53"/>
      <c r="C304" s="53"/>
      <c r="D304" s="53"/>
      <c r="E304" s="1"/>
      <c r="F304" s="1"/>
    </row>
    <row r="305" ht="14.25" customHeight="1">
      <c r="A305" s="52"/>
      <c r="B305" s="53"/>
      <c r="C305" s="53"/>
      <c r="D305" s="53"/>
      <c r="E305" s="1"/>
      <c r="F305" s="1"/>
    </row>
    <row r="306" ht="14.25" customHeight="1">
      <c r="A306" s="52"/>
      <c r="B306" s="53"/>
      <c r="C306" s="53"/>
      <c r="D306" s="53"/>
      <c r="E306" s="1"/>
      <c r="F306" s="1"/>
    </row>
    <row r="307" ht="14.25" customHeight="1">
      <c r="A307" s="52"/>
      <c r="B307" s="53"/>
      <c r="C307" s="53"/>
      <c r="D307" s="53"/>
      <c r="E307" s="1"/>
      <c r="F307" s="1"/>
    </row>
    <row r="308" ht="14.25" customHeight="1">
      <c r="A308" s="52"/>
      <c r="B308" s="53"/>
      <c r="C308" s="53"/>
      <c r="D308" s="53"/>
      <c r="E308" s="1"/>
      <c r="F308" s="1"/>
    </row>
    <row r="309" ht="14.25" customHeight="1">
      <c r="A309" s="52"/>
      <c r="B309" s="53"/>
      <c r="C309" s="53"/>
      <c r="D309" s="53"/>
      <c r="E309" s="1"/>
      <c r="F309" s="1"/>
    </row>
    <row r="310" ht="14.25" customHeight="1">
      <c r="A310" s="52"/>
      <c r="B310" s="53"/>
      <c r="C310" s="53"/>
      <c r="D310" s="53"/>
      <c r="E310" s="1"/>
      <c r="F310" s="1"/>
    </row>
    <row r="311" ht="14.25" customHeight="1">
      <c r="A311" s="52"/>
      <c r="B311" s="53"/>
      <c r="C311" s="53"/>
      <c r="D311" s="53"/>
      <c r="E311" s="1"/>
      <c r="F311" s="1"/>
    </row>
    <row r="312" ht="14.25" customHeight="1">
      <c r="A312" s="52"/>
      <c r="B312" s="53"/>
      <c r="C312" s="53"/>
      <c r="D312" s="53"/>
      <c r="E312" s="1"/>
      <c r="F312" s="1"/>
    </row>
    <row r="313" ht="14.25" customHeight="1">
      <c r="A313" s="52"/>
      <c r="B313" s="53"/>
      <c r="C313" s="53"/>
      <c r="D313" s="53"/>
      <c r="E313" s="1"/>
      <c r="F313" s="1"/>
    </row>
    <row r="314" ht="14.25" customHeight="1">
      <c r="A314" s="52"/>
      <c r="B314" s="53"/>
      <c r="C314" s="53"/>
      <c r="D314" s="53"/>
      <c r="E314" s="1"/>
      <c r="F314" s="1"/>
    </row>
    <row r="315" ht="14.25" customHeight="1">
      <c r="A315" s="52"/>
      <c r="B315" s="53"/>
      <c r="C315" s="53"/>
      <c r="D315" s="53"/>
      <c r="E315" s="1"/>
      <c r="F315" s="1"/>
    </row>
    <row r="316" ht="14.25" customHeight="1">
      <c r="A316" s="52"/>
      <c r="B316" s="53"/>
      <c r="C316" s="53"/>
      <c r="D316" s="53"/>
      <c r="E316" s="1"/>
      <c r="F316" s="1"/>
    </row>
    <row r="317" ht="14.25" customHeight="1">
      <c r="A317" s="52"/>
      <c r="B317" s="53"/>
      <c r="C317" s="53"/>
      <c r="D317" s="53"/>
      <c r="E317" s="1"/>
      <c r="F317" s="1"/>
    </row>
    <row r="318" ht="14.25" customHeight="1">
      <c r="A318" s="52"/>
      <c r="B318" s="53"/>
      <c r="C318" s="53"/>
      <c r="D318" s="53"/>
      <c r="E318" s="1"/>
      <c r="F318" s="1"/>
    </row>
    <row r="319" ht="14.25" customHeight="1">
      <c r="A319" s="52"/>
      <c r="B319" s="53"/>
      <c r="C319" s="53"/>
      <c r="D319" s="53"/>
      <c r="E319" s="1"/>
      <c r="F319" s="1"/>
    </row>
    <row r="320" ht="14.25" customHeight="1">
      <c r="A320" s="52"/>
      <c r="B320" s="53"/>
      <c r="C320" s="53"/>
      <c r="D320" s="53"/>
      <c r="E320" s="1"/>
      <c r="F320" s="1"/>
    </row>
    <row r="321" ht="14.25" customHeight="1">
      <c r="A321" s="52"/>
      <c r="B321" s="53"/>
      <c r="C321" s="53"/>
      <c r="D321" s="53"/>
      <c r="E321" s="1"/>
      <c r="F321" s="1"/>
    </row>
    <row r="322" ht="14.25" customHeight="1">
      <c r="A322" s="52"/>
      <c r="B322" s="53"/>
      <c r="C322" s="53"/>
      <c r="D322" s="53"/>
      <c r="E322" s="1"/>
      <c r="F322" s="1"/>
    </row>
    <row r="323" ht="14.25" customHeight="1">
      <c r="A323" s="52"/>
      <c r="B323" s="53"/>
      <c r="C323" s="53"/>
      <c r="D323" s="53"/>
      <c r="E323" s="1"/>
      <c r="F323" s="1"/>
    </row>
    <row r="324" ht="14.25" customHeight="1">
      <c r="A324" s="52"/>
      <c r="B324" s="53"/>
      <c r="C324" s="53"/>
      <c r="D324" s="53"/>
      <c r="E324" s="1"/>
      <c r="F324" s="1"/>
    </row>
    <row r="325" ht="14.25" customHeight="1">
      <c r="A325" s="52"/>
      <c r="B325" s="53"/>
      <c r="C325" s="53"/>
      <c r="D325" s="53"/>
      <c r="E325" s="1"/>
      <c r="F325" s="1"/>
    </row>
    <row r="326" ht="14.25" customHeight="1">
      <c r="A326" s="52"/>
      <c r="B326" s="53"/>
      <c r="C326" s="53"/>
      <c r="D326" s="53"/>
      <c r="E326" s="1"/>
      <c r="F326" s="1"/>
    </row>
    <row r="327" ht="14.25" customHeight="1">
      <c r="A327" s="52"/>
      <c r="B327" s="53"/>
      <c r="C327" s="53"/>
      <c r="D327" s="53"/>
      <c r="E327" s="1"/>
      <c r="F327" s="1"/>
    </row>
    <row r="328" ht="14.25" customHeight="1">
      <c r="A328" s="52"/>
      <c r="B328" s="53"/>
      <c r="C328" s="53"/>
      <c r="D328" s="53"/>
      <c r="E328" s="1"/>
      <c r="F328" s="1"/>
    </row>
    <row r="329" ht="14.25" customHeight="1">
      <c r="A329" s="52"/>
      <c r="B329" s="53"/>
      <c r="C329" s="53"/>
      <c r="D329" s="53"/>
      <c r="E329" s="1"/>
      <c r="F329" s="1"/>
    </row>
    <row r="330" ht="14.25" customHeight="1">
      <c r="A330" s="52"/>
      <c r="B330" s="53"/>
      <c r="C330" s="53"/>
      <c r="D330" s="53"/>
      <c r="E330" s="1"/>
      <c r="F330" s="1"/>
    </row>
    <row r="331" ht="14.25" customHeight="1">
      <c r="A331" s="52"/>
      <c r="B331" s="53"/>
      <c r="C331" s="53"/>
      <c r="D331" s="53"/>
      <c r="E331" s="1"/>
      <c r="F331" s="1"/>
    </row>
    <row r="332" ht="14.25" customHeight="1">
      <c r="A332" s="52"/>
      <c r="B332" s="53"/>
      <c r="C332" s="53"/>
      <c r="D332" s="53"/>
      <c r="E332" s="1"/>
      <c r="F332" s="1"/>
    </row>
    <row r="333" ht="14.25" customHeight="1">
      <c r="A333" s="52"/>
      <c r="B333" s="53"/>
      <c r="C333" s="53"/>
      <c r="D333" s="53"/>
      <c r="E333" s="1"/>
      <c r="F333" s="1"/>
    </row>
    <row r="334" ht="14.25" customHeight="1">
      <c r="A334" s="52"/>
      <c r="B334" s="53"/>
      <c r="C334" s="53"/>
      <c r="D334" s="53"/>
      <c r="E334" s="1"/>
      <c r="F334" s="1"/>
    </row>
    <row r="335" ht="14.25" customHeight="1">
      <c r="A335" s="52"/>
      <c r="B335" s="53"/>
      <c r="C335" s="53"/>
      <c r="D335" s="53"/>
      <c r="E335" s="1"/>
      <c r="F335" s="1"/>
    </row>
    <row r="336" ht="14.25" customHeight="1">
      <c r="A336" s="52"/>
      <c r="B336" s="53"/>
      <c r="C336" s="53"/>
      <c r="D336" s="53"/>
      <c r="E336" s="1"/>
      <c r="F336" s="1"/>
    </row>
    <row r="337" ht="14.25" customHeight="1">
      <c r="A337" s="52"/>
      <c r="B337" s="53"/>
      <c r="C337" s="53"/>
      <c r="D337" s="53"/>
      <c r="E337" s="1"/>
      <c r="F337" s="1"/>
    </row>
    <row r="338" ht="14.25" customHeight="1">
      <c r="A338" s="52"/>
      <c r="B338" s="53"/>
      <c r="C338" s="53"/>
      <c r="D338" s="53"/>
      <c r="E338" s="1"/>
      <c r="F338" s="1"/>
    </row>
    <row r="339" ht="14.25" customHeight="1">
      <c r="A339" s="52"/>
      <c r="B339" s="53"/>
      <c r="C339" s="53"/>
      <c r="D339" s="53"/>
      <c r="E339" s="1"/>
      <c r="F339" s="1"/>
    </row>
    <row r="340" ht="14.25" customHeight="1">
      <c r="A340" s="52"/>
      <c r="B340" s="53"/>
      <c r="C340" s="53"/>
      <c r="D340" s="53"/>
      <c r="E340" s="1"/>
      <c r="F340" s="1"/>
    </row>
    <row r="341" ht="14.25" customHeight="1">
      <c r="A341" s="52"/>
      <c r="B341" s="53"/>
      <c r="C341" s="53"/>
      <c r="D341" s="53"/>
      <c r="E341" s="1"/>
      <c r="F341" s="1"/>
    </row>
    <row r="342" ht="14.25" customHeight="1">
      <c r="A342" s="52"/>
      <c r="B342" s="53"/>
      <c r="C342" s="53"/>
      <c r="D342" s="53"/>
      <c r="E342" s="1"/>
      <c r="F342" s="1"/>
    </row>
    <row r="343" ht="14.25" customHeight="1">
      <c r="A343" s="52"/>
      <c r="B343" s="53"/>
      <c r="C343" s="53"/>
      <c r="D343" s="53"/>
      <c r="E343" s="1"/>
      <c r="F343" s="1"/>
    </row>
    <row r="344" ht="14.25" customHeight="1">
      <c r="A344" s="52"/>
      <c r="B344" s="53"/>
      <c r="C344" s="53"/>
      <c r="D344" s="53"/>
      <c r="E344" s="1"/>
      <c r="F344" s="1"/>
    </row>
    <row r="345" ht="14.25" customHeight="1">
      <c r="A345" s="52"/>
      <c r="B345" s="53"/>
      <c r="C345" s="53"/>
      <c r="D345" s="53"/>
      <c r="E345" s="1"/>
      <c r="F345" s="1"/>
    </row>
    <row r="346" ht="14.25" customHeight="1">
      <c r="A346" s="52"/>
      <c r="B346" s="53"/>
      <c r="C346" s="53"/>
      <c r="D346" s="53"/>
      <c r="E346" s="1"/>
      <c r="F346" s="1"/>
    </row>
    <row r="347" ht="14.25" customHeight="1">
      <c r="A347" s="52"/>
      <c r="B347" s="53"/>
      <c r="C347" s="53"/>
      <c r="D347" s="53"/>
      <c r="E347" s="1"/>
      <c r="F347" s="1"/>
    </row>
    <row r="348" ht="14.25" customHeight="1">
      <c r="A348" s="52"/>
      <c r="B348" s="53"/>
      <c r="C348" s="53"/>
      <c r="D348" s="53"/>
      <c r="E348" s="1"/>
      <c r="F348" s="1"/>
    </row>
    <row r="349" ht="14.25" customHeight="1">
      <c r="A349" s="52"/>
      <c r="B349" s="53"/>
      <c r="C349" s="53"/>
      <c r="D349" s="53"/>
      <c r="E349" s="1"/>
      <c r="F349" s="1"/>
    </row>
    <row r="350" ht="14.25" customHeight="1">
      <c r="A350" s="52"/>
      <c r="B350" s="53"/>
      <c r="C350" s="53"/>
      <c r="D350" s="53"/>
      <c r="E350" s="1"/>
      <c r="F350" s="1"/>
    </row>
    <row r="351" ht="14.25" customHeight="1">
      <c r="A351" s="52"/>
      <c r="B351" s="53"/>
      <c r="C351" s="53"/>
      <c r="D351" s="53"/>
      <c r="E351" s="1"/>
      <c r="F351" s="1"/>
    </row>
    <row r="352" ht="14.25" customHeight="1">
      <c r="A352" s="52"/>
      <c r="B352" s="53"/>
      <c r="C352" s="53"/>
      <c r="D352" s="53"/>
      <c r="E352" s="1"/>
      <c r="F352" s="1"/>
    </row>
    <row r="353" ht="14.25" customHeight="1">
      <c r="A353" s="52"/>
      <c r="B353" s="53"/>
      <c r="C353" s="53"/>
      <c r="D353" s="53"/>
      <c r="E353" s="1"/>
      <c r="F353" s="1"/>
    </row>
    <row r="354" ht="14.25" customHeight="1">
      <c r="A354" s="52"/>
      <c r="B354" s="53"/>
      <c r="C354" s="53"/>
      <c r="D354" s="53"/>
      <c r="E354" s="1"/>
      <c r="F354" s="1"/>
    </row>
    <row r="355" ht="14.25" customHeight="1">
      <c r="A355" s="52"/>
      <c r="B355" s="53"/>
      <c r="C355" s="53"/>
      <c r="D355" s="53"/>
      <c r="E355" s="1"/>
      <c r="F355" s="1"/>
    </row>
    <row r="356" ht="14.25" customHeight="1">
      <c r="A356" s="52"/>
      <c r="B356" s="53"/>
      <c r="C356" s="53"/>
      <c r="D356" s="53"/>
      <c r="E356" s="1"/>
      <c r="F356" s="1"/>
    </row>
    <row r="357" ht="14.25" customHeight="1">
      <c r="A357" s="52"/>
      <c r="B357" s="53"/>
      <c r="C357" s="53"/>
      <c r="D357" s="53"/>
      <c r="E357" s="1"/>
      <c r="F357" s="1"/>
    </row>
    <row r="358" ht="14.25" customHeight="1">
      <c r="A358" s="52"/>
      <c r="B358" s="53"/>
      <c r="C358" s="53"/>
      <c r="D358" s="53"/>
      <c r="E358" s="1"/>
      <c r="F358" s="1"/>
    </row>
    <row r="359" ht="14.25" customHeight="1">
      <c r="A359" s="52"/>
      <c r="B359" s="53"/>
      <c r="C359" s="53"/>
      <c r="D359" s="53"/>
      <c r="E359" s="1"/>
      <c r="F359" s="1"/>
    </row>
    <row r="360" ht="14.25" customHeight="1">
      <c r="A360" s="52"/>
      <c r="B360" s="53"/>
      <c r="C360" s="53"/>
      <c r="D360" s="53"/>
      <c r="E360" s="1"/>
      <c r="F360" s="1"/>
    </row>
    <row r="361" ht="14.25" customHeight="1">
      <c r="A361" s="52"/>
      <c r="B361" s="53"/>
      <c r="C361" s="53"/>
      <c r="D361" s="53"/>
      <c r="E361" s="1"/>
      <c r="F361" s="1"/>
    </row>
    <row r="362" ht="14.25" customHeight="1">
      <c r="A362" s="52"/>
      <c r="B362" s="53"/>
      <c r="C362" s="53"/>
      <c r="D362" s="53"/>
      <c r="E362" s="1"/>
      <c r="F362" s="1"/>
    </row>
    <row r="363" ht="14.25" customHeight="1">
      <c r="A363" s="52"/>
      <c r="B363" s="53"/>
      <c r="C363" s="53"/>
      <c r="D363" s="53"/>
      <c r="E363" s="1"/>
      <c r="F363" s="1"/>
    </row>
    <row r="364" ht="14.25" customHeight="1">
      <c r="A364" s="52"/>
      <c r="B364" s="53"/>
      <c r="C364" s="53"/>
      <c r="D364" s="53"/>
      <c r="E364" s="1"/>
      <c r="F364" s="1"/>
    </row>
    <row r="365" ht="14.25" customHeight="1">
      <c r="A365" s="52"/>
      <c r="B365" s="53"/>
      <c r="C365" s="53"/>
      <c r="D365" s="53"/>
      <c r="E365" s="1"/>
      <c r="F365" s="1"/>
    </row>
    <row r="366" ht="14.25" customHeight="1">
      <c r="A366" s="52"/>
      <c r="B366" s="53"/>
      <c r="C366" s="53"/>
      <c r="D366" s="53"/>
      <c r="E366" s="1"/>
      <c r="F366" s="1"/>
    </row>
    <row r="367" ht="14.25" customHeight="1">
      <c r="A367" s="52"/>
      <c r="B367" s="53"/>
      <c r="C367" s="53"/>
      <c r="D367" s="53"/>
      <c r="E367" s="1"/>
      <c r="F367" s="1"/>
    </row>
    <row r="368" ht="14.25" customHeight="1">
      <c r="A368" s="52"/>
      <c r="B368" s="53"/>
      <c r="C368" s="53"/>
      <c r="D368" s="53"/>
      <c r="E368" s="1"/>
      <c r="F368" s="1"/>
    </row>
    <row r="369" ht="14.25" customHeight="1">
      <c r="A369" s="52"/>
      <c r="B369" s="53"/>
      <c r="C369" s="53"/>
      <c r="D369" s="53"/>
      <c r="E369" s="1"/>
      <c r="F369" s="1"/>
    </row>
    <row r="370" ht="14.25" customHeight="1">
      <c r="A370" s="52"/>
      <c r="B370" s="53"/>
      <c r="C370" s="53"/>
      <c r="D370" s="53"/>
      <c r="E370" s="1"/>
      <c r="F370" s="1"/>
    </row>
    <row r="371" ht="14.25" customHeight="1">
      <c r="A371" s="52"/>
      <c r="B371" s="53"/>
      <c r="C371" s="53"/>
      <c r="D371" s="53"/>
      <c r="E371" s="1"/>
      <c r="F371" s="1"/>
    </row>
    <row r="372" ht="14.25" customHeight="1">
      <c r="A372" s="52"/>
      <c r="B372" s="53"/>
      <c r="C372" s="53"/>
      <c r="D372" s="53"/>
      <c r="E372" s="1"/>
      <c r="F372" s="1"/>
    </row>
    <row r="373" ht="14.25" customHeight="1">
      <c r="A373" s="52"/>
      <c r="B373" s="53"/>
      <c r="C373" s="53"/>
      <c r="D373" s="53"/>
      <c r="E373" s="1"/>
      <c r="F373" s="1"/>
    </row>
    <row r="374" ht="14.25" customHeight="1">
      <c r="A374" s="52"/>
      <c r="B374" s="53"/>
      <c r="C374" s="53"/>
      <c r="D374" s="53"/>
      <c r="E374" s="1"/>
      <c r="F374" s="1"/>
    </row>
    <row r="375" ht="14.25" customHeight="1">
      <c r="A375" s="52"/>
      <c r="B375" s="53"/>
      <c r="C375" s="53"/>
      <c r="D375" s="53"/>
      <c r="E375" s="1"/>
      <c r="F375" s="1"/>
    </row>
    <row r="376" ht="14.25" customHeight="1">
      <c r="A376" s="52"/>
      <c r="B376" s="53"/>
      <c r="C376" s="53"/>
      <c r="D376" s="53"/>
      <c r="E376" s="1"/>
      <c r="F376" s="1"/>
    </row>
    <row r="377" ht="14.25" customHeight="1">
      <c r="A377" s="52"/>
      <c r="B377" s="53"/>
      <c r="C377" s="53"/>
      <c r="D377" s="53"/>
      <c r="E377" s="1"/>
      <c r="F377" s="1"/>
    </row>
    <row r="378" ht="14.25" customHeight="1">
      <c r="A378" s="52"/>
      <c r="B378" s="53"/>
      <c r="C378" s="53"/>
      <c r="D378" s="53"/>
      <c r="E378" s="1"/>
      <c r="F378" s="1"/>
    </row>
    <row r="379" ht="14.25" customHeight="1">
      <c r="A379" s="52"/>
      <c r="B379" s="53"/>
      <c r="C379" s="53"/>
      <c r="D379" s="53"/>
      <c r="E379" s="1"/>
      <c r="F379" s="1"/>
    </row>
    <row r="380" ht="14.25" customHeight="1">
      <c r="A380" s="52"/>
      <c r="B380" s="53"/>
      <c r="C380" s="53"/>
      <c r="D380" s="53"/>
      <c r="E380" s="1"/>
      <c r="F380" s="1"/>
    </row>
    <row r="381" ht="14.25" customHeight="1">
      <c r="A381" s="52"/>
      <c r="B381" s="53"/>
      <c r="C381" s="53"/>
      <c r="D381" s="53"/>
      <c r="E381" s="1"/>
      <c r="F381" s="1"/>
    </row>
    <row r="382" ht="14.25" customHeight="1">
      <c r="A382" s="52"/>
      <c r="B382" s="53"/>
      <c r="C382" s="53"/>
      <c r="D382" s="53"/>
      <c r="E382" s="1"/>
      <c r="F382" s="1"/>
    </row>
    <row r="383" ht="14.25" customHeight="1">
      <c r="A383" s="52"/>
      <c r="B383" s="53"/>
      <c r="C383" s="53"/>
      <c r="D383" s="53"/>
      <c r="E383" s="1"/>
      <c r="F383" s="1"/>
    </row>
    <row r="384" ht="14.25" customHeight="1">
      <c r="A384" s="52"/>
      <c r="B384" s="53"/>
      <c r="C384" s="53"/>
      <c r="D384" s="53"/>
      <c r="E384" s="1"/>
      <c r="F384" s="1"/>
    </row>
    <row r="385" ht="14.25" customHeight="1">
      <c r="A385" s="52"/>
      <c r="B385" s="53"/>
      <c r="C385" s="53"/>
      <c r="D385" s="53"/>
      <c r="E385" s="1"/>
      <c r="F385" s="1"/>
    </row>
    <row r="386" ht="14.25" customHeight="1">
      <c r="A386" s="52"/>
      <c r="B386" s="53"/>
      <c r="C386" s="53"/>
      <c r="D386" s="53"/>
      <c r="E386" s="1"/>
      <c r="F386" s="1"/>
    </row>
    <row r="387" ht="14.25" customHeight="1">
      <c r="A387" s="52"/>
      <c r="B387" s="53"/>
      <c r="C387" s="53"/>
      <c r="D387" s="53"/>
      <c r="E387" s="1"/>
      <c r="F387" s="1"/>
    </row>
    <row r="388" ht="14.25" customHeight="1">
      <c r="A388" s="52"/>
      <c r="B388" s="53"/>
      <c r="C388" s="53"/>
      <c r="D388" s="53"/>
      <c r="E388" s="1"/>
      <c r="F388" s="1"/>
    </row>
    <row r="389" ht="14.25" customHeight="1">
      <c r="A389" s="52"/>
      <c r="B389" s="53"/>
      <c r="C389" s="53"/>
      <c r="D389" s="53"/>
      <c r="E389" s="1"/>
      <c r="F389" s="1"/>
    </row>
    <row r="390" ht="14.25" customHeight="1">
      <c r="A390" s="52"/>
      <c r="B390" s="53"/>
      <c r="C390" s="53"/>
      <c r="D390" s="53"/>
      <c r="E390" s="1"/>
      <c r="F390" s="1"/>
    </row>
    <row r="391" ht="14.25" customHeight="1">
      <c r="A391" s="52"/>
      <c r="B391" s="53"/>
      <c r="C391" s="53"/>
      <c r="D391" s="53"/>
      <c r="E391" s="1"/>
      <c r="F391" s="1"/>
    </row>
    <row r="392" ht="14.25" customHeight="1">
      <c r="A392" s="52"/>
      <c r="B392" s="53"/>
      <c r="C392" s="53"/>
      <c r="D392" s="53"/>
      <c r="E392" s="1"/>
      <c r="F392" s="1"/>
    </row>
    <row r="393" ht="14.25" customHeight="1">
      <c r="A393" s="52"/>
      <c r="B393" s="53"/>
      <c r="C393" s="53"/>
      <c r="D393" s="53"/>
      <c r="E393" s="1"/>
      <c r="F393" s="1"/>
    </row>
    <row r="394" ht="14.25" customHeight="1">
      <c r="A394" s="52"/>
      <c r="B394" s="53"/>
      <c r="C394" s="53"/>
      <c r="D394" s="53"/>
      <c r="E394" s="1"/>
      <c r="F394" s="1"/>
    </row>
    <row r="395" ht="14.25" customHeight="1">
      <c r="A395" s="52"/>
      <c r="B395" s="53"/>
      <c r="C395" s="53"/>
      <c r="D395" s="53"/>
      <c r="E395" s="1"/>
      <c r="F395" s="1"/>
    </row>
    <row r="396" ht="14.25" customHeight="1">
      <c r="A396" s="52"/>
      <c r="B396" s="53"/>
      <c r="C396" s="53"/>
      <c r="D396" s="53"/>
      <c r="E396" s="1"/>
      <c r="F396" s="1"/>
    </row>
    <row r="397" ht="14.25" customHeight="1">
      <c r="A397" s="52"/>
      <c r="B397" s="53"/>
      <c r="C397" s="53"/>
      <c r="D397" s="53"/>
      <c r="E397" s="1"/>
      <c r="F397" s="1"/>
    </row>
    <row r="398" ht="14.25" customHeight="1">
      <c r="A398" s="52"/>
      <c r="B398" s="53"/>
      <c r="C398" s="53"/>
      <c r="D398" s="53"/>
      <c r="E398" s="1"/>
      <c r="F398" s="1"/>
    </row>
    <row r="399" ht="14.25" customHeight="1">
      <c r="A399" s="52"/>
      <c r="B399" s="53"/>
      <c r="C399" s="53"/>
      <c r="D399" s="53"/>
      <c r="E399" s="1"/>
      <c r="F399" s="1"/>
    </row>
    <row r="400" ht="14.25" customHeight="1">
      <c r="A400" s="52"/>
      <c r="B400" s="53"/>
      <c r="C400" s="53"/>
      <c r="D400" s="53"/>
      <c r="E400" s="1"/>
      <c r="F400" s="1"/>
    </row>
    <row r="401" ht="14.25" customHeight="1">
      <c r="A401" s="52"/>
      <c r="B401" s="53"/>
      <c r="C401" s="53"/>
      <c r="D401" s="53"/>
      <c r="E401" s="1"/>
      <c r="F401" s="1"/>
    </row>
    <row r="402" ht="14.25" customHeight="1">
      <c r="A402" s="52"/>
      <c r="B402" s="53"/>
      <c r="C402" s="53"/>
      <c r="D402" s="53"/>
      <c r="E402" s="1"/>
      <c r="F402" s="1"/>
    </row>
    <row r="403" ht="14.25" customHeight="1">
      <c r="A403" s="52"/>
      <c r="B403" s="53"/>
      <c r="C403" s="53"/>
      <c r="D403" s="53"/>
      <c r="E403" s="1"/>
      <c r="F403" s="1"/>
    </row>
    <row r="404" ht="14.25" customHeight="1">
      <c r="A404" s="52"/>
      <c r="B404" s="53"/>
      <c r="C404" s="53"/>
      <c r="D404" s="53"/>
      <c r="E404" s="1"/>
      <c r="F404" s="1"/>
    </row>
    <row r="405" ht="14.25" customHeight="1">
      <c r="A405" s="52"/>
      <c r="B405" s="53"/>
      <c r="C405" s="53"/>
      <c r="D405" s="53"/>
      <c r="E405" s="1"/>
      <c r="F405" s="1"/>
    </row>
    <row r="406" ht="14.25" customHeight="1">
      <c r="A406" s="52"/>
      <c r="B406" s="53"/>
      <c r="C406" s="53"/>
      <c r="D406" s="53"/>
      <c r="E406" s="1"/>
      <c r="F406" s="1"/>
    </row>
    <row r="407" ht="14.25" customHeight="1">
      <c r="A407" s="52"/>
      <c r="B407" s="53"/>
      <c r="C407" s="53"/>
      <c r="D407" s="53"/>
      <c r="E407" s="1"/>
      <c r="F407" s="1"/>
    </row>
    <row r="408" ht="14.25" customHeight="1">
      <c r="A408" s="52"/>
      <c r="B408" s="53"/>
      <c r="C408" s="53"/>
      <c r="D408" s="53"/>
      <c r="E408" s="1"/>
      <c r="F408" s="1"/>
    </row>
    <row r="409" ht="14.25" customHeight="1">
      <c r="A409" s="52"/>
      <c r="B409" s="53"/>
      <c r="C409" s="53"/>
      <c r="D409" s="53"/>
      <c r="E409" s="1"/>
      <c r="F409" s="1"/>
    </row>
    <row r="410" ht="14.25" customHeight="1">
      <c r="A410" s="52"/>
      <c r="B410" s="53"/>
      <c r="C410" s="53"/>
      <c r="D410" s="53"/>
      <c r="E410" s="1"/>
      <c r="F410" s="1"/>
    </row>
    <row r="411" ht="14.25" customHeight="1">
      <c r="A411" s="52"/>
      <c r="B411" s="53"/>
      <c r="C411" s="53"/>
      <c r="D411" s="53"/>
      <c r="E411" s="1"/>
      <c r="F411" s="1"/>
    </row>
    <row r="412" ht="14.25" customHeight="1">
      <c r="A412" s="52"/>
      <c r="B412" s="53"/>
      <c r="C412" s="53"/>
      <c r="D412" s="53"/>
      <c r="E412" s="1"/>
      <c r="F412" s="1"/>
    </row>
    <row r="413" ht="14.25" customHeight="1">
      <c r="A413" s="52"/>
      <c r="B413" s="53"/>
      <c r="C413" s="53"/>
      <c r="D413" s="53"/>
      <c r="E413" s="1"/>
      <c r="F413" s="1"/>
    </row>
    <row r="414" ht="14.25" customHeight="1">
      <c r="A414" s="52"/>
      <c r="B414" s="53"/>
      <c r="C414" s="53"/>
      <c r="D414" s="53"/>
      <c r="E414" s="1"/>
      <c r="F414" s="1"/>
    </row>
    <row r="415" ht="14.25" customHeight="1">
      <c r="A415" s="52"/>
      <c r="B415" s="53"/>
      <c r="C415" s="53"/>
      <c r="D415" s="53"/>
      <c r="E415" s="1"/>
      <c r="F415" s="1"/>
    </row>
    <row r="416" ht="14.25" customHeight="1">
      <c r="A416" s="52"/>
      <c r="B416" s="53"/>
      <c r="C416" s="53"/>
      <c r="D416" s="53"/>
      <c r="E416" s="1"/>
      <c r="F416" s="1"/>
    </row>
    <row r="417" ht="14.25" customHeight="1">
      <c r="A417" s="52"/>
      <c r="B417" s="53"/>
      <c r="C417" s="53"/>
      <c r="D417" s="53"/>
      <c r="E417" s="1"/>
      <c r="F417" s="1"/>
    </row>
    <row r="418" ht="14.25" customHeight="1">
      <c r="A418" s="52"/>
      <c r="B418" s="53"/>
      <c r="C418" s="53"/>
      <c r="D418" s="53"/>
      <c r="E418" s="1"/>
      <c r="F418" s="1"/>
    </row>
    <row r="419" ht="14.25" customHeight="1">
      <c r="A419" s="52"/>
      <c r="B419" s="53"/>
      <c r="C419" s="53"/>
      <c r="D419" s="53"/>
      <c r="E419" s="1"/>
      <c r="F419" s="1"/>
    </row>
    <row r="420" ht="14.25" customHeight="1">
      <c r="A420" s="52"/>
      <c r="B420" s="53"/>
      <c r="C420" s="53"/>
      <c r="D420" s="53"/>
      <c r="E420" s="1"/>
      <c r="F420" s="1"/>
    </row>
    <row r="421" ht="14.25" customHeight="1">
      <c r="A421" s="52"/>
      <c r="B421" s="53"/>
      <c r="C421" s="53"/>
      <c r="D421" s="53"/>
      <c r="E421" s="1"/>
      <c r="F421" s="1"/>
    </row>
    <row r="422" ht="14.25" customHeight="1">
      <c r="A422" s="52"/>
      <c r="B422" s="53"/>
      <c r="C422" s="53"/>
      <c r="D422" s="53"/>
      <c r="E422" s="1"/>
      <c r="F422" s="1"/>
    </row>
    <row r="423" ht="14.25" customHeight="1">
      <c r="A423" s="52"/>
      <c r="B423" s="53"/>
      <c r="C423" s="53"/>
      <c r="D423" s="53"/>
      <c r="E423" s="1"/>
      <c r="F423" s="1"/>
    </row>
    <row r="424" ht="14.25" customHeight="1">
      <c r="A424" s="52"/>
      <c r="B424" s="53"/>
      <c r="C424" s="53"/>
      <c r="D424" s="53"/>
      <c r="E424" s="1"/>
      <c r="F424" s="1"/>
    </row>
    <row r="425" ht="14.25" customHeight="1">
      <c r="A425" s="52"/>
      <c r="B425" s="53"/>
      <c r="C425" s="53"/>
      <c r="D425" s="53"/>
      <c r="E425" s="1"/>
      <c r="F425" s="1"/>
    </row>
    <row r="426" ht="14.25" customHeight="1">
      <c r="A426" s="52"/>
      <c r="B426" s="53"/>
      <c r="C426" s="53"/>
      <c r="D426" s="53"/>
      <c r="E426" s="1"/>
      <c r="F426" s="1"/>
    </row>
    <row r="427" ht="14.25" customHeight="1">
      <c r="A427" s="52"/>
      <c r="B427" s="53"/>
      <c r="C427" s="53"/>
      <c r="D427" s="53"/>
      <c r="E427" s="1"/>
      <c r="F427" s="1"/>
    </row>
    <row r="428" ht="14.25" customHeight="1">
      <c r="A428" s="52"/>
      <c r="B428" s="53"/>
      <c r="C428" s="53"/>
      <c r="D428" s="53"/>
      <c r="E428" s="1"/>
      <c r="F428" s="1"/>
    </row>
    <row r="429" ht="14.25" customHeight="1">
      <c r="A429" s="52"/>
      <c r="B429" s="53"/>
      <c r="C429" s="53"/>
      <c r="D429" s="53"/>
      <c r="E429" s="1"/>
      <c r="F429" s="1"/>
    </row>
    <row r="430" ht="14.25" customHeight="1">
      <c r="A430" s="52"/>
      <c r="B430" s="53"/>
      <c r="C430" s="53"/>
      <c r="D430" s="53"/>
      <c r="E430" s="1"/>
      <c r="F430" s="1"/>
    </row>
    <row r="431" ht="14.25" customHeight="1">
      <c r="A431" s="52"/>
      <c r="B431" s="53"/>
      <c r="C431" s="53"/>
      <c r="D431" s="53"/>
      <c r="E431" s="1"/>
      <c r="F431" s="1"/>
    </row>
    <row r="432" ht="14.25" customHeight="1">
      <c r="A432" s="52"/>
      <c r="B432" s="53"/>
      <c r="C432" s="53"/>
      <c r="D432" s="53"/>
      <c r="E432" s="1"/>
      <c r="F432" s="1"/>
    </row>
    <row r="433" ht="14.25" customHeight="1">
      <c r="A433" s="52"/>
      <c r="B433" s="53"/>
      <c r="C433" s="53"/>
      <c r="D433" s="53"/>
      <c r="E433" s="1"/>
      <c r="F433" s="1"/>
    </row>
    <row r="434" ht="14.25" customHeight="1">
      <c r="A434" s="52"/>
      <c r="B434" s="53"/>
      <c r="C434" s="53"/>
      <c r="D434" s="53"/>
      <c r="E434" s="1"/>
      <c r="F434" s="1"/>
    </row>
    <row r="435" ht="14.25" customHeight="1">
      <c r="A435" s="52"/>
      <c r="B435" s="53"/>
      <c r="C435" s="53"/>
      <c r="D435" s="53"/>
      <c r="E435" s="1"/>
      <c r="F435" s="1"/>
    </row>
    <row r="436" ht="14.25" customHeight="1">
      <c r="A436" s="52"/>
      <c r="B436" s="53"/>
      <c r="C436" s="53"/>
      <c r="D436" s="53"/>
      <c r="E436" s="1"/>
      <c r="F436" s="1"/>
    </row>
    <row r="437" ht="14.25" customHeight="1">
      <c r="A437" s="52"/>
      <c r="B437" s="53"/>
      <c r="C437" s="53"/>
      <c r="D437" s="53"/>
      <c r="E437" s="1"/>
      <c r="F437" s="1"/>
    </row>
    <row r="438" ht="14.25" customHeight="1">
      <c r="A438" s="52"/>
      <c r="B438" s="53"/>
      <c r="C438" s="53"/>
      <c r="D438" s="53"/>
      <c r="E438" s="1"/>
      <c r="F438" s="1"/>
    </row>
    <row r="439" ht="14.25" customHeight="1">
      <c r="A439" s="52"/>
      <c r="B439" s="53"/>
      <c r="C439" s="53"/>
      <c r="D439" s="53"/>
      <c r="E439" s="1"/>
      <c r="F439" s="1"/>
    </row>
    <row r="440" ht="14.25" customHeight="1">
      <c r="A440" s="52"/>
      <c r="B440" s="53"/>
      <c r="C440" s="53"/>
      <c r="D440" s="53"/>
      <c r="E440" s="1"/>
      <c r="F440" s="1"/>
    </row>
    <row r="441" ht="14.25" customHeight="1">
      <c r="A441" s="52"/>
      <c r="B441" s="53"/>
      <c r="C441" s="53"/>
      <c r="D441" s="53"/>
      <c r="E441" s="1"/>
      <c r="F441" s="1"/>
    </row>
    <row r="442" ht="14.25" customHeight="1">
      <c r="A442" s="52"/>
      <c r="B442" s="53"/>
      <c r="C442" s="53"/>
      <c r="D442" s="53"/>
      <c r="E442" s="1"/>
      <c r="F442" s="1"/>
    </row>
    <row r="443" ht="14.25" customHeight="1">
      <c r="A443" s="52"/>
      <c r="B443" s="53"/>
      <c r="C443" s="53"/>
      <c r="D443" s="53"/>
      <c r="E443" s="1"/>
      <c r="F443" s="1"/>
    </row>
    <row r="444" ht="14.25" customHeight="1">
      <c r="A444" s="52"/>
      <c r="B444" s="53"/>
      <c r="C444" s="53"/>
      <c r="D444" s="53"/>
      <c r="E444" s="1"/>
      <c r="F444" s="1"/>
    </row>
    <row r="445" ht="14.25" customHeight="1">
      <c r="A445" s="52"/>
      <c r="B445" s="53"/>
      <c r="C445" s="53"/>
      <c r="D445" s="53"/>
      <c r="E445" s="1"/>
      <c r="F445" s="1"/>
    </row>
    <row r="446" ht="14.25" customHeight="1">
      <c r="A446" s="52"/>
      <c r="B446" s="53"/>
      <c r="C446" s="53"/>
      <c r="D446" s="53"/>
      <c r="E446" s="1"/>
      <c r="F446" s="1"/>
    </row>
    <row r="447" ht="14.25" customHeight="1">
      <c r="A447" s="52"/>
      <c r="B447" s="53"/>
      <c r="C447" s="53"/>
      <c r="D447" s="53"/>
      <c r="E447" s="1"/>
      <c r="F447" s="1"/>
    </row>
    <row r="448" ht="14.25" customHeight="1">
      <c r="A448" s="52"/>
      <c r="B448" s="53"/>
      <c r="C448" s="53"/>
      <c r="D448" s="53"/>
      <c r="E448" s="1"/>
      <c r="F448" s="1"/>
    </row>
    <row r="449" ht="14.25" customHeight="1">
      <c r="A449" s="52"/>
      <c r="B449" s="53"/>
      <c r="C449" s="53"/>
      <c r="D449" s="53"/>
      <c r="E449" s="1"/>
      <c r="F449" s="1"/>
    </row>
    <row r="450" ht="14.25" customHeight="1">
      <c r="A450" s="52"/>
      <c r="B450" s="53"/>
      <c r="C450" s="53"/>
      <c r="D450" s="53"/>
      <c r="E450" s="1"/>
      <c r="F450" s="1"/>
    </row>
    <row r="451" ht="14.25" customHeight="1">
      <c r="A451" s="52"/>
      <c r="B451" s="53"/>
      <c r="C451" s="53"/>
      <c r="D451" s="53"/>
      <c r="E451" s="1"/>
      <c r="F451" s="1"/>
    </row>
    <row r="452" ht="14.25" customHeight="1">
      <c r="A452" s="52"/>
      <c r="B452" s="53"/>
      <c r="C452" s="53"/>
      <c r="D452" s="53"/>
      <c r="E452" s="1"/>
      <c r="F452" s="1"/>
    </row>
    <row r="453" ht="14.25" customHeight="1">
      <c r="A453" s="52"/>
      <c r="B453" s="53"/>
      <c r="C453" s="53"/>
      <c r="D453" s="53"/>
      <c r="E453" s="1"/>
      <c r="F453" s="1"/>
    </row>
    <row r="454" ht="14.25" customHeight="1">
      <c r="A454" s="52"/>
      <c r="B454" s="53"/>
      <c r="C454" s="53"/>
      <c r="D454" s="53"/>
      <c r="E454" s="1"/>
      <c r="F454" s="1"/>
    </row>
    <row r="455" ht="14.25" customHeight="1">
      <c r="A455" s="52"/>
      <c r="B455" s="53"/>
      <c r="C455" s="53"/>
      <c r="D455" s="53"/>
      <c r="E455" s="1"/>
      <c r="F455" s="1"/>
    </row>
    <row r="456" ht="14.25" customHeight="1">
      <c r="A456" s="52"/>
      <c r="B456" s="53"/>
      <c r="C456" s="53"/>
      <c r="D456" s="53"/>
      <c r="E456" s="1"/>
      <c r="F456" s="1"/>
    </row>
    <row r="457" ht="14.25" customHeight="1">
      <c r="A457" s="52"/>
      <c r="B457" s="53"/>
      <c r="C457" s="53"/>
      <c r="D457" s="53"/>
      <c r="E457" s="1"/>
      <c r="F457" s="1"/>
    </row>
    <row r="458" ht="14.25" customHeight="1">
      <c r="A458" s="52"/>
      <c r="B458" s="53"/>
      <c r="C458" s="53"/>
      <c r="D458" s="53"/>
      <c r="E458" s="1"/>
      <c r="F458" s="1"/>
    </row>
    <row r="459" ht="14.25" customHeight="1">
      <c r="A459" s="52"/>
      <c r="B459" s="53"/>
      <c r="C459" s="53"/>
      <c r="D459" s="53"/>
      <c r="E459" s="1"/>
      <c r="F459" s="1"/>
    </row>
    <row r="460" ht="14.25" customHeight="1">
      <c r="A460" s="52"/>
      <c r="B460" s="53"/>
      <c r="C460" s="53"/>
      <c r="D460" s="53"/>
      <c r="E460" s="1"/>
      <c r="F460" s="1"/>
    </row>
    <row r="461" ht="14.25" customHeight="1">
      <c r="A461" s="52"/>
      <c r="B461" s="53"/>
      <c r="C461" s="53"/>
      <c r="D461" s="53"/>
      <c r="E461" s="1"/>
      <c r="F461" s="1"/>
    </row>
    <row r="462" ht="14.25" customHeight="1">
      <c r="A462" s="52"/>
      <c r="B462" s="53"/>
      <c r="C462" s="53"/>
      <c r="D462" s="53"/>
      <c r="E462" s="1"/>
      <c r="F462" s="1"/>
    </row>
    <row r="463" ht="14.25" customHeight="1">
      <c r="A463" s="52"/>
      <c r="B463" s="53"/>
      <c r="C463" s="53"/>
      <c r="D463" s="53"/>
      <c r="E463" s="1"/>
      <c r="F463" s="1"/>
    </row>
    <row r="464" ht="14.25" customHeight="1">
      <c r="A464" s="52"/>
      <c r="B464" s="53"/>
      <c r="C464" s="53"/>
      <c r="D464" s="53"/>
      <c r="E464" s="1"/>
      <c r="F464" s="1"/>
    </row>
    <row r="465" ht="14.25" customHeight="1">
      <c r="A465" s="52"/>
      <c r="B465" s="53"/>
      <c r="C465" s="53"/>
      <c r="D465" s="53"/>
      <c r="E465" s="1"/>
      <c r="F465" s="1"/>
    </row>
    <row r="466" ht="14.25" customHeight="1">
      <c r="A466" s="52"/>
      <c r="B466" s="53"/>
      <c r="C466" s="53"/>
      <c r="D466" s="53"/>
      <c r="E466" s="1"/>
      <c r="F466" s="1"/>
    </row>
    <row r="467" ht="14.25" customHeight="1">
      <c r="A467" s="52"/>
      <c r="B467" s="53"/>
      <c r="C467" s="53"/>
      <c r="D467" s="53"/>
      <c r="E467" s="1"/>
      <c r="F467" s="1"/>
    </row>
    <row r="468" ht="14.25" customHeight="1">
      <c r="A468" s="52"/>
      <c r="B468" s="53"/>
      <c r="C468" s="53"/>
      <c r="D468" s="53"/>
      <c r="E468" s="1"/>
      <c r="F468" s="1"/>
    </row>
    <row r="469" ht="14.25" customHeight="1">
      <c r="A469" s="52"/>
      <c r="B469" s="53"/>
      <c r="C469" s="53"/>
      <c r="D469" s="53"/>
      <c r="E469" s="1"/>
      <c r="F469" s="1"/>
    </row>
    <row r="470" ht="14.25" customHeight="1">
      <c r="A470" s="52"/>
      <c r="B470" s="53"/>
      <c r="C470" s="53"/>
      <c r="D470" s="53"/>
      <c r="E470" s="1"/>
      <c r="F470" s="1"/>
    </row>
    <row r="471" ht="14.25" customHeight="1">
      <c r="A471" s="52"/>
      <c r="B471" s="53"/>
      <c r="C471" s="53"/>
      <c r="D471" s="53"/>
      <c r="E471" s="1"/>
      <c r="F471" s="1"/>
    </row>
    <row r="472" ht="14.25" customHeight="1">
      <c r="A472" s="52"/>
      <c r="B472" s="53"/>
      <c r="C472" s="53"/>
      <c r="D472" s="53"/>
      <c r="E472" s="1"/>
      <c r="F472" s="1"/>
    </row>
    <row r="473" ht="14.25" customHeight="1">
      <c r="A473" s="52"/>
      <c r="B473" s="53"/>
      <c r="C473" s="53"/>
      <c r="D473" s="53"/>
      <c r="E473" s="1"/>
      <c r="F473" s="1"/>
    </row>
    <row r="474" ht="14.25" customHeight="1">
      <c r="A474" s="52"/>
      <c r="B474" s="53"/>
      <c r="C474" s="53"/>
      <c r="D474" s="53"/>
      <c r="E474" s="1"/>
      <c r="F474" s="1"/>
    </row>
    <row r="475" ht="14.25" customHeight="1">
      <c r="A475" s="52"/>
      <c r="B475" s="53"/>
      <c r="C475" s="53"/>
      <c r="D475" s="53"/>
      <c r="E475" s="1"/>
      <c r="F475" s="1"/>
    </row>
    <row r="476" ht="14.25" customHeight="1">
      <c r="A476" s="52"/>
      <c r="B476" s="53"/>
      <c r="C476" s="53"/>
      <c r="D476" s="53"/>
      <c r="E476" s="1"/>
      <c r="F476" s="1"/>
    </row>
    <row r="477" ht="14.25" customHeight="1">
      <c r="A477" s="52"/>
      <c r="B477" s="53"/>
      <c r="C477" s="53"/>
      <c r="D477" s="53"/>
      <c r="E477" s="1"/>
      <c r="F477" s="1"/>
    </row>
    <row r="478" ht="14.25" customHeight="1">
      <c r="A478" s="52"/>
      <c r="B478" s="53"/>
      <c r="C478" s="53"/>
      <c r="D478" s="53"/>
      <c r="E478" s="1"/>
      <c r="F478" s="1"/>
    </row>
    <row r="479" ht="14.25" customHeight="1">
      <c r="A479" s="52"/>
      <c r="B479" s="53"/>
      <c r="C479" s="53"/>
      <c r="D479" s="53"/>
      <c r="E479" s="1"/>
      <c r="F479" s="1"/>
    </row>
    <row r="480" ht="14.25" customHeight="1">
      <c r="A480" s="52"/>
      <c r="B480" s="53"/>
      <c r="C480" s="53"/>
      <c r="D480" s="53"/>
      <c r="E480" s="1"/>
      <c r="F480" s="1"/>
    </row>
    <row r="481" ht="14.25" customHeight="1">
      <c r="A481" s="52"/>
      <c r="B481" s="53"/>
      <c r="C481" s="53"/>
      <c r="D481" s="53"/>
      <c r="E481" s="1"/>
      <c r="F481" s="1"/>
    </row>
    <row r="482" ht="14.25" customHeight="1">
      <c r="A482" s="52"/>
      <c r="B482" s="53"/>
      <c r="C482" s="53"/>
      <c r="D482" s="53"/>
      <c r="E482" s="1"/>
      <c r="F482" s="1"/>
    </row>
    <row r="483" ht="14.25" customHeight="1">
      <c r="A483" s="52"/>
      <c r="B483" s="53"/>
      <c r="C483" s="53"/>
      <c r="D483" s="53"/>
      <c r="E483" s="1"/>
      <c r="F483" s="1"/>
    </row>
    <row r="484" ht="14.25" customHeight="1">
      <c r="A484" s="52"/>
      <c r="B484" s="53"/>
      <c r="C484" s="53"/>
      <c r="D484" s="53"/>
      <c r="E484" s="1"/>
      <c r="F484" s="1"/>
    </row>
    <row r="485" ht="14.25" customHeight="1">
      <c r="A485" s="52"/>
      <c r="B485" s="53"/>
      <c r="C485" s="53"/>
      <c r="D485" s="53"/>
      <c r="E485" s="1"/>
      <c r="F485" s="1"/>
    </row>
    <row r="486" ht="14.25" customHeight="1">
      <c r="A486" s="52"/>
      <c r="B486" s="53"/>
      <c r="C486" s="53"/>
      <c r="D486" s="53"/>
      <c r="E486" s="1"/>
      <c r="F486" s="1"/>
    </row>
    <row r="487" ht="14.25" customHeight="1">
      <c r="A487" s="52"/>
      <c r="B487" s="53"/>
      <c r="C487" s="53"/>
      <c r="D487" s="53"/>
      <c r="E487" s="1"/>
      <c r="F487" s="1"/>
    </row>
    <row r="488" ht="14.25" customHeight="1">
      <c r="A488" s="52"/>
      <c r="B488" s="53"/>
      <c r="C488" s="53"/>
      <c r="D488" s="53"/>
      <c r="E488" s="1"/>
      <c r="F488" s="1"/>
    </row>
    <row r="489" ht="14.25" customHeight="1">
      <c r="A489" s="52"/>
      <c r="B489" s="53"/>
      <c r="C489" s="53"/>
      <c r="D489" s="53"/>
      <c r="E489" s="1"/>
      <c r="F489" s="1"/>
    </row>
    <row r="490" ht="14.25" customHeight="1">
      <c r="A490" s="52"/>
      <c r="B490" s="53"/>
      <c r="C490" s="53"/>
      <c r="D490" s="53"/>
      <c r="E490" s="1"/>
      <c r="F490" s="1"/>
    </row>
    <row r="491" ht="14.25" customHeight="1">
      <c r="A491" s="52"/>
      <c r="B491" s="53"/>
      <c r="C491" s="53"/>
      <c r="D491" s="53"/>
      <c r="E491" s="1"/>
      <c r="F491" s="1"/>
    </row>
    <row r="492" ht="14.25" customHeight="1">
      <c r="A492" s="52"/>
      <c r="B492" s="53"/>
      <c r="C492" s="53"/>
      <c r="D492" s="53"/>
      <c r="E492" s="1"/>
      <c r="F492" s="1"/>
    </row>
    <row r="493" ht="14.25" customHeight="1">
      <c r="A493" s="52"/>
      <c r="B493" s="53"/>
      <c r="C493" s="53"/>
      <c r="D493" s="53"/>
      <c r="E493" s="1"/>
      <c r="F493" s="1"/>
    </row>
    <row r="494" ht="14.25" customHeight="1">
      <c r="A494" s="52"/>
      <c r="B494" s="53"/>
      <c r="C494" s="53"/>
      <c r="D494" s="53"/>
      <c r="E494" s="1"/>
      <c r="F494" s="1"/>
    </row>
    <row r="495" ht="14.25" customHeight="1">
      <c r="A495" s="52"/>
      <c r="B495" s="53"/>
      <c r="C495" s="53"/>
      <c r="D495" s="53"/>
      <c r="E495" s="1"/>
      <c r="F495" s="1"/>
    </row>
    <row r="496" ht="14.25" customHeight="1">
      <c r="A496" s="52"/>
      <c r="B496" s="53"/>
      <c r="C496" s="53"/>
      <c r="D496" s="53"/>
      <c r="E496" s="1"/>
      <c r="F496" s="1"/>
    </row>
    <row r="497" ht="14.25" customHeight="1">
      <c r="A497" s="52"/>
      <c r="B497" s="53"/>
      <c r="C497" s="53"/>
      <c r="D497" s="53"/>
      <c r="E497" s="1"/>
      <c r="F497" s="1"/>
    </row>
    <row r="498" ht="14.25" customHeight="1">
      <c r="A498" s="52"/>
      <c r="B498" s="53"/>
      <c r="C498" s="53"/>
      <c r="D498" s="53"/>
      <c r="E498" s="1"/>
      <c r="F498" s="1"/>
    </row>
    <row r="499" ht="14.25" customHeight="1">
      <c r="A499" s="52"/>
      <c r="B499" s="53"/>
      <c r="C499" s="53"/>
      <c r="D499" s="53"/>
      <c r="E499" s="1"/>
      <c r="F499" s="1"/>
    </row>
    <row r="500" ht="14.25" customHeight="1">
      <c r="A500" s="52"/>
      <c r="B500" s="53"/>
      <c r="C500" s="53"/>
      <c r="D500" s="53"/>
      <c r="E500" s="1"/>
      <c r="F500" s="1"/>
    </row>
    <row r="501" ht="14.25" customHeight="1">
      <c r="A501" s="52"/>
      <c r="B501" s="53"/>
      <c r="C501" s="53"/>
      <c r="D501" s="53"/>
      <c r="E501" s="1"/>
      <c r="F501" s="1"/>
    </row>
    <row r="502" ht="14.25" customHeight="1">
      <c r="A502" s="52"/>
      <c r="B502" s="53"/>
      <c r="C502" s="53"/>
      <c r="D502" s="53"/>
      <c r="E502" s="1"/>
      <c r="F502" s="1"/>
    </row>
    <row r="503" ht="14.25" customHeight="1">
      <c r="A503" s="52"/>
      <c r="B503" s="53"/>
      <c r="C503" s="53"/>
      <c r="D503" s="53"/>
      <c r="E503" s="1"/>
      <c r="F503" s="1"/>
    </row>
    <row r="504" ht="14.25" customHeight="1">
      <c r="A504" s="52"/>
      <c r="B504" s="53"/>
      <c r="C504" s="53"/>
      <c r="D504" s="53"/>
      <c r="E504" s="1"/>
      <c r="F504" s="1"/>
    </row>
    <row r="505" ht="14.25" customHeight="1">
      <c r="A505" s="52"/>
      <c r="B505" s="53"/>
      <c r="C505" s="53"/>
      <c r="D505" s="53"/>
      <c r="E505" s="1"/>
      <c r="F505" s="1"/>
    </row>
    <row r="506" ht="14.25" customHeight="1">
      <c r="A506" s="52"/>
      <c r="B506" s="53"/>
      <c r="C506" s="53"/>
      <c r="D506" s="53"/>
      <c r="E506" s="1"/>
      <c r="F506" s="1"/>
    </row>
    <row r="507" ht="14.25" customHeight="1">
      <c r="A507" s="52"/>
      <c r="B507" s="53"/>
      <c r="C507" s="53"/>
      <c r="D507" s="53"/>
      <c r="E507" s="1"/>
      <c r="F507" s="1"/>
    </row>
    <row r="508" ht="14.25" customHeight="1">
      <c r="A508" s="52"/>
      <c r="B508" s="53"/>
      <c r="C508" s="53"/>
      <c r="D508" s="53"/>
      <c r="E508" s="1"/>
      <c r="F508" s="1"/>
    </row>
    <row r="509" ht="14.25" customHeight="1">
      <c r="A509" s="52"/>
      <c r="B509" s="53"/>
      <c r="C509" s="53"/>
      <c r="D509" s="53"/>
      <c r="E509" s="1"/>
      <c r="F509" s="1"/>
    </row>
    <row r="510" ht="14.25" customHeight="1">
      <c r="A510" s="52"/>
      <c r="B510" s="53"/>
      <c r="C510" s="53"/>
      <c r="D510" s="53"/>
      <c r="E510" s="1"/>
      <c r="F510" s="1"/>
    </row>
    <row r="511" ht="14.25" customHeight="1">
      <c r="A511" s="52"/>
      <c r="B511" s="53"/>
      <c r="C511" s="53"/>
      <c r="D511" s="53"/>
      <c r="E511" s="1"/>
      <c r="F511" s="1"/>
    </row>
    <row r="512" ht="14.25" customHeight="1">
      <c r="A512" s="52"/>
      <c r="B512" s="53"/>
      <c r="C512" s="53"/>
      <c r="D512" s="53"/>
      <c r="E512" s="1"/>
      <c r="F512" s="1"/>
    </row>
    <row r="513" ht="14.25" customHeight="1">
      <c r="A513" s="52"/>
      <c r="B513" s="53"/>
      <c r="C513" s="53"/>
      <c r="D513" s="53"/>
      <c r="E513" s="1"/>
      <c r="F513" s="1"/>
    </row>
    <row r="514" ht="14.25" customHeight="1">
      <c r="A514" s="52"/>
      <c r="B514" s="53"/>
      <c r="C514" s="53"/>
      <c r="D514" s="53"/>
      <c r="E514" s="1"/>
      <c r="F514" s="1"/>
    </row>
    <row r="515" ht="14.25" customHeight="1">
      <c r="A515" s="52"/>
      <c r="B515" s="53"/>
      <c r="C515" s="53"/>
      <c r="D515" s="53"/>
      <c r="E515" s="1"/>
      <c r="F515" s="1"/>
    </row>
    <row r="516" ht="14.25" customHeight="1">
      <c r="A516" s="52"/>
      <c r="B516" s="53"/>
      <c r="C516" s="53"/>
      <c r="D516" s="53"/>
      <c r="E516" s="1"/>
      <c r="F516" s="1"/>
    </row>
    <row r="517" ht="14.25" customHeight="1">
      <c r="A517" s="52"/>
      <c r="B517" s="53"/>
      <c r="C517" s="53"/>
      <c r="D517" s="53"/>
      <c r="E517" s="1"/>
      <c r="F517" s="1"/>
    </row>
    <row r="518" ht="14.25" customHeight="1">
      <c r="A518" s="52"/>
      <c r="B518" s="53"/>
      <c r="C518" s="53"/>
      <c r="D518" s="53"/>
      <c r="E518" s="1"/>
      <c r="F518" s="1"/>
    </row>
    <row r="519" ht="14.25" customHeight="1">
      <c r="A519" s="52"/>
      <c r="B519" s="53"/>
      <c r="C519" s="53"/>
      <c r="D519" s="53"/>
      <c r="E519" s="1"/>
      <c r="F519" s="1"/>
    </row>
    <row r="520" ht="14.25" customHeight="1">
      <c r="A520" s="52"/>
      <c r="B520" s="53"/>
      <c r="C520" s="53"/>
      <c r="D520" s="53"/>
      <c r="E520" s="1"/>
      <c r="F520" s="1"/>
    </row>
    <row r="521" ht="14.25" customHeight="1">
      <c r="A521" s="52"/>
      <c r="B521" s="53"/>
      <c r="C521" s="53"/>
      <c r="D521" s="53"/>
      <c r="E521" s="1"/>
      <c r="F521" s="1"/>
    </row>
    <row r="522" ht="14.25" customHeight="1">
      <c r="A522" s="52"/>
      <c r="B522" s="53"/>
      <c r="C522" s="53"/>
      <c r="D522" s="53"/>
      <c r="E522" s="1"/>
      <c r="F522" s="1"/>
    </row>
    <row r="523" ht="14.25" customHeight="1">
      <c r="A523" s="52"/>
      <c r="B523" s="53"/>
      <c r="C523" s="53"/>
      <c r="D523" s="53"/>
      <c r="E523" s="1"/>
      <c r="F523" s="1"/>
    </row>
    <row r="524" ht="14.25" customHeight="1">
      <c r="A524" s="52"/>
      <c r="B524" s="53"/>
      <c r="C524" s="53"/>
      <c r="D524" s="53"/>
      <c r="E524" s="1"/>
      <c r="F524" s="1"/>
    </row>
    <row r="525" ht="14.25" customHeight="1">
      <c r="A525" s="52"/>
      <c r="B525" s="53"/>
      <c r="C525" s="53"/>
      <c r="D525" s="53"/>
      <c r="E525" s="1"/>
      <c r="F525" s="1"/>
    </row>
    <row r="526" ht="14.25" customHeight="1">
      <c r="A526" s="52"/>
      <c r="B526" s="53"/>
      <c r="C526" s="53"/>
      <c r="D526" s="53"/>
      <c r="E526" s="1"/>
      <c r="F526" s="1"/>
    </row>
    <row r="527" ht="14.25" customHeight="1">
      <c r="A527" s="52"/>
      <c r="B527" s="53"/>
      <c r="C527" s="53"/>
      <c r="D527" s="53"/>
      <c r="E527" s="1"/>
      <c r="F527" s="1"/>
    </row>
    <row r="528" ht="14.25" customHeight="1">
      <c r="A528" s="52"/>
      <c r="B528" s="53"/>
      <c r="C528" s="53"/>
      <c r="D528" s="53"/>
      <c r="E528" s="1"/>
      <c r="F528" s="1"/>
    </row>
    <row r="529" ht="14.25" customHeight="1">
      <c r="A529" s="52"/>
      <c r="B529" s="53"/>
      <c r="C529" s="53"/>
      <c r="D529" s="53"/>
      <c r="E529" s="1"/>
      <c r="F529" s="1"/>
    </row>
    <row r="530" ht="14.25" customHeight="1">
      <c r="A530" s="52"/>
      <c r="B530" s="53"/>
      <c r="C530" s="53"/>
      <c r="D530" s="53"/>
      <c r="E530" s="1"/>
      <c r="F530" s="1"/>
    </row>
    <row r="531" ht="14.25" customHeight="1">
      <c r="A531" s="52"/>
      <c r="B531" s="53"/>
      <c r="C531" s="53"/>
      <c r="D531" s="53"/>
      <c r="E531" s="1"/>
      <c r="F531" s="1"/>
    </row>
    <row r="532" ht="14.25" customHeight="1">
      <c r="A532" s="52"/>
      <c r="B532" s="53"/>
      <c r="C532" s="53"/>
      <c r="D532" s="53"/>
      <c r="E532" s="1"/>
      <c r="F532" s="1"/>
    </row>
    <row r="533" ht="14.25" customHeight="1">
      <c r="A533" s="52"/>
      <c r="B533" s="53"/>
      <c r="C533" s="53"/>
      <c r="D533" s="53"/>
      <c r="E533" s="1"/>
      <c r="F533" s="1"/>
    </row>
    <row r="534" ht="14.25" customHeight="1">
      <c r="A534" s="52"/>
      <c r="B534" s="53"/>
      <c r="C534" s="53"/>
      <c r="D534" s="53"/>
      <c r="E534" s="1"/>
      <c r="F534" s="1"/>
    </row>
    <row r="535" ht="14.25" customHeight="1">
      <c r="A535" s="52"/>
      <c r="B535" s="53"/>
      <c r="C535" s="53"/>
      <c r="D535" s="53"/>
      <c r="E535" s="1"/>
      <c r="F535" s="1"/>
    </row>
    <row r="536" ht="14.25" customHeight="1">
      <c r="A536" s="52"/>
      <c r="B536" s="53"/>
      <c r="C536" s="53"/>
      <c r="D536" s="53"/>
      <c r="E536" s="1"/>
      <c r="F536" s="1"/>
    </row>
    <row r="537" ht="14.25" customHeight="1">
      <c r="A537" s="52"/>
      <c r="B537" s="53"/>
      <c r="C537" s="53"/>
      <c r="D537" s="53"/>
      <c r="E537" s="1"/>
      <c r="F537" s="1"/>
    </row>
    <row r="538" ht="14.25" customHeight="1">
      <c r="A538" s="52"/>
      <c r="B538" s="53"/>
      <c r="C538" s="53"/>
      <c r="D538" s="53"/>
      <c r="E538" s="1"/>
      <c r="F538" s="1"/>
    </row>
    <row r="539" ht="14.25" customHeight="1">
      <c r="A539" s="52"/>
      <c r="B539" s="53"/>
      <c r="C539" s="53"/>
      <c r="D539" s="53"/>
      <c r="E539" s="1"/>
      <c r="F539" s="1"/>
    </row>
    <row r="540" ht="14.25" customHeight="1">
      <c r="A540" s="52"/>
      <c r="B540" s="53"/>
      <c r="C540" s="53"/>
      <c r="D540" s="53"/>
      <c r="E540" s="1"/>
      <c r="F540" s="1"/>
    </row>
    <row r="541" ht="14.25" customHeight="1">
      <c r="A541" s="52"/>
      <c r="B541" s="53"/>
      <c r="C541" s="53"/>
      <c r="D541" s="53"/>
      <c r="E541" s="1"/>
      <c r="F541" s="1"/>
    </row>
    <row r="542" ht="14.25" customHeight="1">
      <c r="A542" s="52"/>
      <c r="B542" s="53"/>
      <c r="C542" s="53"/>
      <c r="D542" s="53"/>
      <c r="E542" s="1"/>
      <c r="F542" s="1"/>
    </row>
    <row r="543" ht="14.25" customHeight="1">
      <c r="A543" s="52"/>
      <c r="B543" s="53"/>
      <c r="C543" s="53"/>
      <c r="D543" s="53"/>
      <c r="E543" s="1"/>
      <c r="F543" s="1"/>
    </row>
    <row r="544" ht="14.25" customHeight="1">
      <c r="A544" s="52"/>
      <c r="B544" s="53"/>
      <c r="C544" s="53"/>
      <c r="D544" s="53"/>
      <c r="E544" s="1"/>
      <c r="F544" s="1"/>
    </row>
    <row r="545" ht="14.25" customHeight="1">
      <c r="A545" s="52"/>
      <c r="B545" s="53"/>
      <c r="C545" s="53"/>
      <c r="D545" s="53"/>
      <c r="E545" s="1"/>
      <c r="F545" s="1"/>
    </row>
    <row r="546" ht="14.25" customHeight="1">
      <c r="A546" s="52"/>
      <c r="B546" s="53"/>
      <c r="C546" s="53"/>
      <c r="D546" s="53"/>
      <c r="E546" s="1"/>
      <c r="F546" s="1"/>
    </row>
    <row r="547" ht="14.25" customHeight="1">
      <c r="A547" s="52"/>
      <c r="B547" s="53"/>
      <c r="C547" s="53"/>
      <c r="D547" s="53"/>
      <c r="E547" s="1"/>
      <c r="F547" s="1"/>
    </row>
    <row r="548" ht="14.25" customHeight="1">
      <c r="A548" s="52"/>
      <c r="B548" s="53"/>
      <c r="C548" s="53"/>
      <c r="D548" s="53"/>
      <c r="E548" s="1"/>
      <c r="F548" s="1"/>
    </row>
    <row r="549" ht="14.25" customHeight="1">
      <c r="A549" s="52"/>
      <c r="B549" s="53"/>
      <c r="C549" s="53"/>
      <c r="D549" s="53"/>
      <c r="E549" s="1"/>
      <c r="F549" s="1"/>
    </row>
    <row r="550" ht="14.25" customHeight="1">
      <c r="A550" s="52"/>
      <c r="B550" s="53"/>
      <c r="C550" s="53"/>
      <c r="D550" s="53"/>
      <c r="E550" s="1"/>
      <c r="F550" s="1"/>
    </row>
    <row r="551" ht="14.25" customHeight="1">
      <c r="A551" s="52"/>
      <c r="B551" s="53"/>
      <c r="C551" s="53"/>
      <c r="D551" s="53"/>
      <c r="E551" s="1"/>
      <c r="F551" s="1"/>
    </row>
    <row r="552" ht="14.25" customHeight="1">
      <c r="A552" s="52"/>
      <c r="B552" s="53"/>
      <c r="C552" s="53"/>
      <c r="D552" s="53"/>
      <c r="E552" s="1"/>
      <c r="F552" s="1"/>
    </row>
    <row r="553" ht="14.25" customHeight="1">
      <c r="A553" s="52"/>
      <c r="B553" s="53"/>
      <c r="C553" s="53"/>
      <c r="D553" s="53"/>
      <c r="E553" s="1"/>
      <c r="F553" s="1"/>
    </row>
    <row r="554" ht="14.25" customHeight="1">
      <c r="A554" s="52"/>
      <c r="B554" s="53"/>
      <c r="C554" s="53"/>
      <c r="D554" s="53"/>
      <c r="E554" s="1"/>
      <c r="F554" s="1"/>
    </row>
    <row r="555" ht="14.25" customHeight="1">
      <c r="A555" s="52"/>
      <c r="B555" s="53"/>
      <c r="C555" s="53"/>
      <c r="D555" s="53"/>
      <c r="E555" s="1"/>
      <c r="F555" s="1"/>
    </row>
    <row r="556" ht="14.25" customHeight="1">
      <c r="A556" s="52"/>
      <c r="B556" s="53"/>
      <c r="C556" s="53"/>
      <c r="D556" s="53"/>
      <c r="E556" s="1"/>
      <c r="F556" s="1"/>
    </row>
    <row r="557" ht="14.25" customHeight="1">
      <c r="A557" s="52"/>
      <c r="B557" s="53"/>
      <c r="C557" s="53"/>
      <c r="D557" s="53"/>
      <c r="E557" s="1"/>
      <c r="F557" s="1"/>
    </row>
    <row r="558" ht="14.25" customHeight="1">
      <c r="A558" s="52"/>
      <c r="B558" s="53"/>
      <c r="C558" s="53"/>
      <c r="D558" s="53"/>
      <c r="E558" s="1"/>
      <c r="F558" s="1"/>
    </row>
    <row r="559" ht="14.25" customHeight="1">
      <c r="A559" s="52"/>
      <c r="B559" s="53"/>
      <c r="C559" s="53"/>
      <c r="D559" s="53"/>
      <c r="E559" s="1"/>
      <c r="F559" s="1"/>
    </row>
    <row r="560" ht="14.25" customHeight="1">
      <c r="A560" s="52"/>
      <c r="B560" s="53"/>
      <c r="C560" s="53"/>
      <c r="D560" s="53"/>
      <c r="E560" s="1"/>
      <c r="F560" s="1"/>
    </row>
    <row r="561" ht="14.25" customHeight="1">
      <c r="A561" s="52"/>
      <c r="B561" s="53"/>
      <c r="C561" s="53"/>
      <c r="D561" s="53"/>
      <c r="E561" s="1"/>
      <c r="F561" s="1"/>
    </row>
    <row r="562" ht="14.25" customHeight="1">
      <c r="A562" s="52"/>
      <c r="B562" s="53"/>
      <c r="C562" s="53"/>
      <c r="D562" s="53"/>
      <c r="E562" s="1"/>
      <c r="F562" s="1"/>
    </row>
    <row r="563" ht="14.25" customHeight="1">
      <c r="A563" s="52"/>
      <c r="B563" s="53"/>
      <c r="C563" s="53"/>
      <c r="D563" s="53"/>
      <c r="E563" s="1"/>
      <c r="F563" s="1"/>
    </row>
    <row r="564" ht="14.25" customHeight="1">
      <c r="A564" s="52"/>
      <c r="B564" s="53"/>
      <c r="C564" s="53"/>
      <c r="D564" s="53"/>
      <c r="E564" s="1"/>
      <c r="F564" s="1"/>
    </row>
    <row r="565" ht="14.25" customHeight="1">
      <c r="A565" s="52"/>
      <c r="B565" s="53"/>
      <c r="C565" s="53"/>
      <c r="D565" s="53"/>
      <c r="E565" s="1"/>
      <c r="F565" s="1"/>
    </row>
    <row r="566" ht="14.25" customHeight="1">
      <c r="A566" s="52"/>
      <c r="B566" s="53"/>
      <c r="C566" s="53"/>
      <c r="D566" s="53"/>
      <c r="E566" s="1"/>
      <c r="F566" s="1"/>
    </row>
    <row r="567" ht="14.25" customHeight="1">
      <c r="A567" s="52"/>
      <c r="B567" s="53"/>
      <c r="C567" s="53"/>
      <c r="D567" s="53"/>
      <c r="E567" s="1"/>
      <c r="F567" s="1"/>
    </row>
    <row r="568" ht="14.25" customHeight="1">
      <c r="A568" s="52"/>
      <c r="B568" s="53"/>
      <c r="C568" s="53"/>
      <c r="D568" s="53"/>
      <c r="E568" s="1"/>
      <c r="F568" s="1"/>
    </row>
    <row r="569" ht="14.25" customHeight="1">
      <c r="A569" s="52"/>
      <c r="B569" s="53"/>
      <c r="C569" s="53"/>
      <c r="D569" s="53"/>
      <c r="E569" s="1"/>
      <c r="F569" s="1"/>
    </row>
    <row r="570" ht="14.25" customHeight="1">
      <c r="A570" s="52"/>
      <c r="B570" s="53"/>
      <c r="C570" s="53"/>
      <c r="D570" s="53"/>
      <c r="E570" s="1"/>
      <c r="F570" s="1"/>
    </row>
    <row r="571" ht="14.25" customHeight="1">
      <c r="A571" s="52"/>
      <c r="B571" s="53"/>
      <c r="C571" s="53"/>
      <c r="D571" s="53"/>
      <c r="E571" s="1"/>
      <c r="F571" s="1"/>
    </row>
    <row r="572" ht="14.25" customHeight="1">
      <c r="A572" s="52"/>
      <c r="B572" s="53"/>
      <c r="C572" s="53"/>
      <c r="D572" s="53"/>
      <c r="E572" s="1"/>
      <c r="F572" s="1"/>
    </row>
    <row r="573" ht="14.25" customHeight="1">
      <c r="A573" s="52"/>
      <c r="B573" s="53"/>
      <c r="C573" s="53"/>
      <c r="D573" s="53"/>
      <c r="E573" s="1"/>
      <c r="F573" s="1"/>
    </row>
    <row r="574" ht="14.25" customHeight="1">
      <c r="A574" s="52"/>
      <c r="B574" s="53"/>
      <c r="C574" s="53"/>
      <c r="D574" s="53"/>
      <c r="E574" s="1"/>
      <c r="F574" s="1"/>
    </row>
    <row r="575" ht="14.25" customHeight="1">
      <c r="A575" s="52"/>
      <c r="B575" s="53"/>
      <c r="C575" s="53"/>
      <c r="D575" s="53"/>
      <c r="E575" s="1"/>
      <c r="F575" s="1"/>
    </row>
    <row r="576" ht="14.25" customHeight="1">
      <c r="A576" s="52"/>
      <c r="B576" s="53"/>
      <c r="C576" s="53"/>
      <c r="D576" s="53"/>
      <c r="E576" s="1"/>
      <c r="F576" s="1"/>
    </row>
    <row r="577" ht="14.25" customHeight="1">
      <c r="A577" s="52"/>
      <c r="B577" s="53"/>
      <c r="C577" s="53"/>
      <c r="D577" s="53"/>
      <c r="E577" s="1"/>
      <c r="F577" s="1"/>
    </row>
    <row r="578" ht="14.25" customHeight="1">
      <c r="A578" s="52"/>
      <c r="B578" s="53"/>
      <c r="C578" s="53"/>
      <c r="D578" s="53"/>
      <c r="E578" s="1"/>
      <c r="F578" s="1"/>
    </row>
    <row r="579" ht="14.25" customHeight="1">
      <c r="A579" s="52"/>
      <c r="B579" s="53"/>
      <c r="C579" s="53"/>
      <c r="D579" s="53"/>
      <c r="E579" s="1"/>
      <c r="F579" s="1"/>
    </row>
    <row r="580" ht="14.25" customHeight="1">
      <c r="A580" s="52"/>
      <c r="B580" s="53"/>
      <c r="C580" s="53"/>
      <c r="D580" s="53"/>
      <c r="E580" s="1"/>
      <c r="F580" s="1"/>
    </row>
    <row r="581" ht="14.25" customHeight="1">
      <c r="A581" s="52"/>
      <c r="B581" s="53"/>
      <c r="C581" s="53"/>
      <c r="D581" s="53"/>
      <c r="E581" s="1"/>
      <c r="F581" s="1"/>
    </row>
    <row r="582" ht="14.25" customHeight="1">
      <c r="A582" s="52"/>
      <c r="B582" s="53"/>
      <c r="C582" s="53"/>
      <c r="D582" s="53"/>
      <c r="E582" s="1"/>
      <c r="F582" s="1"/>
    </row>
    <row r="583" ht="14.25" customHeight="1">
      <c r="A583" s="52"/>
      <c r="B583" s="53"/>
      <c r="C583" s="53"/>
      <c r="D583" s="53"/>
      <c r="E583" s="1"/>
      <c r="F583" s="1"/>
    </row>
    <row r="584" ht="14.25" customHeight="1">
      <c r="A584" s="52"/>
      <c r="B584" s="53"/>
      <c r="C584" s="53"/>
      <c r="D584" s="53"/>
      <c r="E584" s="1"/>
      <c r="F584" s="1"/>
    </row>
    <row r="585" ht="14.25" customHeight="1">
      <c r="A585" s="52"/>
      <c r="B585" s="53"/>
      <c r="C585" s="53"/>
      <c r="D585" s="53"/>
      <c r="E585" s="1"/>
      <c r="F585" s="1"/>
    </row>
    <row r="586" ht="14.25" customHeight="1">
      <c r="A586" s="52"/>
      <c r="B586" s="53"/>
      <c r="C586" s="53"/>
      <c r="D586" s="53"/>
      <c r="E586" s="1"/>
      <c r="F586" s="1"/>
    </row>
    <row r="587" ht="14.25" customHeight="1">
      <c r="A587" s="52"/>
      <c r="B587" s="53"/>
      <c r="C587" s="53"/>
      <c r="D587" s="53"/>
      <c r="E587" s="1"/>
      <c r="F587" s="1"/>
    </row>
    <row r="588" ht="14.25" customHeight="1">
      <c r="A588" s="52"/>
      <c r="B588" s="53"/>
      <c r="C588" s="53"/>
      <c r="D588" s="53"/>
      <c r="E588" s="1"/>
      <c r="F588" s="1"/>
    </row>
    <row r="589" ht="14.25" customHeight="1">
      <c r="A589" s="52"/>
      <c r="B589" s="53"/>
      <c r="C589" s="53"/>
      <c r="D589" s="53"/>
      <c r="E589" s="1"/>
      <c r="F589" s="1"/>
    </row>
    <row r="590" ht="14.25" customHeight="1">
      <c r="A590" s="52"/>
      <c r="B590" s="53"/>
      <c r="C590" s="53"/>
      <c r="D590" s="53"/>
      <c r="E590" s="1"/>
      <c r="F590" s="1"/>
    </row>
    <row r="591" ht="14.25" customHeight="1">
      <c r="A591" s="52"/>
      <c r="B591" s="53"/>
      <c r="C591" s="53"/>
      <c r="D591" s="53"/>
      <c r="E591" s="1"/>
      <c r="F591" s="1"/>
    </row>
    <row r="592" ht="14.25" customHeight="1">
      <c r="A592" s="52"/>
      <c r="B592" s="53"/>
      <c r="C592" s="53"/>
      <c r="D592" s="53"/>
      <c r="E592" s="1"/>
      <c r="F592" s="1"/>
    </row>
    <row r="593" ht="14.25" customHeight="1">
      <c r="A593" s="52"/>
      <c r="B593" s="53"/>
      <c r="C593" s="53"/>
      <c r="D593" s="53"/>
      <c r="E593" s="1"/>
      <c r="F593" s="1"/>
    </row>
    <row r="594" ht="14.25" customHeight="1">
      <c r="A594" s="52"/>
      <c r="B594" s="53"/>
      <c r="C594" s="53"/>
      <c r="D594" s="53"/>
      <c r="E594" s="1"/>
      <c r="F594" s="1"/>
    </row>
    <row r="595" ht="14.25" customHeight="1">
      <c r="A595" s="52"/>
      <c r="B595" s="53"/>
      <c r="C595" s="53"/>
      <c r="D595" s="53"/>
      <c r="E595" s="1"/>
      <c r="F595" s="1"/>
    </row>
    <row r="596" ht="14.25" customHeight="1">
      <c r="A596" s="52"/>
      <c r="B596" s="53"/>
      <c r="C596" s="53"/>
      <c r="D596" s="53"/>
      <c r="E596" s="1"/>
      <c r="F596" s="1"/>
    </row>
    <row r="597" ht="14.25" customHeight="1">
      <c r="A597" s="52"/>
      <c r="B597" s="53"/>
      <c r="C597" s="53"/>
      <c r="D597" s="53"/>
      <c r="E597" s="1"/>
      <c r="F597" s="1"/>
    </row>
    <row r="598" ht="14.25" customHeight="1">
      <c r="A598" s="52"/>
      <c r="B598" s="53"/>
      <c r="C598" s="53"/>
      <c r="D598" s="53"/>
      <c r="E598" s="1"/>
      <c r="F598" s="1"/>
    </row>
    <row r="599" ht="14.25" customHeight="1">
      <c r="A599" s="52"/>
      <c r="B599" s="53"/>
      <c r="C599" s="53"/>
      <c r="D599" s="53"/>
      <c r="E599" s="1"/>
      <c r="F599" s="1"/>
    </row>
    <row r="600" ht="14.25" customHeight="1">
      <c r="A600" s="52"/>
      <c r="B600" s="53"/>
      <c r="C600" s="53"/>
      <c r="D600" s="53"/>
      <c r="E600" s="1"/>
      <c r="F600" s="1"/>
    </row>
    <row r="601" ht="14.25" customHeight="1">
      <c r="A601" s="52"/>
      <c r="B601" s="53"/>
      <c r="C601" s="53"/>
      <c r="D601" s="53"/>
      <c r="E601" s="1"/>
      <c r="F601" s="1"/>
    </row>
    <row r="602" ht="14.25" customHeight="1">
      <c r="A602" s="52"/>
      <c r="B602" s="53"/>
      <c r="C602" s="53"/>
      <c r="D602" s="53"/>
      <c r="E602" s="1"/>
      <c r="F602" s="1"/>
    </row>
    <row r="603" ht="14.25" customHeight="1">
      <c r="A603" s="52"/>
      <c r="B603" s="53"/>
      <c r="C603" s="53"/>
      <c r="D603" s="53"/>
      <c r="E603" s="1"/>
      <c r="F603" s="1"/>
    </row>
    <row r="604" ht="14.25" customHeight="1">
      <c r="A604" s="52"/>
      <c r="B604" s="53"/>
      <c r="C604" s="53"/>
      <c r="D604" s="53"/>
      <c r="E604" s="1"/>
      <c r="F604" s="1"/>
    </row>
    <row r="605" ht="14.25" customHeight="1">
      <c r="A605" s="52"/>
      <c r="B605" s="53"/>
      <c r="C605" s="53"/>
      <c r="D605" s="53"/>
      <c r="E605" s="1"/>
      <c r="F605" s="1"/>
    </row>
    <row r="606" ht="14.25" customHeight="1">
      <c r="A606" s="52"/>
      <c r="B606" s="53"/>
      <c r="C606" s="53"/>
      <c r="D606" s="53"/>
      <c r="E606" s="1"/>
      <c r="F606" s="1"/>
    </row>
    <row r="607" ht="14.25" customHeight="1">
      <c r="A607" s="52"/>
      <c r="B607" s="53"/>
      <c r="C607" s="53"/>
      <c r="D607" s="53"/>
      <c r="E607" s="1"/>
      <c r="F607" s="1"/>
    </row>
    <row r="608" ht="14.25" customHeight="1">
      <c r="A608" s="52"/>
      <c r="B608" s="53"/>
      <c r="C608" s="53"/>
      <c r="D608" s="53"/>
      <c r="E608" s="1"/>
      <c r="F608" s="1"/>
    </row>
    <row r="609" ht="14.25" customHeight="1">
      <c r="A609" s="52"/>
      <c r="B609" s="53"/>
      <c r="C609" s="53"/>
      <c r="D609" s="53"/>
      <c r="E609" s="1"/>
      <c r="F609" s="1"/>
    </row>
    <row r="610" ht="14.25" customHeight="1">
      <c r="A610" s="52"/>
      <c r="B610" s="53"/>
      <c r="C610" s="53"/>
      <c r="D610" s="53"/>
      <c r="E610" s="1"/>
      <c r="F610" s="1"/>
    </row>
    <row r="611" ht="14.25" customHeight="1">
      <c r="A611" s="52"/>
      <c r="B611" s="53"/>
      <c r="C611" s="53"/>
      <c r="D611" s="53"/>
      <c r="E611" s="1"/>
      <c r="F611" s="1"/>
    </row>
    <row r="612" ht="14.25" customHeight="1">
      <c r="A612" s="52"/>
      <c r="B612" s="53"/>
      <c r="C612" s="53"/>
      <c r="D612" s="53"/>
      <c r="E612" s="1"/>
      <c r="F612" s="1"/>
    </row>
    <row r="613" ht="14.25" customHeight="1">
      <c r="A613" s="52"/>
      <c r="B613" s="53"/>
      <c r="C613" s="53"/>
      <c r="D613" s="53"/>
      <c r="E613" s="1"/>
      <c r="F613" s="1"/>
    </row>
    <row r="614" ht="14.25" customHeight="1">
      <c r="A614" s="52"/>
      <c r="B614" s="53"/>
      <c r="C614" s="53"/>
      <c r="D614" s="53"/>
      <c r="E614" s="1"/>
      <c r="F614" s="1"/>
    </row>
    <row r="615" ht="14.25" customHeight="1">
      <c r="A615" s="52"/>
      <c r="B615" s="53"/>
      <c r="C615" s="53"/>
      <c r="D615" s="53"/>
      <c r="E615" s="1"/>
      <c r="F615" s="1"/>
    </row>
    <row r="616" ht="14.25" customHeight="1">
      <c r="A616" s="52"/>
      <c r="B616" s="53"/>
      <c r="C616" s="53"/>
      <c r="D616" s="53"/>
      <c r="E616" s="1"/>
      <c r="F616" s="1"/>
    </row>
    <row r="617" ht="14.25" customHeight="1">
      <c r="A617" s="52"/>
      <c r="B617" s="53"/>
      <c r="C617" s="53"/>
      <c r="D617" s="53"/>
      <c r="E617" s="1"/>
      <c r="F617" s="1"/>
    </row>
    <row r="618" ht="14.25" customHeight="1">
      <c r="A618" s="52"/>
      <c r="B618" s="53"/>
      <c r="C618" s="53"/>
      <c r="D618" s="53"/>
      <c r="E618" s="1"/>
      <c r="F618" s="1"/>
    </row>
    <row r="619" ht="14.25" customHeight="1">
      <c r="A619" s="52"/>
      <c r="B619" s="53"/>
      <c r="C619" s="53"/>
      <c r="D619" s="53"/>
      <c r="E619" s="1"/>
      <c r="F619" s="1"/>
    </row>
    <row r="620" ht="14.25" customHeight="1">
      <c r="A620" s="52"/>
      <c r="B620" s="53"/>
      <c r="C620" s="53"/>
      <c r="D620" s="53"/>
      <c r="E620" s="1"/>
      <c r="F620" s="1"/>
    </row>
    <row r="621" ht="14.25" customHeight="1">
      <c r="A621" s="52"/>
      <c r="B621" s="53"/>
      <c r="C621" s="53"/>
      <c r="D621" s="53"/>
      <c r="E621" s="1"/>
      <c r="F621" s="1"/>
    </row>
    <row r="622" ht="14.25" customHeight="1">
      <c r="A622" s="52"/>
      <c r="B622" s="53"/>
      <c r="C622" s="53"/>
      <c r="D622" s="53"/>
      <c r="E622" s="1"/>
      <c r="F622" s="1"/>
    </row>
    <row r="623" ht="14.25" customHeight="1">
      <c r="A623" s="52"/>
      <c r="B623" s="53"/>
      <c r="C623" s="53"/>
      <c r="D623" s="53"/>
      <c r="E623" s="1"/>
      <c r="F623" s="1"/>
    </row>
    <row r="624" ht="14.25" customHeight="1">
      <c r="A624" s="52"/>
      <c r="B624" s="53"/>
      <c r="C624" s="53"/>
      <c r="D624" s="53"/>
      <c r="E624" s="1"/>
      <c r="F624" s="1"/>
    </row>
    <row r="625" ht="14.25" customHeight="1">
      <c r="A625" s="52"/>
      <c r="B625" s="53"/>
      <c r="C625" s="53"/>
      <c r="D625" s="53"/>
      <c r="E625" s="1"/>
      <c r="F625" s="1"/>
    </row>
    <row r="626" ht="14.25" customHeight="1">
      <c r="A626" s="52"/>
      <c r="B626" s="53"/>
      <c r="C626" s="53"/>
      <c r="D626" s="53"/>
      <c r="E626" s="1"/>
      <c r="F626" s="1"/>
    </row>
    <row r="627" ht="14.25" customHeight="1">
      <c r="A627" s="52"/>
      <c r="B627" s="53"/>
      <c r="C627" s="53"/>
      <c r="D627" s="53"/>
      <c r="E627" s="1"/>
      <c r="F627" s="1"/>
    </row>
    <row r="628" ht="14.25" customHeight="1">
      <c r="A628" s="52"/>
      <c r="B628" s="53"/>
      <c r="C628" s="53"/>
      <c r="D628" s="53"/>
      <c r="E628" s="1"/>
      <c r="F628" s="1"/>
    </row>
    <row r="629" ht="14.25" customHeight="1">
      <c r="A629" s="52"/>
      <c r="B629" s="53"/>
      <c r="C629" s="53"/>
      <c r="D629" s="53"/>
      <c r="E629" s="1"/>
      <c r="F629" s="1"/>
    </row>
    <row r="630" ht="14.25" customHeight="1">
      <c r="A630" s="52"/>
      <c r="B630" s="53"/>
      <c r="C630" s="53"/>
      <c r="D630" s="53"/>
      <c r="E630" s="1"/>
      <c r="F630" s="1"/>
    </row>
    <row r="631" ht="14.25" customHeight="1">
      <c r="A631" s="52"/>
      <c r="B631" s="53"/>
      <c r="C631" s="53"/>
      <c r="D631" s="53"/>
      <c r="E631" s="1"/>
      <c r="F631" s="1"/>
    </row>
    <row r="632" ht="14.25" customHeight="1">
      <c r="A632" s="52"/>
      <c r="B632" s="53"/>
      <c r="C632" s="53"/>
      <c r="D632" s="53"/>
      <c r="E632" s="1"/>
      <c r="F632" s="1"/>
    </row>
    <row r="633" ht="14.25" customHeight="1">
      <c r="A633" s="52"/>
      <c r="B633" s="53"/>
      <c r="C633" s="53"/>
      <c r="D633" s="53"/>
      <c r="E633" s="1"/>
      <c r="F633" s="1"/>
    </row>
    <row r="634" ht="14.25" customHeight="1">
      <c r="A634" s="52"/>
      <c r="B634" s="53"/>
      <c r="C634" s="53"/>
      <c r="D634" s="53"/>
      <c r="E634" s="1"/>
      <c r="F634" s="1"/>
    </row>
    <row r="635" ht="14.25" customHeight="1">
      <c r="A635" s="52"/>
      <c r="B635" s="53"/>
      <c r="C635" s="53"/>
      <c r="D635" s="53"/>
      <c r="E635" s="1"/>
      <c r="F635" s="1"/>
    </row>
    <row r="636" ht="14.25" customHeight="1">
      <c r="A636" s="52"/>
      <c r="B636" s="53"/>
      <c r="C636" s="53"/>
      <c r="D636" s="53"/>
      <c r="E636" s="1"/>
      <c r="F636" s="1"/>
    </row>
    <row r="637" ht="14.25" customHeight="1">
      <c r="A637" s="52"/>
      <c r="B637" s="53"/>
      <c r="C637" s="53"/>
      <c r="D637" s="53"/>
      <c r="E637" s="1"/>
      <c r="F637" s="1"/>
    </row>
    <row r="638" ht="14.25" customHeight="1">
      <c r="A638" s="52"/>
      <c r="B638" s="53"/>
      <c r="C638" s="53"/>
      <c r="D638" s="53"/>
      <c r="E638" s="1"/>
      <c r="F638" s="1"/>
    </row>
    <row r="639" ht="14.25" customHeight="1">
      <c r="A639" s="52"/>
      <c r="B639" s="53"/>
      <c r="C639" s="53"/>
      <c r="D639" s="53"/>
      <c r="E639" s="1"/>
      <c r="F639" s="1"/>
    </row>
    <row r="640" ht="14.25" customHeight="1">
      <c r="A640" s="52"/>
      <c r="B640" s="53"/>
      <c r="C640" s="53"/>
      <c r="D640" s="53"/>
      <c r="E640" s="1"/>
      <c r="F640" s="1"/>
    </row>
    <row r="641" ht="14.25" customHeight="1">
      <c r="A641" s="52"/>
      <c r="B641" s="53"/>
      <c r="C641" s="53"/>
      <c r="D641" s="53"/>
      <c r="E641" s="1"/>
      <c r="F641" s="1"/>
    </row>
    <row r="642" ht="14.25" customHeight="1">
      <c r="A642" s="52"/>
      <c r="B642" s="53"/>
      <c r="C642" s="53"/>
      <c r="D642" s="53"/>
      <c r="E642" s="1"/>
      <c r="F642" s="1"/>
    </row>
    <row r="643" ht="14.25" customHeight="1">
      <c r="A643" s="52"/>
      <c r="B643" s="53"/>
      <c r="C643" s="53"/>
      <c r="D643" s="53"/>
      <c r="E643" s="1"/>
      <c r="F643" s="1"/>
    </row>
    <row r="644" ht="14.25" customHeight="1">
      <c r="A644" s="52"/>
      <c r="B644" s="53"/>
      <c r="C644" s="53"/>
      <c r="D644" s="53"/>
      <c r="E644" s="1"/>
      <c r="F644" s="1"/>
    </row>
    <row r="645" ht="14.25" customHeight="1">
      <c r="A645" s="52"/>
      <c r="B645" s="53"/>
      <c r="C645" s="53"/>
      <c r="D645" s="53"/>
      <c r="E645" s="1"/>
      <c r="F645" s="1"/>
    </row>
    <row r="646" ht="14.25" customHeight="1">
      <c r="A646" s="52"/>
      <c r="B646" s="53"/>
      <c r="C646" s="53"/>
      <c r="D646" s="53"/>
      <c r="E646" s="1"/>
      <c r="F646" s="1"/>
    </row>
    <row r="647" ht="14.25" customHeight="1">
      <c r="A647" s="52"/>
      <c r="B647" s="53"/>
      <c r="C647" s="53"/>
      <c r="D647" s="53"/>
      <c r="E647" s="1"/>
      <c r="F647" s="1"/>
    </row>
    <row r="648" ht="14.25" customHeight="1">
      <c r="A648" s="52"/>
      <c r="B648" s="53"/>
      <c r="C648" s="53"/>
      <c r="D648" s="53"/>
      <c r="E648" s="1"/>
      <c r="F648" s="1"/>
    </row>
    <row r="649" ht="14.25" customHeight="1">
      <c r="A649" s="52"/>
      <c r="B649" s="53"/>
      <c r="C649" s="53"/>
      <c r="D649" s="53"/>
      <c r="E649" s="1"/>
      <c r="F649" s="1"/>
    </row>
    <row r="650" ht="14.25" customHeight="1">
      <c r="A650" s="52"/>
      <c r="B650" s="53"/>
      <c r="C650" s="53"/>
      <c r="D650" s="53"/>
      <c r="E650" s="1"/>
      <c r="F650" s="1"/>
    </row>
    <row r="651" ht="14.25" customHeight="1">
      <c r="A651" s="52"/>
      <c r="B651" s="53"/>
      <c r="C651" s="53"/>
      <c r="D651" s="53"/>
      <c r="E651" s="1"/>
      <c r="F651" s="1"/>
    </row>
    <row r="652" ht="14.25" customHeight="1">
      <c r="A652" s="52"/>
      <c r="B652" s="53"/>
      <c r="C652" s="53"/>
      <c r="D652" s="53"/>
      <c r="E652" s="1"/>
      <c r="F652" s="1"/>
    </row>
    <row r="653" ht="14.25" customHeight="1">
      <c r="A653" s="52"/>
      <c r="B653" s="53"/>
      <c r="C653" s="53"/>
      <c r="D653" s="53"/>
      <c r="E653" s="1"/>
      <c r="F653" s="1"/>
    </row>
    <row r="654" ht="14.25" customHeight="1">
      <c r="A654" s="52"/>
      <c r="B654" s="53"/>
      <c r="C654" s="53"/>
      <c r="D654" s="53"/>
      <c r="E654" s="1"/>
      <c r="F654" s="1"/>
    </row>
    <row r="655" ht="14.25" customHeight="1">
      <c r="A655" s="52"/>
      <c r="B655" s="53"/>
      <c r="C655" s="53"/>
      <c r="D655" s="53"/>
      <c r="E655" s="1"/>
      <c r="F655" s="1"/>
    </row>
    <row r="656" ht="14.25" customHeight="1">
      <c r="A656" s="52"/>
      <c r="B656" s="53"/>
      <c r="C656" s="53"/>
      <c r="D656" s="53"/>
      <c r="E656" s="1"/>
      <c r="F656" s="1"/>
    </row>
    <row r="657" ht="14.25" customHeight="1">
      <c r="A657" s="52"/>
      <c r="B657" s="53"/>
      <c r="C657" s="53"/>
      <c r="D657" s="53"/>
      <c r="E657" s="1"/>
      <c r="F657" s="1"/>
    </row>
    <row r="658" ht="14.25" customHeight="1">
      <c r="A658" s="52"/>
      <c r="B658" s="53"/>
      <c r="C658" s="53"/>
      <c r="D658" s="53"/>
      <c r="E658" s="1"/>
      <c r="F658" s="1"/>
    </row>
    <row r="659" ht="14.25" customHeight="1">
      <c r="A659" s="52"/>
      <c r="B659" s="53"/>
      <c r="C659" s="53"/>
      <c r="D659" s="53"/>
      <c r="E659" s="1"/>
      <c r="F659" s="1"/>
    </row>
    <row r="660" ht="14.25" customHeight="1">
      <c r="A660" s="52"/>
      <c r="B660" s="53"/>
      <c r="C660" s="53"/>
      <c r="D660" s="53"/>
      <c r="E660" s="1"/>
      <c r="F660" s="1"/>
    </row>
    <row r="661" ht="14.25" customHeight="1">
      <c r="A661" s="52"/>
      <c r="B661" s="53"/>
      <c r="C661" s="53"/>
      <c r="D661" s="53"/>
      <c r="E661" s="1"/>
      <c r="F661" s="1"/>
    </row>
    <row r="662" ht="14.25" customHeight="1">
      <c r="A662" s="52"/>
      <c r="B662" s="53"/>
      <c r="C662" s="53"/>
      <c r="D662" s="53"/>
      <c r="E662" s="1"/>
      <c r="F662" s="1"/>
    </row>
    <row r="663" ht="14.25" customHeight="1">
      <c r="A663" s="52"/>
      <c r="B663" s="53"/>
      <c r="C663" s="53"/>
      <c r="D663" s="53"/>
      <c r="E663" s="1"/>
      <c r="F663" s="1"/>
    </row>
    <row r="664" ht="14.25" customHeight="1">
      <c r="A664" s="52"/>
      <c r="B664" s="53"/>
      <c r="C664" s="53"/>
      <c r="D664" s="53"/>
      <c r="E664" s="1"/>
      <c r="F664" s="1"/>
    </row>
    <row r="665" ht="14.25" customHeight="1">
      <c r="A665" s="52"/>
      <c r="B665" s="53"/>
      <c r="C665" s="53"/>
      <c r="D665" s="53"/>
      <c r="E665" s="1"/>
      <c r="F665" s="1"/>
    </row>
    <row r="666" ht="14.25" customHeight="1">
      <c r="A666" s="52"/>
      <c r="B666" s="53"/>
      <c r="C666" s="53"/>
      <c r="D666" s="53"/>
      <c r="E666" s="1"/>
      <c r="F666" s="1"/>
    </row>
    <row r="667" ht="14.25" customHeight="1">
      <c r="A667" s="52"/>
      <c r="B667" s="53"/>
      <c r="C667" s="53"/>
      <c r="D667" s="53"/>
      <c r="E667" s="1"/>
      <c r="F667" s="1"/>
    </row>
    <row r="668" ht="14.25" customHeight="1">
      <c r="A668" s="52"/>
      <c r="B668" s="53"/>
      <c r="C668" s="53"/>
      <c r="D668" s="53"/>
      <c r="E668" s="1"/>
      <c r="F668" s="1"/>
    </row>
    <row r="669" ht="14.25" customHeight="1">
      <c r="A669" s="52"/>
      <c r="B669" s="53"/>
      <c r="C669" s="53"/>
      <c r="D669" s="53"/>
      <c r="E669" s="1"/>
      <c r="F669" s="1"/>
    </row>
    <row r="670" ht="14.25" customHeight="1">
      <c r="A670" s="52"/>
      <c r="B670" s="53"/>
      <c r="C670" s="53"/>
      <c r="D670" s="53"/>
      <c r="E670" s="1"/>
      <c r="F670" s="1"/>
    </row>
    <row r="671" ht="14.25" customHeight="1">
      <c r="A671" s="52"/>
      <c r="B671" s="53"/>
      <c r="C671" s="53"/>
      <c r="D671" s="53"/>
      <c r="E671" s="1"/>
      <c r="F671" s="1"/>
    </row>
    <row r="672" ht="14.25" customHeight="1">
      <c r="A672" s="52"/>
      <c r="B672" s="53"/>
      <c r="C672" s="53"/>
      <c r="D672" s="53"/>
      <c r="E672" s="1"/>
      <c r="F672" s="1"/>
    </row>
    <row r="673" ht="14.25" customHeight="1">
      <c r="A673" s="52"/>
      <c r="B673" s="53"/>
      <c r="C673" s="53"/>
      <c r="D673" s="53"/>
      <c r="E673" s="1"/>
      <c r="F673" s="1"/>
    </row>
    <row r="674" ht="14.25" customHeight="1">
      <c r="A674" s="52"/>
      <c r="B674" s="53"/>
      <c r="C674" s="53"/>
      <c r="D674" s="53"/>
      <c r="E674" s="1"/>
      <c r="F674" s="1"/>
    </row>
    <row r="675" ht="14.25" customHeight="1">
      <c r="A675" s="52"/>
      <c r="B675" s="53"/>
      <c r="C675" s="53"/>
      <c r="D675" s="53"/>
      <c r="E675" s="1"/>
      <c r="F675" s="1"/>
    </row>
    <row r="676" ht="14.25" customHeight="1">
      <c r="A676" s="52"/>
      <c r="B676" s="53"/>
      <c r="C676" s="53"/>
      <c r="D676" s="53"/>
      <c r="E676" s="1"/>
      <c r="F676" s="1"/>
    </row>
    <row r="677" ht="14.25" customHeight="1">
      <c r="A677" s="52"/>
      <c r="B677" s="53"/>
      <c r="C677" s="53"/>
      <c r="D677" s="53"/>
      <c r="E677" s="1"/>
      <c r="F677" s="1"/>
    </row>
    <row r="678" ht="14.25" customHeight="1">
      <c r="A678" s="52"/>
      <c r="B678" s="53"/>
      <c r="C678" s="53"/>
      <c r="D678" s="53"/>
      <c r="E678" s="1"/>
      <c r="F678" s="1"/>
    </row>
    <row r="679" ht="14.25" customHeight="1">
      <c r="A679" s="52"/>
      <c r="B679" s="53"/>
      <c r="C679" s="53"/>
      <c r="D679" s="53"/>
      <c r="E679" s="1"/>
      <c r="F679" s="1"/>
    </row>
    <row r="680" ht="14.25" customHeight="1">
      <c r="A680" s="52"/>
      <c r="B680" s="53"/>
      <c r="C680" s="53"/>
      <c r="D680" s="53"/>
      <c r="E680" s="1"/>
      <c r="F680" s="1"/>
    </row>
    <row r="681" ht="14.25" customHeight="1">
      <c r="A681" s="52"/>
      <c r="B681" s="53"/>
      <c r="C681" s="53"/>
      <c r="D681" s="53"/>
      <c r="E681" s="1"/>
      <c r="F681" s="1"/>
    </row>
    <row r="682" ht="14.25" customHeight="1">
      <c r="A682" s="52"/>
      <c r="B682" s="53"/>
      <c r="C682" s="53"/>
      <c r="D682" s="53"/>
      <c r="E682" s="1"/>
      <c r="F682" s="1"/>
    </row>
    <row r="683" ht="14.25" customHeight="1">
      <c r="A683" s="52"/>
      <c r="B683" s="53"/>
      <c r="C683" s="53"/>
      <c r="D683" s="53"/>
      <c r="E683" s="1"/>
      <c r="F683" s="1"/>
    </row>
    <row r="684" ht="14.25" customHeight="1">
      <c r="A684" s="52"/>
      <c r="B684" s="53"/>
      <c r="C684" s="53"/>
      <c r="D684" s="53"/>
      <c r="E684" s="1"/>
      <c r="F684" s="1"/>
    </row>
    <row r="685" ht="14.25" customHeight="1">
      <c r="A685" s="52"/>
      <c r="B685" s="53"/>
      <c r="C685" s="53"/>
      <c r="D685" s="53"/>
      <c r="E685" s="1"/>
      <c r="F685" s="1"/>
    </row>
    <row r="686" ht="14.25" customHeight="1">
      <c r="A686" s="52"/>
      <c r="B686" s="53"/>
      <c r="C686" s="53"/>
      <c r="D686" s="53"/>
      <c r="E686" s="1"/>
      <c r="F686" s="1"/>
    </row>
    <row r="687" ht="14.25" customHeight="1">
      <c r="A687" s="52"/>
      <c r="B687" s="53"/>
      <c r="C687" s="53"/>
      <c r="D687" s="53"/>
      <c r="E687" s="1"/>
      <c r="F687" s="1"/>
    </row>
    <row r="688" ht="14.25" customHeight="1">
      <c r="A688" s="52"/>
      <c r="B688" s="53"/>
      <c r="C688" s="53"/>
      <c r="D688" s="53"/>
      <c r="E688" s="1"/>
      <c r="F688" s="1"/>
    </row>
    <row r="689" ht="14.25" customHeight="1">
      <c r="A689" s="52"/>
      <c r="B689" s="53"/>
      <c r="C689" s="53"/>
      <c r="D689" s="53"/>
      <c r="E689" s="1"/>
      <c r="F689" s="1"/>
    </row>
    <row r="690" ht="14.25" customHeight="1">
      <c r="A690" s="52"/>
      <c r="B690" s="53"/>
      <c r="C690" s="53"/>
      <c r="D690" s="53"/>
      <c r="E690" s="1"/>
      <c r="F690" s="1"/>
    </row>
    <row r="691" ht="14.25" customHeight="1">
      <c r="A691" s="52"/>
      <c r="B691" s="53"/>
      <c r="C691" s="53"/>
      <c r="D691" s="53"/>
      <c r="E691" s="1"/>
      <c r="F691" s="1"/>
    </row>
    <row r="692" ht="14.25" customHeight="1">
      <c r="A692" s="52"/>
      <c r="B692" s="53"/>
      <c r="C692" s="53"/>
      <c r="D692" s="53"/>
      <c r="E692" s="1"/>
      <c r="F692" s="1"/>
    </row>
    <row r="693" ht="14.25" customHeight="1">
      <c r="A693" s="52"/>
      <c r="B693" s="53"/>
      <c r="C693" s="53"/>
      <c r="D693" s="53"/>
      <c r="E693" s="1"/>
      <c r="F693" s="1"/>
    </row>
    <row r="694" ht="14.25" customHeight="1">
      <c r="A694" s="52"/>
      <c r="B694" s="53"/>
      <c r="C694" s="53"/>
      <c r="D694" s="53"/>
      <c r="E694" s="1"/>
      <c r="F694" s="1"/>
    </row>
    <row r="695" ht="14.25" customHeight="1">
      <c r="A695" s="52"/>
      <c r="B695" s="53"/>
      <c r="C695" s="53"/>
      <c r="D695" s="53"/>
      <c r="E695" s="1"/>
      <c r="F695" s="1"/>
    </row>
    <row r="696" ht="14.25" customHeight="1">
      <c r="A696" s="52"/>
      <c r="B696" s="53"/>
      <c r="C696" s="53"/>
      <c r="D696" s="53"/>
      <c r="E696" s="1"/>
      <c r="F696" s="1"/>
    </row>
    <row r="697" ht="14.25" customHeight="1">
      <c r="A697" s="52"/>
      <c r="B697" s="53"/>
      <c r="C697" s="53"/>
      <c r="D697" s="53"/>
      <c r="E697" s="1"/>
      <c r="F697" s="1"/>
    </row>
    <row r="698" ht="14.25" customHeight="1">
      <c r="A698" s="52"/>
      <c r="B698" s="53"/>
      <c r="C698" s="53"/>
      <c r="D698" s="53"/>
      <c r="E698" s="1"/>
      <c r="F698" s="1"/>
    </row>
    <row r="699" ht="14.25" customHeight="1">
      <c r="A699" s="52"/>
      <c r="B699" s="53"/>
      <c r="C699" s="53"/>
      <c r="D699" s="53"/>
      <c r="E699" s="1"/>
      <c r="F699" s="1"/>
    </row>
    <row r="700" ht="14.25" customHeight="1">
      <c r="A700" s="52"/>
      <c r="B700" s="53"/>
      <c r="C700" s="53"/>
      <c r="D700" s="53"/>
      <c r="E700" s="1"/>
      <c r="F700" s="1"/>
    </row>
    <row r="701" ht="14.25" customHeight="1">
      <c r="A701" s="52"/>
      <c r="B701" s="53"/>
      <c r="C701" s="53"/>
      <c r="D701" s="53"/>
      <c r="E701" s="1"/>
      <c r="F701" s="1"/>
    </row>
    <row r="702" ht="14.25" customHeight="1">
      <c r="A702" s="52"/>
      <c r="B702" s="53"/>
      <c r="C702" s="53"/>
      <c r="D702" s="53"/>
      <c r="E702" s="1"/>
      <c r="F702" s="1"/>
    </row>
    <row r="703" ht="14.25" customHeight="1">
      <c r="A703" s="52"/>
      <c r="B703" s="53"/>
      <c r="C703" s="53"/>
      <c r="D703" s="53"/>
      <c r="E703" s="1"/>
      <c r="F703" s="1"/>
    </row>
    <row r="704" ht="14.25" customHeight="1">
      <c r="A704" s="52"/>
      <c r="B704" s="53"/>
      <c r="C704" s="53"/>
      <c r="D704" s="53"/>
      <c r="E704" s="1"/>
      <c r="F704" s="1"/>
    </row>
    <row r="705" ht="14.25" customHeight="1">
      <c r="A705" s="52"/>
      <c r="B705" s="53"/>
      <c r="C705" s="53"/>
      <c r="D705" s="53"/>
      <c r="E705" s="1"/>
      <c r="F705" s="1"/>
    </row>
    <row r="706" ht="14.25" customHeight="1">
      <c r="A706" s="52"/>
      <c r="B706" s="53"/>
      <c r="C706" s="53"/>
      <c r="D706" s="53"/>
      <c r="E706" s="1"/>
      <c r="F706" s="1"/>
    </row>
    <row r="707" ht="14.25" customHeight="1">
      <c r="A707" s="52"/>
      <c r="B707" s="53"/>
      <c r="C707" s="53"/>
      <c r="D707" s="53"/>
      <c r="E707" s="1"/>
      <c r="F707" s="1"/>
    </row>
    <row r="708" ht="14.25" customHeight="1">
      <c r="A708" s="52"/>
      <c r="B708" s="53"/>
      <c r="C708" s="53"/>
      <c r="D708" s="53"/>
      <c r="E708" s="1"/>
      <c r="F708" s="1"/>
    </row>
    <row r="709" ht="14.25" customHeight="1">
      <c r="A709" s="52"/>
      <c r="B709" s="53"/>
      <c r="C709" s="53"/>
      <c r="D709" s="53"/>
      <c r="E709" s="1"/>
      <c r="F709" s="1"/>
    </row>
    <row r="710" ht="14.25" customHeight="1">
      <c r="A710" s="52"/>
      <c r="B710" s="53"/>
      <c r="C710" s="53"/>
      <c r="D710" s="53"/>
      <c r="E710" s="1"/>
      <c r="F710" s="1"/>
    </row>
    <row r="711" ht="14.25" customHeight="1">
      <c r="A711" s="52"/>
      <c r="B711" s="53"/>
      <c r="C711" s="53"/>
      <c r="D711" s="53"/>
      <c r="E711" s="1"/>
      <c r="F711" s="1"/>
    </row>
    <row r="712" ht="14.25" customHeight="1">
      <c r="A712" s="52"/>
      <c r="B712" s="53"/>
      <c r="C712" s="53"/>
      <c r="D712" s="53"/>
      <c r="E712" s="1"/>
      <c r="F712" s="1"/>
    </row>
    <row r="713" ht="14.25" customHeight="1">
      <c r="A713" s="52"/>
      <c r="B713" s="53"/>
      <c r="C713" s="53"/>
      <c r="D713" s="53"/>
      <c r="E713" s="1"/>
      <c r="F713" s="1"/>
    </row>
    <row r="714" ht="14.25" customHeight="1">
      <c r="A714" s="52"/>
      <c r="B714" s="53"/>
      <c r="C714" s="53"/>
      <c r="D714" s="53"/>
      <c r="E714" s="1"/>
      <c r="F714" s="1"/>
    </row>
    <row r="715" ht="14.25" customHeight="1">
      <c r="A715" s="52"/>
      <c r="B715" s="53"/>
      <c r="C715" s="53"/>
      <c r="D715" s="53"/>
      <c r="E715" s="1"/>
      <c r="F715" s="1"/>
    </row>
    <row r="716" ht="14.25" customHeight="1">
      <c r="A716" s="52"/>
      <c r="B716" s="53"/>
      <c r="C716" s="53"/>
      <c r="D716" s="53"/>
      <c r="E716" s="1"/>
      <c r="F716" s="1"/>
    </row>
    <row r="717" ht="14.25" customHeight="1">
      <c r="A717" s="52"/>
      <c r="B717" s="53"/>
      <c r="C717" s="53"/>
      <c r="D717" s="53"/>
      <c r="E717" s="1"/>
      <c r="F717" s="1"/>
    </row>
    <row r="718" ht="14.25" customHeight="1">
      <c r="A718" s="52"/>
      <c r="B718" s="53"/>
      <c r="C718" s="53"/>
      <c r="D718" s="53"/>
      <c r="E718" s="1"/>
      <c r="F718" s="1"/>
    </row>
    <row r="719" ht="14.25" customHeight="1">
      <c r="A719" s="52"/>
      <c r="B719" s="53"/>
      <c r="C719" s="53"/>
      <c r="D719" s="53"/>
      <c r="E719" s="1"/>
      <c r="F719" s="1"/>
    </row>
    <row r="720" ht="14.25" customHeight="1">
      <c r="A720" s="52"/>
      <c r="B720" s="53"/>
      <c r="C720" s="53"/>
      <c r="D720" s="53"/>
      <c r="E720" s="1"/>
      <c r="F720" s="1"/>
    </row>
    <row r="721" ht="14.25" customHeight="1">
      <c r="A721" s="52"/>
      <c r="B721" s="53"/>
      <c r="C721" s="53"/>
      <c r="D721" s="53"/>
      <c r="E721" s="1"/>
      <c r="F721" s="1"/>
    </row>
    <row r="722" ht="14.25" customHeight="1">
      <c r="A722" s="52"/>
      <c r="B722" s="53"/>
      <c r="C722" s="53"/>
      <c r="D722" s="53"/>
      <c r="E722" s="1"/>
      <c r="F722" s="1"/>
    </row>
    <row r="723" ht="14.25" customHeight="1">
      <c r="A723" s="52"/>
      <c r="B723" s="53"/>
      <c r="C723" s="53"/>
      <c r="D723" s="53"/>
      <c r="E723" s="1"/>
      <c r="F723" s="1"/>
    </row>
    <row r="724" ht="14.25" customHeight="1">
      <c r="A724" s="52"/>
      <c r="B724" s="53"/>
      <c r="C724" s="53"/>
      <c r="D724" s="53"/>
      <c r="E724" s="1"/>
      <c r="F724" s="1"/>
    </row>
    <row r="725" ht="14.25" customHeight="1">
      <c r="A725" s="52"/>
      <c r="B725" s="53"/>
      <c r="C725" s="53"/>
      <c r="D725" s="53"/>
      <c r="E725" s="1"/>
      <c r="F725" s="1"/>
    </row>
    <row r="726" ht="14.25" customHeight="1">
      <c r="A726" s="52"/>
      <c r="B726" s="53"/>
      <c r="C726" s="53"/>
      <c r="D726" s="53"/>
      <c r="E726" s="1"/>
      <c r="F726" s="1"/>
    </row>
    <row r="727" ht="14.25" customHeight="1">
      <c r="A727" s="52"/>
      <c r="B727" s="53"/>
      <c r="C727" s="53"/>
      <c r="D727" s="53"/>
      <c r="E727" s="1"/>
      <c r="F727" s="1"/>
    </row>
    <row r="728" ht="14.25" customHeight="1">
      <c r="A728" s="52"/>
      <c r="B728" s="53"/>
      <c r="C728" s="53"/>
      <c r="D728" s="53"/>
      <c r="E728" s="1"/>
      <c r="F728" s="1"/>
    </row>
    <row r="729" ht="14.25" customHeight="1">
      <c r="A729" s="52"/>
      <c r="B729" s="53"/>
      <c r="C729" s="53"/>
      <c r="D729" s="53"/>
      <c r="E729" s="1"/>
      <c r="F729" s="1"/>
    </row>
    <row r="730" ht="14.25" customHeight="1">
      <c r="A730" s="52"/>
      <c r="B730" s="53"/>
      <c r="C730" s="53"/>
      <c r="D730" s="53"/>
      <c r="E730" s="1"/>
      <c r="F730" s="1"/>
    </row>
    <row r="731" ht="14.25" customHeight="1">
      <c r="A731" s="52"/>
      <c r="B731" s="53"/>
      <c r="C731" s="53"/>
      <c r="D731" s="53"/>
      <c r="E731" s="1"/>
      <c r="F731" s="1"/>
    </row>
    <row r="732" ht="14.25" customHeight="1">
      <c r="A732" s="52"/>
      <c r="B732" s="53"/>
      <c r="C732" s="53"/>
      <c r="D732" s="53"/>
      <c r="E732" s="1"/>
      <c r="F732" s="1"/>
    </row>
    <row r="733" ht="14.25" customHeight="1">
      <c r="A733" s="52"/>
      <c r="B733" s="53"/>
      <c r="C733" s="53"/>
      <c r="D733" s="53"/>
      <c r="E733" s="1"/>
      <c r="F733" s="1"/>
    </row>
    <row r="734" ht="14.25" customHeight="1">
      <c r="A734" s="52"/>
      <c r="B734" s="53"/>
      <c r="C734" s="53"/>
      <c r="D734" s="53"/>
      <c r="E734" s="1"/>
      <c r="F734" s="1"/>
    </row>
    <row r="735" ht="14.25" customHeight="1">
      <c r="A735" s="52"/>
      <c r="B735" s="53"/>
      <c r="C735" s="53"/>
      <c r="D735" s="53"/>
      <c r="E735" s="1"/>
      <c r="F735" s="1"/>
    </row>
    <row r="736" ht="14.25" customHeight="1">
      <c r="A736" s="52"/>
      <c r="B736" s="53"/>
      <c r="C736" s="53"/>
      <c r="D736" s="53"/>
      <c r="E736" s="1"/>
      <c r="F736" s="1"/>
    </row>
    <row r="737" ht="14.25" customHeight="1">
      <c r="A737" s="52"/>
      <c r="B737" s="53"/>
      <c r="C737" s="53"/>
      <c r="D737" s="53"/>
      <c r="E737" s="1"/>
      <c r="F737" s="1"/>
    </row>
    <row r="738" ht="14.25" customHeight="1">
      <c r="A738" s="52"/>
      <c r="B738" s="53"/>
      <c r="C738" s="53"/>
      <c r="D738" s="53"/>
      <c r="E738" s="1"/>
      <c r="F738" s="1"/>
    </row>
    <row r="739" ht="14.25" customHeight="1">
      <c r="A739" s="52"/>
      <c r="B739" s="53"/>
      <c r="C739" s="53"/>
      <c r="D739" s="53"/>
      <c r="E739" s="1"/>
      <c r="F739" s="1"/>
    </row>
    <row r="740" ht="14.25" customHeight="1">
      <c r="A740" s="52"/>
      <c r="B740" s="53"/>
      <c r="C740" s="53"/>
      <c r="D740" s="53"/>
      <c r="E740" s="1"/>
      <c r="F740" s="1"/>
    </row>
    <row r="741" ht="14.25" customHeight="1">
      <c r="A741" s="52"/>
      <c r="B741" s="53"/>
      <c r="C741" s="53"/>
      <c r="D741" s="53"/>
      <c r="E741" s="1"/>
      <c r="F741" s="1"/>
    </row>
    <row r="742" ht="14.25" customHeight="1">
      <c r="A742" s="52"/>
      <c r="B742" s="53"/>
      <c r="C742" s="53"/>
      <c r="D742" s="53"/>
      <c r="E742" s="1"/>
      <c r="F742" s="1"/>
    </row>
    <row r="743" ht="14.25" customHeight="1">
      <c r="A743" s="52"/>
      <c r="B743" s="53"/>
      <c r="C743" s="53"/>
      <c r="D743" s="53"/>
      <c r="E743" s="1"/>
      <c r="F743" s="1"/>
    </row>
    <row r="744" ht="14.25" customHeight="1">
      <c r="A744" s="52"/>
      <c r="B744" s="53"/>
      <c r="C744" s="53"/>
      <c r="D744" s="53"/>
      <c r="E744" s="1"/>
      <c r="F744" s="1"/>
    </row>
    <row r="745" ht="14.25" customHeight="1">
      <c r="A745" s="52"/>
      <c r="B745" s="53"/>
      <c r="C745" s="53"/>
      <c r="D745" s="53"/>
      <c r="E745" s="1"/>
      <c r="F745" s="1"/>
    </row>
    <row r="746" ht="14.25" customHeight="1">
      <c r="A746" s="52"/>
      <c r="B746" s="53"/>
      <c r="C746" s="53"/>
      <c r="D746" s="53"/>
      <c r="E746" s="1"/>
      <c r="F746" s="1"/>
    </row>
    <row r="747" ht="14.25" customHeight="1">
      <c r="A747" s="52"/>
      <c r="B747" s="53"/>
      <c r="C747" s="53"/>
      <c r="D747" s="53"/>
      <c r="E747" s="1"/>
      <c r="F747" s="1"/>
    </row>
    <row r="748" ht="14.25" customHeight="1">
      <c r="A748" s="52"/>
      <c r="B748" s="53"/>
      <c r="C748" s="53"/>
      <c r="D748" s="53"/>
      <c r="E748" s="1"/>
      <c r="F748" s="1"/>
    </row>
    <row r="749" ht="14.25" customHeight="1">
      <c r="A749" s="52"/>
      <c r="B749" s="53"/>
      <c r="C749" s="53"/>
      <c r="D749" s="53"/>
      <c r="E749" s="1"/>
      <c r="F749" s="1"/>
    </row>
    <row r="750" ht="14.25" customHeight="1">
      <c r="A750" s="52"/>
      <c r="B750" s="53"/>
      <c r="C750" s="53"/>
      <c r="D750" s="53"/>
      <c r="E750" s="1"/>
      <c r="F750" s="1"/>
    </row>
    <row r="751" ht="14.25" customHeight="1">
      <c r="A751" s="52"/>
      <c r="B751" s="53"/>
      <c r="C751" s="53"/>
      <c r="D751" s="53"/>
      <c r="E751" s="1"/>
      <c r="F751" s="1"/>
    </row>
    <row r="752" ht="14.25" customHeight="1">
      <c r="A752" s="52"/>
      <c r="B752" s="53"/>
      <c r="C752" s="53"/>
      <c r="D752" s="53"/>
      <c r="E752" s="1"/>
      <c r="F752" s="1"/>
    </row>
    <row r="753" ht="14.25" customHeight="1">
      <c r="A753" s="52"/>
      <c r="B753" s="53"/>
      <c r="C753" s="53"/>
      <c r="D753" s="53"/>
      <c r="E753" s="1"/>
      <c r="F753" s="1"/>
    </row>
    <row r="754" ht="14.25" customHeight="1">
      <c r="A754" s="52"/>
      <c r="B754" s="53"/>
      <c r="C754" s="53"/>
      <c r="D754" s="53"/>
      <c r="E754" s="1"/>
      <c r="F754" s="1"/>
    </row>
    <row r="755" ht="14.25" customHeight="1">
      <c r="A755" s="52"/>
      <c r="B755" s="53"/>
      <c r="C755" s="53"/>
      <c r="D755" s="53"/>
      <c r="E755" s="1"/>
      <c r="F755" s="1"/>
    </row>
    <row r="756" ht="14.25" customHeight="1">
      <c r="A756" s="52"/>
      <c r="B756" s="53"/>
      <c r="C756" s="53"/>
      <c r="D756" s="53"/>
      <c r="E756" s="1"/>
      <c r="F756" s="1"/>
    </row>
    <row r="757" ht="14.25" customHeight="1">
      <c r="A757" s="52"/>
      <c r="B757" s="53"/>
      <c r="C757" s="53"/>
      <c r="D757" s="53"/>
      <c r="E757" s="1"/>
      <c r="F757" s="1"/>
    </row>
    <row r="758" ht="14.25" customHeight="1">
      <c r="A758" s="52"/>
      <c r="B758" s="53"/>
      <c r="C758" s="53"/>
      <c r="D758" s="53"/>
      <c r="E758" s="1"/>
      <c r="F758" s="1"/>
    </row>
    <row r="759" ht="14.25" customHeight="1">
      <c r="A759" s="52"/>
      <c r="B759" s="53"/>
      <c r="C759" s="53"/>
      <c r="D759" s="53"/>
      <c r="E759" s="1"/>
      <c r="F759" s="1"/>
    </row>
    <row r="760" ht="14.25" customHeight="1">
      <c r="A760" s="52"/>
      <c r="B760" s="53"/>
      <c r="C760" s="53"/>
      <c r="D760" s="53"/>
      <c r="E760" s="1"/>
      <c r="F760" s="1"/>
    </row>
    <row r="761" ht="14.25" customHeight="1">
      <c r="A761" s="52"/>
      <c r="B761" s="53"/>
      <c r="C761" s="53"/>
      <c r="D761" s="53"/>
      <c r="E761" s="1"/>
      <c r="F761" s="1"/>
    </row>
    <row r="762" ht="14.25" customHeight="1">
      <c r="A762" s="52"/>
      <c r="B762" s="53"/>
      <c r="C762" s="53"/>
      <c r="D762" s="53"/>
      <c r="E762" s="1"/>
      <c r="F762" s="1"/>
    </row>
    <row r="763" ht="14.25" customHeight="1">
      <c r="A763" s="52"/>
      <c r="B763" s="53"/>
      <c r="C763" s="53"/>
      <c r="D763" s="53"/>
      <c r="E763" s="1"/>
      <c r="F763" s="1"/>
    </row>
    <row r="764" ht="14.25" customHeight="1">
      <c r="A764" s="52"/>
      <c r="B764" s="53"/>
      <c r="C764" s="53"/>
      <c r="D764" s="53"/>
      <c r="E764" s="1"/>
      <c r="F764" s="1"/>
    </row>
    <row r="765" ht="14.25" customHeight="1">
      <c r="A765" s="52"/>
      <c r="B765" s="53"/>
      <c r="C765" s="53"/>
      <c r="D765" s="53"/>
      <c r="E765" s="1"/>
      <c r="F765" s="1"/>
    </row>
    <row r="766" ht="14.25" customHeight="1">
      <c r="A766" s="52"/>
      <c r="B766" s="53"/>
      <c r="C766" s="53"/>
      <c r="D766" s="53"/>
      <c r="E766" s="1"/>
      <c r="F766" s="1"/>
    </row>
    <row r="767" ht="14.25" customHeight="1">
      <c r="A767" s="52"/>
      <c r="B767" s="53"/>
      <c r="C767" s="53"/>
      <c r="D767" s="53"/>
      <c r="E767" s="1"/>
      <c r="F767" s="1"/>
    </row>
    <row r="768" ht="14.25" customHeight="1">
      <c r="A768" s="52"/>
      <c r="B768" s="53"/>
      <c r="C768" s="53"/>
      <c r="D768" s="53"/>
      <c r="E768" s="1"/>
      <c r="F768" s="1"/>
    </row>
    <row r="769" ht="14.25" customHeight="1">
      <c r="A769" s="52"/>
      <c r="B769" s="53"/>
      <c r="C769" s="53"/>
      <c r="D769" s="53"/>
      <c r="E769" s="1"/>
      <c r="F769" s="1"/>
    </row>
    <row r="770" ht="14.25" customHeight="1">
      <c r="A770" s="52"/>
      <c r="B770" s="53"/>
      <c r="C770" s="53"/>
      <c r="D770" s="53"/>
      <c r="E770" s="1"/>
      <c r="F770" s="1"/>
    </row>
    <row r="771" ht="14.25" customHeight="1">
      <c r="A771" s="52"/>
      <c r="B771" s="53"/>
      <c r="C771" s="53"/>
      <c r="D771" s="53"/>
      <c r="E771" s="1"/>
      <c r="F771" s="1"/>
    </row>
    <row r="772" ht="14.25" customHeight="1">
      <c r="A772" s="52"/>
      <c r="B772" s="53"/>
      <c r="C772" s="53"/>
      <c r="D772" s="53"/>
      <c r="E772" s="1"/>
      <c r="F772" s="1"/>
    </row>
    <row r="773" ht="14.25" customHeight="1">
      <c r="A773" s="52"/>
      <c r="B773" s="53"/>
      <c r="C773" s="53"/>
      <c r="D773" s="53"/>
      <c r="E773" s="1"/>
      <c r="F773" s="1"/>
    </row>
    <row r="774" ht="14.25" customHeight="1">
      <c r="A774" s="52"/>
      <c r="B774" s="53"/>
      <c r="C774" s="53"/>
      <c r="D774" s="53"/>
      <c r="E774" s="1"/>
      <c r="F774" s="1"/>
    </row>
    <row r="775" ht="14.25" customHeight="1">
      <c r="A775" s="52"/>
      <c r="B775" s="53"/>
      <c r="C775" s="53"/>
      <c r="D775" s="53"/>
      <c r="E775" s="1"/>
      <c r="F775" s="1"/>
    </row>
    <row r="776" ht="14.25" customHeight="1">
      <c r="A776" s="52"/>
      <c r="B776" s="53"/>
      <c r="C776" s="53"/>
      <c r="D776" s="53"/>
      <c r="E776" s="1"/>
      <c r="F776" s="1"/>
    </row>
    <row r="777" ht="14.25" customHeight="1">
      <c r="A777" s="52"/>
      <c r="B777" s="53"/>
      <c r="C777" s="53"/>
      <c r="D777" s="53"/>
      <c r="E777" s="1"/>
      <c r="F777" s="1"/>
    </row>
    <row r="778" ht="14.25" customHeight="1">
      <c r="A778" s="52"/>
      <c r="B778" s="53"/>
      <c r="C778" s="53"/>
      <c r="D778" s="53"/>
      <c r="E778" s="1"/>
      <c r="F778" s="1"/>
    </row>
    <row r="779" ht="14.25" customHeight="1">
      <c r="A779" s="52"/>
      <c r="B779" s="53"/>
      <c r="C779" s="53"/>
      <c r="D779" s="53"/>
      <c r="E779" s="1"/>
      <c r="F779" s="1"/>
    </row>
    <row r="780" ht="14.25" customHeight="1">
      <c r="A780" s="52"/>
      <c r="B780" s="53"/>
      <c r="C780" s="53"/>
      <c r="D780" s="53"/>
      <c r="E780" s="1"/>
      <c r="F780" s="1"/>
    </row>
    <row r="781" ht="14.25" customHeight="1">
      <c r="A781" s="52"/>
      <c r="B781" s="53"/>
      <c r="C781" s="53"/>
      <c r="D781" s="53"/>
      <c r="E781" s="1"/>
      <c r="F781" s="1"/>
    </row>
    <row r="782" ht="14.25" customHeight="1">
      <c r="A782" s="52"/>
      <c r="B782" s="53"/>
      <c r="C782" s="53"/>
      <c r="D782" s="53"/>
      <c r="E782" s="1"/>
      <c r="F782" s="1"/>
    </row>
    <row r="783" ht="14.25" customHeight="1">
      <c r="A783" s="52"/>
      <c r="B783" s="53"/>
      <c r="C783" s="53"/>
      <c r="D783" s="53"/>
      <c r="E783" s="1"/>
      <c r="F783" s="1"/>
    </row>
    <row r="784" ht="14.25" customHeight="1">
      <c r="A784" s="52"/>
      <c r="B784" s="53"/>
      <c r="C784" s="53"/>
      <c r="D784" s="53"/>
      <c r="E784" s="1"/>
      <c r="F784" s="1"/>
    </row>
    <row r="785" ht="14.25" customHeight="1">
      <c r="A785" s="52"/>
      <c r="B785" s="53"/>
      <c r="C785" s="53"/>
      <c r="D785" s="53"/>
      <c r="E785" s="1"/>
      <c r="F785" s="1"/>
    </row>
    <row r="786" ht="14.25" customHeight="1">
      <c r="A786" s="52"/>
      <c r="B786" s="53"/>
      <c r="C786" s="53"/>
      <c r="D786" s="53"/>
      <c r="E786" s="1"/>
      <c r="F786" s="1"/>
    </row>
    <row r="787" ht="14.25" customHeight="1">
      <c r="A787" s="52"/>
      <c r="B787" s="53"/>
      <c r="C787" s="53"/>
      <c r="D787" s="53"/>
      <c r="E787" s="1"/>
      <c r="F787" s="1"/>
    </row>
    <row r="788" ht="14.25" customHeight="1">
      <c r="A788" s="52"/>
      <c r="B788" s="53"/>
      <c r="C788" s="53"/>
      <c r="D788" s="53"/>
      <c r="E788" s="1"/>
      <c r="F788" s="1"/>
    </row>
    <row r="789" ht="14.25" customHeight="1">
      <c r="A789" s="52"/>
      <c r="B789" s="53"/>
      <c r="C789" s="53"/>
      <c r="D789" s="53"/>
      <c r="E789" s="1"/>
      <c r="F789" s="1"/>
    </row>
    <row r="790" ht="14.25" customHeight="1">
      <c r="A790" s="52"/>
      <c r="B790" s="53"/>
      <c r="C790" s="53"/>
      <c r="D790" s="53"/>
      <c r="E790" s="1"/>
      <c r="F790" s="1"/>
    </row>
    <row r="791" ht="14.25" customHeight="1">
      <c r="A791" s="52"/>
      <c r="B791" s="53"/>
      <c r="C791" s="53"/>
      <c r="D791" s="53"/>
      <c r="E791" s="1"/>
      <c r="F791" s="1"/>
    </row>
    <row r="792" ht="14.25" customHeight="1">
      <c r="A792" s="52"/>
      <c r="B792" s="53"/>
      <c r="C792" s="53"/>
      <c r="D792" s="53"/>
      <c r="E792" s="1"/>
      <c r="F792" s="1"/>
    </row>
    <row r="793" ht="14.25" customHeight="1">
      <c r="A793" s="52"/>
      <c r="B793" s="53"/>
      <c r="C793" s="53"/>
      <c r="D793" s="53"/>
      <c r="E793" s="1"/>
      <c r="F793" s="1"/>
    </row>
    <row r="794" ht="14.25" customHeight="1">
      <c r="A794" s="52"/>
      <c r="B794" s="53"/>
      <c r="C794" s="53"/>
      <c r="D794" s="53"/>
      <c r="E794" s="1"/>
      <c r="F794" s="1"/>
    </row>
    <row r="795" ht="14.25" customHeight="1">
      <c r="A795" s="52"/>
      <c r="B795" s="53"/>
      <c r="C795" s="53"/>
      <c r="D795" s="53"/>
      <c r="E795" s="1"/>
      <c r="F795" s="1"/>
    </row>
    <row r="796" ht="14.25" customHeight="1">
      <c r="A796" s="52"/>
      <c r="B796" s="53"/>
      <c r="C796" s="53"/>
      <c r="D796" s="53"/>
      <c r="E796" s="1"/>
      <c r="F796" s="1"/>
    </row>
    <row r="797" ht="14.25" customHeight="1">
      <c r="A797" s="52"/>
      <c r="B797" s="53"/>
      <c r="C797" s="53"/>
      <c r="D797" s="53"/>
      <c r="E797" s="1"/>
      <c r="F797" s="1"/>
    </row>
    <row r="798" ht="14.25" customHeight="1">
      <c r="A798" s="52"/>
      <c r="B798" s="53"/>
      <c r="C798" s="53"/>
      <c r="D798" s="53"/>
      <c r="E798" s="1"/>
      <c r="F798" s="1"/>
    </row>
    <row r="799" ht="14.25" customHeight="1">
      <c r="A799" s="52"/>
      <c r="B799" s="53"/>
      <c r="C799" s="53"/>
      <c r="D799" s="53"/>
      <c r="E799" s="1"/>
      <c r="F799" s="1"/>
    </row>
    <row r="800" ht="14.25" customHeight="1">
      <c r="A800" s="52"/>
      <c r="B800" s="53"/>
      <c r="C800" s="53"/>
      <c r="D800" s="53"/>
      <c r="E800" s="1"/>
      <c r="F800" s="1"/>
    </row>
    <row r="801" ht="14.25" customHeight="1">
      <c r="A801" s="52"/>
      <c r="B801" s="53"/>
      <c r="C801" s="53"/>
      <c r="D801" s="53"/>
      <c r="E801" s="1"/>
      <c r="F801" s="1"/>
    </row>
    <row r="802" ht="14.25" customHeight="1">
      <c r="A802" s="52"/>
      <c r="B802" s="53"/>
      <c r="C802" s="53"/>
      <c r="D802" s="53"/>
      <c r="E802" s="1"/>
      <c r="F802" s="1"/>
    </row>
    <row r="803" ht="14.25" customHeight="1">
      <c r="A803" s="52"/>
      <c r="B803" s="53"/>
      <c r="C803" s="53"/>
      <c r="D803" s="53"/>
      <c r="E803" s="1"/>
      <c r="F803" s="1"/>
    </row>
    <row r="804" ht="14.25" customHeight="1">
      <c r="A804" s="52"/>
      <c r="B804" s="53"/>
      <c r="C804" s="53"/>
      <c r="D804" s="53"/>
      <c r="E804" s="1"/>
      <c r="F804" s="1"/>
    </row>
    <row r="805" ht="14.25" customHeight="1">
      <c r="A805" s="52"/>
      <c r="B805" s="53"/>
      <c r="C805" s="53"/>
      <c r="D805" s="53"/>
      <c r="E805" s="1"/>
      <c r="F805" s="1"/>
    </row>
    <row r="806" ht="14.25" customHeight="1">
      <c r="A806" s="52"/>
      <c r="B806" s="53"/>
      <c r="C806" s="53"/>
      <c r="D806" s="53"/>
      <c r="E806" s="1"/>
      <c r="F806" s="1"/>
    </row>
    <row r="807" ht="14.25" customHeight="1">
      <c r="A807" s="52"/>
      <c r="B807" s="53"/>
      <c r="C807" s="53"/>
      <c r="D807" s="53"/>
      <c r="E807" s="1"/>
      <c r="F807" s="1"/>
    </row>
    <row r="808" ht="14.25" customHeight="1">
      <c r="A808" s="52"/>
      <c r="B808" s="53"/>
      <c r="C808" s="53"/>
      <c r="D808" s="53"/>
      <c r="E808" s="1"/>
      <c r="F808" s="1"/>
    </row>
    <row r="809" ht="14.25" customHeight="1">
      <c r="A809" s="52"/>
      <c r="B809" s="53"/>
      <c r="C809" s="53"/>
      <c r="D809" s="53"/>
      <c r="E809" s="1"/>
      <c r="F809" s="1"/>
    </row>
    <row r="810" ht="14.25" customHeight="1">
      <c r="A810" s="52"/>
      <c r="B810" s="53"/>
      <c r="C810" s="53"/>
      <c r="D810" s="53"/>
      <c r="E810" s="1"/>
      <c r="F810" s="1"/>
    </row>
    <row r="811" ht="14.25" customHeight="1">
      <c r="A811" s="52"/>
      <c r="B811" s="53"/>
      <c r="C811" s="53"/>
      <c r="D811" s="53"/>
      <c r="E811" s="1"/>
      <c r="F811" s="1"/>
    </row>
    <row r="812" ht="14.25" customHeight="1">
      <c r="A812" s="52"/>
      <c r="B812" s="53"/>
      <c r="C812" s="53"/>
      <c r="D812" s="53"/>
      <c r="E812" s="1"/>
      <c r="F812" s="1"/>
    </row>
    <row r="813" ht="14.25" customHeight="1">
      <c r="A813" s="52"/>
      <c r="B813" s="53"/>
      <c r="C813" s="53"/>
      <c r="D813" s="53"/>
      <c r="E813" s="1"/>
      <c r="F813" s="1"/>
    </row>
    <row r="814" ht="14.25" customHeight="1">
      <c r="A814" s="52"/>
      <c r="B814" s="53"/>
      <c r="C814" s="53"/>
      <c r="D814" s="53"/>
      <c r="E814" s="1"/>
      <c r="F814" s="1"/>
    </row>
    <row r="815" ht="14.25" customHeight="1">
      <c r="A815" s="52"/>
      <c r="B815" s="53"/>
      <c r="C815" s="53"/>
      <c r="D815" s="53"/>
      <c r="E815" s="1"/>
      <c r="F815" s="1"/>
    </row>
    <row r="816" ht="14.25" customHeight="1">
      <c r="A816" s="52"/>
      <c r="B816" s="53"/>
      <c r="C816" s="53"/>
      <c r="D816" s="53"/>
      <c r="E816" s="1"/>
      <c r="F816" s="1"/>
    </row>
    <row r="817" ht="14.25" customHeight="1">
      <c r="A817" s="52"/>
      <c r="B817" s="53"/>
      <c r="C817" s="53"/>
      <c r="D817" s="53"/>
      <c r="E817" s="1"/>
      <c r="F817" s="1"/>
    </row>
    <row r="818" ht="14.25" customHeight="1">
      <c r="A818" s="52"/>
      <c r="B818" s="53"/>
      <c r="C818" s="53"/>
      <c r="D818" s="53"/>
      <c r="E818" s="1"/>
      <c r="F818" s="1"/>
    </row>
    <row r="819" ht="14.25" customHeight="1">
      <c r="A819" s="52"/>
      <c r="B819" s="53"/>
      <c r="C819" s="53"/>
      <c r="D819" s="53"/>
      <c r="E819" s="1"/>
      <c r="F819" s="1"/>
    </row>
    <row r="820" ht="14.25" customHeight="1">
      <c r="A820" s="52"/>
      <c r="B820" s="53"/>
      <c r="C820" s="53"/>
      <c r="D820" s="53"/>
      <c r="E820" s="1"/>
      <c r="F820" s="1"/>
    </row>
    <row r="821" ht="14.25" customHeight="1">
      <c r="A821" s="52"/>
      <c r="B821" s="53"/>
      <c r="C821" s="53"/>
      <c r="D821" s="53"/>
      <c r="E821" s="1"/>
      <c r="F821" s="1"/>
    </row>
    <row r="822" ht="14.25" customHeight="1">
      <c r="A822" s="52"/>
      <c r="B822" s="53"/>
      <c r="C822" s="53"/>
      <c r="D822" s="53"/>
      <c r="E822" s="1"/>
      <c r="F822" s="1"/>
    </row>
    <row r="823" ht="14.25" customHeight="1">
      <c r="A823" s="52"/>
      <c r="B823" s="53"/>
      <c r="C823" s="53"/>
      <c r="D823" s="53"/>
      <c r="E823" s="1"/>
      <c r="F823" s="1"/>
    </row>
    <row r="824" ht="14.25" customHeight="1">
      <c r="A824" s="52"/>
      <c r="B824" s="53"/>
      <c r="C824" s="53"/>
      <c r="D824" s="53"/>
      <c r="E824" s="1"/>
      <c r="F824" s="1"/>
    </row>
    <row r="825" ht="14.25" customHeight="1">
      <c r="A825" s="52"/>
      <c r="B825" s="53"/>
      <c r="C825" s="53"/>
      <c r="D825" s="53"/>
      <c r="E825" s="1"/>
      <c r="F825" s="1"/>
    </row>
    <row r="826" ht="14.25" customHeight="1">
      <c r="A826" s="52"/>
      <c r="B826" s="53"/>
      <c r="C826" s="53"/>
      <c r="D826" s="53"/>
      <c r="E826" s="1"/>
      <c r="F826" s="1"/>
    </row>
    <row r="827" ht="14.25" customHeight="1">
      <c r="A827" s="52"/>
      <c r="B827" s="53"/>
      <c r="C827" s="53"/>
      <c r="D827" s="53"/>
      <c r="E827" s="1"/>
      <c r="F827" s="1"/>
    </row>
    <row r="828" ht="14.25" customHeight="1">
      <c r="A828" s="52"/>
      <c r="B828" s="53"/>
      <c r="C828" s="53"/>
      <c r="D828" s="53"/>
      <c r="E828" s="1"/>
      <c r="F828" s="1"/>
    </row>
    <row r="829" ht="14.25" customHeight="1">
      <c r="A829" s="52"/>
      <c r="B829" s="53"/>
      <c r="C829" s="53"/>
      <c r="D829" s="53"/>
      <c r="E829" s="1"/>
      <c r="F829" s="1"/>
    </row>
    <row r="830" ht="14.25" customHeight="1">
      <c r="A830" s="52"/>
      <c r="B830" s="53"/>
      <c r="C830" s="53"/>
      <c r="D830" s="53"/>
      <c r="E830" s="1"/>
      <c r="F830" s="1"/>
    </row>
    <row r="831" ht="14.25" customHeight="1">
      <c r="A831" s="52"/>
      <c r="B831" s="53"/>
      <c r="C831" s="53"/>
      <c r="D831" s="53"/>
      <c r="E831" s="1"/>
      <c r="F831" s="1"/>
    </row>
    <row r="832" ht="14.25" customHeight="1">
      <c r="A832" s="52"/>
      <c r="B832" s="53"/>
      <c r="C832" s="53"/>
      <c r="D832" s="53"/>
      <c r="E832" s="1"/>
      <c r="F832" s="1"/>
    </row>
    <row r="833" ht="14.25" customHeight="1">
      <c r="A833" s="52"/>
      <c r="B833" s="53"/>
      <c r="C833" s="53"/>
      <c r="D833" s="53"/>
      <c r="E833" s="1"/>
      <c r="F833" s="1"/>
    </row>
    <row r="834" ht="14.25" customHeight="1">
      <c r="A834" s="52"/>
      <c r="B834" s="53"/>
      <c r="C834" s="53"/>
      <c r="D834" s="53"/>
      <c r="E834" s="1"/>
      <c r="F834" s="1"/>
    </row>
    <row r="835" ht="14.25" customHeight="1">
      <c r="A835" s="52"/>
      <c r="B835" s="53"/>
      <c r="C835" s="53"/>
      <c r="D835" s="53"/>
      <c r="E835" s="1"/>
      <c r="F835" s="1"/>
    </row>
    <row r="836" ht="14.25" customHeight="1">
      <c r="A836" s="52"/>
      <c r="B836" s="53"/>
      <c r="C836" s="53"/>
      <c r="D836" s="53"/>
      <c r="E836" s="1"/>
      <c r="F836" s="1"/>
    </row>
    <row r="837" ht="14.25" customHeight="1">
      <c r="A837" s="52"/>
      <c r="B837" s="53"/>
      <c r="C837" s="53"/>
      <c r="D837" s="53"/>
      <c r="E837" s="1"/>
      <c r="F837" s="1"/>
    </row>
    <row r="838" ht="14.25" customHeight="1">
      <c r="A838" s="52"/>
      <c r="B838" s="53"/>
      <c r="C838" s="53"/>
      <c r="D838" s="53"/>
      <c r="E838" s="1"/>
      <c r="F838" s="1"/>
    </row>
    <row r="839" ht="14.25" customHeight="1">
      <c r="A839" s="52"/>
      <c r="B839" s="53"/>
      <c r="C839" s="53"/>
      <c r="D839" s="53"/>
      <c r="E839" s="1"/>
      <c r="F839" s="1"/>
    </row>
    <row r="840" ht="14.25" customHeight="1">
      <c r="A840" s="52"/>
      <c r="B840" s="53"/>
      <c r="C840" s="53"/>
      <c r="D840" s="53"/>
      <c r="E840" s="1"/>
      <c r="F840" s="1"/>
    </row>
    <row r="841" ht="14.25" customHeight="1">
      <c r="A841" s="52"/>
      <c r="B841" s="53"/>
      <c r="C841" s="53"/>
      <c r="D841" s="53"/>
      <c r="E841" s="1"/>
      <c r="F841" s="1"/>
    </row>
    <row r="842" ht="14.25" customHeight="1">
      <c r="A842" s="52"/>
      <c r="B842" s="53"/>
      <c r="C842" s="53"/>
      <c r="D842" s="53"/>
      <c r="E842" s="1"/>
      <c r="F842" s="1"/>
    </row>
    <row r="843" ht="14.25" customHeight="1">
      <c r="A843" s="52"/>
      <c r="B843" s="53"/>
      <c r="C843" s="53"/>
      <c r="D843" s="53"/>
      <c r="E843" s="1"/>
      <c r="F843" s="1"/>
    </row>
    <row r="844" ht="14.25" customHeight="1">
      <c r="A844" s="52"/>
      <c r="B844" s="53"/>
      <c r="C844" s="53"/>
      <c r="D844" s="53"/>
      <c r="E844" s="1"/>
      <c r="F844" s="1"/>
    </row>
    <row r="845" ht="14.25" customHeight="1">
      <c r="A845" s="52"/>
      <c r="B845" s="53"/>
      <c r="C845" s="53"/>
      <c r="D845" s="53"/>
      <c r="E845" s="1"/>
      <c r="F845" s="1"/>
    </row>
    <row r="846" ht="14.25" customHeight="1">
      <c r="A846" s="52"/>
      <c r="B846" s="53"/>
      <c r="C846" s="53"/>
      <c r="D846" s="53"/>
      <c r="E846" s="1"/>
      <c r="F846" s="1"/>
    </row>
    <row r="847" ht="14.25" customHeight="1">
      <c r="A847" s="52"/>
      <c r="B847" s="53"/>
      <c r="C847" s="53"/>
      <c r="D847" s="53"/>
      <c r="E847" s="1"/>
      <c r="F847" s="1"/>
    </row>
    <row r="848" ht="14.25" customHeight="1">
      <c r="A848" s="52"/>
      <c r="B848" s="53"/>
      <c r="C848" s="53"/>
      <c r="D848" s="53"/>
      <c r="E848" s="1"/>
      <c r="F848" s="1"/>
    </row>
    <row r="849" ht="14.25" customHeight="1">
      <c r="A849" s="52"/>
      <c r="B849" s="53"/>
      <c r="C849" s="53"/>
      <c r="D849" s="53"/>
      <c r="E849" s="1"/>
      <c r="F849" s="1"/>
    </row>
    <row r="850" ht="14.25" customHeight="1">
      <c r="A850" s="52"/>
      <c r="B850" s="53"/>
      <c r="C850" s="53"/>
      <c r="D850" s="53"/>
      <c r="E850" s="1"/>
      <c r="F850" s="1"/>
    </row>
    <row r="851" ht="14.25" customHeight="1">
      <c r="A851" s="52"/>
      <c r="B851" s="53"/>
      <c r="C851" s="53"/>
      <c r="D851" s="53"/>
      <c r="E851" s="1"/>
      <c r="F851" s="1"/>
    </row>
    <row r="852" ht="14.25" customHeight="1">
      <c r="A852" s="52"/>
      <c r="B852" s="53"/>
      <c r="C852" s="53"/>
      <c r="D852" s="53"/>
      <c r="E852" s="1"/>
      <c r="F852" s="1"/>
    </row>
    <row r="853" ht="14.25" customHeight="1">
      <c r="A853" s="52"/>
      <c r="B853" s="53"/>
      <c r="C853" s="53"/>
      <c r="D853" s="53"/>
      <c r="E853" s="1"/>
      <c r="F853" s="1"/>
    </row>
    <row r="854" ht="14.25" customHeight="1">
      <c r="A854" s="52"/>
      <c r="B854" s="53"/>
      <c r="C854" s="53"/>
      <c r="D854" s="53"/>
      <c r="E854" s="1"/>
      <c r="F854" s="1"/>
    </row>
    <row r="855" ht="14.25" customHeight="1">
      <c r="A855" s="52"/>
      <c r="B855" s="53"/>
      <c r="C855" s="53"/>
      <c r="D855" s="53"/>
      <c r="E855" s="1"/>
      <c r="F855" s="1"/>
    </row>
    <row r="856" ht="14.25" customHeight="1">
      <c r="A856" s="52"/>
      <c r="B856" s="53"/>
      <c r="C856" s="53"/>
      <c r="D856" s="53"/>
      <c r="E856" s="1"/>
      <c r="F856" s="1"/>
    </row>
    <row r="857" ht="14.25" customHeight="1">
      <c r="A857" s="52"/>
      <c r="B857" s="53"/>
      <c r="C857" s="53"/>
      <c r="D857" s="53"/>
      <c r="E857" s="1"/>
      <c r="F857" s="1"/>
    </row>
    <row r="858" ht="14.25" customHeight="1">
      <c r="A858" s="52"/>
      <c r="B858" s="53"/>
      <c r="C858" s="53"/>
      <c r="D858" s="53"/>
      <c r="E858" s="1"/>
      <c r="F858" s="1"/>
    </row>
    <row r="859" ht="14.25" customHeight="1">
      <c r="A859" s="52"/>
      <c r="B859" s="53"/>
      <c r="C859" s="53"/>
      <c r="D859" s="53"/>
      <c r="E859" s="1"/>
      <c r="F859" s="1"/>
    </row>
    <row r="860" ht="14.25" customHeight="1">
      <c r="A860" s="52"/>
      <c r="B860" s="53"/>
      <c r="C860" s="53"/>
      <c r="D860" s="53"/>
      <c r="E860" s="1"/>
      <c r="F860" s="1"/>
    </row>
    <row r="861" ht="14.25" customHeight="1">
      <c r="A861" s="52"/>
      <c r="B861" s="53"/>
      <c r="C861" s="53"/>
      <c r="D861" s="53"/>
      <c r="E861" s="1"/>
      <c r="F861" s="1"/>
    </row>
    <row r="862" ht="14.25" customHeight="1">
      <c r="A862" s="52"/>
      <c r="B862" s="53"/>
      <c r="C862" s="53"/>
      <c r="D862" s="53"/>
      <c r="E862" s="1"/>
      <c r="F862" s="1"/>
    </row>
    <row r="863" ht="14.25" customHeight="1">
      <c r="A863" s="52"/>
      <c r="B863" s="53"/>
      <c r="C863" s="53"/>
      <c r="D863" s="53"/>
      <c r="E863" s="1"/>
      <c r="F863" s="1"/>
    </row>
    <row r="864" ht="14.25" customHeight="1">
      <c r="A864" s="52"/>
      <c r="B864" s="53"/>
      <c r="C864" s="53"/>
      <c r="D864" s="53"/>
      <c r="E864" s="1"/>
      <c r="F864" s="1"/>
    </row>
    <row r="865" ht="14.25" customHeight="1">
      <c r="A865" s="52"/>
      <c r="B865" s="53"/>
      <c r="C865" s="53"/>
      <c r="D865" s="53"/>
      <c r="E865" s="1"/>
      <c r="F865" s="1"/>
    </row>
    <row r="866" ht="14.25" customHeight="1">
      <c r="A866" s="52"/>
      <c r="B866" s="53"/>
      <c r="C866" s="53"/>
      <c r="D866" s="53"/>
      <c r="E866" s="1"/>
      <c r="F866" s="1"/>
    </row>
    <row r="867" ht="14.25" customHeight="1">
      <c r="A867" s="52"/>
      <c r="B867" s="53"/>
      <c r="C867" s="53"/>
      <c r="D867" s="53"/>
      <c r="E867" s="1"/>
      <c r="F867" s="1"/>
    </row>
    <row r="868" ht="14.25" customHeight="1">
      <c r="A868" s="52"/>
      <c r="B868" s="53"/>
      <c r="C868" s="53"/>
      <c r="D868" s="53"/>
      <c r="E868" s="1"/>
      <c r="F868" s="1"/>
    </row>
    <row r="869" ht="14.25" customHeight="1">
      <c r="A869" s="52"/>
      <c r="B869" s="53"/>
      <c r="C869" s="53"/>
      <c r="D869" s="53"/>
      <c r="E869" s="1"/>
      <c r="F869" s="1"/>
    </row>
    <row r="870" ht="14.25" customHeight="1">
      <c r="A870" s="52"/>
      <c r="B870" s="53"/>
      <c r="C870" s="53"/>
      <c r="D870" s="53"/>
      <c r="E870" s="1"/>
      <c r="F870" s="1"/>
    </row>
    <row r="871" ht="14.25" customHeight="1">
      <c r="A871" s="52"/>
      <c r="B871" s="53"/>
      <c r="C871" s="53"/>
      <c r="D871" s="53"/>
      <c r="E871" s="1"/>
      <c r="F871" s="1"/>
    </row>
    <row r="872" ht="14.25" customHeight="1">
      <c r="A872" s="52"/>
      <c r="B872" s="53"/>
      <c r="C872" s="53"/>
      <c r="D872" s="53"/>
      <c r="E872" s="1"/>
      <c r="F872" s="1"/>
    </row>
    <row r="873" ht="14.25" customHeight="1">
      <c r="A873" s="52"/>
      <c r="B873" s="53"/>
      <c r="C873" s="53"/>
      <c r="D873" s="53"/>
      <c r="E873" s="1"/>
      <c r="F873" s="1"/>
    </row>
    <row r="874" ht="14.25" customHeight="1">
      <c r="A874" s="52"/>
      <c r="B874" s="53"/>
      <c r="C874" s="53"/>
      <c r="D874" s="53"/>
      <c r="E874" s="1"/>
      <c r="F874" s="1"/>
    </row>
    <row r="875" ht="14.25" customHeight="1">
      <c r="A875" s="52"/>
      <c r="B875" s="53"/>
      <c r="C875" s="53"/>
      <c r="D875" s="53"/>
      <c r="E875" s="1"/>
      <c r="F875" s="1"/>
    </row>
    <row r="876" ht="14.25" customHeight="1">
      <c r="A876" s="52"/>
      <c r="B876" s="53"/>
      <c r="C876" s="53"/>
      <c r="D876" s="53"/>
      <c r="E876" s="1"/>
      <c r="F876" s="1"/>
    </row>
    <row r="877" ht="14.25" customHeight="1">
      <c r="A877" s="52"/>
      <c r="B877" s="53"/>
      <c r="C877" s="53"/>
      <c r="D877" s="53"/>
      <c r="E877" s="1"/>
      <c r="F877" s="1"/>
    </row>
    <row r="878" ht="14.25" customHeight="1">
      <c r="A878" s="52"/>
      <c r="B878" s="53"/>
      <c r="C878" s="53"/>
      <c r="D878" s="53"/>
      <c r="E878" s="1"/>
      <c r="F878" s="1"/>
    </row>
    <row r="879" ht="14.25" customHeight="1">
      <c r="A879" s="52"/>
      <c r="B879" s="53"/>
      <c r="C879" s="53"/>
      <c r="D879" s="53"/>
      <c r="E879" s="1"/>
      <c r="F879" s="1"/>
    </row>
    <row r="880" ht="14.25" customHeight="1">
      <c r="A880" s="52"/>
      <c r="B880" s="53"/>
      <c r="C880" s="53"/>
      <c r="D880" s="53"/>
      <c r="E880" s="1"/>
      <c r="F880" s="1"/>
    </row>
    <row r="881" ht="14.25" customHeight="1">
      <c r="A881" s="52"/>
      <c r="B881" s="53"/>
      <c r="C881" s="53"/>
      <c r="D881" s="53"/>
      <c r="E881" s="1"/>
      <c r="F881" s="1"/>
    </row>
    <row r="882" ht="14.25" customHeight="1">
      <c r="A882" s="52"/>
      <c r="B882" s="53"/>
      <c r="C882" s="53"/>
      <c r="D882" s="53"/>
      <c r="E882" s="1"/>
      <c r="F882" s="1"/>
    </row>
    <row r="883" ht="14.25" customHeight="1">
      <c r="A883" s="52"/>
      <c r="B883" s="53"/>
      <c r="C883" s="53"/>
      <c r="D883" s="53"/>
      <c r="E883" s="1"/>
      <c r="F883" s="1"/>
    </row>
    <row r="884" ht="14.25" customHeight="1">
      <c r="A884" s="52"/>
      <c r="B884" s="53"/>
      <c r="C884" s="53"/>
      <c r="D884" s="53"/>
      <c r="E884" s="1"/>
      <c r="F884" s="1"/>
    </row>
    <row r="885" ht="14.25" customHeight="1">
      <c r="A885" s="52"/>
      <c r="B885" s="53"/>
      <c r="C885" s="53"/>
      <c r="D885" s="53"/>
      <c r="E885" s="1"/>
      <c r="F885" s="1"/>
    </row>
    <row r="886" ht="14.25" customHeight="1">
      <c r="A886" s="52"/>
      <c r="B886" s="53"/>
      <c r="C886" s="53"/>
      <c r="D886" s="53"/>
      <c r="E886" s="1"/>
      <c r="F886" s="1"/>
    </row>
    <row r="887" ht="14.25" customHeight="1">
      <c r="A887" s="52"/>
      <c r="B887" s="53"/>
      <c r="C887" s="53"/>
      <c r="D887" s="53"/>
      <c r="E887" s="1"/>
      <c r="F887" s="1"/>
    </row>
    <row r="888" ht="14.25" customHeight="1">
      <c r="A888" s="52"/>
      <c r="B888" s="53"/>
      <c r="C888" s="53"/>
      <c r="D888" s="53"/>
      <c r="E888" s="1"/>
      <c r="F888" s="1"/>
    </row>
    <row r="889" ht="14.25" customHeight="1">
      <c r="A889" s="52"/>
      <c r="B889" s="53"/>
      <c r="C889" s="53"/>
      <c r="D889" s="53"/>
      <c r="E889" s="1"/>
      <c r="F889" s="1"/>
    </row>
    <row r="890" ht="14.25" customHeight="1">
      <c r="A890" s="52"/>
      <c r="B890" s="53"/>
      <c r="C890" s="53"/>
      <c r="D890" s="53"/>
      <c r="E890" s="1"/>
      <c r="F890" s="1"/>
    </row>
    <row r="891" ht="14.25" customHeight="1">
      <c r="A891" s="52"/>
      <c r="B891" s="53"/>
      <c r="C891" s="53"/>
      <c r="D891" s="53"/>
      <c r="E891" s="1"/>
      <c r="F891" s="1"/>
    </row>
    <row r="892" ht="14.25" customHeight="1">
      <c r="A892" s="52"/>
      <c r="B892" s="53"/>
      <c r="C892" s="53"/>
      <c r="D892" s="53"/>
      <c r="E892" s="1"/>
      <c r="F892" s="1"/>
    </row>
    <row r="893" ht="14.25" customHeight="1">
      <c r="A893" s="52"/>
      <c r="B893" s="53"/>
      <c r="C893" s="53"/>
      <c r="D893" s="53"/>
      <c r="E893" s="1"/>
      <c r="F893" s="1"/>
    </row>
    <row r="894" ht="14.25" customHeight="1">
      <c r="A894" s="52"/>
      <c r="B894" s="53"/>
      <c r="C894" s="53"/>
      <c r="D894" s="53"/>
      <c r="E894" s="1"/>
      <c r="F894" s="1"/>
    </row>
    <row r="895" ht="14.25" customHeight="1">
      <c r="A895" s="52"/>
      <c r="B895" s="53"/>
      <c r="C895" s="53"/>
      <c r="D895" s="53"/>
      <c r="E895" s="1"/>
      <c r="F895" s="1"/>
    </row>
    <row r="896" ht="14.25" customHeight="1">
      <c r="A896" s="52"/>
      <c r="B896" s="53"/>
      <c r="C896" s="53"/>
      <c r="D896" s="53"/>
      <c r="E896" s="1"/>
      <c r="F896" s="1"/>
    </row>
    <row r="897" ht="14.25" customHeight="1">
      <c r="A897" s="52"/>
      <c r="B897" s="53"/>
      <c r="C897" s="53"/>
      <c r="D897" s="53"/>
      <c r="E897" s="1"/>
      <c r="F897" s="1"/>
    </row>
    <row r="898" ht="14.25" customHeight="1">
      <c r="A898" s="52"/>
      <c r="B898" s="53"/>
      <c r="C898" s="53"/>
      <c r="D898" s="53"/>
      <c r="E898" s="1"/>
      <c r="F898" s="1"/>
    </row>
    <row r="899" ht="14.25" customHeight="1">
      <c r="A899" s="52"/>
      <c r="B899" s="53"/>
      <c r="C899" s="53"/>
      <c r="D899" s="53"/>
      <c r="E899" s="1"/>
      <c r="F899" s="1"/>
    </row>
    <row r="900" ht="14.25" customHeight="1">
      <c r="A900" s="52"/>
      <c r="B900" s="53"/>
      <c r="C900" s="53"/>
      <c r="D900" s="53"/>
      <c r="E900" s="1"/>
      <c r="F900" s="1"/>
    </row>
    <row r="901" ht="14.25" customHeight="1">
      <c r="A901" s="52"/>
      <c r="B901" s="53"/>
      <c r="C901" s="53"/>
      <c r="D901" s="53"/>
      <c r="E901" s="1"/>
      <c r="F901" s="1"/>
    </row>
    <row r="902" ht="14.25" customHeight="1">
      <c r="A902" s="52"/>
      <c r="B902" s="53"/>
      <c r="C902" s="53"/>
      <c r="D902" s="53"/>
      <c r="E902" s="1"/>
      <c r="F902" s="1"/>
    </row>
    <row r="903" ht="14.25" customHeight="1">
      <c r="A903" s="52"/>
      <c r="B903" s="53"/>
      <c r="C903" s="53"/>
      <c r="D903" s="53"/>
      <c r="E903" s="1"/>
      <c r="F903" s="1"/>
    </row>
    <row r="904" ht="14.25" customHeight="1">
      <c r="A904" s="52"/>
      <c r="B904" s="53"/>
      <c r="C904" s="53"/>
      <c r="D904" s="53"/>
      <c r="E904" s="1"/>
      <c r="F904" s="1"/>
    </row>
    <row r="905" ht="14.25" customHeight="1">
      <c r="A905" s="52"/>
      <c r="B905" s="53"/>
      <c r="C905" s="53"/>
      <c r="D905" s="53"/>
      <c r="E905" s="1"/>
      <c r="F905" s="1"/>
    </row>
    <row r="906" ht="14.25" customHeight="1">
      <c r="A906" s="52"/>
      <c r="B906" s="53"/>
      <c r="C906" s="53"/>
      <c r="D906" s="53"/>
      <c r="E906" s="1"/>
      <c r="F906" s="1"/>
    </row>
    <row r="907" ht="14.25" customHeight="1">
      <c r="A907" s="52"/>
      <c r="B907" s="53"/>
      <c r="C907" s="53"/>
      <c r="D907" s="53"/>
      <c r="E907" s="1"/>
      <c r="F907" s="1"/>
    </row>
    <row r="908" ht="14.25" customHeight="1">
      <c r="A908" s="52"/>
      <c r="B908" s="53"/>
      <c r="C908" s="53"/>
      <c r="D908" s="53"/>
      <c r="E908" s="1"/>
      <c r="F908" s="1"/>
    </row>
    <row r="909" ht="14.25" customHeight="1">
      <c r="A909" s="52"/>
      <c r="B909" s="53"/>
      <c r="C909" s="53"/>
      <c r="D909" s="53"/>
      <c r="E909" s="1"/>
      <c r="F909" s="1"/>
    </row>
    <row r="910" ht="14.25" customHeight="1">
      <c r="A910" s="52"/>
      <c r="B910" s="53"/>
      <c r="C910" s="53"/>
      <c r="D910" s="53"/>
      <c r="E910" s="1"/>
      <c r="F910" s="1"/>
    </row>
    <row r="911" ht="14.25" customHeight="1">
      <c r="A911" s="52"/>
      <c r="B911" s="53"/>
      <c r="C911" s="53"/>
      <c r="D911" s="53"/>
      <c r="E911" s="1"/>
      <c r="F911" s="1"/>
    </row>
    <row r="912" ht="14.25" customHeight="1">
      <c r="A912" s="52"/>
      <c r="B912" s="53"/>
      <c r="C912" s="53"/>
      <c r="D912" s="53"/>
      <c r="E912" s="1"/>
      <c r="F912" s="1"/>
    </row>
    <row r="913" ht="14.25" customHeight="1">
      <c r="A913" s="52"/>
      <c r="B913" s="53"/>
      <c r="C913" s="53"/>
      <c r="D913" s="53"/>
      <c r="E913" s="1"/>
      <c r="F913" s="1"/>
    </row>
    <row r="914" ht="14.25" customHeight="1">
      <c r="A914" s="52"/>
      <c r="B914" s="53"/>
      <c r="C914" s="53"/>
      <c r="D914" s="53"/>
      <c r="E914" s="1"/>
      <c r="F914" s="1"/>
    </row>
    <row r="915" ht="14.25" customHeight="1">
      <c r="A915" s="52"/>
      <c r="B915" s="53"/>
      <c r="C915" s="53"/>
      <c r="D915" s="53"/>
      <c r="E915" s="1"/>
      <c r="F915" s="1"/>
    </row>
    <row r="916" ht="14.25" customHeight="1">
      <c r="A916" s="52"/>
      <c r="B916" s="53"/>
      <c r="C916" s="53"/>
      <c r="D916" s="53"/>
      <c r="E916" s="1"/>
      <c r="F916" s="1"/>
    </row>
    <row r="917" ht="14.25" customHeight="1">
      <c r="A917" s="52"/>
      <c r="B917" s="53"/>
      <c r="C917" s="53"/>
      <c r="D917" s="53"/>
      <c r="E917" s="1"/>
      <c r="F917" s="1"/>
    </row>
    <row r="918" ht="14.25" customHeight="1">
      <c r="A918" s="52"/>
      <c r="B918" s="53"/>
      <c r="C918" s="53"/>
      <c r="D918" s="53"/>
      <c r="E918" s="1"/>
      <c r="F918" s="1"/>
    </row>
    <row r="919" ht="14.25" customHeight="1">
      <c r="A919" s="52"/>
      <c r="B919" s="53"/>
      <c r="C919" s="53"/>
      <c r="D919" s="53"/>
      <c r="E919" s="1"/>
      <c r="F919" s="1"/>
    </row>
    <row r="920" ht="14.25" customHeight="1">
      <c r="A920" s="52"/>
      <c r="B920" s="53"/>
      <c r="C920" s="53"/>
      <c r="D920" s="53"/>
      <c r="E920" s="1"/>
      <c r="F920" s="1"/>
    </row>
    <row r="921" ht="14.25" customHeight="1">
      <c r="A921" s="52"/>
      <c r="B921" s="53"/>
      <c r="C921" s="53"/>
      <c r="D921" s="53"/>
      <c r="E921" s="1"/>
      <c r="F921" s="1"/>
    </row>
    <row r="922" ht="14.25" customHeight="1">
      <c r="A922" s="52"/>
      <c r="B922" s="53"/>
      <c r="C922" s="53"/>
      <c r="D922" s="53"/>
      <c r="E922" s="1"/>
      <c r="F922" s="1"/>
    </row>
    <row r="923" ht="14.25" customHeight="1">
      <c r="A923" s="52"/>
      <c r="B923" s="53"/>
      <c r="C923" s="53"/>
      <c r="D923" s="53"/>
      <c r="E923" s="1"/>
      <c r="F923" s="1"/>
    </row>
    <row r="924" ht="14.25" customHeight="1">
      <c r="A924" s="52"/>
      <c r="B924" s="53"/>
      <c r="C924" s="53"/>
      <c r="D924" s="53"/>
      <c r="E924" s="1"/>
      <c r="F924" s="1"/>
    </row>
    <row r="925" ht="14.25" customHeight="1">
      <c r="A925" s="52"/>
      <c r="B925" s="53"/>
      <c r="C925" s="53"/>
      <c r="D925" s="53"/>
      <c r="E925" s="1"/>
      <c r="F925" s="1"/>
    </row>
    <row r="926" ht="14.25" customHeight="1">
      <c r="A926" s="52"/>
      <c r="B926" s="53"/>
      <c r="C926" s="53"/>
      <c r="D926" s="53"/>
      <c r="E926" s="1"/>
      <c r="F926" s="1"/>
    </row>
    <row r="927" ht="14.25" customHeight="1">
      <c r="A927" s="52"/>
      <c r="B927" s="53"/>
      <c r="C927" s="53"/>
      <c r="D927" s="53"/>
      <c r="E927" s="1"/>
      <c r="F927" s="1"/>
    </row>
    <row r="928" ht="14.25" customHeight="1">
      <c r="A928" s="52"/>
      <c r="B928" s="53"/>
      <c r="C928" s="53"/>
      <c r="D928" s="53"/>
      <c r="E928" s="1"/>
      <c r="F928" s="1"/>
    </row>
    <row r="929" ht="14.25" customHeight="1">
      <c r="A929" s="52"/>
      <c r="B929" s="53"/>
      <c r="C929" s="53"/>
      <c r="D929" s="53"/>
      <c r="E929" s="1"/>
      <c r="F929" s="1"/>
    </row>
    <row r="930" ht="14.25" customHeight="1">
      <c r="A930" s="52"/>
      <c r="B930" s="53"/>
      <c r="C930" s="53"/>
      <c r="D930" s="53"/>
      <c r="E930" s="1"/>
      <c r="F930" s="1"/>
    </row>
    <row r="931" ht="14.25" customHeight="1">
      <c r="A931" s="52"/>
      <c r="B931" s="53"/>
      <c r="C931" s="53"/>
      <c r="D931" s="53"/>
      <c r="E931" s="1"/>
      <c r="F931" s="1"/>
    </row>
    <row r="932" ht="14.25" customHeight="1">
      <c r="A932" s="52"/>
      <c r="B932" s="53"/>
      <c r="C932" s="53"/>
      <c r="D932" s="53"/>
      <c r="E932" s="1"/>
      <c r="F932" s="1"/>
    </row>
    <row r="933" ht="14.25" customHeight="1">
      <c r="A933" s="52"/>
      <c r="B933" s="53"/>
      <c r="C933" s="53"/>
      <c r="D933" s="53"/>
      <c r="E933" s="1"/>
      <c r="F933" s="1"/>
    </row>
    <row r="934" ht="14.25" customHeight="1">
      <c r="A934" s="52"/>
      <c r="B934" s="53"/>
      <c r="C934" s="53"/>
      <c r="D934" s="53"/>
      <c r="E934" s="1"/>
      <c r="F934" s="1"/>
    </row>
    <row r="935" ht="14.25" customHeight="1">
      <c r="A935" s="52"/>
      <c r="B935" s="53"/>
      <c r="C935" s="53"/>
      <c r="D935" s="53"/>
      <c r="E935" s="1"/>
      <c r="F935" s="1"/>
    </row>
    <row r="936" ht="14.25" customHeight="1">
      <c r="A936" s="52"/>
      <c r="B936" s="53"/>
      <c r="C936" s="53"/>
      <c r="D936" s="53"/>
      <c r="E936" s="1"/>
      <c r="F936" s="1"/>
    </row>
    <row r="937" ht="14.25" customHeight="1">
      <c r="A937" s="52"/>
      <c r="B937" s="53"/>
      <c r="C937" s="53"/>
      <c r="D937" s="53"/>
      <c r="E937" s="1"/>
      <c r="F937" s="1"/>
    </row>
    <row r="938" ht="14.25" customHeight="1">
      <c r="A938" s="52"/>
      <c r="B938" s="53"/>
      <c r="C938" s="53"/>
      <c r="D938" s="53"/>
      <c r="E938" s="1"/>
      <c r="F938" s="1"/>
    </row>
    <row r="939" ht="14.25" customHeight="1">
      <c r="A939" s="52"/>
      <c r="B939" s="53"/>
      <c r="C939" s="53"/>
      <c r="D939" s="53"/>
      <c r="E939" s="1"/>
      <c r="F939" s="1"/>
    </row>
    <row r="940" ht="14.25" customHeight="1">
      <c r="A940" s="52"/>
      <c r="B940" s="53"/>
      <c r="C940" s="53"/>
      <c r="D940" s="53"/>
      <c r="E940" s="1"/>
      <c r="F940" s="1"/>
    </row>
    <row r="941" ht="14.25" customHeight="1">
      <c r="A941" s="52"/>
      <c r="B941" s="53"/>
      <c r="C941" s="53"/>
      <c r="D941" s="53"/>
      <c r="E941" s="1"/>
      <c r="F941" s="1"/>
    </row>
    <row r="942" ht="14.25" customHeight="1">
      <c r="A942" s="52"/>
      <c r="B942" s="53"/>
      <c r="C942" s="53"/>
      <c r="D942" s="53"/>
      <c r="E942" s="1"/>
      <c r="F942" s="1"/>
    </row>
    <row r="943" ht="14.25" customHeight="1">
      <c r="A943" s="52"/>
      <c r="B943" s="53"/>
      <c r="C943" s="53"/>
      <c r="D943" s="53"/>
      <c r="E943" s="1"/>
      <c r="F943" s="1"/>
    </row>
    <row r="944" ht="14.25" customHeight="1">
      <c r="A944" s="52"/>
      <c r="B944" s="53"/>
      <c r="C944" s="53"/>
      <c r="D944" s="53"/>
      <c r="E944" s="1"/>
      <c r="F944" s="1"/>
    </row>
    <row r="945" ht="14.25" customHeight="1">
      <c r="A945" s="52"/>
      <c r="B945" s="53"/>
      <c r="C945" s="53"/>
      <c r="D945" s="53"/>
      <c r="E945" s="1"/>
      <c r="F945" s="1"/>
    </row>
    <row r="946" ht="14.25" customHeight="1">
      <c r="A946" s="52"/>
      <c r="B946" s="53"/>
      <c r="C946" s="53"/>
      <c r="D946" s="53"/>
      <c r="E946" s="1"/>
      <c r="F946" s="1"/>
    </row>
    <row r="947" ht="14.25" customHeight="1">
      <c r="A947" s="52"/>
      <c r="B947" s="53"/>
      <c r="C947" s="53"/>
      <c r="D947" s="53"/>
      <c r="E947" s="1"/>
      <c r="F947" s="1"/>
    </row>
    <row r="948" ht="14.25" customHeight="1">
      <c r="A948" s="52"/>
      <c r="B948" s="53"/>
      <c r="C948" s="53"/>
      <c r="D948" s="53"/>
      <c r="E948" s="1"/>
      <c r="F948" s="1"/>
    </row>
    <row r="949" ht="14.25" customHeight="1">
      <c r="A949" s="52"/>
      <c r="B949" s="53"/>
      <c r="C949" s="53"/>
      <c r="D949" s="53"/>
      <c r="E949" s="1"/>
      <c r="F949" s="1"/>
    </row>
    <row r="950" ht="14.25" customHeight="1">
      <c r="A950" s="52"/>
      <c r="B950" s="53"/>
      <c r="C950" s="53"/>
      <c r="D950" s="53"/>
      <c r="E950" s="1"/>
      <c r="F950" s="1"/>
    </row>
    <row r="951" ht="14.25" customHeight="1">
      <c r="A951" s="52"/>
      <c r="B951" s="53"/>
      <c r="C951" s="53"/>
      <c r="D951" s="53"/>
      <c r="E951" s="1"/>
      <c r="F951" s="1"/>
    </row>
    <row r="952" ht="14.25" customHeight="1">
      <c r="A952" s="52"/>
      <c r="B952" s="53"/>
      <c r="C952" s="53"/>
      <c r="D952" s="53"/>
      <c r="E952" s="1"/>
      <c r="F952" s="1"/>
    </row>
    <row r="953" ht="14.25" customHeight="1">
      <c r="A953" s="52"/>
      <c r="B953" s="53"/>
      <c r="C953" s="53"/>
      <c r="D953" s="53"/>
      <c r="E953" s="1"/>
      <c r="F953" s="1"/>
    </row>
    <row r="954" ht="14.25" customHeight="1">
      <c r="A954" s="52"/>
      <c r="B954" s="53"/>
      <c r="C954" s="53"/>
      <c r="D954" s="53"/>
      <c r="E954" s="1"/>
      <c r="F954" s="1"/>
    </row>
    <row r="955" ht="14.25" customHeight="1">
      <c r="A955" s="52"/>
      <c r="B955" s="53"/>
      <c r="C955" s="53"/>
      <c r="D955" s="53"/>
      <c r="E955" s="1"/>
      <c r="F955" s="1"/>
    </row>
    <row r="956" ht="14.25" customHeight="1">
      <c r="A956" s="52"/>
      <c r="B956" s="53"/>
      <c r="C956" s="53"/>
      <c r="D956" s="53"/>
      <c r="E956" s="1"/>
      <c r="F956" s="1"/>
    </row>
    <row r="957" ht="14.25" customHeight="1">
      <c r="A957" s="52"/>
      <c r="B957" s="53"/>
      <c r="C957" s="53"/>
      <c r="D957" s="53"/>
      <c r="E957" s="1"/>
      <c r="F957" s="1"/>
    </row>
    <row r="958" ht="14.25" customHeight="1">
      <c r="A958" s="52"/>
      <c r="B958" s="53"/>
      <c r="C958" s="53"/>
      <c r="D958" s="53"/>
      <c r="E958" s="1"/>
      <c r="F958" s="1"/>
    </row>
    <row r="959" ht="14.25" customHeight="1">
      <c r="A959" s="52"/>
      <c r="B959" s="53"/>
      <c r="C959" s="53"/>
      <c r="D959" s="53"/>
      <c r="E959" s="1"/>
      <c r="F959" s="1"/>
    </row>
    <row r="960" ht="14.25" customHeight="1">
      <c r="A960" s="52"/>
      <c r="B960" s="53"/>
      <c r="C960" s="53"/>
      <c r="D960" s="53"/>
      <c r="E960" s="1"/>
      <c r="F960" s="1"/>
    </row>
    <row r="961" ht="14.25" customHeight="1">
      <c r="A961" s="52"/>
      <c r="B961" s="53"/>
      <c r="C961" s="53"/>
      <c r="D961" s="53"/>
      <c r="E961" s="1"/>
      <c r="F961" s="1"/>
    </row>
    <row r="962" ht="14.25" customHeight="1">
      <c r="A962" s="52"/>
      <c r="B962" s="53"/>
      <c r="C962" s="53"/>
      <c r="D962" s="53"/>
      <c r="E962" s="1"/>
      <c r="F962" s="1"/>
    </row>
    <row r="963" ht="14.25" customHeight="1">
      <c r="A963" s="52"/>
      <c r="B963" s="53"/>
      <c r="C963" s="53"/>
      <c r="D963" s="53"/>
      <c r="E963" s="1"/>
      <c r="F963" s="1"/>
    </row>
    <row r="964" ht="14.25" customHeight="1">
      <c r="A964" s="52"/>
      <c r="B964" s="53"/>
      <c r="C964" s="53"/>
      <c r="D964" s="53"/>
      <c r="E964" s="1"/>
      <c r="F964" s="1"/>
    </row>
    <row r="965" ht="14.25" customHeight="1">
      <c r="A965" s="52"/>
      <c r="B965" s="53"/>
      <c r="C965" s="53"/>
      <c r="D965" s="53"/>
      <c r="E965" s="1"/>
      <c r="F965" s="1"/>
    </row>
    <row r="966" ht="14.25" customHeight="1">
      <c r="A966" s="52"/>
      <c r="B966" s="53"/>
      <c r="C966" s="53"/>
      <c r="D966" s="53"/>
      <c r="E966" s="1"/>
      <c r="F966" s="1"/>
    </row>
    <row r="967" ht="14.25" customHeight="1">
      <c r="A967" s="52"/>
      <c r="B967" s="53"/>
      <c r="C967" s="53"/>
      <c r="D967" s="53"/>
      <c r="E967" s="1"/>
      <c r="F967" s="1"/>
    </row>
    <row r="968" ht="14.25" customHeight="1">
      <c r="A968" s="52"/>
      <c r="B968" s="53"/>
      <c r="C968" s="53"/>
      <c r="D968" s="53"/>
      <c r="E968" s="1"/>
      <c r="F968" s="1"/>
    </row>
    <row r="969" ht="14.25" customHeight="1">
      <c r="A969" s="52"/>
      <c r="B969" s="53"/>
      <c r="C969" s="53"/>
      <c r="D969" s="53"/>
      <c r="E969" s="1"/>
      <c r="F969" s="1"/>
    </row>
    <row r="970" ht="14.25" customHeight="1">
      <c r="A970" s="52"/>
      <c r="B970" s="53"/>
      <c r="C970" s="53"/>
      <c r="D970" s="53"/>
      <c r="E970" s="1"/>
      <c r="F970" s="1"/>
    </row>
    <row r="971" ht="14.25" customHeight="1">
      <c r="A971" s="52"/>
      <c r="B971" s="53"/>
      <c r="C971" s="53"/>
      <c r="D971" s="53"/>
      <c r="E971" s="1"/>
      <c r="F971" s="1"/>
    </row>
    <row r="972" ht="14.25" customHeight="1">
      <c r="A972" s="52"/>
      <c r="B972" s="53"/>
      <c r="C972" s="53"/>
      <c r="D972" s="53"/>
      <c r="E972" s="1"/>
      <c r="F972" s="1"/>
    </row>
    <row r="973" ht="14.25" customHeight="1">
      <c r="A973" s="52"/>
      <c r="B973" s="53"/>
      <c r="C973" s="53"/>
      <c r="D973" s="53"/>
      <c r="E973" s="1"/>
      <c r="F973" s="1"/>
    </row>
    <row r="974" ht="14.25" customHeight="1">
      <c r="A974" s="52"/>
      <c r="B974" s="53"/>
      <c r="C974" s="53"/>
      <c r="D974" s="53"/>
      <c r="E974" s="1"/>
      <c r="F974" s="1"/>
    </row>
    <row r="975" ht="14.25" customHeight="1">
      <c r="A975" s="52"/>
      <c r="B975" s="53"/>
      <c r="C975" s="53"/>
      <c r="D975" s="53"/>
      <c r="E975" s="1"/>
      <c r="F975" s="1"/>
    </row>
    <row r="976" ht="14.25" customHeight="1">
      <c r="A976" s="52"/>
      <c r="B976" s="53"/>
      <c r="C976" s="53"/>
      <c r="D976" s="53"/>
      <c r="E976" s="1"/>
      <c r="F976" s="1"/>
    </row>
    <row r="977" ht="14.25" customHeight="1">
      <c r="A977" s="52"/>
      <c r="B977" s="53"/>
      <c r="C977" s="53"/>
      <c r="D977" s="53"/>
      <c r="E977" s="1"/>
      <c r="F977" s="1"/>
    </row>
    <row r="978" ht="14.25" customHeight="1">
      <c r="A978" s="52"/>
      <c r="B978" s="53"/>
      <c r="C978" s="53"/>
      <c r="D978" s="53"/>
      <c r="E978" s="1"/>
      <c r="F978" s="1"/>
    </row>
    <row r="979" ht="14.25" customHeight="1">
      <c r="A979" s="52"/>
      <c r="B979" s="53"/>
      <c r="C979" s="53"/>
      <c r="D979" s="53"/>
      <c r="E979" s="1"/>
      <c r="F979" s="1"/>
    </row>
    <row r="980" ht="14.25" customHeight="1">
      <c r="A980" s="52"/>
      <c r="B980" s="53"/>
      <c r="C980" s="53"/>
      <c r="D980" s="53"/>
      <c r="E980" s="1"/>
      <c r="F980" s="1"/>
    </row>
    <row r="981" ht="14.25" customHeight="1">
      <c r="A981" s="52"/>
      <c r="B981" s="53"/>
      <c r="C981" s="53"/>
      <c r="D981" s="53"/>
      <c r="E981" s="1"/>
      <c r="F981" s="1"/>
    </row>
    <row r="982" ht="14.25" customHeight="1">
      <c r="A982" s="52"/>
      <c r="B982" s="53"/>
      <c r="C982" s="53"/>
      <c r="D982" s="53"/>
      <c r="E982" s="1"/>
      <c r="F982" s="1"/>
    </row>
    <row r="983" ht="14.25" customHeight="1">
      <c r="A983" s="52"/>
      <c r="B983" s="53"/>
      <c r="C983" s="53"/>
      <c r="D983" s="53"/>
      <c r="E983" s="1"/>
      <c r="F983" s="1"/>
    </row>
    <row r="984" ht="14.25" customHeight="1">
      <c r="A984" s="52"/>
      <c r="B984" s="53"/>
      <c r="C984" s="53"/>
      <c r="D984" s="53"/>
      <c r="E984" s="1"/>
      <c r="F984" s="1"/>
    </row>
    <row r="985" ht="14.25" customHeight="1">
      <c r="A985" s="52"/>
      <c r="B985" s="53"/>
      <c r="C985" s="53"/>
      <c r="D985" s="53"/>
      <c r="E985" s="1"/>
      <c r="F985" s="1"/>
    </row>
    <row r="986" ht="14.25" customHeight="1">
      <c r="A986" s="52"/>
      <c r="B986" s="53"/>
      <c r="C986" s="53"/>
      <c r="D986" s="53"/>
      <c r="E986" s="1"/>
      <c r="F986" s="1"/>
    </row>
    <row r="987" ht="14.25" customHeight="1">
      <c r="A987" s="52"/>
      <c r="B987" s="53"/>
      <c r="C987" s="53"/>
      <c r="D987" s="53"/>
      <c r="E987" s="1"/>
      <c r="F987" s="1"/>
    </row>
    <row r="988" ht="14.25" customHeight="1">
      <c r="A988" s="52"/>
      <c r="B988" s="53"/>
      <c r="C988" s="53"/>
      <c r="D988" s="53"/>
      <c r="E988" s="1"/>
      <c r="F988" s="1"/>
    </row>
    <row r="989" ht="14.25" customHeight="1">
      <c r="A989" s="52"/>
      <c r="B989" s="53"/>
      <c r="C989" s="53"/>
      <c r="D989" s="53"/>
      <c r="E989" s="1"/>
      <c r="F989" s="1"/>
    </row>
    <row r="990" ht="14.25" customHeight="1">
      <c r="A990" s="52"/>
      <c r="B990" s="53"/>
      <c r="C990" s="53"/>
      <c r="D990" s="53"/>
      <c r="E990" s="1"/>
      <c r="F990" s="1"/>
    </row>
    <row r="991" ht="14.25" customHeight="1">
      <c r="A991" s="52"/>
      <c r="B991" s="53"/>
      <c r="C991" s="53"/>
      <c r="D991" s="53"/>
      <c r="E991" s="1"/>
      <c r="F991" s="1"/>
    </row>
    <row r="992" ht="14.25" customHeight="1">
      <c r="A992" s="52"/>
      <c r="B992" s="53"/>
      <c r="C992" s="53"/>
      <c r="D992" s="53"/>
      <c r="E992" s="1"/>
      <c r="F992" s="1"/>
    </row>
    <row r="993" ht="14.25" customHeight="1">
      <c r="A993" s="52"/>
      <c r="B993" s="53"/>
      <c r="C993" s="53"/>
      <c r="D993" s="53"/>
      <c r="E993" s="1"/>
      <c r="F993" s="1"/>
    </row>
    <row r="994" ht="14.25" customHeight="1">
      <c r="A994" s="52"/>
      <c r="B994" s="53"/>
      <c r="C994" s="53"/>
      <c r="D994" s="53"/>
      <c r="E994" s="1"/>
      <c r="F994" s="1"/>
    </row>
    <row r="995" ht="14.25" customHeight="1">
      <c r="A995" s="52"/>
      <c r="B995" s="53"/>
      <c r="C995" s="53"/>
      <c r="D995" s="53"/>
      <c r="E995" s="1"/>
      <c r="F995" s="1"/>
    </row>
    <row r="996" ht="14.25" customHeight="1">
      <c r="A996" s="52"/>
      <c r="B996" s="53"/>
      <c r="C996" s="53"/>
      <c r="D996" s="53"/>
      <c r="E996" s="1"/>
      <c r="F996" s="1"/>
    </row>
    <row r="997" ht="14.25" customHeight="1">
      <c r="A997" s="52"/>
      <c r="B997" s="53"/>
      <c r="C997" s="53"/>
      <c r="D997" s="53"/>
      <c r="E997" s="1"/>
      <c r="F997" s="1"/>
    </row>
    <row r="998" ht="14.25" customHeight="1">
      <c r="A998" s="52"/>
      <c r="B998" s="53"/>
      <c r="C998" s="53"/>
      <c r="D998" s="53"/>
      <c r="E998" s="1"/>
      <c r="F998" s="1"/>
    </row>
    <row r="999" ht="14.25" customHeight="1">
      <c r="A999" s="52"/>
      <c r="B999" s="53"/>
      <c r="C999" s="53"/>
      <c r="D999" s="53"/>
      <c r="E999" s="1"/>
      <c r="F999" s="1"/>
    </row>
    <row r="1000" ht="14.25" customHeight="1">
      <c r="A1000" s="52"/>
      <c r="B1000" s="53"/>
      <c r="C1000" s="53"/>
      <c r="D1000" s="53"/>
      <c r="E1000" s="1"/>
      <c r="F1000" s="1"/>
    </row>
  </sheetData>
  <mergeCells count="4">
    <mergeCell ref="A2:F2"/>
    <mergeCell ref="A4:F4"/>
    <mergeCell ref="A5:F5"/>
    <mergeCell ref="A18:F18"/>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14"/>
    <col customWidth="1" min="2" max="2" width="10.14"/>
    <col customWidth="1" min="3" max="3" width="27.71"/>
    <col customWidth="1" min="4" max="4" width="23.43"/>
    <col customWidth="1" min="5" max="5" width="15.14"/>
    <col customWidth="1" min="6" max="6" width="16.71"/>
    <col customWidth="1" min="7" max="7" width="10.71"/>
    <col customWidth="1" min="8" max="8" width="16.14"/>
    <col customWidth="1" min="9" max="9" width="20.43"/>
    <col customWidth="1" min="10" max="26" width="10.0"/>
  </cols>
  <sheetData>
    <row r="1" ht="14.25" customHeight="1">
      <c r="A1" s="52"/>
      <c r="B1" s="53"/>
      <c r="C1" s="53"/>
      <c r="D1" s="53"/>
      <c r="E1" s="53"/>
      <c r="F1" s="53"/>
      <c r="G1" s="53"/>
      <c r="H1" s="1"/>
    </row>
    <row r="2" ht="35.25" customHeight="1">
      <c r="A2" s="54" t="s">
        <v>3857</v>
      </c>
      <c r="B2" s="55"/>
      <c r="C2" s="55"/>
      <c r="D2" s="55"/>
      <c r="E2" s="55"/>
      <c r="F2" s="55"/>
      <c r="G2" s="55"/>
      <c r="H2" s="56"/>
      <c r="I2" s="58"/>
      <c r="J2" s="58"/>
      <c r="K2" s="58"/>
      <c r="L2" s="58"/>
      <c r="M2" s="58"/>
      <c r="N2" s="58"/>
      <c r="O2" s="58"/>
      <c r="P2" s="58"/>
      <c r="Q2" s="58"/>
      <c r="R2" s="58"/>
      <c r="S2" s="58"/>
      <c r="T2" s="58"/>
      <c r="U2" s="58"/>
      <c r="V2" s="58"/>
      <c r="W2" s="58"/>
      <c r="X2" s="58"/>
      <c r="Y2" s="58"/>
      <c r="Z2" s="58"/>
    </row>
    <row r="3" ht="15.0" customHeight="1">
      <c r="A3" s="115"/>
      <c r="B3" s="115"/>
      <c r="C3" s="115"/>
      <c r="D3" s="115"/>
      <c r="E3" s="115"/>
      <c r="F3" s="115"/>
      <c r="G3" s="115"/>
      <c r="H3" s="57"/>
      <c r="I3" s="58"/>
      <c r="J3" s="58"/>
      <c r="K3" s="58"/>
      <c r="L3" s="58"/>
      <c r="M3" s="58"/>
      <c r="N3" s="58"/>
      <c r="O3" s="58"/>
      <c r="P3" s="58"/>
      <c r="Q3" s="58"/>
      <c r="R3" s="58"/>
      <c r="S3" s="58"/>
      <c r="T3" s="58"/>
      <c r="U3" s="58"/>
      <c r="V3" s="58"/>
      <c r="W3" s="58"/>
      <c r="X3" s="58"/>
      <c r="Y3" s="58"/>
      <c r="Z3" s="58"/>
    </row>
    <row r="4" ht="15.0" customHeight="1">
      <c r="A4" s="117" t="s">
        <v>3858</v>
      </c>
      <c r="B4" s="55"/>
      <c r="C4" s="55"/>
      <c r="D4" s="55"/>
      <c r="E4" s="55"/>
      <c r="F4" s="55"/>
      <c r="G4" s="55"/>
      <c r="H4" s="56"/>
      <c r="I4" s="114"/>
      <c r="J4" s="114"/>
      <c r="K4" s="114"/>
      <c r="L4" s="114"/>
      <c r="M4" s="114"/>
      <c r="N4" s="114"/>
      <c r="O4" s="114"/>
      <c r="P4" s="114"/>
      <c r="Q4" s="114"/>
      <c r="R4" s="114"/>
      <c r="S4" s="114"/>
      <c r="T4" s="114"/>
      <c r="U4" s="114"/>
      <c r="V4" s="114"/>
      <c r="W4" s="114"/>
      <c r="X4" s="114"/>
      <c r="Y4" s="114"/>
      <c r="Z4" s="114"/>
    </row>
    <row r="5" ht="15.0" customHeight="1">
      <c r="A5" s="59" t="s">
        <v>3859</v>
      </c>
      <c r="B5" s="55"/>
      <c r="C5" s="55"/>
      <c r="D5" s="55"/>
      <c r="E5" s="55"/>
      <c r="F5" s="55"/>
      <c r="G5" s="55"/>
      <c r="H5" s="56"/>
      <c r="I5" s="114"/>
      <c r="J5" s="114"/>
      <c r="K5" s="114"/>
      <c r="L5" s="114"/>
      <c r="M5" s="114"/>
      <c r="N5" s="114"/>
      <c r="O5" s="114"/>
      <c r="P5" s="114"/>
      <c r="Q5" s="114"/>
      <c r="R5" s="114"/>
      <c r="S5" s="114"/>
      <c r="T5" s="114"/>
      <c r="U5" s="114"/>
      <c r="V5" s="114"/>
      <c r="W5" s="114"/>
      <c r="X5" s="114"/>
      <c r="Y5" s="114"/>
      <c r="Z5" s="114"/>
    </row>
    <row r="6" ht="15.0" customHeight="1">
      <c r="A6" s="59" t="s">
        <v>3860</v>
      </c>
      <c r="B6" s="55"/>
      <c r="C6" s="55"/>
      <c r="D6" s="55"/>
      <c r="E6" s="55"/>
      <c r="F6" s="55"/>
      <c r="G6" s="55"/>
      <c r="H6" s="56"/>
      <c r="I6" s="114"/>
      <c r="J6" s="114"/>
      <c r="K6" s="114"/>
      <c r="L6" s="114"/>
      <c r="M6" s="114"/>
      <c r="N6" s="114"/>
      <c r="O6" s="114"/>
      <c r="P6" s="114"/>
      <c r="Q6" s="114"/>
      <c r="R6" s="114"/>
      <c r="S6" s="114"/>
      <c r="T6" s="114"/>
      <c r="U6" s="114"/>
      <c r="V6" s="114"/>
      <c r="W6" s="114"/>
      <c r="X6" s="114"/>
      <c r="Y6" s="114"/>
      <c r="Z6" s="114"/>
    </row>
    <row r="7" ht="409.5" customHeight="1">
      <c r="A7" s="60" t="s">
        <v>3861</v>
      </c>
      <c r="B7" s="55"/>
      <c r="C7" s="55"/>
      <c r="D7" s="55"/>
      <c r="E7" s="55"/>
      <c r="F7" s="55"/>
      <c r="G7" s="55"/>
      <c r="H7" s="56"/>
      <c r="I7" s="114"/>
      <c r="J7" s="114"/>
      <c r="K7" s="114"/>
      <c r="L7" s="114"/>
      <c r="M7" s="114"/>
      <c r="N7" s="114"/>
      <c r="O7" s="114"/>
      <c r="P7" s="114"/>
      <c r="Q7" s="114"/>
      <c r="R7" s="114"/>
      <c r="S7" s="114"/>
      <c r="T7" s="114"/>
      <c r="U7" s="114"/>
      <c r="V7" s="114"/>
      <c r="W7" s="114"/>
      <c r="X7" s="114"/>
      <c r="Y7" s="114"/>
      <c r="Z7" s="114"/>
    </row>
    <row r="8" ht="14.25" customHeight="1">
      <c r="A8" s="61"/>
      <c r="B8" s="62"/>
      <c r="C8" s="62"/>
      <c r="D8" s="62"/>
      <c r="E8" s="62"/>
      <c r="F8" s="62"/>
      <c r="G8" s="62"/>
      <c r="H8" s="57"/>
      <c r="I8" s="58"/>
      <c r="J8" s="58"/>
      <c r="K8" s="58"/>
      <c r="L8" s="58"/>
      <c r="M8" s="58"/>
      <c r="N8" s="58"/>
      <c r="O8" s="58"/>
      <c r="P8" s="58"/>
      <c r="Q8" s="58"/>
      <c r="R8" s="58"/>
      <c r="S8" s="58"/>
      <c r="T8" s="58"/>
      <c r="U8" s="58"/>
      <c r="V8" s="58"/>
      <c r="W8" s="58"/>
      <c r="X8" s="58"/>
      <c r="Y8" s="58"/>
      <c r="Z8" s="58"/>
    </row>
    <row r="9" ht="54.75" customHeight="1">
      <c r="A9" s="204" t="s">
        <v>3862</v>
      </c>
      <c r="B9" s="204" t="s">
        <v>9</v>
      </c>
      <c r="C9" s="204" t="s">
        <v>3863</v>
      </c>
      <c r="D9" s="204" t="s">
        <v>3864</v>
      </c>
      <c r="E9" s="204" t="s">
        <v>3865</v>
      </c>
      <c r="F9" s="204" t="s">
        <v>3866</v>
      </c>
      <c r="G9" s="63" t="s">
        <v>208</v>
      </c>
      <c r="H9" s="63" t="s">
        <v>3867</v>
      </c>
      <c r="I9" s="65" t="s">
        <v>210</v>
      </c>
      <c r="J9" s="58"/>
      <c r="K9" s="58"/>
      <c r="L9" s="58"/>
      <c r="M9" s="58"/>
      <c r="N9" s="58"/>
      <c r="O9" s="58"/>
      <c r="P9" s="58"/>
      <c r="Q9" s="58"/>
      <c r="R9" s="58"/>
      <c r="S9" s="58"/>
      <c r="T9" s="58"/>
      <c r="U9" s="58"/>
      <c r="V9" s="58"/>
      <c r="W9" s="58"/>
      <c r="X9" s="58"/>
      <c r="Y9" s="58"/>
      <c r="Z9" s="58"/>
    </row>
    <row r="10" ht="27.0" customHeight="1">
      <c r="A10" s="101" t="s">
        <v>3868</v>
      </c>
      <c r="B10" s="75" t="s">
        <v>38</v>
      </c>
      <c r="C10" s="75" t="s">
        <v>3869</v>
      </c>
      <c r="D10" s="176" t="s">
        <v>3870</v>
      </c>
      <c r="E10" s="176" t="s">
        <v>3871</v>
      </c>
      <c r="F10" s="176" t="s">
        <v>3872</v>
      </c>
      <c r="G10" s="176"/>
      <c r="H10" s="538">
        <v>30.0</v>
      </c>
      <c r="I10" s="77" t="s">
        <v>40</v>
      </c>
      <c r="J10" s="58"/>
      <c r="K10" s="58"/>
      <c r="L10" s="58"/>
      <c r="M10" s="58"/>
      <c r="N10" s="58"/>
      <c r="O10" s="58"/>
      <c r="P10" s="58"/>
      <c r="Q10" s="58"/>
      <c r="R10" s="58"/>
      <c r="S10" s="58"/>
      <c r="T10" s="58"/>
      <c r="U10" s="58"/>
      <c r="V10" s="58"/>
      <c r="W10" s="58"/>
      <c r="X10" s="58"/>
      <c r="Y10" s="58"/>
      <c r="Z10" s="58"/>
    </row>
    <row r="11" ht="179.25" customHeight="1">
      <c r="A11" s="503" t="s">
        <v>3868</v>
      </c>
      <c r="B11" s="539" t="s">
        <v>38</v>
      </c>
      <c r="C11" s="525" t="s">
        <v>3873</v>
      </c>
      <c r="D11" s="301" t="s">
        <v>3874</v>
      </c>
      <c r="E11" s="301" t="s">
        <v>3875</v>
      </c>
      <c r="F11" s="540" t="s">
        <v>3876</v>
      </c>
      <c r="G11" s="541"/>
      <c r="H11" s="542">
        <v>100.0</v>
      </c>
      <c r="I11" s="77" t="s">
        <v>40</v>
      </c>
      <c r="J11" s="58"/>
      <c r="K11" s="58"/>
      <c r="L11" s="58"/>
      <c r="M11" s="58"/>
      <c r="N11" s="58"/>
      <c r="O11" s="58"/>
      <c r="P11" s="58"/>
      <c r="Q11" s="58"/>
      <c r="R11" s="58"/>
      <c r="S11" s="58"/>
      <c r="T11" s="58"/>
      <c r="U11" s="58"/>
      <c r="V11" s="58"/>
      <c r="W11" s="58"/>
      <c r="X11" s="58"/>
      <c r="Y11" s="58"/>
      <c r="Z11" s="58"/>
    </row>
    <row r="12" ht="179.25" customHeight="1">
      <c r="A12" s="503" t="s">
        <v>3868</v>
      </c>
      <c r="B12" s="539" t="s">
        <v>38</v>
      </c>
      <c r="C12" s="525" t="s">
        <v>3873</v>
      </c>
      <c r="D12" s="176" t="s">
        <v>3877</v>
      </c>
      <c r="E12" s="176" t="s">
        <v>3878</v>
      </c>
      <c r="F12" s="530" t="s">
        <v>3879</v>
      </c>
      <c r="G12" s="526"/>
      <c r="H12" s="180">
        <v>30.0</v>
      </c>
      <c r="I12" s="77" t="s">
        <v>40</v>
      </c>
      <c r="J12" s="58"/>
      <c r="K12" s="58"/>
      <c r="L12" s="58"/>
      <c r="M12" s="58"/>
      <c r="N12" s="58"/>
      <c r="O12" s="58"/>
      <c r="P12" s="58"/>
      <c r="Q12" s="58"/>
      <c r="R12" s="58"/>
      <c r="S12" s="58"/>
      <c r="T12" s="58"/>
      <c r="U12" s="58"/>
      <c r="V12" s="58"/>
      <c r="W12" s="58"/>
      <c r="X12" s="58"/>
      <c r="Y12" s="58"/>
      <c r="Z12" s="58"/>
    </row>
    <row r="13" ht="192.75" customHeight="1">
      <c r="A13" s="503" t="s">
        <v>3868</v>
      </c>
      <c r="B13" s="539" t="s">
        <v>38</v>
      </c>
      <c r="C13" s="525" t="s">
        <v>3880</v>
      </c>
      <c r="D13" s="176" t="s">
        <v>3881</v>
      </c>
      <c r="E13" s="543">
        <v>44107.0</v>
      </c>
      <c r="F13" s="530" t="s">
        <v>3882</v>
      </c>
      <c r="G13" s="526"/>
      <c r="H13" s="180">
        <v>30.0</v>
      </c>
      <c r="I13" s="77" t="s">
        <v>40</v>
      </c>
      <c r="J13" s="58"/>
      <c r="K13" s="58"/>
      <c r="L13" s="58"/>
      <c r="M13" s="58"/>
      <c r="N13" s="58"/>
      <c r="O13" s="58"/>
      <c r="P13" s="58"/>
      <c r="Q13" s="58"/>
      <c r="R13" s="58"/>
      <c r="S13" s="58"/>
      <c r="T13" s="58"/>
      <c r="U13" s="58"/>
      <c r="V13" s="58"/>
      <c r="W13" s="58"/>
      <c r="X13" s="58"/>
      <c r="Y13" s="58"/>
      <c r="Z13" s="58"/>
    </row>
    <row r="14" ht="41.25" customHeight="1">
      <c r="A14" s="503" t="s">
        <v>3868</v>
      </c>
      <c r="B14" s="539" t="s">
        <v>38</v>
      </c>
      <c r="C14" s="525" t="s">
        <v>3883</v>
      </c>
      <c r="D14" s="544" t="s">
        <v>3884</v>
      </c>
      <c r="E14" s="525" t="s">
        <v>3885</v>
      </c>
      <c r="F14" s="545" t="s">
        <v>3886</v>
      </c>
      <c r="G14" s="546"/>
      <c r="H14" s="547">
        <v>30.0</v>
      </c>
      <c r="I14" s="77" t="s">
        <v>40</v>
      </c>
      <c r="J14" s="58"/>
      <c r="K14" s="58"/>
      <c r="L14" s="58"/>
      <c r="M14" s="58"/>
      <c r="N14" s="58"/>
      <c r="O14" s="58"/>
      <c r="P14" s="58"/>
      <c r="Q14" s="58"/>
      <c r="R14" s="58"/>
      <c r="S14" s="58"/>
      <c r="T14" s="58"/>
      <c r="U14" s="58"/>
      <c r="V14" s="58"/>
      <c r="W14" s="58"/>
      <c r="X14" s="58"/>
      <c r="Y14" s="58"/>
      <c r="Z14" s="58"/>
    </row>
    <row r="15" ht="27.0" customHeight="1">
      <c r="A15" s="503" t="s">
        <v>3868</v>
      </c>
      <c r="B15" s="539" t="s">
        <v>38</v>
      </c>
      <c r="C15" s="525" t="s">
        <v>3887</v>
      </c>
      <c r="D15" s="525" t="s">
        <v>3888</v>
      </c>
      <c r="E15" s="548">
        <v>44172.0</v>
      </c>
      <c r="F15" s="545" t="s">
        <v>3889</v>
      </c>
      <c r="G15" s="546"/>
      <c r="H15" s="547">
        <v>30.0</v>
      </c>
      <c r="I15" s="77" t="s">
        <v>40</v>
      </c>
      <c r="J15" s="58"/>
      <c r="K15" s="58"/>
      <c r="L15" s="58"/>
      <c r="M15" s="58"/>
      <c r="N15" s="58"/>
      <c r="O15" s="58"/>
      <c r="P15" s="58"/>
      <c r="Q15" s="58"/>
      <c r="R15" s="58"/>
      <c r="S15" s="58"/>
      <c r="T15" s="58"/>
      <c r="U15" s="58"/>
      <c r="V15" s="58"/>
      <c r="W15" s="58"/>
      <c r="X15" s="58"/>
      <c r="Y15" s="58"/>
      <c r="Z15" s="58"/>
    </row>
    <row r="16" ht="57.0" customHeight="1">
      <c r="A16" s="101" t="s">
        <v>3890</v>
      </c>
      <c r="B16" s="75" t="s">
        <v>38</v>
      </c>
      <c r="C16" s="75" t="s">
        <v>3891</v>
      </c>
      <c r="D16" s="176" t="s">
        <v>3892</v>
      </c>
      <c r="E16" s="176" t="s">
        <v>3893</v>
      </c>
      <c r="F16" s="423" t="s">
        <v>3894</v>
      </c>
      <c r="G16" s="101">
        <v>100.0</v>
      </c>
      <c r="H16" s="538">
        <v>100.0</v>
      </c>
      <c r="I16" s="77" t="s">
        <v>42</v>
      </c>
      <c r="J16" s="58"/>
      <c r="K16" s="58"/>
      <c r="L16" s="58"/>
      <c r="M16" s="58"/>
      <c r="N16" s="58"/>
      <c r="O16" s="58"/>
      <c r="P16" s="58"/>
      <c r="Q16" s="58"/>
      <c r="R16" s="58"/>
      <c r="S16" s="58"/>
      <c r="T16" s="58"/>
      <c r="U16" s="58"/>
      <c r="V16" s="58"/>
      <c r="W16" s="58"/>
      <c r="X16" s="58"/>
      <c r="Y16" s="58"/>
      <c r="Z16" s="58"/>
    </row>
    <row r="17" ht="57.0" customHeight="1">
      <c r="A17" s="503" t="s">
        <v>3895</v>
      </c>
      <c r="B17" s="539" t="s">
        <v>38</v>
      </c>
      <c r="C17" s="525" t="s">
        <v>3891</v>
      </c>
      <c r="D17" s="301" t="s">
        <v>3896</v>
      </c>
      <c r="E17" s="176" t="s">
        <v>3893</v>
      </c>
      <c r="F17" s="549" t="s">
        <v>3894</v>
      </c>
      <c r="G17" s="541">
        <v>30.0</v>
      </c>
      <c r="H17" s="550">
        <v>15.0</v>
      </c>
      <c r="I17" s="77" t="s">
        <v>42</v>
      </c>
      <c r="J17" s="58"/>
      <c r="K17" s="58"/>
      <c r="L17" s="58"/>
      <c r="M17" s="58"/>
      <c r="N17" s="58"/>
      <c r="O17" s="58"/>
      <c r="P17" s="58"/>
      <c r="Q17" s="58"/>
      <c r="R17" s="58"/>
      <c r="S17" s="58"/>
      <c r="T17" s="58"/>
      <c r="U17" s="58"/>
      <c r="V17" s="58"/>
      <c r="W17" s="58"/>
      <c r="X17" s="58"/>
      <c r="Y17" s="58"/>
      <c r="Z17" s="58"/>
    </row>
    <row r="18" ht="41.25" customHeight="1">
      <c r="A18" s="101" t="s">
        <v>3897</v>
      </c>
      <c r="B18" s="75" t="s">
        <v>38</v>
      </c>
      <c r="C18" s="75" t="s">
        <v>3898</v>
      </c>
      <c r="D18" s="176" t="s">
        <v>3899</v>
      </c>
      <c r="E18" s="176" t="s">
        <v>3900</v>
      </c>
      <c r="F18" s="176"/>
      <c r="G18" s="176">
        <v>30.0</v>
      </c>
      <c r="H18" s="538">
        <v>30.0</v>
      </c>
      <c r="I18" s="77" t="s">
        <v>49</v>
      </c>
      <c r="J18" s="58"/>
      <c r="K18" s="58"/>
      <c r="L18" s="58"/>
      <c r="M18" s="58"/>
      <c r="N18" s="58"/>
      <c r="O18" s="58"/>
      <c r="P18" s="58"/>
      <c r="Q18" s="58"/>
      <c r="R18" s="58"/>
      <c r="S18" s="58"/>
      <c r="T18" s="58"/>
      <c r="U18" s="58"/>
      <c r="V18" s="58"/>
      <c r="W18" s="58"/>
      <c r="X18" s="58"/>
      <c r="Y18" s="58"/>
      <c r="Z18" s="58"/>
    </row>
    <row r="19" ht="42.75" customHeight="1">
      <c r="A19" s="101" t="s">
        <v>3901</v>
      </c>
      <c r="B19" s="75" t="s">
        <v>38</v>
      </c>
      <c r="C19" s="75" t="s">
        <v>3902</v>
      </c>
      <c r="D19" s="176" t="s">
        <v>3903</v>
      </c>
      <c r="E19" s="176" t="s">
        <v>3904</v>
      </c>
      <c r="F19" s="423" t="s">
        <v>3905</v>
      </c>
      <c r="G19" s="176">
        <v>30.0</v>
      </c>
      <c r="H19" s="538">
        <v>30.0</v>
      </c>
      <c r="I19" s="77" t="s">
        <v>53</v>
      </c>
      <c r="J19" s="58"/>
      <c r="K19" s="58"/>
      <c r="L19" s="58"/>
      <c r="M19" s="58"/>
      <c r="N19" s="58"/>
      <c r="O19" s="58"/>
      <c r="P19" s="58"/>
      <c r="Q19" s="58"/>
      <c r="R19" s="58"/>
      <c r="S19" s="58"/>
      <c r="T19" s="58"/>
      <c r="U19" s="58"/>
      <c r="V19" s="58"/>
      <c r="W19" s="58"/>
      <c r="X19" s="58"/>
      <c r="Y19" s="58"/>
      <c r="Z19" s="58"/>
    </row>
    <row r="20" ht="110.25" customHeight="1">
      <c r="A20" s="101" t="s">
        <v>84</v>
      </c>
      <c r="B20" s="75" t="s">
        <v>73</v>
      </c>
      <c r="C20" s="176" t="s">
        <v>3906</v>
      </c>
      <c r="D20" s="176" t="s">
        <v>3907</v>
      </c>
      <c r="E20" s="176" t="s">
        <v>3908</v>
      </c>
      <c r="F20" s="421" t="s">
        <v>3909</v>
      </c>
      <c r="G20" s="75">
        <v>30.0</v>
      </c>
      <c r="H20" s="75">
        <v>30.0</v>
      </c>
      <c r="I20" s="77" t="s">
        <v>3910</v>
      </c>
      <c r="J20" s="58"/>
      <c r="K20" s="58"/>
      <c r="L20" s="58"/>
      <c r="M20" s="58"/>
      <c r="N20" s="58"/>
      <c r="O20" s="58"/>
      <c r="P20" s="58"/>
      <c r="Q20" s="58"/>
      <c r="R20" s="58"/>
      <c r="S20" s="58"/>
      <c r="T20" s="58"/>
      <c r="U20" s="58"/>
      <c r="V20" s="58"/>
      <c r="W20" s="58"/>
      <c r="X20" s="58"/>
      <c r="Y20" s="58"/>
      <c r="Z20" s="58"/>
    </row>
    <row r="21" ht="96.0" customHeight="1">
      <c r="A21" s="503" t="s">
        <v>84</v>
      </c>
      <c r="B21" s="539" t="s">
        <v>73</v>
      </c>
      <c r="C21" s="551" t="s">
        <v>3911</v>
      </c>
      <c r="D21" s="461" t="s">
        <v>3912</v>
      </c>
      <c r="E21" s="461" t="s">
        <v>3913</v>
      </c>
      <c r="F21" s="421" t="s">
        <v>3914</v>
      </c>
      <c r="G21" s="465">
        <v>30.0</v>
      </c>
      <c r="H21" s="552">
        <v>30.0</v>
      </c>
      <c r="I21" s="77" t="s">
        <v>3910</v>
      </c>
      <c r="J21" s="58"/>
      <c r="K21" s="58"/>
      <c r="L21" s="58"/>
      <c r="M21" s="58"/>
      <c r="N21" s="58"/>
      <c r="O21" s="58"/>
      <c r="P21" s="58"/>
      <c r="Q21" s="58"/>
      <c r="R21" s="58"/>
      <c r="S21" s="58"/>
      <c r="T21" s="58"/>
      <c r="U21" s="58"/>
      <c r="V21" s="58"/>
      <c r="W21" s="58"/>
      <c r="X21" s="58"/>
      <c r="Y21" s="58"/>
      <c r="Z21" s="58"/>
    </row>
    <row r="22" ht="86.25" customHeight="1">
      <c r="A22" s="503" t="s">
        <v>84</v>
      </c>
      <c r="B22" s="539" t="s">
        <v>73</v>
      </c>
      <c r="C22" s="525" t="s">
        <v>3915</v>
      </c>
      <c r="D22" s="176" t="s">
        <v>3907</v>
      </c>
      <c r="E22" s="553" t="s">
        <v>3916</v>
      </c>
      <c r="F22" s="423" t="s">
        <v>3917</v>
      </c>
      <c r="G22" s="76">
        <v>30.0</v>
      </c>
      <c r="H22" s="180">
        <v>30.0</v>
      </c>
      <c r="I22" s="77" t="s">
        <v>3910</v>
      </c>
      <c r="J22" s="58"/>
      <c r="K22" s="58"/>
      <c r="L22" s="58"/>
      <c r="M22" s="58"/>
      <c r="N22" s="58"/>
      <c r="O22" s="58"/>
      <c r="P22" s="58"/>
      <c r="Q22" s="58"/>
      <c r="R22" s="58"/>
      <c r="S22" s="58"/>
      <c r="T22" s="58"/>
      <c r="U22" s="58"/>
      <c r="V22" s="58"/>
      <c r="W22" s="58"/>
      <c r="X22" s="58"/>
      <c r="Y22" s="58"/>
      <c r="Z22" s="58"/>
    </row>
    <row r="23" ht="123.75" customHeight="1">
      <c r="A23" s="503" t="s">
        <v>84</v>
      </c>
      <c r="B23" s="539" t="s">
        <v>73</v>
      </c>
      <c r="C23" s="525" t="s">
        <v>3918</v>
      </c>
      <c r="D23" s="176" t="s">
        <v>3919</v>
      </c>
      <c r="E23" s="176" t="s">
        <v>3920</v>
      </c>
      <c r="F23" s="423" t="s">
        <v>3921</v>
      </c>
      <c r="G23" s="76">
        <v>100.0</v>
      </c>
      <c r="H23" s="180">
        <v>100.0</v>
      </c>
      <c r="I23" s="77" t="s">
        <v>3910</v>
      </c>
      <c r="J23" s="58"/>
      <c r="K23" s="58"/>
      <c r="L23" s="58"/>
      <c r="M23" s="58"/>
      <c r="N23" s="58"/>
      <c r="O23" s="58"/>
      <c r="P23" s="58"/>
      <c r="Q23" s="58"/>
      <c r="R23" s="58"/>
      <c r="S23" s="58"/>
      <c r="T23" s="58"/>
      <c r="U23" s="58"/>
      <c r="V23" s="58"/>
      <c r="W23" s="58"/>
      <c r="X23" s="58"/>
      <c r="Y23" s="58"/>
      <c r="Z23" s="58"/>
    </row>
    <row r="24" ht="123.75" customHeight="1">
      <c r="A24" s="101" t="s">
        <v>3922</v>
      </c>
      <c r="B24" s="75" t="s">
        <v>1340</v>
      </c>
      <c r="C24" s="176" t="s">
        <v>3923</v>
      </c>
      <c r="D24" s="176" t="s">
        <v>3924</v>
      </c>
      <c r="E24" s="176" t="s">
        <v>3925</v>
      </c>
      <c r="F24" s="423" t="s">
        <v>3926</v>
      </c>
      <c r="G24" s="176"/>
      <c r="H24" s="552">
        <v>330.0</v>
      </c>
      <c r="I24" s="77" t="s">
        <v>95</v>
      </c>
      <c r="J24" s="58"/>
      <c r="K24" s="58"/>
      <c r="L24" s="58"/>
      <c r="M24" s="58"/>
      <c r="N24" s="58"/>
      <c r="O24" s="58"/>
      <c r="P24" s="58"/>
      <c r="Q24" s="58"/>
      <c r="R24" s="58"/>
      <c r="S24" s="58"/>
      <c r="T24" s="58"/>
      <c r="U24" s="58"/>
      <c r="V24" s="58"/>
      <c r="W24" s="58"/>
      <c r="X24" s="58"/>
      <c r="Y24" s="58"/>
      <c r="Z24" s="58"/>
    </row>
    <row r="25" ht="96.0" customHeight="1">
      <c r="A25" s="503" t="s">
        <v>3927</v>
      </c>
      <c r="B25" s="539" t="s">
        <v>1340</v>
      </c>
      <c r="C25" s="525" t="s">
        <v>3928</v>
      </c>
      <c r="D25" s="176" t="s">
        <v>3929</v>
      </c>
      <c r="E25" s="554">
        <v>43952.0</v>
      </c>
      <c r="F25" s="423" t="s">
        <v>3930</v>
      </c>
      <c r="G25" s="176"/>
      <c r="H25" s="552">
        <v>370.0</v>
      </c>
      <c r="I25" s="77" t="s">
        <v>95</v>
      </c>
      <c r="J25" s="58"/>
      <c r="K25" s="58"/>
      <c r="L25" s="58"/>
      <c r="M25" s="58"/>
      <c r="N25" s="58"/>
      <c r="O25" s="58"/>
      <c r="P25" s="58"/>
      <c r="Q25" s="58"/>
      <c r="R25" s="58"/>
      <c r="S25" s="58"/>
      <c r="T25" s="58"/>
      <c r="U25" s="58"/>
      <c r="V25" s="58"/>
      <c r="W25" s="58"/>
      <c r="X25" s="58"/>
      <c r="Y25" s="58"/>
      <c r="Z25" s="58"/>
    </row>
    <row r="26" ht="96.0" customHeight="1">
      <c r="A26" s="503" t="s">
        <v>3931</v>
      </c>
      <c r="B26" s="539" t="s">
        <v>1340</v>
      </c>
      <c r="C26" s="525" t="s">
        <v>3932</v>
      </c>
      <c r="D26" s="176" t="s">
        <v>3933</v>
      </c>
      <c r="E26" s="555">
        <v>44157.0</v>
      </c>
      <c r="F26" s="549" t="s">
        <v>3934</v>
      </c>
      <c r="G26" s="541"/>
      <c r="H26" s="552">
        <v>100.0</v>
      </c>
      <c r="I26" s="77" t="s">
        <v>95</v>
      </c>
      <c r="J26" s="58"/>
      <c r="K26" s="58"/>
      <c r="L26" s="58"/>
      <c r="M26" s="58"/>
      <c r="N26" s="58"/>
      <c r="O26" s="58"/>
      <c r="P26" s="58"/>
      <c r="Q26" s="58"/>
      <c r="R26" s="58"/>
      <c r="S26" s="58"/>
      <c r="T26" s="58"/>
      <c r="U26" s="58"/>
      <c r="V26" s="58"/>
      <c r="W26" s="58"/>
      <c r="X26" s="58"/>
      <c r="Y26" s="58"/>
      <c r="Z26" s="58"/>
    </row>
    <row r="27" ht="96.0" customHeight="1">
      <c r="A27" s="503" t="s">
        <v>3935</v>
      </c>
      <c r="B27" s="539" t="s">
        <v>1340</v>
      </c>
      <c r="C27" s="525" t="s">
        <v>3936</v>
      </c>
      <c r="D27" s="176" t="s">
        <v>3937</v>
      </c>
      <c r="E27" s="555">
        <v>44178.0</v>
      </c>
      <c r="F27" s="423" t="s">
        <v>3934</v>
      </c>
      <c r="G27" s="526"/>
      <c r="H27" s="180">
        <v>20.0</v>
      </c>
      <c r="I27" s="77" t="s">
        <v>95</v>
      </c>
      <c r="J27" s="58"/>
      <c r="K27" s="58"/>
      <c r="L27" s="58"/>
      <c r="M27" s="58"/>
      <c r="N27" s="58"/>
      <c r="O27" s="58"/>
      <c r="P27" s="58"/>
      <c r="Q27" s="58"/>
      <c r="R27" s="58"/>
      <c r="S27" s="58"/>
      <c r="T27" s="58"/>
      <c r="U27" s="58"/>
      <c r="V27" s="58"/>
      <c r="W27" s="58"/>
      <c r="X27" s="58"/>
      <c r="Y27" s="58"/>
      <c r="Z27" s="58"/>
    </row>
    <row r="28" ht="129.0" customHeight="1">
      <c r="A28" s="503" t="s">
        <v>3938</v>
      </c>
      <c r="B28" s="539" t="s">
        <v>1340</v>
      </c>
      <c r="C28" s="525" t="s">
        <v>3939</v>
      </c>
      <c r="D28" s="525" t="s">
        <v>3940</v>
      </c>
      <c r="E28" s="556">
        <v>43892.0</v>
      </c>
      <c r="F28" s="423" t="s">
        <v>3941</v>
      </c>
      <c r="G28" s="546"/>
      <c r="H28" s="547">
        <v>40.0</v>
      </c>
      <c r="I28" s="77" t="s">
        <v>95</v>
      </c>
      <c r="J28" s="58"/>
      <c r="K28" s="58"/>
      <c r="L28" s="58"/>
      <c r="M28" s="58"/>
      <c r="N28" s="58"/>
      <c r="O28" s="58"/>
      <c r="P28" s="58"/>
      <c r="Q28" s="58"/>
      <c r="R28" s="58"/>
      <c r="S28" s="58"/>
      <c r="T28" s="58"/>
      <c r="U28" s="58"/>
      <c r="V28" s="58"/>
      <c r="W28" s="58"/>
      <c r="X28" s="58"/>
      <c r="Y28" s="58"/>
      <c r="Z28" s="58"/>
    </row>
    <row r="29" ht="14.25" customHeight="1">
      <c r="A29" s="101"/>
      <c r="B29" s="75"/>
      <c r="C29" s="75"/>
      <c r="D29" s="176"/>
      <c r="E29" s="176"/>
      <c r="F29" s="176"/>
      <c r="G29" s="176"/>
      <c r="H29" s="180"/>
      <c r="I29" s="77"/>
      <c r="J29" s="58"/>
      <c r="K29" s="58"/>
      <c r="L29" s="58"/>
      <c r="M29" s="58"/>
      <c r="N29" s="58"/>
      <c r="O29" s="58"/>
      <c r="P29" s="58"/>
      <c r="Q29" s="58"/>
      <c r="R29" s="58"/>
      <c r="S29" s="58"/>
      <c r="T29" s="58"/>
      <c r="U29" s="58"/>
      <c r="V29" s="58"/>
      <c r="W29" s="58"/>
      <c r="X29" s="58"/>
      <c r="Y29" s="58"/>
      <c r="Z29" s="58"/>
    </row>
    <row r="30" ht="14.25" customHeight="1">
      <c r="A30" s="101"/>
      <c r="B30" s="75"/>
      <c r="C30" s="75"/>
      <c r="D30" s="176"/>
      <c r="E30" s="176"/>
      <c r="F30" s="176"/>
      <c r="G30" s="176"/>
      <c r="H30" s="180"/>
      <c r="I30" s="77"/>
      <c r="J30" s="58"/>
      <c r="K30" s="58"/>
      <c r="L30" s="58"/>
      <c r="M30" s="58"/>
      <c r="N30" s="58"/>
      <c r="O30" s="58"/>
      <c r="P30" s="58"/>
      <c r="Q30" s="58"/>
      <c r="R30" s="58"/>
      <c r="S30" s="58"/>
      <c r="T30" s="58"/>
      <c r="U30" s="58"/>
      <c r="V30" s="58"/>
      <c r="W30" s="58"/>
      <c r="X30" s="58"/>
      <c r="Y30" s="58"/>
      <c r="Z30" s="58"/>
    </row>
    <row r="31" ht="14.25" customHeight="1">
      <c r="A31" s="503"/>
      <c r="B31" s="539"/>
      <c r="C31" s="525"/>
      <c r="D31" s="525"/>
      <c r="E31" s="525"/>
      <c r="F31" s="525"/>
      <c r="G31" s="546"/>
      <c r="H31" s="547"/>
      <c r="I31" s="77"/>
    </row>
    <row r="32" ht="14.25" customHeight="1">
      <c r="A32" s="104" t="s">
        <v>180</v>
      </c>
      <c r="B32" s="53"/>
      <c r="C32" s="53"/>
      <c r="D32" s="53"/>
      <c r="E32" s="53"/>
      <c r="F32" s="53"/>
      <c r="G32" s="62"/>
      <c r="H32" s="533">
        <f>SUM(H10:H31)</f>
        <v>1475</v>
      </c>
    </row>
    <row r="33" ht="14.25" customHeight="1">
      <c r="A33" s="52"/>
      <c r="B33" s="53"/>
      <c r="C33" s="53"/>
      <c r="D33" s="53"/>
      <c r="E33" s="53"/>
      <c r="F33" s="53"/>
      <c r="G33" s="53"/>
      <c r="H33" s="1"/>
    </row>
    <row r="34" ht="14.25" customHeight="1">
      <c r="A34" s="534" t="s">
        <v>330</v>
      </c>
      <c r="B34" s="107"/>
      <c r="C34" s="107"/>
      <c r="D34" s="107"/>
      <c r="E34" s="107"/>
      <c r="F34" s="107"/>
      <c r="G34" s="107"/>
      <c r="H34" s="108"/>
    </row>
    <row r="35" ht="14.25" customHeight="1">
      <c r="A35" s="52"/>
      <c r="B35" s="53"/>
      <c r="C35" s="53"/>
      <c r="D35" s="53"/>
      <c r="E35" s="53"/>
      <c r="F35" s="53"/>
      <c r="G35" s="53"/>
      <c r="H35" s="1"/>
    </row>
    <row r="36" ht="14.25" customHeight="1">
      <c r="A36" s="52"/>
      <c r="B36" s="53"/>
      <c r="C36" s="53"/>
      <c r="D36" s="53"/>
      <c r="E36" s="53"/>
      <c r="F36" s="53"/>
      <c r="G36" s="53"/>
      <c r="H36" s="1"/>
    </row>
    <row r="37" ht="14.25" customHeight="1">
      <c r="A37" s="52"/>
      <c r="B37" s="53"/>
      <c r="C37" s="53"/>
      <c r="D37" s="53"/>
      <c r="E37" s="53"/>
      <c r="F37" s="53"/>
      <c r="G37" s="53"/>
      <c r="H37" s="1"/>
    </row>
    <row r="38" ht="14.25" customHeight="1">
      <c r="A38" s="52"/>
      <c r="B38" s="53"/>
      <c r="C38" s="53"/>
      <c r="D38" s="53"/>
      <c r="E38" s="53"/>
      <c r="F38" s="53"/>
      <c r="G38" s="53"/>
      <c r="H38" s="1"/>
    </row>
    <row r="39" ht="14.25" customHeight="1">
      <c r="A39" s="52"/>
      <c r="B39" s="53"/>
      <c r="C39" s="53"/>
      <c r="D39" s="53"/>
      <c r="E39" s="53"/>
      <c r="F39" s="53"/>
      <c r="G39" s="53"/>
      <c r="H39" s="1"/>
    </row>
    <row r="40" ht="14.25" customHeight="1">
      <c r="A40" s="52"/>
      <c r="B40" s="53"/>
      <c r="C40" s="53"/>
      <c r="D40" s="53"/>
      <c r="E40" s="53"/>
      <c r="F40" s="53"/>
      <c r="G40" s="53"/>
      <c r="H40" s="1"/>
    </row>
    <row r="41" ht="14.25" customHeight="1">
      <c r="A41" s="52"/>
      <c r="B41" s="53"/>
      <c r="C41" s="53"/>
      <c r="D41" s="53"/>
      <c r="E41" s="53"/>
      <c r="F41" s="53"/>
      <c r="G41" s="53"/>
      <c r="H41" s="1"/>
    </row>
    <row r="42" ht="14.25" customHeight="1">
      <c r="A42" s="52"/>
      <c r="B42" s="53"/>
      <c r="C42" s="53"/>
      <c r="D42" s="53"/>
      <c r="E42" s="53"/>
      <c r="F42" s="53"/>
      <c r="G42" s="53"/>
      <c r="H42" s="1"/>
    </row>
    <row r="43" ht="14.25" customHeight="1">
      <c r="A43" s="52"/>
      <c r="B43" s="53"/>
      <c r="C43" s="53"/>
      <c r="D43" s="53"/>
      <c r="E43" s="53"/>
      <c r="F43" s="53"/>
      <c r="G43" s="53"/>
      <c r="H43" s="1"/>
    </row>
    <row r="44" ht="14.25" customHeight="1">
      <c r="A44" s="52"/>
      <c r="B44" s="53"/>
      <c r="C44" s="53"/>
      <c r="D44" s="53"/>
      <c r="E44" s="53"/>
      <c r="F44" s="53"/>
      <c r="G44" s="53"/>
      <c r="H44" s="1"/>
    </row>
    <row r="45" ht="14.25" customHeight="1">
      <c r="A45" s="52"/>
      <c r="B45" s="53"/>
      <c r="C45" s="53"/>
      <c r="D45" s="53"/>
      <c r="E45" s="53"/>
      <c r="F45" s="53"/>
      <c r="G45" s="53"/>
      <c r="H45" s="1"/>
    </row>
    <row r="46" ht="14.25" customHeight="1">
      <c r="A46" s="52"/>
      <c r="B46" s="53"/>
      <c r="C46" s="53"/>
      <c r="D46" s="53"/>
      <c r="E46" s="53"/>
      <c r="F46" s="53"/>
      <c r="G46" s="53"/>
      <c r="H46" s="1"/>
    </row>
    <row r="47" ht="14.25" customHeight="1">
      <c r="A47" s="52"/>
      <c r="B47" s="53"/>
      <c r="C47" s="53"/>
      <c r="D47" s="53"/>
      <c r="E47" s="53"/>
      <c r="F47" s="53"/>
      <c r="G47" s="53"/>
      <c r="H47" s="1"/>
    </row>
    <row r="48" ht="14.25" customHeight="1">
      <c r="A48" s="52"/>
      <c r="B48" s="53"/>
      <c r="C48" s="53"/>
      <c r="D48" s="53"/>
      <c r="E48" s="53"/>
      <c r="F48" s="53"/>
      <c r="G48" s="53"/>
      <c r="H48" s="1"/>
    </row>
    <row r="49" ht="14.25" customHeight="1">
      <c r="A49" s="52"/>
      <c r="B49" s="53"/>
      <c r="C49" s="53"/>
      <c r="D49" s="53"/>
      <c r="E49" s="53"/>
      <c r="F49" s="53"/>
      <c r="G49" s="53"/>
      <c r="H49" s="1"/>
    </row>
    <row r="50" ht="14.25" customHeight="1">
      <c r="A50" s="52"/>
      <c r="B50" s="53"/>
      <c r="C50" s="53"/>
      <c r="D50" s="53"/>
      <c r="E50" s="53"/>
      <c r="F50" s="53"/>
      <c r="G50" s="53"/>
      <c r="H50" s="1"/>
    </row>
    <row r="51" ht="14.25" customHeight="1">
      <c r="A51" s="52"/>
      <c r="B51" s="53"/>
      <c r="C51" s="53"/>
      <c r="D51" s="53"/>
      <c r="E51" s="53"/>
      <c r="F51" s="53"/>
      <c r="G51" s="53"/>
      <c r="H51" s="1"/>
    </row>
    <row r="52" ht="14.25" customHeight="1">
      <c r="A52" s="52"/>
      <c r="B52" s="53"/>
      <c r="C52" s="53"/>
      <c r="D52" s="53"/>
      <c r="E52" s="53"/>
      <c r="F52" s="53"/>
      <c r="G52" s="53"/>
      <c r="H52" s="1"/>
    </row>
    <row r="53" ht="14.25" customHeight="1">
      <c r="A53" s="52"/>
      <c r="B53" s="53"/>
      <c r="C53" s="53"/>
      <c r="D53" s="53"/>
      <c r="E53" s="53"/>
      <c r="F53" s="53"/>
      <c r="G53" s="53"/>
      <c r="H53" s="1"/>
    </row>
    <row r="54" ht="14.25" customHeight="1">
      <c r="A54" s="52"/>
      <c r="B54" s="53"/>
      <c r="C54" s="53"/>
      <c r="D54" s="53"/>
      <c r="E54" s="53"/>
      <c r="F54" s="53"/>
      <c r="G54" s="53"/>
      <c r="H54" s="1"/>
    </row>
    <row r="55" ht="14.25" customHeight="1">
      <c r="A55" s="52"/>
      <c r="B55" s="53"/>
      <c r="C55" s="53"/>
      <c r="D55" s="53"/>
      <c r="E55" s="53"/>
      <c r="F55" s="53"/>
      <c r="G55" s="53"/>
      <c r="H55" s="1"/>
    </row>
    <row r="56" ht="14.25" customHeight="1">
      <c r="A56" s="52"/>
      <c r="B56" s="53"/>
      <c r="C56" s="53"/>
      <c r="D56" s="53"/>
      <c r="E56" s="53"/>
      <c r="F56" s="53"/>
      <c r="G56" s="53"/>
      <c r="H56" s="1"/>
    </row>
    <row r="57" ht="14.25" customHeight="1">
      <c r="A57" s="52"/>
      <c r="B57" s="53"/>
      <c r="C57" s="53"/>
      <c r="D57" s="53"/>
      <c r="E57" s="53"/>
      <c r="F57" s="53"/>
      <c r="G57" s="53"/>
      <c r="H57" s="1"/>
    </row>
    <row r="58" ht="14.25" customHeight="1">
      <c r="A58" s="52"/>
      <c r="B58" s="53"/>
      <c r="C58" s="53"/>
      <c r="D58" s="53"/>
      <c r="E58" s="53"/>
      <c r="F58" s="53"/>
      <c r="G58" s="53"/>
      <c r="H58" s="1"/>
    </row>
    <row r="59" ht="14.25" customHeight="1">
      <c r="A59" s="52"/>
      <c r="B59" s="53"/>
      <c r="C59" s="53"/>
      <c r="D59" s="53"/>
      <c r="E59" s="53"/>
      <c r="F59" s="53"/>
      <c r="G59" s="53"/>
      <c r="H59" s="1"/>
    </row>
    <row r="60" ht="14.25" customHeight="1">
      <c r="A60" s="52"/>
      <c r="B60" s="53"/>
      <c r="C60" s="53"/>
      <c r="D60" s="53"/>
      <c r="E60" s="53"/>
      <c r="F60" s="53"/>
      <c r="G60" s="53"/>
      <c r="H60" s="1"/>
    </row>
    <row r="61" ht="14.25" customHeight="1">
      <c r="A61" s="52"/>
      <c r="B61" s="53"/>
      <c r="C61" s="53"/>
      <c r="D61" s="53"/>
      <c r="E61" s="53"/>
      <c r="F61" s="53"/>
      <c r="G61" s="53"/>
      <c r="H61" s="1"/>
    </row>
    <row r="62" ht="14.25" customHeight="1">
      <c r="A62" s="52"/>
      <c r="B62" s="53"/>
      <c r="C62" s="53"/>
      <c r="D62" s="53"/>
      <c r="E62" s="53"/>
      <c r="F62" s="53"/>
      <c r="G62" s="53"/>
      <c r="H62" s="1"/>
    </row>
    <row r="63" ht="14.25" customHeight="1">
      <c r="A63" s="52"/>
      <c r="B63" s="53"/>
      <c r="C63" s="53"/>
      <c r="D63" s="53"/>
      <c r="E63" s="53"/>
      <c r="F63" s="53"/>
      <c r="G63" s="53"/>
      <c r="H63" s="1"/>
    </row>
    <row r="64" ht="14.25" customHeight="1">
      <c r="A64" s="52"/>
      <c r="B64" s="53"/>
      <c r="C64" s="53"/>
      <c r="D64" s="53"/>
      <c r="E64" s="53"/>
      <c r="F64" s="53"/>
      <c r="G64" s="53"/>
      <c r="H64" s="1"/>
    </row>
    <row r="65" ht="14.25" customHeight="1">
      <c r="A65" s="52"/>
      <c r="B65" s="53"/>
      <c r="C65" s="53"/>
      <c r="D65" s="53"/>
      <c r="E65" s="53"/>
      <c r="F65" s="53"/>
      <c r="G65" s="53"/>
      <c r="H65" s="1"/>
    </row>
    <row r="66" ht="14.25" customHeight="1">
      <c r="A66" s="52"/>
      <c r="B66" s="53"/>
      <c r="C66" s="53"/>
      <c r="D66" s="53"/>
      <c r="E66" s="53"/>
      <c r="F66" s="53"/>
      <c r="G66" s="53"/>
      <c r="H66" s="1"/>
    </row>
    <row r="67" ht="14.25" customHeight="1">
      <c r="A67" s="52"/>
      <c r="B67" s="53"/>
      <c r="C67" s="53"/>
      <c r="D67" s="53"/>
      <c r="E67" s="53"/>
      <c r="F67" s="53"/>
      <c r="G67" s="53"/>
      <c r="H67" s="1"/>
    </row>
    <row r="68" ht="14.25" customHeight="1">
      <c r="A68" s="52"/>
      <c r="B68" s="53"/>
      <c r="C68" s="53"/>
      <c r="D68" s="53"/>
      <c r="E68" s="53"/>
      <c r="F68" s="53"/>
      <c r="G68" s="53"/>
      <c r="H68" s="1"/>
    </row>
    <row r="69" ht="14.25" customHeight="1">
      <c r="A69" s="52"/>
      <c r="B69" s="53"/>
      <c r="C69" s="53"/>
      <c r="D69" s="53"/>
      <c r="E69" s="53"/>
      <c r="F69" s="53"/>
      <c r="G69" s="53"/>
      <c r="H69" s="1"/>
    </row>
    <row r="70" ht="14.25" customHeight="1">
      <c r="A70" s="52"/>
      <c r="B70" s="53"/>
      <c r="C70" s="53"/>
      <c r="D70" s="53"/>
      <c r="E70" s="53"/>
      <c r="F70" s="53"/>
      <c r="G70" s="53"/>
      <c r="H70" s="1"/>
    </row>
    <row r="71" ht="14.25" customHeight="1">
      <c r="A71" s="52"/>
      <c r="B71" s="53"/>
      <c r="C71" s="53"/>
      <c r="D71" s="53"/>
      <c r="E71" s="53"/>
      <c r="F71" s="53"/>
      <c r="G71" s="53"/>
      <c r="H71" s="1"/>
    </row>
    <row r="72" ht="14.25" customHeight="1">
      <c r="A72" s="52"/>
      <c r="B72" s="53"/>
      <c r="C72" s="53"/>
      <c r="D72" s="53"/>
      <c r="E72" s="53"/>
      <c r="F72" s="53"/>
      <c r="G72" s="53"/>
      <c r="H72" s="1"/>
    </row>
    <row r="73" ht="14.25" customHeight="1">
      <c r="A73" s="52"/>
      <c r="B73" s="53"/>
      <c r="C73" s="53"/>
      <c r="D73" s="53"/>
      <c r="E73" s="53"/>
      <c r="F73" s="53"/>
      <c r="G73" s="53"/>
      <c r="H73" s="1"/>
    </row>
    <row r="74" ht="14.25" customHeight="1">
      <c r="A74" s="52"/>
      <c r="B74" s="53"/>
      <c r="C74" s="53"/>
      <c r="D74" s="53"/>
      <c r="E74" s="53"/>
      <c r="F74" s="53"/>
      <c r="G74" s="53"/>
      <c r="H74" s="1"/>
    </row>
    <row r="75" ht="14.25" customHeight="1">
      <c r="A75" s="52"/>
      <c r="B75" s="53"/>
      <c r="C75" s="53"/>
      <c r="D75" s="53"/>
      <c r="E75" s="53"/>
      <c r="F75" s="53"/>
      <c r="G75" s="53"/>
      <c r="H75" s="1"/>
    </row>
    <row r="76" ht="14.25" customHeight="1">
      <c r="A76" s="52"/>
      <c r="B76" s="53"/>
      <c r="C76" s="53"/>
      <c r="D76" s="53"/>
      <c r="E76" s="53"/>
      <c r="F76" s="53"/>
      <c r="G76" s="53"/>
      <c r="H76" s="1"/>
    </row>
    <row r="77" ht="14.25" customHeight="1">
      <c r="A77" s="52"/>
      <c r="B77" s="53"/>
      <c r="C77" s="53"/>
      <c r="D77" s="53"/>
      <c r="E77" s="53"/>
      <c r="F77" s="53"/>
      <c r="G77" s="53"/>
      <c r="H77" s="1"/>
    </row>
    <row r="78" ht="14.25" customHeight="1">
      <c r="A78" s="52"/>
      <c r="B78" s="53"/>
      <c r="C78" s="53"/>
      <c r="D78" s="53"/>
      <c r="E78" s="53"/>
      <c r="F78" s="53"/>
      <c r="G78" s="53"/>
      <c r="H78" s="1"/>
    </row>
    <row r="79" ht="14.25" customHeight="1">
      <c r="A79" s="52"/>
      <c r="B79" s="53"/>
      <c r="C79" s="53"/>
      <c r="D79" s="53"/>
      <c r="E79" s="53"/>
      <c r="F79" s="53"/>
      <c r="G79" s="53"/>
      <c r="H79" s="1"/>
    </row>
    <row r="80" ht="14.25" customHeight="1">
      <c r="A80" s="52"/>
      <c r="B80" s="53"/>
      <c r="C80" s="53"/>
      <c r="D80" s="53"/>
      <c r="E80" s="53"/>
      <c r="F80" s="53"/>
      <c r="G80" s="53"/>
      <c r="H80" s="1"/>
    </row>
    <row r="81" ht="14.25" customHeight="1">
      <c r="A81" s="52"/>
      <c r="B81" s="53"/>
      <c r="C81" s="53"/>
      <c r="D81" s="53"/>
      <c r="E81" s="53"/>
      <c r="F81" s="53"/>
      <c r="G81" s="53"/>
      <c r="H81" s="1"/>
    </row>
    <row r="82" ht="14.25" customHeight="1">
      <c r="A82" s="52"/>
      <c r="B82" s="53"/>
      <c r="C82" s="53"/>
      <c r="D82" s="53"/>
      <c r="E82" s="53"/>
      <c r="F82" s="53"/>
      <c r="G82" s="53"/>
      <c r="H82" s="1"/>
    </row>
    <row r="83" ht="14.25" customHeight="1">
      <c r="A83" s="52"/>
      <c r="B83" s="53"/>
      <c r="C83" s="53"/>
      <c r="D83" s="53"/>
      <c r="E83" s="53"/>
      <c r="F83" s="53"/>
      <c r="G83" s="53"/>
      <c r="H83" s="1"/>
    </row>
    <row r="84" ht="14.25" customHeight="1">
      <c r="A84" s="52"/>
      <c r="B84" s="53"/>
      <c r="C84" s="53"/>
      <c r="D84" s="53"/>
      <c r="E84" s="53"/>
      <c r="F84" s="53"/>
      <c r="G84" s="53"/>
      <c r="H84" s="1"/>
    </row>
    <row r="85" ht="14.25" customHeight="1">
      <c r="A85" s="52"/>
      <c r="B85" s="53"/>
      <c r="C85" s="53"/>
      <c r="D85" s="53"/>
      <c r="E85" s="53"/>
      <c r="F85" s="53"/>
      <c r="G85" s="53"/>
      <c r="H85" s="1"/>
    </row>
    <row r="86" ht="14.25" customHeight="1">
      <c r="A86" s="52"/>
      <c r="B86" s="53"/>
      <c r="C86" s="53"/>
      <c r="D86" s="53"/>
      <c r="E86" s="53"/>
      <c r="F86" s="53"/>
      <c r="G86" s="53"/>
      <c r="H86" s="1"/>
    </row>
    <row r="87" ht="14.25" customHeight="1">
      <c r="A87" s="52"/>
      <c r="B87" s="53"/>
      <c r="C87" s="53"/>
      <c r="D87" s="53"/>
      <c r="E87" s="53"/>
      <c r="F87" s="53"/>
      <c r="G87" s="53"/>
      <c r="H87" s="1"/>
    </row>
    <row r="88" ht="14.25" customHeight="1">
      <c r="A88" s="52"/>
      <c r="B88" s="53"/>
      <c r="C88" s="53"/>
      <c r="D88" s="53"/>
      <c r="E88" s="53"/>
      <c r="F88" s="53"/>
      <c r="G88" s="53"/>
      <c r="H88" s="1"/>
    </row>
    <row r="89" ht="14.25" customHeight="1">
      <c r="A89" s="52"/>
      <c r="B89" s="53"/>
      <c r="C89" s="53"/>
      <c r="D89" s="53"/>
      <c r="E89" s="53"/>
      <c r="F89" s="53"/>
      <c r="G89" s="53"/>
      <c r="H89" s="1"/>
    </row>
    <row r="90" ht="14.25" customHeight="1">
      <c r="A90" s="52"/>
      <c r="B90" s="53"/>
      <c r="C90" s="53"/>
      <c r="D90" s="53"/>
      <c r="E90" s="53"/>
      <c r="F90" s="53"/>
      <c r="G90" s="53"/>
      <c r="H90" s="1"/>
    </row>
    <row r="91" ht="14.25" customHeight="1">
      <c r="A91" s="52"/>
      <c r="B91" s="53"/>
      <c r="C91" s="53"/>
      <c r="D91" s="53"/>
      <c r="E91" s="53"/>
      <c r="F91" s="53"/>
      <c r="G91" s="53"/>
      <c r="H91" s="1"/>
    </row>
    <row r="92" ht="14.25" customHeight="1">
      <c r="A92" s="52"/>
      <c r="B92" s="53"/>
      <c r="C92" s="53"/>
      <c r="D92" s="53"/>
      <c r="E92" s="53"/>
      <c r="F92" s="53"/>
      <c r="G92" s="53"/>
      <c r="H92" s="1"/>
    </row>
    <row r="93" ht="14.25" customHeight="1">
      <c r="A93" s="52"/>
      <c r="B93" s="53"/>
      <c r="C93" s="53"/>
      <c r="D93" s="53"/>
      <c r="E93" s="53"/>
      <c r="F93" s="53"/>
      <c r="G93" s="53"/>
      <c r="H93" s="1"/>
    </row>
    <row r="94" ht="14.25" customHeight="1">
      <c r="A94" s="52"/>
      <c r="B94" s="53"/>
      <c r="C94" s="53"/>
      <c r="D94" s="53"/>
      <c r="E94" s="53"/>
      <c r="F94" s="53"/>
      <c r="G94" s="53"/>
      <c r="H94" s="1"/>
    </row>
    <row r="95" ht="14.25" customHeight="1">
      <c r="A95" s="52"/>
      <c r="B95" s="53"/>
      <c r="C95" s="53"/>
      <c r="D95" s="53"/>
      <c r="E95" s="53"/>
      <c r="F95" s="53"/>
      <c r="G95" s="53"/>
      <c r="H95" s="1"/>
    </row>
    <row r="96" ht="14.25" customHeight="1">
      <c r="A96" s="52"/>
      <c r="B96" s="53"/>
      <c r="C96" s="53"/>
      <c r="D96" s="53"/>
      <c r="E96" s="53"/>
      <c r="F96" s="53"/>
      <c r="G96" s="53"/>
      <c r="H96" s="1"/>
    </row>
    <row r="97" ht="14.25" customHeight="1">
      <c r="A97" s="52"/>
      <c r="B97" s="53"/>
      <c r="C97" s="53"/>
      <c r="D97" s="53"/>
      <c r="E97" s="53"/>
      <c r="F97" s="53"/>
      <c r="G97" s="53"/>
      <c r="H97" s="1"/>
    </row>
    <row r="98" ht="14.25" customHeight="1">
      <c r="A98" s="52"/>
      <c r="B98" s="53"/>
      <c r="C98" s="53"/>
      <c r="D98" s="53"/>
      <c r="E98" s="53"/>
      <c r="F98" s="53"/>
      <c r="G98" s="53"/>
      <c r="H98" s="1"/>
    </row>
    <row r="99" ht="14.25" customHeight="1">
      <c r="A99" s="52"/>
      <c r="B99" s="53"/>
      <c r="C99" s="53"/>
      <c r="D99" s="53"/>
      <c r="E99" s="53"/>
      <c r="F99" s="53"/>
      <c r="G99" s="53"/>
      <c r="H99" s="1"/>
    </row>
    <row r="100" ht="14.25" customHeight="1">
      <c r="A100" s="52"/>
      <c r="B100" s="53"/>
      <c r="C100" s="53"/>
      <c r="D100" s="53"/>
      <c r="E100" s="53"/>
      <c r="F100" s="53"/>
      <c r="G100" s="53"/>
      <c r="H100" s="1"/>
    </row>
    <row r="101" ht="14.25" customHeight="1">
      <c r="A101" s="52"/>
      <c r="B101" s="53"/>
      <c r="C101" s="53"/>
      <c r="D101" s="53"/>
      <c r="E101" s="53"/>
      <c r="F101" s="53"/>
      <c r="G101" s="53"/>
      <c r="H101" s="1"/>
    </row>
    <row r="102" ht="14.25" customHeight="1">
      <c r="A102" s="52"/>
      <c r="B102" s="53"/>
      <c r="C102" s="53"/>
      <c r="D102" s="53"/>
      <c r="E102" s="53"/>
      <c r="F102" s="53"/>
      <c r="G102" s="53"/>
      <c r="H102" s="1"/>
    </row>
    <row r="103" ht="14.25" customHeight="1">
      <c r="A103" s="52"/>
      <c r="B103" s="53"/>
      <c r="C103" s="53"/>
      <c r="D103" s="53"/>
      <c r="E103" s="53"/>
      <c r="F103" s="53"/>
      <c r="G103" s="53"/>
      <c r="H103" s="1"/>
    </row>
    <row r="104" ht="14.25" customHeight="1">
      <c r="A104" s="52"/>
      <c r="B104" s="53"/>
      <c r="C104" s="53"/>
      <c r="D104" s="53"/>
      <c r="E104" s="53"/>
      <c r="F104" s="53"/>
      <c r="G104" s="53"/>
      <c r="H104" s="1"/>
    </row>
    <row r="105" ht="14.25" customHeight="1">
      <c r="A105" s="52"/>
      <c r="B105" s="53"/>
      <c r="C105" s="53"/>
      <c r="D105" s="53"/>
      <c r="E105" s="53"/>
      <c r="F105" s="53"/>
      <c r="G105" s="53"/>
      <c r="H105" s="1"/>
    </row>
    <row r="106" ht="14.25" customHeight="1">
      <c r="A106" s="52"/>
      <c r="B106" s="53"/>
      <c r="C106" s="53"/>
      <c r="D106" s="53"/>
      <c r="E106" s="53"/>
      <c r="F106" s="53"/>
      <c r="G106" s="53"/>
      <c r="H106" s="1"/>
    </row>
    <row r="107" ht="14.25" customHeight="1">
      <c r="A107" s="52"/>
      <c r="B107" s="53"/>
      <c r="C107" s="53"/>
      <c r="D107" s="53"/>
      <c r="E107" s="53"/>
      <c r="F107" s="53"/>
      <c r="G107" s="53"/>
      <c r="H107" s="1"/>
    </row>
    <row r="108" ht="14.25" customHeight="1">
      <c r="A108" s="52"/>
      <c r="B108" s="53"/>
      <c r="C108" s="53"/>
      <c r="D108" s="53"/>
      <c r="E108" s="53"/>
      <c r="F108" s="53"/>
      <c r="G108" s="53"/>
      <c r="H108" s="1"/>
    </row>
    <row r="109" ht="14.25" customHeight="1">
      <c r="A109" s="52"/>
      <c r="B109" s="53"/>
      <c r="C109" s="53"/>
      <c r="D109" s="53"/>
      <c r="E109" s="53"/>
      <c r="F109" s="53"/>
      <c r="G109" s="53"/>
      <c r="H109" s="1"/>
    </row>
    <row r="110" ht="14.25" customHeight="1">
      <c r="A110" s="52"/>
      <c r="B110" s="53"/>
      <c r="C110" s="53"/>
      <c r="D110" s="53"/>
      <c r="E110" s="53"/>
      <c r="F110" s="53"/>
      <c r="G110" s="53"/>
      <c r="H110" s="1"/>
    </row>
    <row r="111" ht="14.25" customHeight="1">
      <c r="A111" s="52"/>
      <c r="B111" s="53"/>
      <c r="C111" s="53"/>
      <c r="D111" s="53"/>
      <c r="E111" s="53"/>
      <c r="F111" s="53"/>
      <c r="G111" s="53"/>
      <c r="H111" s="1"/>
    </row>
    <row r="112" ht="14.25" customHeight="1">
      <c r="A112" s="52"/>
      <c r="B112" s="53"/>
      <c r="C112" s="53"/>
      <c r="D112" s="53"/>
      <c r="E112" s="53"/>
      <c r="F112" s="53"/>
      <c r="G112" s="53"/>
      <c r="H112" s="1"/>
    </row>
    <row r="113" ht="14.25" customHeight="1">
      <c r="A113" s="52"/>
      <c r="B113" s="53"/>
      <c r="C113" s="53"/>
      <c r="D113" s="53"/>
      <c r="E113" s="53"/>
      <c r="F113" s="53"/>
      <c r="G113" s="53"/>
      <c r="H113" s="1"/>
    </row>
    <row r="114" ht="14.25" customHeight="1">
      <c r="A114" s="52"/>
      <c r="B114" s="53"/>
      <c r="C114" s="53"/>
      <c r="D114" s="53"/>
      <c r="E114" s="53"/>
      <c r="F114" s="53"/>
      <c r="G114" s="53"/>
      <c r="H114" s="1"/>
    </row>
    <row r="115" ht="14.25" customHeight="1">
      <c r="A115" s="52"/>
      <c r="B115" s="53"/>
      <c r="C115" s="53"/>
      <c r="D115" s="53"/>
      <c r="E115" s="53"/>
      <c r="F115" s="53"/>
      <c r="G115" s="53"/>
      <c r="H115" s="1"/>
    </row>
    <row r="116" ht="14.25" customHeight="1">
      <c r="A116" s="52"/>
      <c r="B116" s="53"/>
      <c r="C116" s="53"/>
      <c r="D116" s="53"/>
      <c r="E116" s="53"/>
      <c r="F116" s="53"/>
      <c r="G116" s="53"/>
      <c r="H116" s="1"/>
    </row>
    <row r="117" ht="14.25" customHeight="1">
      <c r="A117" s="52"/>
      <c r="B117" s="53"/>
      <c r="C117" s="53"/>
      <c r="D117" s="53"/>
      <c r="E117" s="53"/>
      <c r="F117" s="53"/>
      <c r="G117" s="53"/>
      <c r="H117" s="1"/>
    </row>
    <row r="118" ht="14.25" customHeight="1">
      <c r="A118" s="52"/>
      <c r="B118" s="53"/>
      <c r="C118" s="53"/>
      <c r="D118" s="53"/>
      <c r="E118" s="53"/>
      <c r="F118" s="53"/>
      <c r="G118" s="53"/>
      <c r="H118" s="1"/>
    </row>
    <row r="119" ht="14.25" customHeight="1">
      <c r="A119" s="52"/>
      <c r="B119" s="53"/>
      <c r="C119" s="53"/>
      <c r="D119" s="53"/>
      <c r="E119" s="53"/>
      <c r="F119" s="53"/>
      <c r="G119" s="53"/>
      <c r="H119" s="1"/>
    </row>
    <row r="120" ht="14.25" customHeight="1">
      <c r="A120" s="52"/>
      <c r="B120" s="53"/>
      <c r="C120" s="53"/>
      <c r="D120" s="53"/>
      <c r="E120" s="53"/>
      <c r="F120" s="53"/>
      <c r="G120" s="53"/>
      <c r="H120" s="1"/>
    </row>
    <row r="121" ht="14.25" customHeight="1">
      <c r="A121" s="52"/>
      <c r="B121" s="53"/>
      <c r="C121" s="53"/>
      <c r="D121" s="53"/>
      <c r="E121" s="53"/>
      <c r="F121" s="53"/>
      <c r="G121" s="53"/>
      <c r="H121" s="1"/>
    </row>
    <row r="122" ht="14.25" customHeight="1">
      <c r="A122" s="52"/>
      <c r="B122" s="53"/>
      <c r="C122" s="53"/>
      <c r="D122" s="53"/>
      <c r="E122" s="53"/>
      <c r="F122" s="53"/>
      <c r="G122" s="53"/>
      <c r="H122" s="1"/>
    </row>
    <row r="123" ht="14.25" customHeight="1">
      <c r="A123" s="52"/>
      <c r="B123" s="53"/>
      <c r="C123" s="53"/>
      <c r="D123" s="53"/>
      <c r="E123" s="53"/>
      <c r="F123" s="53"/>
      <c r="G123" s="53"/>
      <c r="H123" s="1"/>
    </row>
    <row r="124" ht="14.25" customHeight="1">
      <c r="A124" s="52"/>
      <c r="B124" s="53"/>
      <c r="C124" s="53"/>
      <c r="D124" s="53"/>
      <c r="E124" s="53"/>
      <c r="F124" s="53"/>
      <c r="G124" s="53"/>
      <c r="H124" s="1"/>
    </row>
    <row r="125" ht="14.25" customHeight="1">
      <c r="A125" s="52"/>
      <c r="B125" s="53"/>
      <c r="C125" s="53"/>
      <c r="D125" s="53"/>
      <c r="E125" s="53"/>
      <c r="F125" s="53"/>
      <c r="G125" s="53"/>
      <c r="H125" s="1"/>
    </row>
    <row r="126" ht="14.25" customHeight="1">
      <c r="A126" s="52"/>
      <c r="B126" s="53"/>
      <c r="C126" s="53"/>
      <c r="D126" s="53"/>
      <c r="E126" s="53"/>
      <c r="F126" s="53"/>
      <c r="G126" s="53"/>
      <c r="H126" s="1"/>
    </row>
    <row r="127" ht="14.25" customHeight="1">
      <c r="A127" s="52"/>
      <c r="B127" s="53"/>
      <c r="C127" s="53"/>
      <c r="D127" s="53"/>
      <c r="E127" s="53"/>
      <c r="F127" s="53"/>
      <c r="G127" s="53"/>
      <c r="H127" s="1"/>
    </row>
    <row r="128" ht="14.25" customHeight="1">
      <c r="A128" s="52"/>
      <c r="B128" s="53"/>
      <c r="C128" s="53"/>
      <c r="D128" s="53"/>
      <c r="E128" s="53"/>
      <c r="F128" s="53"/>
      <c r="G128" s="53"/>
      <c r="H128" s="1"/>
    </row>
    <row r="129" ht="14.25" customHeight="1">
      <c r="A129" s="52"/>
      <c r="B129" s="53"/>
      <c r="C129" s="53"/>
      <c r="D129" s="53"/>
      <c r="E129" s="53"/>
      <c r="F129" s="53"/>
      <c r="G129" s="53"/>
      <c r="H129" s="1"/>
    </row>
    <row r="130" ht="14.25" customHeight="1">
      <c r="A130" s="52"/>
      <c r="B130" s="53"/>
      <c r="C130" s="53"/>
      <c r="D130" s="53"/>
      <c r="E130" s="53"/>
      <c r="F130" s="53"/>
      <c r="G130" s="53"/>
      <c r="H130" s="1"/>
    </row>
    <row r="131" ht="14.25" customHeight="1">
      <c r="A131" s="52"/>
      <c r="B131" s="53"/>
      <c r="C131" s="53"/>
      <c r="D131" s="53"/>
      <c r="E131" s="53"/>
      <c r="F131" s="53"/>
      <c r="G131" s="53"/>
      <c r="H131" s="1"/>
    </row>
    <row r="132" ht="14.25" customHeight="1">
      <c r="A132" s="52"/>
      <c r="B132" s="53"/>
      <c r="C132" s="53"/>
      <c r="D132" s="53"/>
      <c r="E132" s="53"/>
      <c r="F132" s="53"/>
      <c r="G132" s="53"/>
      <c r="H132" s="1"/>
    </row>
    <row r="133" ht="14.25" customHeight="1">
      <c r="A133" s="52"/>
      <c r="B133" s="53"/>
      <c r="C133" s="53"/>
      <c r="D133" s="53"/>
      <c r="E133" s="53"/>
      <c r="F133" s="53"/>
      <c r="G133" s="53"/>
      <c r="H133" s="1"/>
    </row>
    <row r="134" ht="14.25" customHeight="1">
      <c r="A134" s="52"/>
      <c r="B134" s="53"/>
      <c r="C134" s="53"/>
      <c r="D134" s="53"/>
      <c r="E134" s="53"/>
      <c r="F134" s="53"/>
      <c r="G134" s="53"/>
      <c r="H134" s="1"/>
    </row>
    <row r="135" ht="14.25" customHeight="1">
      <c r="A135" s="52"/>
      <c r="B135" s="53"/>
      <c r="C135" s="53"/>
      <c r="D135" s="53"/>
      <c r="E135" s="53"/>
      <c r="F135" s="53"/>
      <c r="G135" s="53"/>
      <c r="H135" s="1"/>
    </row>
    <row r="136" ht="14.25" customHeight="1">
      <c r="A136" s="52"/>
      <c r="B136" s="53"/>
      <c r="C136" s="53"/>
      <c r="D136" s="53"/>
      <c r="E136" s="53"/>
      <c r="F136" s="53"/>
      <c r="G136" s="53"/>
      <c r="H136" s="1"/>
    </row>
    <row r="137" ht="14.25" customHeight="1">
      <c r="A137" s="52"/>
      <c r="B137" s="53"/>
      <c r="C137" s="53"/>
      <c r="D137" s="53"/>
      <c r="E137" s="53"/>
      <c r="F137" s="53"/>
      <c r="G137" s="53"/>
      <c r="H137" s="1"/>
    </row>
    <row r="138" ht="14.25" customHeight="1">
      <c r="A138" s="52"/>
      <c r="B138" s="53"/>
      <c r="C138" s="53"/>
      <c r="D138" s="53"/>
      <c r="E138" s="53"/>
      <c r="F138" s="53"/>
      <c r="G138" s="53"/>
      <c r="H138" s="1"/>
    </row>
    <row r="139" ht="14.25" customHeight="1">
      <c r="A139" s="52"/>
      <c r="B139" s="53"/>
      <c r="C139" s="53"/>
      <c r="D139" s="53"/>
      <c r="E139" s="53"/>
      <c r="F139" s="53"/>
      <c r="G139" s="53"/>
      <c r="H139" s="1"/>
    </row>
    <row r="140" ht="14.25" customHeight="1">
      <c r="A140" s="52"/>
      <c r="B140" s="53"/>
      <c r="C140" s="53"/>
      <c r="D140" s="53"/>
      <c r="E140" s="53"/>
      <c r="F140" s="53"/>
      <c r="G140" s="53"/>
      <c r="H140" s="1"/>
    </row>
    <row r="141" ht="14.25" customHeight="1">
      <c r="A141" s="52"/>
      <c r="B141" s="53"/>
      <c r="C141" s="53"/>
      <c r="D141" s="53"/>
      <c r="E141" s="53"/>
      <c r="F141" s="53"/>
      <c r="G141" s="53"/>
      <c r="H141" s="1"/>
    </row>
    <row r="142" ht="14.25" customHeight="1">
      <c r="A142" s="52"/>
      <c r="B142" s="53"/>
      <c r="C142" s="53"/>
      <c r="D142" s="53"/>
      <c r="E142" s="53"/>
      <c r="F142" s="53"/>
      <c r="G142" s="53"/>
      <c r="H142" s="1"/>
    </row>
    <row r="143" ht="14.25" customHeight="1">
      <c r="A143" s="52"/>
      <c r="B143" s="53"/>
      <c r="C143" s="53"/>
      <c r="D143" s="53"/>
      <c r="E143" s="53"/>
      <c r="F143" s="53"/>
      <c r="G143" s="53"/>
      <c r="H143" s="1"/>
    </row>
    <row r="144" ht="14.25" customHeight="1">
      <c r="A144" s="52"/>
      <c r="B144" s="53"/>
      <c r="C144" s="53"/>
      <c r="D144" s="53"/>
      <c r="E144" s="53"/>
      <c r="F144" s="53"/>
      <c r="G144" s="53"/>
      <c r="H144" s="1"/>
    </row>
    <row r="145" ht="14.25" customHeight="1">
      <c r="A145" s="52"/>
      <c r="B145" s="53"/>
      <c r="C145" s="53"/>
      <c r="D145" s="53"/>
      <c r="E145" s="53"/>
      <c r="F145" s="53"/>
      <c r="G145" s="53"/>
      <c r="H145" s="1"/>
    </row>
    <row r="146" ht="14.25" customHeight="1">
      <c r="A146" s="52"/>
      <c r="B146" s="53"/>
      <c r="C146" s="53"/>
      <c r="D146" s="53"/>
      <c r="E146" s="53"/>
      <c r="F146" s="53"/>
      <c r="G146" s="53"/>
      <c r="H146" s="1"/>
    </row>
    <row r="147" ht="14.25" customHeight="1">
      <c r="A147" s="52"/>
      <c r="B147" s="53"/>
      <c r="C147" s="53"/>
      <c r="D147" s="53"/>
      <c r="E147" s="53"/>
      <c r="F147" s="53"/>
      <c r="G147" s="53"/>
      <c r="H147" s="1"/>
    </row>
    <row r="148" ht="14.25" customHeight="1">
      <c r="A148" s="52"/>
      <c r="B148" s="53"/>
      <c r="C148" s="53"/>
      <c r="D148" s="53"/>
      <c r="E148" s="53"/>
      <c r="F148" s="53"/>
      <c r="G148" s="53"/>
      <c r="H148" s="1"/>
    </row>
    <row r="149" ht="14.25" customHeight="1">
      <c r="A149" s="52"/>
      <c r="B149" s="53"/>
      <c r="C149" s="53"/>
      <c r="D149" s="53"/>
      <c r="E149" s="53"/>
      <c r="F149" s="53"/>
      <c r="G149" s="53"/>
      <c r="H149" s="1"/>
    </row>
    <row r="150" ht="14.25" customHeight="1">
      <c r="A150" s="52"/>
      <c r="B150" s="53"/>
      <c r="C150" s="53"/>
      <c r="D150" s="53"/>
      <c r="E150" s="53"/>
      <c r="F150" s="53"/>
      <c r="G150" s="53"/>
      <c r="H150" s="1"/>
    </row>
    <row r="151" ht="14.25" customHeight="1">
      <c r="A151" s="52"/>
      <c r="B151" s="53"/>
      <c r="C151" s="53"/>
      <c r="D151" s="53"/>
      <c r="E151" s="53"/>
      <c r="F151" s="53"/>
      <c r="G151" s="53"/>
      <c r="H151" s="1"/>
    </row>
    <row r="152" ht="14.25" customHeight="1">
      <c r="A152" s="52"/>
      <c r="B152" s="53"/>
      <c r="C152" s="53"/>
      <c r="D152" s="53"/>
      <c r="E152" s="53"/>
      <c r="F152" s="53"/>
      <c r="G152" s="53"/>
      <c r="H152" s="1"/>
    </row>
    <row r="153" ht="14.25" customHeight="1">
      <c r="A153" s="52"/>
      <c r="B153" s="53"/>
      <c r="C153" s="53"/>
      <c r="D153" s="53"/>
      <c r="E153" s="53"/>
      <c r="F153" s="53"/>
      <c r="G153" s="53"/>
      <c r="H153" s="1"/>
    </row>
    <row r="154" ht="14.25" customHeight="1">
      <c r="A154" s="52"/>
      <c r="B154" s="53"/>
      <c r="C154" s="53"/>
      <c r="D154" s="53"/>
      <c r="E154" s="53"/>
      <c r="F154" s="53"/>
      <c r="G154" s="53"/>
      <c r="H154" s="1"/>
    </row>
    <row r="155" ht="14.25" customHeight="1">
      <c r="A155" s="52"/>
      <c r="B155" s="53"/>
      <c r="C155" s="53"/>
      <c r="D155" s="53"/>
      <c r="E155" s="53"/>
      <c r="F155" s="53"/>
      <c r="G155" s="53"/>
      <c r="H155" s="1"/>
    </row>
    <row r="156" ht="14.25" customHeight="1">
      <c r="A156" s="52"/>
      <c r="B156" s="53"/>
      <c r="C156" s="53"/>
      <c r="D156" s="53"/>
      <c r="E156" s="53"/>
      <c r="F156" s="53"/>
      <c r="G156" s="53"/>
      <c r="H156" s="1"/>
    </row>
    <row r="157" ht="14.25" customHeight="1">
      <c r="A157" s="52"/>
      <c r="B157" s="53"/>
      <c r="C157" s="53"/>
      <c r="D157" s="53"/>
      <c r="E157" s="53"/>
      <c r="F157" s="53"/>
      <c r="G157" s="53"/>
      <c r="H157" s="1"/>
    </row>
    <row r="158" ht="14.25" customHeight="1">
      <c r="A158" s="52"/>
      <c r="B158" s="53"/>
      <c r="C158" s="53"/>
      <c r="D158" s="53"/>
      <c r="E158" s="53"/>
      <c r="F158" s="53"/>
      <c r="G158" s="53"/>
      <c r="H158" s="1"/>
    </row>
    <row r="159" ht="14.25" customHeight="1">
      <c r="A159" s="52"/>
      <c r="B159" s="53"/>
      <c r="C159" s="53"/>
      <c r="D159" s="53"/>
      <c r="E159" s="53"/>
      <c r="F159" s="53"/>
      <c r="G159" s="53"/>
      <c r="H159" s="1"/>
    </row>
    <row r="160" ht="14.25" customHeight="1">
      <c r="A160" s="52"/>
      <c r="B160" s="53"/>
      <c r="C160" s="53"/>
      <c r="D160" s="53"/>
      <c r="E160" s="53"/>
      <c r="F160" s="53"/>
      <c r="G160" s="53"/>
      <c r="H160" s="1"/>
    </row>
    <row r="161" ht="14.25" customHeight="1">
      <c r="A161" s="52"/>
      <c r="B161" s="53"/>
      <c r="C161" s="53"/>
      <c r="D161" s="53"/>
      <c r="E161" s="53"/>
      <c r="F161" s="53"/>
      <c r="G161" s="53"/>
      <c r="H161" s="1"/>
    </row>
    <row r="162" ht="14.25" customHeight="1">
      <c r="A162" s="52"/>
      <c r="B162" s="53"/>
      <c r="C162" s="53"/>
      <c r="D162" s="53"/>
      <c r="E162" s="53"/>
      <c r="F162" s="53"/>
      <c r="G162" s="53"/>
      <c r="H162" s="1"/>
    </row>
    <row r="163" ht="14.25" customHeight="1">
      <c r="A163" s="52"/>
      <c r="B163" s="53"/>
      <c r="C163" s="53"/>
      <c r="D163" s="53"/>
      <c r="E163" s="53"/>
      <c r="F163" s="53"/>
      <c r="G163" s="53"/>
      <c r="H163" s="1"/>
    </row>
    <row r="164" ht="14.25" customHeight="1">
      <c r="A164" s="52"/>
      <c r="B164" s="53"/>
      <c r="C164" s="53"/>
      <c r="D164" s="53"/>
      <c r="E164" s="53"/>
      <c r="F164" s="53"/>
      <c r="G164" s="53"/>
      <c r="H164" s="1"/>
    </row>
    <row r="165" ht="14.25" customHeight="1">
      <c r="A165" s="52"/>
      <c r="B165" s="53"/>
      <c r="C165" s="53"/>
      <c r="D165" s="53"/>
      <c r="E165" s="53"/>
      <c r="F165" s="53"/>
      <c r="G165" s="53"/>
      <c r="H165" s="1"/>
    </row>
    <row r="166" ht="14.25" customHeight="1">
      <c r="A166" s="52"/>
      <c r="B166" s="53"/>
      <c r="C166" s="53"/>
      <c r="D166" s="53"/>
      <c r="E166" s="53"/>
      <c r="F166" s="53"/>
      <c r="G166" s="53"/>
      <c r="H166" s="1"/>
    </row>
    <row r="167" ht="14.25" customHeight="1">
      <c r="A167" s="52"/>
      <c r="B167" s="53"/>
      <c r="C167" s="53"/>
      <c r="D167" s="53"/>
      <c r="E167" s="53"/>
      <c r="F167" s="53"/>
      <c r="G167" s="53"/>
      <c r="H167" s="1"/>
    </row>
    <row r="168" ht="14.25" customHeight="1">
      <c r="A168" s="52"/>
      <c r="B168" s="53"/>
      <c r="C168" s="53"/>
      <c r="D168" s="53"/>
      <c r="E168" s="53"/>
      <c r="F168" s="53"/>
      <c r="G168" s="53"/>
      <c r="H168" s="1"/>
    </row>
    <row r="169" ht="14.25" customHeight="1">
      <c r="A169" s="52"/>
      <c r="B169" s="53"/>
      <c r="C169" s="53"/>
      <c r="D169" s="53"/>
      <c r="E169" s="53"/>
      <c r="F169" s="53"/>
      <c r="G169" s="53"/>
      <c r="H169" s="1"/>
    </row>
    <row r="170" ht="14.25" customHeight="1">
      <c r="A170" s="52"/>
      <c r="B170" s="53"/>
      <c r="C170" s="53"/>
      <c r="D170" s="53"/>
      <c r="E170" s="53"/>
      <c r="F170" s="53"/>
      <c r="G170" s="53"/>
      <c r="H170" s="1"/>
    </row>
    <row r="171" ht="14.25" customHeight="1">
      <c r="A171" s="52"/>
      <c r="B171" s="53"/>
      <c r="C171" s="53"/>
      <c r="D171" s="53"/>
      <c r="E171" s="53"/>
      <c r="F171" s="53"/>
      <c r="G171" s="53"/>
      <c r="H171" s="1"/>
    </row>
    <row r="172" ht="14.25" customHeight="1">
      <c r="A172" s="52"/>
      <c r="B172" s="53"/>
      <c r="C172" s="53"/>
      <c r="D172" s="53"/>
      <c r="E172" s="53"/>
      <c r="F172" s="53"/>
      <c r="G172" s="53"/>
      <c r="H172" s="1"/>
    </row>
    <row r="173" ht="14.25" customHeight="1">
      <c r="A173" s="52"/>
      <c r="B173" s="53"/>
      <c r="C173" s="53"/>
      <c r="D173" s="53"/>
      <c r="E173" s="53"/>
      <c r="F173" s="53"/>
      <c r="G173" s="53"/>
      <c r="H173" s="1"/>
    </row>
    <row r="174" ht="14.25" customHeight="1">
      <c r="A174" s="52"/>
      <c r="B174" s="53"/>
      <c r="C174" s="53"/>
      <c r="D174" s="53"/>
      <c r="E174" s="53"/>
      <c r="F174" s="53"/>
      <c r="G174" s="53"/>
      <c r="H174" s="1"/>
    </row>
    <row r="175" ht="14.25" customHeight="1">
      <c r="A175" s="52"/>
      <c r="B175" s="53"/>
      <c r="C175" s="53"/>
      <c r="D175" s="53"/>
      <c r="E175" s="53"/>
      <c r="F175" s="53"/>
      <c r="G175" s="53"/>
      <c r="H175" s="1"/>
    </row>
    <row r="176" ht="14.25" customHeight="1">
      <c r="A176" s="52"/>
      <c r="B176" s="53"/>
      <c r="C176" s="53"/>
      <c r="D176" s="53"/>
      <c r="E176" s="53"/>
      <c r="F176" s="53"/>
      <c r="G176" s="53"/>
      <c r="H176" s="1"/>
    </row>
    <row r="177" ht="14.25" customHeight="1">
      <c r="A177" s="52"/>
      <c r="B177" s="53"/>
      <c r="C177" s="53"/>
      <c r="D177" s="53"/>
      <c r="E177" s="53"/>
      <c r="F177" s="53"/>
      <c r="G177" s="53"/>
      <c r="H177" s="1"/>
    </row>
    <row r="178" ht="14.25" customHeight="1">
      <c r="A178" s="52"/>
      <c r="B178" s="53"/>
      <c r="C178" s="53"/>
      <c r="D178" s="53"/>
      <c r="E178" s="53"/>
      <c r="F178" s="53"/>
      <c r="G178" s="53"/>
      <c r="H178" s="1"/>
    </row>
    <row r="179" ht="14.25" customHeight="1">
      <c r="A179" s="52"/>
      <c r="B179" s="53"/>
      <c r="C179" s="53"/>
      <c r="D179" s="53"/>
      <c r="E179" s="53"/>
      <c r="F179" s="53"/>
      <c r="G179" s="53"/>
      <c r="H179" s="1"/>
    </row>
    <row r="180" ht="14.25" customHeight="1">
      <c r="A180" s="52"/>
      <c r="B180" s="53"/>
      <c r="C180" s="53"/>
      <c r="D180" s="53"/>
      <c r="E180" s="53"/>
      <c r="F180" s="53"/>
      <c r="G180" s="53"/>
      <c r="H180" s="1"/>
    </row>
    <row r="181" ht="14.25" customHeight="1">
      <c r="A181" s="52"/>
      <c r="B181" s="53"/>
      <c r="C181" s="53"/>
      <c r="D181" s="53"/>
      <c r="E181" s="53"/>
      <c r="F181" s="53"/>
      <c r="G181" s="53"/>
      <c r="H181" s="1"/>
    </row>
    <row r="182" ht="14.25" customHeight="1">
      <c r="A182" s="52"/>
      <c r="B182" s="53"/>
      <c r="C182" s="53"/>
      <c r="D182" s="53"/>
      <c r="E182" s="53"/>
      <c r="F182" s="53"/>
      <c r="G182" s="53"/>
      <c r="H182" s="1"/>
    </row>
    <row r="183" ht="14.25" customHeight="1">
      <c r="A183" s="52"/>
      <c r="B183" s="53"/>
      <c r="C183" s="53"/>
      <c r="D183" s="53"/>
      <c r="E183" s="53"/>
      <c r="F183" s="53"/>
      <c r="G183" s="53"/>
      <c r="H183" s="1"/>
    </row>
    <row r="184" ht="14.25" customHeight="1">
      <c r="A184" s="52"/>
      <c r="B184" s="53"/>
      <c r="C184" s="53"/>
      <c r="D184" s="53"/>
      <c r="E184" s="53"/>
      <c r="F184" s="53"/>
      <c r="G184" s="53"/>
      <c r="H184" s="1"/>
    </row>
    <row r="185" ht="14.25" customHeight="1">
      <c r="A185" s="52"/>
      <c r="B185" s="53"/>
      <c r="C185" s="53"/>
      <c r="D185" s="53"/>
      <c r="E185" s="53"/>
      <c r="F185" s="53"/>
      <c r="G185" s="53"/>
      <c r="H185" s="1"/>
    </row>
    <row r="186" ht="14.25" customHeight="1">
      <c r="A186" s="52"/>
      <c r="B186" s="53"/>
      <c r="C186" s="53"/>
      <c r="D186" s="53"/>
      <c r="E186" s="53"/>
      <c r="F186" s="53"/>
      <c r="G186" s="53"/>
      <c r="H186" s="1"/>
    </row>
    <row r="187" ht="14.25" customHeight="1">
      <c r="A187" s="52"/>
      <c r="B187" s="53"/>
      <c r="C187" s="53"/>
      <c r="D187" s="53"/>
      <c r="E187" s="53"/>
      <c r="F187" s="53"/>
      <c r="G187" s="53"/>
      <c r="H187" s="1"/>
    </row>
    <row r="188" ht="14.25" customHeight="1">
      <c r="A188" s="52"/>
      <c r="B188" s="53"/>
      <c r="C188" s="53"/>
      <c r="D188" s="53"/>
      <c r="E188" s="53"/>
      <c r="F188" s="53"/>
      <c r="G188" s="53"/>
      <c r="H188" s="1"/>
    </row>
    <row r="189" ht="14.25" customHeight="1">
      <c r="A189" s="52"/>
      <c r="B189" s="53"/>
      <c r="C189" s="53"/>
      <c r="D189" s="53"/>
      <c r="E189" s="53"/>
      <c r="F189" s="53"/>
      <c r="G189" s="53"/>
      <c r="H189" s="1"/>
    </row>
    <row r="190" ht="14.25" customHeight="1">
      <c r="A190" s="52"/>
      <c r="B190" s="53"/>
      <c r="C190" s="53"/>
      <c r="D190" s="53"/>
      <c r="E190" s="53"/>
      <c r="F190" s="53"/>
      <c r="G190" s="53"/>
      <c r="H190" s="1"/>
    </row>
    <row r="191" ht="14.25" customHeight="1">
      <c r="A191" s="52"/>
      <c r="B191" s="53"/>
      <c r="C191" s="53"/>
      <c r="D191" s="53"/>
      <c r="E191" s="53"/>
      <c r="F191" s="53"/>
      <c r="G191" s="53"/>
      <c r="H191" s="1"/>
    </row>
    <row r="192" ht="14.25" customHeight="1">
      <c r="A192" s="52"/>
      <c r="B192" s="53"/>
      <c r="C192" s="53"/>
      <c r="D192" s="53"/>
      <c r="E192" s="53"/>
      <c r="F192" s="53"/>
      <c r="G192" s="53"/>
      <c r="H192" s="1"/>
    </row>
    <row r="193" ht="14.25" customHeight="1">
      <c r="A193" s="52"/>
      <c r="B193" s="53"/>
      <c r="C193" s="53"/>
      <c r="D193" s="53"/>
      <c r="E193" s="53"/>
      <c r="F193" s="53"/>
      <c r="G193" s="53"/>
      <c r="H193" s="1"/>
    </row>
    <row r="194" ht="14.25" customHeight="1">
      <c r="A194" s="52"/>
      <c r="B194" s="53"/>
      <c r="C194" s="53"/>
      <c r="D194" s="53"/>
      <c r="E194" s="53"/>
      <c r="F194" s="53"/>
      <c r="G194" s="53"/>
      <c r="H194" s="1"/>
    </row>
    <row r="195" ht="14.25" customHeight="1">
      <c r="A195" s="52"/>
      <c r="B195" s="53"/>
      <c r="C195" s="53"/>
      <c r="D195" s="53"/>
      <c r="E195" s="53"/>
      <c r="F195" s="53"/>
      <c r="G195" s="53"/>
      <c r="H195" s="1"/>
    </row>
    <row r="196" ht="14.25" customHeight="1">
      <c r="A196" s="52"/>
      <c r="B196" s="53"/>
      <c r="C196" s="53"/>
      <c r="D196" s="53"/>
      <c r="E196" s="53"/>
      <c r="F196" s="53"/>
      <c r="G196" s="53"/>
      <c r="H196" s="1"/>
    </row>
    <row r="197" ht="14.25" customHeight="1">
      <c r="A197" s="52"/>
      <c r="B197" s="53"/>
      <c r="C197" s="53"/>
      <c r="D197" s="53"/>
      <c r="E197" s="53"/>
      <c r="F197" s="53"/>
      <c r="G197" s="53"/>
      <c r="H197" s="1"/>
    </row>
    <row r="198" ht="14.25" customHeight="1">
      <c r="A198" s="52"/>
      <c r="B198" s="53"/>
      <c r="C198" s="53"/>
      <c r="D198" s="53"/>
      <c r="E198" s="53"/>
      <c r="F198" s="53"/>
      <c r="G198" s="53"/>
      <c r="H198" s="1"/>
    </row>
    <row r="199" ht="14.25" customHeight="1">
      <c r="A199" s="52"/>
      <c r="B199" s="53"/>
      <c r="C199" s="53"/>
      <c r="D199" s="53"/>
      <c r="E199" s="53"/>
      <c r="F199" s="53"/>
      <c r="G199" s="53"/>
      <c r="H199" s="1"/>
    </row>
    <row r="200" ht="14.25" customHeight="1">
      <c r="A200" s="52"/>
      <c r="B200" s="53"/>
      <c r="C200" s="53"/>
      <c r="D200" s="53"/>
      <c r="E200" s="53"/>
      <c r="F200" s="53"/>
      <c r="G200" s="53"/>
      <c r="H200" s="1"/>
    </row>
    <row r="201" ht="14.25" customHeight="1">
      <c r="A201" s="52"/>
      <c r="B201" s="53"/>
      <c r="C201" s="53"/>
      <c r="D201" s="53"/>
      <c r="E201" s="53"/>
      <c r="F201" s="53"/>
      <c r="G201" s="53"/>
      <c r="H201" s="1"/>
    </row>
    <row r="202" ht="14.25" customHeight="1">
      <c r="A202" s="52"/>
      <c r="B202" s="53"/>
      <c r="C202" s="53"/>
      <c r="D202" s="53"/>
      <c r="E202" s="53"/>
      <c r="F202" s="53"/>
      <c r="G202" s="53"/>
      <c r="H202" s="1"/>
    </row>
    <row r="203" ht="14.25" customHeight="1">
      <c r="A203" s="52"/>
      <c r="B203" s="53"/>
      <c r="C203" s="53"/>
      <c r="D203" s="53"/>
      <c r="E203" s="53"/>
      <c r="F203" s="53"/>
      <c r="G203" s="53"/>
      <c r="H203" s="1"/>
    </row>
    <row r="204" ht="14.25" customHeight="1">
      <c r="A204" s="52"/>
      <c r="B204" s="53"/>
      <c r="C204" s="53"/>
      <c r="D204" s="53"/>
      <c r="E204" s="53"/>
      <c r="F204" s="53"/>
      <c r="G204" s="53"/>
      <c r="H204" s="1"/>
    </row>
    <row r="205" ht="14.25" customHeight="1">
      <c r="A205" s="52"/>
      <c r="B205" s="53"/>
      <c r="C205" s="53"/>
      <c r="D205" s="53"/>
      <c r="E205" s="53"/>
      <c r="F205" s="53"/>
      <c r="G205" s="53"/>
      <c r="H205" s="1"/>
    </row>
    <row r="206" ht="14.25" customHeight="1">
      <c r="A206" s="52"/>
      <c r="B206" s="53"/>
      <c r="C206" s="53"/>
      <c r="D206" s="53"/>
      <c r="E206" s="53"/>
      <c r="F206" s="53"/>
      <c r="G206" s="53"/>
      <c r="H206" s="1"/>
    </row>
    <row r="207" ht="14.25" customHeight="1">
      <c r="A207" s="52"/>
      <c r="B207" s="53"/>
      <c r="C207" s="53"/>
      <c r="D207" s="53"/>
      <c r="E207" s="53"/>
      <c r="F207" s="53"/>
      <c r="G207" s="53"/>
      <c r="H207" s="1"/>
    </row>
    <row r="208" ht="14.25" customHeight="1">
      <c r="A208" s="52"/>
      <c r="B208" s="53"/>
      <c r="C208" s="53"/>
      <c r="D208" s="53"/>
      <c r="E208" s="53"/>
      <c r="F208" s="53"/>
      <c r="G208" s="53"/>
      <c r="H208" s="1"/>
    </row>
    <row r="209" ht="14.25" customHeight="1">
      <c r="A209" s="52"/>
      <c r="B209" s="53"/>
      <c r="C209" s="53"/>
      <c r="D209" s="53"/>
      <c r="E209" s="53"/>
      <c r="F209" s="53"/>
      <c r="G209" s="53"/>
      <c r="H209" s="1"/>
    </row>
    <row r="210" ht="14.25" customHeight="1">
      <c r="A210" s="52"/>
      <c r="B210" s="53"/>
      <c r="C210" s="53"/>
      <c r="D210" s="53"/>
      <c r="E210" s="53"/>
      <c r="F210" s="53"/>
      <c r="G210" s="53"/>
      <c r="H210" s="1"/>
    </row>
    <row r="211" ht="14.25" customHeight="1">
      <c r="A211" s="52"/>
      <c r="B211" s="53"/>
      <c r="C211" s="53"/>
      <c r="D211" s="53"/>
      <c r="E211" s="53"/>
      <c r="F211" s="53"/>
      <c r="G211" s="53"/>
      <c r="H211" s="1"/>
    </row>
    <row r="212" ht="14.25" customHeight="1">
      <c r="A212" s="52"/>
      <c r="B212" s="53"/>
      <c r="C212" s="53"/>
      <c r="D212" s="53"/>
      <c r="E212" s="53"/>
      <c r="F212" s="53"/>
      <c r="G212" s="53"/>
      <c r="H212" s="1"/>
    </row>
    <row r="213" ht="14.25" customHeight="1">
      <c r="A213" s="52"/>
      <c r="B213" s="53"/>
      <c r="C213" s="53"/>
      <c r="D213" s="53"/>
      <c r="E213" s="53"/>
      <c r="F213" s="53"/>
      <c r="G213" s="53"/>
      <c r="H213" s="1"/>
    </row>
    <row r="214" ht="14.25" customHeight="1">
      <c r="A214" s="52"/>
      <c r="B214" s="53"/>
      <c r="C214" s="53"/>
      <c r="D214" s="53"/>
      <c r="E214" s="53"/>
      <c r="F214" s="53"/>
      <c r="G214" s="53"/>
      <c r="H214" s="1"/>
    </row>
    <row r="215" ht="14.25" customHeight="1">
      <c r="A215" s="52"/>
      <c r="B215" s="53"/>
      <c r="C215" s="53"/>
      <c r="D215" s="53"/>
      <c r="E215" s="53"/>
      <c r="F215" s="53"/>
      <c r="G215" s="53"/>
      <c r="H215" s="1"/>
    </row>
    <row r="216" ht="14.25" customHeight="1">
      <c r="A216" s="52"/>
      <c r="B216" s="53"/>
      <c r="C216" s="53"/>
      <c r="D216" s="53"/>
      <c r="E216" s="53"/>
      <c r="F216" s="53"/>
      <c r="G216" s="53"/>
      <c r="H216" s="1"/>
    </row>
    <row r="217" ht="14.25" customHeight="1">
      <c r="A217" s="52"/>
      <c r="B217" s="53"/>
      <c r="C217" s="53"/>
      <c r="D217" s="53"/>
      <c r="E217" s="53"/>
      <c r="F217" s="53"/>
      <c r="G217" s="53"/>
      <c r="H217" s="1"/>
    </row>
    <row r="218" ht="14.25" customHeight="1">
      <c r="A218" s="52"/>
      <c r="B218" s="53"/>
      <c r="C218" s="53"/>
      <c r="D218" s="53"/>
      <c r="E218" s="53"/>
      <c r="F218" s="53"/>
      <c r="G218" s="53"/>
      <c r="H218" s="1"/>
    </row>
    <row r="219" ht="14.25" customHeight="1">
      <c r="A219" s="52"/>
      <c r="B219" s="53"/>
      <c r="C219" s="53"/>
      <c r="D219" s="53"/>
      <c r="E219" s="53"/>
      <c r="F219" s="53"/>
      <c r="G219" s="53"/>
      <c r="H219" s="1"/>
    </row>
    <row r="220" ht="14.25" customHeight="1">
      <c r="A220" s="52"/>
      <c r="B220" s="53"/>
      <c r="C220" s="53"/>
      <c r="D220" s="53"/>
      <c r="E220" s="53"/>
      <c r="F220" s="53"/>
      <c r="G220" s="53"/>
      <c r="H220" s="1"/>
    </row>
    <row r="221" ht="14.25" customHeight="1">
      <c r="A221" s="52"/>
      <c r="B221" s="53"/>
      <c r="C221" s="53"/>
      <c r="D221" s="53"/>
      <c r="E221" s="53"/>
      <c r="F221" s="53"/>
      <c r="G221" s="53"/>
      <c r="H221" s="1"/>
    </row>
    <row r="222" ht="14.25" customHeight="1">
      <c r="A222" s="52"/>
      <c r="B222" s="53"/>
      <c r="C222" s="53"/>
      <c r="D222" s="53"/>
      <c r="E222" s="53"/>
      <c r="F222" s="53"/>
      <c r="G222" s="53"/>
      <c r="H222" s="1"/>
    </row>
    <row r="223" ht="14.25" customHeight="1">
      <c r="A223" s="52"/>
      <c r="B223" s="53"/>
      <c r="C223" s="53"/>
      <c r="D223" s="53"/>
      <c r="E223" s="53"/>
      <c r="F223" s="53"/>
      <c r="G223" s="53"/>
      <c r="H223" s="1"/>
    </row>
    <row r="224" ht="14.25" customHeight="1">
      <c r="A224" s="52"/>
      <c r="B224" s="53"/>
      <c r="C224" s="53"/>
      <c r="D224" s="53"/>
      <c r="E224" s="53"/>
      <c r="F224" s="53"/>
      <c r="G224" s="53"/>
      <c r="H224" s="1"/>
    </row>
    <row r="225" ht="14.25" customHeight="1">
      <c r="A225" s="52"/>
      <c r="B225" s="53"/>
      <c r="C225" s="53"/>
      <c r="D225" s="53"/>
      <c r="E225" s="53"/>
      <c r="F225" s="53"/>
      <c r="G225" s="53"/>
      <c r="H225" s="1"/>
    </row>
    <row r="226" ht="14.25" customHeight="1">
      <c r="A226" s="52"/>
      <c r="B226" s="53"/>
      <c r="C226" s="53"/>
      <c r="D226" s="53"/>
      <c r="E226" s="53"/>
      <c r="F226" s="53"/>
      <c r="G226" s="53"/>
      <c r="H226" s="1"/>
    </row>
    <row r="227" ht="14.25" customHeight="1">
      <c r="A227" s="52"/>
      <c r="B227" s="53"/>
      <c r="C227" s="53"/>
      <c r="D227" s="53"/>
      <c r="E227" s="53"/>
      <c r="F227" s="53"/>
      <c r="G227" s="53"/>
      <c r="H227" s="1"/>
    </row>
    <row r="228" ht="14.25" customHeight="1">
      <c r="A228" s="52"/>
      <c r="B228" s="53"/>
      <c r="C228" s="53"/>
      <c r="D228" s="53"/>
      <c r="E228" s="53"/>
      <c r="F228" s="53"/>
      <c r="G228" s="53"/>
      <c r="H228" s="1"/>
    </row>
    <row r="229" ht="14.25" customHeight="1">
      <c r="A229" s="52"/>
      <c r="B229" s="53"/>
      <c r="C229" s="53"/>
      <c r="D229" s="53"/>
      <c r="E229" s="53"/>
      <c r="F229" s="53"/>
      <c r="G229" s="53"/>
      <c r="H229" s="1"/>
    </row>
    <row r="230" ht="14.25" customHeight="1">
      <c r="A230" s="52"/>
      <c r="B230" s="53"/>
      <c r="C230" s="53"/>
      <c r="D230" s="53"/>
      <c r="E230" s="53"/>
      <c r="F230" s="53"/>
      <c r="G230" s="53"/>
      <c r="H230" s="1"/>
    </row>
    <row r="231" ht="14.25" customHeight="1">
      <c r="A231" s="52"/>
      <c r="B231" s="53"/>
      <c r="C231" s="53"/>
      <c r="D231" s="53"/>
      <c r="E231" s="53"/>
      <c r="F231" s="53"/>
      <c r="G231" s="53"/>
      <c r="H231" s="1"/>
    </row>
    <row r="232" ht="14.25" customHeight="1">
      <c r="A232" s="52"/>
      <c r="B232" s="53"/>
      <c r="C232" s="53"/>
      <c r="D232" s="53"/>
      <c r="E232" s="53"/>
      <c r="F232" s="53"/>
      <c r="G232" s="53"/>
      <c r="H232" s="1"/>
    </row>
    <row r="233" ht="14.25" customHeight="1">
      <c r="A233" s="52"/>
      <c r="B233" s="53"/>
      <c r="C233" s="53"/>
      <c r="D233" s="53"/>
      <c r="E233" s="53"/>
      <c r="F233" s="53"/>
      <c r="G233" s="53"/>
      <c r="H233" s="1"/>
    </row>
    <row r="234" ht="14.25" customHeight="1">
      <c r="A234" s="52"/>
      <c r="B234" s="53"/>
      <c r="C234" s="53"/>
      <c r="D234" s="53"/>
      <c r="E234" s="53"/>
      <c r="F234" s="53"/>
      <c r="G234" s="53"/>
      <c r="H234" s="1"/>
    </row>
    <row r="235" ht="14.25" customHeight="1">
      <c r="A235" s="52"/>
      <c r="B235" s="53"/>
      <c r="C235" s="53"/>
      <c r="D235" s="53"/>
      <c r="E235" s="53"/>
      <c r="F235" s="53"/>
      <c r="G235" s="53"/>
      <c r="H235" s="1"/>
    </row>
    <row r="236" ht="14.25" customHeight="1">
      <c r="A236" s="52"/>
      <c r="B236" s="53"/>
      <c r="C236" s="53"/>
      <c r="D236" s="53"/>
      <c r="E236" s="53"/>
      <c r="F236" s="53"/>
      <c r="G236" s="53"/>
      <c r="H236" s="1"/>
    </row>
    <row r="237" ht="14.25" customHeight="1">
      <c r="A237" s="52"/>
      <c r="B237" s="53"/>
      <c r="C237" s="53"/>
      <c r="D237" s="53"/>
      <c r="E237" s="53"/>
      <c r="F237" s="53"/>
      <c r="G237" s="53"/>
      <c r="H237" s="1"/>
    </row>
    <row r="238" ht="14.25" customHeight="1">
      <c r="A238" s="52"/>
      <c r="B238" s="53"/>
      <c r="C238" s="53"/>
      <c r="D238" s="53"/>
      <c r="E238" s="53"/>
      <c r="F238" s="53"/>
      <c r="G238" s="53"/>
      <c r="H238" s="1"/>
    </row>
    <row r="239" ht="14.25" customHeight="1">
      <c r="A239" s="52"/>
      <c r="B239" s="53"/>
      <c r="C239" s="53"/>
      <c r="D239" s="53"/>
      <c r="E239" s="53"/>
      <c r="F239" s="53"/>
      <c r="G239" s="53"/>
      <c r="H239" s="1"/>
    </row>
    <row r="240" ht="14.25" customHeight="1">
      <c r="A240" s="52"/>
      <c r="B240" s="53"/>
      <c r="C240" s="53"/>
      <c r="D240" s="53"/>
      <c r="E240" s="53"/>
      <c r="F240" s="53"/>
      <c r="G240" s="53"/>
      <c r="H240" s="1"/>
    </row>
    <row r="241" ht="14.25" customHeight="1">
      <c r="A241" s="52"/>
      <c r="B241" s="53"/>
      <c r="C241" s="53"/>
      <c r="D241" s="53"/>
      <c r="E241" s="53"/>
      <c r="F241" s="53"/>
      <c r="G241" s="53"/>
      <c r="H241" s="1"/>
    </row>
    <row r="242" ht="14.25" customHeight="1">
      <c r="A242" s="52"/>
      <c r="B242" s="53"/>
      <c r="C242" s="53"/>
      <c r="D242" s="53"/>
      <c r="E242" s="53"/>
      <c r="F242" s="53"/>
      <c r="G242" s="53"/>
      <c r="H242" s="1"/>
    </row>
    <row r="243" ht="14.25" customHeight="1">
      <c r="A243" s="52"/>
      <c r="B243" s="53"/>
      <c r="C243" s="53"/>
      <c r="D243" s="53"/>
      <c r="E243" s="53"/>
      <c r="F243" s="53"/>
      <c r="G243" s="53"/>
      <c r="H243" s="1"/>
    </row>
    <row r="244" ht="14.25" customHeight="1">
      <c r="A244" s="52"/>
      <c r="B244" s="53"/>
      <c r="C244" s="53"/>
      <c r="D244" s="53"/>
      <c r="E244" s="53"/>
      <c r="F244" s="53"/>
      <c r="G244" s="53"/>
      <c r="H244" s="1"/>
    </row>
    <row r="245" ht="14.25" customHeight="1">
      <c r="A245" s="52"/>
      <c r="B245" s="53"/>
      <c r="C245" s="53"/>
      <c r="D245" s="53"/>
      <c r="E245" s="53"/>
      <c r="F245" s="53"/>
      <c r="G245" s="53"/>
      <c r="H245" s="1"/>
    </row>
    <row r="246" ht="14.25" customHeight="1">
      <c r="A246" s="52"/>
      <c r="B246" s="53"/>
      <c r="C246" s="53"/>
      <c r="D246" s="53"/>
      <c r="E246" s="53"/>
      <c r="F246" s="53"/>
      <c r="G246" s="53"/>
      <c r="H246" s="1"/>
    </row>
    <row r="247" ht="14.25" customHeight="1">
      <c r="A247" s="52"/>
      <c r="B247" s="53"/>
      <c r="C247" s="53"/>
      <c r="D247" s="53"/>
      <c r="E247" s="53"/>
      <c r="F247" s="53"/>
      <c r="G247" s="53"/>
      <c r="H247" s="1"/>
    </row>
    <row r="248" ht="14.25" customHeight="1">
      <c r="A248" s="52"/>
      <c r="B248" s="53"/>
      <c r="C248" s="53"/>
      <c r="D248" s="53"/>
      <c r="E248" s="53"/>
      <c r="F248" s="53"/>
      <c r="G248" s="53"/>
      <c r="H248" s="1"/>
    </row>
    <row r="249" ht="14.25" customHeight="1">
      <c r="A249" s="52"/>
      <c r="B249" s="53"/>
      <c r="C249" s="53"/>
      <c r="D249" s="53"/>
      <c r="E249" s="53"/>
      <c r="F249" s="53"/>
      <c r="G249" s="53"/>
      <c r="H249" s="1"/>
    </row>
    <row r="250" ht="14.25" customHeight="1">
      <c r="A250" s="52"/>
      <c r="B250" s="53"/>
      <c r="C250" s="53"/>
      <c r="D250" s="53"/>
      <c r="E250" s="53"/>
      <c r="F250" s="53"/>
      <c r="G250" s="53"/>
      <c r="H250" s="1"/>
    </row>
    <row r="251" ht="14.25" customHeight="1">
      <c r="A251" s="52"/>
      <c r="B251" s="53"/>
      <c r="C251" s="53"/>
      <c r="D251" s="53"/>
      <c r="E251" s="53"/>
      <c r="F251" s="53"/>
      <c r="G251" s="53"/>
      <c r="H251" s="1"/>
    </row>
    <row r="252" ht="14.25" customHeight="1">
      <c r="A252" s="52"/>
      <c r="B252" s="53"/>
      <c r="C252" s="53"/>
      <c r="D252" s="53"/>
      <c r="E252" s="53"/>
      <c r="F252" s="53"/>
      <c r="G252" s="53"/>
      <c r="H252" s="1"/>
    </row>
    <row r="253" ht="14.25" customHeight="1">
      <c r="A253" s="52"/>
      <c r="B253" s="53"/>
      <c r="C253" s="53"/>
      <c r="D253" s="53"/>
      <c r="E253" s="53"/>
      <c r="F253" s="53"/>
      <c r="G253" s="53"/>
      <c r="H253" s="1"/>
    </row>
    <row r="254" ht="14.25" customHeight="1">
      <c r="A254" s="52"/>
      <c r="B254" s="53"/>
      <c r="C254" s="53"/>
      <c r="D254" s="53"/>
      <c r="E254" s="53"/>
      <c r="F254" s="53"/>
      <c r="G254" s="53"/>
      <c r="H254" s="1"/>
    </row>
    <row r="255" ht="14.25" customHeight="1">
      <c r="A255" s="52"/>
      <c r="B255" s="53"/>
      <c r="C255" s="53"/>
      <c r="D255" s="53"/>
      <c r="E255" s="53"/>
      <c r="F255" s="53"/>
      <c r="G255" s="53"/>
      <c r="H255" s="1"/>
    </row>
    <row r="256" ht="14.25" customHeight="1">
      <c r="A256" s="52"/>
      <c r="B256" s="53"/>
      <c r="C256" s="53"/>
      <c r="D256" s="53"/>
      <c r="E256" s="53"/>
      <c r="F256" s="53"/>
      <c r="G256" s="53"/>
      <c r="H256" s="1"/>
    </row>
    <row r="257" ht="14.25" customHeight="1">
      <c r="A257" s="52"/>
      <c r="B257" s="53"/>
      <c r="C257" s="53"/>
      <c r="D257" s="53"/>
      <c r="E257" s="53"/>
      <c r="F257" s="53"/>
      <c r="G257" s="53"/>
      <c r="H257" s="1"/>
    </row>
    <row r="258" ht="14.25" customHeight="1">
      <c r="A258" s="52"/>
      <c r="B258" s="53"/>
      <c r="C258" s="53"/>
      <c r="D258" s="53"/>
      <c r="E258" s="53"/>
      <c r="F258" s="53"/>
      <c r="G258" s="53"/>
      <c r="H258" s="1"/>
    </row>
    <row r="259" ht="14.25" customHeight="1">
      <c r="A259" s="52"/>
      <c r="B259" s="53"/>
      <c r="C259" s="53"/>
      <c r="D259" s="53"/>
      <c r="E259" s="53"/>
      <c r="F259" s="53"/>
      <c r="G259" s="53"/>
      <c r="H259" s="1"/>
    </row>
    <row r="260" ht="14.25" customHeight="1">
      <c r="A260" s="52"/>
      <c r="B260" s="53"/>
      <c r="C260" s="53"/>
      <c r="D260" s="53"/>
      <c r="E260" s="53"/>
      <c r="F260" s="53"/>
      <c r="G260" s="53"/>
      <c r="H260" s="1"/>
    </row>
    <row r="261" ht="14.25" customHeight="1">
      <c r="A261" s="52"/>
      <c r="B261" s="53"/>
      <c r="C261" s="53"/>
      <c r="D261" s="53"/>
      <c r="E261" s="53"/>
      <c r="F261" s="53"/>
      <c r="G261" s="53"/>
      <c r="H261" s="1"/>
    </row>
    <row r="262" ht="14.25" customHeight="1">
      <c r="A262" s="52"/>
      <c r="B262" s="53"/>
      <c r="C262" s="53"/>
      <c r="D262" s="53"/>
      <c r="E262" s="53"/>
      <c r="F262" s="53"/>
      <c r="G262" s="53"/>
      <c r="H262" s="1"/>
    </row>
    <row r="263" ht="14.25" customHeight="1">
      <c r="A263" s="52"/>
      <c r="B263" s="53"/>
      <c r="C263" s="53"/>
      <c r="D263" s="53"/>
      <c r="E263" s="53"/>
      <c r="F263" s="53"/>
      <c r="G263" s="53"/>
      <c r="H263" s="1"/>
    </row>
    <row r="264" ht="14.25" customHeight="1">
      <c r="A264" s="52"/>
      <c r="B264" s="53"/>
      <c r="C264" s="53"/>
      <c r="D264" s="53"/>
      <c r="E264" s="53"/>
      <c r="F264" s="53"/>
      <c r="G264" s="53"/>
      <c r="H264" s="1"/>
    </row>
    <row r="265" ht="14.25" customHeight="1">
      <c r="A265" s="52"/>
      <c r="B265" s="53"/>
      <c r="C265" s="53"/>
      <c r="D265" s="53"/>
      <c r="E265" s="53"/>
      <c r="F265" s="53"/>
      <c r="G265" s="53"/>
      <c r="H265" s="1"/>
    </row>
    <row r="266" ht="14.25" customHeight="1">
      <c r="A266" s="52"/>
      <c r="B266" s="53"/>
      <c r="C266" s="53"/>
      <c r="D266" s="53"/>
      <c r="E266" s="53"/>
      <c r="F266" s="53"/>
      <c r="G266" s="53"/>
      <c r="H266" s="1"/>
    </row>
    <row r="267" ht="14.25" customHeight="1">
      <c r="A267" s="52"/>
      <c r="B267" s="53"/>
      <c r="C267" s="53"/>
      <c r="D267" s="53"/>
      <c r="E267" s="53"/>
      <c r="F267" s="53"/>
      <c r="G267" s="53"/>
      <c r="H267" s="1"/>
    </row>
    <row r="268" ht="14.25" customHeight="1">
      <c r="A268" s="52"/>
      <c r="B268" s="53"/>
      <c r="C268" s="53"/>
      <c r="D268" s="53"/>
      <c r="E268" s="53"/>
      <c r="F268" s="53"/>
      <c r="G268" s="53"/>
      <c r="H268" s="1"/>
    </row>
    <row r="269" ht="14.25" customHeight="1">
      <c r="A269" s="52"/>
      <c r="B269" s="53"/>
      <c r="C269" s="53"/>
      <c r="D269" s="53"/>
      <c r="E269" s="53"/>
      <c r="F269" s="53"/>
      <c r="G269" s="53"/>
      <c r="H269" s="1"/>
    </row>
    <row r="270" ht="14.25" customHeight="1">
      <c r="A270" s="52"/>
      <c r="B270" s="53"/>
      <c r="C270" s="53"/>
      <c r="D270" s="53"/>
      <c r="E270" s="53"/>
      <c r="F270" s="53"/>
      <c r="G270" s="53"/>
      <c r="H270" s="1"/>
    </row>
    <row r="271" ht="14.25" customHeight="1">
      <c r="A271" s="52"/>
      <c r="B271" s="53"/>
      <c r="C271" s="53"/>
      <c r="D271" s="53"/>
      <c r="E271" s="53"/>
      <c r="F271" s="53"/>
      <c r="G271" s="53"/>
      <c r="H271" s="1"/>
    </row>
    <row r="272" ht="14.25" customHeight="1">
      <c r="A272" s="52"/>
      <c r="B272" s="53"/>
      <c r="C272" s="53"/>
      <c r="D272" s="53"/>
      <c r="E272" s="53"/>
      <c r="F272" s="53"/>
      <c r="G272" s="53"/>
      <c r="H272" s="1"/>
    </row>
    <row r="273" ht="14.25" customHeight="1">
      <c r="A273" s="52"/>
      <c r="B273" s="53"/>
      <c r="C273" s="53"/>
      <c r="D273" s="53"/>
      <c r="E273" s="53"/>
      <c r="F273" s="53"/>
      <c r="G273" s="53"/>
      <c r="H273" s="1"/>
    </row>
    <row r="274" ht="14.25" customHeight="1">
      <c r="A274" s="52"/>
      <c r="B274" s="53"/>
      <c r="C274" s="53"/>
      <c r="D274" s="53"/>
      <c r="E274" s="53"/>
      <c r="F274" s="53"/>
      <c r="G274" s="53"/>
      <c r="H274" s="1"/>
    </row>
    <row r="275" ht="14.25" customHeight="1">
      <c r="A275" s="52"/>
      <c r="B275" s="53"/>
      <c r="C275" s="53"/>
      <c r="D275" s="53"/>
      <c r="E275" s="53"/>
      <c r="F275" s="53"/>
      <c r="G275" s="53"/>
      <c r="H275" s="1"/>
    </row>
    <row r="276" ht="14.25" customHeight="1">
      <c r="A276" s="52"/>
      <c r="B276" s="53"/>
      <c r="C276" s="53"/>
      <c r="D276" s="53"/>
      <c r="E276" s="53"/>
      <c r="F276" s="53"/>
      <c r="G276" s="53"/>
      <c r="H276" s="1"/>
    </row>
    <row r="277" ht="14.25" customHeight="1">
      <c r="A277" s="52"/>
      <c r="B277" s="53"/>
      <c r="C277" s="53"/>
      <c r="D277" s="53"/>
      <c r="E277" s="53"/>
      <c r="F277" s="53"/>
      <c r="G277" s="53"/>
      <c r="H277" s="1"/>
    </row>
    <row r="278" ht="14.25" customHeight="1">
      <c r="A278" s="52"/>
      <c r="B278" s="53"/>
      <c r="C278" s="53"/>
      <c r="D278" s="53"/>
      <c r="E278" s="53"/>
      <c r="F278" s="53"/>
      <c r="G278" s="53"/>
      <c r="H278" s="1"/>
    </row>
    <row r="279" ht="14.25" customHeight="1">
      <c r="A279" s="52"/>
      <c r="B279" s="53"/>
      <c r="C279" s="53"/>
      <c r="D279" s="53"/>
      <c r="E279" s="53"/>
      <c r="F279" s="53"/>
      <c r="G279" s="53"/>
      <c r="H279" s="1"/>
    </row>
    <row r="280" ht="14.25" customHeight="1">
      <c r="A280" s="52"/>
      <c r="B280" s="53"/>
      <c r="C280" s="53"/>
      <c r="D280" s="53"/>
      <c r="E280" s="53"/>
      <c r="F280" s="53"/>
      <c r="G280" s="53"/>
      <c r="H280" s="1"/>
    </row>
    <row r="281" ht="14.25" customHeight="1">
      <c r="A281" s="52"/>
      <c r="B281" s="53"/>
      <c r="C281" s="53"/>
      <c r="D281" s="53"/>
      <c r="E281" s="53"/>
      <c r="F281" s="53"/>
      <c r="G281" s="53"/>
      <c r="H281" s="1"/>
    </row>
    <row r="282" ht="14.25" customHeight="1">
      <c r="A282" s="52"/>
      <c r="B282" s="53"/>
      <c r="C282" s="53"/>
      <c r="D282" s="53"/>
      <c r="E282" s="53"/>
      <c r="F282" s="53"/>
      <c r="G282" s="53"/>
      <c r="H282" s="1"/>
    </row>
    <row r="283" ht="14.25" customHeight="1">
      <c r="A283" s="52"/>
      <c r="B283" s="53"/>
      <c r="C283" s="53"/>
      <c r="D283" s="53"/>
      <c r="E283" s="53"/>
      <c r="F283" s="53"/>
      <c r="G283" s="53"/>
      <c r="H283" s="1"/>
    </row>
    <row r="284" ht="14.25" customHeight="1">
      <c r="A284" s="52"/>
      <c r="B284" s="53"/>
      <c r="C284" s="53"/>
      <c r="D284" s="53"/>
      <c r="E284" s="53"/>
      <c r="F284" s="53"/>
      <c r="G284" s="53"/>
      <c r="H284" s="1"/>
    </row>
    <row r="285" ht="14.25" customHeight="1">
      <c r="A285" s="52"/>
      <c r="B285" s="53"/>
      <c r="C285" s="53"/>
      <c r="D285" s="53"/>
      <c r="E285" s="53"/>
      <c r="F285" s="53"/>
      <c r="G285" s="53"/>
      <c r="H285" s="1"/>
    </row>
    <row r="286" ht="14.25" customHeight="1">
      <c r="A286" s="52"/>
      <c r="B286" s="53"/>
      <c r="C286" s="53"/>
      <c r="D286" s="53"/>
      <c r="E286" s="53"/>
      <c r="F286" s="53"/>
      <c r="G286" s="53"/>
      <c r="H286" s="1"/>
    </row>
    <row r="287" ht="14.25" customHeight="1">
      <c r="A287" s="52"/>
      <c r="B287" s="53"/>
      <c r="C287" s="53"/>
      <c r="D287" s="53"/>
      <c r="E287" s="53"/>
      <c r="F287" s="53"/>
      <c r="G287" s="53"/>
      <c r="H287" s="1"/>
    </row>
    <row r="288" ht="14.25" customHeight="1">
      <c r="A288" s="52"/>
      <c r="B288" s="53"/>
      <c r="C288" s="53"/>
      <c r="D288" s="53"/>
      <c r="E288" s="53"/>
      <c r="F288" s="53"/>
      <c r="G288" s="53"/>
      <c r="H288" s="1"/>
    </row>
    <row r="289" ht="14.25" customHeight="1">
      <c r="A289" s="52"/>
      <c r="B289" s="53"/>
      <c r="C289" s="53"/>
      <c r="D289" s="53"/>
      <c r="E289" s="53"/>
      <c r="F289" s="53"/>
      <c r="G289" s="53"/>
      <c r="H289" s="1"/>
    </row>
    <row r="290" ht="14.25" customHeight="1">
      <c r="A290" s="52"/>
      <c r="B290" s="53"/>
      <c r="C290" s="53"/>
      <c r="D290" s="53"/>
      <c r="E290" s="53"/>
      <c r="F290" s="53"/>
      <c r="G290" s="53"/>
      <c r="H290" s="1"/>
    </row>
    <row r="291" ht="14.25" customHeight="1">
      <c r="A291" s="52"/>
      <c r="B291" s="53"/>
      <c r="C291" s="53"/>
      <c r="D291" s="53"/>
      <c r="E291" s="53"/>
      <c r="F291" s="53"/>
      <c r="G291" s="53"/>
      <c r="H291" s="1"/>
    </row>
    <row r="292" ht="14.25" customHeight="1">
      <c r="A292" s="52"/>
      <c r="B292" s="53"/>
      <c r="C292" s="53"/>
      <c r="D292" s="53"/>
      <c r="E292" s="53"/>
      <c r="F292" s="53"/>
      <c r="G292" s="53"/>
      <c r="H292" s="1"/>
    </row>
    <row r="293" ht="14.25" customHeight="1">
      <c r="A293" s="52"/>
      <c r="B293" s="53"/>
      <c r="C293" s="53"/>
      <c r="D293" s="53"/>
      <c r="E293" s="53"/>
      <c r="F293" s="53"/>
      <c r="G293" s="53"/>
      <c r="H293" s="1"/>
    </row>
    <row r="294" ht="14.25" customHeight="1">
      <c r="A294" s="52"/>
      <c r="B294" s="53"/>
      <c r="C294" s="53"/>
      <c r="D294" s="53"/>
      <c r="E294" s="53"/>
      <c r="F294" s="53"/>
      <c r="G294" s="53"/>
      <c r="H294" s="1"/>
    </row>
    <row r="295" ht="14.25" customHeight="1">
      <c r="A295" s="52"/>
      <c r="B295" s="53"/>
      <c r="C295" s="53"/>
      <c r="D295" s="53"/>
      <c r="E295" s="53"/>
      <c r="F295" s="53"/>
      <c r="G295" s="53"/>
      <c r="H295" s="1"/>
    </row>
    <row r="296" ht="14.25" customHeight="1">
      <c r="A296" s="52"/>
      <c r="B296" s="53"/>
      <c r="C296" s="53"/>
      <c r="D296" s="53"/>
      <c r="E296" s="53"/>
      <c r="F296" s="53"/>
      <c r="G296" s="53"/>
      <c r="H296" s="1"/>
    </row>
    <row r="297" ht="14.25" customHeight="1">
      <c r="A297" s="52"/>
      <c r="B297" s="53"/>
      <c r="C297" s="53"/>
      <c r="D297" s="53"/>
      <c r="E297" s="53"/>
      <c r="F297" s="53"/>
      <c r="G297" s="53"/>
      <c r="H297" s="1"/>
    </row>
    <row r="298" ht="14.25" customHeight="1">
      <c r="A298" s="52"/>
      <c r="B298" s="53"/>
      <c r="C298" s="53"/>
      <c r="D298" s="53"/>
      <c r="E298" s="53"/>
      <c r="F298" s="53"/>
      <c r="G298" s="53"/>
      <c r="H298" s="1"/>
    </row>
    <row r="299" ht="14.25" customHeight="1">
      <c r="A299" s="52"/>
      <c r="B299" s="53"/>
      <c r="C299" s="53"/>
      <c r="D299" s="53"/>
      <c r="E299" s="53"/>
      <c r="F299" s="53"/>
      <c r="G299" s="53"/>
      <c r="H299" s="1"/>
    </row>
    <row r="300" ht="14.25" customHeight="1">
      <c r="A300" s="52"/>
      <c r="B300" s="53"/>
      <c r="C300" s="53"/>
      <c r="D300" s="53"/>
      <c r="E300" s="53"/>
      <c r="F300" s="53"/>
      <c r="G300" s="53"/>
      <c r="H300" s="1"/>
    </row>
    <row r="301" ht="14.25" customHeight="1">
      <c r="A301" s="52"/>
      <c r="B301" s="53"/>
      <c r="C301" s="53"/>
      <c r="D301" s="53"/>
      <c r="E301" s="53"/>
      <c r="F301" s="53"/>
      <c r="G301" s="53"/>
      <c r="H301" s="1"/>
    </row>
    <row r="302" ht="14.25" customHeight="1">
      <c r="A302" s="52"/>
      <c r="B302" s="53"/>
      <c r="C302" s="53"/>
      <c r="D302" s="53"/>
      <c r="E302" s="53"/>
      <c r="F302" s="53"/>
      <c r="G302" s="53"/>
      <c r="H302" s="1"/>
    </row>
    <row r="303" ht="14.25" customHeight="1">
      <c r="A303" s="52"/>
      <c r="B303" s="53"/>
      <c r="C303" s="53"/>
      <c r="D303" s="53"/>
      <c r="E303" s="53"/>
      <c r="F303" s="53"/>
      <c r="G303" s="53"/>
      <c r="H303" s="1"/>
    </row>
    <row r="304" ht="14.25" customHeight="1">
      <c r="A304" s="52"/>
      <c r="B304" s="53"/>
      <c r="C304" s="53"/>
      <c r="D304" s="53"/>
      <c r="E304" s="53"/>
      <c r="F304" s="53"/>
      <c r="G304" s="53"/>
      <c r="H304" s="1"/>
    </row>
    <row r="305" ht="14.25" customHeight="1">
      <c r="A305" s="52"/>
      <c r="B305" s="53"/>
      <c r="C305" s="53"/>
      <c r="D305" s="53"/>
      <c r="E305" s="53"/>
      <c r="F305" s="53"/>
      <c r="G305" s="53"/>
      <c r="H305" s="1"/>
    </row>
    <row r="306" ht="14.25" customHeight="1">
      <c r="A306" s="52"/>
      <c r="B306" s="53"/>
      <c r="C306" s="53"/>
      <c r="D306" s="53"/>
      <c r="E306" s="53"/>
      <c r="F306" s="53"/>
      <c r="G306" s="53"/>
      <c r="H306" s="1"/>
    </row>
    <row r="307" ht="14.25" customHeight="1">
      <c r="A307" s="52"/>
      <c r="B307" s="53"/>
      <c r="C307" s="53"/>
      <c r="D307" s="53"/>
      <c r="E307" s="53"/>
      <c r="F307" s="53"/>
      <c r="G307" s="53"/>
      <c r="H307" s="1"/>
    </row>
    <row r="308" ht="14.25" customHeight="1">
      <c r="A308" s="52"/>
      <c r="B308" s="53"/>
      <c r="C308" s="53"/>
      <c r="D308" s="53"/>
      <c r="E308" s="53"/>
      <c r="F308" s="53"/>
      <c r="G308" s="53"/>
      <c r="H308" s="1"/>
    </row>
    <row r="309" ht="14.25" customHeight="1">
      <c r="A309" s="52"/>
      <c r="B309" s="53"/>
      <c r="C309" s="53"/>
      <c r="D309" s="53"/>
      <c r="E309" s="53"/>
      <c r="F309" s="53"/>
      <c r="G309" s="53"/>
      <c r="H309" s="1"/>
    </row>
    <row r="310" ht="14.25" customHeight="1">
      <c r="A310" s="52"/>
      <c r="B310" s="53"/>
      <c r="C310" s="53"/>
      <c r="D310" s="53"/>
      <c r="E310" s="53"/>
      <c r="F310" s="53"/>
      <c r="G310" s="53"/>
      <c r="H310" s="1"/>
    </row>
    <row r="311" ht="14.25" customHeight="1">
      <c r="A311" s="52"/>
      <c r="B311" s="53"/>
      <c r="C311" s="53"/>
      <c r="D311" s="53"/>
      <c r="E311" s="53"/>
      <c r="F311" s="53"/>
      <c r="G311" s="53"/>
      <c r="H311" s="1"/>
    </row>
    <row r="312" ht="14.25" customHeight="1">
      <c r="A312" s="52"/>
      <c r="B312" s="53"/>
      <c r="C312" s="53"/>
      <c r="D312" s="53"/>
      <c r="E312" s="53"/>
      <c r="F312" s="53"/>
      <c r="G312" s="53"/>
      <c r="H312" s="1"/>
    </row>
    <row r="313" ht="14.25" customHeight="1">
      <c r="A313" s="52"/>
      <c r="B313" s="53"/>
      <c r="C313" s="53"/>
      <c r="D313" s="53"/>
      <c r="E313" s="53"/>
      <c r="F313" s="53"/>
      <c r="G313" s="53"/>
      <c r="H313" s="1"/>
    </row>
    <row r="314" ht="14.25" customHeight="1">
      <c r="A314" s="52"/>
      <c r="B314" s="53"/>
      <c r="C314" s="53"/>
      <c r="D314" s="53"/>
      <c r="E314" s="53"/>
      <c r="F314" s="53"/>
      <c r="G314" s="53"/>
      <c r="H314" s="1"/>
    </row>
    <row r="315" ht="14.25" customHeight="1">
      <c r="A315" s="52"/>
      <c r="B315" s="53"/>
      <c r="C315" s="53"/>
      <c r="D315" s="53"/>
      <c r="E315" s="53"/>
      <c r="F315" s="53"/>
      <c r="G315" s="53"/>
      <c r="H315" s="1"/>
    </row>
    <row r="316" ht="14.25" customHeight="1">
      <c r="A316" s="52"/>
      <c r="B316" s="53"/>
      <c r="C316" s="53"/>
      <c r="D316" s="53"/>
      <c r="E316" s="53"/>
      <c r="F316" s="53"/>
      <c r="G316" s="53"/>
      <c r="H316" s="1"/>
    </row>
    <row r="317" ht="14.25" customHeight="1">
      <c r="A317" s="52"/>
      <c r="B317" s="53"/>
      <c r="C317" s="53"/>
      <c r="D317" s="53"/>
      <c r="E317" s="53"/>
      <c r="F317" s="53"/>
      <c r="G317" s="53"/>
      <c r="H317" s="1"/>
    </row>
    <row r="318" ht="14.25" customHeight="1">
      <c r="A318" s="52"/>
      <c r="B318" s="53"/>
      <c r="C318" s="53"/>
      <c r="D318" s="53"/>
      <c r="E318" s="53"/>
      <c r="F318" s="53"/>
      <c r="G318" s="53"/>
      <c r="H318" s="1"/>
    </row>
    <row r="319" ht="14.25" customHeight="1">
      <c r="A319" s="52"/>
      <c r="B319" s="53"/>
      <c r="C319" s="53"/>
      <c r="D319" s="53"/>
      <c r="E319" s="53"/>
      <c r="F319" s="53"/>
      <c r="G319" s="53"/>
      <c r="H319" s="1"/>
    </row>
    <row r="320" ht="14.25" customHeight="1">
      <c r="A320" s="52"/>
      <c r="B320" s="53"/>
      <c r="C320" s="53"/>
      <c r="D320" s="53"/>
      <c r="E320" s="53"/>
      <c r="F320" s="53"/>
      <c r="G320" s="53"/>
      <c r="H320" s="1"/>
    </row>
    <row r="321" ht="14.25" customHeight="1">
      <c r="A321" s="52"/>
      <c r="B321" s="53"/>
      <c r="C321" s="53"/>
      <c r="D321" s="53"/>
      <c r="E321" s="53"/>
      <c r="F321" s="53"/>
      <c r="G321" s="53"/>
      <c r="H321" s="1"/>
    </row>
    <row r="322" ht="14.25" customHeight="1">
      <c r="A322" s="52"/>
      <c r="B322" s="53"/>
      <c r="C322" s="53"/>
      <c r="D322" s="53"/>
      <c r="E322" s="53"/>
      <c r="F322" s="53"/>
      <c r="G322" s="53"/>
      <c r="H322" s="1"/>
    </row>
    <row r="323" ht="14.25" customHeight="1">
      <c r="A323" s="52"/>
      <c r="B323" s="53"/>
      <c r="C323" s="53"/>
      <c r="D323" s="53"/>
      <c r="E323" s="53"/>
      <c r="F323" s="53"/>
      <c r="G323" s="53"/>
      <c r="H323" s="1"/>
    </row>
    <row r="324" ht="14.25" customHeight="1">
      <c r="A324" s="52"/>
      <c r="B324" s="53"/>
      <c r="C324" s="53"/>
      <c r="D324" s="53"/>
      <c r="E324" s="53"/>
      <c r="F324" s="53"/>
      <c r="G324" s="53"/>
      <c r="H324" s="1"/>
    </row>
    <row r="325" ht="14.25" customHeight="1">
      <c r="A325" s="52"/>
      <c r="B325" s="53"/>
      <c r="C325" s="53"/>
      <c r="D325" s="53"/>
      <c r="E325" s="53"/>
      <c r="F325" s="53"/>
      <c r="G325" s="53"/>
      <c r="H325" s="1"/>
    </row>
    <row r="326" ht="14.25" customHeight="1">
      <c r="A326" s="52"/>
      <c r="B326" s="53"/>
      <c r="C326" s="53"/>
      <c r="D326" s="53"/>
      <c r="E326" s="53"/>
      <c r="F326" s="53"/>
      <c r="G326" s="53"/>
      <c r="H326" s="1"/>
    </row>
    <row r="327" ht="14.25" customHeight="1">
      <c r="A327" s="52"/>
      <c r="B327" s="53"/>
      <c r="C327" s="53"/>
      <c r="D327" s="53"/>
      <c r="E327" s="53"/>
      <c r="F327" s="53"/>
      <c r="G327" s="53"/>
      <c r="H327" s="1"/>
    </row>
    <row r="328" ht="14.25" customHeight="1">
      <c r="A328" s="52"/>
      <c r="B328" s="53"/>
      <c r="C328" s="53"/>
      <c r="D328" s="53"/>
      <c r="E328" s="53"/>
      <c r="F328" s="53"/>
      <c r="G328" s="53"/>
      <c r="H328" s="1"/>
    </row>
    <row r="329" ht="14.25" customHeight="1">
      <c r="A329" s="52"/>
      <c r="B329" s="53"/>
      <c r="C329" s="53"/>
      <c r="D329" s="53"/>
      <c r="E329" s="53"/>
      <c r="F329" s="53"/>
      <c r="G329" s="53"/>
      <c r="H329" s="1"/>
    </row>
    <row r="330" ht="14.25" customHeight="1">
      <c r="A330" s="52"/>
      <c r="B330" s="53"/>
      <c r="C330" s="53"/>
      <c r="D330" s="53"/>
      <c r="E330" s="53"/>
      <c r="F330" s="53"/>
      <c r="G330" s="53"/>
      <c r="H330" s="1"/>
    </row>
    <row r="331" ht="14.25" customHeight="1">
      <c r="A331" s="52"/>
      <c r="B331" s="53"/>
      <c r="C331" s="53"/>
      <c r="D331" s="53"/>
      <c r="E331" s="53"/>
      <c r="F331" s="53"/>
      <c r="G331" s="53"/>
      <c r="H331" s="1"/>
    </row>
    <row r="332" ht="14.25" customHeight="1">
      <c r="A332" s="52"/>
      <c r="B332" s="53"/>
      <c r="C332" s="53"/>
      <c r="D332" s="53"/>
      <c r="E332" s="53"/>
      <c r="F332" s="53"/>
      <c r="G332" s="53"/>
      <c r="H332" s="1"/>
    </row>
    <row r="333" ht="14.25" customHeight="1">
      <c r="A333" s="52"/>
      <c r="B333" s="53"/>
      <c r="C333" s="53"/>
      <c r="D333" s="53"/>
      <c r="E333" s="53"/>
      <c r="F333" s="53"/>
      <c r="G333" s="53"/>
      <c r="H333" s="1"/>
    </row>
    <row r="334" ht="14.25" customHeight="1">
      <c r="A334" s="52"/>
      <c r="B334" s="53"/>
      <c r="C334" s="53"/>
      <c r="D334" s="53"/>
      <c r="E334" s="53"/>
      <c r="F334" s="53"/>
      <c r="G334" s="53"/>
      <c r="H334" s="1"/>
    </row>
    <row r="335" ht="14.25" customHeight="1">
      <c r="A335" s="52"/>
      <c r="B335" s="53"/>
      <c r="C335" s="53"/>
      <c r="D335" s="53"/>
      <c r="E335" s="53"/>
      <c r="F335" s="53"/>
      <c r="G335" s="53"/>
      <c r="H335" s="1"/>
    </row>
    <row r="336" ht="14.25" customHeight="1">
      <c r="A336" s="52"/>
      <c r="B336" s="53"/>
      <c r="C336" s="53"/>
      <c r="D336" s="53"/>
      <c r="E336" s="53"/>
      <c r="F336" s="53"/>
      <c r="G336" s="53"/>
      <c r="H336" s="1"/>
    </row>
    <row r="337" ht="14.25" customHeight="1">
      <c r="A337" s="52"/>
      <c r="B337" s="53"/>
      <c r="C337" s="53"/>
      <c r="D337" s="53"/>
      <c r="E337" s="53"/>
      <c r="F337" s="53"/>
      <c r="G337" s="53"/>
      <c r="H337" s="1"/>
    </row>
    <row r="338" ht="14.25" customHeight="1">
      <c r="A338" s="52"/>
      <c r="B338" s="53"/>
      <c r="C338" s="53"/>
      <c r="D338" s="53"/>
      <c r="E338" s="53"/>
      <c r="F338" s="53"/>
      <c r="G338" s="53"/>
      <c r="H338" s="1"/>
    </row>
    <row r="339" ht="14.25" customHeight="1">
      <c r="A339" s="52"/>
      <c r="B339" s="53"/>
      <c r="C339" s="53"/>
      <c r="D339" s="53"/>
      <c r="E339" s="53"/>
      <c r="F339" s="53"/>
      <c r="G339" s="53"/>
      <c r="H339" s="1"/>
    </row>
    <row r="340" ht="14.25" customHeight="1">
      <c r="A340" s="52"/>
      <c r="B340" s="53"/>
      <c r="C340" s="53"/>
      <c r="D340" s="53"/>
      <c r="E340" s="53"/>
      <c r="F340" s="53"/>
      <c r="G340" s="53"/>
      <c r="H340" s="1"/>
    </row>
    <row r="341" ht="14.25" customHeight="1">
      <c r="A341" s="52"/>
      <c r="B341" s="53"/>
      <c r="C341" s="53"/>
      <c r="D341" s="53"/>
      <c r="E341" s="53"/>
      <c r="F341" s="53"/>
      <c r="G341" s="53"/>
      <c r="H341" s="1"/>
    </row>
    <row r="342" ht="14.25" customHeight="1">
      <c r="A342" s="52"/>
      <c r="B342" s="53"/>
      <c r="C342" s="53"/>
      <c r="D342" s="53"/>
      <c r="E342" s="53"/>
      <c r="F342" s="53"/>
      <c r="G342" s="53"/>
      <c r="H342" s="1"/>
    </row>
    <row r="343" ht="14.25" customHeight="1">
      <c r="A343" s="52"/>
      <c r="B343" s="53"/>
      <c r="C343" s="53"/>
      <c r="D343" s="53"/>
      <c r="E343" s="53"/>
      <c r="F343" s="53"/>
      <c r="G343" s="53"/>
      <c r="H343" s="1"/>
    </row>
    <row r="344" ht="14.25" customHeight="1">
      <c r="A344" s="52"/>
      <c r="B344" s="53"/>
      <c r="C344" s="53"/>
      <c r="D344" s="53"/>
      <c r="E344" s="53"/>
      <c r="F344" s="53"/>
      <c r="G344" s="53"/>
      <c r="H344" s="1"/>
    </row>
    <row r="345" ht="14.25" customHeight="1">
      <c r="A345" s="52"/>
      <c r="B345" s="53"/>
      <c r="C345" s="53"/>
      <c r="D345" s="53"/>
      <c r="E345" s="53"/>
      <c r="F345" s="53"/>
      <c r="G345" s="53"/>
      <c r="H345" s="1"/>
    </row>
    <row r="346" ht="14.25" customHeight="1">
      <c r="A346" s="52"/>
      <c r="B346" s="53"/>
      <c r="C346" s="53"/>
      <c r="D346" s="53"/>
      <c r="E346" s="53"/>
      <c r="F346" s="53"/>
      <c r="G346" s="53"/>
      <c r="H346" s="1"/>
    </row>
    <row r="347" ht="14.25" customHeight="1">
      <c r="A347" s="52"/>
      <c r="B347" s="53"/>
      <c r="C347" s="53"/>
      <c r="D347" s="53"/>
      <c r="E347" s="53"/>
      <c r="F347" s="53"/>
      <c r="G347" s="53"/>
      <c r="H347" s="1"/>
    </row>
    <row r="348" ht="14.25" customHeight="1">
      <c r="A348" s="52"/>
      <c r="B348" s="53"/>
      <c r="C348" s="53"/>
      <c r="D348" s="53"/>
      <c r="E348" s="53"/>
      <c r="F348" s="53"/>
      <c r="G348" s="53"/>
      <c r="H348" s="1"/>
    </row>
    <row r="349" ht="14.25" customHeight="1">
      <c r="A349" s="52"/>
      <c r="B349" s="53"/>
      <c r="C349" s="53"/>
      <c r="D349" s="53"/>
      <c r="E349" s="53"/>
      <c r="F349" s="53"/>
      <c r="G349" s="53"/>
      <c r="H349" s="1"/>
    </row>
    <row r="350" ht="14.25" customHeight="1">
      <c r="A350" s="52"/>
      <c r="B350" s="53"/>
      <c r="C350" s="53"/>
      <c r="D350" s="53"/>
      <c r="E350" s="53"/>
      <c r="F350" s="53"/>
      <c r="G350" s="53"/>
      <c r="H350" s="1"/>
    </row>
    <row r="351" ht="14.25" customHeight="1">
      <c r="A351" s="52"/>
      <c r="B351" s="53"/>
      <c r="C351" s="53"/>
      <c r="D351" s="53"/>
      <c r="E351" s="53"/>
      <c r="F351" s="53"/>
      <c r="G351" s="53"/>
      <c r="H351" s="1"/>
    </row>
    <row r="352" ht="14.25" customHeight="1">
      <c r="A352" s="52"/>
      <c r="B352" s="53"/>
      <c r="C352" s="53"/>
      <c r="D352" s="53"/>
      <c r="E352" s="53"/>
      <c r="F352" s="53"/>
      <c r="G352" s="53"/>
      <c r="H352" s="1"/>
    </row>
    <row r="353" ht="14.25" customHeight="1">
      <c r="A353" s="52"/>
      <c r="B353" s="53"/>
      <c r="C353" s="53"/>
      <c r="D353" s="53"/>
      <c r="E353" s="53"/>
      <c r="F353" s="53"/>
      <c r="G353" s="53"/>
      <c r="H353" s="1"/>
    </row>
    <row r="354" ht="14.25" customHeight="1">
      <c r="A354" s="52"/>
      <c r="B354" s="53"/>
      <c r="C354" s="53"/>
      <c r="D354" s="53"/>
      <c r="E354" s="53"/>
      <c r="F354" s="53"/>
      <c r="G354" s="53"/>
      <c r="H354" s="1"/>
    </row>
    <row r="355" ht="14.25" customHeight="1">
      <c r="A355" s="52"/>
      <c r="B355" s="53"/>
      <c r="C355" s="53"/>
      <c r="D355" s="53"/>
      <c r="E355" s="53"/>
      <c r="F355" s="53"/>
      <c r="G355" s="53"/>
      <c r="H355" s="1"/>
    </row>
    <row r="356" ht="14.25" customHeight="1">
      <c r="A356" s="52"/>
      <c r="B356" s="53"/>
      <c r="C356" s="53"/>
      <c r="D356" s="53"/>
      <c r="E356" s="53"/>
      <c r="F356" s="53"/>
      <c r="G356" s="53"/>
      <c r="H356" s="1"/>
    </row>
    <row r="357" ht="14.25" customHeight="1">
      <c r="A357" s="52"/>
      <c r="B357" s="53"/>
      <c r="C357" s="53"/>
      <c r="D357" s="53"/>
      <c r="E357" s="53"/>
      <c r="F357" s="53"/>
      <c r="G357" s="53"/>
      <c r="H357" s="1"/>
    </row>
    <row r="358" ht="14.25" customHeight="1">
      <c r="A358" s="52"/>
      <c r="B358" s="53"/>
      <c r="C358" s="53"/>
      <c r="D358" s="53"/>
      <c r="E358" s="53"/>
      <c r="F358" s="53"/>
      <c r="G358" s="53"/>
      <c r="H358" s="1"/>
    </row>
    <row r="359" ht="14.25" customHeight="1">
      <c r="A359" s="52"/>
      <c r="B359" s="53"/>
      <c r="C359" s="53"/>
      <c r="D359" s="53"/>
      <c r="E359" s="53"/>
      <c r="F359" s="53"/>
      <c r="G359" s="53"/>
      <c r="H359" s="1"/>
    </row>
    <row r="360" ht="14.25" customHeight="1">
      <c r="A360" s="52"/>
      <c r="B360" s="53"/>
      <c r="C360" s="53"/>
      <c r="D360" s="53"/>
      <c r="E360" s="53"/>
      <c r="F360" s="53"/>
      <c r="G360" s="53"/>
      <c r="H360" s="1"/>
    </row>
    <row r="361" ht="14.25" customHeight="1">
      <c r="A361" s="52"/>
      <c r="B361" s="53"/>
      <c r="C361" s="53"/>
      <c r="D361" s="53"/>
      <c r="E361" s="53"/>
      <c r="F361" s="53"/>
      <c r="G361" s="53"/>
      <c r="H361" s="1"/>
    </row>
    <row r="362" ht="14.25" customHeight="1">
      <c r="A362" s="52"/>
      <c r="B362" s="53"/>
      <c r="C362" s="53"/>
      <c r="D362" s="53"/>
      <c r="E362" s="53"/>
      <c r="F362" s="53"/>
      <c r="G362" s="53"/>
      <c r="H362" s="1"/>
    </row>
    <row r="363" ht="14.25" customHeight="1">
      <c r="A363" s="52"/>
      <c r="B363" s="53"/>
      <c r="C363" s="53"/>
      <c r="D363" s="53"/>
      <c r="E363" s="53"/>
      <c r="F363" s="53"/>
      <c r="G363" s="53"/>
      <c r="H363" s="1"/>
    </row>
    <row r="364" ht="14.25" customHeight="1">
      <c r="A364" s="52"/>
      <c r="B364" s="53"/>
      <c r="C364" s="53"/>
      <c r="D364" s="53"/>
      <c r="E364" s="53"/>
      <c r="F364" s="53"/>
      <c r="G364" s="53"/>
      <c r="H364" s="1"/>
    </row>
    <row r="365" ht="14.25" customHeight="1">
      <c r="A365" s="52"/>
      <c r="B365" s="53"/>
      <c r="C365" s="53"/>
      <c r="D365" s="53"/>
      <c r="E365" s="53"/>
      <c r="F365" s="53"/>
      <c r="G365" s="53"/>
      <c r="H365" s="1"/>
    </row>
    <row r="366" ht="14.25" customHeight="1">
      <c r="A366" s="52"/>
      <c r="B366" s="53"/>
      <c r="C366" s="53"/>
      <c r="D366" s="53"/>
      <c r="E366" s="53"/>
      <c r="F366" s="53"/>
      <c r="G366" s="53"/>
      <c r="H366" s="1"/>
    </row>
    <row r="367" ht="14.25" customHeight="1">
      <c r="A367" s="52"/>
      <c r="B367" s="53"/>
      <c r="C367" s="53"/>
      <c r="D367" s="53"/>
      <c r="E367" s="53"/>
      <c r="F367" s="53"/>
      <c r="G367" s="53"/>
      <c r="H367" s="1"/>
    </row>
    <row r="368" ht="14.25" customHeight="1">
      <c r="A368" s="52"/>
      <c r="B368" s="53"/>
      <c r="C368" s="53"/>
      <c r="D368" s="53"/>
      <c r="E368" s="53"/>
      <c r="F368" s="53"/>
      <c r="G368" s="53"/>
      <c r="H368" s="1"/>
    </row>
    <row r="369" ht="14.25" customHeight="1">
      <c r="A369" s="52"/>
      <c r="B369" s="53"/>
      <c r="C369" s="53"/>
      <c r="D369" s="53"/>
      <c r="E369" s="53"/>
      <c r="F369" s="53"/>
      <c r="G369" s="53"/>
      <c r="H369" s="1"/>
    </row>
    <row r="370" ht="14.25" customHeight="1">
      <c r="A370" s="52"/>
      <c r="B370" s="53"/>
      <c r="C370" s="53"/>
      <c r="D370" s="53"/>
      <c r="E370" s="53"/>
      <c r="F370" s="53"/>
      <c r="G370" s="53"/>
      <c r="H370" s="1"/>
    </row>
    <row r="371" ht="14.25" customHeight="1">
      <c r="A371" s="52"/>
      <c r="B371" s="53"/>
      <c r="C371" s="53"/>
      <c r="D371" s="53"/>
      <c r="E371" s="53"/>
      <c r="F371" s="53"/>
      <c r="G371" s="53"/>
      <c r="H371" s="1"/>
    </row>
    <row r="372" ht="14.25" customHeight="1">
      <c r="A372" s="52"/>
      <c r="B372" s="53"/>
      <c r="C372" s="53"/>
      <c r="D372" s="53"/>
      <c r="E372" s="53"/>
      <c r="F372" s="53"/>
      <c r="G372" s="53"/>
      <c r="H372" s="1"/>
    </row>
    <row r="373" ht="14.25" customHeight="1">
      <c r="A373" s="52"/>
      <c r="B373" s="53"/>
      <c r="C373" s="53"/>
      <c r="D373" s="53"/>
      <c r="E373" s="53"/>
      <c r="F373" s="53"/>
      <c r="G373" s="53"/>
      <c r="H373" s="1"/>
    </row>
    <row r="374" ht="14.25" customHeight="1">
      <c r="A374" s="52"/>
      <c r="B374" s="53"/>
      <c r="C374" s="53"/>
      <c r="D374" s="53"/>
      <c r="E374" s="53"/>
      <c r="F374" s="53"/>
      <c r="G374" s="53"/>
      <c r="H374" s="1"/>
    </row>
    <row r="375" ht="14.25" customHeight="1">
      <c r="A375" s="52"/>
      <c r="B375" s="53"/>
      <c r="C375" s="53"/>
      <c r="D375" s="53"/>
      <c r="E375" s="53"/>
      <c r="F375" s="53"/>
      <c r="G375" s="53"/>
      <c r="H375" s="1"/>
    </row>
    <row r="376" ht="14.25" customHeight="1">
      <c r="A376" s="52"/>
      <c r="B376" s="53"/>
      <c r="C376" s="53"/>
      <c r="D376" s="53"/>
      <c r="E376" s="53"/>
      <c r="F376" s="53"/>
      <c r="G376" s="53"/>
      <c r="H376" s="1"/>
    </row>
    <row r="377" ht="14.25" customHeight="1">
      <c r="A377" s="52"/>
      <c r="B377" s="53"/>
      <c r="C377" s="53"/>
      <c r="D377" s="53"/>
      <c r="E377" s="53"/>
      <c r="F377" s="53"/>
      <c r="G377" s="53"/>
      <c r="H377" s="1"/>
    </row>
    <row r="378" ht="14.25" customHeight="1">
      <c r="A378" s="52"/>
      <c r="B378" s="53"/>
      <c r="C378" s="53"/>
      <c r="D378" s="53"/>
      <c r="E378" s="53"/>
      <c r="F378" s="53"/>
      <c r="G378" s="53"/>
      <c r="H378" s="1"/>
    </row>
    <row r="379" ht="14.25" customHeight="1">
      <c r="A379" s="52"/>
      <c r="B379" s="53"/>
      <c r="C379" s="53"/>
      <c r="D379" s="53"/>
      <c r="E379" s="53"/>
      <c r="F379" s="53"/>
      <c r="G379" s="53"/>
      <c r="H379" s="1"/>
    </row>
    <row r="380" ht="14.25" customHeight="1">
      <c r="A380" s="52"/>
      <c r="B380" s="53"/>
      <c r="C380" s="53"/>
      <c r="D380" s="53"/>
      <c r="E380" s="53"/>
      <c r="F380" s="53"/>
      <c r="G380" s="53"/>
      <c r="H380" s="1"/>
    </row>
    <row r="381" ht="14.25" customHeight="1">
      <c r="A381" s="52"/>
      <c r="B381" s="53"/>
      <c r="C381" s="53"/>
      <c r="D381" s="53"/>
      <c r="E381" s="53"/>
      <c r="F381" s="53"/>
      <c r="G381" s="53"/>
      <c r="H381" s="1"/>
    </row>
    <row r="382" ht="14.25" customHeight="1">
      <c r="A382" s="52"/>
      <c r="B382" s="53"/>
      <c r="C382" s="53"/>
      <c r="D382" s="53"/>
      <c r="E382" s="53"/>
      <c r="F382" s="53"/>
      <c r="G382" s="53"/>
      <c r="H382" s="1"/>
    </row>
    <row r="383" ht="14.25" customHeight="1">
      <c r="A383" s="52"/>
      <c r="B383" s="53"/>
      <c r="C383" s="53"/>
      <c r="D383" s="53"/>
      <c r="E383" s="53"/>
      <c r="F383" s="53"/>
      <c r="G383" s="53"/>
      <c r="H383" s="1"/>
    </row>
    <row r="384" ht="14.25" customHeight="1">
      <c r="A384" s="52"/>
      <c r="B384" s="53"/>
      <c r="C384" s="53"/>
      <c r="D384" s="53"/>
      <c r="E384" s="53"/>
      <c r="F384" s="53"/>
      <c r="G384" s="53"/>
      <c r="H384" s="1"/>
    </row>
    <row r="385" ht="14.25" customHeight="1">
      <c r="A385" s="52"/>
      <c r="B385" s="53"/>
      <c r="C385" s="53"/>
      <c r="D385" s="53"/>
      <c r="E385" s="53"/>
      <c r="F385" s="53"/>
      <c r="G385" s="53"/>
      <c r="H385" s="1"/>
    </row>
    <row r="386" ht="14.25" customHeight="1">
      <c r="A386" s="52"/>
      <c r="B386" s="53"/>
      <c r="C386" s="53"/>
      <c r="D386" s="53"/>
      <c r="E386" s="53"/>
      <c r="F386" s="53"/>
      <c r="G386" s="53"/>
      <c r="H386" s="1"/>
    </row>
    <row r="387" ht="14.25" customHeight="1">
      <c r="A387" s="52"/>
      <c r="B387" s="53"/>
      <c r="C387" s="53"/>
      <c r="D387" s="53"/>
      <c r="E387" s="53"/>
      <c r="F387" s="53"/>
      <c r="G387" s="53"/>
      <c r="H387" s="1"/>
    </row>
    <row r="388" ht="14.25" customHeight="1">
      <c r="A388" s="52"/>
      <c r="B388" s="53"/>
      <c r="C388" s="53"/>
      <c r="D388" s="53"/>
      <c r="E388" s="53"/>
      <c r="F388" s="53"/>
      <c r="G388" s="53"/>
      <c r="H388" s="1"/>
    </row>
    <row r="389" ht="14.25" customHeight="1">
      <c r="A389" s="52"/>
      <c r="B389" s="53"/>
      <c r="C389" s="53"/>
      <c r="D389" s="53"/>
      <c r="E389" s="53"/>
      <c r="F389" s="53"/>
      <c r="G389" s="53"/>
      <c r="H389" s="1"/>
    </row>
    <row r="390" ht="14.25" customHeight="1">
      <c r="A390" s="52"/>
      <c r="B390" s="53"/>
      <c r="C390" s="53"/>
      <c r="D390" s="53"/>
      <c r="E390" s="53"/>
      <c r="F390" s="53"/>
      <c r="G390" s="53"/>
      <c r="H390" s="1"/>
    </row>
    <row r="391" ht="14.25" customHeight="1">
      <c r="A391" s="52"/>
      <c r="B391" s="53"/>
      <c r="C391" s="53"/>
      <c r="D391" s="53"/>
      <c r="E391" s="53"/>
      <c r="F391" s="53"/>
      <c r="G391" s="53"/>
      <c r="H391" s="1"/>
    </row>
    <row r="392" ht="14.25" customHeight="1">
      <c r="A392" s="52"/>
      <c r="B392" s="53"/>
      <c r="C392" s="53"/>
      <c r="D392" s="53"/>
      <c r="E392" s="53"/>
      <c r="F392" s="53"/>
      <c r="G392" s="53"/>
      <c r="H392" s="1"/>
    </row>
    <row r="393" ht="14.25" customHeight="1">
      <c r="A393" s="52"/>
      <c r="B393" s="53"/>
      <c r="C393" s="53"/>
      <c r="D393" s="53"/>
      <c r="E393" s="53"/>
      <c r="F393" s="53"/>
      <c r="G393" s="53"/>
      <c r="H393" s="1"/>
    </row>
    <row r="394" ht="14.25" customHeight="1">
      <c r="A394" s="52"/>
      <c r="B394" s="53"/>
      <c r="C394" s="53"/>
      <c r="D394" s="53"/>
      <c r="E394" s="53"/>
      <c r="F394" s="53"/>
      <c r="G394" s="53"/>
      <c r="H394" s="1"/>
    </row>
    <row r="395" ht="14.25" customHeight="1">
      <c r="A395" s="52"/>
      <c r="B395" s="53"/>
      <c r="C395" s="53"/>
      <c r="D395" s="53"/>
      <c r="E395" s="53"/>
      <c r="F395" s="53"/>
      <c r="G395" s="53"/>
      <c r="H395" s="1"/>
    </row>
    <row r="396" ht="14.25" customHeight="1">
      <c r="A396" s="52"/>
      <c r="B396" s="53"/>
      <c r="C396" s="53"/>
      <c r="D396" s="53"/>
      <c r="E396" s="53"/>
      <c r="F396" s="53"/>
      <c r="G396" s="53"/>
      <c r="H396" s="1"/>
    </row>
    <row r="397" ht="14.25" customHeight="1">
      <c r="A397" s="52"/>
      <c r="B397" s="53"/>
      <c r="C397" s="53"/>
      <c r="D397" s="53"/>
      <c r="E397" s="53"/>
      <c r="F397" s="53"/>
      <c r="G397" s="53"/>
      <c r="H397" s="1"/>
    </row>
    <row r="398" ht="14.25" customHeight="1">
      <c r="A398" s="52"/>
      <c r="B398" s="53"/>
      <c r="C398" s="53"/>
      <c r="D398" s="53"/>
      <c r="E398" s="53"/>
      <c r="F398" s="53"/>
      <c r="G398" s="53"/>
      <c r="H398" s="1"/>
    </row>
    <row r="399" ht="14.25" customHeight="1">
      <c r="A399" s="52"/>
      <c r="B399" s="53"/>
      <c r="C399" s="53"/>
      <c r="D399" s="53"/>
      <c r="E399" s="53"/>
      <c r="F399" s="53"/>
      <c r="G399" s="53"/>
      <c r="H399" s="1"/>
    </row>
    <row r="400" ht="14.25" customHeight="1">
      <c r="A400" s="52"/>
      <c r="B400" s="53"/>
      <c r="C400" s="53"/>
      <c r="D400" s="53"/>
      <c r="E400" s="53"/>
      <c r="F400" s="53"/>
      <c r="G400" s="53"/>
      <c r="H400" s="1"/>
    </row>
    <row r="401" ht="14.25" customHeight="1">
      <c r="A401" s="52"/>
      <c r="B401" s="53"/>
      <c r="C401" s="53"/>
      <c r="D401" s="53"/>
      <c r="E401" s="53"/>
      <c r="F401" s="53"/>
      <c r="G401" s="53"/>
      <c r="H401" s="1"/>
    </row>
    <row r="402" ht="14.25" customHeight="1">
      <c r="A402" s="52"/>
      <c r="B402" s="53"/>
      <c r="C402" s="53"/>
      <c r="D402" s="53"/>
      <c r="E402" s="53"/>
      <c r="F402" s="53"/>
      <c r="G402" s="53"/>
      <c r="H402" s="1"/>
    </row>
    <row r="403" ht="14.25" customHeight="1">
      <c r="A403" s="52"/>
      <c r="B403" s="53"/>
      <c r="C403" s="53"/>
      <c r="D403" s="53"/>
      <c r="E403" s="53"/>
      <c r="F403" s="53"/>
      <c r="G403" s="53"/>
      <c r="H403" s="1"/>
    </row>
    <row r="404" ht="14.25" customHeight="1">
      <c r="A404" s="52"/>
      <c r="B404" s="53"/>
      <c r="C404" s="53"/>
      <c r="D404" s="53"/>
      <c r="E404" s="53"/>
      <c r="F404" s="53"/>
      <c r="G404" s="53"/>
      <c r="H404" s="1"/>
    </row>
    <row r="405" ht="14.25" customHeight="1">
      <c r="A405" s="52"/>
      <c r="B405" s="53"/>
      <c r="C405" s="53"/>
      <c r="D405" s="53"/>
      <c r="E405" s="53"/>
      <c r="F405" s="53"/>
      <c r="G405" s="53"/>
      <c r="H405" s="1"/>
    </row>
    <row r="406" ht="14.25" customHeight="1">
      <c r="A406" s="52"/>
      <c r="B406" s="53"/>
      <c r="C406" s="53"/>
      <c r="D406" s="53"/>
      <c r="E406" s="53"/>
      <c r="F406" s="53"/>
      <c r="G406" s="53"/>
      <c r="H406" s="1"/>
    </row>
    <row r="407" ht="14.25" customHeight="1">
      <c r="A407" s="52"/>
      <c r="B407" s="53"/>
      <c r="C407" s="53"/>
      <c r="D407" s="53"/>
      <c r="E407" s="53"/>
      <c r="F407" s="53"/>
      <c r="G407" s="53"/>
      <c r="H407" s="1"/>
    </row>
    <row r="408" ht="14.25" customHeight="1">
      <c r="A408" s="52"/>
      <c r="B408" s="53"/>
      <c r="C408" s="53"/>
      <c r="D408" s="53"/>
      <c r="E408" s="53"/>
      <c r="F408" s="53"/>
      <c r="G408" s="53"/>
      <c r="H408" s="1"/>
    </row>
    <row r="409" ht="14.25" customHeight="1">
      <c r="A409" s="52"/>
      <c r="B409" s="53"/>
      <c r="C409" s="53"/>
      <c r="D409" s="53"/>
      <c r="E409" s="53"/>
      <c r="F409" s="53"/>
      <c r="G409" s="53"/>
      <c r="H409" s="1"/>
    </row>
    <row r="410" ht="14.25" customHeight="1">
      <c r="A410" s="52"/>
      <c r="B410" s="53"/>
      <c r="C410" s="53"/>
      <c r="D410" s="53"/>
      <c r="E410" s="53"/>
      <c r="F410" s="53"/>
      <c r="G410" s="53"/>
      <c r="H410" s="1"/>
    </row>
    <row r="411" ht="14.25" customHeight="1">
      <c r="A411" s="52"/>
      <c r="B411" s="53"/>
      <c r="C411" s="53"/>
      <c r="D411" s="53"/>
      <c r="E411" s="53"/>
      <c r="F411" s="53"/>
      <c r="G411" s="53"/>
      <c r="H411" s="1"/>
    </row>
    <row r="412" ht="14.25" customHeight="1">
      <c r="A412" s="52"/>
      <c r="B412" s="53"/>
      <c r="C412" s="53"/>
      <c r="D412" s="53"/>
      <c r="E412" s="53"/>
      <c r="F412" s="53"/>
      <c r="G412" s="53"/>
      <c r="H412" s="1"/>
    </row>
    <row r="413" ht="14.25" customHeight="1">
      <c r="A413" s="52"/>
      <c r="B413" s="53"/>
      <c r="C413" s="53"/>
      <c r="D413" s="53"/>
      <c r="E413" s="53"/>
      <c r="F413" s="53"/>
      <c r="G413" s="53"/>
      <c r="H413" s="1"/>
    </row>
    <row r="414" ht="14.25" customHeight="1">
      <c r="A414" s="52"/>
      <c r="B414" s="53"/>
      <c r="C414" s="53"/>
      <c r="D414" s="53"/>
      <c r="E414" s="53"/>
      <c r="F414" s="53"/>
      <c r="G414" s="53"/>
      <c r="H414" s="1"/>
    </row>
    <row r="415" ht="14.25" customHeight="1">
      <c r="A415" s="52"/>
      <c r="B415" s="53"/>
      <c r="C415" s="53"/>
      <c r="D415" s="53"/>
      <c r="E415" s="53"/>
      <c r="F415" s="53"/>
      <c r="G415" s="53"/>
      <c r="H415" s="1"/>
    </row>
    <row r="416" ht="14.25" customHeight="1">
      <c r="A416" s="52"/>
      <c r="B416" s="53"/>
      <c r="C416" s="53"/>
      <c r="D416" s="53"/>
      <c r="E416" s="53"/>
      <c r="F416" s="53"/>
      <c r="G416" s="53"/>
      <c r="H416" s="1"/>
    </row>
    <row r="417" ht="14.25" customHeight="1">
      <c r="A417" s="52"/>
      <c r="B417" s="53"/>
      <c r="C417" s="53"/>
      <c r="D417" s="53"/>
      <c r="E417" s="53"/>
      <c r="F417" s="53"/>
      <c r="G417" s="53"/>
      <c r="H417" s="1"/>
    </row>
    <row r="418" ht="14.25" customHeight="1">
      <c r="A418" s="52"/>
      <c r="B418" s="53"/>
      <c r="C418" s="53"/>
      <c r="D418" s="53"/>
      <c r="E418" s="53"/>
      <c r="F418" s="53"/>
      <c r="G418" s="53"/>
      <c r="H418" s="1"/>
    </row>
    <row r="419" ht="14.25" customHeight="1">
      <c r="A419" s="52"/>
      <c r="B419" s="53"/>
      <c r="C419" s="53"/>
      <c r="D419" s="53"/>
      <c r="E419" s="53"/>
      <c r="F419" s="53"/>
      <c r="G419" s="53"/>
      <c r="H419" s="1"/>
    </row>
    <row r="420" ht="14.25" customHeight="1">
      <c r="A420" s="52"/>
      <c r="B420" s="53"/>
      <c r="C420" s="53"/>
      <c r="D420" s="53"/>
      <c r="E420" s="53"/>
      <c r="F420" s="53"/>
      <c r="G420" s="53"/>
      <c r="H420" s="1"/>
    </row>
    <row r="421" ht="14.25" customHeight="1">
      <c r="A421" s="52"/>
      <c r="B421" s="53"/>
      <c r="C421" s="53"/>
      <c r="D421" s="53"/>
      <c r="E421" s="53"/>
      <c r="F421" s="53"/>
      <c r="G421" s="53"/>
      <c r="H421" s="1"/>
    </row>
    <row r="422" ht="14.25" customHeight="1">
      <c r="A422" s="52"/>
      <c r="B422" s="53"/>
      <c r="C422" s="53"/>
      <c r="D422" s="53"/>
      <c r="E422" s="53"/>
      <c r="F422" s="53"/>
      <c r="G422" s="53"/>
      <c r="H422" s="1"/>
    </row>
    <row r="423" ht="14.25" customHeight="1">
      <c r="A423" s="52"/>
      <c r="B423" s="53"/>
      <c r="C423" s="53"/>
      <c r="D423" s="53"/>
      <c r="E423" s="53"/>
      <c r="F423" s="53"/>
      <c r="G423" s="53"/>
      <c r="H423" s="1"/>
    </row>
    <row r="424" ht="14.25" customHeight="1">
      <c r="A424" s="52"/>
      <c r="B424" s="53"/>
      <c r="C424" s="53"/>
      <c r="D424" s="53"/>
      <c r="E424" s="53"/>
      <c r="F424" s="53"/>
      <c r="G424" s="53"/>
      <c r="H424" s="1"/>
    </row>
    <row r="425" ht="14.25" customHeight="1">
      <c r="A425" s="52"/>
      <c r="B425" s="53"/>
      <c r="C425" s="53"/>
      <c r="D425" s="53"/>
      <c r="E425" s="53"/>
      <c r="F425" s="53"/>
      <c r="G425" s="53"/>
      <c r="H425" s="1"/>
    </row>
    <row r="426" ht="14.25" customHeight="1">
      <c r="A426" s="52"/>
      <c r="B426" s="53"/>
      <c r="C426" s="53"/>
      <c r="D426" s="53"/>
      <c r="E426" s="53"/>
      <c r="F426" s="53"/>
      <c r="G426" s="53"/>
      <c r="H426" s="1"/>
    </row>
    <row r="427" ht="14.25" customHeight="1">
      <c r="A427" s="52"/>
      <c r="B427" s="53"/>
      <c r="C427" s="53"/>
      <c r="D427" s="53"/>
      <c r="E427" s="53"/>
      <c r="F427" s="53"/>
      <c r="G427" s="53"/>
      <c r="H427" s="1"/>
    </row>
    <row r="428" ht="14.25" customHeight="1">
      <c r="A428" s="52"/>
      <c r="B428" s="53"/>
      <c r="C428" s="53"/>
      <c r="D428" s="53"/>
      <c r="E428" s="53"/>
      <c r="F428" s="53"/>
      <c r="G428" s="53"/>
      <c r="H428" s="1"/>
    </row>
    <row r="429" ht="14.25" customHeight="1">
      <c r="A429" s="52"/>
      <c r="B429" s="53"/>
      <c r="C429" s="53"/>
      <c r="D429" s="53"/>
      <c r="E429" s="53"/>
      <c r="F429" s="53"/>
      <c r="G429" s="53"/>
      <c r="H429" s="1"/>
    </row>
    <row r="430" ht="14.25" customHeight="1">
      <c r="A430" s="52"/>
      <c r="B430" s="53"/>
      <c r="C430" s="53"/>
      <c r="D430" s="53"/>
      <c r="E430" s="53"/>
      <c r="F430" s="53"/>
      <c r="G430" s="53"/>
      <c r="H430" s="1"/>
    </row>
    <row r="431" ht="14.25" customHeight="1">
      <c r="A431" s="52"/>
      <c r="B431" s="53"/>
      <c r="C431" s="53"/>
      <c r="D431" s="53"/>
      <c r="E431" s="53"/>
      <c r="F431" s="53"/>
      <c r="G431" s="53"/>
      <c r="H431" s="1"/>
    </row>
    <row r="432" ht="14.25" customHeight="1">
      <c r="A432" s="52"/>
      <c r="B432" s="53"/>
      <c r="C432" s="53"/>
      <c r="D432" s="53"/>
      <c r="E432" s="53"/>
      <c r="F432" s="53"/>
      <c r="G432" s="53"/>
      <c r="H432" s="1"/>
    </row>
    <row r="433" ht="14.25" customHeight="1">
      <c r="A433" s="52"/>
      <c r="B433" s="53"/>
      <c r="C433" s="53"/>
      <c r="D433" s="53"/>
      <c r="E433" s="53"/>
      <c r="F433" s="53"/>
      <c r="G433" s="53"/>
      <c r="H433" s="1"/>
    </row>
    <row r="434" ht="14.25" customHeight="1">
      <c r="A434" s="52"/>
      <c r="B434" s="53"/>
      <c r="C434" s="53"/>
      <c r="D434" s="53"/>
      <c r="E434" s="53"/>
      <c r="F434" s="53"/>
      <c r="G434" s="53"/>
      <c r="H434" s="1"/>
    </row>
    <row r="435" ht="14.25" customHeight="1">
      <c r="A435" s="52"/>
      <c r="B435" s="53"/>
      <c r="C435" s="53"/>
      <c r="D435" s="53"/>
      <c r="E435" s="53"/>
      <c r="F435" s="53"/>
      <c r="G435" s="53"/>
      <c r="H435" s="1"/>
    </row>
    <row r="436" ht="14.25" customHeight="1">
      <c r="A436" s="52"/>
      <c r="B436" s="53"/>
      <c r="C436" s="53"/>
      <c r="D436" s="53"/>
      <c r="E436" s="53"/>
      <c r="F436" s="53"/>
      <c r="G436" s="53"/>
      <c r="H436" s="1"/>
    </row>
    <row r="437" ht="14.25" customHeight="1">
      <c r="A437" s="52"/>
      <c r="B437" s="53"/>
      <c r="C437" s="53"/>
      <c r="D437" s="53"/>
      <c r="E437" s="53"/>
      <c r="F437" s="53"/>
      <c r="G437" s="53"/>
      <c r="H437" s="1"/>
    </row>
    <row r="438" ht="14.25" customHeight="1">
      <c r="A438" s="52"/>
      <c r="B438" s="53"/>
      <c r="C438" s="53"/>
      <c r="D438" s="53"/>
      <c r="E438" s="53"/>
      <c r="F438" s="53"/>
      <c r="G438" s="53"/>
      <c r="H438" s="1"/>
    </row>
    <row r="439" ht="14.25" customHeight="1">
      <c r="A439" s="52"/>
      <c r="B439" s="53"/>
      <c r="C439" s="53"/>
      <c r="D439" s="53"/>
      <c r="E439" s="53"/>
      <c r="F439" s="53"/>
      <c r="G439" s="53"/>
      <c r="H439" s="1"/>
    </row>
    <row r="440" ht="14.25" customHeight="1">
      <c r="A440" s="52"/>
      <c r="B440" s="53"/>
      <c r="C440" s="53"/>
      <c r="D440" s="53"/>
      <c r="E440" s="53"/>
      <c r="F440" s="53"/>
      <c r="G440" s="53"/>
      <c r="H440" s="1"/>
    </row>
    <row r="441" ht="14.25" customHeight="1">
      <c r="A441" s="52"/>
      <c r="B441" s="53"/>
      <c r="C441" s="53"/>
      <c r="D441" s="53"/>
      <c r="E441" s="53"/>
      <c r="F441" s="53"/>
      <c r="G441" s="53"/>
      <c r="H441" s="1"/>
    </row>
    <row r="442" ht="14.25" customHeight="1">
      <c r="A442" s="52"/>
      <c r="B442" s="53"/>
      <c r="C442" s="53"/>
      <c r="D442" s="53"/>
      <c r="E442" s="53"/>
      <c r="F442" s="53"/>
      <c r="G442" s="53"/>
      <c r="H442" s="1"/>
    </row>
    <row r="443" ht="14.25" customHeight="1">
      <c r="A443" s="52"/>
      <c r="B443" s="53"/>
      <c r="C443" s="53"/>
      <c r="D443" s="53"/>
      <c r="E443" s="53"/>
      <c r="F443" s="53"/>
      <c r="G443" s="53"/>
      <c r="H443" s="1"/>
    </row>
    <row r="444" ht="14.25" customHeight="1">
      <c r="A444" s="52"/>
      <c r="B444" s="53"/>
      <c r="C444" s="53"/>
      <c r="D444" s="53"/>
      <c r="E444" s="53"/>
      <c r="F444" s="53"/>
      <c r="G444" s="53"/>
      <c r="H444" s="1"/>
    </row>
    <row r="445" ht="14.25" customHeight="1">
      <c r="A445" s="52"/>
      <c r="B445" s="53"/>
      <c r="C445" s="53"/>
      <c r="D445" s="53"/>
      <c r="E445" s="53"/>
      <c r="F445" s="53"/>
      <c r="G445" s="53"/>
      <c r="H445" s="1"/>
    </row>
    <row r="446" ht="14.25" customHeight="1">
      <c r="A446" s="52"/>
      <c r="B446" s="53"/>
      <c r="C446" s="53"/>
      <c r="D446" s="53"/>
      <c r="E446" s="53"/>
      <c r="F446" s="53"/>
      <c r="G446" s="53"/>
      <c r="H446" s="1"/>
    </row>
    <row r="447" ht="14.25" customHeight="1">
      <c r="A447" s="52"/>
      <c r="B447" s="53"/>
      <c r="C447" s="53"/>
      <c r="D447" s="53"/>
      <c r="E447" s="53"/>
      <c r="F447" s="53"/>
      <c r="G447" s="53"/>
      <c r="H447" s="1"/>
    </row>
    <row r="448" ht="14.25" customHeight="1">
      <c r="A448" s="52"/>
      <c r="B448" s="53"/>
      <c r="C448" s="53"/>
      <c r="D448" s="53"/>
      <c r="E448" s="53"/>
      <c r="F448" s="53"/>
      <c r="G448" s="53"/>
      <c r="H448" s="1"/>
    </row>
    <row r="449" ht="14.25" customHeight="1">
      <c r="A449" s="52"/>
      <c r="B449" s="53"/>
      <c r="C449" s="53"/>
      <c r="D449" s="53"/>
      <c r="E449" s="53"/>
      <c r="F449" s="53"/>
      <c r="G449" s="53"/>
      <c r="H449" s="1"/>
    </row>
    <row r="450" ht="14.25" customHeight="1">
      <c r="A450" s="52"/>
      <c r="B450" s="53"/>
      <c r="C450" s="53"/>
      <c r="D450" s="53"/>
      <c r="E450" s="53"/>
      <c r="F450" s="53"/>
      <c r="G450" s="53"/>
      <c r="H450" s="1"/>
    </row>
    <row r="451" ht="14.25" customHeight="1">
      <c r="A451" s="52"/>
      <c r="B451" s="53"/>
      <c r="C451" s="53"/>
      <c r="D451" s="53"/>
      <c r="E451" s="53"/>
      <c r="F451" s="53"/>
      <c r="G451" s="53"/>
      <c r="H451" s="1"/>
    </row>
    <row r="452" ht="14.25" customHeight="1">
      <c r="A452" s="52"/>
      <c r="B452" s="53"/>
      <c r="C452" s="53"/>
      <c r="D452" s="53"/>
      <c r="E452" s="53"/>
      <c r="F452" s="53"/>
      <c r="G452" s="53"/>
      <c r="H452" s="1"/>
    </row>
    <row r="453" ht="14.25" customHeight="1">
      <c r="A453" s="52"/>
      <c r="B453" s="53"/>
      <c r="C453" s="53"/>
      <c r="D453" s="53"/>
      <c r="E453" s="53"/>
      <c r="F453" s="53"/>
      <c r="G453" s="53"/>
      <c r="H453" s="1"/>
    </row>
    <row r="454" ht="14.25" customHeight="1">
      <c r="A454" s="52"/>
      <c r="B454" s="53"/>
      <c r="C454" s="53"/>
      <c r="D454" s="53"/>
      <c r="E454" s="53"/>
      <c r="F454" s="53"/>
      <c r="G454" s="53"/>
      <c r="H454" s="1"/>
    </row>
    <row r="455" ht="14.25" customHeight="1">
      <c r="A455" s="52"/>
      <c r="B455" s="53"/>
      <c r="C455" s="53"/>
      <c r="D455" s="53"/>
      <c r="E455" s="53"/>
      <c r="F455" s="53"/>
      <c r="G455" s="53"/>
      <c r="H455" s="1"/>
    </row>
    <row r="456" ht="14.25" customHeight="1">
      <c r="A456" s="52"/>
      <c r="B456" s="53"/>
      <c r="C456" s="53"/>
      <c r="D456" s="53"/>
      <c r="E456" s="53"/>
      <c r="F456" s="53"/>
      <c r="G456" s="53"/>
      <c r="H456" s="1"/>
    </row>
    <row r="457" ht="14.25" customHeight="1">
      <c r="A457" s="52"/>
      <c r="B457" s="53"/>
      <c r="C457" s="53"/>
      <c r="D457" s="53"/>
      <c r="E457" s="53"/>
      <c r="F457" s="53"/>
      <c r="G457" s="53"/>
      <c r="H457" s="1"/>
    </row>
    <row r="458" ht="14.25" customHeight="1">
      <c r="A458" s="52"/>
      <c r="B458" s="53"/>
      <c r="C458" s="53"/>
      <c r="D458" s="53"/>
      <c r="E458" s="53"/>
      <c r="F458" s="53"/>
      <c r="G458" s="53"/>
      <c r="H458" s="1"/>
    </row>
    <row r="459" ht="14.25" customHeight="1">
      <c r="A459" s="52"/>
      <c r="B459" s="53"/>
      <c r="C459" s="53"/>
      <c r="D459" s="53"/>
      <c r="E459" s="53"/>
      <c r="F459" s="53"/>
      <c r="G459" s="53"/>
      <c r="H459" s="1"/>
    </row>
    <row r="460" ht="14.25" customHeight="1">
      <c r="A460" s="52"/>
      <c r="B460" s="53"/>
      <c r="C460" s="53"/>
      <c r="D460" s="53"/>
      <c r="E460" s="53"/>
      <c r="F460" s="53"/>
      <c r="G460" s="53"/>
      <c r="H460" s="1"/>
    </row>
    <row r="461" ht="14.25" customHeight="1">
      <c r="A461" s="52"/>
      <c r="B461" s="53"/>
      <c r="C461" s="53"/>
      <c r="D461" s="53"/>
      <c r="E461" s="53"/>
      <c r="F461" s="53"/>
      <c r="G461" s="53"/>
      <c r="H461" s="1"/>
    </row>
    <row r="462" ht="14.25" customHeight="1">
      <c r="A462" s="52"/>
      <c r="B462" s="53"/>
      <c r="C462" s="53"/>
      <c r="D462" s="53"/>
      <c r="E462" s="53"/>
      <c r="F462" s="53"/>
      <c r="G462" s="53"/>
      <c r="H462" s="1"/>
    </row>
    <row r="463" ht="14.25" customHeight="1">
      <c r="A463" s="52"/>
      <c r="B463" s="53"/>
      <c r="C463" s="53"/>
      <c r="D463" s="53"/>
      <c r="E463" s="53"/>
      <c r="F463" s="53"/>
      <c r="G463" s="53"/>
      <c r="H463" s="1"/>
    </row>
    <row r="464" ht="14.25" customHeight="1">
      <c r="A464" s="52"/>
      <c r="B464" s="53"/>
      <c r="C464" s="53"/>
      <c r="D464" s="53"/>
      <c r="E464" s="53"/>
      <c r="F464" s="53"/>
      <c r="G464" s="53"/>
      <c r="H464" s="1"/>
    </row>
    <row r="465" ht="14.25" customHeight="1">
      <c r="A465" s="52"/>
      <c r="B465" s="53"/>
      <c r="C465" s="53"/>
      <c r="D465" s="53"/>
      <c r="E465" s="53"/>
      <c r="F465" s="53"/>
      <c r="G465" s="53"/>
      <c r="H465" s="1"/>
    </row>
    <row r="466" ht="14.25" customHeight="1">
      <c r="A466" s="52"/>
      <c r="B466" s="53"/>
      <c r="C466" s="53"/>
      <c r="D466" s="53"/>
      <c r="E466" s="53"/>
      <c r="F466" s="53"/>
      <c r="G466" s="53"/>
      <c r="H466" s="1"/>
    </row>
    <row r="467" ht="14.25" customHeight="1">
      <c r="A467" s="52"/>
      <c r="B467" s="53"/>
      <c r="C467" s="53"/>
      <c r="D467" s="53"/>
      <c r="E467" s="53"/>
      <c r="F467" s="53"/>
      <c r="G467" s="53"/>
      <c r="H467" s="1"/>
    </row>
    <row r="468" ht="14.25" customHeight="1">
      <c r="A468" s="52"/>
      <c r="B468" s="53"/>
      <c r="C468" s="53"/>
      <c r="D468" s="53"/>
      <c r="E468" s="53"/>
      <c r="F468" s="53"/>
      <c r="G468" s="53"/>
      <c r="H468" s="1"/>
    </row>
    <row r="469" ht="14.25" customHeight="1">
      <c r="A469" s="52"/>
      <c r="B469" s="53"/>
      <c r="C469" s="53"/>
      <c r="D469" s="53"/>
      <c r="E469" s="53"/>
      <c r="F469" s="53"/>
      <c r="G469" s="53"/>
      <c r="H469" s="1"/>
    </row>
    <row r="470" ht="14.25" customHeight="1">
      <c r="A470" s="52"/>
      <c r="B470" s="53"/>
      <c r="C470" s="53"/>
      <c r="D470" s="53"/>
      <c r="E470" s="53"/>
      <c r="F470" s="53"/>
      <c r="G470" s="53"/>
      <c r="H470" s="1"/>
    </row>
    <row r="471" ht="14.25" customHeight="1">
      <c r="A471" s="52"/>
      <c r="B471" s="53"/>
      <c r="C471" s="53"/>
      <c r="D471" s="53"/>
      <c r="E471" s="53"/>
      <c r="F471" s="53"/>
      <c r="G471" s="53"/>
      <c r="H471" s="1"/>
    </row>
    <row r="472" ht="14.25" customHeight="1">
      <c r="A472" s="52"/>
      <c r="B472" s="53"/>
      <c r="C472" s="53"/>
      <c r="D472" s="53"/>
      <c r="E472" s="53"/>
      <c r="F472" s="53"/>
      <c r="G472" s="53"/>
      <c r="H472" s="1"/>
    </row>
    <row r="473" ht="14.25" customHeight="1">
      <c r="A473" s="52"/>
      <c r="B473" s="53"/>
      <c r="C473" s="53"/>
      <c r="D473" s="53"/>
      <c r="E473" s="53"/>
      <c r="F473" s="53"/>
      <c r="G473" s="53"/>
      <c r="H473" s="1"/>
    </row>
    <row r="474" ht="14.25" customHeight="1">
      <c r="A474" s="52"/>
      <c r="B474" s="53"/>
      <c r="C474" s="53"/>
      <c r="D474" s="53"/>
      <c r="E474" s="53"/>
      <c r="F474" s="53"/>
      <c r="G474" s="53"/>
      <c r="H474" s="1"/>
    </row>
    <row r="475" ht="14.25" customHeight="1">
      <c r="A475" s="52"/>
      <c r="B475" s="53"/>
      <c r="C475" s="53"/>
      <c r="D475" s="53"/>
      <c r="E475" s="53"/>
      <c r="F475" s="53"/>
      <c r="G475" s="53"/>
      <c r="H475" s="1"/>
    </row>
    <row r="476" ht="14.25" customHeight="1">
      <c r="A476" s="52"/>
      <c r="B476" s="53"/>
      <c r="C476" s="53"/>
      <c r="D476" s="53"/>
      <c r="E476" s="53"/>
      <c r="F476" s="53"/>
      <c r="G476" s="53"/>
      <c r="H476" s="1"/>
    </row>
    <row r="477" ht="14.25" customHeight="1">
      <c r="A477" s="52"/>
      <c r="B477" s="53"/>
      <c r="C477" s="53"/>
      <c r="D477" s="53"/>
      <c r="E477" s="53"/>
      <c r="F477" s="53"/>
      <c r="G477" s="53"/>
      <c r="H477" s="1"/>
    </row>
    <row r="478" ht="14.25" customHeight="1">
      <c r="A478" s="52"/>
      <c r="B478" s="53"/>
      <c r="C478" s="53"/>
      <c r="D478" s="53"/>
      <c r="E478" s="53"/>
      <c r="F478" s="53"/>
      <c r="G478" s="53"/>
      <c r="H478" s="1"/>
    </row>
    <row r="479" ht="14.25" customHeight="1">
      <c r="A479" s="52"/>
      <c r="B479" s="53"/>
      <c r="C479" s="53"/>
      <c r="D479" s="53"/>
      <c r="E479" s="53"/>
      <c r="F479" s="53"/>
      <c r="G479" s="53"/>
      <c r="H479" s="1"/>
    </row>
    <row r="480" ht="14.25" customHeight="1">
      <c r="A480" s="52"/>
      <c r="B480" s="53"/>
      <c r="C480" s="53"/>
      <c r="D480" s="53"/>
      <c r="E480" s="53"/>
      <c r="F480" s="53"/>
      <c r="G480" s="53"/>
      <c r="H480" s="1"/>
    </row>
    <row r="481" ht="14.25" customHeight="1">
      <c r="A481" s="52"/>
      <c r="B481" s="53"/>
      <c r="C481" s="53"/>
      <c r="D481" s="53"/>
      <c r="E481" s="53"/>
      <c r="F481" s="53"/>
      <c r="G481" s="53"/>
      <c r="H481" s="1"/>
    </row>
    <row r="482" ht="14.25" customHeight="1">
      <c r="A482" s="52"/>
      <c r="B482" s="53"/>
      <c r="C482" s="53"/>
      <c r="D482" s="53"/>
      <c r="E482" s="53"/>
      <c r="F482" s="53"/>
      <c r="G482" s="53"/>
      <c r="H482" s="1"/>
    </row>
    <row r="483" ht="14.25" customHeight="1">
      <c r="A483" s="52"/>
      <c r="B483" s="53"/>
      <c r="C483" s="53"/>
      <c r="D483" s="53"/>
      <c r="E483" s="53"/>
      <c r="F483" s="53"/>
      <c r="G483" s="53"/>
      <c r="H483" s="1"/>
    </row>
    <row r="484" ht="14.25" customHeight="1">
      <c r="A484" s="52"/>
      <c r="B484" s="53"/>
      <c r="C484" s="53"/>
      <c r="D484" s="53"/>
      <c r="E484" s="53"/>
      <c r="F484" s="53"/>
      <c r="G484" s="53"/>
      <c r="H484" s="1"/>
    </row>
    <row r="485" ht="14.25" customHeight="1">
      <c r="A485" s="52"/>
      <c r="B485" s="53"/>
      <c r="C485" s="53"/>
      <c r="D485" s="53"/>
      <c r="E485" s="53"/>
      <c r="F485" s="53"/>
      <c r="G485" s="53"/>
      <c r="H485" s="1"/>
    </row>
    <row r="486" ht="14.25" customHeight="1">
      <c r="A486" s="52"/>
      <c r="B486" s="53"/>
      <c r="C486" s="53"/>
      <c r="D486" s="53"/>
      <c r="E486" s="53"/>
      <c r="F486" s="53"/>
      <c r="G486" s="53"/>
      <c r="H486" s="1"/>
    </row>
    <row r="487" ht="14.25" customHeight="1">
      <c r="A487" s="52"/>
      <c r="B487" s="53"/>
      <c r="C487" s="53"/>
      <c r="D487" s="53"/>
      <c r="E487" s="53"/>
      <c r="F487" s="53"/>
      <c r="G487" s="53"/>
      <c r="H487" s="1"/>
    </row>
    <row r="488" ht="14.25" customHeight="1">
      <c r="A488" s="52"/>
      <c r="B488" s="53"/>
      <c r="C488" s="53"/>
      <c r="D488" s="53"/>
      <c r="E488" s="53"/>
      <c r="F488" s="53"/>
      <c r="G488" s="53"/>
      <c r="H488" s="1"/>
    </row>
    <row r="489" ht="14.25" customHeight="1">
      <c r="A489" s="52"/>
      <c r="B489" s="53"/>
      <c r="C489" s="53"/>
      <c r="D489" s="53"/>
      <c r="E489" s="53"/>
      <c r="F489" s="53"/>
      <c r="G489" s="53"/>
      <c r="H489" s="1"/>
    </row>
    <row r="490" ht="14.25" customHeight="1">
      <c r="A490" s="52"/>
      <c r="B490" s="53"/>
      <c r="C490" s="53"/>
      <c r="D490" s="53"/>
      <c r="E490" s="53"/>
      <c r="F490" s="53"/>
      <c r="G490" s="53"/>
      <c r="H490" s="1"/>
    </row>
    <row r="491" ht="14.25" customHeight="1">
      <c r="A491" s="52"/>
      <c r="B491" s="53"/>
      <c r="C491" s="53"/>
      <c r="D491" s="53"/>
      <c r="E491" s="53"/>
      <c r="F491" s="53"/>
      <c r="G491" s="53"/>
      <c r="H491" s="1"/>
    </row>
    <row r="492" ht="14.25" customHeight="1">
      <c r="A492" s="52"/>
      <c r="B492" s="53"/>
      <c r="C492" s="53"/>
      <c r="D492" s="53"/>
      <c r="E492" s="53"/>
      <c r="F492" s="53"/>
      <c r="G492" s="53"/>
      <c r="H492" s="1"/>
    </row>
    <row r="493" ht="14.25" customHeight="1">
      <c r="A493" s="52"/>
      <c r="B493" s="53"/>
      <c r="C493" s="53"/>
      <c r="D493" s="53"/>
      <c r="E493" s="53"/>
      <c r="F493" s="53"/>
      <c r="G493" s="53"/>
      <c r="H493" s="1"/>
    </row>
    <row r="494" ht="14.25" customHeight="1">
      <c r="A494" s="52"/>
      <c r="B494" s="53"/>
      <c r="C494" s="53"/>
      <c r="D494" s="53"/>
      <c r="E494" s="53"/>
      <c r="F494" s="53"/>
      <c r="G494" s="53"/>
      <c r="H494" s="1"/>
    </row>
    <row r="495" ht="14.25" customHeight="1">
      <c r="A495" s="52"/>
      <c r="B495" s="53"/>
      <c r="C495" s="53"/>
      <c r="D495" s="53"/>
      <c r="E495" s="53"/>
      <c r="F495" s="53"/>
      <c r="G495" s="53"/>
      <c r="H495" s="1"/>
    </row>
    <row r="496" ht="14.25" customHeight="1">
      <c r="A496" s="52"/>
      <c r="B496" s="53"/>
      <c r="C496" s="53"/>
      <c r="D496" s="53"/>
      <c r="E496" s="53"/>
      <c r="F496" s="53"/>
      <c r="G496" s="53"/>
      <c r="H496" s="1"/>
    </row>
    <row r="497" ht="14.25" customHeight="1">
      <c r="A497" s="52"/>
      <c r="B497" s="53"/>
      <c r="C497" s="53"/>
      <c r="D497" s="53"/>
      <c r="E497" s="53"/>
      <c r="F497" s="53"/>
      <c r="G497" s="53"/>
      <c r="H497" s="1"/>
    </row>
    <row r="498" ht="14.25" customHeight="1">
      <c r="A498" s="52"/>
      <c r="B498" s="53"/>
      <c r="C498" s="53"/>
      <c r="D498" s="53"/>
      <c r="E498" s="53"/>
      <c r="F498" s="53"/>
      <c r="G498" s="53"/>
      <c r="H498" s="1"/>
    </row>
    <row r="499" ht="14.25" customHeight="1">
      <c r="A499" s="52"/>
      <c r="B499" s="53"/>
      <c r="C499" s="53"/>
      <c r="D499" s="53"/>
      <c r="E499" s="53"/>
      <c r="F499" s="53"/>
      <c r="G499" s="53"/>
      <c r="H499" s="1"/>
    </row>
    <row r="500" ht="14.25" customHeight="1">
      <c r="A500" s="52"/>
      <c r="B500" s="53"/>
      <c r="C500" s="53"/>
      <c r="D500" s="53"/>
      <c r="E500" s="53"/>
      <c r="F500" s="53"/>
      <c r="G500" s="53"/>
      <c r="H500" s="1"/>
    </row>
    <row r="501" ht="14.25" customHeight="1">
      <c r="A501" s="52"/>
      <c r="B501" s="53"/>
      <c r="C501" s="53"/>
      <c r="D501" s="53"/>
      <c r="E501" s="53"/>
      <c r="F501" s="53"/>
      <c r="G501" s="53"/>
      <c r="H501" s="1"/>
    </row>
    <row r="502" ht="14.25" customHeight="1">
      <c r="A502" s="52"/>
      <c r="B502" s="53"/>
      <c r="C502" s="53"/>
      <c r="D502" s="53"/>
      <c r="E502" s="53"/>
      <c r="F502" s="53"/>
      <c r="G502" s="53"/>
      <c r="H502" s="1"/>
    </row>
    <row r="503" ht="14.25" customHeight="1">
      <c r="A503" s="52"/>
      <c r="B503" s="53"/>
      <c r="C503" s="53"/>
      <c r="D503" s="53"/>
      <c r="E503" s="53"/>
      <c r="F503" s="53"/>
      <c r="G503" s="53"/>
      <c r="H503" s="1"/>
    </row>
    <row r="504" ht="14.25" customHeight="1">
      <c r="A504" s="52"/>
      <c r="B504" s="53"/>
      <c r="C504" s="53"/>
      <c r="D504" s="53"/>
      <c r="E504" s="53"/>
      <c r="F504" s="53"/>
      <c r="G504" s="53"/>
      <c r="H504" s="1"/>
    </row>
    <row r="505" ht="14.25" customHeight="1">
      <c r="A505" s="52"/>
      <c r="B505" s="53"/>
      <c r="C505" s="53"/>
      <c r="D505" s="53"/>
      <c r="E505" s="53"/>
      <c r="F505" s="53"/>
      <c r="G505" s="53"/>
      <c r="H505" s="1"/>
    </row>
    <row r="506" ht="14.25" customHeight="1">
      <c r="A506" s="52"/>
      <c r="B506" s="53"/>
      <c r="C506" s="53"/>
      <c r="D506" s="53"/>
      <c r="E506" s="53"/>
      <c r="F506" s="53"/>
      <c r="G506" s="53"/>
      <c r="H506" s="1"/>
    </row>
    <row r="507" ht="14.25" customHeight="1">
      <c r="A507" s="52"/>
      <c r="B507" s="53"/>
      <c r="C507" s="53"/>
      <c r="D507" s="53"/>
      <c r="E507" s="53"/>
      <c r="F507" s="53"/>
      <c r="G507" s="53"/>
      <c r="H507" s="1"/>
    </row>
    <row r="508" ht="14.25" customHeight="1">
      <c r="A508" s="52"/>
      <c r="B508" s="53"/>
      <c r="C508" s="53"/>
      <c r="D508" s="53"/>
      <c r="E508" s="53"/>
      <c r="F508" s="53"/>
      <c r="G508" s="53"/>
      <c r="H508" s="1"/>
    </row>
    <row r="509" ht="14.25" customHeight="1">
      <c r="A509" s="52"/>
      <c r="B509" s="53"/>
      <c r="C509" s="53"/>
      <c r="D509" s="53"/>
      <c r="E509" s="53"/>
      <c r="F509" s="53"/>
      <c r="G509" s="53"/>
      <c r="H509" s="1"/>
    </row>
    <row r="510" ht="14.25" customHeight="1">
      <c r="A510" s="52"/>
      <c r="B510" s="53"/>
      <c r="C510" s="53"/>
      <c r="D510" s="53"/>
      <c r="E510" s="53"/>
      <c r="F510" s="53"/>
      <c r="G510" s="53"/>
      <c r="H510" s="1"/>
    </row>
    <row r="511" ht="14.25" customHeight="1">
      <c r="A511" s="52"/>
      <c r="B511" s="53"/>
      <c r="C511" s="53"/>
      <c r="D511" s="53"/>
      <c r="E511" s="53"/>
      <c r="F511" s="53"/>
      <c r="G511" s="53"/>
      <c r="H511" s="1"/>
    </row>
    <row r="512" ht="14.25" customHeight="1">
      <c r="A512" s="52"/>
      <c r="B512" s="53"/>
      <c r="C512" s="53"/>
      <c r="D512" s="53"/>
      <c r="E512" s="53"/>
      <c r="F512" s="53"/>
      <c r="G512" s="53"/>
      <c r="H512" s="1"/>
    </row>
    <row r="513" ht="14.25" customHeight="1">
      <c r="A513" s="52"/>
      <c r="B513" s="53"/>
      <c r="C513" s="53"/>
      <c r="D513" s="53"/>
      <c r="E513" s="53"/>
      <c r="F513" s="53"/>
      <c r="G513" s="53"/>
      <c r="H513" s="1"/>
    </row>
    <row r="514" ht="14.25" customHeight="1">
      <c r="A514" s="52"/>
      <c r="B514" s="53"/>
      <c r="C514" s="53"/>
      <c r="D514" s="53"/>
      <c r="E514" s="53"/>
      <c r="F514" s="53"/>
      <c r="G514" s="53"/>
      <c r="H514" s="1"/>
    </row>
    <row r="515" ht="14.25" customHeight="1">
      <c r="A515" s="52"/>
      <c r="B515" s="53"/>
      <c r="C515" s="53"/>
      <c r="D515" s="53"/>
      <c r="E515" s="53"/>
      <c r="F515" s="53"/>
      <c r="G515" s="53"/>
      <c r="H515" s="1"/>
    </row>
    <row r="516" ht="14.25" customHeight="1">
      <c r="A516" s="52"/>
      <c r="B516" s="53"/>
      <c r="C516" s="53"/>
      <c r="D516" s="53"/>
      <c r="E516" s="53"/>
      <c r="F516" s="53"/>
      <c r="G516" s="53"/>
      <c r="H516" s="1"/>
    </row>
    <row r="517" ht="14.25" customHeight="1">
      <c r="A517" s="52"/>
      <c r="B517" s="53"/>
      <c r="C517" s="53"/>
      <c r="D517" s="53"/>
      <c r="E517" s="53"/>
      <c r="F517" s="53"/>
      <c r="G517" s="53"/>
      <c r="H517" s="1"/>
    </row>
    <row r="518" ht="14.25" customHeight="1">
      <c r="A518" s="52"/>
      <c r="B518" s="53"/>
      <c r="C518" s="53"/>
      <c r="D518" s="53"/>
      <c r="E518" s="53"/>
      <c r="F518" s="53"/>
      <c r="G518" s="53"/>
      <c r="H518" s="1"/>
    </row>
    <row r="519" ht="14.25" customHeight="1">
      <c r="A519" s="52"/>
      <c r="B519" s="53"/>
      <c r="C519" s="53"/>
      <c r="D519" s="53"/>
      <c r="E519" s="53"/>
      <c r="F519" s="53"/>
      <c r="G519" s="53"/>
      <c r="H519" s="1"/>
    </row>
    <row r="520" ht="14.25" customHeight="1">
      <c r="A520" s="52"/>
      <c r="B520" s="53"/>
      <c r="C520" s="53"/>
      <c r="D520" s="53"/>
      <c r="E520" s="53"/>
      <c r="F520" s="53"/>
      <c r="G520" s="53"/>
      <c r="H520" s="1"/>
    </row>
    <row r="521" ht="14.25" customHeight="1">
      <c r="A521" s="52"/>
      <c r="B521" s="53"/>
      <c r="C521" s="53"/>
      <c r="D521" s="53"/>
      <c r="E521" s="53"/>
      <c r="F521" s="53"/>
      <c r="G521" s="53"/>
      <c r="H521" s="1"/>
    </row>
    <row r="522" ht="14.25" customHeight="1">
      <c r="A522" s="52"/>
      <c r="B522" s="53"/>
      <c r="C522" s="53"/>
      <c r="D522" s="53"/>
      <c r="E522" s="53"/>
      <c r="F522" s="53"/>
      <c r="G522" s="53"/>
      <c r="H522" s="1"/>
    </row>
    <row r="523" ht="14.25" customHeight="1">
      <c r="A523" s="52"/>
      <c r="B523" s="53"/>
      <c r="C523" s="53"/>
      <c r="D523" s="53"/>
      <c r="E523" s="53"/>
      <c r="F523" s="53"/>
      <c r="G523" s="53"/>
      <c r="H523" s="1"/>
    </row>
    <row r="524" ht="14.25" customHeight="1">
      <c r="A524" s="52"/>
      <c r="B524" s="53"/>
      <c r="C524" s="53"/>
      <c r="D524" s="53"/>
      <c r="E524" s="53"/>
      <c r="F524" s="53"/>
      <c r="G524" s="53"/>
      <c r="H524" s="1"/>
    </row>
    <row r="525" ht="14.25" customHeight="1">
      <c r="A525" s="52"/>
      <c r="B525" s="53"/>
      <c r="C525" s="53"/>
      <c r="D525" s="53"/>
      <c r="E525" s="53"/>
      <c r="F525" s="53"/>
      <c r="G525" s="53"/>
      <c r="H525" s="1"/>
    </row>
    <row r="526" ht="14.25" customHeight="1">
      <c r="A526" s="52"/>
      <c r="B526" s="53"/>
      <c r="C526" s="53"/>
      <c r="D526" s="53"/>
      <c r="E526" s="53"/>
      <c r="F526" s="53"/>
      <c r="G526" s="53"/>
      <c r="H526" s="1"/>
    </row>
    <row r="527" ht="14.25" customHeight="1">
      <c r="A527" s="52"/>
      <c r="B527" s="53"/>
      <c r="C527" s="53"/>
      <c r="D527" s="53"/>
      <c r="E527" s="53"/>
      <c r="F527" s="53"/>
      <c r="G527" s="53"/>
      <c r="H527" s="1"/>
    </row>
    <row r="528" ht="14.25" customHeight="1">
      <c r="A528" s="52"/>
      <c r="B528" s="53"/>
      <c r="C528" s="53"/>
      <c r="D528" s="53"/>
      <c r="E528" s="53"/>
      <c r="F528" s="53"/>
      <c r="G528" s="53"/>
      <c r="H528" s="1"/>
    </row>
    <row r="529" ht="14.25" customHeight="1">
      <c r="A529" s="52"/>
      <c r="B529" s="53"/>
      <c r="C529" s="53"/>
      <c r="D529" s="53"/>
      <c r="E529" s="53"/>
      <c r="F529" s="53"/>
      <c r="G529" s="53"/>
      <c r="H529" s="1"/>
    </row>
    <row r="530" ht="14.25" customHeight="1">
      <c r="A530" s="52"/>
      <c r="B530" s="53"/>
      <c r="C530" s="53"/>
      <c r="D530" s="53"/>
      <c r="E530" s="53"/>
      <c r="F530" s="53"/>
      <c r="G530" s="53"/>
      <c r="H530" s="1"/>
    </row>
    <row r="531" ht="14.25" customHeight="1">
      <c r="A531" s="52"/>
      <c r="B531" s="53"/>
      <c r="C531" s="53"/>
      <c r="D531" s="53"/>
      <c r="E531" s="53"/>
      <c r="F531" s="53"/>
      <c r="G531" s="53"/>
      <c r="H531" s="1"/>
    </row>
    <row r="532" ht="14.25" customHeight="1">
      <c r="A532" s="52"/>
      <c r="B532" s="53"/>
      <c r="C532" s="53"/>
      <c r="D532" s="53"/>
      <c r="E532" s="53"/>
      <c r="F532" s="53"/>
      <c r="G532" s="53"/>
      <c r="H532" s="1"/>
    </row>
    <row r="533" ht="14.25" customHeight="1">
      <c r="A533" s="52"/>
      <c r="B533" s="53"/>
      <c r="C533" s="53"/>
      <c r="D533" s="53"/>
      <c r="E533" s="53"/>
      <c r="F533" s="53"/>
      <c r="G533" s="53"/>
      <c r="H533" s="1"/>
    </row>
    <row r="534" ht="14.25" customHeight="1">
      <c r="A534" s="52"/>
      <c r="B534" s="53"/>
      <c r="C534" s="53"/>
      <c r="D534" s="53"/>
      <c r="E534" s="53"/>
      <c r="F534" s="53"/>
      <c r="G534" s="53"/>
      <c r="H534" s="1"/>
    </row>
    <row r="535" ht="14.25" customHeight="1">
      <c r="A535" s="52"/>
      <c r="B535" s="53"/>
      <c r="C535" s="53"/>
      <c r="D535" s="53"/>
      <c r="E535" s="53"/>
      <c r="F535" s="53"/>
      <c r="G535" s="53"/>
      <c r="H535" s="1"/>
    </row>
    <row r="536" ht="14.25" customHeight="1">
      <c r="A536" s="52"/>
      <c r="B536" s="53"/>
      <c r="C536" s="53"/>
      <c r="D536" s="53"/>
      <c r="E536" s="53"/>
      <c r="F536" s="53"/>
      <c r="G536" s="53"/>
      <c r="H536" s="1"/>
    </row>
    <row r="537" ht="14.25" customHeight="1">
      <c r="A537" s="52"/>
      <c r="B537" s="53"/>
      <c r="C537" s="53"/>
      <c r="D537" s="53"/>
      <c r="E537" s="53"/>
      <c r="F537" s="53"/>
      <c r="G537" s="53"/>
      <c r="H537" s="1"/>
    </row>
    <row r="538" ht="14.25" customHeight="1">
      <c r="A538" s="52"/>
      <c r="B538" s="53"/>
      <c r="C538" s="53"/>
      <c r="D538" s="53"/>
      <c r="E538" s="53"/>
      <c r="F538" s="53"/>
      <c r="G538" s="53"/>
      <c r="H538" s="1"/>
    </row>
    <row r="539" ht="14.25" customHeight="1">
      <c r="A539" s="52"/>
      <c r="B539" s="53"/>
      <c r="C539" s="53"/>
      <c r="D539" s="53"/>
      <c r="E539" s="53"/>
      <c r="F539" s="53"/>
      <c r="G539" s="53"/>
      <c r="H539" s="1"/>
    </row>
    <row r="540" ht="14.25" customHeight="1">
      <c r="A540" s="52"/>
      <c r="B540" s="53"/>
      <c r="C540" s="53"/>
      <c r="D540" s="53"/>
      <c r="E540" s="53"/>
      <c r="F540" s="53"/>
      <c r="G540" s="53"/>
      <c r="H540" s="1"/>
    </row>
    <row r="541" ht="14.25" customHeight="1">
      <c r="A541" s="52"/>
      <c r="B541" s="53"/>
      <c r="C541" s="53"/>
      <c r="D541" s="53"/>
      <c r="E541" s="53"/>
      <c r="F541" s="53"/>
      <c r="G541" s="53"/>
      <c r="H541" s="1"/>
    </row>
    <row r="542" ht="14.25" customHeight="1">
      <c r="A542" s="52"/>
      <c r="B542" s="53"/>
      <c r="C542" s="53"/>
      <c r="D542" s="53"/>
      <c r="E542" s="53"/>
      <c r="F542" s="53"/>
      <c r="G542" s="53"/>
      <c r="H542" s="1"/>
    </row>
    <row r="543" ht="14.25" customHeight="1">
      <c r="A543" s="52"/>
      <c r="B543" s="53"/>
      <c r="C543" s="53"/>
      <c r="D543" s="53"/>
      <c r="E543" s="53"/>
      <c r="F543" s="53"/>
      <c r="G543" s="53"/>
      <c r="H543" s="1"/>
    </row>
    <row r="544" ht="14.25" customHeight="1">
      <c r="A544" s="52"/>
      <c r="B544" s="53"/>
      <c r="C544" s="53"/>
      <c r="D544" s="53"/>
      <c r="E544" s="53"/>
      <c r="F544" s="53"/>
      <c r="G544" s="53"/>
      <c r="H544" s="1"/>
    </row>
    <row r="545" ht="14.25" customHeight="1">
      <c r="A545" s="52"/>
      <c r="B545" s="53"/>
      <c r="C545" s="53"/>
      <c r="D545" s="53"/>
      <c r="E545" s="53"/>
      <c r="F545" s="53"/>
      <c r="G545" s="53"/>
      <c r="H545" s="1"/>
    </row>
    <row r="546" ht="14.25" customHeight="1">
      <c r="A546" s="52"/>
      <c r="B546" s="53"/>
      <c r="C546" s="53"/>
      <c r="D546" s="53"/>
      <c r="E546" s="53"/>
      <c r="F546" s="53"/>
      <c r="G546" s="53"/>
      <c r="H546" s="1"/>
    </row>
    <row r="547" ht="14.25" customHeight="1">
      <c r="A547" s="52"/>
      <c r="B547" s="53"/>
      <c r="C547" s="53"/>
      <c r="D547" s="53"/>
      <c r="E547" s="53"/>
      <c r="F547" s="53"/>
      <c r="G547" s="53"/>
      <c r="H547" s="1"/>
    </row>
    <row r="548" ht="14.25" customHeight="1">
      <c r="A548" s="52"/>
      <c r="B548" s="53"/>
      <c r="C548" s="53"/>
      <c r="D548" s="53"/>
      <c r="E548" s="53"/>
      <c r="F548" s="53"/>
      <c r="G548" s="53"/>
      <c r="H548" s="1"/>
    </row>
    <row r="549" ht="14.25" customHeight="1">
      <c r="A549" s="52"/>
      <c r="B549" s="53"/>
      <c r="C549" s="53"/>
      <c r="D549" s="53"/>
      <c r="E549" s="53"/>
      <c r="F549" s="53"/>
      <c r="G549" s="53"/>
      <c r="H549" s="1"/>
    </row>
    <row r="550" ht="14.25" customHeight="1">
      <c r="A550" s="52"/>
      <c r="B550" s="53"/>
      <c r="C550" s="53"/>
      <c r="D550" s="53"/>
      <c r="E550" s="53"/>
      <c r="F550" s="53"/>
      <c r="G550" s="53"/>
      <c r="H550" s="1"/>
    </row>
    <row r="551" ht="14.25" customHeight="1">
      <c r="A551" s="52"/>
      <c r="B551" s="53"/>
      <c r="C551" s="53"/>
      <c r="D551" s="53"/>
      <c r="E551" s="53"/>
      <c r="F551" s="53"/>
      <c r="G551" s="53"/>
      <c r="H551" s="1"/>
    </row>
    <row r="552" ht="14.25" customHeight="1">
      <c r="A552" s="52"/>
      <c r="B552" s="53"/>
      <c r="C552" s="53"/>
      <c r="D552" s="53"/>
      <c r="E552" s="53"/>
      <c r="F552" s="53"/>
      <c r="G552" s="53"/>
      <c r="H552" s="1"/>
    </row>
    <row r="553" ht="14.25" customHeight="1">
      <c r="A553" s="52"/>
      <c r="B553" s="53"/>
      <c r="C553" s="53"/>
      <c r="D553" s="53"/>
      <c r="E553" s="53"/>
      <c r="F553" s="53"/>
      <c r="G553" s="53"/>
      <c r="H553" s="1"/>
    </row>
    <row r="554" ht="14.25" customHeight="1">
      <c r="A554" s="52"/>
      <c r="B554" s="53"/>
      <c r="C554" s="53"/>
      <c r="D554" s="53"/>
      <c r="E554" s="53"/>
      <c r="F554" s="53"/>
      <c r="G554" s="53"/>
      <c r="H554" s="1"/>
    </row>
    <row r="555" ht="14.25" customHeight="1">
      <c r="A555" s="52"/>
      <c r="B555" s="53"/>
      <c r="C555" s="53"/>
      <c r="D555" s="53"/>
      <c r="E555" s="53"/>
      <c r="F555" s="53"/>
      <c r="G555" s="53"/>
      <c r="H555" s="1"/>
    </row>
    <row r="556" ht="14.25" customHeight="1">
      <c r="A556" s="52"/>
      <c r="B556" s="53"/>
      <c r="C556" s="53"/>
      <c r="D556" s="53"/>
      <c r="E556" s="53"/>
      <c r="F556" s="53"/>
      <c r="G556" s="53"/>
      <c r="H556" s="1"/>
    </row>
    <row r="557" ht="14.25" customHeight="1">
      <c r="A557" s="52"/>
      <c r="B557" s="53"/>
      <c r="C557" s="53"/>
      <c r="D557" s="53"/>
      <c r="E557" s="53"/>
      <c r="F557" s="53"/>
      <c r="G557" s="53"/>
      <c r="H557" s="1"/>
    </row>
    <row r="558" ht="14.25" customHeight="1">
      <c r="A558" s="52"/>
      <c r="B558" s="53"/>
      <c r="C558" s="53"/>
      <c r="D558" s="53"/>
      <c r="E558" s="53"/>
      <c r="F558" s="53"/>
      <c r="G558" s="53"/>
      <c r="H558" s="1"/>
    </row>
    <row r="559" ht="14.25" customHeight="1">
      <c r="A559" s="52"/>
      <c r="B559" s="53"/>
      <c r="C559" s="53"/>
      <c r="D559" s="53"/>
      <c r="E559" s="53"/>
      <c r="F559" s="53"/>
      <c r="G559" s="53"/>
      <c r="H559" s="1"/>
    </row>
    <row r="560" ht="14.25" customHeight="1">
      <c r="A560" s="52"/>
      <c r="B560" s="53"/>
      <c r="C560" s="53"/>
      <c r="D560" s="53"/>
      <c r="E560" s="53"/>
      <c r="F560" s="53"/>
      <c r="G560" s="53"/>
      <c r="H560" s="1"/>
    </row>
    <row r="561" ht="14.25" customHeight="1">
      <c r="A561" s="52"/>
      <c r="B561" s="53"/>
      <c r="C561" s="53"/>
      <c r="D561" s="53"/>
      <c r="E561" s="53"/>
      <c r="F561" s="53"/>
      <c r="G561" s="53"/>
      <c r="H561" s="1"/>
    </row>
    <row r="562" ht="14.25" customHeight="1">
      <c r="A562" s="52"/>
      <c r="B562" s="53"/>
      <c r="C562" s="53"/>
      <c r="D562" s="53"/>
      <c r="E562" s="53"/>
      <c r="F562" s="53"/>
      <c r="G562" s="53"/>
      <c r="H562" s="1"/>
    </row>
    <row r="563" ht="14.25" customHeight="1">
      <c r="A563" s="52"/>
      <c r="B563" s="53"/>
      <c r="C563" s="53"/>
      <c r="D563" s="53"/>
      <c r="E563" s="53"/>
      <c r="F563" s="53"/>
      <c r="G563" s="53"/>
      <c r="H563" s="1"/>
    </row>
    <row r="564" ht="14.25" customHeight="1">
      <c r="A564" s="52"/>
      <c r="B564" s="53"/>
      <c r="C564" s="53"/>
      <c r="D564" s="53"/>
      <c r="E564" s="53"/>
      <c r="F564" s="53"/>
      <c r="G564" s="53"/>
      <c r="H564" s="1"/>
    </row>
    <row r="565" ht="14.25" customHeight="1">
      <c r="A565" s="52"/>
      <c r="B565" s="53"/>
      <c r="C565" s="53"/>
      <c r="D565" s="53"/>
      <c r="E565" s="53"/>
      <c r="F565" s="53"/>
      <c r="G565" s="53"/>
      <c r="H565" s="1"/>
    </row>
    <row r="566" ht="14.25" customHeight="1">
      <c r="A566" s="52"/>
      <c r="B566" s="53"/>
      <c r="C566" s="53"/>
      <c r="D566" s="53"/>
      <c r="E566" s="53"/>
      <c r="F566" s="53"/>
      <c r="G566" s="53"/>
      <c r="H566" s="1"/>
    </row>
    <row r="567" ht="14.25" customHeight="1">
      <c r="A567" s="52"/>
      <c r="B567" s="53"/>
      <c r="C567" s="53"/>
      <c r="D567" s="53"/>
      <c r="E567" s="53"/>
      <c r="F567" s="53"/>
      <c r="G567" s="53"/>
      <c r="H567" s="1"/>
    </row>
    <row r="568" ht="14.25" customHeight="1">
      <c r="A568" s="52"/>
      <c r="B568" s="53"/>
      <c r="C568" s="53"/>
      <c r="D568" s="53"/>
      <c r="E568" s="53"/>
      <c r="F568" s="53"/>
      <c r="G568" s="53"/>
      <c r="H568" s="1"/>
    </row>
    <row r="569" ht="14.25" customHeight="1">
      <c r="A569" s="52"/>
      <c r="B569" s="53"/>
      <c r="C569" s="53"/>
      <c r="D569" s="53"/>
      <c r="E569" s="53"/>
      <c r="F569" s="53"/>
      <c r="G569" s="53"/>
      <c r="H569" s="1"/>
    </row>
    <row r="570" ht="14.25" customHeight="1">
      <c r="A570" s="52"/>
      <c r="B570" s="53"/>
      <c r="C570" s="53"/>
      <c r="D570" s="53"/>
      <c r="E570" s="53"/>
      <c r="F570" s="53"/>
      <c r="G570" s="53"/>
      <c r="H570" s="1"/>
    </row>
    <row r="571" ht="14.25" customHeight="1">
      <c r="A571" s="52"/>
      <c r="B571" s="53"/>
      <c r="C571" s="53"/>
      <c r="D571" s="53"/>
      <c r="E571" s="53"/>
      <c r="F571" s="53"/>
      <c r="G571" s="53"/>
      <c r="H571" s="1"/>
    </row>
    <row r="572" ht="14.25" customHeight="1">
      <c r="A572" s="52"/>
      <c r="B572" s="53"/>
      <c r="C572" s="53"/>
      <c r="D572" s="53"/>
      <c r="E572" s="53"/>
      <c r="F572" s="53"/>
      <c r="G572" s="53"/>
      <c r="H572" s="1"/>
    </row>
    <row r="573" ht="14.25" customHeight="1">
      <c r="A573" s="52"/>
      <c r="B573" s="53"/>
      <c r="C573" s="53"/>
      <c r="D573" s="53"/>
      <c r="E573" s="53"/>
      <c r="F573" s="53"/>
      <c r="G573" s="53"/>
      <c r="H573" s="1"/>
    </row>
    <row r="574" ht="14.25" customHeight="1">
      <c r="A574" s="52"/>
      <c r="B574" s="53"/>
      <c r="C574" s="53"/>
      <c r="D574" s="53"/>
      <c r="E574" s="53"/>
      <c r="F574" s="53"/>
      <c r="G574" s="53"/>
      <c r="H574" s="1"/>
    </row>
    <row r="575" ht="14.25" customHeight="1">
      <c r="A575" s="52"/>
      <c r="B575" s="53"/>
      <c r="C575" s="53"/>
      <c r="D575" s="53"/>
      <c r="E575" s="53"/>
      <c r="F575" s="53"/>
      <c r="G575" s="53"/>
      <c r="H575" s="1"/>
    </row>
    <row r="576" ht="14.25" customHeight="1">
      <c r="A576" s="52"/>
      <c r="B576" s="53"/>
      <c r="C576" s="53"/>
      <c r="D576" s="53"/>
      <c r="E576" s="53"/>
      <c r="F576" s="53"/>
      <c r="G576" s="53"/>
      <c r="H576" s="1"/>
    </row>
    <row r="577" ht="14.25" customHeight="1">
      <c r="A577" s="52"/>
      <c r="B577" s="53"/>
      <c r="C577" s="53"/>
      <c r="D577" s="53"/>
      <c r="E577" s="53"/>
      <c r="F577" s="53"/>
      <c r="G577" s="53"/>
      <c r="H577" s="1"/>
    </row>
    <row r="578" ht="14.25" customHeight="1">
      <c r="A578" s="52"/>
      <c r="B578" s="53"/>
      <c r="C578" s="53"/>
      <c r="D578" s="53"/>
      <c r="E578" s="53"/>
      <c r="F578" s="53"/>
      <c r="G578" s="53"/>
      <c r="H578" s="1"/>
    </row>
    <row r="579" ht="14.25" customHeight="1">
      <c r="A579" s="52"/>
      <c r="B579" s="53"/>
      <c r="C579" s="53"/>
      <c r="D579" s="53"/>
      <c r="E579" s="53"/>
      <c r="F579" s="53"/>
      <c r="G579" s="53"/>
      <c r="H579" s="1"/>
    </row>
    <row r="580" ht="14.25" customHeight="1">
      <c r="A580" s="52"/>
      <c r="B580" s="53"/>
      <c r="C580" s="53"/>
      <c r="D580" s="53"/>
      <c r="E580" s="53"/>
      <c r="F580" s="53"/>
      <c r="G580" s="53"/>
      <c r="H580" s="1"/>
    </row>
    <row r="581" ht="14.25" customHeight="1">
      <c r="A581" s="52"/>
      <c r="B581" s="53"/>
      <c r="C581" s="53"/>
      <c r="D581" s="53"/>
      <c r="E581" s="53"/>
      <c r="F581" s="53"/>
      <c r="G581" s="53"/>
      <c r="H581" s="1"/>
    </row>
    <row r="582" ht="14.25" customHeight="1">
      <c r="A582" s="52"/>
      <c r="B582" s="53"/>
      <c r="C582" s="53"/>
      <c r="D582" s="53"/>
      <c r="E582" s="53"/>
      <c r="F582" s="53"/>
      <c r="G582" s="53"/>
      <c r="H582" s="1"/>
    </row>
    <row r="583" ht="14.25" customHeight="1">
      <c r="A583" s="52"/>
      <c r="B583" s="53"/>
      <c r="C583" s="53"/>
      <c r="D583" s="53"/>
      <c r="E583" s="53"/>
      <c r="F583" s="53"/>
      <c r="G583" s="53"/>
      <c r="H583" s="1"/>
    </row>
    <row r="584" ht="14.25" customHeight="1">
      <c r="A584" s="52"/>
      <c r="B584" s="53"/>
      <c r="C584" s="53"/>
      <c r="D584" s="53"/>
      <c r="E584" s="53"/>
      <c r="F584" s="53"/>
      <c r="G584" s="53"/>
      <c r="H584" s="1"/>
    </row>
    <row r="585" ht="14.25" customHeight="1">
      <c r="A585" s="52"/>
      <c r="B585" s="53"/>
      <c r="C585" s="53"/>
      <c r="D585" s="53"/>
      <c r="E585" s="53"/>
      <c r="F585" s="53"/>
      <c r="G585" s="53"/>
      <c r="H585" s="1"/>
    </row>
    <row r="586" ht="14.25" customHeight="1">
      <c r="A586" s="52"/>
      <c r="B586" s="53"/>
      <c r="C586" s="53"/>
      <c r="D586" s="53"/>
      <c r="E586" s="53"/>
      <c r="F586" s="53"/>
      <c r="G586" s="53"/>
      <c r="H586" s="1"/>
    </row>
    <row r="587" ht="14.25" customHeight="1">
      <c r="A587" s="52"/>
      <c r="B587" s="53"/>
      <c r="C587" s="53"/>
      <c r="D587" s="53"/>
      <c r="E587" s="53"/>
      <c r="F587" s="53"/>
      <c r="G587" s="53"/>
      <c r="H587" s="1"/>
    </row>
    <row r="588" ht="14.25" customHeight="1">
      <c r="A588" s="52"/>
      <c r="B588" s="53"/>
      <c r="C588" s="53"/>
      <c r="D588" s="53"/>
      <c r="E588" s="53"/>
      <c r="F588" s="53"/>
      <c r="G588" s="53"/>
      <c r="H588" s="1"/>
    </row>
    <row r="589" ht="14.25" customHeight="1">
      <c r="A589" s="52"/>
      <c r="B589" s="53"/>
      <c r="C589" s="53"/>
      <c r="D589" s="53"/>
      <c r="E589" s="53"/>
      <c r="F589" s="53"/>
      <c r="G589" s="53"/>
      <c r="H589" s="1"/>
    </row>
    <row r="590" ht="14.25" customHeight="1">
      <c r="A590" s="52"/>
      <c r="B590" s="53"/>
      <c r="C590" s="53"/>
      <c r="D590" s="53"/>
      <c r="E590" s="53"/>
      <c r="F590" s="53"/>
      <c r="G590" s="53"/>
      <c r="H590" s="1"/>
    </row>
    <row r="591" ht="14.25" customHeight="1">
      <c r="A591" s="52"/>
      <c r="B591" s="53"/>
      <c r="C591" s="53"/>
      <c r="D591" s="53"/>
      <c r="E591" s="53"/>
      <c r="F591" s="53"/>
      <c r="G591" s="53"/>
      <c r="H591" s="1"/>
    </row>
    <row r="592" ht="14.25" customHeight="1">
      <c r="A592" s="52"/>
      <c r="B592" s="53"/>
      <c r="C592" s="53"/>
      <c r="D592" s="53"/>
      <c r="E592" s="53"/>
      <c r="F592" s="53"/>
      <c r="G592" s="53"/>
      <c r="H592" s="1"/>
    </row>
    <row r="593" ht="14.25" customHeight="1">
      <c r="A593" s="52"/>
      <c r="B593" s="53"/>
      <c r="C593" s="53"/>
      <c r="D593" s="53"/>
      <c r="E593" s="53"/>
      <c r="F593" s="53"/>
      <c r="G593" s="53"/>
      <c r="H593" s="1"/>
    </row>
    <row r="594" ht="14.25" customHeight="1">
      <c r="A594" s="52"/>
      <c r="B594" s="53"/>
      <c r="C594" s="53"/>
      <c r="D594" s="53"/>
      <c r="E594" s="53"/>
      <c r="F594" s="53"/>
      <c r="G594" s="53"/>
      <c r="H594" s="1"/>
    </row>
    <row r="595" ht="14.25" customHeight="1">
      <c r="A595" s="52"/>
      <c r="B595" s="53"/>
      <c r="C595" s="53"/>
      <c r="D595" s="53"/>
      <c r="E595" s="53"/>
      <c r="F595" s="53"/>
      <c r="G595" s="53"/>
      <c r="H595" s="1"/>
    </row>
    <row r="596" ht="14.25" customHeight="1">
      <c r="A596" s="52"/>
      <c r="B596" s="53"/>
      <c r="C596" s="53"/>
      <c r="D596" s="53"/>
      <c r="E596" s="53"/>
      <c r="F596" s="53"/>
      <c r="G596" s="53"/>
      <c r="H596" s="1"/>
    </row>
    <row r="597" ht="14.25" customHeight="1">
      <c r="A597" s="52"/>
      <c r="B597" s="53"/>
      <c r="C597" s="53"/>
      <c r="D597" s="53"/>
      <c r="E597" s="53"/>
      <c r="F597" s="53"/>
      <c r="G597" s="53"/>
      <c r="H597" s="1"/>
    </row>
    <row r="598" ht="14.25" customHeight="1">
      <c r="A598" s="52"/>
      <c r="B598" s="53"/>
      <c r="C598" s="53"/>
      <c r="D598" s="53"/>
      <c r="E598" s="53"/>
      <c r="F598" s="53"/>
      <c r="G598" s="53"/>
      <c r="H598" s="1"/>
    </row>
    <row r="599" ht="14.25" customHeight="1">
      <c r="A599" s="52"/>
      <c r="B599" s="53"/>
      <c r="C599" s="53"/>
      <c r="D599" s="53"/>
      <c r="E599" s="53"/>
      <c r="F599" s="53"/>
      <c r="G599" s="53"/>
      <c r="H599" s="1"/>
    </row>
    <row r="600" ht="14.25" customHeight="1">
      <c r="A600" s="52"/>
      <c r="B600" s="53"/>
      <c r="C600" s="53"/>
      <c r="D600" s="53"/>
      <c r="E600" s="53"/>
      <c r="F600" s="53"/>
      <c r="G600" s="53"/>
      <c r="H600" s="1"/>
    </row>
    <row r="601" ht="14.25" customHeight="1">
      <c r="A601" s="52"/>
      <c r="B601" s="53"/>
      <c r="C601" s="53"/>
      <c r="D601" s="53"/>
      <c r="E601" s="53"/>
      <c r="F601" s="53"/>
      <c r="G601" s="53"/>
      <c r="H601" s="1"/>
    </row>
    <row r="602" ht="14.25" customHeight="1">
      <c r="A602" s="52"/>
      <c r="B602" s="53"/>
      <c r="C602" s="53"/>
      <c r="D602" s="53"/>
      <c r="E602" s="53"/>
      <c r="F602" s="53"/>
      <c r="G602" s="53"/>
      <c r="H602" s="1"/>
    </row>
    <row r="603" ht="14.25" customHeight="1">
      <c r="A603" s="52"/>
      <c r="B603" s="53"/>
      <c r="C603" s="53"/>
      <c r="D603" s="53"/>
      <c r="E603" s="53"/>
      <c r="F603" s="53"/>
      <c r="G603" s="53"/>
      <c r="H603" s="1"/>
    </row>
    <row r="604" ht="14.25" customHeight="1">
      <c r="A604" s="52"/>
      <c r="B604" s="53"/>
      <c r="C604" s="53"/>
      <c r="D604" s="53"/>
      <c r="E604" s="53"/>
      <c r="F604" s="53"/>
      <c r="G604" s="53"/>
      <c r="H604" s="1"/>
    </row>
    <row r="605" ht="14.25" customHeight="1">
      <c r="A605" s="52"/>
      <c r="B605" s="53"/>
      <c r="C605" s="53"/>
      <c r="D605" s="53"/>
      <c r="E605" s="53"/>
      <c r="F605" s="53"/>
      <c r="G605" s="53"/>
      <c r="H605" s="1"/>
    </row>
    <row r="606" ht="14.25" customHeight="1">
      <c r="A606" s="52"/>
      <c r="B606" s="53"/>
      <c r="C606" s="53"/>
      <c r="D606" s="53"/>
      <c r="E606" s="53"/>
      <c r="F606" s="53"/>
      <c r="G606" s="53"/>
      <c r="H606" s="1"/>
    </row>
    <row r="607" ht="14.25" customHeight="1">
      <c r="A607" s="52"/>
      <c r="B607" s="53"/>
      <c r="C607" s="53"/>
      <c r="D607" s="53"/>
      <c r="E607" s="53"/>
      <c r="F607" s="53"/>
      <c r="G607" s="53"/>
      <c r="H607" s="1"/>
    </row>
    <row r="608" ht="14.25" customHeight="1">
      <c r="A608" s="52"/>
      <c r="B608" s="53"/>
      <c r="C608" s="53"/>
      <c r="D608" s="53"/>
      <c r="E608" s="53"/>
      <c r="F608" s="53"/>
      <c r="G608" s="53"/>
      <c r="H608" s="1"/>
    </row>
    <row r="609" ht="14.25" customHeight="1">
      <c r="A609" s="52"/>
      <c r="B609" s="53"/>
      <c r="C609" s="53"/>
      <c r="D609" s="53"/>
      <c r="E609" s="53"/>
      <c r="F609" s="53"/>
      <c r="G609" s="53"/>
      <c r="H609" s="1"/>
    </row>
    <row r="610" ht="14.25" customHeight="1">
      <c r="A610" s="52"/>
      <c r="B610" s="53"/>
      <c r="C610" s="53"/>
      <c r="D610" s="53"/>
      <c r="E610" s="53"/>
      <c r="F610" s="53"/>
      <c r="G610" s="53"/>
      <c r="H610" s="1"/>
    </row>
    <row r="611" ht="14.25" customHeight="1">
      <c r="A611" s="52"/>
      <c r="B611" s="53"/>
      <c r="C611" s="53"/>
      <c r="D611" s="53"/>
      <c r="E611" s="53"/>
      <c r="F611" s="53"/>
      <c r="G611" s="53"/>
      <c r="H611" s="1"/>
    </row>
    <row r="612" ht="14.25" customHeight="1">
      <c r="A612" s="52"/>
      <c r="B612" s="53"/>
      <c r="C612" s="53"/>
      <c r="D612" s="53"/>
      <c r="E612" s="53"/>
      <c r="F612" s="53"/>
      <c r="G612" s="53"/>
      <c r="H612" s="1"/>
    </row>
    <row r="613" ht="14.25" customHeight="1">
      <c r="A613" s="52"/>
      <c r="B613" s="53"/>
      <c r="C613" s="53"/>
      <c r="D613" s="53"/>
      <c r="E613" s="53"/>
      <c r="F613" s="53"/>
      <c r="G613" s="53"/>
      <c r="H613" s="1"/>
    </row>
    <row r="614" ht="14.25" customHeight="1">
      <c r="A614" s="52"/>
      <c r="B614" s="53"/>
      <c r="C614" s="53"/>
      <c r="D614" s="53"/>
      <c r="E614" s="53"/>
      <c r="F614" s="53"/>
      <c r="G614" s="53"/>
      <c r="H614" s="1"/>
    </row>
    <row r="615" ht="14.25" customHeight="1">
      <c r="A615" s="52"/>
      <c r="B615" s="53"/>
      <c r="C615" s="53"/>
      <c r="D615" s="53"/>
      <c r="E615" s="53"/>
      <c r="F615" s="53"/>
      <c r="G615" s="53"/>
      <c r="H615" s="1"/>
    </row>
    <row r="616" ht="14.25" customHeight="1">
      <c r="A616" s="52"/>
      <c r="B616" s="53"/>
      <c r="C616" s="53"/>
      <c r="D616" s="53"/>
      <c r="E616" s="53"/>
      <c r="F616" s="53"/>
      <c r="G616" s="53"/>
      <c r="H616" s="1"/>
    </row>
    <row r="617" ht="14.25" customHeight="1">
      <c r="A617" s="52"/>
      <c r="B617" s="53"/>
      <c r="C617" s="53"/>
      <c r="D617" s="53"/>
      <c r="E617" s="53"/>
      <c r="F617" s="53"/>
      <c r="G617" s="53"/>
      <c r="H617" s="1"/>
    </row>
    <row r="618" ht="14.25" customHeight="1">
      <c r="A618" s="52"/>
      <c r="B618" s="53"/>
      <c r="C618" s="53"/>
      <c r="D618" s="53"/>
      <c r="E618" s="53"/>
      <c r="F618" s="53"/>
      <c r="G618" s="53"/>
      <c r="H618" s="1"/>
    </row>
    <row r="619" ht="14.25" customHeight="1">
      <c r="A619" s="52"/>
      <c r="B619" s="53"/>
      <c r="C619" s="53"/>
      <c r="D619" s="53"/>
      <c r="E619" s="53"/>
      <c r="F619" s="53"/>
      <c r="G619" s="53"/>
      <c r="H619" s="1"/>
    </row>
    <row r="620" ht="14.25" customHeight="1">
      <c r="A620" s="52"/>
      <c r="B620" s="53"/>
      <c r="C620" s="53"/>
      <c r="D620" s="53"/>
      <c r="E620" s="53"/>
      <c r="F620" s="53"/>
      <c r="G620" s="53"/>
      <c r="H620" s="1"/>
    </row>
    <row r="621" ht="14.25" customHeight="1">
      <c r="A621" s="52"/>
      <c r="B621" s="53"/>
      <c r="C621" s="53"/>
      <c r="D621" s="53"/>
      <c r="E621" s="53"/>
      <c r="F621" s="53"/>
      <c r="G621" s="53"/>
      <c r="H621" s="1"/>
    </row>
    <row r="622" ht="14.25" customHeight="1">
      <c r="A622" s="52"/>
      <c r="B622" s="53"/>
      <c r="C622" s="53"/>
      <c r="D622" s="53"/>
      <c r="E622" s="53"/>
      <c r="F622" s="53"/>
      <c r="G622" s="53"/>
      <c r="H622" s="1"/>
    </row>
    <row r="623" ht="14.25" customHeight="1">
      <c r="A623" s="52"/>
      <c r="B623" s="53"/>
      <c r="C623" s="53"/>
      <c r="D623" s="53"/>
      <c r="E623" s="53"/>
      <c r="F623" s="53"/>
      <c r="G623" s="53"/>
      <c r="H623" s="1"/>
    </row>
    <row r="624" ht="14.25" customHeight="1">
      <c r="A624" s="52"/>
      <c r="B624" s="53"/>
      <c r="C624" s="53"/>
      <c r="D624" s="53"/>
      <c r="E624" s="53"/>
      <c r="F624" s="53"/>
      <c r="G624" s="53"/>
      <c r="H624" s="1"/>
    </row>
    <row r="625" ht="14.25" customHeight="1">
      <c r="A625" s="52"/>
      <c r="B625" s="53"/>
      <c r="C625" s="53"/>
      <c r="D625" s="53"/>
      <c r="E625" s="53"/>
      <c r="F625" s="53"/>
      <c r="G625" s="53"/>
      <c r="H625" s="1"/>
    </row>
    <row r="626" ht="14.25" customHeight="1">
      <c r="A626" s="52"/>
      <c r="B626" s="53"/>
      <c r="C626" s="53"/>
      <c r="D626" s="53"/>
      <c r="E626" s="53"/>
      <c r="F626" s="53"/>
      <c r="G626" s="53"/>
      <c r="H626" s="1"/>
    </row>
    <row r="627" ht="14.25" customHeight="1">
      <c r="A627" s="52"/>
      <c r="B627" s="53"/>
      <c r="C627" s="53"/>
      <c r="D627" s="53"/>
      <c r="E627" s="53"/>
      <c r="F627" s="53"/>
      <c r="G627" s="53"/>
      <c r="H627" s="1"/>
    </row>
    <row r="628" ht="14.25" customHeight="1">
      <c r="A628" s="52"/>
      <c r="B628" s="53"/>
      <c r="C628" s="53"/>
      <c r="D628" s="53"/>
      <c r="E628" s="53"/>
      <c r="F628" s="53"/>
      <c r="G628" s="53"/>
      <c r="H628" s="1"/>
    </row>
    <row r="629" ht="14.25" customHeight="1">
      <c r="A629" s="52"/>
      <c r="B629" s="53"/>
      <c r="C629" s="53"/>
      <c r="D629" s="53"/>
      <c r="E629" s="53"/>
      <c r="F629" s="53"/>
      <c r="G629" s="53"/>
      <c r="H629" s="1"/>
    </row>
    <row r="630" ht="14.25" customHeight="1">
      <c r="A630" s="52"/>
      <c r="B630" s="53"/>
      <c r="C630" s="53"/>
      <c r="D630" s="53"/>
      <c r="E630" s="53"/>
      <c r="F630" s="53"/>
      <c r="G630" s="53"/>
      <c r="H630" s="1"/>
    </row>
    <row r="631" ht="14.25" customHeight="1">
      <c r="A631" s="52"/>
      <c r="B631" s="53"/>
      <c r="C631" s="53"/>
      <c r="D631" s="53"/>
      <c r="E631" s="53"/>
      <c r="F631" s="53"/>
      <c r="G631" s="53"/>
      <c r="H631" s="1"/>
    </row>
    <row r="632" ht="14.25" customHeight="1">
      <c r="A632" s="52"/>
      <c r="B632" s="53"/>
      <c r="C632" s="53"/>
      <c r="D632" s="53"/>
      <c r="E632" s="53"/>
      <c r="F632" s="53"/>
      <c r="G632" s="53"/>
      <c r="H632" s="1"/>
    </row>
    <row r="633" ht="14.25" customHeight="1">
      <c r="A633" s="52"/>
      <c r="B633" s="53"/>
      <c r="C633" s="53"/>
      <c r="D633" s="53"/>
      <c r="E633" s="53"/>
      <c r="F633" s="53"/>
      <c r="G633" s="53"/>
      <c r="H633" s="1"/>
    </row>
    <row r="634" ht="14.25" customHeight="1">
      <c r="A634" s="52"/>
      <c r="B634" s="53"/>
      <c r="C634" s="53"/>
      <c r="D634" s="53"/>
      <c r="E634" s="53"/>
      <c r="F634" s="53"/>
      <c r="G634" s="53"/>
      <c r="H634" s="1"/>
    </row>
    <row r="635" ht="14.25" customHeight="1">
      <c r="A635" s="52"/>
      <c r="B635" s="53"/>
      <c r="C635" s="53"/>
      <c r="D635" s="53"/>
      <c r="E635" s="53"/>
      <c r="F635" s="53"/>
      <c r="G635" s="53"/>
      <c r="H635" s="1"/>
    </row>
    <row r="636" ht="14.25" customHeight="1">
      <c r="A636" s="52"/>
      <c r="B636" s="53"/>
      <c r="C636" s="53"/>
      <c r="D636" s="53"/>
      <c r="E636" s="53"/>
      <c r="F636" s="53"/>
      <c r="G636" s="53"/>
      <c r="H636" s="1"/>
    </row>
    <row r="637" ht="14.25" customHeight="1">
      <c r="A637" s="52"/>
      <c r="B637" s="53"/>
      <c r="C637" s="53"/>
      <c r="D637" s="53"/>
      <c r="E637" s="53"/>
      <c r="F637" s="53"/>
      <c r="G637" s="53"/>
      <c r="H637" s="1"/>
    </row>
    <row r="638" ht="14.25" customHeight="1">
      <c r="A638" s="52"/>
      <c r="B638" s="53"/>
      <c r="C638" s="53"/>
      <c r="D638" s="53"/>
      <c r="E638" s="53"/>
      <c r="F638" s="53"/>
      <c r="G638" s="53"/>
      <c r="H638" s="1"/>
    </row>
    <row r="639" ht="14.25" customHeight="1">
      <c r="A639" s="52"/>
      <c r="B639" s="53"/>
      <c r="C639" s="53"/>
      <c r="D639" s="53"/>
      <c r="E639" s="53"/>
      <c r="F639" s="53"/>
      <c r="G639" s="53"/>
      <c r="H639" s="1"/>
    </row>
    <row r="640" ht="14.25" customHeight="1">
      <c r="A640" s="52"/>
      <c r="B640" s="53"/>
      <c r="C640" s="53"/>
      <c r="D640" s="53"/>
      <c r="E640" s="53"/>
      <c r="F640" s="53"/>
      <c r="G640" s="53"/>
      <c r="H640" s="1"/>
    </row>
    <row r="641" ht="14.25" customHeight="1">
      <c r="A641" s="52"/>
      <c r="B641" s="53"/>
      <c r="C641" s="53"/>
      <c r="D641" s="53"/>
      <c r="E641" s="53"/>
      <c r="F641" s="53"/>
      <c r="G641" s="53"/>
      <c r="H641" s="1"/>
    </row>
    <row r="642" ht="14.25" customHeight="1">
      <c r="A642" s="52"/>
      <c r="B642" s="53"/>
      <c r="C642" s="53"/>
      <c r="D642" s="53"/>
      <c r="E642" s="53"/>
      <c r="F642" s="53"/>
      <c r="G642" s="53"/>
      <c r="H642" s="1"/>
    </row>
    <row r="643" ht="14.25" customHeight="1">
      <c r="A643" s="52"/>
      <c r="B643" s="53"/>
      <c r="C643" s="53"/>
      <c r="D643" s="53"/>
      <c r="E643" s="53"/>
      <c r="F643" s="53"/>
      <c r="G643" s="53"/>
      <c r="H643" s="1"/>
    </row>
    <row r="644" ht="14.25" customHeight="1">
      <c r="A644" s="52"/>
      <c r="B644" s="53"/>
      <c r="C644" s="53"/>
      <c r="D644" s="53"/>
      <c r="E644" s="53"/>
      <c r="F644" s="53"/>
      <c r="G644" s="53"/>
      <c r="H644" s="1"/>
    </row>
    <row r="645" ht="14.25" customHeight="1">
      <c r="A645" s="52"/>
      <c r="B645" s="53"/>
      <c r="C645" s="53"/>
      <c r="D645" s="53"/>
      <c r="E645" s="53"/>
      <c r="F645" s="53"/>
      <c r="G645" s="53"/>
      <c r="H645" s="1"/>
    </row>
    <row r="646" ht="14.25" customHeight="1">
      <c r="A646" s="52"/>
      <c r="B646" s="53"/>
      <c r="C646" s="53"/>
      <c r="D646" s="53"/>
      <c r="E646" s="53"/>
      <c r="F646" s="53"/>
      <c r="G646" s="53"/>
      <c r="H646" s="1"/>
    </row>
    <row r="647" ht="14.25" customHeight="1">
      <c r="A647" s="52"/>
      <c r="B647" s="53"/>
      <c r="C647" s="53"/>
      <c r="D647" s="53"/>
      <c r="E647" s="53"/>
      <c r="F647" s="53"/>
      <c r="G647" s="53"/>
      <c r="H647" s="1"/>
    </row>
    <row r="648" ht="14.25" customHeight="1">
      <c r="A648" s="52"/>
      <c r="B648" s="53"/>
      <c r="C648" s="53"/>
      <c r="D648" s="53"/>
      <c r="E648" s="53"/>
      <c r="F648" s="53"/>
      <c r="G648" s="53"/>
      <c r="H648" s="1"/>
    </row>
    <row r="649" ht="14.25" customHeight="1">
      <c r="A649" s="52"/>
      <c r="B649" s="53"/>
      <c r="C649" s="53"/>
      <c r="D649" s="53"/>
      <c r="E649" s="53"/>
      <c r="F649" s="53"/>
      <c r="G649" s="53"/>
      <c r="H649" s="1"/>
    </row>
    <row r="650" ht="14.25" customHeight="1">
      <c r="A650" s="52"/>
      <c r="B650" s="53"/>
      <c r="C650" s="53"/>
      <c r="D650" s="53"/>
      <c r="E650" s="53"/>
      <c r="F650" s="53"/>
      <c r="G650" s="53"/>
      <c r="H650" s="1"/>
    </row>
    <row r="651" ht="14.25" customHeight="1">
      <c r="A651" s="52"/>
      <c r="B651" s="53"/>
      <c r="C651" s="53"/>
      <c r="D651" s="53"/>
      <c r="E651" s="53"/>
      <c r="F651" s="53"/>
      <c r="G651" s="53"/>
      <c r="H651" s="1"/>
    </row>
    <row r="652" ht="14.25" customHeight="1">
      <c r="A652" s="52"/>
      <c r="B652" s="53"/>
      <c r="C652" s="53"/>
      <c r="D652" s="53"/>
      <c r="E652" s="53"/>
      <c r="F652" s="53"/>
      <c r="G652" s="53"/>
      <c r="H652" s="1"/>
    </row>
    <row r="653" ht="14.25" customHeight="1">
      <c r="A653" s="52"/>
      <c r="B653" s="53"/>
      <c r="C653" s="53"/>
      <c r="D653" s="53"/>
      <c r="E653" s="53"/>
      <c r="F653" s="53"/>
      <c r="G653" s="53"/>
      <c r="H653" s="1"/>
    </row>
    <row r="654" ht="14.25" customHeight="1">
      <c r="A654" s="52"/>
      <c r="B654" s="53"/>
      <c r="C654" s="53"/>
      <c r="D654" s="53"/>
      <c r="E654" s="53"/>
      <c r="F654" s="53"/>
      <c r="G654" s="53"/>
      <c r="H654" s="1"/>
    </row>
    <row r="655" ht="14.25" customHeight="1">
      <c r="A655" s="52"/>
      <c r="B655" s="53"/>
      <c r="C655" s="53"/>
      <c r="D655" s="53"/>
      <c r="E655" s="53"/>
      <c r="F655" s="53"/>
      <c r="G655" s="53"/>
      <c r="H655" s="1"/>
    </row>
    <row r="656" ht="14.25" customHeight="1">
      <c r="A656" s="52"/>
      <c r="B656" s="53"/>
      <c r="C656" s="53"/>
      <c r="D656" s="53"/>
      <c r="E656" s="53"/>
      <c r="F656" s="53"/>
      <c r="G656" s="53"/>
      <c r="H656" s="1"/>
    </row>
    <row r="657" ht="14.25" customHeight="1">
      <c r="A657" s="52"/>
      <c r="B657" s="53"/>
      <c r="C657" s="53"/>
      <c r="D657" s="53"/>
      <c r="E657" s="53"/>
      <c r="F657" s="53"/>
      <c r="G657" s="53"/>
      <c r="H657" s="1"/>
    </row>
    <row r="658" ht="14.25" customHeight="1">
      <c r="A658" s="52"/>
      <c r="B658" s="53"/>
      <c r="C658" s="53"/>
      <c r="D658" s="53"/>
      <c r="E658" s="53"/>
      <c r="F658" s="53"/>
      <c r="G658" s="53"/>
      <c r="H658" s="1"/>
    </row>
    <row r="659" ht="14.25" customHeight="1">
      <c r="A659" s="52"/>
      <c r="B659" s="53"/>
      <c r="C659" s="53"/>
      <c r="D659" s="53"/>
      <c r="E659" s="53"/>
      <c r="F659" s="53"/>
      <c r="G659" s="53"/>
      <c r="H659" s="1"/>
    </row>
    <row r="660" ht="14.25" customHeight="1">
      <c r="A660" s="52"/>
      <c r="B660" s="53"/>
      <c r="C660" s="53"/>
      <c r="D660" s="53"/>
      <c r="E660" s="53"/>
      <c r="F660" s="53"/>
      <c r="G660" s="53"/>
      <c r="H660" s="1"/>
    </row>
    <row r="661" ht="14.25" customHeight="1">
      <c r="A661" s="52"/>
      <c r="B661" s="53"/>
      <c r="C661" s="53"/>
      <c r="D661" s="53"/>
      <c r="E661" s="53"/>
      <c r="F661" s="53"/>
      <c r="G661" s="53"/>
      <c r="H661" s="1"/>
    </row>
    <row r="662" ht="14.25" customHeight="1">
      <c r="A662" s="52"/>
      <c r="B662" s="53"/>
      <c r="C662" s="53"/>
      <c r="D662" s="53"/>
      <c r="E662" s="53"/>
      <c r="F662" s="53"/>
      <c r="G662" s="53"/>
      <c r="H662" s="1"/>
    </row>
    <row r="663" ht="14.25" customHeight="1">
      <c r="A663" s="52"/>
      <c r="B663" s="53"/>
      <c r="C663" s="53"/>
      <c r="D663" s="53"/>
      <c r="E663" s="53"/>
      <c r="F663" s="53"/>
      <c r="G663" s="53"/>
      <c r="H663" s="1"/>
    </row>
    <row r="664" ht="14.25" customHeight="1">
      <c r="A664" s="52"/>
      <c r="B664" s="53"/>
      <c r="C664" s="53"/>
      <c r="D664" s="53"/>
      <c r="E664" s="53"/>
      <c r="F664" s="53"/>
      <c r="G664" s="53"/>
      <c r="H664" s="1"/>
    </row>
    <row r="665" ht="14.25" customHeight="1">
      <c r="A665" s="52"/>
      <c r="B665" s="53"/>
      <c r="C665" s="53"/>
      <c r="D665" s="53"/>
      <c r="E665" s="53"/>
      <c r="F665" s="53"/>
      <c r="G665" s="53"/>
      <c r="H665" s="1"/>
    </row>
    <row r="666" ht="14.25" customHeight="1">
      <c r="A666" s="52"/>
      <c r="B666" s="53"/>
      <c r="C666" s="53"/>
      <c r="D666" s="53"/>
      <c r="E666" s="53"/>
      <c r="F666" s="53"/>
      <c r="G666" s="53"/>
      <c r="H666" s="1"/>
    </row>
    <row r="667" ht="14.25" customHeight="1">
      <c r="A667" s="52"/>
      <c r="B667" s="53"/>
      <c r="C667" s="53"/>
      <c r="D667" s="53"/>
      <c r="E667" s="53"/>
      <c r="F667" s="53"/>
      <c r="G667" s="53"/>
      <c r="H667" s="1"/>
    </row>
    <row r="668" ht="14.25" customHeight="1">
      <c r="A668" s="52"/>
      <c r="B668" s="53"/>
      <c r="C668" s="53"/>
      <c r="D668" s="53"/>
      <c r="E668" s="53"/>
      <c r="F668" s="53"/>
      <c r="G668" s="53"/>
      <c r="H668" s="1"/>
    </row>
    <row r="669" ht="14.25" customHeight="1">
      <c r="A669" s="52"/>
      <c r="B669" s="53"/>
      <c r="C669" s="53"/>
      <c r="D669" s="53"/>
      <c r="E669" s="53"/>
      <c r="F669" s="53"/>
      <c r="G669" s="53"/>
      <c r="H669" s="1"/>
    </row>
    <row r="670" ht="14.25" customHeight="1">
      <c r="A670" s="52"/>
      <c r="B670" s="53"/>
      <c r="C670" s="53"/>
      <c r="D670" s="53"/>
      <c r="E670" s="53"/>
      <c r="F670" s="53"/>
      <c r="G670" s="53"/>
      <c r="H670" s="1"/>
    </row>
    <row r="671" ht="14.25" customHeight="1">
      <c r="A671" s="52"/>
      <c r="B671" s="53"/>
      <c r="C671" s="53"/>
      <c r="D671" s="53"/>
      <c r="E671" s="53"/>
      <c r="F671" s="53"/>
      <c r="G671" s="53"/>
      <c r="H671" s="1"/>
    </row>
    <row r="672" ht="14.25" customHeight="1">
      <c r="A672" s="52"/>
      <c r="B672" s="53"/>
      <c r="C672" s="53"/>
      <c r="D672" s="53"/>
      <c r="E672" s="53"/>
      <c r="F672" s="53"/>
      <c r="G672" s="53"/>
      <c r="H672" s="1"/>
    </row>
    <row r="673" ht="14.25" customHeight="1">
      <c r="A673" s="52"/>
      <c r="B673" s="53"/>
      <c r="C673" s="53"/>
      <c r="D673" s="53"/>
      <c r="E673" s="53"/>
      <c r="F673" s="53"/>
      <c r="G673" s="53"/>
      <c r="H673" s="1"/>
    </row>
    <row r="674" ht="14.25" customHeight="1">
      <c r="A674" s="52"/>
      <c r="B674" s="53"/>
      <c r="C674" s="53"/>
      <c r="D674" s="53"/>
      <c r="E674" s="53"/>
      <c r="F674" s="53"/>
      <c r="G674" s="53"/>
      <c r="H674" s="1"/>
    </row>
    <row r="675" ht="14.25" customHeight="1">
      <c r="A675" s="52"/>
      <c r="B675" s="53"/>
      <c r="C675" s="53"/>
      <c r="D675" s="53"/>
      <c r="E675" s="53"/>
      <c r="F675" s="53"/>
      <c r="G675" s="53"/>
      <c r="H675" s="1"/>
    </row>
    <row r="676" ht="14.25" customHeight="1">
      <c r="A676" s="52"/>
      <c r="B676" s="53"/>
      <c r="C676" s="53"/>
      <c r="D676" s="53"/>
      <c r="E676" s="53"/>
      <c r="F676" s="53"/>
      <c r="G676" s="53"/>
      <c r="H676" s="1"/>
    </row>
    <row r="677" ht="14.25" customHeight="1">
      <c r="A677" s="52"/>
      <c r="B677" s="53"/>
      <c r="C677" s="53"/>
      <c r="D677" s="53"/>
      <c r="E677" s="53"/>
      <c r="F677" s="53"/>
      <c r="G677" s="53"/>
      <c r="H677" s="1"/>
    </row>
    <row r="678" ht="14.25" customHeight="1">
      <c r="A678" s="52"/>
      <c r="B678" s="53"/>
      <c r="C678" s="53"/>
      <c r="D678" s="53"/>
      <c r="E678" s="53"/>
      <c r="F678" s="53"/>
      <c r="G678" s="53"/>
      <c r="H678" s="1"/>
    </row>
    <row r="679" ht="14.25" customHeight="1">
      <c r="A679" s="52"/>
      <c r="B679" s="53"/>
      <c r="C679" s="53"/>
      <c r="D679" s="53"/>
      <c r="E679" s="53"/>
      <c r="F679" s="53"/>
      <c r="G679" s="53"/>
      <c r="H679" s="1"/>
    </row>
    <row r="680" ht="14.25" customHeight="1">
      <c r="A680" s="52"/>
      <c r="B680" s="53"/>
      <c r="C680" s="53"/>
      <c r="D680" s="53"/>
      <c r="E680" s="53"/>
      <c r="F680" s="53"/>
      <c r="G680" s="53"/>
      <c r="H680" s="1"/>
    </row>
    <row r="681" ht="14.25" customHeight="1">
      <c r="A681" s="52"/>
      <c r="B681" s="53"/>
      <c r="C681" s="53"/>
      <c r="D681" s="53"/>
      <c r="E681" s="53"/>
      <c r="F681" s="53"/>
      <c r="G681" s="53"/>
      <c r="H681" s="1"/>
    </row>
    <row r="682" ht="14.25" customHeight="1">
      <c r="A682" s="52"/>
      <c r="B682" s="53"/>
      <c r="C682" s="53"/>
      <c r="D682" s="53"/>
      <c r="E682" s="53"/>
      <c r="F682" s="53"/>
      <c r="G682" s="53"/>
      <c r="H682" s="1"/>
    </row>
    <row r="683" ht="14.25" customHeight="1">
      <c r="A683" s="52"/>
      <c r="B683" s="53"/>
      <c r="C683" s="53"/>
      <c r="D683" s="53"/>
      <c r="E683" s="53"/>
      <c r="F683" s="53"/>
      <c r="G683" s="53"/>
      <c r="H683" s="1"/>
    </row>
    <row r="684" ht="14.25" customHeight="1">
      <c r="A684" s="52"/>
      <c r="B684" s="53"/>
      <c r="C684" s="53"/>
      <c r="D684" s="53"/>
      <c r="E684" s="53"/>
      <c r="F684" s="53"/>
      <c r="G684" s="53"/>
      <c r="H684" s="1"/>
    </row>
    <row r="685" ht="14.25" customHeight="1">
      <c r="A685" s="52"/>
      <c r="B685" s="53"/>
      <c r="C685" s="53"/>
      <c r="D685" s="53"/>
      <c r="E685" s="53"/>
      <c r="F685" s="53"/>
      <c r="G685" s="53"/>
      <c r="H685" s="1"/>
    </row>
    <row r="686" ht="14.25" customHeight="1">
      <c r="A686" s="52"/>
      <c r="B686" s="53"/>
      <c r="C686" s="53"/>
      <c r="D686" s="53"/>
      <c r="E686" s="53"/>
      <c r="F686" s="53"/>
      <c r="G686" s="53"/>
      <c r="H686" s="1"/>
    </row>
    <row r="687" ht="14.25" customHeight="1">
      <c r="A687" s="52"/>
      <c r="B687" s="53"/>
      <c r="C687" s="53"/>
      <c r="D687" s="53"/>
      <c r="E687" s="53"/>
      <c r="F687" s="53"/>
      <c r="G687" s="53"/>
      <c r="H687" s="1"/>
    </row>
    <row r="688" ht="14.25" customHeight="1">
      <c r="A688" s="52"/>
      <c r="B688" s="53"/>
      <c r="C688" s="53"/>
      <c r="D688" s="53"/>
      <c r="E688" s="53"/>
      <c r="F688" s="53"/>
      <c r="G688" s="53"/>
      <c r="H688" s="1"/>
    </row>
    <row r="689" ht="14.25" customHeight="1">
      <c r="A689" s="52"/>
      <c r="B689" s="53"/>
      <c r="C689" s="53"/>
      <c r="D689" s="53"/>
      <c r="E689" s="53"/>
      <c r="F689" s="53"/>
      <c r="G689" s="53"/>
      <c r="H689" s="1"/>
    </row>
    <row r="690" ht="14.25" customHeight="1">
      <c r="A690" s="52"/>
      <c r="B690" s="53"/>
      <c r="C690" s="53"/>
      <c r="D690" s="53"/>
      <c r="E690" s="53"/>
      <c r="F690" s="53"/>
      <c r="G690" s="53"/>
      <c r="H690" s="1"/>
    </row>
    <row r="691" ht="14.25" customHeight="1">
      <c r="A691" s="52"/>
      <c r="B691" s="53"/>
      <c r="C691" s="53"/>
      <c r="D691" s="53"/>
      <c r="E691" s="53"/>
      <c r="F691" s="53"/>
      <c r="G691" s="53"/>
      <c r="H691" s="1"/>
    </row>
    <row r="692" ht="14.25" customHeight="1">
      <c r="A692" s="52"/>
      <c r="B692" s="53"/>
      <c r="C692" s="53"/>
      <c r="D692" s="53"/>
      <c r="E692" s="53"/>
      <c r="F692" s="53"/>
      <c r="G692" s="53"/>
      <c r="H692" s="1"/>
    </row>
    <row r="693" ht="14.25" customHeight="1">
      <c r="A693" s="52"/>
      <c r="B693" s="53"/>
      <c r="C693" s="53"/>
      <c r="D693" s="53"/>
      <c r="E693" s="53"/>
      <c r="F693" s="53"/>
      <c r="G693" s="53"/>
      <c r="H693" s="1"/>
    </row>
    <row r="694" ht="14.25" customHeight="1">
      <c r="A694" s="52"/>
      <c r="B694" s="53"/>
      <c r="C694" s="53"/>
      <c r="D694" s="53"/>
      <c r="E694" s="53"/>
      <c r="F694" s="53"/>
      <c r="G694" s="53"/>
      <c r="H694" s="1"/>
    </row>
    <row r="695" ht="14.25" customHeight="1">
      <c r="A695" s="52"/>
      <c r="B695" s="53"/>
      <c r="C695" s="53"/>
      <c r="D695" s="53"/>
      <c r="E695" s="53"/>
      <c r="F695" s="53"/>
      <c r="G695" s="53"/>
      <c r="H695" s="1"/>
    </row>
    <row r="696" ht="14.25" customHeight="1">
      <c r="A696" s="52"/>
      <c r="B696" s="53"/>
      <c r="C696" s="53"/>
      <c r="D696" s="53"/>
      <c r="E696" s="53"/>
      <c r="F696" s="53"/>
      <c r="G696" s="53"/>
      <c r="H696" s="1"/>
    </row>
    <row r="697" ht="14.25" customHeight="1">
      <c r="A697" s="52"/>
      <c r="B697" s="53"/>
      <c r="C697" s="53"/>
      <c r="D697" s="53"/>
      <c r="E697" s="53"/>
      <c r="F697" s="53"/>
      <c r="G697" s="53"/>
      <c r="H697" s="1"/>
    </row>
    <row r="698" ht="14.25" customHeight="1">
      <c r="A698" s="52"/>
      <c r="B698" s="53"/>
      <c r="C698" s="53"/>
      <c r="D698" s="53"/>
      <c r="E698" s="53"/>
      <c r="F698" s="53"/>
      <c r="G698" s="53"/>
      <c r="H698" s="1"/>
    </row>
    <row r="699" ht="14.25" customHeight="1">
      <c r="A699" s="52"/>
      <c r="B699" s="53"/>
      <c r="C699" s="53"/>
      <c r="D699" s="53"/>
      <c r="E699" s="53"/>
      <c r="F699" s="53"/>
      <c r="G699" s="53"/>
      <c r="H699" s="1"/>
    </row>
    <row r="700" ht="14.25" customHeight="1">
      <c r="A700" s="52"/>
      <c r="B700" s="53"/>
      <c r="C700" s="53"/>
      <c r="D700" s="53"/>
      <c r="E700" s="53"/>
      <c r="F700" s="53"/>
      <c r="G700" s="53"/>
      <c r="H700" s="1"/>
    </row>
    <row r="701" ht="14.25" customHeight="1">
      <c r="A701" s="52"/>
      <c r="B701" s="53"/>
      <c r="C701" s="53"/>
      <c r="D701" s="53"/>
      <c r="E701" s="53"/>
      <c r="F701" s="53"/>
      <c r="G701" s="53"/>
      <c r="H701" s="1"/>
    </row>
    <row r="702" ht="14.25" customHeight="1">
      <c r="A702" s="52"/>
      <c r="B702" s="53"/>
      <c r="C702" s="53"/>
      <c r="D702" s="53"/>
      <c r="E702" s="53"/>
      <c r="F702" s="53"/>
      <c r="G702" s="53"/>
      <c r="H702" s="1"/>
    </row>
    <row r="703" ht="14.25" customHeight="1">
      <c r="A703" s="52"/>
      <c r="B703" s="53"/>
      <c r="C703" s="53"/>
      <c r="D703" s="53"/>
      <c r="E703" s="53"/>
      <c r="F703" s="53"/>
      <c r="G703" s="53"/>
      <c r="H703" s="1"/>
    </row>
    <row r="704" ht="14.25" customHeight="1">
      <c r="A704" s="52"/>
      <c r="B704" s="53"/>
      <c r="C704" s="53"/>
      <c r="D704" s="53"/>
      <c r="E704" s="53"/>
      <c r="F704" s="53"/>
      <c r="G704" s="53"/>
      <c r="H704" s="1"/>
    </row>
    <row r="705" ht="14.25" customHeight="1">
      <c r="A705" s="52"/>
      <c r="B705" s="53"/>
      <c r="C705" s="53"/>
      <c r="D705" s="53"/>
      <c r="E705" s="53"/>
      <c r="F705" s="53"/>
      <c r="G705" s="53"/>
      <c r="H705" s="1"/>
    </row>
    <row r="706" ht="14.25" customHeight="1">
      <c r="A706" s="52"/>
      <c r="B706" s="53"/>
      <c r="C706" s="53"/>
      <c r="D706" s="53"/>
      <c r="E706" s="53"/>
      <c r="F706" s="53"/>
      <c r="G706" s="53"/>
      <c r="H706" s="1"/>
    </row>
    <row r="707" ht="14.25" customHeight="1">
      <c r="A707" s="52"/>
      <c r="B707" s="53"/>
      <c r="C707" s="53"/>
      <c r="D707" s="53"/>
      <c r="E707" s="53"/>
      <c r="F707" s="53"/>
      <c r="G707" s="53"/>
      <c r="H707" s="1"/>
    </row>
    <row r="708" ht="14.25" customHeight="1">
      <c r="A708" s="52"/>
      <c r="B708" s="53"/>
      <c r="C708" s="53"/>
      <c r="D708" s="53"/>
      <c r="E708" s="53"/>
      <c r="F708" s="53"/>
      <c r="G708" s="53"/>
      <c r="H708" s="1"/>
    </row>
    <row r="709" ht="14.25" customHeight="1">
      <c r="A709" s="52"/>
      <c r="B709" s="53"/>
      <c r="C709" s="53"/>
      <c r="D709" s="53"/>
      <c r="E709" s="53"/>
      <c r="F709" s="53"/>
      <c r="G709" s="53"/>
      <c r="H709" s="1"/>
    </row>
    <row r="710" ht="14.25" customHeight="1">
      <c r="A710" s="52"/>
      <c r="B710" s="53"/>
      <c r="C710" s="53"/>
      <c r="D710" s="53"/>
      <c r="E710" s="53"/>
      <c r="F710" s="53"/>
      <c r="G710" s="53"/>
      <c r="H710" s="1"/>
    </row>
    <row r="711" ht="14.25" customHeight="1">
      <c r="A711" s="52"/>
      <c r="B711" s="53"/>
      <c r="C711" s="53"/>
      <c r="D711" s="53"/>
      <c r="E711" s="53"/>
      <c r="F711" s="53"/>
      <c r="G711" s="53"/>
      <c r="H711" s="1"/>
    </row>
    <row r="712" ht="14.25" customHeight="1">
      <c r="A712" s="52"/>
      <c r="B712" s="53"/>
      <c r="C712" s="53"/>
      <c r="D712" s="53"/>
      <c r="E712" s="53"/>
      <c r="F712" s="53"/>
      <c r="G712" s="53"/>
      <c r="H712" s="1"/>
    </row>
    <row r="713" ht="14.25" customHeight="1">
      <c r="A713" s="52"/>
      <c r="B713" s="53"/>
      <c r="C713" s="53"/>
      <c r="D713" s="53"/>
      <c r="E713" s="53"/>
      <c r="F713" s="53"/>
      <c r="G713" s="53"/>
      <c r="H713" s="1"/>
    </row>
    <row r="714" ht="14.25" customHeight="1">
      <c r="A714" s="52"/>
      <c r="B714" s="53"/>
      <c r="C714" s="53"/>
      <c r="D714" s="53"/>
      <c r="E714" s="53"/>
      <c r="F714" s="53"/>
      <c r="G714" s="53"/>
      <c r="H714" s="1"/>
    </row>
    <row r="715" ht="14.25" customHeight="1">
      <c r="A715" s="52"/>
      <c r="B715" s="53"/>
      <c r="C715" s="53"/>
      <c r="D715" s="53"/>
      <c r="E715" s="53"/>
      <c r="F715" s="53"/>
      <c r="G715" s="53"/>
      <c r="H715" s="1"/>
    </row>
    <row r="716" ht="14.25" customHeight="1">
      <c r="A716" s="52"/>
      <c r="B716" s="53"/>
      <c r="C716" s="53"/>
      <c r="D716" s="53"/>
      <c r="E716" s="53"/>
      <c r="F716" s="53"/>
      <c r="G716" s="53"/>
      <c r="H716" s="1"/>
    </row>
    <row r="717" ht="14.25" customHeight="1">
      <c r="A717" s="52"/>
      <c r="B717" s="53"/>
      <c r="C717" s="53"/>
      <c r="D717" s="53"/>
      <c r="E717" s="53"/>
      <c r="F717" s="53"/>
      <c r="G717" s="53"/>
      <c r="H717" s="1"/>
    </row>
    <row r="718" ht="14.25" customHeight="1">
      <c r="A718" s="52"/>
      <c r="B718" s="53"/>
      <c r="C718" s="53"/>
      <c r="D718" s="53"/>
      <c r="E718" s="53"/>
      <c r="F718" s="53"/>
      <c r="G718" s="53"/>
      <c r="H718" s="1"/>
    </row>
    <row r="719" ht="14.25" customHeight="1">
      <c r="A719" s="52"/>
      <c r="B719" s="53"/>
      <c r="C719" s="53"/>
      <c r="D719" s="53"/>
      <c r="E719" s="53"/>
      <c r="F719" s="53"/>
      <c r="G719" s="53"/>
      <c r="H719" s="1"/>
    </row>
    <row r="720" ht="14.25" customHeight="1">
      <c r="A720" s="52"/>
      <c r="B720" s="53"/>
      <c r="C720" s="53"/>
      <c r="D720" s="53"/>
      <c r="E720" s="53"/>
      <c r="F720" s="53"/>
      <c r="G720" s="53"/>
      <c r="H720" s="1"/>
    </row>
    <row r="721" ht="14.25" customHeight="1">
      <c r="A721" s="52"/>
      <c r="B721" s="53"/>
      <c r="C721" s="53"/>
      <c r="D721" s="53"/>
      <c r="E721" s="53"/>
      <c r="F721" s="53"/>
      <c r="G721" s="53"/>
      <c r="H721" s="1"/>
    </row>
    <row r="722" ht="14.25" customHeight="1">
      <c r="A722" s="52"/>
      <c r="B722" s="53"/>
      <c r="C722" s="53"/>
      <c r="D722" s="53"/>
      <c r="E722" s="53"/>
      <c r="F722" s="53"/>
      <c r="G722" s="53"/>
      <c r="H722" s="1"/>
    </row>
    <row r="723" ht="14.25" customHeight="1">
      <c r="A723" s="52"/>
      <c r="B723" s="53"/>
      <c r="C723" s="53"/>
      <c r="D723" s="53"/>
      <c r="E723" s="53"/>
      <c r="F723" s="53"/>
      <c r="G723" s="53"/>
      <c r="H723" s="1"/>
    </row>
    <row r="724" ht="14.25" customHeight="1">
      <c r="A724" s="52"/>
      <c r="B724" s="53"/>
      <c r="C724" s="53"/>
      <c r="D724" s="53"/>
      <c r="E724" s="53"/>
      <c r="F724" s="53"/>
      <c r="G724" s="53"/>
      <c r="H724" s="1"/>
    </row>
    <row r="725" ht="14.25" customHeight="1">
      <c r="A725" s="52"/>
      <c r="B725" s="53"/>
      <c r="C725" s="53"/>
      <c r="D725" s="53"/>
      <c r="E725" s="53"/>
      <c r="F725" s="53"/>
      <c r="G725" s="53"/>
      <c r="H725" s="1"/>
    </row>
    <row r="726" ht="14.25" customHeight="1">
      <c r="A726" s="52"/>
      <c r="B726" s="53"/>
      <c r="C726" s="53"/>
      <c r="D726" s="53"/>
      <c r="E726" s="53"/>
      <c r="F726" s="53"/>
      <c r="G726" s="53"/>
      <c r="H726" s="1"/>
    </row>
    <row r="727" ht="14.25" customHeight="1">
      <c r="A727" s="52"/>
      <c r="B727" s="53"/>
      <c r="C727" s="53"/>
      <c r="D727" s="53"/>
      <c r="E727" s="53"/>
      <c r="F727" s="53"/>
      <c r="G727" s="53"/>
      <c r="H727" s="1"/>
    </row>
    <row r="728" ht="14.25" customHeight="1">
      <c r="A728" s="52"/>
      <c r="B728" s="53"/>
      <c r="C728" s="53"/>
      <c r="D728" s="53"/>
      <c r="E728" s="53"/>
      <c r="F728" s="53"/>
      <c r="G728" s="53"/>
      <c r="H728" s="1"/>
    </row>
    <row r="729" ht="14.25" customHeight="1">
      <c r="A729" s="52"/>
      <c r="B729" s="53"/>
      <c r="C729" s="53"/>
      <c r="D729" s="53"/>
      <c r="E729" s="53"/>
      <c r="F729" s="53"/>
      <c r="G729" s="53"/>
      <c r="H729" s="1"/>
    </row>
    <row r="730" ht="14.25" customHeight="1">
      <c r="A730" s="52"/>
      <c r="B730" s="53"/>
      <c r="C730" s="53"/>
      <c r="D730" s="53"/>
      <c r="E730" s="53"/>
      <c r="F730" s="53"/>
      <c r="G730" s="53"/>
      <c r="H730" s="1"/>
    </row>
    <row r="731" ht="14.25" customHeight="1">
      <c r="A731" s="52"/>
      <c r="B731" s="53"/>
      <c r="C731" s="53"/>
      <c r="D731" s="53"/>
      <c r="E731" s="53"/>
      <c r="F731" s="53"/>
      <c r="G731" s="53"/>
      <c r="H731" s="1"/>
    </row>
    <row r="732" ht="14.25" customHeight="1">
      <c r="A732" s="52"/>
      <c r="B732" s="53"/>
      <c r="C732" s="53"/>
      <c r="D732" s="53"/>
      <c r="E732" s="53"/>
      <c r="F732" s="53"/>
      <c r="G732" s="53"/>
      <c r="H732" s="1"/>
    </row>
    <row r="733" ht="14.25" customHeight="1">
      <c r="A733" s="52"/>
      <c r="B733" s="53"/>
      <c r="C733" s="53"/>
      <c r="D733" s="53"/>
      <c r="E733" s="53"/>
      <c r="F733" s="53"/>
      <c r="G733" s="53"/>
      <c r="H733" s="1"/>
    </row>
    <row r="734" ht="14.25" customHeight="1">
      <c r="A734" s="52"/>
      <c r="B734" s="53"/>
      <c r="C734" s="53"/>
      <c r="D734" s="53"/>
      <c r="E734" s="53"/>
      <c r="F734" s="53"/>
      <c r="G734" s="53"/>
      <c r="H734" s="1"/>
    </row>
    <row r="735" ht="14.25" customHeight="1">
      <c r="A735" s="52"/>
      <c r="B735" s="53"/>
      <c r="C735" s="53"/>
      <c r="D735" s="53"/>
      <c r="E735" s="53"/>
      <c r="F735" s="53"/>
      <c r="G735" s="53"/>
      <c r="H735" s="1"/>
    </row>
    <row r="736" ht="14.25" customHeight="1">
      <c r="A736" s="52"/>
      <c r="B736" s="53"/>
      <c r="C736" s="53"/>
      <c r="D736" s="53"/>
      <c r="E736" s="53"/>
      <c r="F736" s="53"/>
      <c r="G736" s="53"/>
      <c r="H736" s="1"/>
    </row>
    <row r="737" ht="14.25" customHeight="1">
      <c r="A737" s="52"/>
      <c r="B737" s="53"/>
      <c r="C737" s="53"/>
      <c r="D737" s="53"/>
      <c r="E737" s="53"/>
      <c r="F737" s="53"/>
      <c r="G737" s="53"/>
      <c r="H737" s="1"/>
    </row>
    <row r="738" ht="14.25" customHeight="1">
      <c r="A738" s="52"/>
      <c r="B738" s="53"/>
      <c r="C738" s="53"/>
      <c r="D738" s="53"/>
      <c r="E738" s="53"/>
      <c r="F738" s="53"/>
      <c r="G738" s="53"/>
      <c r="H738" s="1"/>
    </row>
    <row r="739" ht="14.25" customHeight="1">
      <c r="A739" s="52"/>
      <c r="B739" s="53"/>
      <c r="C739" s="53"/>
      <c r="D739" s="53"/>
      <c r="E739" s="53"/>
      <c r="F739" s="53"/>
      <c r="G739" s="53"/>
      <c r="H739" s="1"/>
    </row>
    <row r="740" ht="14.25" customHeight="1">
      <c r="A740" s="52"/>
      <c r="B740" s="53"/>
      <c r="C740" s="53"/>
      <c r="D740" s="53"/>
      <c r="E740" s="53"/>
      <c r="F740" s="53"/>
      <c r="G740" s="53"/>
      <c r="H740" s="1"/>
    </row>
    <row r="741" ht="14.25" customHeight="1">
      <c r="A741" s="52"/>
      <c r="B741" s="53"/>
      <c r="C741" s="53"/>
      <c r="D741" s="53"/>
      <c r="E741" s="53"/>
      <c r="F741" s="53"/>
      <c r="G741" s="53"/>
      <c r="H741" s="1"/>
    </row>
    <row r="742" ht="14.25" customHeight="1">
      <c r="A742" s="52"/>
      <c r="B742" s="53"/>
      <c r="C742" s="53"/>
      <c r="D742" s="53"/>
      <c r="E742" s="53"/>
      <c r="F742" s="53"/>
      <c r="G742" s="53"/>
      <c r="H742" s="1"/>
    </row>
    <row r="743" ht="14.25" customHeight="1">
      <c r="A743" s="52"/>
      <c r="B743" s="53"/>
      <c r="C743" s="53"/>
      <c r="D743" s="53"/>
      <c r="E743" s="53"/>
      <c r="F743" s="53"/>
      <c r="G743" s="53"/>
      <c r="H743" s="1"/>
    </row>
    <row r="744" ht="14.25" customHeight="1">
      <c r="A744" s="52"/>
      <c r="B744" s="53"/>
      <c r="C744" s="53"/>
      <c r="D744" s="53"/>
      <c r="E744" s="53"/>
      <c r="F744" s="53"/>
      <c r="G744" s="53"/>
      <c r="H744" s="1"/>
    </row>
    <row r="745" ht="14.25" customHeight="1">
      <c r="A745" s="52"/>
      <c r="B745" s="53"/>
      <c r="C745" s="53"/>
      <c r="D745" s="53"/>
      <c r="E745" s="53"/>
      <c r="F745" s="53"/>
      <c r="G745" s="53"/>
      <c r="H745" s="1"/>
    </row>
    <row r="746" ht="14.25" customHeight="1">
      <c r="A746" s="52"/>
      <c r="B746" s="53"/>
      <c r="C746" s="53"/>
      <c r="D746" s="53"/>
      <c r="E746" s="53"/>
      <c r="F746" s="53"/>
      <c r="G746" s="53"/>
      <c r="H746" s="1"/>
    </row>
    <row r="747" ht="14.25" customHeight="1">
      <c r="A747" s="52"/>
      <c r="B747" s="53"/>
      <c r="C747" s="53"/>
      <c r="D747" s="53"/>
      <c r="E747" s="53"/>
      <c r="F747" s="53"/>
      <c r="G747" s="53"/>
      <c r="H747" s="1"/>
    </row>
    <row r="748" ht="14.25" customHeight="1">
      <c r="A748" s="52"/>
      <c r="B748" s="53"/>
      <c r="C748" s="53"/>
      <c r="D748" s="53"/>
      <c r="E748" s="53"/>
      <c r="F748" s="53"/>
      <c r="G748" s="53"/>
      <c r="H748" s="1"/>
    </row>
    <row r="749" ht="14.25" customHeight="1">
      <c r="A749" s="52"/>
      <c r="B749" s="53"/>
      <c r="C749" s="53"/>
      <c r="D749" s="53"/>
      <c r="E749" s="53"/>
      <c r="F749" s="53"/>
      <c r="G749" s="53"/>
      <c r="H749" s="1"/>
    </row>
    <row r="750" ht="14.25" customHeight="1">
      <c r="A750" s="52"/>
      <c r="B750" s="53"/>
      <c r="C750" s="53"/>
      <c r="D750" s="53"/>
      <c r="E750" s="53"/>
      <c r="F750" s="53"/>
      <c r="G750" s="53"/>
      <c r="H750" s="1"/>
    </row>
    <row r="751" ht="14.25" customHeight="1">
      <c r="A751" s="52"/>
      <c r="B751" s="53"/>
      <c r="C751" s="53"/>
      <c r="D751" s="53"/>
      <c r="E751" s="53"/>
      <c r="F751" s="53"/>
      <c r="G751" s="53"/>
      <c r="H751" s="1"/>
    </row>
    <row r="752" ht="14.25" customHeight="1">
      <c r="A752" s="52"/>
      <c r="B752" s="53"/>
      <c r="C752" s="53"/>
      <c r="D752" s="53"/>
      <c r="E752" s="53"/>
      <c r="F752" s="53"/>
      <c r="G752" s="53"/>
      <c r="H752" s="1"/>
    </row>
    <row r="753" ht="14.25" customHeight="1">
      <c r="A753" s="52"/>
      <c r="B753" s="53"/>
      <c r="C753" s="53"/>
      <c r="D753" s="53"/>
      <c r="E753" s="53"/>
      <c r="F753" s="53"/>
      <c r="G753" s="53"/>
      <c r="H753" s="1"/>
    </row>
    <row r="754" ht="14.25" customHeight="1">
      <c r="A754" s="52"/>
      <c r="B754" s="53"/>
      <c r="C754" s="53"/>
      <c r="D754" s="53"/>
      <c r="E754" s="53"/>
      <c r="F754" s="53"/>
      <c r="G754" s="53"/>
      <c r="H754" s="1"/>
    </row>
    <row r="755" ht="14.25" customHeight="1">
      <c r="A755" s="52"/>
      <c r="B755" s="53"/>
      <c r="C755" s="53"/>
      <c r="D755" s="53"/>
      <c r="E755" s="53"/>
      <c r="F755" s="53"/>
      <c r="G755" s="53"/>
      <c r="H755" s="1"/>
    </row>
    <row r="756" ht="14.25" customHeight="1">
      <c r="A756" s="52"/>
      <c r="B756" s="53"/>
      <c r="C756" s="53"/>
      <c r="D756" s="53"/>
      <c r="E756" s="53"/>
      <c r="F756" s="53"/>
      <c r="G756" s="53"/>
      <c r="H756" s="1"/>
    </row>
    <row r="757" ht="14.25" customHeight="1">
      <c r="A757" s="52"/>
      <c r="B757" s="53"/>
      <c r="C757" s="53"/>
      <c r="D757" s="53"/>
      <c r="E757" s="53"/>
      <c r="F757" s="53"/>
      <c r="G757" s="53"/>
      <c r="H757" s="1"/>
    </row>
    <row r="758" ht="14.25" customHeight="1">
      <c r="A758" s="52"/>
      <c r="B758" s="53"/>
      <c r="C758" s="53"/>
      <c r="D758" s="53"/>
      <c r="E758" s="53"/>
      <c r="F758" s="53"/>
      <c r="G758" s="53"/>
      <c r="H758" s="1"/>
    </row>
    <row r="759" ht="14.25" customHeight="1">
      <c r="A759" s="52"/>
      <c r="B759" s="53"/>
      <c r="C759" s="53"/>
      <c r="D759" s="53"/>
      <c r="E759" s="53"/>
      <c r="F759" s="53"/>
      <c r="G759" s="53"/>
      <c r="H759" s="1"/>
    </row>
    <row r="760" ht="14.25" customHeight="1">
      <c r="A760" s="52"/>
      <c r="B760" s="53"/>
      <c r="C760" s="53"/>
      <c r="D760" s="53"/>
      <c r="E760" s="53"/>
      <c r="F760" s="53"/>
      <c r="G760" s="53"/>
      <c r="H760" s="1"/>
    </row>
    <row r="761" ht="14.25" customHeight="1">
      <c r="A761" s="52"/>
      <c r="B761" s="53"/>
      <c r="C761" s="53"/>
      <c r="D761" s="53"/>
      <c r="E761" s="53"/>
      <c r="F761" s="53"/>
      <c r="G761" s="53"/>
      <c r="H761" s="1"/>
    </row>
    <row r="762" ht="14.25" customHeight="1">
      <c r="A762" s="52"/>
      <c r="B762" s="53"/>
      <c r="C762" s="53"/>
      <c r="D762" s="53"/>
      <c r="E762" s="53"/>
      <c r="F762" s="53"/>
      <c r="G762" s="53"/>
      <c r="H762" s="1"/>
    </row>
    <row r="763" ht="14.25" customHeight="1">
      <c r="A763" s="52"/>
      <c r="B763" s="53"/>
      <c r="C763" s="53"/>
      <c r="D763" s="53"/>
      <c r="E763" s="53"/>
      <c r="F763" s="53"/>
      <c r="G763" s="53"/>
      <c r="H763" s="1"/>
    </row>
    <row r="764" ht="14.25" customHeight="1">
      <c r="A764" s="52"/>
      <c r="B764" s="53"/>
      <c r="C764" s="53"/>
      <c r="D764" s="53"/>
      <c r="E764" s="53"/>
      <c r="F764" s="53"/>
      <c r="G764" s="53"/>
      <c r="H764" s="1"/>
    </row>
    <row r="765" ht="14.25" customHeight="1">
      <c r="A765" s="52"/>
      <c r="B765" s="53"/>
      <c r="C765" s="53"/>
      <c r="D765" s="53"/>
      <c r="E765" s="53"/>
      <c r="F765" s="53"/>
      <c r="G765" s="53"/>
      <c r="H765" s="1"/>
    </row>
    <row r="766" ht="14.25" customHeight="1">
      <c r="A766" s="52"/>
      <c r="B766" s="53"/>
      <c r="C766" s="53"/>
      <c r="D766" s="53"/>
      <c r="E766" s="53"/>
      <c r="F766" s="53"/>
      <c r="G766" s="53"/>
      <c r="H766" s="1"/>
    </row>
    <row r="767" ht="14.25" customHeight="1">
      <c r="A767" s="52"/>
      <c r="B767" s="53"/>
      <c r="C767" s="53"/>
      <c r="D767" s="53"/>
      <c r="E767" s="53"/>
      <c r="F767" s="53"/>
      <c r="G767" s="53"/>
      <c r="H767" s="1"/>
    </row>
    <row r="768" ht="14.25" customHeight="1">
      <c r="A768" s="52"/>
      <c r="B768" s="53"/>
      <c r="C768" s="53"/>
      <c r="D768" s="53"/>
      <c r="E768" s="53"/>
      <c r="F768" s="53"/>
      <c r="G768" s="53"/>
      <c r="H768" s="1"/>
    </row>
    <row r="769" ht="14.25" customHeight="1">
      <c r="A769" s="52"/>
      <c r="B769" s="53"/>
      <c r="C769" s="53"/>
      <c r="D769" s="53"/>
      <c r="E769" s="53"/>
      <c r="F769" s="53"/>
      <c r="G769" s="53"/>
      <c r="H769" s="1"/>
    </row>
    <row r="770" ht="14.25" customHeight="1">
      <c r="A770" s="52"/>
      <c r="B770" s="53"/>
      <c r="C770" s="53"/>
      <c r="D770" s="53"/>
      <c r="E770" s="53"/>
      <c r="F770" s="53"/>
      <c r="G770" s="53"/>
      <c r="H770" s="1"/>
    </row>
    <row r="771" ht="14.25" customHeight="1">
      <c r="A771" s="52"/>
      <c r="B771" s="53"/>
      <c r="C771" s="53"/>
      <c r="D771" s="53"/>
      <c r="E771" s="53"/>
      <c r="F771" s="53"/>
      <c r="G771" s="53"/>
      <c r="H771" s="1"/>
    </row>
    <row r="772" ht="14.25" customHeight="1">
      <c r="A772" s="52"/>
      <c r="B772" s="53"/>
      <c r="C772" s="53"/>
      <c r="D772" s="53"/>
      <c r="E772" s="53"/>
      <c r="F772" s="53"/>
      <c r="G772" s="53"/>
      <c r="H772" s="1"/>
    </row>
    <row r="773" ht="14.25" customHeight="1">
      <c r="A773" s="52"/>
      <c r="B773" s="53"/>
      <c r="C773" s="53"/>
      <c r="D773" s="53"/>
      <c r="E773" s="53"/>
      <c r="F773" s="53"/>
      <c r="G773" s="53"/>
      <c r="H773" s="1"/>
    </row>
    <row r="774" ht="14.25" customHeight="1">
      <c r="A774" s="52"/>
      <c r="B774" s="53"/>
      <c r="C774" s="53"/>
      <c r="D774" s="53"/>
      <c r="E774" s="53"/>
      <c r="F774" s="53"/>
      <c r="G774" s="53"/>
      <c r="H774" s="1"/>
    </row>
    <row r="775" ht="14.25" customHeight="1">
      <c r="A775" s="52"/>
      <c r="B775" s="53"/>
      <c r="C775" s="53"/>
      <c r="D775" s="53"/>
      <c r="E775" s="53"/>
      <c r="F775" s="53"/>
      <c r="G775" s="53"/>
      <c r="H775" s="1"/>
    </row>
    <row r="776" ht="14.25" customHeight="1">
      <c r="A776" s="52"/>
      <c r="B776" s="53"/>
      <c r="C776" s="53"/>
      <c r="D776" s="53"/>
      <c r="E776" s="53"/>
      <c r="F776" s="53"/>
      <c r="G776" s="53"/>
      <c r="H776" s="1"/>
    </row>
    <row r="777" ht="14.25" customHeight="1">
      <c r="A777" s="52"/>
      <c r="B777" s="53"/>
      <c r="C777" s="53"/>
      <c r="D777" s="53"/>
      <c r="E777" s="53"/>
      <c r="F777" s="53"/>
      <c r="G777" s="53"/>
      <c r="H777" s="1"/>
    </row>
    <row r="778" ht="14.25" customHeight="1">
      <c r="A778" s="52"/>
      <c r="B778" s="53"/>
      <c r="C778" s="53"/>
      <c r="D778" s="53"/>
      <c r="E778" s="53"/>
      <c r="F778" s="53"/>
      <c r="G778" s="53"/>
      <c r="H778" s="1"/>
    </row>
    <row r="779" ht="14.25" customHeight="1">
      <c r="A779" s="52"/>
      <c r="B779" s="53"/>
      <c r="C779" s="53"/>
      <c r="D779" s="53"/>
      <c r="E779" s="53"/>
      <c r="F779" s="53"/>
      <c r="G779" s="53"/>
      <c r="H779" s="1"/>
    </row>
    <row r="780" ht="14.25" customHeight="1">
      <c r="A780" s="52"/>
      <c r="B780" s="53"/>
      <c r="C780" s="53"/>
      <c r="D780" s="53"/>
      <c r="E780" s="53"/>
      <c r="F780" s="53"/>
      <c r="G780" s="53"/>
      <c r="H780" s="1"/>
    </row>
    <row r="781" ht="14.25" customHeight="1">
      <c r="A781" s="52"/>
      <c r="B781" s="53"/>
      <c r="C781" s="53"/>
      <c r="D781" s="53"/>
      <c r="E781" s="53"/>
      <c r="F781" s="53"/>
      <c r="G781" s="53"/>
      <c r="H781" s="1"/>
    </row>
    <row r="782" ht="14.25" customHeight="1">
      <c r="A782" s="52"/>
      <c r="B782" s="53"/>
      <c r="C782" s="53"/>
      <c r="D782" s="53"/>
      <c r="E782" s="53"/>
      <c r="F782" s="53"/>
      <c r="G782" s="53"/>
      <c r="H782" s="1"/>
    </row>
    <row r="783" ht="14.25" customHeight="1">
      <c r="A783" s="52"/>
      <c r="B783" s="53"/>
      <c r="C783" s="53"/>
      <c r="D783" s="53"/>
      <c r="E783" s="53"/>
      <c r="F783" s="53"/>
      <c r="G783" s="53"/>
      <c r="H783" s="1"/>
    </row>
    <row r="784" ht="14.25" customHeight="1">
      <c r="A784" s="52"/>
      <c r="B784" s="53"/>
      <c r="C784" s="53"/>
      <c r="D784" s="53"/>
      <c r="E784" s="53"/>
      <c r="F784" s="53"/>
      <c r="G784" s="53"/>
      <c r="H784" s="1"/>
    </row>
    <row r="785" ht="14.25" customHeight="1">
      <c r="A785" s="52"/>
      <c r="B785" s="53"/>
      <c r="C785" s="53"/>
      <c r="D785" s="53"/>
      <c r="E785" s="53"/>
      <c r="F785" s="53"/>
      <c r="G785" s="53"/>
      <c r="H785" s="1"/>
    </row>
    <row r="786" ht="14.25" customHeight="1">
      <c r="A786" s="52"/>
      <c r="B786" s="53"/>
      <c r="C786" s="53"/>
      <c r="D786" s="53"/>
      <c r="E786" s="53"/>
      <c r="F786" s="53"/>
      <c r="G786" s="53"/>
      <c r="H786" s="1"/>
    </row>
    <row r="787" ht="14.25" customHeight="1">
      <c r="A787" s="52"/>
      <c r="B787" s="53"/>
      <c r="C787" s="53"/>
      <c r="D787" s="53"/>
      <c r="E787" s="53"/>
      <c r="F787" s="53"/>
      <c r="G787" s="53"/>
      <c r="H787" s="1"/>
    </row>
    <row r="788" ht="14.25" customHeight="1">
      <c r="A788" s="52"/>
      <c r="B788" s="53"/>
      <c r="C788" s="53"/>
      <c r="D788" s="53"/>
      <c r="E788" s="53"/>
      <c r="F788" s="53"/>
      <c r="G788" s="53"/>
      <c r="H788" s="1"/>
    </row>
    <row r="789" ht="14.25" customHeight="1">
      <c r="A789" s="52"/>
      <c r="B789" s="53"/>
      <c r="C789" s="53"/>
      <c r="D789" s="53"/>
      <c r="E789" s="53"/>
      <c r="F789" s="53"/>
      <c r="G789" s="53"/>
      <c r="H789" s="1"/>
    </row>
    <row r="790" ht="14.25" customHeight="1">
      <c r="A790" s="52"/>
      <c r="B790" s="53"/>
      <c r="C790" s="53"/>
      <c r="D790" s="53"/>
      <c r="E790" s="53"/>
      <c r="F790" s="53"/>
      <c r="G790" s="53"/>
      <c r="H790" s="1"/>
    </row>
    <row r="791" ht="14.25" customHeight="1">
      <c r="A791" s="52"/>
      <c r="B791" s="53"/>
      <c r="C791" s="53"/>
      <c r="D791" s="53"/>
      <c r="E791" s="53"/>
      <c r="F791" s="53"/>
      <c r="G791" s="53"/>
      <c r="H791" s="1"/>
    </row>
    <row r="792" ht="14.25" customHeight="1">
      <c r="A792" s="52"/>
      <c r="B792" s="53"/>
      <c r="C792" s="53"/>
      <c r="D792" s="53"/>
      <c r="E792" s="53"/>
      <c r="F792" s="53"/>
      <c r="G792" s="53"/>
      <c r="H792" s="1"/>
    </row>
    <row r="793" ht="14.25" customHeight="1">
      <c r="A793" s="52"/>
      <c r="B793" s="53"/>
      <c r="C793" s="53"/>
      <c r="D793" s="53"/>
      <c r="E793" s="53"/>
      <c r="F793" s="53"/>
      <c r="G793" s="53"/>
      <c r="H793" s="1"/>
    </row>
    <row r="794" ht="14.25" customHeight="1">
      <c r="A794" s="52"/>
      <c r="B794" s="53"/>
      <c r="C794" s="53"/>
      <c r="D794" s="53"/>
      <c r="E794" s="53"/>
      <c r="F794" s="53"/>
      <c r="G794" s="53"/>
      <c r="H794" s="1"/>
    </row>
    <row r="795" ht="14.25" customHeight="1">
      <c r="A795" s="52"/>
      <c r="B795" s="53"/>
      <c r="C795" s="53"/>
      <c r="D795" s="53"/>
      <c r="E795" s="53"/>
      <c r="F795" s="53"/>
      <c r="G795" s="53"/>
      <c r="H795" s="1"/>
    </row>
    <row r="796" ht="14.25" customHeight="1">
      <c r="A796" s="52"/>
      <c r="B796" s="53"/>
      <c r="C796" s="53"/>
      <c r="D796" s="53"/>
      <c r="E796" s="53"/>
      <c r="F796" s="53"/>
      <c r="G796" s="53"/>
      <c r="H796" s="1"/>
    </row>
    <row r="797" ht="14.25" customHeight="1">
      <c r="A797" s="52"/>
      <c r="B797" s="53"/>
      <c r="C797" s="53"/>
      <c r="D797" s="53"/>
      <c r="E797" s="53"/>
      <c r="F797" s="53"/>
      <c r="G797" s="53"/>
      <c r="H797" s="1"/>
    </row>
    <row r="798" ht="14.25" customHeight="1">
      <c r="A798" s="52"/>
      <c r="B798" s="53"/>
      <c r="C798" s="53"/>
      <c r="D798" s="53"/>
      <c r="E798" s="53"/>
      <c r="F798" s="53"/>
      <c r="G798" s="53"/>
      <c r="H798" s="1"/>
    </row>
    <row r="799" ht="14.25" customHeight="1">
      <c r="A799" s="52"/>
      <c r="B799" s="53"/>
      <c r="C799" s="53"/>
      <c r="D799" s="53"/>
      <c r="E799" s="53"/>
      <c r="F799" s="53"/>
      <c r="G799" s="53"/>
      <c r="H799" s="1"/>
    </row>
    <row r="800" ht="14.25" customHeight="1">
      <c r="A800" s="52"/>
      <c r="B800" s="53"/>
      <c r="C800" s="53"/>
      <c r="D800" s="53"/>
      <c r="E800" s="53"/>
      <c r="F800" s="53"/>
      <c r="G800" s="53"/>
      <c r="H800" s="1"/>
    </row>
    <row r="801" ht="14.25" customHeight="1">
      <c r="A801" s="52"/>
      <c r="B801" s="53"/>
      <c r="C801" s="53"/>
      <c r="D801" s="53"/>
      <c r="E801" s="53"/>
      <c r="F801" s="53"/>
      <c r="G801" s="53"/>
      <c r="H801" s="1"/>
    </row>
    <row r="802" ht="14.25" customHeight="1">
      <c r="A802" s="52"/>
      <c r="B802" s="53"/>
      <c r="C802" s="53"/>
      <c r="D802" s="53"/>
      <c r="E802" s="53"/>
      <c r="F802" s="53"/>
      <c r="G802" s="53"/>
      <c r="H802" s="1"/>
    </row>
    <row r="803" ht="14.25" customHeight="1">
      <c r="A803" s="52"/>
      <c r="B803" s="53"/>
      <c r="C803" s="53"/>
      <c r="D803" s="53"/>
      <c r="E803" s="53"/>
      <c r="F803" s="53"/>
      <c r="G803" s="53"/>
      <c r="H803" s="1"/>
    </row>
    <row r="804" ht="14.25" customHeight="1">
      <c r="A804" s="52"/>
      <c r="B804" s="53"/>
      <c r="C804" s="53"/>
      <c r="D804" s="53"/>
      <c r="E804" s="53"/>
      <c r="F804" s="53"/>
      <c r="G804" s="53"/>
      <c r="H804" s="1"/>
    </row>
    <row r="805" ht="14.25" customHeight="1">
      <c r="A805" s="52"/>
      <c r="B805" s="53"/>
      <c r="C805" s="53"/>
      <c r="D805" s="53"/>
      <c r="E805" s="53"/>
      <c r="F805" s="53"/>
      <c r="G805" s="53"/>
      <c r="H805" s="1"/>
    </row>
    <row r="806" ht="14.25" customHeight="1">
      <c r="A806" s="52"/>
      <c r="B806" s="53"/>
      <c r="C806" s="53"/>
      <c r="D806" s="53"/>
      <c r="E806" s="53"/>
      <c r="F806" s="53"/>
      <c r="G806" s="53"/>
      <c r="H806" s="1"/>
    </row>
    <row r="807" ht="14.25" customHeight="1">
      <c r="A807" s="52"/>
      <c r="B807" s="53"/>
      <c r="C807" s="53"/>
      <c r="D807" s="53"/>
      <c r="E807" s="53"/>
      <c r="F807" s="53"/>
      <c r="G807" s="53"/>
      <c r="H807" s="1"/>
    </row>
    <row r="808" ht="14.25" customHeight="1">
      <c r="A808" s="52"/>
      <c r="B808" s="53"/>
      <c r="C808" s="53"/>
      <c r="D808" s="53"/>
      <c r="E808" s="53"/>
      <c r="F808" s="53"/>
      <c r="G808" s="53"/>
      <c r="H808" s="1"/>
    </row>
    <row r="809" ht="14.25" customHeight="1">
      <c r="A809" s="52"/>
      <c r="B809" s="53"/>
      <c r="C809" s="53"/>
      <c r="D809" s="53"/>
      <c r="E809" s="53"/>
      <c r="F809" s="53"/>
      <c r="G809" s="53"/>
      <c r="H809" s="1"/>
    </row>
    <row r="810" ht="14.25" customHeight="1">
      <c r="A810" s="52"/>
      <c r="B810" s="53"/>
      <c r="C810" s="53"/>
      <c r="D810" s="53"/>
      <c r="E810" s="53"/>
      <c r="F810" s="53"/>
      <c r="G810" s="53"/>
      <c r="H810" s="1"/>
    </row>
    <row r="811" ht="14.25" customHeight="1">
      <c r="A811" s="52"/>
      <c r="B811" s="53"/>
      <c r="C811" s="53"/>
      <c r="D811" s="53"/>
      <c r="E811" s="53"/>
      <c r="F811" s="53"/>
      <c r="G811" s="53"/>
      <c r="H811" s="1"/>
    </row>
    <row r="812" ht="14.25" customHeight="1">
      <c r="A812" s="52"/>
      <c r="B812" s="53"/>
      <c r="C812" s="53"/>
      <c r="D812" s="53"/>
      <c r="E812" s="53"/>
      <c r="F812" s="53"/>
      <c r="G812" s="53"/>
      <c r="H812" s="1"/>
    </row>
    <row r="813" ht="14.25" customHeight="1">
      <c r="A813" s="52"/>
      <c r="B813" s="53"/>
      <c r="C813" s="53"/>
      <c r="D813" s="53"/>
      <c r="E813" s="53"/>
      <c r="F813" s="53"/>
      <c r="G813" s="53"/>
      <c r="H813" s="1"/>
    </row>
    <row r="814" ht="14.25" customHeight="1">
      <c r="A814" s="52"/>
      <c r="B814" s="53"/>
      <c r="C814" s="53"/>
      <c r="D814" s="53"/>
      <c r="E814" s="53"/>
      <c r="F814" s="53"/>
      <c r="G814" s="53"/>
      <c r="H814" s="1"/>
    </row>
    <row r="815" ht="14.25" customHeight="1">
      <c r="A815" s="52"/>
      <c r="B815" s="53"/>
      <c r="C815" s="53"/>
      <c r="D815" s="53"/>
      <c r="E815" s="53"/>
      <c r="F815" s="53"/>
      <c r="G815" s="53"/>
      <c r="H815" s="1"/>
    </row>
    <row r="816" ht="14.25" customHeight="1">
      <c r="A816" s="52"/>
      <c r="B816" s="53"/>
      <c r="C816" s="53"/>
      <c r="D816" s="53"/>
      <c r="E816" s="53"/>
      <c r="F816" s="53"/>
      <c r="G816" s="53"/>
      <c r="H816" s="1"/>
    </row>
    <row r="817" ht="14.25" customHeight="1">
      <c r="A817" s="52"/>
      <c r="B817" s="53"/>
      <c r="C817" s="53"/>
      <c r="D817" s="53"/>
      <c r="E817" s="53"/>
      <c r="F817" s="53"/>
      <c r="G817" s="53"/>
      <c r="H817" s="1"/>
    </row>
    <row r="818" ht="14.25" customHeight="1">
      <c r="A818" s="52"/>
      <c r="B818" s="53"/>
      <c r="C818" s="53"/>
      <c r="D818" s="53"/>
      <c r="E818" s="53"/>
      <c r="F818" s="53"/>
      <c r="G818" s="53"/>
      <c r="H818" s="1"/>
    </row>
    <row r="819" ht="14.25" customHeight="1">
      <c r="A819" s="52"/>
      <c r="B819" s="53"/>
      <c r="C819" s="53"/>
      <c r="D819" s="53"/>
      <c r="E819" s="53"/>
      <c r="F819" s="53"/>
      <c r="G819" s="53"/>
      <c r="H819" s="1"/>
    </row>
    <row r="820" ht="14.25" customHeight="1">
      <c r="A820" s="52"/>
      <c r="B820" s="53"/>
      <c r="C820" s="53"/>
      <c r="D820" s="53"/>
      <c r="E820" s="53"/>
      <c r="F820" s="53"/>
      <c r="G820" s="53"/>
      <c r="H820" s="1"/>
    </row>
    <row r="821" ht="14.25" customHeight="1">
      <c r="A821" s="52"/>
      <c r="B821" s="53"/>
      <c r="C821" s="53"/>
      <c r="D821" s="53"/>
      <c r="E821" s="53"/>
      <c r="F821" s="53"/>
      <c r="G821" s="53"/>
      <c r="H821" s="1"/>
    </row>
    <row r="822" ht="14.25" customHeight="1">
      <c r="A822" s="52"/>
      <c r="B822" s="53"/>
      <c r="C822" s="53"/>
      <c r="D822" s="53"/>
      <c r="E822" s="53"/>
      <c r="F822" s="53"/>
      <c r="G822" s="53"/>
      <c r="H822" s="1"/>
    </row>
    <row r="823" ht="14.25" customHeight="1">
      <c r="A823" s="52"/>
      <c r="B823" s="53"/>
      <c r="C823" s="53"/>
      <c r="D823" s="53"/>
      <c r="E823" s="53"/>
      <c r="F823" s="53"/>
      <c r="G823" s="53"/>
      <c r="H823" s="1"/>
    </row>
    <row r="824" ht="14.25" customHeight="1">
      <c r="A824" s="52"/>
      <c r="B824" s="53"/>
      <c r="C824" s="53"/>
      <c r="D824" s="53"/>
      <c r="E824" s="53"/>
      <c r="F824" s="53"/>
      <c r="G824" s="53"/>
      <c r="H824" s="1"/>
    </row>
    <row r="825" ht="14.25" customHeight="1">
      <c r="A825" s="52"/>
      <c r="B825" s="53"/>
      <c r="C825" s="53"/>
      <c r="D825" s="53"/>
      <c r="E825" s="53"/>
      <c r="F825" s="53"/>
      <c r="G825" s="53"/>
      <c r="H825" s="1"/>
    </row>
    <row r="826" ht="14.25" customHeight="1">
      <c r="A826" s="52"/>
      <c r="B826" s="53"/>
      <c r="C826" s="53"/>
      <c r="D826" s="53"/>
      <c r="E826" s="53"/>
      <c r="F826" s="53"/>
      <c r="G826" s="53"/>
      <c r="H826" s="1"/>
    </row>
    <row r="827" ht="14.25" customHeight="1">
      <c r="A827" s="52"/>
      <c r="B827" s="53"/>
      <c r="C827" s="53"/>
      <c r="D827" s="53"/>
      <c r="E827" s="53"/>
      <c r="F827" s="53"/>
      <c r="G827" s="53"/>
      <c r="H827" s="1"/>
    </row>
    <row r="828" ht="14.25" customHeight="1">
      <c r="A828" s="52"/>
      <c r="B828" s="53"/>
      <c r="C828" s="53"/>
      <c r="D828" s="53"/>
      <c r="E828" s="53"/>
      <c r="F828" s="53"/>
      <c r="G828" s="53"/>
      <c r="H828" s="1"/>
    </row>
    <row r="829" ht="14.25" customHeight="1">
      <c r="A829" s="52"/>
      <c r="B829" s="53"/>
      <c r="C829" s="53"/>
      <c r="D829" s="53"/>
      <c r="E829" s="53"/>
      <c r="F829" s="53"/>
      <c r="G829" s="53"/>
      <c r="H829" s="1"/>
    </row>
    <row r="830" ht="14.25" customHeight="1">
      <c r="A830" s="52"/>
      <c r="B830" s="53"/>
      <c r="C830" s="53"/>
      <c r="D830" s="53"/>
      <c r="E830" s="53"/>
      <c r="F830" s="53"/>
      <c r="G830" s="53"/>
      <c r="H830" s="1"/>
    </row>
    <row r="831" ht="14.25" customHeight="1">
      <c r="A831" s="52"/>
      <c r="B831" s="53"/>
      <c r="C831" s="53"/>
      <c r="D831" s="53"/>
      <c r="E831" s="53"/>
      <c r="F831" s="53"/>
      <c r="G831" s="53"/>
      <c r="H831" s="1"/>
    </row>
    <row r="832" ht="14.25" customHeight="1">
      <c r="A832" s="52"/>
      <c r="B832" s="53"/>
      <c r="C832" s="53"/>
      <c r="D832" s="53"/>
      <c r="E832" s="53"/>
      <c r="F832" s="53"/>
      <c r="G832" s="53"/>
      <c r="H832" s="1"/>
    </row>
    <row r="833" ht="14.25" customHeight="1">
      <c r="A833" s="52"/>
      <c r="B833" s="53"/>
      <c r="C833" s="53"/>
      <c r="D833" s="53"/>
      <c r="E833" s="53"/>
      <c r="F833" s="53"/>
      <c r="G833" s="53"/>
      <c r="H833" s="1"/>
    </row>
    <row r="834" ht="14.25" customHeight="1">
      <c r="A834" s="52"/>
      <c r="B834" s="53"/>
      <c r="C834" s="53"/>
      <c r="D834" s="53"/>
      <c r="E834" s="53"/>
      <c r="F834" s="53"/>
      <c r="G834" s="53"/>
      <c r="H834" s="1"/>
    </row>
    <row r="835" ht="14.25" customHeight="1">
      <c r="A835" s="52"/>
      <c r="B835" s="53"/>
      <c r="C835" s="53"/>
      <c r="D835" s="53"/>
      <c r="E835" s="53"/>
      <c r="F835" s="53"/>
      <c r="G835" s="53"/>
      <c r="H835" s="1"/>
    </row>
    <row r="836" ht="14.25" customHeight="1">
      <c r="A836" s="52"/>
      <c r="B836" s="53"/>
      <c r="C836" s="53"/>
      <c r="D836" s="53"/>
      <c r="E836" s="53"/>
      <c r="F836" s="53"/>
      <c r="G836" s="53"/>
      <c r="H836" s="1"/>
    </row>
    <row r="837" ht="14.25" customHeight="1">
      <c r="A837" s="52"/>
      <c r="B837" s="53"/>
      <c r="C837" s="53"/>
      <c r="D837" s="53"/>
      <c r="E837" s="53"/>
      <c r="F837" s="53"/>
      <c r="G837" s="53"/>
      <c r="H837" s="1"/>
    </row>
    <row r="838" ht="14.25" customHeight="1">
      <c r="A838" s="52"/>
      <c r="B838" s="53"/>
      <c r="C838" s="53"/>
      <c r="D838" s="53"/>
      <c r="E838" s="53"/>
      <c r="F838" s="53"/>
      <c r="G838" s="53"/>
      <c r="H838" s="1"/>
    </row>
    <row r="839" ht="14.25" customHeight="1">
      <c r="A839" s="52"/>
      <c r="B839" s="53"/>
      <c r="C839" s="53"/>
      <c r="D839" s="53"/>
      <c r="E839" s="53"/>
      <c r="F839" s="53"/>
      <c r="G839" s="53"/>
      <c r="H839" s="1"/>
    </row>
    <row r="840" ht="14.25" customHeight="1">
      <c r="A840" s="52"/>
      <c r="B840" s="53"/>
      <c r="C840" s="53"/>
      <c r="D840" s="53"/>
      <c r="E840" s="53"/>
      <c r="F840" s="53"/>
      <c r="G840" s="53"/>
      <c r="H840" s="1"/>
    </row>
    <row r="841" ht="14.25" customHeight="1">
      <c r="A841" s="52"/>
      <c r="B841" s="53"/>
      <c r="C841" s="53"/>
      <c r="D841" s="53"/>
      <c r="E841" s="53"/>
      <c r="F841" s="53"/>
      <c r="G841" s="53"/>
      <c r="H841" s="1"/>
    </row>
    <row r="842" ht="14.25" customHeight="1">
      <c r="A842" s="52"/>
      <c r="B842" s="53"/>
      <c r="C842" s="53"/>
      <c r="D842" s="53"/>
      <c r="E842" s="53"/>
      <c r="F842" s="53"/>
      <c r="G842" s="53"/>
      <c r="H842" s="1"/>
    </row>
    <row r="843" ht="14.25" customHeight="1">
      <c r="A843" s="52"/>
      <c r="B843" s="53"/>
      <c r="C843" s="53"/>
      <c r="D843" s="53"/>
      <c r="E843" s="53"/>
      <c r="F843" s="53"/>
      <c r="G843" s="53"/>
      <c r="H843" s="1"/>
    </row>
    <row r="844" ht="14.25" customHeight="1">
      <c r="A844" s="52"/>
      <c r="B844" s="53"/>
      <c r="C844" s="53"/>
      <c r="D844" s="53"/>
      <c r="E844" s="53"/>
      <c r="F844" s="53"/>
      <c r="G844" s="53"/>
      <c r="H844" s="1"/>
    </row>
    <row r="845" ht="14.25" customHeight="1">
      <c r="A845" s="52"/>
      <c r="B845" s="53"/>
      <c r="C845" s="53"/>
      <c r="D845" s="53"/>
      <c r="E845" s="53"/>
      <c r="F845" s="53"/>
      <c r="G845" s="53"/>
      <c r="H845" s="1"/>
    </row>
    <row r="846" ht="14.25" customHeight="1">
      <c r="A846" s="52"/>
      <c r="B846" s="53"/>
      <c r="C846" s="53"/>
      <c r="D846" s="53"/>
      <c r="E846" s="53"/>
      <c r="F846" s="53"/>
      <c r="G846" s="53"/>
      <c r="H846" s="1"/>
    </row>
    <row r="847" ht="14.25" customHeight="1">
      <c r="A847" s="52"/>
      <c r="B847" s="53"/>
      <c r="C847" s="53"/>
      <c r="D847" s="53"/>
      <c r="E847" s="53"/>
      <c r="F847" s="53"/>
      <c r="G847" s="53"/>
      <c r="H847" s="1"/>
    </row>
    <row r="848" ht="14.25" customHeight="1">
      <c r="A848" s="52"/>
      <c r="B848" s="53"/>
      <c r="C848" s="53"/>
      <c r="D848" s="53"/>
      <c r="E848" s="53"/>
      <c r="F848" s="53"/>
      <c r="G848" s="53"/>
      <c r="H848" s="1"/>
    </row>
    <row r="849" ht="14.25" customHeight="1">
      <c r="A849" s="52"/>
      <c r="B849" s="53"/>
      <c r="C849" s="53"/>
      <c r="D849" s="53"/>
      <c r="E849" s="53"/>
      <c r="F849" s="53"/>
      <c r="G849" s="53"/>
      <c r="H849" s="1"/>
    </row>
    <row r="850" ht="14.25" customHeight="1">
      <c r="A850" s="52"/>
      <c r="B850" s="53"/>
      <c r="C850" s="53"/>
      <c r="D850" s="53"/>
      <c r="E850" s="53"/>
      <c r="F850" s="53"/>
      <c r="G850" s="53"/>
      <c r="H850" s="1"/>
    </row>
    <row r="851" ht="14.25" customHeight="1">
      <c r="A851" s="52"/>
      <c r="B851" s="53"/>
      <c r="C851" s="53"/>
      <c r="D851" s="53"/>
      <c r="E851" s="53"/>
      <c r="F851" s="53"/>
      <c r="G851" s="53"/>
      <c r="H851" s="1"/>
    </row>
    <row r="852" ht="14.25" customHeight="1">
      <c r="A852" s="52"/>
      <c r="B852" s="53"/>
      <c r="C852" s="53"/>
      <c r="D852" s="53"/>
      <c r="E852" s="53"/>
      <c r="F852" s="53"/>
      <c r="G852" s="53"/>
      <c r="H852" s="1"/>
    </row>
    <row r="853" ht="14.25" customHeight="1">
      <c r="A853" s="52"/>
      <c r="B853" s="53"/>
      <c r="C853" s="53"/>
      <c r="D853" s="53"/>
      <c r="E853" s="53"/>
      <c r="F853" s="53"/>
      <c r="G853" s="53"/>
      <c r="H853" s="1"/>
    </row>
    <row r="854" ht="14.25" customHeight="1">
      <c r="A854" s="52"/>
      <c r="B854" s="53"/>
      <c r="C854" s="53"/>
      <c r="D854" s="53"/>
      <c r="E854" s="53"/>
      <c r="F854" s="53"/>
      <c r="G854" s="53"/>
      <c r="H854" s="1"/>
    </row>
    <row r="855" ht="14.25" customHeight="1">
      <c r="A855" s="52"/>
      <c r="B855" s="53"/>
      <c r="C855" s="53"/>
      <c r="D855" s="53"/>
      <c r="E855" s="53"/>
      <c r="F855" s="53"/>
      <c r="G855" s="53"/>
      <c r="H855" s="1"/>
    </row>
    <row r="856" ht="14.25" customHeight="1">
      <c r="A856" s="52"/>
      <c r="B856" s="53"/>
      <c r="C856" s="53"/>
      <c r="D856" s="53"/>
      <c r="E856" s="53"/>
      <c r="F856" s="53"/>
      <c r="G856" s="53"/>
      <c r="H856" s="1"/>
    </row>
    <row r="857" ht="14.25" customHeight="1">
      <c r="A857" s="52"/>
      <c r="B857" s="53"/>
      <c r="C857" s="53"/>
      <c r="D857" s="53"/>
      <c r="E857" s="53"/>
      <c r="F857" s="53"/>
      <c r="G857" s="53"/>
      <c r="H857" s="1"/>
    </row>
    <row r="858" ht="14.25" customHeight="1">
      <c r="A858" s="52"/>
      <c r="B858" s="53"/>
      <c r="C858" s="53"/>
      <c r="D858" s="53"/>
      <c r="E858" s="53"/>
      <c r="F858" s="53"/>
      <c r="G858" s="53"/>
      <c r="H858" s="1"/>
    </row>
    <row r="859" ht="14.25" customHeight="1">
      <c r="A859" s="52"/>
      <c r="B859" s="53"/>
      <c r="C859" s="53"/>
      <c r="D859" s="53"/>
      <c r="E859" s="53"/>
      <c r="F859" s="53"/>
      <c r="G859" s="53"/>
      <c r="H859" s="1"/>
    </row>
    <row r="860" ht="14.25" customHeight="1">
      <c r="A860" s="52"/>
      <c r="B860" s="53"/>
      <c r="C860" s="53"/>
      <c r="D860" s="53"/>
      <c r="E860" s="53"/>
      <c r="F860" s="53"/>
      <c r="G860" s="53"/>
      <c r="H860" s="1"/>
    </row>
    <row r="861" ht="14.25" customHeight="1">
      <c r="A861" s="52"/>
      <c r="B861" s="53"/>
      <c r="C861" s="53"/>
      <c r="D861" s="53"/>
      <c r="E861" s="53"/>
      <c r="F861" s="53"/>
      <c r="G861" s="53"/>
      <c r="H861" s="1"/>
    </row>
    <row r="862" ht="14.25" customHeight="1">
      <c r="A862" s="52"/>
      <c r="B862" s="53"/>
      <c r="C862" s="53"/>
      <c r="D862" s="53"/>
      <c r="E862" s="53"/>
      <c r="F862" s="53"/>
      <c r="G862" s="53"/>
      <c r="H862" s="1"/>
    </row>
    <row r="863" ht="14.25" customHeight="1">
      <c r="A863" s="52"/>
      <c r="B863" s="53"/>
      <c r="C863" s="53"/>
      <c r="D863" s="53"/>
      <c r="E863" s="53"/>
      <c r="F863" s="53"/>
      <c r="G863" s="53"/>
      <c r="H863" s="1"/>
    </row>
    <row r="864" ht="14.25" customHeight="1">
      <c r="A864" s="52"/>
      <c r="B864" s="53"/>
      <c r="C864" s="53"/>
      <c r="D864" s="53"/>
      <c r="E864" s="53"/>
      <c r="F864" s="53"/>
      <c r="G864" s="53"/>
      <c r="H864" s="1"/>
    </row>
    <row r="865" ht="14.25" customHeight="1">
      <c r="A865" s="52"/>
      <c r="B865" s="53"/>
      <c r="C865" s="53"/>
      <c r="D865" s="53"/>
      <c r="E865" s="53"/>
      <c r="F865" s="53"/>
      <c r="G865" s="53"/>
      <c r="H865" s="1"/>
    </row>
    <row r="866" ht="14.25" customHeight="1">
      <c r="A866" s="52"/>
      <c r="B866" s="53"/>
      <c r="C866" s="53"/>
      <c r="D866" s="53"/>
      <c r="E866" s="53"/>
      <c r="F866" s="53"/>
      <c r="G866" s="53"/>
      <c r="H866" s="1"/>
    </row>
    <row r="867" ht="14.25" customHeight="1">
      <c r="A867" s="52"/>
      <c r="B867" s="53"/>
      <c r="C867" s="53"/>
      <c r="D867" s="53"/>
      <c r="E867" s="53"/>
      <c r="F867" s="53"/>
      <c r="G867" s="53"/>
      <c r="H867" s="1"/>
    </row>
    <row r="868" ht="14.25" customHeight="1">
      <c r="A868" s="52"/>
      <c r="B868" s="53"/>
      <c r="C868" s="53"/>
      <c r="D868" s="53"/>
      <c r="E868" s="53"/>
      <c r="F868" s="53"/>
      <c r="G868" s="53"/>
      <c r="H868" s="1"/>
    </row>
    <row r="869" ht="14.25" customHeight="1">
      <c r="A869" s="52"/>
      <c r="B869" s="53"/>
      <c r="C869" s="53"/>
      <c r="D869" s="53"/>
      <c r="E869" s="53"/>
      <c r="F869" s="53"/>
      <c r="G869" s="53"/>
      <c r="H869" s="1"/>
    </row>
    <row r="870" ht="14.25" customHeight="1">
      <c r="A870" s="52"/>
      <c r="B870" s="53"/>
      <c r="C870" s="53"/>
      <c r="D870" s="53"/>
      <c r="E870" s="53"/>
      <c r="F870" s="53"/>
      <c r="G870" s="53"/>
      <c r="H870" s="1"/>
    </row>
    <row r="871" ht="14.25" customHeight="1">
      <c r="A871" s="52"/>
      <c r="B871" s="53"/>
      <c r="C871" s="53"/>
      <c r="D871" s="53"/>
      <c r="E871" s="53"/>
      <c r="F871" s="53"/>
      <c r="G871" s="53"/>
      <c r="H871" s="1"/>
    </row>
    <row r="872" ht="14.25" customHeight="1">
      <c r="A872" s="52"/>
      <c r="B872" s="53"/>
      <c r="C872" s="53"/>
      <c r="D872" s="53"/>
      <c r="E872" s="53"/>
      <c r="F872" s="53"/>
      <c r="G872" s="53"/>
      <c r="H872" s="1"/>
    </row>
    <row r="873" ht="14.25" customHeight="1">
      <c r="A873" s="52"/>
      <c r="B873" s="53"/>
      <c r="C873" s="53"/>
      <c r="D873" s="53"/>
      <c r="E873" s="53"/>
      <c r="F873" s="53"/>
      <c r="G873" s="53"/>
      <c r="H873" s="1"/>
    </row>
    <row r="874" ht="14.25" customHeight="1">
      <c r="A874" s="52"/>
      <c r="B874" s="53"/>
      <c r="C874" s="53"/>
      <c r="D874" s="53"/>
      <c r="E874" s="53"/>
      <c r="F874" s="53"/>
      <c r="G874" s="53"/>
      <c r="H874" s="1"/>
    </row>
    <row r="875" ht="14.25" customHeight="1">
      <c r="A875" s="52"/>
      <c r="B875" s="53"/>
      <c r="C875" s="53"/>
      <c r="D875" s="53"/>
      <c r="E875" s="53"/>
      <c r="F875" s="53"/>
      <c r="G875" s="53"/>
      <c r="H875" s="1"/>
    </row>
    <row r="876" ht="14.25" customHeight="1">
      <c r="A876" s="52"/>
      <c r="B876" s="53"/>
      <c r="C876" s="53"/>
      <c r="D876" s="53"/>
      <c r="E876" s="53"/>
      <c r="F876" s="53"/>
      <c r="G876" s="53"/>
      <c r="H876" s="1"/>
    </row>
    <row r="877" ht="14.25" customHeight="1">
      <c r="A877" s="52"/>
      <c r="B877" s="53"/>
      <c r="C877" s="53"/>
      <c r="D877" s="53"/>
      <c r="E877" s="53"/>
      <c r="F877" s="53"/>
      <c r="G877" s="53"/>
      <c r="H877" s="1"/>
    </row>
    <row r="878" ht="14.25" customHeight="1">
      <c r="A878" s="52"/>
      <c r="B878" s="53"/>
      <c r="C878" s="53"/>
      <c r="D878" s="53"/>
      <c r="E878" s="53"/>
      <c r="F878" s="53"/>
      <c r="G878" s="53"/>
      <c r="H878" s="1"/>
    </row>
    <row r="879" ht="14.25" customHeight="1">
      <c r="A879" s="52"/>
      <c r="B879" s="53"/>
      <c r="C879" s="53"/>
      <c r="D879" s="53"/>
      <c r="E879" s="53"/>
      <c r="F879" s="53"/>
      <c r="G879" s="53"/>
      <c r="H879" s="1"/>
    </row>
    <row r="880" ht="14.25" customHeight="1">
      <c r="A880" s="52"/>
      <c r="B880" s="53"/>
      <c r="C880" s="53"/>
      <c r="D880" s="53"/>
      <c r="E880" s="53"/>
      <c r="F880" s="53"/>
      <c r="G880" s="53"/>
      <c r="H880" s="1"/>
    </row>
    <row r="881" ht="14.25" customHeight="1">
      <c r="A881" s="52"/>
      <c r="B881" s="53"/>
      <c r="C881" s="53"/>
      <c r="D881" s="53"/>
      <c r="E881" s="53"/>
      <c r="F881" s="53"/>
      <c r="G881" s="53"/>
      <c r="H881" s="1"/>
    </row>
    <row r="882" ht="14.25" customHeight="1">
      <c r="A882" s="52"/>
      <c r="B882" s="53"/>
      <c r="C882" s="53"/>
      <c r="D882" s="53"/>
      <c r="E882" s="53"/>
      <c r="F882" s="53"/>
      <c r="G882" s="53"/>
      <c r="H882" s="1"/>
    </row>
    <row r="883" ht="14.25" customHeight="1">
      <c r="A883" s="52"/>
      <c r="B883" s="53"/>
      <c r="C883" s="53"/>
      <c r="D883" s="53"/>
      <c r="E883" s="53"/>
      <c r="F883" s="53"/>
      <c r="G883" s="53"/>
      <c r="H883" s="1"/>
    </row>
    <row r="884" ht="14.25" customHeight="1">
      <c r="A884" s="52"/>
      <c r="B884" s="53"/>
      <c r="C884" s="53"/>
      <c r="D884" s="53"/>
      <c r="E884" s="53"/>
      <c r="F884" s="53"/>
      <c r="G884" s="53"/>
      <c r="H884" s="1"/>
    </row>
    <row r="885" ht="14.25" customHeight="1">
      <c r="A885" s="52"/>
      <c r="B885" s="53"/>
      <c r="C885" s="53"/>
      <c r="D885" s="53"/>
      <c r="E885" s="53"/>
      <c r="F885" s="53"/>
      <c r="G885" s="53"/>
      <c r="H885" s="1"/>
    </row>
    <row r="886" ht="14.25" customHeight="1">
      <c r="A886" s="52"/>
      <c r="B886" s="53"/>
      <c r="C886" s="53"/>
      <c r="D886" s="53"/>
      <c r="E886" s="53"/>
      <c r="F886" s="53"/>
      <c r="G886" s="53"/>
      <c r="H886" s="1"/>
    </row>
    <row r="887" ht="14.25" customHeight="1">
      <c r="A887" s="52"/>
      <c r="B887" s="53"/>
      <c r="C887" s="53"/>
      <c r="D887" s="53"/>
      <c r="E887" s="53"/>
      <c r="F887" s="53"/>
      <c r="G887" s="53"/>
      <c r="H887" s="1"/>
    </row>
    <row r="888" ht="14.25" customHeight="1">
      <c r="A888" s="52"/>
      <c r="B888" s="53"/>
      <c r="C888" s="53"/>
      <c r="D888" s="53"/>
      <c r="E888" s="53"/>
      <c r="F888" s="53"/>
      <c r="G888" s="53"/>
      <c r="H888" s="1"/>
    </row>
    <row r="889" ht="14.25" customHeight="1">
      <c r="A889" s="52"/>
      <c r="B889" s="53"/>
      <c r="C889" s="53"/>
      <c r="D889" s="53"/>
      <c r="E889" s="53"/>
      <c r="F889" s="53"/>
      <c r="G889" s="53"/>
      <c r="H889" s="1"/>
    </row>
    <row r="890" ht="14.25" customHeight="1">
      <c r="A890" s="52"/>
      <c r="B890" s="53"/>
      <c r="C890" s="53"/>
      <c r="D890" s="53"/>
      <c r="E890" s="53"/>
      <c r="F890" s="53"/>
      <c r="G890" s="53"/>
      <c r="H890" s="1"/>
    </row>
    <row r="891" ht="14.25" customHeight="1">
      <c r="A891" s="52"/>
      <c r="B891" s="53"/>
      <c r="C891" s="53"/>
      <c r="D891" s="53"/>
      <c r="E891" s="53"/>
      <c r="F891" s="53"/>
      <c r="G891" s="53"/>
      <c r="H891" s="1"/>
    </row>
    <row r="892" ht="14.25" customHeight="1">
      <c r="A892" s="52"/>
      <c r="B892" s="53"/>
      <c r="C892" s="53"/>
      <c r="D892" s="53"/>
      <c r="E892" s="53"/>
      <c r="F892" s="53"/>
      <c r="G892" s="53"/>
      <c r="H892" s="1"/>
    </row>
    <row r="893" ht="14.25" customHeight="1">
      <c r="A893" s="52"/>
      <c r="B893" s="53"/>
      <c r="C893" s="53"/>
      <c r="D893" s="53"/>
      <c r="E893" s="53"/>
      <c r="F893" s="53"/>
      <c r="G893" s="53"/>
      <c r="H893" s="1"/>
    </row>
    <row r="894" ht="14.25" customHeight="1">
      <c r="A894" s="52"/>
      <c r="B894" s="53"/>
      <c r="C894" s="53"/>
      <c r="D894" s="53"/>
      <c r="E894" s="53"/>
      <c r="F894" s="53"/>
      <c r="G894" s="53"/>
      <c r="H894" s="1"/>
    </row>
    <row r="895" ht="14.25" customHeight="1">
      <c r="A895" s="52"/>
      <c r="B895" s="53"/>
      <c r="C895" s="53"/>
      <c r="D895" s="53"/>
      <c r="E895" s="53"/>
      <c r="F895" s="53"/>
      <c r="G895" s="53"/>
      <c r="H895" s="1"/>
    </row>
    <row r="896" ht="14.25" customHeight="1">
      <c r="A896" s="52"/>
      <c r="B896" s="53"/>
      <c r="C896" s="53"/>
      <c r="D896" s="53"/>
      <c r="E896" s="53"/>
      <c r="F896" s="53"/>
      <c r="G896" s="53"/>
      <c r="H896" s="1"/>
    </row>
    <row r="897" ht="14.25" customHeight="1">
      <c r="A897" s="52"/>
      <c r="B897" s="53"/>
      <c r="C897" s="53"/>
      <c r="D897" s="53"/>
      <c r="E897" s="53"/>
      <c r="F897" s="53"/>
      <c r="G897" s="53"/>
      <c r="H897" s="1"/>
    </row>
    <row r="898" ht="14.25" customHeight="1">
      <c r="A898" s="52"/>
      <c r="B898" s="53"/>
      <c r="C898" s="53"/>
      <c r="D898" s="53"/>
      <c r="E898" s="53"/>
      <c r="F898" s="53"/>
      <c r="G898" s="53"/>
      <c r="H898" s="1"/>
    </row>
    <row r="899" ht="14.25" customHeight="1">
      <c r="A899" s="52"/>
      <c r="B899" s="53"/>
      <c r="C899" s="53"/>
      <c r="D899" s="53"/>
      <c r="E899" s="53"/>
      <c r="F899" s="53"/>
      <c r="G899" s="53"/>
      <c r="H899" s="1"/>
    </row>
    <row r="900" ht="14.25" customHeight="1">
      <c r="A900" s="52"/>
      <c r="B900" s="53"/>
      <c r="C900" s="53"/>
      <c r="D900" s="53"/>
      <c r="E900" s="53"/>
      <c r="F900" s="53"/>
      <c r="G900" s="53"/>
      <c r="H900" s="1"/>
    </row>
    <row r="901" ht="14.25" customHeight="1">
      <c r="A901" s="52"/>
      <c r="B901" s="53"/>
      <c r="C901" s="53"/>
      <c r="D901" s="53"/>
      <c r="E901" s="53"/>
      <c r="F901" s="53"/>
      <c r="G901" s="53"/>
      <c r="H901" s="1"/>
    </row>
    <row r="902" ht="14.25" customHeight="1">
      <c r="A902" s="52"/>
      <c r="B902" s="53"/>
      <c r="C902" s="53"/>
      <c r="D902" s="53"/>
      <c r="E902" s="53"/>
      <c r="F902" s="53"/>
      <c r="G902" s="53"/>
      <c r="H902" s="1"/>
    </row>
    <row r="903" ht="14.25" customHeight="1">
      <c r="A903" s="52"/>
      <c r="B903" s="53"/>
      <c r="C903" s="53"/>
      <c r="D903" s="53"/>
      <c r="E903" s="53"/>
      <c r="F903" s="53"/>
      <c r="G903" s="53"/>
      <c r="H903" s="1"/>
    </row>
    <row r="904" ht="14.25" customHeight="1">
      <c r="A904" s="52"/>
      <c r="B904" s="53"/>
      <c r="C904" s="53"/>
      <c r="D904" s="53"/>
      <c r="E904" s="53"/>
      <c r="F904" s="53"/>
      <c r="G904" s="53"/>
      <c r="H904" s="1"/>
    </row>
    <row r="905" ht="14.25" customHeight="1">
      <c r="A905" s="52"/>
      <c r="B905" s="53"/>
      <c r="C905" s="53"/>
      <c r="D905" s="53"/>
      <c r="E905" s="53"/>
      <c r="F905" s="53"/>
      <c r="G905" s="53"/>
      <c r="H905" s="1"/>
    </row>
    <row r="906" ht="14.25" customHeight="1">
      <c r="A906" s="52"/>
      <c r="B906" s="53"/>
      <c r="C906" s="53"/>
      <c r="D906" s="53"/>
      <c r="E906" s="53"/>
      <c r="F906" s="53"/>
      <c r="G906" s="53"/>
      <c r="H906" s="1"/>
    </row>
    <row r="907" ht="14.25" customHeight="1">
      <c r="A907" s="52"/>
      <c r="B907" s="53"/>
      <c r="C907" s="53"/>
      <c r="D907" s="53"/>
      <c r="E907" s="53"/>
      <c r="F907" s="53"/>
      <c r="G907" s="53"/>
      <c r="H907" s="1"/>
    </row>
    <row r="908" ht="14.25" customHeight="1">
      <c r="A908" s="52"/>
      <c r="B908" s="53"/>
      <c r="C908" s="53"/>
      <c r="D908" s="53"/>
      <c r="E908" s="53"/>
      <c r="F908" s="53"/>
      <c r="G908" s="53"/>
      <c r="H908" s="1"/>
    </row>
    <row r="909" ht="14.25" customHeight="1">
      <c r="A909" s="52"/>
      <c r="B909" s="53"/>
      <c r="C909" s="53"/>
      <c r="D909" s="53"/>
      <c r="E909" s="53"/>
      <c r="F909" s="53"/>
      <c r="G909" s="53"/>
      <c r="H909" s="1"/>
    </row>
    <row r="910" ht="14.25" customHeight="1">
      <c r="A910" s="52"/>
      <c r="B910" s="53"/>
      <c r="C910" s="53"/>
      <c r="D910" s="53"/>
      <c r="E910" s="53"/>
      <c r="F910" s="53"/>
      <c r="G910" s="53"/>
      <c r="H910" s="1"/>
    </row>
    <row r="911" ht="14.25" customHeight="1">
      <c r="A911" s="52"/>
      <c r="B911" s="53"/>
      <c r="C911" s="53"/>
      <c r="D911" s="53"/>
      <c r="E911" s="53"/>
      <c r="F911" s="53"/>
      <c r="G911" s="53"/>
      <c r="H911" s="1"/>
    </row>
    <row r="912" ht="14.25" customHeight="1">
      <c r="A912" s="52"/>
      <c r="B912" s="53"/>
      <c r="C912" s="53"/>
      <c r="D912" s="53"/>
      <c r="E912" s="53"/>
      <c r="F912" s="53"/>
      <c r="G912" s="53"/>
      <c r="H912" s="1"/>
    </row>
    <row r="913" ht="14.25" customHeight="1">
      <c r="A913" s="52"/>
      <c r="B913" s="53"/>
      <c r="C913" s="53"/>
      <c r="D913" s="53"/>
      <c r="E913" s="53"/>
      <c r="F913" s="53"/>
      <c r="G913" s="53"/>
      <c r="H913" s="1"/>
    </row>
    <row r="914" ht="14.25" customHeight="1">
      <c r="A914" s="52"/>
      <c r="B914" s="53"/>
      <c r="C914" s="53"/>
      <c r="D914" s="53"/>
      <c r="E914" s="53"/>
      <c r="F914" s="53"/>
      <c r="G914" s="53"/>
      <c r="H914" s="1"/>
    </row>
    <row r="915" ht="14.25" customHeight="1">
      <c r="A915" s="52"/>
      <c r="B915" s="53"/>
      <c r="C915" s="53"/>
      <c r="D915" s="53"/>
      <c r="E915" s="53"/>
      <c r="F915" s="53"/>
      <c r="G915" s="53"/>
      <c r="H915" s="1"/>
    </row>
    <row r="916" ht="14.25" customHeight="1">
      <c r="A916" s="52"/>
      <c r="B916" s="53"/>
      <c r="C916" s="53"/>
      <c r="D916" s="53"/>
      <c r="E916" s="53"/>
      <c r="F916" s="53"/>
      <c r="G916" s="53"/>
      <c r="H916" s="1"/>
    </row>
    <row r="917" ht="14.25" customHeight="1">
      <c r="A917" s="52"/>
      <c r="B917" s="53"/>
      <c r="C917" s="53"/>
      <c r="D917" s="53"/>
      <c r="E917" s="53"/>
      <c r="F917" s="53"/>
      <c r="G917" s="53"/>
      <c r="H917" s="1"/>
    </row>
    <row r="918" ht="14.25" customHeight="1">
      <c r="A918" s="52"/>
      <c r="B918" s="53"/>
      <c r="C918" s="53"/>
      <c r="D918" s="53"/>
      <c r="E918" s="53"/>
      <c r="F918" s="53"/>
      <c r="G918" s="53"/>
      <c r="H918" s="1"/>
    </row>
    <row r="919" ht="14.25" customHeight="1">
      <c r="A919" s="52"/>
      <c r="B919" s="53"/>
      <c r="C919" s="53"/>
      <c r="D919" s="53"/>
      <c r="E919" s="53"/>
      <c r="F919" s="53"/>
      <c r="G919" s="53"/>
      <c r="H919" s="1"/>
    </row>
    <row r="920" ht="14.25" customHeight="1">
      <c r="A920" s="52"/>
      <c r="B920" s="53"/>
      <c r="C920" s="53"/>
      <c r="D920" s="53"/>
      <c r="E920" s="53"/>
      <c r="F920" s="53"/>
      <c r="G920" s="53"/>
      <c r="H920" s="1"/>
    </row>
    <row r="921" ht="14.25" customHeight="1">
      <c r="A921" s="52"/>
      <c r="B921" s="53"/>
      <c r="C921" s="53"/>
      <c r="D921" s="53"/>
      <c r="E921" s="53"/>
      <c r="F921" s="53"/>
      <c r="G921" s="53"/>
      <c r="H921" s="1"/>
    </row>
    <row r="922" ht="14.25" customHeight="1">
      <c r="A922" s="52"/>
      <c r="B922" s="53"/>
      <c r="C922" s="53"/>
      <c r="D922" s="53"/>
      <c r="E922" s="53"/>
      <c r="F922" s="53"/>
      <c r="G922" s="53"/>
      <c r="H922" s="1"/>
    </row>
    <row r="923" ht="14.25" customHeight="1">
      <c r="A923" s="52"/>
      <c r="B923" s="53"/>
      <c r="C923" s="53"/>
      <c r="D923" s="53"/>
      <c r="E923" s="53"/>
      <c r="F923" s="53"/>
      <c r="G923" s="53"/>
      <c r="H923" s="1"/>
    </row>
    <row r="924" ht="14.25" customHeight="1">
      <c r="A924" s="52"/>
      <c r="B924" s="53"/>
      <c r="C924" s="53"/>
      <c r="D924" s="53"/>
      <c r="E924" s="53"/>
      <c r="F924" s="53"/>
      <c r="G924" s="53"/>
      <c r="H924" s="1"/>
    </row>
    <row r="925" ht="14.25" customHeight="1">
      <c r="A925" s="52"/>
      <c r="B925" s="53"/>
      <c r="C925" s="53"/>
      <c r="D925" s="53"/>
      <c r="E925" s="53"/>
      <c r="F925" s="53"/>
      <c r="G925" s="53"/>
      <c r="H925" s="1"/>
    </row>
    <row r="926" ht="14.25" customHeight="1">
      <c r="A926" s="52"/>
      <c r="B926" s="53"/>
      <c r="C926" s="53"/>
      <c r="D926" s="53"/>
      <c r="E926" s="53"/>
      <c r="F926" s="53"/>
      <c r="G926" s="53"/>
      <c r="H926" s="1"/>
    </row>
    <row r="927" ht="14.25" customHeight="1">
      <c r="A927" s="52"/>
      <c r="B927" s="53"/>
      <c r="C927" s="53"/>
      <c r="D927" s="53"/>
      <c r="E927" s="53"/>
      <c r="F927" s="53"/>
      <c r="G927" s="53"/>
      <c r="H927" s="1"/>
    </row>
    <row r="928" ht="14.25" customHeight="1">
      <c r="A928" s="52"/>
      <c r="B928" s="53"/>
      <c r="C928" s="53"/>
      <c r="D928" s="53"/>
      <c r="E928" s="53"/>
      <c r="F928" s="53"/>
      <c r="G928" s="53"/>
      <c r="H928" s="1"/>
    </row>
    <row r="929" ht="14.25" customHeight="1">
      <c r="A929" s="52"/>
      <c r="B929" s="53"/>
      <c r="C929" s="53"/>
      <c r="D929" s="53"/>
      <c r="E929" s="53"/>
      <c r="F929" s="53"/>
      <c r="G929" s="53"/>
      <c r="H929" s="1"/>
    </row>
    <row r="930" ht="14.25" customHeight="1">
      <c r="A930" s="52"/>
      <c r="B930" s="53"/>
      <c r="C930" s="53"/>
      <c r="D930" s="53"/>
      <c r="E930" s="53"/>
      <c r="F930" s="53"/>
      <c r="G930" s="53"/>
      <c r="H930" s="1"/>
    </row>
    <row r="931" ht="14.25" customHeight="1">
      <c r="A931" s="52"/>
      <c r="B931" s="53"/>
      <c r="C931" s="53"/>
      <c r="D931" s="53"/>
      <c r="E931" s="53"/>
      <c r="F931" s="53"/>
      <c r="G931" s="53"/>
      <c r="H931" s="1"/>
    </row>
    <row r="932" ht="14.25" customHeight="1">
      <c r="A932" s="52"/>
      <c r="B932" s="53"/>
      <c r="C932" s="53"/>
      <c r="D932" s="53"/>
      <c r="E932" s="53"/>
      <c r="F932" s="53"/>
      <c r="G932" s="53"/>
      <c r="H932" s="1"/>
    </row>
    <row r="933" ht="14.25" customHeight="1">
      <c r="A933" s="52"/>
      <c r="B933" s="53"/>
      <c r="C933" s="53"/>
      <c r="D933" s="53"/>
      <c r="E933" s="53"/>
      <c r="F933" s="53"/>
      <c r="G933" s="53"/>
      <c r="H933" s="1"/>
    </row>
    <row r="934" ht="14.25" customHeight="1">
      <c r="A934" s="52"/>
      <c r="B934" s="53"/>
      <c r="C934" s="53"/>
      <c r="D934" s="53"/>
      <c r="E934" s="53"/>
      <c r="F934" s="53"/>
      <c r="G934" s="53"/>
      <c r="H934" s="1"/>
    </row>
    <row r="935" ht="14.25" customHeight="1">
      <c r="A935" s="52"/>
      <c r="B935" s="53"/>
      <c r="C935" s="53"/>
      <c r="D935" s="53"/>
      <c r="E935" s="53"/>
      <c r="F935" s="53"/>
      <c r="G935" s="53"/>
      <c r="H935" s="1"/>
    </row>
    <row r="936" ht="14.25" customHeight="1">
      <c r="A936" s="52"/>
      <c r="B936" s="53"/>
      <c r="C936" s="53"/>
      <c r="D936" s="53"/>
      <c r="E936" s="53"/>
      <c r="F936" s="53"/>
      <c r="G936" s="53"/>
      <c r="H936" s="1"/>
    </row>
    <row r="937" ht="14.25" customHeight="1">
      <c r="A937" s="52"/>
      <c r="B937" s="53"/>
      <c r="C937" s="53"/>
      <c r="D937" s="53"/>
      <c r="E937" s="53"/>
      <c r="F937" s="53"/>
      <c r="G937" s="53"/>
      <c r="H937" s="1"/>
    </row>
    <row r="938" ht="14.25" customHeight="1">
      <c r="A938" s="52"/>
      <c r="B938" s="53"/>
      <c r="C938" s="53"/>
      <c r="D938" s="53"/>
      <c r="E938" s="53"/>
      <c r="F938" s="53"/>
      <c r="G938" s="53"/>
      <c r="H938" s="1"/>
    </row>
    <row r="939" ht="14.25" customHeight="1">
      <c r="A939" s="52"/>
      <c r="B939" s="53"/>
      <c r="C939" s="53"/>
      <c r="D939" s="53"/>
      <c r="E939" s="53"/>
      <c r="F939" s="53"/>
      <c r="G939" s="53"/>
      <c r="H939" s="1"/>
    </row>
    <row r="940" ht="14.25" customHeight="1">
      <c r="A940" s="52"/>
      <c r="B940" s="53"/>
      <c r="C940" s="53"/>
      <c r="D940" s="53"/>
      <c r="E940" s="53"/>
      <c r="F940" s="53"/>
      <c r="G940" s="53"/>
      <c r="H940" s="1"/>
    </row>
    <row r="941" ht="14.25" customHeight="1">
      <c r="A941" s="52"/>
      <c r="B941" s="53"/>
      <c r="C941" s="53"/>
      <c r="D941" s="53"/>
      <c r="E941" s="53"/>
      <c r="F941" s="53"/>
      <c r="G941" s="53"/>
      <c r="H941" s="1"/>
    </row>
    <row r="942" ht="14.25" customHeight="1">
      <c r="A942" s="52"/>
      <c r="B942" s="53"/>
      <c r="C942" s="53"/>
      <c r="D942" s="53"/>
      <c r="E942" s="53"/>
      <c r="F942" s="53"/>
      <c r="G942" s="53"/>
      <c r="H942" s="1"/>
    </row>
    <row r="943" ht="14.25" customHeight="1">
      <c r="A943" s="52"/>
      <c r="B943" s="53"/>
      <c r="C943" s="53"/>
      <c r="D943" s="53"/>
      <c r="E943" s="53"/>
      <c r="F943" s="53"/>
      <c r="G943" s="53"/>
      <c r="H943" s="1"/>
    </row>
    <row r="944" ht="14.25" customHeight="1">
      <c r="A944" s="52"/>
      <c r="B944" s="53"/>
      <c r="C944" s="53"/>
      <c r="D944" s="53"/>
      <c r="E944" s="53"/>
      <c r="F944" s="53"/>
      <c r="G944" s="53"/>
      <c r="H944" s="1"/>
    </row>
    <row r="945" ht="14.25" customHeight="1">
      <c r="A945" s="52"/>
      <c r="B945" s="53"/>
      <c r="C945" s="53"/>
      <c r="D945" s="53"/>
      <c r="E945" s="53"/>
      <c r="F945" s="53"/>
      <c r="G945" s="53"/>
      <c r="H945" s="1"/>
    </row>
    <row r="946" ht="14.25" customHeight="1">
      <c r="A946" s="52"/>
      <c r="B946" s="53"/>
      <c r="C946" s="53"/>
      <c r="D946" s="53"/>
      <c r="E946" s="53"/>
      <c r="F946" s="53"/>
      <c r="G946" s="53"/>
      <c r="H946" s="1"/>
    </row>
    <row r="947" ht="14.25" customHeight="1">
      <c r="A947" s="52"/>
      <c r="B947" s="53"/>
      <c r="C947" s="53"/>
      <c r="D947" s="53"/>
      <c r="E947" s="53"/>
      <c r="F947" s="53"/>
      <c r="G947" s="53"/>
      <c r="H947" s="1"/>
    </row>
    <row r="948" ht="14.25" customHeight="1">
      <c r="A948" s="52"/>
      <c r="B948" s="53"/>
      <c r="C948" s="53"/>
      <c r="D948" s="53"/>
      <c r="E948" s="53"/>
      <c r="F948" s="53"/>
      <c r="G948" s="53"/>
      <c r="H948" s="1"/>
    </row>
    <row r="949" ht="14.25" customHeight="1">
      <c r="A949" s="52"/>
      <c r="B949" s="53"/>
      <c r="C949" s="53"/>
      <c r="D949" s="53"/>
      <c r="E949" s="53"/>
      <c r="F949" s="53"/>
      <c r="G949" s="53"/>
      <c r="H949" s="1"/>
    </row>
    <row r="950" ht="14.25" customHeight="1">
      <c r="A950" s="52"/>
      <c r="B950" s="53"/>
      <c r="C950" s="53"/>
      <c r="D950" s="53"/>
      <c r="E950" s="53"/>
      <c r="F950" s="53"/>
      <c r="G950" s="53"/>
      <c r="H950" s="1"/>
    </row>
    <row r="951" ht="14.25" customHeight="1">
      <c r="A951" s="52"/>
      <c r="B951" s="53"/>
      <c r="C951" s="53"/>
      <c r="D951" s="53"/>
      <c r="E951" s="53"/>
      <c r="F951" s="53"/>
      <c r="G951" s="53"/>
      <c r="H951" s="1"/>
    </row>
    <row r="952" ht="14.25" customHeight="1">
      <c r="A952" s="52"/>
      <c r="B952" s="53"/>
      <c r="C952" s="53"/>
      <c r="D952" s="53"/>
      <c r="E952" s="53"/>
      <c r="F952" s="53"/>
      <c r="G952" s="53"/>
      <c r="H952" s="1"/>
    </row>
    <row r="953" ht="14.25" customHeight="1">
      <c r="A953" s="52"/>
      <c r="B953" s="53"/>
      <c r="C953" s="53"/>
      <c r="D953" s="53"/>
      <c r="E953" s="53"/>
      <c r="F953" s="53"/>
      <c r="G953" s="53"/>
      <c r="H953" s="1"/>
    </row>
    <row r="954" ht="14.25" customHeight="1">
      <c r="A954" s="52"/>
      <c r="B954" s="53"/>
      <c r="C954" s="53"/>
      <c r="D954" s="53"/>
      <c r="E954" s="53"/>
      <c r="F954" s="53"/>
      <c r="G954" s="53"/>
      <c r="H954" s="1"/>
    </row>
    <row r="955" ht="14.25" customHeight="1">
      <c r="A955" s="52"/>
      <c r="B955" s="53"/>
      <c r="C955" s="53"/>
      <c r="D955" s="53"/>
      <c r="E955" s="53"/>
      <c r="F955" s="53"/>
      <c r="G955" s="53"/>
      <c r="H955" s="1"/>
    </row>
    <row r="956" ht="14.25" customHeight="1">
      <c r="A956" s="52"/>
      <c r="B956" s="53"/>
      <c r="C956" s="53"/>
      <c r="D956" s="53"/>
      <c r="E956" s="53"/>
      <c r="F956" s="53"/>
      <c r="G956" s="53"/>
      <c r="H956" s="1"/>
    </row>
    <row r="957" ht="14.25" customHeight="1">
      <c r="A957" s="52"/>
      <c r="B957" s="53"/>
      <c r="C957" s="53"/>
      <c r="D957" s="53"/>
      <c r="E957" s="53"/>
      <c r="F957" s="53"/>
      <c r="G957" s="53"/>
      <c r="H957" s="1"/>
    </row>
    <row r="958" ht="14.25" customHeight="1">
      <c r="A958" s="52"/>
      <c r="B958" s="53"/>
      <c r="C958" s="53"/>
      <c r="D958" s="53"/>
      <c r="E958" s="53"/>
      <c r="F958" s="53"/>
      <c r="G958" s="53"/>
      <c r="H958" s="1"/>
    </row>
    <row r="959" ht="14.25" customHeight="1">
      <c r="A959" s="52"/>
      <c r="B959" s="53"/>
      <c r="C959" s="53"/>
      <c r="D959" s="53"/>
      <c r="E959" s="53"/>
      <c r="F959" s="53"/>
      <c r="G959" s="53"/>
      <c r="H959" s="1"/>
    </row>
    <row r="960" ht="14.25" customHeight="1">
      <c r="A960" s="52"/>
      <c r="B960" s="53"/>
      <c r="C960" s="53"/>
      <c r="D960" s="53"/>
      <c r="E960" s="53"/>
      <c r="F960" s="53"/>
      <c r="G960" s="53"/>
      <c r="H960" s="1"/>
    </row>
    <row r="961" ht="14.25" customHeight="1">
      <c r="A961" s="52"/>
      <c r="B961" s="53"/>
      <c r="C961" s="53"/>
      <c r="D961" s="53"/>
      <c r="E961" s="53"/>
      <c r="F961" s="53"/>
      <c r="G961" s="53"/>
      <c r="H961" s="1"/>
    </row>
    <row r="962" ht="14.25" customHeight="1">
      <c r="A962" s="52"/>
      <c r="B962" s="53"/>
      <c r="C962" s="53"/>
      <c r="D962" s="53"/>
      <c r="E962" s="53"/>
      <c r="F962" s="53"/>
      <c r="G962" s="53"/>
      <c r="H962" s="1"/>
    </row>
    <row r="963" ht="14.25" customHeight="1">
      <c r="A963" s="52"/>
      <c r="B963" s="53"/>
      <c r="C963" s="53"/>
      <c r="D963" s="53"/>
      <c r="E963" s="53"/>
      <c r="F963" s="53"/>
      <c r="G963" s="53"/>
      <c r="H963" s="1"/>
    </row>
    <row r="964" ht="14.25" customHeight="1">
      <c r="A964" s="52"/>
      <c r="B964" s="53"/>
      <c r="C964" s="53"/>
      <c r="D964" s="53"/>
      <c r="E964" s="53"/>
      <c r="F964" s="53"/>
      <c r="G964" s="53"/>
      <c r="H964" s="1"/>
    </row>
    <row r="965" ht="14.25" customHeight="1">
      <c r="A965" s="52"/>
      <c r="B965" s="53"/>
      <c r="C965" s="53"/>
      <c r="D965" s="53"/>
      <c r="E965" s="53"/>
      <c r="F965" s="53"/>
      <c r="G965" s="53"/>
      <c r="H965" s="1"/>
    </row>
    <row r="966" ht="14.25" customHeight="1">
      <c r="A966" s="52"/>
      <c r="B966" s="53"/>
      <c r="C966" s="53"/>
      <c r="D966" s="53"/>
      <c r="E966" s="53"/>
      <c r="F966" s="53"/>
      <c r="G966" s="53"/>
      <c r="H966" s="1"/>
    </row>
    <row r="967" ht="14.25" customHeight="1">
      <c r="A967" s="52"/>
      <c r="B967" s="53"/>
      <c r="C967" s="53"/>
      <c r="D967" s="53"/>
      <c r="E967" s="53"/>
      <c r="F967" s="53"/>
      <c r="G967" s="53"/>
      <c r="H967" s="1"/>
    </row>
    <row r="968" ht="14.25" customHeight="1">
      <c r="A968" s="52"/>
      <c r="B968" s="53"/>
      <c r="C968" s="53"/>
      <c r="D968" s="53"/>
      <c r="E968" s="53"/>
      <c r="F968" s="53"/>
      <c r="G968" s="53"/>
      <c r="H968" s="1"/>
    </row>
    <row r="969" ht="14.25" customHeight="1">
      <c r="A969" s="52"/>
      <c r="B969" s="53"/>
      <c r="C969" s="53"/>
      <c r="D969" s="53"/>
      <c r="E969" s="53"/>
      <c r="F969" s="53"/>
      <c r="G969" s="53"/>
      <c r="H969" s="1"/>
    </row>
    <row r="970" ht="14.25" customHeight="1">
      <c r="A970" s="52"/>
      <c r="B970" s="53"/>
      <c r="C970" s="53"/>
      <c r="D970" s="53"/>
      <c r="E970" s="53"/>
      <c r="F970" s="53"/>
      <c r="G970" s="53"/>
      <c r="H970" s="1"/>
    </row>
    <row r="971" ht="14.25" customHeight="1">
      <c r="A971" s="52"/>
      <c r="B971" s="53"/>
      <c r="C971" s="53"/>
      <c r="D971" s="53"/>
      <c r="E971" s="53"/>
      <c r="F971" s="53"/>
      <c r="G971" s="53"/>
      <c r="H971" s="1"/>
    </row>
    <row r="972" ht="14.25" customHeight="1">
      <c r="A972" s="52"/>
      <c r="B972" s="53"/>
      <c r="C972" s="53"/>
      <c r="D972" s="53"/>
      <c r="E972" s="53"/>
      <c r="F972" s="53"/>
      <c r="G972" s="53"/>
      <c r="H972" s="1"/>
    </row>
    <row r="973" ht="14.25" customHeight="1">
      <c r="A973" s="52"/>
      <c r="B973" s="53"/>
      <c r="C973" s="53"/>
      <c r="D973" s="53"/>
      <c r="E973" s="53"/>
      <c r="F973" s="53"/>
      <c r="G973" s="53"/>
      <c r="H973" s="1"/>
    </row>
    <row r="974" ht="14.25" customHeight="1">
      <c r="A974" s="52"/>
      <c r="B974" s="53"/>
      <c r="C974" s="53"/>
      <c r="D974" s="53"/>
      <c r="E974" s="53"/>
      <c r="F974" s="53"/>
      <c r="G974" s="53"/>
      <c r="H974" s="1"/>
    </row>
    <row r="975" ht="14.25" customHeight="1">
      <c r="A975" s="52"/>
      <c r="B975" s="53"/>
      <c r="C975" s="53"/>
      <c r="D975" s="53"/>
      <c r="E975" s="53"/>
      <c r="F975" s="53"/>
      <c r="G975" s="53"/>
      <c r="H975" s="1"/>
    </row>
    <row r="976" ht="14.25" customHeight="1">
      <c r="A976" s="52"/>
      <c r="B976" s="53"/>
      <c r="C976" s="53"/>
      <c r="D976" s="53"/>
      <c r="E976" s="53"/>
      <c r="F976" s="53"/>
      <c r="G976" s="53"/>
      <c r="H976" s="1"/>
    </row>
    <row r="977" ht="14.25" customHeight="1">
      <c r="A977" s="52"/>
      <c r="B977" s="53"/>
      <c r="C977" s="53"/>
      <c r="D977" s="53"/>
      <c r="E977" s="53"/>
      <c r="F977" s="53"/>
      <c r="G977" s="53"/>
      <c r="H977" s="1"/>
    </row>
    <row r="978" ht="14.25" customHeight="1">
      <c r="A978" s="52"/>
      <c r="B978" s="53"/>
      <c r="C978" s="53"/>
      <c r="D978" s="53"/>
      <c r="E978" s="53"/>
      <c r="F978" s="53"/>
      <c r="G978" s="53"/>
      <c r="H978" s="1"/>
    </row>
    <row r="979" ht="14.25" customHeight="1">
      <c r="A979" s="52"/>
      <c r="B979" s="53"/>
      <c r="C979" s="53"/>
      <c r="D979" s="53"/>
      <c r="E979" s="53"/>
      <c r="F979" s="53"/>
      <c r="G979" s="53"/>
      <c r="H979" s="1"/>
    </row>
    <row r="980" ht="14.25" customHeight="1">
      <c r="A980" s="52"/>
      <c r="B980" s="53"/>
      <c r="C980" s="53"/>
      <c r="D980" s="53"/>
      <c r="E980" s="53"/>
      <c r="F980" s="53"/>
      <c r="G980" s="53"/>
      <c r="H980" s="1"/>
    </row>
    <row r="981" ht="14.25" customHeight="1">
      <c r="A981" s="52"/>
      <c r="B981" s="53"/>
      <c r="C981" s="53"/>
      <c r="D981" s="53"/>
      <c r="E981" s="53"/>
      <c r="F981" s="53"/>
      <c r="G981" s="53"/>
      <c r="H981" s="1"/>
    </row>
    <row r="982" ht="14.25" customHeight="1">
      <c r="A982" s="52"/>
      <c r="B982" s="53"/>
      <c r="C982" s="53"/>
      <c r="D982" s="53"/>
      <c r="E982" s="53"/>
      <c r="F982" s="53"/>
      <c r="G982" s="53"/>
      <c r="H982" s="1"/>
    </row>
    <row r="983" ht="14.25" customHeight="1">
      <c r="A983" s="52"/>
      <c r="B983" s="53"/>
      <c r="C983" s="53"/>
      <c r="D983" s="53"/>
      <c r="E983" s="53"/>
      <c r="F983" s="53"/>
      <c r="G983" s="53"/>
      <c r="H983" s="1"/>
    </row>
    <row r="984" ht="14.25" customHeight="1">
      <c r="A984" s="52"/>
      <c r="B984" s="53"/>
      <c r="C984" s="53"/>
      <c r="D984" s="53"/>
      <c r="E984" s="53"/>
      <c r="F984" s="53"/>
      <c r="G984" s="53"/>
      <c r="H984" s="1"/>
    </row>
    <row r="985" ht="14.25" customHeight="1">
      <c r="A985" s="52"/>
      <c r="B985" s="53"/>
      <c r="C985" s="53"/>
      <c r="D985" s="53"/>
      <c r="E985" s="53"/>
      <c r="F985" s="53"/>
      <c r="G985" s="53"/>
      <c r="H985" s="1"/>
    </row>
    <row r="986" ht="14.25" customHeight="1">
      <c r="A986" s="52"/>
      <c r="B986" s="53"/>
      <c r="C986" s="53"/>
      <c r="D986" s="53"/>
      <c r="E986" s="53"/>
      <c r="F986" s="53"/>
      <c r="G986" s="53"/>
      <c r="H986" s="1"/>
    </row>
    <row r="987" ht="14.25" customHeight="1">
      <c r="A987" s="52"/>
      <c r="B987" s="53"/>
      <c r="C987" s="53"/>
      <c r="D987" s="53"/>
      <c r="E987" s="53"/>
      <c r="F987" s="53"/>
      <c r="G987" s="53"/>
      <c r="H987" s="1"/>
    </row>
    <row r="988" ht="14.25" customHeight="1">
      <c r="A988" s="52"/>
      <c r="B988" s="53"/>
      <c r="C988" s="53"/>
      <c r="D988" s="53"/>
      <c r="E988" s="53"/>
      <c r="F988" s="53"/>
      <c r="G988" s="53"/>
      <c r="H988" s="1"/>
    </row>
    <row r="989" ht="14.25" customHeight="1">
      <c r="A989" s="52"/>
      <c r="B989" s="53"/>
      <c r="C989" s="53"/>
      <c r="D989" s="53"/>
      <c r="E989" s="53"/>
      <c r="F989" s="53"/>
      <c r="G989" s="53"/>
      <c r="H989" s="1"/>
    </row>
    <row r="990" ht="14.25" customHeight="1">
      <c r="A990" s="52"/>
      <c r="B990" s="53"/>
      <c r="C990" s="53"/>
      <c r="D990" s="53"/>
      <c r="E990" s="53"/>
      <c r="F990" s="53"/>
      <c r="G990" s="53"/>
      <c r="H990" s="1"/>
    </row>
    <row r="991" ht="14.25" customHeight="1">
      <c r="A991" s="52"/>
      <c r="B991" s="53"/>
      <c r="C991" s="53"/>
      <c r="D991" s="53"/>
      <c r="E991" s="53"/>
      <c r="F991" s="53"/>
      <c r="G991" s="53"/>
      <c r="H991" s="1"/>
    </row>
    <row r="992" ht="14.25" customHeight="1">
      <c r="A992" s="52"/>
      <c r="B992" s="53"/>
      <c r="C992" s="53"/>
      <c r="D992" s="53"/>
      <c r="E992" s="53"/>
      <c r="F992" s="53"/>
      <c r="G992" s="53"/>
      <c r="H992" s="1"/>
    </row>
    <row r="993" ht="14.25" customHeight="1">
      <c r="A993" s="52"/>
      <c r="B993" s="53"/>
      <c r="C993" s="53"/>
      <c r="D993" s="53"/>
      <c r="E993" s="53"/>
      <c r="F993" s="53"/>
      <c r="G993" s="53"/>
      <c r="H993" s="1"/>
    </row>
    <row r="994" ht="14.25" customHeight="1">
      <c r="A994" s="52"/>
      <c r="B994" s="53"/>
      <c r="C994" s="53"/>
      <c r="D994" s="53"/>
      <c r="E994" s="53"/>
      <c r="F994" s="53"/>
      <c r="G994" s="53"/>
      <c r="H994" s="1"/>
    </row>
    <row r="995" ht="14.25" customHeight="1">
      <c r="A995" s="52"/>
      <c r="B995" s="53"/>
      <c r="C995" s="53"/>
      <c r="D995" s="53"/>
      <c r="E995" s="53"/>
      <c r="F995" s="53"/>
      <c r="G995" s="53"/>
      <c r="H995" s="1"/>
    </row>
    <row r="996" ht="14.25" customHeight="1">
      <c r="A996" s="52"/>
      <c r="B996" s="53"/>
      <c r="C996" s="53"/>
      <c r="D996" s="53"/>
      <c r="E996" s="53"/>
      <c r="F996" s="53"/>
      <c r="G996" s="53"/>
      <c r="H996" s="1"/>
    </row>
    <row r="997" ht="14.25" customHeight="1">
      <c r="A997" s="52"/>
      <c r="B997" s="53"/>
      <c r="C997" s="53"/>
      <c r="D997" s="53"/>
      <c r="E997" s="53"/>
      <c r="F997" s="53"/>
      <c r="G997" s="53"/>
      <c r="H997" s="1"/>
    </row>
    <row r="998" ht="14.25" customHeight="1">
      <c r="A998" s="52"/>
      <c r="B998" s="53"/>
      <c r="C998" s="53"/>
      <c r="D998" s="53"/>
      <c r="E998" s="53"/>
      <c r="F998" s="53"/>
      <c r="G998" s="53"/>
      <c r="H998" s="1"/>
    </row>
    <row r="999" ht="14.25" customHeight="1">
      <c r="A999" s="52"/>
      <c r="B999" s="53"/>
      <c r="C999" s="53"/>
      <c r="D999" s="53"/>
      <c r="E999" s="53"/>
      <c r="F999" s="53"/>
      <c r="G999" s="53"/>
      <c r="H999" s="1"/>
    </row>
    <row r="1000" ht="14.25" customHeight="1">
      <c r="A1000" s="52"/>
      <c r="B1000" s="53"/>
      <c r="C1000" s="53"/>
      <c r="D1000" s="53"/>
      <c r="E1000" s="53"/>
      <c r="F1000" s="53"/>
      <c r="G1000" s="53"/>
      <c r="H1000" s="1"/>
    </row>
  </sheetData>
  <mergeCells count="6">
    <mergeCell ref="A2:H2"/>
    <mergeCell ref="A4:H4"/>
    <mergeCell ref="A5:H5"/>
    <mergeCell ref="A6:H6"/>
    <mergeCell ref="A7:H7"/>
    <mergeCell ref="A34:H34"/>
  </mergeCells>
  <hyperlinks>
    <hyperlink r:id="rId1" ref="F11"/>
    <hyperlink r:id="rId2" ref="F12"/>
    <hyperlink r:id="rId3" ref="F13"/>
    <hyperlink r:id="rId4" ref="F15"/>
    <hyperlink r:id="rId5" ref="F16"/>
    <hyperlink r:id="rId6" ref="F17"/>
    <hyperlink r:id="rId7" ref="F19"/>
    <hyperlink r:id="rId8" ref="F20"/>
    <hyperlink r:id="rId9" ref="F21"/>
    <hyperlink r:id="rId10" ref="F22"/>
    <hyperlink r:id="rId11" ref="F23"/>
    <hyperlink r:id="rId12" ref="F24"/>
    <hyperlink r:id="rId13" ref="F26"/>
    <hyperlink r:id="rId14" ref="F27"/>
    <hyperlink r:id="rId15" ref="F28"/>
  </hyperlinks>
  <printOptions/>
  <pageMargins bottom="0.75" footer="0.0" header="0.0" left="0.7" right="0.7" top="0.75"/>
  <pageSetup orientation="landscape"/>
  <drawing r:id="rId1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14"/>
    <col customWidth="1" min="2" max="2" width="17.43"/>
    <col customWidth="1" min="3" max="3" width="12.14"/>
    <col customWidth="1" min="4" max="5" width="14.71"/>
    <col customWidth="1" min="6" max="6" width="16.43"/>
    <col customWidth="1" min="7" max="7" width="19.14"/>
    <col customWidth="1" min="8" max="8" width="8.86"/>
    <col customWidth="1" min="9" max="9" width="20.71"/>
    <col customWidth="1" min="10" max="26" width="10.0"/>
  </cols>
  <sheetData>
    <row r="1" ht="14.25" customHeight="1">
      <c r="A1" s="52"/>
      <c r="B1" s="53"/>
      <c r="C1" s="53"/>
      <c r="D1" s="53"/>
      <c r="E1" s="53"/>
      <c r="F1" s="1"/>
      <c r="G1" s="1"/>
    </row>
    <row r="2" ht="15.0" customHeight="1">
      <c r="A2" s="54" t="s">
        <v>3942</v>
      </c>
      <c r="B2" s="55"/>
      <c r="C2" s="55"/>
      <c r="D2" s="55"/>
      <c r="E2" s="55"/>
      <c r="F2" s="55"/>
      <c r="G2" s="55"/>
      <c r="H2" s="56"/>
      <c r="I2" s="58"/>
      <c r="J2" s="58"/>
      <c r="K2" s="58"/>
      <c r="L2" s="58"/>
      <c r="M2" s="58"/>
      <c r="N2" s="58"/>
      <c r="O2" s="58"/>
      <c r="P2" s="58"/>
      <c r="Q2" s="58"/>
      <c r="R2" s="58"/>
      <c r="S2" s="58"/>
      <c r="T2" s="58"/>
      <c r="U2" s="58"/>
      <c r="V2" s="58"/>
      <c r="W2" s="58"/>
      <c r="X2" s="58"/>
      <c r="Y2" s="58"/>
      <c r="Z2" s="58"/>
    </row>
    <row r="3" ht="15.0" customHeight="1">
      <c r="A3" s="156"/>
      <c r="B3" s="156"/>
      <c r="C3" s="156"/>
      <c r="D3" s="156"/>
      <c r="E3" s="156"/>
      <c r="F3" s="156"/>
      <c r="G3" s="57"/>
      <c r="H3" s="58"/>
      <c r="I3" s="58"/>
      <c r="J3" s="58"/>
      <c r="K3" s="58"/>
      <c r="L3" s="58"/>
      <c r="M3" s="58"/>
      <c r="N3" s="58"/>
      <c r="O3" s="58"/>
      <c r="P3" s="58"/>
      <c r="Q3" s="58"/>
      <c r="R3" s="58"/>
      <c r="S3" s="58"/>
      <c r="T3" s="58"/>
      <c r="U3" s="58"/>
      <c r="V3" s="58"/>
      <c r="W3" s="58"/>
      <c r="X3" s="58"/>
      <c r="Y3" s="58"/>
      <c r="Z3" s="58"/>
    </row>
    <row r="4" ht="15.0" customHeight="1">
      <c r="A4" s="59" t="s">
        <v>3858</v>
      </c>
      <c r="B4" s="55"/>
      <c r="C4" s="55"/>
      <c r="D4" s="55"/>
      <c r="E4" s="55"/>
      <c r="F4" s="55"/>
      <c r="G4" s="55"/>
      <c r="H4" s="56"/>
      <c r="I4" s="58"/>
      <c r="J4" s="58"/>
      <c r="K4" s="58"/>
      <c r="L4" s="58"/>
      <c r="M4" s="58"/>
      <c r="N4" s="58"/>
      <c r="O4" s="58"/>
      <c r="P4" s="58"/>
      <c r="Q4" s="58"/>
      <c r="R4" s="58"/>
      <c r="S4" s="58"/>
      <c r="T4" s="58"/>
      <c r="U4" s="58"/>
      <c r="V4" s="58"/>
      <c r="W4" s="58"/>
      <c r="X4" s="58"/>
      <c r="Y4" s="58"/>
      <c r="Z4" s="58"/>
    </row>
    <row r="5" ht="15.0" customHeight="1">
      <c r="A5" s="59" t="s">
        <v>3943</v>
      </c>
      <c r="B5" s="55"/>
      <c r="C5" s="55"/>
      <c r="D5" s="55"/>
      <c r="E5" s="55"/>
      <c r="F5" s="55"/>
      <c r="G5" s="55"/>
      <c r="H5" s="56"/>
      <c r="I5" s="58"/>
      <c r="J5" s="58"/>
      <c r="K5" s="58"/>
      <c r="L5" s="58"/>
      <c r="M5" s="58"/>
      <c r="N5" s="58"/>
      <c r="O5" s="58"/>
      <c r="P5" s="58"/>
      <c r="Q5" s="58"/>
      <c r="R5" s="58"/>
      <c r="S5" s="58"/>
      <c r="T5" s="58"/>
      <c r="U5" s="58"/>
      <c r="V5" s="58"/>
      <c r="W5" s="58"/>
      <c r="X5" s="58"/>
      <c r="Y5" s="58"/>
      <c r="Z5" s="58"/>
    </row>
    <row r="6" ht="51.75" customHeight="1">
      <c r="A6" s="59" t="s">
        <v>3944</v>
      </c>
      <c r="B6" s="55"/>
      <c r="C6" s="55"/>
      <c r="D6" s="55"/>
      <c r="E6" s="55"/>
      <c r="F6" s="55"/>
      <c r="G6" s="55"/>
      <c r="H6" s="56"/>
      <c r="I6" s="58"/>
      <c r="J6" s="58"/>
      <c r="K6" s="58"/>
      <c r="L6" s="58"/>
      <c r="M6" s="58"/>
      <c r="N6" s="58"/>
      <c r="O6" s="58"/>
      <c r="P6" s="58"/>
      <c r="Q6" s="58"/>
      <c r="R6" s="58"/>
      <c r="S6" s="58"/>
      <c r="T6" s="58"/>
      <c r="U6" s="58"/>
      <c r="V6" s="58"/>
      <c r="W6" s="58"/>
      <c r="X6" s="58"/>
      <c r="Y6" s="58"/>
      <c r="Z6" s="58"/>
    </row>
    <row r="7" ht="157.5" customHeight="1">
      <c r="A7" s="60" t="s">
        <v>3945</v>
      </c>
      <c r="B7" s="55"/>
      <c r="C7" s="55"/>
      <c r="D7" s="55"/>
      <c r="E7" s="55"/>
      <c r="F7" s="55"/>
      <c r="G7" s="55"/>
      <c r="H7" s="56"/>
      <c r="I7" s="58"/>
      <c r="J7" s="58"/>
      <c r="K7" s="58"/>
      <c r="L7" s="58"/>
      <c r="M7" s="58"/>
      <c r="N7" s="58"/>
      <c r="O7" s="58"/>
      <c r="P7" s="58"/>
      <c r="Q7" s="58"/>
      <c r="R7" s="58"/>
      <c r="S7" s="58"/>
      <c r="T7" s="58"/>
      <c r="U7" s="58"/>
      <c r="V7" s="58"/>
      <c r="W7" s="58"/>
      <c r="X7" s="58"/>
      <c r="Y7" s="58"/>
      <c r="Z7" s="58"/>
    </row>
    <row r="8" ht="17.25" customHeight="1">
      <c r="A8" s="60" t="s">
        <v>3946</v>
      </c>
      <c r="B8" s="55"/>
      <c r="C8" s="55"/>
      <c r="D8" s="55"/>
      <c r="E8" s="55"/>
      <c r="F8" s="55"/>
      <c r="G8" s="55"/>
      <c r="H8" s="56"/>
      <c r="I8" s="58"/>
      <c r="J8" s="58"/>
      <c r="K8" s="58"/>
      <c r="L8" s="58"/>
      <c r="M8" s="58"/>
      <c r="N8" s="58"/>
      <c r="O8" s="58"/>
      <c r="P8" s="58"/>
      <c r="Q8" s="58"/>
      <c r="R8" s="58"/>
      <c r="S8" s="58"/>
      <c r="T8" s="58"/>
      <c r="U8" s="58"/>
      <c r="V8" s="58"/>
      <c r="W8" s="58"/>
      <c r="X8" s="58"/>
      <c r="Y8" s="58"/>
      <c r="Z8" s="58"/>
    </row>
    <row r="9" ht="14.25" customHeight="1">
      <c r="A9" s="61"/>
      <c r="B9" s="62"/>
      <c r="C9" s="62"/>
      <c r="D9" s="62"/>
      <c r="E9" s="62"/>
      <c r="F9" s="61"/>
      <c r="G9" s="57"/>
      <c r="H9" s="58"/>
      <c r="I9" s="58"/>
      <c r="J9" s="58"/>
      <c r="K9" s="58"/>
      <c r="L9" s="58"/>
      <c r="M9" s="58"/>
      <c r="N9" s="58"/>
      <c r="O9" s="58"/>
      <c r="P9" s="58"/>
      <c r="Q9" s="58"/>
      <c r="R9" s="58"/>
      <c r="S9" s="58"/>
      <c r="T9" s="58"/>
      <c r="U9" s="58"/>
      <c r="V9" s="58"/>
      <c r="W9" s="58"/>
      <c r="X9" s="58"/>
      <c r="Y9" s="58"/>
      <c r="Z9" s="58"/>
    </row>
    <row r="10" ht="54.75" customHeight="1">
      <c r="A10" s="204" t="s">
        <v>3862</v>
      </c>
      <c r="B10" s="204" t="s">
        <v>9</v>
      </c>
      <c r="C10" s="204" t="s">
        <v>3863</v>
      </c>
      <c r="D10" s="204" t="s">
        <v>3864</v>
      </c>
      <c r="E10" s="204" t="s">
        <v>3865</v>
      </c>
      <c r="F10" s="204" t="s">
        <v>3866</v>
      </c>
      <c r="G10" s="63" t="s">
        <v>208</v>
      </c>
      <c r="H10" s="63" t="s">
        <v>3867</v>
      </c>
      <c r="I10" s="65" t="s">
        <v>210</v>
      </c>
    </row>
    <row r="11" ht="14.25" customHeight="1">
      <c r="A11" s="101"/>
      <c r="B11" s="75"/>
      <c r="C11" s="75"/>
      <c r="D11" s="176"/>
      <c r="E11" s="176"/>
      <c r="F11" s="176"/>
      <c r="G11" s="176"/>
      <c r="H11" s="180"/>
      <c r="I11" s="77"/>
    </row>
    <row r="12" ht="14.25" customHeight="1">
      <c r="A12" s="101"/>
      <c r="B12" s="75"/>
      <c r="C12" s="75"/>
      <c r="D12" s="176"/>
      <c r="E12" s="176"/>
      <c r="F12" s="176"/>
      <c r="G12" s="176"/>
      <c r="H12" s="180"/>
      <c r="I12" s="77"/>
    </row>
    <row r="13" ht="14.25" customHeight="1">
      <c r="A13" s="101"/>
      <c r="B13" s="75"/>
      <c r="C13" s="75"/>
      <c r="D13" s="176"/>
      <c r="E13" s="176"/>
      <c r="F13" s="176"/>
      <c r="G13" s="176"/>
      <c r="H13" s="180"/>
      <c r="I13" s="77"/>
    </row>
    <row r="14" ht="14.25" customHeight="1">
      <c r="A14" s="503"/>
      <c r="B14" s="539"/>
      <c r="C14" s="525"/>
      <c r="D14" s="525"/>
      <c r="E14" s="525"/>
      <c r="F14" s="525"/>
      <c r="G14" s="546"/>
      <c r="H14" s="547"/>
      <c r="I14" s="77"/>
    </row>
    <row r="15" ht="14.25" customHeight="1">
      <c r="A15" s="503"/>
      <c r="B15" s="539"/>
      <c r="C15" s="525"/>
      <c r="D15" s="525"/>
      <c r="E15" s="525"/>
      <c r="F15" s="525"/>
      <c r="G15" s="546"/>
      <c r="H15" s="547"/>
      <c r="I15" s="77"/>
    </row>
    <row r="16" ht="14.25" customHeight="1">
      <c r="A16" s="104" t="s">
        <v>180</v>
      </c>
      <c r="B16" s="53"/>
      <c r="C16" s="53"/>
      <c r="D16" s="53"/>
      <c r="E16" s="53"/>
      <c r="F16" s="53"/>
      <c r="G16" s="62"/>
      <c r="H16" s="533">
        <f>SUM(H11:H15)</f>
        <v>0</v>
      </c>
    </row>
    <row r="17" ht="14.25" customHeight="1">
      <c r="A17" s="52"/>
      <c r="B17" s="53"/>
      <c r="C17" s="53"/>
      <c r="D17" s="53"/>
      <c r="E17" s="53"/>
      <c r="F17" s="53"/>
      <c r="G17" s="53"/>
      <c r="H17" s="1"/>
    </row>
    <row r="18" ht="15.0" customHeight="1">
      <c r="A18" s="534" t="s">
        <v>330</v>
      </c>
      <c r="B18" s="107"/>
      <c r="C18" s="107"/>
      <c r="D18" s="107"/>
      <c r="E18" s="107"/>
      <c r="F18" s="107"/>
      <c r="G18" s="107"/>
      <c r="H18" s="108"/>
    </row>
    <row r="19" ht="14.25" customHeight="1">
      <c r="A19" s="52"/>
      <c r="B19" s="53"/>
      <c r="C19" s="53"/>
      <c r="D19" s="53"/>
      <c r="E19" s="53"/>
      <c r="F19" s="53"/>
      <c r="G19" s="53"/>
      <c r="H19" s="1"/>
    </row>
    <row r="20" ht="14.25" customHeight="1">
      <c r="A20" s="52"/>
      <c r="B20" s="53"/>
      <c r="C20" s="53"/>
      <c r="D20" s="53"/>
      <c r="E20" s="53"/>
      <c r="F20" s="1"/>
      <c r="G20" s="1"/>
    </row>
    <row r="21" ht="14.25" customHeight="1">
      <c r="A21" s="52"/>
      <c r="B21" s="53"/>
      <c r="C21" s="53"/>
      <c r="D21" s="53"/>
      <c r="E21" s="53"/>
      <c r="F21" s="1"/>
      <c r="G21" s="1"/>
    </row>
    <row r="22" ht="14.25" customHeight="1">
      <c r="A22" s="52"/>
      <c r="B22" s="53"/>
      <c r="C22" s="53"/>
      <c r="D22" s="53"/>
      <c r="E22" s="53"/>
      <c r="F22" s="1"/>
      <c r="G22" s="1"/>
    </row>
    <row r="23" ht="14.25" customHeight="1">
      <c r="A23" s="52"/>
      <c r="B23" s="53"/>
      <c r="C23" s="53"/>
      <c r="D23" s="53"/>
      <c r="E23" s="53"/>
      <c r="F23" s="1"/>
      <c r="G23" s="1"/>
    </row>
    <row r="24" ht="14.25" customHeight="1">
      <c r="A24" s="52"/>
      <c r="B24" s="53"/>
      <c r="C24" s="53"/>
      <c r="D24" s="53"/>
      <c r="E24" s="53"/>
      <c r="F24" s="1"/>
      <c r="G24" s="1"/>
    </row>
    <row r="25" ht="14.25" customHeight="1">
      <c r="A25" s="52"/>
      <c r="B25" s="53"/>
      <c r="C25" s="53"/>
      <c r="D25" s="53"/>
      <c r="E25" s="53"/>
      <c r="F25" s="1"/>
      <c r="G25" s="1"/>
    </row>
    <row r="26" ht="14.25" customHeight="1">
      <c r="A26" s="52"/>
      <c r="B26" s="53"/>
      <c r="C26" s="53"/>
      <c r="D26" s="53"/>
      <c r="E26" s="53"/>
      <c r="F26" s="1"/>
      <c r="G26" s="1"/>
    </row>
    <row r="27" ht="14.25" customHeight="1">
      <c r="A27" s="52"/>
      <c r="B27" s="53"/>
      <c r="C27" s="53"/>
      <c r="D27" s="53"/>
      <c r="E27" s="53"/>
      <c r="F27" s="1"/>
      <c r="G27" s="1"/>
    </row>
    <row r="28" ht="14.25" customHeight="1">
      <c r="A28" s="52"/>
      <c r="B28" s="53"/>
      <c r="C28" s="53"/>
      <c r="D28" s="53"/>
      <c r="E28" s="53"/>
      <c r="F28" s="1"/>
      <c r="G28" s="1"/>
    </row>
    <row r="29" ht="14.25" customHeight="1">
      <c r="A29" s="52"/>
      <c r="B29" s="53"/>
      <c r="C29" s="53"/>
      <c r="D29" s="53"/>
      <c r="E29" s="53"/>
      <c r="F29" s="1"/>
      <c r="G29" s="1"/>
    </row>
    <row r="30" ht="14.25" customHeight="1">
      <c r="A30" s="52"/>
      <c r="B30" s="53"/>
      <c r="C30" s="53"/>
      <c r="D30" s="53"/>
      <c r="E30" s="53"/>
      <c r="F30" s="1"/>
      <c r="G30" s="1"/>
    </row>
    <row r="31" ht="14.25" customHeight="1">
      <c r="A31" s="52"/>
      <c r="B31" s="53"/>
      <c r="C31" s="53"/>
      <c r="D31" s="53"/>
      <c r="E31" s="53"/>
      <c r="F31" s="1"/>
      <c r="G31" s="1"/>
    </row>
    <row r="32" ht="14.25" customHeight="1">
      <c r="A32" s="52"/>
      <c r="B32" s="53"/>
      <c r="C32" s="53"/>
      <c r="D32" s="53"/>
      <c r="E32" s="53"/>
      <c r="F32" s="1"/>
      <c r="G32" s="1"/>
    </row>
    <row r="33" ht="14.25" customHeight="1">
      <c r="A33" s="52"/>
      <c r="B33" s="53"/>
      <c r="C33" s="53"/>
      <c r="D33" s="53"/>
      <c r="E33" s="53"/>
      <c r="F33" s="1"/>
      <c r="G33" s="1"/>
    </row>
    <row r="34" ht="14.25" customHeight="1">
      <c r="A34" s="52"/>
      <c r="B34" s="53"/>
      <c r="C34" s="53"/>
      <c r="D34" s="53"/>
      <c r="E34" s="53"/>
      <c r="F34" s="1"/>
      <c r="G34" s="1"/>
    </row>
    <row r="35" ht="14.25" customHeight="1">
      <c r="A35" s="52"/>
      <c r="B35" s="53"/>
      <c r="C35" s="53"/>
      <c r="D35" s="53"/>
      <c r="E35" s="53"/>
      <c r="F35" s="1"/>
      <c r="G35" s="1"/>
    </row>
    <row r="36" ht="14.25" customHeight="1">
      <c r="A36" s="52"/>
      <c r="B36" s="53"/>
      <c r="C36" s="53"/>
      <c r="D36" s="53"/>
      <c r="E36" s="53"/>
      <c r="F36" s="1"/>
      <c r="G36" s="1"/>
    </row>
    <row r="37" ht="14.25" customHeight="1">
      <c r="A37" s="52"/>
      <c r="B37" s="53"/>
      <c r="C37" s="53"/>
      <c r="D37" s="53"/>
      <c r="E37" s="53"/>
      <c r="F37" s="1"/>
      <c r="G37" s="1"/>
    </row>
    <row r="38" ht="14.25" customHeight="1">
      <c r="A38" s="52"/>
      <c r="B38" s="53"/>
      <c r="C38" s="53"/>
      <c r="D38" s="53"/>
      <c r="E38" s="53"/>
      <c r="F38" s="1"/>
      <c r="G38" s="1"/>
    </row>
    <row r="39" ht="14.25" customHeight="1">
      <c r="A39" s="52"/>
      <c r="B39" s="53"/>
      <c r="C39" s="53"/>
      <c r="D39" s="53"/>
      <c r="E39" s="53"/>
      <c r="F39" s="1"/>
      <c r="G39" s="1"/>
    </row>
    <row r="40" ht="14.25" customHeight="1">
      <c r="A40" s="52"/>
      <c r="B40" s="53"/>
      <c r="C40" s="53"/>
      <c r="D40" s="53"/>
      <c r="E40" s="53"/>
      <c r="F40" s="1"/>
      <c r="G40" s="1"/>
    </row>
    <row r="41" ht="14.25" customHeight="1">
      <c r="A41" s="52"/>
      <c r="B41" s="53"/>
      <c r="C41" s="53"/>
      <c r="D41" s="53"/>
      <c r="E41" s="53"/>
      <c r="F41" s="1"/>
      <c r="G41" s="1"/>
    </row>
    <row r="42" ht="14.25" customHeight="1">
      <c r="A42" s="52"/>
      <c r="B42" s="53"/>
      <c r="C42" s="53"/>
      <c r="D42" s="53"/>
      <c r="E42" s="53"/>
      <c r="F42" s="1"/>
      <c r="G42" s="1"/>
    </row>
    <row r="43" ht="14.25" customHeight="1">
      <c r="A43" s="52"/>
      <c r="B43" s="53"/>
      <c r="C43" s="53"/>
      <c r="D43" s="53"/>
      <c r="E43" s="53"/>
      <c r="F43" s="1"/>
      <c r="G43" s="1"/>
    </row>
    <row r="44" ht="14.25" customHeight="1">
      <c r="A44" s="52"/>
      <c r="B44" s="53"/>
      <c r="C44" s="53"/>
      <c r="D44" s="53"/>
      <c r="E44" s="53"/>
      <c r="F44" s="1"/>
      <c r="G44" s="1"/>
    </row>
    <row r="45" ht="14.25" customHeight="1">
      <c r="A45" s="52"/>
      <c r="B45" s="53"/>
      <c r="C45" s="53"/>
      <c r="D45" s="53"/>
      <c r="E45" s="53"/>
      <c r="F45" s="1"/>
      <c r="G45" s="1"/>
    </row>
    <row r="46" ht="14.25" customHeight="1">
      <c r="A46" s="52"/>
      <c r="B46" s="53"/>
      <c r="C46" s="53"/>
      <c r="D46" s="53"/>
      <c r="E46" s="53"/>
      <c r="F46" s="1"/>
      <c r="G46" s="1"/>
    </row>
    <row r="47" ht="14.25" customHeight="1">
      <c r="A47" s="52"/>
      <c r="B47" s="53"/>
      <c r="C47" s="53"/>
      <c r="D47" s="53"/>
      <c r="E47" s="53"/>
      <c r="F47" s="1"/>
      <c r="G47" s="1"/>
    </row>
    <row r="48" ht="14.25" customHeight="1">
      <c r="A48" s="52"/>
      <c r="B48" s="53"/>
      <c r="C48" s="53"/>
      <c r="D48" s="53"/>
      <c r="E48" s="53"/>
      <c r="F48" s="1"/>
      <c r="G48" s="1"/>
    </row>
    <row r="49" ht="14.25" customHeight="1">
      <c r="A49" s="52"/>
      <c r="B49" s="53"/>
      <c r="C49" s="53"/>
      <c r="D49" s="53"/>
      <c r="E49" s="53"/>
      <c r="F49" s="1"/>
      <c r="G49" s="1"/>
    </row>
    <row r="50" ht="14.25" customHeight="1">
      <c r="A50" s="52"/>
      <c r="B50" s="53"/>
      <c r="C50" s="53"/>
      <c r="D50" s="53"/>
      <c r="E50" s="53"/>
      <c r="F50" s="1"/>
      <c r="G50" s="1"/>
    </row>
    <row r="51" ht="14.25" customHeight="1">
      <c r="A51" s="52"/>
      <c r="B51" s="53"/>
      <c r="C51" s="53"/>
      <c r="D51" s="53"/>
      <c r="E51" s="53"/>
      <c r="F51" s="1"/>
      <c r="G51" s="1"/>
    </row>
    <row r="52" ht="14.25" customHeight="1">
      <c r="A52" s="52"/>
      <c r="B52" s="53"/>
      <c r="C52" s="53"/>
      <c r="D52" s="53"/>
      <c r="E52" s="53"/>
      <c r="F52" s="1"/>
      <c r="G52" s="1"/>
    </row>
    <row r="53" ht="14.25" customHeight="1">
      <c r="A53" s="52"/>
      <c r="B53" s="53"/>
      <c r="C53" s="53"/>
      <c r="D53" s="53"/>
      <c r="E53" s="53"/>
      <c r="F53" s="1"/>
      <c r="G53" s="1"/>
    </row>
    <row r="54" ht="14.25" customHeight="1">
      <c r="A54" s="52"/>
      <c r="B54" s="53"/>
      <c r="C54" s="53"/>
      <c r="D54" s="53"/>
      <c r="E54" s="53"/>
      <c r="F54" s="1"/>
      <c r="G54" s="1"/>
    </row>
    <row r="55" ht="14.25" customHeight="1">
      <c r="A55" s="52"/>
      <c r="B55" s="53"/>
      <c r="C55" s="53"/>
      <c r="D55" s="53"/>
      <c r="E55" s="53"/>
      <c r="F55" s="1"/>
      <c r="G55" s="1"/>
    </row>
    <row r="56" ht="14.25" customHeight="1">
      <c r="A56" s="52"/>
      <c r="B56" s="53"/>
      <c r="C56" s="53"/>
      <c r="D56" s="53"/>
      <c r="E56" s="53"/>
      <c r="F56" s="1"/>
      <c r="G56" s="1"/>
    </row>
    <row r="57" ht="14.25" customHeight="1">
      <c r="A57" s="52"/>
      <c r="B57" s="53"/>
      <c r="C57" s="53"/>
      <c r="D57" s="53"/>
      <c r="E57" s="53"/>
      <c r="F57" s="1"/>
      <c r="G57" s="1"/>
    </row>
    <row r="58" ht="14.25" customHeight="1">
      <c r="A58" s="52"/>
      <c r="B58" s="53"/>
      <c r="C58" s="53"/>
      <c r="D58" s="53"/>
      <c r="E58" s="53"/>
      <c r="F58" s="1"/>
      <c r="G58" s="1"/>
    </row>
    <row r="59" ht="14.25" customHeight="1">
      <c r="A59" s="52"/>
      <c r="B59" s="53"/>
      <c r="C59" s="53"/>
      <c r="D59" s="53"/>
      <c r="E59" s="53"/>
      <c r="F59" s="1"/>
      <c r="G59" s="1"/>
    </row>
    <row r="60" ht="14.25" customHeight="1">
      <c r="A60" s="52"/>
      <c r="B60" s="53"/>
      <c r="C60" s="53"/>
      <c r="D60" s="53"/>
      <c r="E60" s="53"/>
      <c r="F60" s="1"/>
      <c r="G60" s="1"/>
    </row>
    <row r="61" ht="14.25" customHeight="1">
      <c r="A61" s="52"/>
      <c r="B61" s="53"/>
      <c r="C61" s="53"/>
      <c r="D61" s="53"/>
      <c r="E61" s="53"/>
      <c r="F61" s="1"/>
      <c r="G61" s="1"/>
    </row>
    <row r="62" ht="14.25" customHeight="1">
      <c r="A62" s="52"/>
      <c r="B62" s="53"/>
      <c r="C62" s="53"/>
      <c r="D62" s="53"/>
      <c r="E62" s="53"/>
      <c r="F62" s="1"/>
      <c r="G62" s="1"/>
    </row>
    <row r="63" ht="14.25" customHeight="1">
      <c r="A63" s="52"/>
      <c r="B63" s="53"/>
      <c r="C63" s="53"/>
      <c r="D63" s="53"/>
      <c r="E63" s="53"/>
      <c r="F63" s="1"/>
      <c r="G63" s="1"/>
    </row>
    <row r="64" ht="14.25" customHeight="1">
      <c r="A64" s="52"/>
      <c r="B64" s="53"/>
      <c r="C64" s="53"/>
      <c r="D64" s="53"/>
      <c r="E64" s="53"/>
      <c r="F64" s="1"/>
      <c r="G64" s="1"/>
    </row>
    <row r="65" ht="14.25" customHeight="1">
      <c r="A65" s="52"/>
      <c r="B65" s="53"/>
      <c r="C65" s="53"/>
      <c r="D65" s="53"/>
      <c r="E65" s="53"/>
      <c r="F65" s="1"/>
      <c r="G65" s="1"/>
    </row>
    <row r="66" ht="14.25" customHeight="1">
      <c r="A66" s="52"/>
      <c r="B66" s="53"/>
      <c r="C66" s="53"/>
      <c r="D66" s="53"/>
      <c r="E66" s="53"/>
      <c r="F66" s="1"/>
      <c r="G66" s="1"/>
    </row>
    <row r="67" ht="14.25" customHeight="1">
      <c r="A67" s="52"/>
      <c r="B67" s="53"/>
      <c r="C67" s="53"/>
      <c r="D67" s="53"/>
      <c r="E67" s="53"/>
      <c r="F67" s="1"/>
      <c r="G67" s="1"/>
    </row>
    <row r="68" ht="14.25" customHeight="1">
      <c r="A68" s="52"/>
      <c r="B68" s="53"/>
      <c r="C68" s="53"/>
      <c r="D68" s="53"/>
      <c r="E68" s="53"/>
      <c r="F68" s="1"/>
      <c r="G68" s="1"/>
    </row>
    <row r="69" ht="14.25" customHeight="1">
      <c r="A69" s="52"/>
      <c r="B69" s="53"/>
      <c r="C69" s="53"/>
      <c r="D69" s="53"/>
      <c r="E69" s="53"/>
      <c r="F69" s="1"/>
      <c r="G69" s="1"/>
    </row>
    <row r="70" ht="14.25" customHeight="1">
      <c r="A70" s="52"/>
      <c r="B70" s="53"/>
      <c r="C70" s="53"/>
      <c r="D70" s="53"/>
      <c r="E70" s="53"/>
      <c r="F70" s="1"/>
      <c r="G70" s="1"/>
    </row>
    <row r="71" ht="14.25" customHeight="1">
      <c r="A71" s="52"/>
      <c r="B71" s="53"/>
      <c r="C71" s="53"/>
      <c r="D71" s="53"/>
      <c r="E71" s="53"/>
      <c r="F71" s="1"/>
      <c r="G71" s="1"/>
    </row>
    <row r="72" ht="14.25" customHeight="1">
      <c r="A72" s="52"/>
      <c r="B72" s="53"/>
      <c r="C72" s="53"/>
      <c r="D72" s="53"/>
      <c r="E72" s="53"/>
      <c r="F72" s="1"/>
      <c r="G72" s="1"/>
    </row>
    <row r="73" ht="14.25" customHeight="1">
      <c r="A73" s="52"/>
      <c r="B73" s="53"/>
      <c r="C73" s="53"/>
      <c r="D73" s="53"/>
      <c r="E73" s="53"/>
      <c r="F73" s="1"/>
      <c r="G73" s="1"/>
    </row>
    <row r="74" ht="14.25" customHeight="1">
      <c r="A74" s="52"/>
      <c r="B74" s="53"/>
      <c r="C74" s="53"/>
      <c r="D74" s="53"/>
      <c r="E74" s="53"/>
      <c r="F74" s="1"/>
      <c r="G74" s="1"/>
    </row>
    <row r="75" ht="14.25" customHeight="1">
      <c r="A75" s="52"/>
      <c r="B75" s="53"/>
      <c r="C75" s="53"/>
      <c r="D75" s="53"/>
      <c r="E75" s="53"/>
      <c r="F75" s="1"/>
      <c r="G75" s="1"/>
    </row>
    <row r="76" ht="14.25" customHeight="1">
      <c r="A76" s="52"/>
      <c r="B76" s="53"/>
      <c r="C76" s="53"/>
      <c r="D76" s="53"/>
      <c r="E76" s="53"/>
      <c r="F76" s="1"/>
      <c r="G76" s="1"/>
    </row>
    <row r="77" ht="14.25" customHeight="1">
      <c r="A77" s="52"/>
      <c r="B77" s="53"/>
      <c r="C77" s="53"/>
      <c r="D77" s="53"/>
      <c r="E77" s="53"/>
      <c r="F77" s="1"/>
      <c r="G77" s="1"/>
    </row>
    <row r="78" ht="14.25" customHeight="1">
      <c r="A78" s="52"/>
      <c r="B78" s="53"/>
      <c r="C78" s="53"/>
      <c r="D78" s="53"/>
      <c r="E78" s="53"/>
      <c r="F78" s="1"/>
      <c r="G78" s="1"/>
    </row>
    <row r="79" ht="14.25" customHeight="1">
      <c r="A79" s="52"/>
      <c r="B79" s="53"/>
      <c r="C79" s="53"/>
      <c r="D79" s="53"/>
      <c r="E79" s="53"/>
      <c r="F79" s="1"/>
      <c r="G79" s="1"/>
    </row>
    <row r="80" ht="14.25" customHeight="1">
      <c r="A80" s="52"/>
      <c r="B80" s="53"/>
      <c r="C80" s="53"/>
      <c r="D80" s="53"/>
      <c r="E80" s="53"/>
      <c r="F80" s="1"/>
      <c r="G80" s="1"/>
    </row>
    <row r="81" ht="14.25" customHeight="1">
      <c r="A81" s="52"/>
      <c r="B81" s="53"/>
      <c r="C81" s="53"/>
      <c r="D81" s="53"/>
      <c r="E81" s="53"/>
      <c r="F81" s="1"/>
      <c r="G81" s="1"/>
    </row>
    <row r="82" ht="14.25" customHeight="1">
      <c r="A82" s="52"/>
      <c r="B82" s="53"/>
      <c r="C82" s="53"/>
      <c r="D82" s="53"/>
      <c r="E82" s="53"/>
      <c r="F82" s="1"/>
      <c r="G82" s="1"/>
    </row>
    <row r="83" ht="14.25" customHeight="1">
      <c r="A83" s="52"/>
      <c r="B83" s="53"/>
      <c r="C83" s="53"/>
      <c r="D83" s="53"/>
      <c r="E83" s="53"/>
      <c r="F83" s="1"/>
      <c r="G83" s="1"/>
    </row>
    <row r="84" ht="14.25" customHeight="1">
      <c r="A84" s="52"/>
      <c r="B84" s="53"/>
      <c r="C84" s="53"/>
      <c r="D84" s="53"/>
      <c r="E84" s="53"/>
      <c r="F84" s="1"/>
      <c r="G84" s="1"/>
    </row>
    <row r="85" ht="14.25" customHeight="1">
      <c r="A85" s="52"/>
      <c r="B85" s="53"/>
      <c r="C85" s="53"/>
      <c r="D85" s="53"/>
      <c r="E85" s="53"/>
      <c r="F85" s="1"/>
      <c r="G85" s="1"/>
    </row>
    <row r="86" ht="14.25" customHeight="1">
      <c r="A86" s="52"/>
      <c r="B86" s="53"/>
      <c r="C86" s="53"/>
      <c r="D86" s="53"/>
      <c r="E86" s="53"/>
      <c r="F86" s="1"/>
      <c r="G86" s="1"/>
    </row>
    <row r="87" ht="14.25" customHeight="1">
      <c r="A87" s="52"/>
      <c r="B87" s="53"/>
      <c r="C87" s="53"/>
      <c r="D87" s="53"/>
      <c r="E87" s="53"/>
      <c r="F87" s="1"/>
      <c r="G87" s="1"/>
    </row>
    <row r="88" ht="14.25" customHeight="1">
      <c r="A88" s="52"/>
      <c r="B88" s="53"/>
      <c r="C88" s="53"/>
      <c r="D88" s="53"/>
      <c r="E88" s="53"/>
      <c r="F88" s="1"/>
      <c r="G88" s="1"/>
    </row>
    <row r="89" ht="14.25" customHeight="1">
      <c r="A89" s="52"/>
      <c r="B89" s="53"/>
      <c r="C89" s="53"/>
      <c r="D89" s="53"/>
      <c r="E89" s="53"/>
      <c r="F89" s="1"/>
      <c r="G89" s="1"/>
    </row>
    <row r="90" ht="14.25" customHeight="1">
      <c r="A90" s="52"/>
      <c r="B90" s="53"/>
      <c r="C90" s="53"/>
      <c r="D90" s="53"/>
      <c r="E90" s="53"/>
      <c r="F90" s="1"/>
      <c r="G90" s="1"/>
    </row>
    <row r="91" ht="14.25" customHeight="1">
      <c r="A91" s="52"/>
      <c r="B91" s="53"/>
      <c r="C91" s="53"/>
      <c r="D91" s="53"/>
      <c r="E91" s="53"/>
      <c r="F91" s="1"/>
      <c r="G91" s="1"/>
    </row>
    <row r="92" ht="14.25" customHeight="1">
      <c r="A92" s="52"/>
      <c r="B92" s="53"/>
      <c r="C92" s="53"/>
      <c r="D92" s="53"/>
      <c r="E92" s="53"/>
      <c r="F92" s="1"/>
      <c r="G92" s="1"/>
    </row>
    <row r="93" ht="14.25" customHeight="1">
      <c r="A93" s="52"/>
      <c r="B93" s="53"/>
      <c r="C93" s="53"/>
      <c r="D93" s="53"/>
      <c r="E93" s="53"/>
      <c r="F93" s="1"/>
      <c r="G93" s="1"/>
    </row>
    <row r="94" ht="14.25" customHeight="1">
      <c r="A94" s="52"/>
      <c r="B94" s="53"/>
      <c r="C94" s="53"/>
      <c r="D94" s="53"/>
      <c r="E94" s="53"/>
      <c r="F94" s="1"/>
      <c r="G94" s="1"/>
    </row>
    <row r="95" ht="14.25" customHeight="1">
      <c r="A95" s="52"/>
      <c r="B95" s="53"/>
      <c r="C95" s="53"/>
      <c r="D95" s="53"/>
      <c r="E95" s="53"/>
      <c r="F95" s="1"/>
      <c r="G95" s="1"/>
    </row>
    <row r="96" ht="14.25" customHeight="1">
      <c r="A96" s="52"/>
      <c r="B96" s="53"/>
      <c r="C96" s="53"/>
      <c r="D96" s="53"/>
      <c r="E96" s="53"/>
      <c r="F96" s="1"/>
      <c r="G96" s="1"/>
    </row>
    <row r="97" ht="14.25" customHeight="1">
      <c r="A97" s="52"/>
      <c r="B97" s="53"/>
      <c r="C97" s="53"/>
      <c r="D97" s="53"/>
      <c r="E97" s="53"/>
      <c r="F97" s="1"/>
      <c r="G97" s="1"/>
    </row>
    <row r="98" ht="14.25" customHeight="1">
      <c r="A98" s="52"/>
      <c r="B98" s="53"/>
      <c r="C98" s="53"/>
      <c r="D98" s="53"/>
      <c r="E98" s="53"/>
      <c r="F98" s="1"/>
      <c r="G98" s="1"/>
    </row>
    <row r="99" ht="14.25" customHeight="1">
      <c r="A99" s="52"/>
      <c r="B99" s="53"/>
      <c r="C99" s="53"/>
      <c r="D99" s="53"/>
      <c r="E99" s="53"/>
      <c r="F99" s="1"/>
      <c r="G99" s="1"/>
    </row>
    <row r="100" ht="14.25" customHeight="1">
      <c r="A100" s="52"/>
      <c r="B100" s="53"/>
      <c r="C100" s="53"/>
      <c r="D100" s="53"/>
      <c r="E100" s="53"/>
      <c r="F100" s="1"/>
      <c r="G100" s="1"/>
    </row>
    <row r="101" ht="14.25" customHeight="1">
      <c r="A101" s="52"/>
      <c r="B101" s="53"/>
      <c r="C101" s="53"/>
      <c r="D101" s="53"/>
      <c r="E101" s="53"/>
      <c r="F101" s="1"/>
      <c r="G101" s="1"/>
    </row>
    <row r="102" ht="14.25" customHeight="1">
      <c r="A102" s="52"/>
      <c r="B102" s="53"/>
      <c r="C102" s="53"/>
      <c r="D102" s="53"/>
      <c r="E102" s="53"/>
      <c r="F102" s="1"/>
      <c r="G102" s="1"/>
    </row>
    <row r="103" ht="14.25" customHeight="1">
      <c r="A103" s="52"/>
      <c r="B103" s="53"/>
      <c r="C103" s="53"/>
      <c r="D103" s="53"/>
      <c r="E103" s="53"/>
      <c r="F103" s="1"/>
      <c r="G103" s="1"/>
    </row>
    <row r="104" ht="14.25" customHeight="1">
      <c r="A104" s="52"/>
      <c r="B104" s="53"/>
      <c r="C104" s="53"/>
      <c r="D104" s="53"/>
      <c r="E104" s="53"/>
      <c r="F104" s="1"/>
      <c r="G104" s="1"/>
    </row>
    <row r="105" ht="14.25" customHeight="1">
      <c r="A105" s="52"/>
      <c r="B105" s="53"/>
      <c r="C105" s="53"/>
      <c r="D105" s="53"/>
      <c r="E105" s="53"/>
      <c r="F105" s="1"/>
      <c r="G105" s="1"/>
    </row>
    <row r="106" ht="14.25" customHeight="1">
      <c r="A106" s="52"/>
      <c r="B106" s="53"/>
      <c r="C106" s="53"/>
      <c r="D106" s="53"/>
      <c r="E106" s="53"/>
      <c r="F106" s="1"/>
      <c r="G106" s="1"/>
    </row>
    <row r="107" ht="14.25" customHeight="1">
      <c r="A107" s="52"/>
      <c r="B107" s="53"/>
      <c r="C107" s="53"/>
      <c r="D107" s="53"/>
      <c r="E107" s="53"/>
      <c r="F107" s="1"/>
      <c r="G107" s="1"/>
    </row>
    <row r="108" ht="14.25" customHeight="1">
      <c r="A108" s="52"/>
      <c r="B108" s="53"/>
      <c r="C108" s="53"/>
      <c r="D108" s="53"/>
      <c r="E108" s="53"/>
      <c r="F108" s="1"/>
      <c r="G108" s="1"/>
    </row>
    <row r="109" ht="14.25" customHeight="1">
      <c r="A109" s="52"/>
      <c r="B109" s="53"/>
      <c r="C109" s="53"/>
      <c r="D109" s="53"/>
      <c r="E109" s="53"/>
      <c r="F109" s="1"/>
      <c r="G109" s="1"/>
    </row>
    <row r="110" ht="14.25" customHeight="1">
      <c r="A110" s="52"/>
      <c r="B110" s="53"/>
      <c r="C110" s="53"/>
      <c r="D110" s="53"/>
      <c r="E110" s="53"/>
      <c r="F110" s="1"/>
      <c r="G110" s="1"/>
    </row>
    <row r="111" ht="14.25" customHeight="1">
      <c r="A111" s="52"/>
      <c r="B111" s="53"/>
      <c r="C111" s="53"/>
      <c r="D111" s="53"/>
      <c r="E111" s="53"/>
      <c r="F111" s="1"/>
      <c r="G111" s="1"/>
    </row>
    <row r="112" ht="14.25" customHeight="1">
      <c r="A112" s="52"/>
      <c r="B112" s="53"/>
      <c r="C112" s="53"/>
      <c r="D112" s="53"/>
      <c r="E112" s="53"/>
      <c r="F112" s="1"/>
      <c r="G112" s="1"/>
    </row>
    <row r="113" ht="14.25" customHeight="1">
      <c r="A113" s="52"/>
      <c r="B113" s="53"/>
      <c r="C113" s="53"/>
      <c r="D113" s="53"/>
      <c r="E113" s="53"/>
      <c r="F113" s="1"/>
      <c r="G113" s="1"/>
    </row>
    <row r="114" ht="14.25" customHeight="1">
      <c r="A114" s="52"/>
      <c r="B114" s="53"/>
      <c r="C114" s="53"/>
      <c r="D114" s="53"/>
      <c r="E114" s="53"/>
      <c r="F114" s="1"/>
      <c r="G114" s="1"/>
    </row>
    <row r="115" ht="14.25" customHeight="1">
      <c r="A115" s="52"/>
      <c r="B115" s="53"/>
      <c r="C115" s="53"/>
      <c r="D115" s="53"/>
      <c r="E115" s="53"/>
      <c r="F115" s="1"/>
      <c r="G115" s="1"/>
    </row>
    <row r="116" ht="14.25" customHeight="1">
      <c r="A116" s="52"/>
      <c r="B116" s="53"/>
      <c r="C116" s="53"/>
      <c r="D116" s="53"/>
      <c r="E116" s="53"/>
      <c r="F116" s="1"/>
      <c r="G116" s="1"/>
    </row>
    <row r="117" ht="14.25" customHeight="1">
      <c r="A117" s="52"/>
      <c r="B117" s="53"/>
      <c r="C117" s="53"/>
      <c r="D117" s="53"/>
      <c r="E117" s="53"/>
      <c r="F117" s="1"/>
      <c r="G117" s="1"/>
    </row>
    <row r="118" ht="14.25" customHeight="1">
      <c r="A118" s="52"/>
      <c r="B118" s="53"/>
      <c r="C118" s="53"/>
      <c r="D118" s="53"/>
      <c r="E118" s="53"/>
      <c r="F118" s="1"/>
      <c r="G118" s="1"/>
    </row>
    <row r="119" ht="14.25" customHeight="1">
      <c r="A119" s="52"/>
      <c r="B119" s="53"/>
      <c r="C119" s="53"/>
      <c r="D119" s="53"/>
      <c r="E119" s="53"/>
      <c r="F119" s="1"/>
      <c r="G119" s="1"/>
    </row>
    <row r="120" ht="14.25" customHeight="1">
      <c r="A120" s="52"/>
      <c r="B120" s="53"/>
      <c r="C120" s="53"/>
      <c r="D120" s="53"/>
      <c r="E120" s="53"/>
      <c r="F120" s="1"/>
      <c r="G120" s="1"/>
    </row>
    <row r="121" ht="14.25" customHeight="1">
      <c r="A121" s="52"/>
      <c r="B121" s="53"/>
      <c r="C121" s="53"/>
      <c r="D121" s="53"/>
      <c r="E121" s="53"/>
      <c r="F121" s="1"/>
      <c r="G121" s="1"/>
    </row>
    <row r="122" ht="14.25" customHeight="1">
      <c r="A122" s="52"/>
      <c r="B122" s="53"/>
      <c r="C122" s="53"/>
      <c r="D122" s="53"/>
      <c r="E122" s="53"/>
      <c r="F122" s="1"/>
      <c r="G122" s="1"/>
    </row>
    <row r="123" ht="14.25" customHeight="1">
      <c r="A123" s="52"/>
      <c r="B123" s="53"/>
      <c r="C123" s="53"/>
      <c r="D123" s="53"/>
      <c r="E123" s="53"/>
      <c r="F123" s="1"/>
      <c r="G123" s="1"/>
    </row>
    <row r="124" ht="14.25" customHeight="1">
      <c r="A124" s="52"/>
      <c r="B124" s="53"/>
      <c r="C124" s="53"/>
      <c r="D124" s="53"/>
      <c r="E124" s="53"/>
      <c r="F124" s="1"/>
      <c r="G124" s="1"/>
    </row>
    <row r="125" ht="14.25" customHeight="1">
      <c r="A125" s="52"/>
      <c r="B125" s="53"/>
      <c r="C125" s="53"/>
      <c r="D125" s="53"/>
      <c r="E125" s="53"/>
      <c r="F125" s="1"/>
      <c r="G125" s="1"/>
    </row>
    <row r="126" ht="14.25" customHeight="1">
      <c r="A126" s="52"/>
      <c r="B126" s="53"/>
      <c r="C126" s="53"/>
      <c r="D126" s="53"/>
      <c r="E126" s="53"/>
      <c r="F126" s="1"/>
      <c r="G126" s="1"/>
    </row>
    <row r="127" ht="14.25" customHeight="1">
      <c r="A127" s="52"/>
      <c r="B127" s="53"/>
      <c r="C127" s="53"/>
      <c r="D127" s="53"/>
      <c r="E127" s="53"/>
      <c r="F127" s="1"/>
      <c r="G127" s="1"/>
    </row>
    <row r="128" ht="14.25" customHeight="1">
      <c r="A128" s="52"/>
      <c r="B128" s="53"/>
      <c r="C128" s="53"/>
      <c r="D128" s="53"/>
      <c r="E128" s="53"/>
      <c r="F128" s="1"/>
      <c r="G128" s="1"/>
    </row>
    <row r="129" ht="14.25" customHeight="1">
      <c r="A129" s="52"/>
      <c r="B129" s="53"/>
      <c r="C129" s="53"/>
      <c r="D129" s="53"/>
      <c r="E129" s="53"/>
      <c r="F129" s="1"/>
      <c r="G129" s="1"/>
    </row>
    <row r="130" ht="14.25" customHeight="1">
      <c r="A130" s="52"/>
      <c r="B130" s="53"/>
      <c r="C130" s="53"/>
      <c r="D130" s="53"/>
      <c r="E130" s="53"/>
      <c r="F130" s="1"/>
      <c r="G130" s="1"/>
    </row>
    <row r="131" ht="14.25" customHeight="1">
      <c r="A131" s="52"/>
      <c r="B131" s="53"/>
      <c r="C131" s="53"/>
      <c r="D131" s="53"/>
      <c r="E131" s="53"/>
      <c r="F131" s="1"/>
      <c r="G131" s="1"/>
    </row>
    <row r="132" ht="14.25" customHeight="1">
      <c r="A132" s="52"/>
      <c r="B132" s="53"/>
      <c r="C132" s="53"/>
      <c r="D132" s="53"/>
      <c r="E132" s="53"/>
      <c r="F132" s="1"/>
      <c r="G132" s="1"/>
    </row>
    <row r="133" ht="14.25" customHeight="1">
      <c r="A133" s="52"/>
      <c r="B133" s="53"/>
      <c r="C133" s="53"/>
      <c r="D133" s="53"/>
      <c r="E133" s="53"/>
      <c r="F133" s="1"/>
      <c r="G133" s="1"/>
    </row>
    <row r="134" ht="14.25" customHeight="1">
      <c r="A134" s="52"/>
      <c r="B134" s="53"/>
      <c r="C134" s="53"/>
      <c r="D134" s="53"/>
      <c r="E134" s="53"/>
      <c r="F134" s="1"/>
      <c r="G134" s="1"/>
    </row>
    <row r="135" ht="14.25" customHeight="1">
      <c r="A135" s="52"/>
      <c r="B135" s="53"/>
      <c r="C135" s="53"/>
      <c r="D135" s="53"/>
      <c r="E135" s="53"/>
      <c r="F135" s="1"/>
      <c r="G135" s="1"/>
    </row>
    <row r="136" ht="14.25" customHeight="1">
      <c r="A136" s="52"/>
      <c r="B136" s="53"/>
      <c r="C136" s="53"/>
      <c r="D136" s="53"/>
      <c r="E136" s="53"/>
      <c r="F136" s="1"/>
      <c r="G136" s="1"/>
    </row>
    <row r="137" ht="14.25" customHeight="1">
      <c r="A137" s="52"/>
      <c r="B137" s="53"/>
      <c r="C137" s="53"/>
      <c r="D137" s="53"/>
      <c r="E137" s="53"/>
      <c r="F137" s="1"/>
      <c r="G137" s="1"/>
    </row>
    <row r="138" ht="14.25" customHeight="1">
      <c r="A138" s="52"/>
      <c r="B138" s="53"/>
      <c r="C138" s="53"/>
      <c r="D138" s="53"/>
      <c r="E138" s="53"/>
      <c r="F138" s="1"/>
      <c r="G138" s="1"/>
    </row>
    <row r="139" ht="14.25" customHeight="1">
      <c r="A139" s="52"/>
      <c r="B139" s="53"/>
      <c r="C139" s="53"/>
      <c r="D139" s="53"/>
      <c r="E139" s="53"/>
      <c r="F139" s="1"/>
      <c r="G139" s="1"/>
    </row>
    <row r="140" ht="14.25" customHeight="1">
      <c r="A140" s="52"/>
      <c r="B140" s="53"/>
      <c r="C140" s="53"/>
      <c r="D140" s="53"/>
      <c r="E140" s="53"/>
      <c r="F140" s="1"/>
      <c r="G140" s="1"/>
    </row>
    <row r="141" ht="14.25" customHeight="1">
      <c r="A141" s="52"/>
      <c r="B141" s="53"/>
      <c r="C141" s="53"/>
      <c r="D141" s="53"/>
      <c r="E141" s="53"/>
      <c r="F141" s="1"/>
      <c r="G141" s="1"/>
    </row>
    <row r="142" ht="14.25" customHeight="1">
      <c r="A142" s="52"/>
      <c r="B142" s="53"/>
      <c r="C142" s="53"/>
      <c r="D142" s="53"/>
      <c r="E142" s="53"/>
      <c r="F142" s="1"/>
      <c r="G142" s="1"/>
    </row>
    <row r="143" ht="14.25" customHeight="1">
      <c r="A143" s="52"/>
      <c r="B143" s="53"/>
      <c r="C143" s="53"/>
      <c r="D143" s="53"/>
      <c r="E143" s="53"/>
      <c r="F143" s="1"/>
      <c r="G143" s="1"/>
    </row>
    <row r="144" ht="14.25" customHeight="1">
      <c r="A144" s="52"/>
      <c r="B144" s="53"/>
      <c r="C144" s="53"/>
      <c r="D144" s="53"/>
      <c r="E144" s="53"/>
      <c r="F144" s="1"/>
      <c r="G144" s="1"/>
    </row>
    <row r="145" ht="14.25" customHeight="1">
      <c r="A145" s="52"/>
      <c r="B145" s="53"/>
      <c r="C145" s="53"/>
      <c r="D145" s="53"/>
      <c r="E145" s="53"/>
      <c r="F145" s="1"/>
      <c r="G145" s="1"/>
    </row>
    <row r="146" ht="14.25" customHeight="1">
      <c r="A146" s="52"/>
      <c r="B146" s="53"/>
      <c r="C146" s="53"/>
      <c r="D146" s="53"/>
      <c r="E146" s="53"/>
      <c r="F146" s="1"/>
      <c r="G146" s="1"/>
    </row>
    <row r="147" ht="14.25" customHeight="1">
      <c r="A147" s="52"/>
      <c r="B147" s="53"/>
      <c r="C147" s="53"/>
      <c r="D147" s="53"/>
      <c r="E147" s="53"/>
      <c r="F147" s="1"/>
      <c r="G147" s="1"/>
    </row>
    <row r="148" ht="14.25" customHeight="1">
      <c r="A148" s="52"/>
      <c r="B148" s="53"/>
      <c r="C148" s="53"/>
      <c r="D148" s="53"/>
      <c r="E148" s="53"/>
      <c r="F148" s="1"/>
      <c r="G148" s="1"/>
    </row>
    <row r="149" ht="14.25" customHeight="1">
      <c r="A149" s="52"/>
      <c r="B149" s="53"/>
      <c r="C149" s="53"/>
      <c r="D149" s="53"/>
      <c r="E149" s="53"/>
      <c r="F149" s="1"/>
      <c r="G149" s="1"/>
    </row>
    <row r="150" ht="14.25" customHeight="1">
      <c r="A150" s="52"/>
      <c r="B150" s="53"/>
      <c r="C150" s="53"/>
      <c r="D150" s="53"/>
      <c r="E150" s="53"/>
      <c r="F150" s="1"/>
      <c r="G150" s="1"/>
    </row>
    <row r="151" ht="14.25" customHeight="1">
      <c r="A151" s="52"/>
      <c r="B151" s="53"/>
      <c r="C151" s="53"/>
      <c r="D151" s="53"/>
      <c r="E151" s="53"/>
      <c r="F151" s="1"/>
      <c r="G151" s="1"/>
    </row>
    <row r="152" ht="14.25" customHeight="1">
      <c r="A152" s="52"/>
      <c r="B152" s="53"/>
      <c r="C152" s="53"/>
      <c r="D152" s="53"/>
      <c r="E152" s="53"/>
      <c r="F152" s="1"/>
      <c r="G152" s="1"/>
    </row>
    <row r="153" ht="14.25" customHeight="1">
      <c r="A153" s="52"/>
      <c r="B153" s="53"/>
      <c r="C153" s="53"/>
      <c r="D153" s="53"/>
      <c r="E153" s="53"/>
      <c r="F153" s="1"/>
      <c r="G153" s="1"/>
    </row>
    <row r="154" ht="14.25" customHeight="1">
      <c r="A154" s="52"/>
      <c r="B154" s="53"/>
      <c r="C154" s="53"/>
      <c r="D154" s="53"/>
      <c r="E154" s="53"/>
      <c r="F154" s="1"/>
      <c r="G154" s="1"/>
    </row>
    <row r="155" ht="14.25" customHeight="1">
      <c r="A155" s="52"/>
      <c r="B155" s="53"/>
      <c r="C155" s="53"/>
      <c r="D155" s="53"/>
      <c r="E155" s="53"/>
      <c r="F155" s="1"/>
      <c r="G155" s="1"/>
    </row>
    <row r="156" ht="14.25" customHeight="1">
      <c r="A156" s="52"/>
      <c r="B156" s="53"/>
      <c r="C156" s="53"/>
      <c r="D156" s="53"/>
      <c r="E156" s="53"/>
      <c r="F156" s="1"/>
      <c r="G156" s="1"/>
    </row>
    <row r="157" ht="14.25" customHeight="1">
      <c r="A157" s="52"/>
      <c r="B157" s="53"/>
      <c r="C157" s="53"/>
      <c r="D157" s="53"/>
      <c r="E157" s="53"/>
      <c r="F157" s="1"/>
      <c r="G157" s="1"/>
    </row>
    <row r="158" ht="14.25" customHeight="1">
      <c r="A158" s="52"/>
      <c r="B158" s="53"/>
      <c r="C158" s="53"/>
      <c r="D158" s="53"/>
      <c r="E158" s="53"/>
      <c r="F158" s="1"/>
      <c r="G158" s="1"/>
    </row>
    <row r="159" ht="14.25" customHeight="1">
      <c r="A159" s="52"/>
      <c r="B159" s="53"/>
      <c r="C159" s="53"/>
      <c r="D159" s="53"/>
      <c r="E159" s="53"/>
      <c r="F159" s="1"/>
      <c r="G159" s="1"/>
    </row>
    <row r="160" ht="14.25" customHeight="1">
      <c r="A160" s="52"/>
      <c r="B160" s="53"/>
      <c r="C160" s="53"/>
      <c r="D160" s="53"/>
      <c r="E160" s="53"/>
      <c r="F160" s="1"/>
      <c r="G160" s="1"/>
    </row>
    <row r="161" ht="14.25" customHeight="1">
      <c r="A161" s="52"/>
      <c r="B161" s="53"/>
      <c r="C161" s="53"/>
      <c r="D161" s="53"/>
      <c r="E161" s="53"/>
      <c r="F161" s="1"/>
      <c r="G161" s="1"/>
    </row>
    <row r="162" ht="14.25" customHeight="1">
      <c r="A162" s="52"/>
      <c r="B162" s="53"/>
      <c r="C162" s="53"/>
      <c r="D162" s="53"/>
      <c r="E162" s="53"/>
      <c r="F162" s="1"/>
      <c r="G162" s="1"/>
    </row>
    <row r="163" ht="14.25" customHeight="1">
      <c r="A163" s="52"/>
      <c r="B163" s="53"/>
      <c r="C163" s="53"/>
      <c r="D163" s="53"/>
      <c r="E163" s="53"/>
      <c r="F163" s="1"/>
      <c r="G163" s="1"/>
    </row>
    <row r="164" ht="14.25" customHeight="1">
      <c r="A164" s="52"/>
      <c r="B164" s="53"/>
      <c r="C164" s="53"/>
      <c r="D164" s="53"/>
      <c r="E164" s="53"/>
      <c r="F164" s="1"/>
      <c r="G164" s="1"/>
    </row>
    <row r="165" ht="14.25" customHeight="1">
      <c r="A165" s="52"/>
      <c r="B165" s="53"/>
      <c r="C165" s="53"/>
      <c r="D165" s="53"/>
      <c r="E165" s="53"/>
      <c r="F165" s="1"/>
      <c r="G165" s="1"/>
    </row>
    <row r="166" ht="14.25" customHeight="1">
      <c r="A166" s="52"/>
      <c r="B166" s="53"/>
      <c r="C166" s="53"/>
      <c r="D166" s="53"/>
      <c r="E166" s="53"/>
      <c r="F166" s="1"/>
      <c r="G166" s="1"/>
    </row>
    <row r="167" ht="14.25" customHeight="1">
      <c r="A167" s="52"/>
      <c r="B167" s="53"/>
      <c r="C167" s="53"/>
      <c r="D167" s="53"/>
      <c r="E167" s="53"/>
      <c r="F167" s="1"/>
      <c r="G167" s="1"/>
    </row>
    <row r="168" ht="14.25" customHeight="1">
      <c r="A168" s="52"/>
      <c r="B168" s="53"/>
      <c r="C168" s="53"/>
      <c r="D168" s="53"/>
      <c r="E168" s="53"/>
      <c r="F168" s="1"/>
      <c r="G168" s="1"/>
    </row>
    <row r="169" ht="14.25" customHeight="1">
      <c r="A169" s="52"/>
      <c r="B169" s="53"/>
      <c r="C169" s="53"/>
      <c r="D169" s="53"/>
      <c r="E169" s="53"/>
      <c r="F169" s="1"/>
      <c r="G169" s="1"/>
    </row>
    <row r="170" ht="14.25" customHeight="1">
      <c r="A170" s="52"/>
      <c r="B170" s="53"/>
      <c r="C170" s="53"/>
      <c r="D170" s="53"/>
      <c r="E170" s="53"/>
      <c r="F170" s="1"/>
      <c r="G170" s="1"/>
    </row>
    <row r="171" ht="14.25" customHeight="1">
      <c r="A171" s="52"/>
      <c r="B171" s="53"/>
      <c r="C171" s="53"/>
      <c r="D171" s="53"/>
      <c r="E171" s="53"/>
      <c r="F171" s="1"/>
      <c r="G171" s="1"/>
    </row>
    <row r="172" ht="14.25" customHeight="1">
      <c r="A172" s="52"/>
      <c r="B172" s="53"/>
      <c r="C172" s="53"/>
      <c r="D172" s="53"/>
      <c r="E172" s="53"/>
      <c r="F172" s="1"/>
      <c r="G172" s="1"/>
    </row>
    <row r="173" ht="14.25" customHeight="1">
      <c r="A173" s="52"/>
      <c r="B173" s="53"/>
      <c r="C173" s="53"/>
      <c r="D173" s="53"/>
      <c r="E173" s="53"/>
      <c r="F173" s="1"/>
      <c r="G173" s="1"/>
    </row>
    <row r="174" ht="14.25" customHeight="1">
      <c r="A174" s="52"/>
      <c r="B174" s="53"/>
      <c r="C174" s="53"/>
      <c r="D174" s="53"/>
      <c r="E174" s="53"/>
      <c r="F174" s="1"/>
      <c r="G174" s="1"/>
    </row>
    <row r="175" ht="14.25" customHeight="1">
      <c r="A175" s="52"/>
      <c r="B175" s="53"/>
      <c r="C175" s="53"/>
      <c r="D175" s="53"/>
      <c r="E175" s="53"/>
      <c r="F175" s="1"/>
      <c r="G175" s="1"/>
    </row>
    <row r="176" ht="14.25" customHeight="1">
      <c r="A176" s="52"/>
      <c r="B176" s="53"/>
      <c r="C176" s="53"/>
      <c r="D176" s="53"/>
      <c r="E176" s="53"/>
      <c r="F176" s="1"/>
      <c r="G176" s="1"/>
    </row>
    <row r="177" ht="14.25" customHeight="1">
      <c r="A177" s="52"/>
      <c r="B177" s="53"/>
      <c r="C177" s="53"/>
      <c r="D177" s="53"/>
      <c r="E177" s="53"/>
      <c r="F177" s="1"/>
      <c r="G177" s="1"/>
    </row>
    <row r="178" ht="14.25" customHeight="1">
      <c r="A178" s="52"/>
      <c r="B178" s="53"/>
      <c r="C178" s="53"/>
      <c r="D178" s="53"/>
      <c r="E178" s="53"/>
      <c r="F178" s="1"/>
      <c r="G178" s="1"/>
    </row>
    <row r="179" ht="14.25" customHeight="1">
      <c r="A179" s="52"/>
      <c r="B179" s="53"/>
      <c r="C179" s="53"/>
      <c r="D179" s="53"/>
      <c r="E179" s="53"/>
      <c r="F179" s="1"/>
      <c r="G179" s="1"/>
    </row>
    <row r="180" ht="14.25" customHeight="1">
      <c r="A180" s="52"/>
      <c r="B180" s="53"/>
      <c r="C180" s="53"/>
      <c r="D180" s="53"/>
      <c r="E180" s="53"/>
      <c r="F180" s="1"/>
      <c r="G180" s="1"/>
    </row>
    <row r="181" ht="14.25" customHeight="1">
      <c r="A181" s="52"/>
      <c r="B181" s="53"/>
      <c r="C181" s="53"/>
      <c r="D181" s="53"/>
      <c r="E181" s="53"/>
      <c r="F181" s="1"/>
      <c r="G181" s="1"/>
    </row>
    <row r="182" ht="14.25" customHeight="1">
      <c r="A182" s="52"/>
      <c r="B182" s="53"/>
      <c r="C182" s="53"/>
      <c r="D182" s="53"/>
      <c r="E182" s="53"/>
      <c r="F182" s="1"/>
      <c r="G182" s="1"/>
    </row>
    <row r="183" ht="14.25" customHeight="1">
      <c r="A183" s="52"/>
      <c r="B183" s="53"/>
      <c r="C183" s="53"/>
      <c r="D183" s="53"/>
      <c r="E183" s="53"/>
      <c r="F183" s="1"/>
      <c r="G183" s="1"/>
    </row>
    <row r="184" ht="14.25" customHeight="1">
      <c r="A184" s="52"/>
      <c r="B184" s="53"/>
      <c r="C184" s="53"/>
      <c r="D184" s="53"/>
      <c r="E184" s="53"/>
      <c r="F184" s="1"/>
      <c r="G184" s="1"/>
    </row>
    <row r="185" ht="14.25" customHeight="1">
      <c r="A185" s="52"/>
      <c r="B185" s="53"/>
      <c r="C185" s="53"/>
      <c r="D185" s="53"/>
      <c r="E185" s="53"/>
      <c r="F185" s="1"/>
      <c r="G185" s="1"/>
    </row>
    <row r="186" ht="14.25" customHeight="1">
      <c r="A186" s="52"/>
      <c r="B186" s="53"/>
      <c r="C186" s="53"/>
      <c r="D186" s="53"/>
      <c r="E186" s="53"/>
      <c r="F186" s="1"/>
      <c r="G186" s="1"/>
    </row>
    <row r="187" ht="14.25" customHeight="1">
      <c r="A187" s="52"/>
      <c r="B187" s="53"/>
      <c r="C187" s="53"/>
      <c r="D187" s="53"/>
      <c r="E187" s="53"/>
      <c r="F187" s="1"/>
      <c r="G187" s="1"/>
    </row>
    <row r="188" ht="14.25" customHeight="1">
      <c r="A188" s="52"/>
      <c r="B188" s="53"/>
      <c r="C188" s="53"/>
      <c r="D188" s="53"/>
      <c r="E188" s="53"/>
      <c r="F188" s="1"/>
      <c r="G188" s="1"/>
    </row>
    <row r="189" ht="14.25" customHeight="1">
      <c r="A189" s="52"/>
      <c r="B189" s="53"/>
      <c r="C189" s="53"/>
      <c r="D189" s="53"/>
      <c r="E189" s="53"/>
      <c r="F189" s="1"/>
      <c r="G189" s="1"/>
    </row>
    <row r="190" ht="14.25" customHeight="1">
      <c r="A190" s="52"/>
      <c r="B190" s="53"/>
      <c r="C190" s="53"/>
      <c r="D190" s="53"/>
      <c r="E190" s="53"/>
      <c r="F190" s="1"/>
      <c r="G190" s="1"/>
    </row>
    <row r="191" ht="14.25" customHeight="1">
      <c r="A191" s="52"/>
      <c r="B191" s="53"/>
      <c r="C191" s="53"/>
      <c r="D191" s="53"/>
      <c r="E191" s="53"/>
      <c r="F191" s="1"/>
      <c r="G191" s="1"/>
    </row>
    <row r="192" ht="14.25" customHeight="1">
      <c r="A192" s="52"/>
      <c r="B192" s="53"/>
      <c r="C192" s="53"/>
      <c r="D192" s="53"/>
      <c r="E192" s="53"/>
      <c r="F192" s="1"/>
      <c r="G192" s="1"/>
    </row>
    <row r="193" ht="14.25" customHeight="1">
      <c r="A193" s="52"/>
      <c r="B193" s="53"/>
      <c r="C193" s="53"/>
      <c r="D193" s="53"/>
      <c r="E193" s="53"/>
      <c r="F193" s="1"/>
      <c r="G193" s="1"/>
    </row>
    <row r="194" ht="14.25" customHeight="1">
      <c r="A194" s="52"/>
      <c r="B194" s="53"/>
      <c r="C194" s="53"/>
      <c r="D194" s="53"/>
      <c r="E194" s="53"/>
      <c r="F194" s="1"/>
      <c r="G194" s="1"/>
    </row>
    <row r="195" ht="14.25" customHeight="1">
      <c r="A195" s="52"/>
      <c r="B195" s="53"/>
      <c r="C195" s="53"/>
      <c r="D195" s="53"/>
      <c r="E195" s="53"/>
      <c r="F195" s="1"/>
      <c r="G195" s="1"/>
    </row>
    <row r="196" ht="14.25" customHeight="1">
      <c r="A196" s="52"/>
      <c r="B196" s="53"/>
      <c r="C196" s="53"/>
      <c r="D196" s="53"/>
      <c r="E196" s="53"/>
      <c r="F196" s="1"/>
      <c r="G196" s="1"/>
    </row>
    <row r="197" ht="14.25" customHeight="1">
      <c r="A197" s="52"/>
      <c r="B197" s="53"/>
      <c r="C197" s="53"/>
      <c r="D197" s="53"/>
      <c r="E197" s="53"/>
      <c r="F197" s="1"/>
      <c r="G197" s="1"/>
    </row>
    <row r="198" ht="14.25" customHeight="1">
      <c r="A198" s="52"/>
      <c r="B198" s="53"/>
      <c r="C198" s="53"/>
      <c r="D198" s="53"/>
      <c r="E198" s="53"/>
      <c r="F198" s="1"/>
      <c r="G198" s="1"/>
    </row>
    <row r="199" ht="14.25" customHeight="1">
      <c r="A199" s="52"/>
      <c r="B199" s="53"/>
      <c r="C199" s="53"/>
      <c r="D199" s="53"/>
      <c r="E199" s="53"/>
      <c r="F199" s="1"/>
      <c r="G199" s="1"/>
    </row>
    <row r="200" ht="14.25" customHeight="1">
      <c r="A200" s="52"/>
      <c r="B200" s="53"/>
      <c r="C200" s="53"/>
      <c r="D200" s="53"/>
      <c r="E200" s="53"/>
      <c r="F200" s="1"/>
      <c r="G200" s="1"/>
    </row>
    <row r="201" ht="14.25" customHeight="1">
      <c r="A201" s="52"/>
      <c r="B201" s="53"/>
      <c r="C201" s="53"/>
      <c r="D201" s="53"/>
      <c r="E201" s="53"/>
      <c r="F201" s="1"/>
      <c r="G201" s="1"/>
    </row>
    <row r="202" ht="14.25" customHeight="1">
      <c r="A202" s="52"/>
      <c r="B202" s="53"/>
      <c r="C202" s="53"/>
      <c r="D202" s="53"/>
      <c r="E202" s="53"/>
      <c r="F202" s="1"/>
      <c r="G202" s="1"/>
    </row>
    <row r="203" ht="14.25" customHeight="1">
      <c r="A203" s="52"/>
      <c r="B203" s="53"/>
      <c r="C203" s="53"/>
      <c r="D203" s="53"/>
      <c r="E203" s="53"/>
      <c r="F203" s="1"/>
      <c r="G203" s="1"/>
    </row>
    <row r="204" ht="14.25" customHeight="1">
      <c r="A204" s="52"/>
      <c r="B204" s="53"/>
      <c r="C204" s="53"/>
      <c r="D204" s="53"/>
      <c r="E204" s="53"/>
      <c r="F204" s="1"/>
      <c r="G204" s="1"/>
    </row>
    <row r="205" ht="14.25" customHeight="1">
      <c r="A205" s="52"/>
      <c r="B205" s="53"/>
      <c r="C205" s="53"/>
      <c r="D205" s="53"/>
      <c r="E205" s="53"/>
      <c r="F205" s="1"/>
      <c r="G205" s="1"/>
    </row>
    <row r="206" ht="14.25" customHeight="1">
      <c r="A206" s="52"/>
      <c r="B206" s="53"/>
      <c r="C206" s="53"/>
      <c r="D206" s="53"/>
      <c r="E206" s="53"/>
      <c r="F206" s="1"/>
      <c r="G206" s="1"/>
    </row>
    <row r="207" ht="14.25" customHeight="1">
      <c r="A207" s="52"/>
      <c r="B207" s="53"/>
      <c r="C207" s="53"/>
      <c r="D207" s="53"/>
      <c r="E207" s="53"/>
      <c r="F207" s="1"/>
      <c r="G207" s="1"/>
    </row>
    <row r="208" ht="14.25" customHeight="1">
      <c r="A208" s="52"/>
      <c r="B208" s="53"/>
      <c r="C208" s="53"/>
      <c r="D208" s="53"/>
      <c r="E208" s="53"/>
      <c r="F208" s="1"/>
      <c r="G208" s="1"/>
    </row>
    <row r="209" ht="14.25" customHeight="1">
      <c r="A209" s="52"/>
      <c r="B209" s="53"/>
      <c r="C209" s="53"/>
      <c r="D209" s="53"/>
      <c r="E209" s="53"/>
      <c r="F209" s="1"/>
      <c r="G209" s="1"/>
    </row>
    <row r="210" ht="14.25" customHeight="1">
      <c r="A210" s="52"/>
      <c r="B210" s="53"/>
      <c r="C210" s="53"/>
      <c r="D210" s="53"/>
      <c r="E210" s="53"/>
      <c r="F210" s="1"/>
      <c r="G210" s="1"/>
    </row>
    <row r="211" ht="14.25" customHeight="1">
      <c r="A211" s="52"/>
      <c r="B211" s="53"/>
      <c r="C211" s="53"/>
      <c r="D211" s="53"/>
      <c r="E211" s="53"/>
      <c r="F211" s="1"/>
      <c r="G211" s="1"/>
    </row>
    <row r="212" ht="14.25" customHeight="1">
      <c r="A212" s="52"/>
      <c r="B212" s="53"/>
      <c r="C212" s="53"/>
      <c r="D212" s="53"/>
      <c r="E212" s="53"/>
      <c r="F212" s="1"/>
      <c r="G212" s="1"/>
    </row>
    <row r="213" ht="14.25" customHeight="1">
      <c r="A213" s="52"/>
      <c r="B213" s="53"/>
      <c r="C213" s="53"/>
      <c r="D213" s="53"/>
      <c r="E213" s="53"/>
      <c r="F213" s="1"/>
      <c r="G213" s="1"/>
    </row>
    <row r="214" ht="14.25" customHeight="1">
      <c r="A214" s="52"/>
      <c r="B214" s="53"/>
      <c r="C214" s="53"/>
      <c r="D214" s="53"/>
      <c r="E214" s="53"/>
      <c r="F214" s="1"/>
      <c r="G214" s="1"/>
    </row>
    <row r="215" ht="14.25" customHeight="1">
      <c r="A215" s="52"/>
      <c r="B215" s="53"/>
      <c r="C215" s="53"/>
      <c r="D215" s="53"/>
      <c r="E215" s="53"/>
      <c r="F215" s="1"/>
      <c r="G215" s="1"/>
    </row>
    <row r="216" ht="14.25" customHeight="1">
      <c r="A216" s="52"/>
      <c r="B216" s="53"/>
      <c r="C216" s="53"/>
      <c r="D216" s="53"/>
      <c r="E216" s="53"/>
      <c r="F216" s="1"/>
      <c r="G216" s="1"/>
    </row>
    <row r="217" ht="14.25" customHeight="1">
      <c r="A217" s="52"/>
      <c r="B217" s="53"/>
      <c r="C217" s="53"/>
      <c r="D217" s="53"/>
      <c r="E217" s="53"/>
      <c r="F217" s="1"/>
      <c r="G217" s="1"/>
    </row>
    <row r="218" ht="14.25" customHeight="1">
      <c r="A218" s="52"/>
      <c r="B218" s="53"/>
      <c r="C218" s="53"/>
      <c r="D218" s="53"/>
      <c r="E218" s="53"/>
      <c r="F218" s="1"/>
      <c r="G218" s="1"/>
    </row>
    <row r="219" ht="14.25" customHeight="1">
      <c r="A219" s="52"/>
      <c r="B219" s="53"/>
      <c r="C219" s="53"/>
      <c r="D219" s="53"/>
      <c r="E219" s="53"/>
      <c r="F219" s="1"/>
      <c r="G219" s="1"/>
    </row>
    <row r="220" ht="14.25" customHeight="1">
      <c r="A220" s="52"/>
      <c r="B220" s="53"/>
      <c r="C220" s="53"/>
      <c r="D220" s="53"/>
      <c r="E220" s="53"/>
      <c r="F220" s="1"/>
      <c r="G220" s="1"/>
    </row>
    <row r="221" ht="14.25" customHeight="1">
      <c r="A221" s="52"/>
      <c r="B221" s="53"/>
      <c r="C221" s="53"/>
      <c r="D221" s="53"/>
      <c r="E221" s="53"/>
      <c r="F221" s="1"/>
      <c r="G221" s="1"/>
    </row>
    <row r="222" ht="14.25" customHeight="1">
      <c r="A222" s="52"/>
      <c r="B222" s="53"/>
      <c r="C222" s="53"/>
      <c r="D222" s="53"/>
      <c r="E222" s="53"/>
      <c r="F222" s="1"/>
      <c r="G222" s="1"/>
    </row>
    <row r="223" ht="14.25" customHeight="1">
      <c r="A223" s="52"/>
      <c r="B223" s="53"/>
      <c r="C223" s="53"/>
      <c r="D223" s="53"/>
      <c r="E223" s="53"/>
      <c r="F223" s="1"/>
      <c r="G223" s="1"/>
    </row>
    <row r="224" ht="14.25" customHeight="1">
      <c r="A224" s="52"/>
      <c r="B224" s="53"/>
      <c r="C224" s="53"/>
      <c r="D224" s="53"/>
      <c r="E224" s="53"/>
      <c r="F224" s="1"/>
      <c r="G224" s="1"/>
    </row>
    <row r="225" ht="14.25" customHeight="1">
      <c r="A225" s="52"/>
      <c r="B225" s="53"/>
      <c r="C225" s="53"/>
      <c r="D225" s="53"/>
      <c r="E225" s="53"/>
      <c r="F225" s="1"/>
      <c r="G225" s="1"/>
    </row>
    <row r="226" ht="14.25" customHeight="1">
      <c r="A226" s="52"/>
      <c r="B226" s="53"/>
      <c r="C226" s="53"/>
      <c r="D226" s="53"/>
      <c r="E226" s="53"/>
      <c r="F226" s="1"/>
      <c r="G226" s="1"/>
    </row>
    <row r="227" ht="14.25" customHeight="1">
      <c r="A227" s="52"/>
      <c r="B227" s="53"/>
      <c r="C227" s="53"/>
      <c r="D227" s="53"/>
      <c r="E227" s="53"/>
      <c r="F227" s="1"/>
      <c r="G227" s="1"/>
    </row>
    <row r="228" ht="14.25" customHeight="1">
      <c r="A228" s="52"/>
      <c r="B228" s="53"/>
      <c r="C228" s="53"/>
      <c r="D228" s="53"/>
      <c r="E228" s="53"/>
      <c r="F228" s="1"/>
      <c r="G228" s="1"/>
    </row>
    <row r="229" ht="14.25" customHeight="1">
      <c r="A229" s="52"/>
      <c r="B229" s="53"/>
      <c r="C229" s="53"/>
      <c r="D229" s="53"/>
      <c r="E229" s="53"/>
      <c r="F229" s="1"/>
      <c r="G229" s="1"/>
    </row>
    <row r="230" ht="14.25" customHeight="1">
      <c r="A230" s="52"/>
      <c r="B230" s="53"/>
      <c r="C230" s="53"/>
      <c r="D230" s="53"/>
      <c r="E230" s="53"/>
      <c r="F230" s="1"/>
      <c r="G230" s="1"/>
    </row>
    <row r="231" ht="14.25" customHeight="1">
      <c r="A231" s="52"/>
      <c r="B231" s="53"/>
      <c r="C231" s="53"/>
      <c r="D231" s="53"/>
      <c r="E231" s="53"/>
      <c r="F231" s="1"/>
      <c r="G231" s="1"/>
    </row>
    <row r="232" ht="14.25" customHeight="1">
      <c r="A232" s="52"/>
      <c r="B232" s="53"/>
      <c r="C232" s="53"/>
      <c r="D232" s="53"/>
      <c r="E232" s="53"/>
      <c r="F232" s="1"/>
      <c r="G232" s="1"/>
    </row>
    <row r="233" ht="14.25" customHeight="1">
      <c r="A233" s="52"/>
      <c r="B233" s="53"/>
      <c r="C233" s="53"/>
      <c r="D233" s="53"/>
      <c r="E233" s="53"/>
      <c r="F233" s="1"/>
      <c r="G233" s="1"/>
    </row>
    <row r="234" ht="14.25" customHeight="1">
      <c r="A234" s="52"/>
      <c r="B234" s="53"/>
      <c r="C234" s="53"/>
      <c r="D234" s="53"/>
      <c r="E234" s="53"/>
      <c r="F234" s="1"/>
      <c r="G234" s="1"/>
    </row>
    <row r="235" ht="14.25" customHeight="1">
      <c r="A235" s="52"/>
      <c r="B235" s="53"/>
      <c r="C235" s="53"/>
      <c r="D235" s="53"/>
      <c r="E235" s="53"/>
      <c r="F235" s="1"/>
      <c r="G235" s="1"/>
    </row>
    <row r="236" ht="14.25" customHeight="1">
      <c r="A236" s="52"/>
      <c r="B236" s="53"/>
      <c r="C236" s="53"/>
      <c r="D236" s="53"/>
      <c r="E236" s="53"/>
      <c r="F236" s="1"/>
      <c r="G236" s="1"/>
    </row>
    <row r="237" ht="14.25" customHeight="1">
      <c r="A237" s="52"/>
      <c r="B237" s="53"/>
      <c r="C237" s="53"/>
      <c r="D237" s="53"/>
      <c r="E237" s="53"/>
      <c r="F237" s="1"/>
      <c r="G237" s="1"/>
    </row>
    <row r="238" ht="14.25" customHeight="1">
      <c r="A238" s="52"/>
      <c r="B238" s="53"/>
      <c r="C238" s="53"/>
      <c r="D238" s="53"/>
      <c r="E238" s="53"/>
      <c r="F238" s="1"/>
      <c r="G238" s="1"/>
    </row>
    <row r="239" ht="14.25" customHeight="1">
      <c r="A239" s="52"/>
      <c r="B239" s="53"/>
      <c r="C239" s="53"/>
      <c r="D239" s="53"/>
      <c r="E239" s="53"/>
      <c r="F239" s="1"/>
      <c r="G239" s="1"/>
    </row>
    <row r="240" ht="14.25" customHeight="1">
      <c r="A240" s="52"/>
      <c r="B240" s="53"/>
      <c r="C240" s="53"/>
      <c r="D240" s="53"/>
      <c r="E240" s="53"/>
      <c r="F240" s="1"/>
      <c r="G240" s="1"/>
    </row>
    <row r="241" ht="14.25" customHeight="1">
      <c r="A241" s="52"/>
      <c r="B241" s="53"/>
      <c r="C241" s="53"/>
      <c r="D241" s="53"/>
      <c r="E241" s="53"/>
      <c r="F241" s="1"/>
      <c r="G241" s="1"/>
    </row>
    <row r="242" ht="14.25" customHeight="1">
      <c r="A242" s="52"/>
      <c r="B242" s="53"/>
      <c r="C242" s="53"/>
      <c r="D242" s="53"/>
      <c r="E242" s="53"/>
      <c r="F242" s="1"/>
      <c r="G242" s="1"/>
    </row>
    <row r="243" ht="14.25" customHeight="1">
      <c r="A243" s="52"/>
      <c r="B243" s="53"/>
      <c r="C243" s="53"/>
      <c r="D243" s="53"/>
      <c r="E243" s="53"/>
      <c r="F243" s="1"/>
      <c r="G243" s="1"/>
    </row>
    <row r="244" ht="14.25" customHeight="1">
      <c r="A244" s="52"/>
      <c r="B244" s="53"/>
      <c r="C244" s="53"/>
      <c r="D244" s="53"/>
      <c r="E244" s="53"/>
      <c r="F244" s="1"/>
      <c r="G244" s="1"/>
    </row>
    <row r="245" ht="14.25" customHeight="1">
      <c r="A245" s="52"/>
      <c r="B245" s="53"/>
      <c r="C245" s="53"/>
      <c r="D245" s="53"/>
      <c r="E245" s="53"/>
      <c r="F245" s="1"/>
      <c r="G245" s="1"/>
    </row>
    <row r="246" ht="14.25" customHeight="1">
      <c r="A246" s="52"/>
      <c r="B246" s="53"/>
      <c r="C246" s="53"/>
      <c r="D246" s="53"/>
      <c r="E246" s="53"/>
      <c r="F246" s="1"/>
      <c r="G246" s="1"/>
    </row>
    <row r="247" ht="14.25" customHeight="1">
      <c r="A247" s="52"/>
      <c r="B247" s="53"/>
      <c r="C247" s="53"/>
      <c r="D247" s="53"/>
      <c r="E247" s="53"/>
      <c r="F247" s="1"/>
      <c r="G247" s="1"/>
    </row>
    <row r="248" ht="14.25" customHeight="1">
      <c r="A248" s="52"/>
      <c r="B248" s="53"/>
      <c r="C248" s="53"/>
      <c r="D248" s="53"/>
      <c r="E248" s="53"/>
      <c r="F248" s="1"/>
      <c r="G248" s="1"/>
    </row>
    <row r="249" ht="14.25" customHeight="1">
      <c r="A249" s="52"/>
      <c r="B249" s="53"/>
      <c r="C249" s="53"/>
      <c r="D249" s="53"/>
      <c r="E249" s="53"/>
      <c r="F249" s="1"/>
      <c r="G249" s="1"/>
    </row>
    <row r="250" ht="14.25" customHeight="1">
      <c r="A250" s="52"/>
      <c r="B250" s="53"/>
      <c r="C250" s="53"/>
      <c r="D250" s="53"/>
      <c r="E250" s="53"/>
      <c r="F250" s="1"/>
      <c r="G250" s="1"/>
    </row>
    <row r="251" ht="14.25" customHeight="1">
      <c r="A251" s="52"/>
      <c r="B251" s="53"/>
      <c r="C251" s="53"/>
      <c r="D251" s="53"/>
      <c r="E251" s="53"/>
      <c r="F251" s="1"/>
      <c r="G251" s="1"/>
    </row>
    <row r="252" ht="14.25" customHeight="1">
      <c r="A252" s="52"/>
      <c r="B252" s="53"/>
      <c r="C252" s="53"/>
      <c r="D252" s="53"/>
      <c r="E252" s="53"/>
      <c r="F252" s="1"/>
      <c r="G252" s="1"/>
    </row>
    <row r="253" ht="14.25" customHeight="1">
      <c r="A253" s="52"/>
      <c r="B253" s="53"/>
      <c r="C253" s="53"/>
      <c r="D253" s="53"/>
      <c r="E253" s="53"/>
      <c r="F253" s="1"/>
      <c r="G253" s="1"/>
    </row>
    <row r="254" ht="14.25" customHeight="1">
      <c r="A254" s="52"/>
      <c r="B254" s="53"/>
      <c r="C254" s="53"/>
      <c r="D254" s="53"/>
      <c r="E254" s="53"/>
      <c r="F254" s="1"/>
      <c r="G254" s="1"/>
    </row>
    <row r="255" ht="14.25" customHeight="1">
      <c r="A255" s="52"/>
      <c r="B255" s="53"/>
      <c r="C255" s="53"/>
      <c r="D255" s="53"/>
      <c r="E255" s="53"/>
      <c r="F255" s="1"/>
      <c r="G255" s="1"/>
    </row>
    <row r="256" ht="14.25" customHeight="1">
      <c r="A256" s="52"/>
      <c r="B256" s="53"/>
      <c r="C256" s="53"/>
      <c r="D256" s="53"/>
      <c r="E256" s="53"/>
      <c r="F256" s="1"/>
      <c r="G256" s="1"/>
    </row>
    <row r="257" ht="14.25" customHeight="1">
      <c r="A257" s="52"/>
      <c r="B257" s="53"/>
      <c r="C257" s="53"/>
      <c r="D257" s="53"/>
      <c r="E257" s="53"/>
      <c r="F257" s="1"/>
      <c r="G257" s="1"/>
    </row>
    <row r="258" ht="14.25" customHeight="1">
      <c r="A258" s="52"/>
      <c r="B258" s="53"/>
      <c r="C258" s="53"/>
      <c r="D258" s="53"/>
      <c r="E258" s="53"/>
      <c r="F258" s="1"/>
      <c r="G258" s="1"/>
    </row>
    <row r="259" ht="14.25" customHeight="1">
      <c r="A259" s="52"/>
      <c r="B259" s="53"/>
      <c r="C259" s="53"/>
      <c r="D259" s="53"/>
      <c r="E259" s="53"/>
      <c r="F259" s="1"/>
      <c r="G259" s="1"/>
    </row>
    <row r="260" ht="14.25" customHeight="1">
      <c r="A260" s="52"/>
      <c r="B260" s="53"/>
      <c r="C260" s="53"/>
      <c r="D260" s="53"/>
      <c r="E260" s="53"/>
      <c r="F260" s="1"/>
      <c r="G260" s="1"/>
    </row>
    <row r="261" ht="14.25" customHeight="1">
      <c r="A261" s="52"/>
      <c r="B261" s="53"/>
      <c r="C261" s="53"/>
      <c r="D261" s="53"/>
      <c r="E261" s="53"/>
      <c r="F261" s="1"/>
      <c r="G261" s="1"/>
    </row>
    <row r="262" ht="14.25" customHeight="1">
      <c r="A262" s="52"/>
      <c r="B262" s="53"/>
      <c r="C262" s="53"/>
      <c r="D262" s="53"/>
      <c r="E262" s="53"/>
      <c r="F262" s="1"/>
      <c r="G262" s="1"/>
    </row>
    <row r="263" ht="14.25" customHeight="1">
      <c r="A263" s="52"/>
      <c r="B263" s="53"/>
      <c r="C263" s="53"/>
      <c r="D263" s="53"/>
      <c r="E263" s="53"/>
      <c r="F263" s="1"/>
      <c r="G263" s="1"/>
    </row>
    <row r="264" ht="14.25" customHeight="1">
      <c r="A264" s="52"/>
      <c r="B264" s="53"/>
      <c r="C264" s="53"/>
      <c r="D264" s="53"/>
      <c r="E264" s="53"/>
      <c r="F264" s="1"/>
      <c r="G264" s="1"/>
    </row>
    <row r="265" ht="14.25" customHeight="1">
      <c r="A265" s="52"/>
      <c r="B265" s="53"/>
      <c r="C265" s="53"/>
      <c r="D265" s="53"/>
      <c r="E265" s="53"/>
      <c r="F265" s="1"/>
      <c r="G265" s="1"/>
    </row>
    <row r="266" ht="14.25" customHeight="1">
      <c r="A266" s="52"/>
      <c r="B266" s="53"/>
      <c r="C266" s="53"/>
      <c r="D266" s="53"/>
      <c r="E266" s="53"/>
      <c r="F266" s="1"/>
      <c r="G266" s="1"/>
    </row>
    <row r="267" ht="14.25" customHeight="1">
      <c r="A267" s="52"/>
      <c r="B267" s="53"/>
      <c r="C267" s="53"/>
      <c r="D267" s="53"/>
      <c r="E267" s="53"/>
      <c r="F267" s="1"/>
      <c r="G267" s="1"/>
    </row>
    <row r="268" ht="14.25" customHeight="1">
      <c r="A268" s="52"/>
      <c r="B268" s="53"/>
      <c r="C268" s="53"/>
      <c r="D268" s="53"/>
      <c r="E268" s="53"/>
      <c r="F268" s="1"/>
      <c r="G268" s="1"/>
    </row>
    <row r="269" ht="14.25" customHeight="1">
      <c r="A269" s="52"/>
      <c r="B269" s="53"/>
      <c r="C269" s="53"/>
      <c r="D269" s="53"/>
      <c r="E269" s="53"/>
      <c r="F269" s="1"/>
      <c r="G269" s="1"/>
    </row>
    <row r="270" ht="14.25" customHeight="1">
      <c r="A270" s="52"/>
      <c r="B270" s="53"/>
      <c r="C270" s="53"/>
      <c r="D270" s="53"/>
      <c r="E270" s="53"/>
      <c r="F270" s="1"/>
      <c r="G270" s="1"/>
    </row>
    <row r="271" ht="14.25" customHeight="1">
      <c r="A271" s="52"/>
      <c r="B271" s="53"/>
      <c r="C271" s="53"/>
      <c r="D271" s="53"/>
      <c r="E271" s="53"/>
      <c r="F271" s="1"/>
      <c r="G271" s="1"/>
    </row>
    <row r="272" ht="14.25" customHeight="1">
      <c r="A272" s="52"/>
      <c r="B272" s="53"/>
      <c r="C272" s="53"/>
      <c r="D272" s="53"/>
      <c r="E272" s="53"/>
      <c r="F272" s="1"/>
      <c r="G272" s="1"/>
    </row>
    <row r="273" ht="14.25" customHeight="1">
      <c r="A273" s="52"/>
      <c r="B273" s="53"/>
      <c r="C273" s="53"/>
      <c r="D273" s="53"/>
      <c r="E273" s="53"/>
      <c r="F273" s="1"/>
      <c r="G273" s="1"/>
    </row>
    <row r="274" ht="14.25" customHeight="1">
      <c r="A274" s="52"/>
      <c r="B274" s="53"/>
      <c r="C274" s="53"/>
      <c r="D274" s="53"/>
      <c r="E274" s="53"/>
      <c r="F274" s="1"/>
      <c r="G274" s="1"/>
    </row>
    <row r="275" ht="14.25" customHeight="1">
      <c r="A275" s="52"/>
      <c r="B275" s="53"/>
      <c r="C275" s="53"/>
      <c r="D275" s="53"/>
      <c r="E275" s="53"/>
      <c r="F275" s="1"/>
      <c r="G275" s="1"/>
    </row>
    <row r="276" ht="14.25" customHeight="1">
      <c r="A276" s="52"/>
      <c r="B276" s="53"/>
      <c r="C276" s="53"/>
      <c r="D276" s="53"/>
      <c r="E276" s="53"/>
      <c r="F276" s="1"/>
      <c r="G276" s="1"/>
    </row>
    <row r="277" ht="14.25" customHeight="1">
      <c r="A277" s="52"/>
      <c r="B277" s="53"/>
      <c r="C277" s="53"/>
      <c r="D277" s="53"/>
      <c r="E277" s="53"/>
      <c r="F277" s="1"/>
      <c r="G277" s="1"/>
    </row>
    <row r="278" ht="14.25" customHeight="1">
      <c r="A278" s="52"/>
      <c r="B278" s="53"/>
      <c r="C278" s="53"/>
      <c r="D278" s="53"/>
      <c r="E278" s="53"/>
      <c r="F278" s="1"/>
      <c r="G278" s="1"/>
    </row>
    <row r="279" ht="14.25" customHeight="1">
      <c r="A279" s="52"/>
      <c r="B279" s="53"/>
      <c r="C279" s="53"/>
      <c r="D279" s="53"/>
      <c r="E279" s="53"/>
      <c r="F279" s="1"/>
      <c r="G279" s="1"/>
    </row>
    <row r="280" ht="14.25" customHeight="1">
      <c r="A280" s="52"/>
      <c r="B280" s="53"/>
      <c r="C280" s="53"/>
      <c r="D280" s="53"/>
      <c r="E280" s="53"/>
      <c r="F280" s="1"/>
      <c r="G280" s="1"/>
    </row>
    <row r="281" ht="14.25" customHeight="1">
      <c r="A281" s="52"/>
      <c r="B281" s="53"/>
      <c r="C281" s="53"/>
      <c r="D281" s="53"/>
      <c r="E281" s="53"/>
      <c r="F281" s="1"/>
      <c r="G281" s="1"/>
    </row>
    <row r="282" ht="14.25" customHeight="1">
      <c r="A282" s="52"/>
      <c r="B282" s="53"/>
      <c r="C282" s="53"/>
      <c r="D282" s="53"/>
      <c r="E282" s="53"/>
      <c r="F282" s="1"/>
      <c r="G282" s="1"/>
    </row>
    <row r="283" ht="14.25" customHeight="1">
      <c r="A283" s="52"/>
      <c r="B283" s="53"/>
      <c r="C283" s="53"/>
      <c r="D283" s="53"/>
      <c r="E283" s="53"/>
      <c r="F283" s="1"/>
      <c r="G283" s="1"/>
    </row>
    <row r="284" ht="14.25" customHeight="1">
      <c r="A284" s="52"/>
      <c r="B284" s="53"/>
      <c r="C284" s="53"/>
      <c r="D284" s="53"/>
      <c r="E284" s="53"/>
      <c r="F284" s="1"/>
      <c r="G284" s="1"/>
    </row>
    <row r="285" ht="14.25" customHeight="1">
      <c r="A285" s="52"/>
      <c r="B285" s="53"/>
      <c r="C285" s="53"/>
      <c r="D285" s="53"/>
      <c r="E285" s="53"/>
      <c r="F285" s="1"/>
      <c r="G285" s="1"/>
    </row>
    <row r="286" ht="14.25" customHeight="1">
      <c r="A286" s="52"/>
      <c r="B286" s="53"/>
      <c r="C286" s="53"/>
      <c r="D286" s="53"/>
      <c r="E286" s="53"/>
      <c r="F286" s="1"/>
      <c r="G286" s="1"/>
    </row>
    <row r="287" ht="14.25" customHeight="1">
      <c r="A287" s="52"/>
      <c r="B287" s="53"/>
      <c r="C287" s="53"/>
      <c r="D287" s="53"/>
      <c r="E287" s="53"/>
      <c r="F287" s="1"/>
      <c r="G287" s="1"/>
    </row>
    <row r="288" ht="14.25" customHeight="1">
      <c r="A288" s="52"/>
      <c r="B288" s="53"/>
      <c r="C288" s="53"/>
      <c r="D288" s="53"/>
      <c r="E288" s="53"/>
      <c r="F288" s="1"/>
      <c r="G288" s="1"/>
    </row>
    <row r="289" ht="14.25" customHeight="1">
      <c r="A289" s="52"/>
      <c r="B289" s="53"/>
      <c r="C289" s="53"/>
      <c r="D289" s="53"/>
      <c r="E289" s="53"/>
      <c r="F289" s="1"/>
      <c r="G289" s="1"/>
    </row>
    <row r="290" ht="14.25" customHeight="1">
      <c r="A290" s="52"/>
      <c r="B290" s="53"/>
      <c r="C290" s="53"/>
      <c r="D290" s="53"/>
      <c r="E290" s="53"/>
      <c r="F290" s="1"/>
      <c r="G290" s="1"/>
    </row>
    <row r="291" ht="14.25" customHeight="1">
      <c r="A291" s="52"/>
      <c r="B291" s="53"/>
      <c r="C291" s="53"/>
      <c r="D291" s="53"/>
      <c r="E291" s="53"/>
      <c r="F291" s="1"/>
      <c r="G291" s="1"/>
    </row>
    <row r="292" ht="14.25" customHeight="1">
      <c r="A292" s="52"/>
      <c r="B292" s="53"/>
      <c r="C292" s="53"/>
      <c r="D292" s="53"/>
      <c r="E292" s="53"/>
      <c r="F292" s="1"/>
      <c r="G292" s="1"/>
    </row>
    <row r="293" ht="14.25" customHeight="1">
      <c r="A293" s="52"/>
      <c r="B293" s="53"/>
      <c r="C293" s="53"/>
      <c r="D293" s="53"/>
      <c r="E293" s="53"/>
      <c r="F293" s="1"/>
      <c r="G293" s="1"/>
    </row>
    <row r="294" ht="14.25" customHeight="1">
      <c r="A294" s="52"/>
      <c r="B294" s="53"/>
      <c r="C294" s="53"/>
      <c r="D294" s="53"/>
      <c r="E294" s="53"/>
      <c r="F294" s="1"/>
      <c r="G294" s="1"/>
    </row>
    <row r="295" ht="14.25" customHeight="1">
      <c r="A295" s="52"/>
      <c r="B295" s="53"/>
      <c r="C295" s="53"/>
      <c r="D295" s="53"/>
      <c r="E295" s="53"/>
      <c r="F295" s="1"/>
      <c r="G295" s="1"/>
    </row>
    <row r="296" ht="14.25" customHeight="1">
      <c r="A296" s="52"/>
      <c r="B296" s="53"/>
      <c r="C296" s="53"/>
      <c r="D296" s="53"/>
      <c r="E296" s="53"/>
      <c r="F296" s="1"/>
      <c r="G296" s="1"/>
    </row>
    <row r="297" ht="14.25" customHeight="1">
      <c r="A297" s="52"/>
      <c r="B297" s="53"/>
      <c r="C297" s="53"/>
      <c r="D297" s="53"/>
      <c r="E297" s="53"/>
      <c r="F297" s="1"/>
      <c r="G297" s="1"/>
    </row>
    <row r="298" ht="14.25" customHeight="1">
      <c r="A298" s="52"/>
      <c r="B298" s="53"/>
      <c r="C298" s="53"/>
      <c r="D298" s="53"/>
      <c r="E298" s="53"/>
      <c r="F298" s="1"/>
      <c r="G298" s="1"/>
    </row>
    <row r="299" ht="14.25" customHeight="1">
      <c r="A299" s="52"/>
      <c r="B299" s="53"/>
      <c r="C299" s="53"/>
      <c r="D299" s="53"/>
      <c r="E299" s="53"/>
      <c r="F299" s="1"/>
      <c r="G299" s="1"/>
    </row>
    <row r="300" ht="14.25" customHeight="1">
      <c r="A300" s="52"/>
      <c r="B300" s="53"/>
      <c r="C300" s="53"/>
      <c r="D300" s="53"/>
      <c r="E300" s="53"/>
      <c r="F300" s="1"/>
      <c r="G300" s="1"/>
    </row>
    <row r="301" ht="14.25" customHeight="1">
      <c r="A301" s="52"/>
      <c r="B301" s="53"/>
      <c r="C301" s="53"/>
      <c r="D301" s="53"/>
      <c r="E301" s="53"/>
      <c r="F301" s="1"/>
      <c r="G301" s="1"/>
    </row>
    <row r="302" ht="14.25" customHeight="1">
      <c r="A302" s="52"/>
      <c r="B302" s="53"/>
      <c r="C302" s="53"/>
      <c r="D302" s="53"/>
      <c r="E302" s="53"/>
      <c r="F302" s="1"/>
      <c r="G302" s="1"/>
    </row>
    <row r="303" ht="14.25" customHeight="1">
      <c r="A303" s="52"/>
      <c r="B303" s="53"/>
      <c r="C303" s="53"/>
      <c r="D303" s="53"/>
      <c r="E303" s="53"/>
      <c r="F303" s="1"/>
      <c r="G303" s="1"/>
    </row>
    <row r="304" ht="14.25" customHeight="1">
      <c r="A304" s="52"/>
      <c r="B304" s="53"/>
      <c r="C304" s="53"/>
      <c r="D304" s="53"/>
      <c r="E304" s="53"/>
      <c r="F304" s="1"/>
      <c r="G304" s="1"/>
    </row>
    <row r="305" ht="14.25" customHeight="1">
      <c r="A305" s="52"/>
      <c r="B305" s="53"/>
      <c r="C305" s="53"/>
      <c r="D305" s="53"/>
      <c r="E305" s="53"/>
      <c r="F305" s="1"/>
      <c r="G305" s="1"/>
    </row>
    <row r="306" ht="14.25" customHeight="1">
      <c r="A306" s="52"/>
      <c r="B306" s="53"/>
      <c r="C306" s="53"/>
      <c r="D306" s="53"/>
      <c r="E306" s="53"/>
      <c r="F306" s="1"/>
      <c r="G306" s="1"/>
    </row>
    <row r="307" ht="14.25" customHeight="1">
      <c r="A307" s="52"/>
      <c r="B307" s="53"/>
      <c r="C307" s="53"/>
      <c r="D307" s="53"/>
      <c r="E307" s="53"/>
      <c r="F307" s="1"/>
      <c r="G307" s="1"/>
    </row>
    <row r="308" ht="14.25" customHeight="1">
      <c r="A308" s="52"/>
      <c r="B308" s="53"/>
      <c r="C308" s="53"/>
      <c r="D308" s="53"/>
      <c r="E308" s="53"/>
      <c r="F308" s="1"/>
      <c r="G308" s="1"/>
    </row>
    <row r="309" ht="14.25" customHeight="1">
      <c r="A309" s="52"/>
      <c r="B309" s="53"/>
      <c r="C309" s="53"/>
      <c r="D309" s="53"/>
      <c r="E309" s="53"/>
      <c r="F309" s="1"/>
      <c r="G309" s="1"/>
    </row>
    <row r="310" ht="14.25" customHeight="1">
      <c r="A310" s="52"/>
      <c r="B310" s="53"/>
      <c r="C310" s="53"/>
      <c r="D310" s="53"/>
      <c r="E310" s="53"/>
      <c r="F310" s="1"/>
      <c r="G310" s="1"/>
    </row>
    <row r="311" ht="14.25" customHeight="1">
      <c r="A311" s="52"/>
      <c r="B311" s="53"/>
      <c r="C311" s="53"/>
      <c r="D311" s="53"/>
      <c r="E311" s="53"/>
      <c r="F311" s="1"/>
      <c r="G311" s="1"/>
    </row>
    <row r="312" ht="14.25" customHeight="1">
      <c r="A312" s="52"/>
      <c r="B312" s="53"/>
      <c r="C312" s="53"/>
      <c r="D312" s="53"/>
      <c r="E312" s="53"/>
      <c r="F312" s="1"/>
      <c r="G312" s="1"/>
    </row>
    <row r="313" ht="14.25" customHeight="1">
      <c r="A313" s="52"/>
      <c r="B313" s="53"/>
      <c r="C313" s="53"/>
      <c r="D313" s="53"/>
      <c r="E313" s="53"/>
      <c r="F313" s="1"/>
      <c r="G313" s="1"/>
    </row>
    <row r="314" ht="14.25" customHeight="1">
      <c r="A314" s="52"/>
      <c r="B314" s="53"/>
      <c r="C314" s="53"/>
      <c r="D314" s="53"/>
      <c r="E314" s="53"/>
      <c r="F314" s="1"/>
      <c r="G314" s="1"/>
    </row>
    <row r="315" ht="14.25" customHeight="1">
      <c r="A315" s="52"/>
      <c r="B315" s="53"/>
      <c r="C315" s="53"/>
      <c r="D315" s="53"/>
      <c r="E315" s="53"/>
      <c r="F315" s="1"/>
      <c r="G315" s="1"/>
    </row>
    <row r="316" ht="14.25" customHeight="1">
      <c r="A316" s="52"/>
      <c r="B316" s="53"/>
      <c r="C316" s="53"/>
      <c r="D316" s="53"/>
      <c r="E316" s="53"/>
      <c r="F316" s="1"/>
      <c r="G316" s="1"/>
    </row>
    <row r="317" ht="14.25" customHeight="1">
      <c r="A317" s="52"/>
      <c r="B317" s="53"/>
      <c r="C317" s="53"/>
      <c r="D317" s="53"/>
      <c r="E317" s="53"/>
      <c r="F317" s="1"/>
      <c r="G317" s="1"/>
    </row>
    <row r="318" ht="14.25" customHeight="1">
      <c r="A318" s="52"/>
      <c r="B318" s="53"/>
      <c r="C318" s="53"/>
      <c r="D318" s="53"/>
      <c r="E318" s="53"/>
      <c r="F318" s="1"/>
      <c r="G318" s="1"/>
    </row>
    <row r="319" ht="14.25" customHeight="1">
      <c r="A319" s="52"/>
      <c r="B319" s="53"/>
      <c r="C319" s="53"/>
      <c r="D319" s="53"/>
      <c r="E319" s="53"/>
      <c r="F319" s="1"/>
      <c r="G319" s="1"/>
    </row>
    <row r="320" ht="14.25" customHeight="1">
      <c r="A320" s="52"/>
      <c r="B320" s="53"/>
      <c r="C320" s="53"/>
      <c r="D320" s="53"/>
      <c r="E320" s="53"/>
      <c r="F320" s="1"/>
      <c r="G320" s="1"/>
    </row>
    <row r="321" ht="14.25" customHeight="1">
      <c r="A321" s="52"/>
      <c r="B321" s="53"/>
      <c r="C321" s="53"/>
      <c r="D321" s="53"/>
      <c r="E321" s="53"/>
      <c r="F321" s="1"/>
      <c r="G321" s="1"/>
    </row>
    <row r="322" ht="14.25" customHeight="1">
      <c r="A322" s="52"/>
      <c r="B322" s="53"/>
      <c r="C322" s="53"/>
      <c r="D322" s="53"/>
      <c r="E322" s="53"/>
      <c r="F322" s="1"/>
      <c r="G322" s="1"/>
    </row>
    <row r="323" ht="14.25" customHeight="1">
      <c r="A323" s="52"/>
      <c r="B323" s="53"/>
      <c r="C323" s="53"/>
      <c r="D323" s="53"/>
      <c r="E323" s="53"/>
      <c r="F323" s="1"/>
      <c r="G323" s="1"/>
    </row>
    <row r="324" ht="14.25" customHeight="1">
      <c r="A324" s="52"/>
      <c r="B324" s="53"/>
      <c r="C324" s="53"/>
      <c r="D324" s="53"/>
      <c r="E324" s="53"/>
      <c r="F324" s="1"/>
      <c r="G324" s="1"/>
    </row>
    <row r="325" ht="14.25" customHeight="1">
      <c r="A325" s="52"/>
      <c r="B325" s="53"/>
      <c r="C325" s="53"/>
      <c r="D325" s="53"/>
      <c r="E325" s="53"/>
      <c r="F325" s="1"/>
      <c r="G325" s="1"/>
    </row>
    <row r="326" ht="14.25" customHeight="1">
      <c r="A326" s="52"/>
      <c r="B326" s="53"/>
      <c r="C326" s="53"/>
      <c r="D326" s="53"/>
      <c r="E326" s="53"/>
      <c r="F326" s="1"/>
      <c r="G326" s="1"/>
    </row>
    <row r="327" ht="14.25" customHeight="1">
      <c r="A327" s="52"/>
      <c r="B327" s="53"/>
      <c r="C327" s="53"/>
      <c r="D327" s="53"/>
      <c r="E327" s="53"/>
      <c r="F327" s="1"/>
      <c r="G327" s="1"/>
    </row>
    <row r="328" ht="14.25" customHeight="1">
      <c r="A328" s="52"/>
      <c r="B328" s="53"/>
      <c r="C328" s="53"/>
      <c r="D328" s="53"/>
      <c r="E328" s="53"/>
      <c r="F328" s="1"/>
      <c r="G328" s="1"/>
    </row>
    <row r="329" ht="14.25" customHeight="1">
      <c r="A329" s="52"/>
      <c r="B329" s="53"/>
      <c r="C329" s="53"/>
      <c r="D329" s="53"/>
      <c r="E329" s="53"/>
      <c r="F329" s="1"/>
      <c r="G329" s="1"/>
    </row>
    <row r="330" ht="14.25" customHeight="1">
      <c r="A330" s="52"/>
      <c r="B330" s="53"/>
      <c r="C330" s="53"/>
      <c r="D330" s="53"/>
      <c r="E330" s="53"/>
      <c r="F330" s="1"/>
      <c r="G330" s="1"/>
    </row>
    <row r="331" ht="14.25" customHeight="1">
      <c r="A331" s="52"/>
      <c r="B331" s="53"/>
      <c r="C331" s="53"/>
      <c r="D331" s="53"/>
      <c r="E331" s="53"/>
      <c r="F331" s="1"/>
      <c r="G331" s="1"/>
    </row>
    <row r="332" ht="14.25" customHeight="1">
      <c r="A332" s="52"/>
      <c r="B332" s="53"/>
      <c r="C332" s="53"/>
      <c r="D332" s="53"/>
      <c r="E332" s="53"/>
      <c r="F332" s="1"/>
      <c r="G332" s="1"/>
    </row>
    <row r="333" ht="14.25" customHeight="1">
      <c r="A333" s="52"/>
      <c r="B333" s="53"/>
      <c r="C333" s="53"/>
      <c r="D333" s="53"/>
      <c r="E333" s="53"/>
      <c r="F333" s="1"/>
      <c r="G333" s="1"/>
    </row>
    <row r="334" ht="14.25" customHeight="1">
      <c r="A334" s="52"/>
      <c r="B334" s="53"/>
      <c r="C334" s="53"/>
      <c r="D334" s="53"/>
      <c r="E334" s="53"/>
      <c r="F334" s="1"/>
      <c r="G334" s="1"/>
    </row>
    <row r="335" ht="14.25" customHeight="1">
      <c r="A335" s="52"/>
      <c r="B335" s="53"/>
      <c r="C335" s="53"/>
      <c r="D335" s="53"/>
      <c r="E335" s="53"/>
      <c r="F335" s="1"/>
      <c r="G335" s="1"/>
    </row>
    <row r="336" ht="14.25" customHeight="1">
      <c r="A336" s="52"/>
      <c r="B336" s="53"/>
      <c r="C336" s="53"/>
      <c r="D336" s="53"/>
      <c r="E336" s="53"/>
      <c r="F336" s="1"/>
      <c r="G336" s="1"/>
    </row>
    <row r="337" ht="14.25" customHeight="1">
      <c r="A337" s="52"/>
      <c r="B337" s="53"/>
      <c r="C337" s="53"/>
      <c r="D337" s="53"/>
      <c r="E337" s="53"/>
      <c r="F337" s="1"/>
      <c r="G337" s="1"/>
    </row>
    <row r="338" ht="14.25" customHeight="1">
      <c r="A338" s="52"/>
      <c r="B338" s="53"/>
      <c r="C338" s="53"/>
      <c r="D338" s="53"/>
      <c r="E338" s="53"/>
      <c r="F338" s="1"/>
      <c r="G338" s="1"/>
    </row>
    <row r="339" ht="14.25" customHeight="1">
      <c r="A339" s="52"/>
      <c r="B339" s="53"/>
      <c r="C339" s="53"/>
      <c r="D339" s="53"/>
      <c r="E339" s="53"/>
      <c r="F339" s="1"/>
      <c r="G339" s="1"/>
    </row>
    <row r="340" ht="14.25" customHeight="1">
      <c r="A340" s="52"/>
      <c r="B340" s="53"/>
      <c r="C340" s="53"/>
      <c r="D340" s="53"/>
      <c r="E340" s="53"/>
      <c r="F340" s="1"/>
      <c r="G340" s="1"/>
    </row>
    <row r="341" ht="14.25" customHeight="1">
      <c r="A341" s="52"/>
      <c r="B341" s="53"/>
      <c r="C341" s="53"/>
      <c r="D341" s="53"/>
      <c r="E341" s="53"/>
      <c r="F341" s="1"/>
      <c r="G341" s="1"/>
    </row>
    <row r="342" ht="14.25" customHeight="1">
      <c r="A342" s="52"/>
      <c r="B342" s="53"/>
      <c r="C342" s="53"/>
      <c r="D342" s="53"/>
      <c r="E342" s="53"/>
      <c r="F342" s="1"/>
      <c r="G342" s="1"/>
    </row>
    <row r="343" ht="14.25" customHeight="1">
      <c r="A343" s="52"/>
      <c r="B343" s="53"/>
      <c r="C343" s="53"/>
      <c r="D343" s="53"/>
      <c r="E343" s="53"/>
      <c r="F343" s="1"/>
      <c r="G343" s="1"/>
    </row>
    <row r="344" ht="14.25" customHeight="1">
      <c r="A344" s="52"/>
      <c r="B344" s="53"/>
      <c r="C344" s="53"/>
      <c r="D344" s="53"/>
      <c r="E344" s="53"/>
      <c r="F344" s="1"/>
      <c r="G344" s="1"/>
    </row>
    <row r="345" ht="14.25" customHeight="1">
      <c r="A345" s="52"/>
      <c r="B345" s="53"/>
      <c r="C345" s="53"/>
      <c r="D345" s="53"/>
      <c r="E345" s="53"/>
      <c r="F345" s="1"/>
      <c r="G345" s="1"/>
    </row>
    <row r="346" ht="14.25" customHeight="1">
      <c r="A346" s="52"/>
      <c r="B346" s="53"/>
      <c r="C346" s="53"/>
      <c r="D346" s="53"/>
      <c r="E346" s="53"/>
      <c r="F346" s="1"/>
      <c r="G346" s="1"/>
    </row>
    <row r="347" ht="14.25" customHeight="1">
      <c r="A347" s="52"/>
      <c r="B347" s="53"/>
      <c r="C347" s="53"/>
      <c r="D347" s="53"/>
      <c r="E347" s="53"/>
      <c r="F347" s="1"/>
      <c r="G347" s="1"/>
    </row>
    <row r="348" ht="14.25" customHeight="1">
      <c r="A348" s="52"/>
      <c r="B348" s="53"/>
      <c r="C348" s="53"/>
      <c r="D348" s="53"/>
      <c r="E348" s="53"/>
      <c r="F348" s="1"/>
      <c r="G348" s="1"/>
    </row>
    <row r="349" ht="14.25" customHeight="1">
      <c r="A349" s="52"/>
      <c r="B349" s="53"/>
      <c r="C349" s="53"/>
      <c r="D349" s="53"/>
      <c r="E349" s="53"/>
      <c r="F349" s="1"/>
      <c r="G349" s="1"/>
    </row>
    <row r="350" ht="14.25" customHeight="1">
      <c r="A350" s="52"/>
      <c r="B350" s="53"/>
      <c r="C350" s="53"/>
      <c r="D350" s="53"/>
      <c r="E350" s="53"/>
      <c r="F350" s="1"/>
      <c r="G350" s="1"/>
    </row>
    <row r="351" ht="14.25" customHeight="1">
      <c r="A351" s="52"/>
      <c r="B351" s="53"/>
      <c r="C351" s="53"/>
      <c r="D351" s="53"/>
      <c r="E351" s="53"/>
      <c r="F351" s="1"/>
      <c r="G351" s="1"/>
    </row>
    <row r="352" ht="14.25" customHeight="1">
      <c r="A352" s="52"/>
      <c r="B352" s="53"/>
      <c r="C352" s="53"/>
      <c r="D352" s="53"/>
      <c r="E352" s="53"/>
      <c r="F352" s="1"/>
      <c r="G352" s="1"/>
    </row>
    <row r="353" ht="14.25" customHeight="1">
      <c r="A353" s="52"/>
      <c r="B353" s="53"/>
      <c r="C353" s="53"/>
      <c r="D353" s="53"/>
      <c r="E353" s="53"/>
      <c r="F353" s="1"/>
      <c r="G353" s="1"/>
    </row>
    <row r="354" ht="14.25" customHeight="1">
      <c r="A354" s="52"/>
      <c r="B354" s="53"/>
      <c r="C354" s="53"/>
      <c r="D354" s="53"/>
      <c r="E354" s="53"/>
      <c r="F354" s="1"/>
      <c r="G354" s="1"/>
    </row>
    <row r="355" ht="14.25" customHeight="1">
      <c r="A355" s="52"/>
      <c r="B355" s="53"/>
      <c r="C355" s="53"/>
      <c r="D355" s="53"/>
      <c r="E355" s="53"/>
      <c r="F355" s="1"/>
      <c r="G355" s="1"/>
    </row>
    <row r="356" ht="14.25" customHeight="1">
      <c r="A356" s="52"/>
      <c r="B356" s="53"/>
      <c r="C356" s="53"/>
      <c r="D356" s="53"/>
      <c r="E356" s="53"/>
      <c r="F356" s="1"/>
      <c r="G356" s="1"/>
    </row>
    <row r="357" ht="14.25" customHeight="1">
      <c r="A357" s="52"/>
      <c r="B357" s="53"/>
      <c r="C357" s="53"/>
      <c r="D357" s="53"/>
      <c r="E357" s="53"/>
      <c r="F357" s="1"/>
      <c r="G357" s="1"/>
    </row>
    <row r="358" ht="14.25" customHeight="1">
      <c r="A358" s="52"/>
      <c r="B358" s="53"/>
      <c r="C358" s="53"/>
      <c r="D358" s="53"/>
      <c r="E358" s="53"/>
      <c r="F358" s="1"/>
      <c r="G358" s="1"/>
    </row>
    <row r="359" ht="14.25" customHeight="1">
      <c r="A359" s="52"/>
      <c r="B359" s="53"/>
      <c r="C359" s="53"/>
      <c r="D359" s="53"/>
      <c r="E359" s="53"/>
      <c r="F359" s="1"/>
      <c r="G359" s="1"/>
    </row>
    <row r="360" ht="14.25" customHeight="1">
      <c r="A360" s="52"/>
      <c r="B360" s="53"/>
      <c r="C360" s="53"/>
      <c r="D360" s="53"/>
      <c r="E360" s="53"/>
      <c r="F360" s="1"/>
      <c r="G360" s="1"/>
    </row>
    <row r="361" ht="14.25" customHeight="1">
      <c r="A361" s="52"/>
      <c r="B361" s="53"/>
      <c r="C361" s="53"/>
      <c r="D361" s="53"/>
      <c r="E361" s="53"/>
      <c r="F361" s="1"/>
      <c r="G361" s="1"/>
    </row>
    <row r="362" ht="14.25" customHeight="1">
      <c r="A362" s="52"/>
      <c r="B362" s="53"/>
      <c r="C362" s="53"/>
      <c r="D362" s="53"/>
      <c r="E362" s="53"/>
      <c r="F362" s="1"/>
      <c r="G362" s="1"/>
    </row>
    <row r="363" ht="14.25" customHeight="1">
      <c r="A363" s="52"/>
      <c r="B363" s="53"/>
      <c r="C363" s="53"/>
      <c r="D363" s="53"/>
      <c r="E363" s="53"/>
      <c r="F363" s="1"/>
      <c r="G363" s="1"/>
    </row>
    <row r="364" ht="14.25" customHeight="1">
      <c r="A364" s="52"/>
      <c r="B364" s="53"/>
      <c r="C364" s="53"/>
      <c r="D364" s="53"/>
      <c r="E364" s="53"/>
      <c r="F364" s="1"/>
      <c r="G364" s="1"/>
    </row>
    <row r="365" ht="14.25" customHeight="1">
      <c r="A365" s="52"/>
      <c r="B365" s="53"/>
      <c r="C365" s="53"/>
      <c r="D365" s="53"/>
      <c r="E365" s="53"/>
      <c r="F365" s="1"/>
      <c r="G365" s="1"/>
    </row>
    <row r="366" ht="14.25" customHeight="1">
      <c r="A366" s="52"/>
      <c r="B366" s="53"/>
      <c r="C366" s="53"/>
      <c r="D366" s="53"/>
      <c r="E366" s="53"/>
      <c r="F366" s="1"/>
      <c r="G366" s="1"/>
    </row>
    <row r="367" ht="14.25" customHeight="1">
      <c r="A367" s="52"/>
      <c r="B367" s="53"/>
      <c r="C367" s="53"/>
      <c r="D367" s="53"/>
      <c r="E367" s="53"/>
      <c r="F367" s="1"/>
      <c r="G367" s="1"/>
    </row>
    <row r="368" ht="14.25" customHeight="1">
      <c r="A368" s="52"/>
      <c r="B368" s="53"/>
      <c r="C368" s="53"/>
      <c r="D368" s="53"/>
      <c r="E368" s="53"/>
      <c r="F368" s="1"/>
      <c r="G368" s="1"/>
    </row>
    <row r="369" ht="14.25" customHeight="1">
      <c r="A369" s="52"/>
      <c r="B369" s="53"/>
      <c r="C369" s="53"/>
      <c r="D369" s="53"/>
      <c r="E369" s="53"/>
      <c r="F369" s="1"/>
      <c r="G369" s="1"/>
    </row>
    <row r="370" ht="14.25" customHeight="1">
      <c r="A370" s="52"/>
      <c r="B370" s="53"/>
      <c r="C370" s="53"/>
      <c r="D370" s="53"/>
      <c r="E370" s="53"/>
      <c r="F370" s="1"/>
      <c r="G370" s="1"/>
    </row>
    <row r="371" ht="14.25" customHeight="1">
      <c r="A371" s="52"/>
      <c r="B371" s="53"/>
      <c r="C371" s="53"/>
      <c r="D371" s="53"/>
      <c r="E371" s="53"/>
      <c r="F371" s="1"/>
      <c r="G371" s="1"/>
    </row>
    <row r="372" ht="14.25" customHeight="1">
      <c r="A372" s="52"/>
      <c r="B372" s="53"/>
      <c r="C372" s="53"/>
      <c r="D372" s="53"/>
      <c r="E372" s="53"/>
      <c r="F372" s="1"/>
      <c r="G372" s="1"/>
    </row>
    <row r="373" ht="14.25" customHeight="1">
      <c r="A373" s="52"/>
      <c r="B373" s="53"/>
      <c r="C373" s="53"/>
      <c r="D373" s="53"/>
      <c r="E373" s="53"/>
      <c r="F373" s="1"/>
      <c r="G373" s="1"/>
    </row>
    <row r="374" ht="14.25" customHeight="1">
      <c r="A374" s="52"/>
      <c r="B374" s="53"/>
      <c r="C374" s="53"/>
      <c r="D374" s="53"/>
      <c r="E374" s="53"/>
      <c r="F374" s="1"/>
      <c r="G374" s="1"/>
    </row>
    <row r="375" ht="14.25" customHeight="1">
      <c r="A375" s="52"/>
      <c r="B375" s="53"/>
      <c r="C375" s="53"/>
      <c r="D375" s="53"/>
      <c r="E375" s="53"/>
      <c r="F375" s="1"/>
      <c r="G375" s="1"/>
    </row>
    <row r="376" ht="14.25" customHeight="1">
      <c r="A376" s="52"/>
      <c r="B376" s="53"/>
      <c r="C376" s="53"/>
      <c r="D376" s="53"/>
      <c r="E376" s="53"/>
      <c r="F376" s="1"/>
      <c r="G376" s="1"/>
    </row>
    <row r="377" ht="14.25" customHeight="1">
      <c r="A377" s="52"/>
      <c r="B377" s="53"/>
      <c r="C377" s="53"/>
      <c r="D377" s="53"/>
      <c r="E377" s="53"/>
      <c r="F377" s="1"/>
      <c r="G377" s="1"/>
    </row>
    <row r="378" ht="14.25" customHeight="1">
      <c r="A378" s="52"/>
      <c r="B378" s="53"/>
      <c r="C378" s="53"/>
      <c r="D378" s="53"/>
      <c r="E378" s="53"/>
      <c r="F378" s="1"/>
      <c r="G378" s="1"/>
    </row>
    <row r="379" ht="14.25" customHeight="1">
      <c r="A379" s="52"/>
      <c r="B379" s="53"/>
      <c r="C379" s="53"/>
      <c r="D379" s="53"/>
      <c r="E379" s="53"/>
      <c r="F379" s="1"/>
      <c r="G379" s="1"/>
    </row>
    <row r="380" ht="14.25" customHeight="1">
      <c r="A380" s="52"/>
      <c r="B380" s="53"/>
      <c r="C380" s="53"/>
      <c r="D380" s="53"/>
      <c r="E380" s="53"/>
      <c r="F380" s="1"/>
      <c r="G380" s="1"/>
    </row>
    <row r="381" ht="14.25" customHeight="1">
      <c r="A381" s="52"/>
      <c r="B381" s="53"/>
      <c r="C381" s="53"/>
      <c r="D381" s="53"/>
      <c r="E381" s="53"/>
      <c r="F381" s="1"/>
      <c r="G381" s="1"/>
    </row>
    <row r="382" ht="14.25" customHeight="1">
      <c r="A382" s="52"/>
      <c r="B382" s="53"/>
      <c r="C382" s="53"/>
      <c r="D382" s="53"/>
      <c r="E382" s="53"/>
      <c r="F382" s="1"/>
      <c r="G382" s="1"/>
    </row>
    <row r="383" ht="14.25" customHeight="1">
      <c r="A383" s="52"/>
      <c r="B383" s="53"/>
      <c r="C383" s="53"/>
      <c r="D383" s="53"/>
      <c r="E383" s="53"/>
      <c r="F383" s="1"/>
      <c r="G383" s="1"/>
    </row>
    <row r="384" ht="14.25" customHeight="1">
      <c r="A384" s="52"/>
      <c r="B384" s="53"/>
      <c r="C384" s="53"/>
      <c r="D384" s="53"/>
      <c r="E384" s="53"/>
      <c r="F384" s="1"/>
      <c r="G384" s="1"/>
    </row>
    <row r="385" ht="14.25" customHeight="1">
      <c r="A385" s="52"/>
      <c r="B385" s="53"/>
      <c r="C385" s="53"/>
      <c r="D385" s="53"/>
      <c r="E385" s="53"/>
      <c r="F385" s="1"/>
      <c r="G385" s="1"/>
    </row>
    <row r="386" ht="14.25" customHeight="1">
      <c r="A386" s="52"/>
      <c r="B386" s="53"/>
      <c r="C386" s="53"/>
      <c r="D386" s="53"/>
      <c r="E386" s="53"/>
      <c r="F386" s="1"/>
      <c r="G386" s="1"/>
    </row>
    <row r="387" ht="14.25" customHeight="1">
      <c r="A387" s="52"/>
      <c r="B387" s="53"/>
      <c r="C387" s="53"/>
      <c r="D387" s="53"/>
      <c r="E387" s="53"/>
      <c r="F387" s="1"/>
      <c r="G387" s="1"/>
    </row>
    <row r="388" ht="14.25" customHeight="1">
      <c r="A388" s="52"/>
      <c r="B388" s="53"/>
      <c r="C388" s="53"/>
      <c r="D388" s="53"/>
      <c r="E388" s="53"/>
      <c r="F388" s="1"/>
      <c r="G388" s="1"/>
    </row>
    <row r="389" ht="14.25" customHeight="1">
      <c r="A389" s="52"/>
      <c r="B389" s="53"/>
      <c r="C389" s="53"/>
      <c r="D389" s="53"/>
      <c r="E389" s="53"/>
      <c r="F389" s="1"/>
      <c r="G389" s="1"/>
    </row>
    <row r="390" ht="14.25" customHeight="1">
      <c r="A390" s="52"/>
      <c r="B390" s="53"/>
      <c r="C390" s="53"/>
      <c r="D390" s="53"/>
      <c r="E390" s="53"/>
      <c r="F390" s="1"/>
      <c r="G390" s="1"/>
    </row>
    <row r="391" ht="14.25" customHeight="1">
      <c r="A391" s="52"/>
      <c r="B391" s="53"/>
      <c r="C391" s="53"/>
      <c r="D391" s="53"/>
      <c r="E391" s="53"/>
      <c r="F391" s="1"/>
      <c r="G391" s="1"/>
    </row>
    <row r="392" ht="14.25" customHeight="1">
      <c r="A392" s="52"/>
      <c r="B392" s="53"/>
      <c r="C392" s="53"/>
      <c r="D392" s="53"/>
      <c r="E392" s="53"/>
      <c r="F392" s="1"/>
      <c r="G392" s="1"/>
    </row>
    <row r="393" ht="14.25" customHeight="1">
      <c r="A393" s="52"/>
      <c r="B393" s="53"/>
      <c r="C393" s="53"/>
      <c r="D393" s="53"/>
      <c r="E393" s="53"/>
      <c r="F393" s="1"/>
      <c r="G393" s="1"/>
    </row>
    <row r="394" ht="14.25" customHeight="1">
      <c r="A394" s="52"/>
      <c r="B394" s="53"/>
      <c r="C394" s="53"/>
      <c r="D394" s="53"/>
      <c r="E394" s="53"/>
      <c r="F394" s="1"/>
      <c r="G394" s="1"/>
    </row>
    <row r="395" ht="14.25" customHeight="1">
      <c r="A395" s="52"/>
      <c r="B395" s="53"/>
      <c r="C395" s="53"/>
      <c r="D395" s="53"/>
      <c r="E395" s="53"/>
      <c r="F395" s="1"/>
      <c r="G395" s="1"/>
    </row>
    <row r="396" ht="14.25" customHeight="1">
      <c r="A396" s="52"/>
      <c r="B396" s="53"/>
      <c r="C396" s="53"/>
      <c r="D396" s="53"/>
      <c r="E396" s="53"/>
      <c r="F396" s="1"/>
      <c r="G396" s="1"/>
    </row>
    <row r="397" ht="14.25" customHeight="1">
      <c r="A397" s="52"/>
      <c r="B397" s="53"/>
      <c r="C397" s="53"/>
      <c r="D397" s="53"/>
      <c r="E397" s="53"/>
      <c r="F397" s="1"/>
      <c r="G397" s="1"/>
    </row>
    <row r="398" ht="14.25" customHeight="1">
      <c r="A398" s="52"/>
      <c r="B398" s="53"/>
      <c r="C398" s="53"/>
      <c r="D398" s="53"/>
      <c r="E398" s="53"/>
      <c r="F398" s="1"/>
      <c r="G398" s="1"/>
    </row>
    <row r="399" ht="14.25" customHeight="1">
      <c r="A399" s="52"/>
      <c r="B399" s="53"/>
      <c r="C399" s="53"/>
      <c r="D399" s="53"/>
      <c r="E399" s="53"/>
      <c r="F399" s="1"/>
      <c r="G399" s="1"/>
    </row>
    <row r="400" ht="14.25" customHeight="1">
      <c r="A400" s="52"/>
      <c r="B400" s="53"/>
      <c r="C400" s="53"/>
      <c r="D400" s="53"/>
      <c r="E400" s="53"/>
      <c r="F400" s="1"/>
      <c r="G400" s="1"/>
    </row>
    <row r="401" ht="14.25" customHeight="1">
      <c r="A401" s="52"/>
      <c r="B401" s="53"/>
      <c r="C401" s="53"/>
      <c r="D401" s="53"/>
      <c r="E401" s="53"/>
      <c r="F401" s="1"/>
      <c r="G401" s="1"/>
    </row>
    <row r="402" ht="14.25" customHeight="1">
      <c r="A402" s="52"/>
      <c r="B402" s="53"/>
      <c r="C402" s="53"/>
      <c r="D402" s="53"/>
      <c r="E402" s="53"/>
      <c r="F402" s="1"/>
      <c r="G402" s="1"/>
    </row>
    <row r="403" ht="14.25" customHeight="1">
      <c r="A403" s="52"/>
      <c r="B403" s="53"/>
      <c r="C403" s="53"/>
      <c r="D403" s="53"/>
      <c r="E403" s="53"/>
      <c r="F403" s="1"/>
      <c r="G403" s="1"/>
    </row>
    <row r="404" ht="14.25" customHeight="1">
      <c r="A404" s="52"/>
      <c r="B404" s="53"/>
      <c r="C404" s="53"/>
      <c r="D404" s="53"/>
      <c r="E404" s="53"/>
      <c r="F404" s="1"/>
      <c r="G404" s="1"/>
    </row>
    <row r="405" ht="14.25" customHeight="1">
      <c r="A405" s="52"/>
      <c r="B405" s="53"/>
      <c r="C405" s="53"/>
      <c r="D405" s="53"/>
      <c r="E405" s="53"/>
      <c r="F405" s="1"/>
      <c r="G405" s="1"/>
    </row>
    <row r="406" ht="14.25" customHeight="1">
      <c r="A406" s="52"/>
      <c r="B406" s="53"/>
      <c r="C406" s="53"/>
      <c r="D406" s="53"/>
      <c r="E406" s="53"/>
      <c r="F406" s="1"/>
      <c r="G406" s="1"/>
    </row>
    <row r="407" ht="14.25" customHeight="1">
      <c r="A407" s="52"/>
      <c r="B407" s="53"/>
      <c r="C407" s="53"/>
      <c r="D407" s="53"/>
      <c r="E407" s="53"/>
      <c r="F407" s="1"/>
      <c r="G407" s="1"/>
    </row>
    <row r="408" ht="14.25" customHeight="1">
      <c r="A408" s="52"/>
      <c r="B408" s="53"/>
      <c r="C408" s="53"/>
      <c r="D408" s="53"/>
      <c r="E408" s="53"/>
      <c r="F408" s="1"/>
      <c r="G408" s="1"/>
    </row>
    <row r="409" ht="14.25" customHeight="1">
      <c r="A409" s="52"/>
      <c r="B409" s="53"/>
      <c r="C409" s="53"/>
      <c r="D409" s="53"/>
      <c r="E409" s="53"/>
      <c r="F409" s="1"/>
      <c r="G409" s="1"/>
    </row>
    <row r="410" ht="14.25" customHeight="1">
      <c r="A410" s="52"/>
      <c r="B410" s="53"/>
      <c r="C410" s="53"/>
      <c r="D410" s="53"/>
      <c r="E410" s="53"/>
      <c r="F410" s="1"/>
      <c r="G410" s="1"/>
    </row>
    <row r="411" ht="14.25" customHeight="1">
      <c r="A411" s="52"/>
      <c r="B411" s="53"/>
      <c r="C411" s="53"/>
      <c r="D411" s="53"/>
      <c r="E411" s="53"/>
      <c r="F411" s="1"/>
      <c r="G411" s="1"/>
    </row>
    <row r="412" ht="14.25" customHeight="1">
      <c r="A412" s="52"/>
      <c r="B412" s="53"/>
      <c r="C412" s="53"/>
      <c r="D412" s="53"/>
      <c r="E412" s="53"/>
      <c r="F412" s="1"/>
      <c r="G412" s="1"/>
    </row>
    <row r="413" ht="14.25" customHeight="1">
      <c r="A413" s="52"/>
      <c r="B413" s="53"/>
      <c r="C413" s="53"/>
      <c r="D413" s="53"/>
      <c r="E413" s="53"/>
      <c r="F413" s="1"/>
      <c r="G413" s="1"/>
    </row>
    <row r="414" ht="14.25" customHeight="1">
      <c r="A414" s="52"/>
      <c r="B414" s="53"/>
      <c r="C414" s="53"/>
      <c r="D414" s="53"/>
      <c r="E414" s="53"/>
      <c r="F414" s="1"/>
      <c r="G414" s="1"/>
    </row>
    <row r="415" ht="14.25" customHeight="1">
      <c r="A415" s="52"/>
      <c r="B415" s="53"/>
      <c r="C415" s="53"/>
      <c r="D415" s="53"/>
      <c r="E415" s="53"/>
      <c r="F415" s="1"/>
      <c r="G415" s="1"/>
    </row>
    <row r="416" ht="14.25" customHeight="1">
      <c r="A416" s="52"/>
      <c r="B416" s="53"/>
      <c r="C416" s="53"/>
      <c r="D416" s="53"/>
      <c r="E416" s="53"/>
      <c r="F416" s="1"/>
      <c r="G416" s="1"/>
    </row>
    <row r="417" ht="14.25" customHeight="1">
      <c r="A417" s="52"/>
      <c r="B417" s="53"/>
      <c r="C417" s="53"/>
      <c r="D417" s="53"/>
      <c r="E417" s="53"/>
      <c r="F417" s="1"/>
      <c r="G417" s="1"/>
    </row>
    <row r="418" ht="14.25" customHeight="1">
      <c r="A418" s="52"/>
      <c r="B418" s="53"/>
      <c r="C418" s="53"/>
      <c r="D418" s="53"/>
      <c r="E418" s="53"/>
      <c r="F418" s="1"/>
      <c r="G418" s="1"/>
    </row>
    <row r="419" ht="14.25" customHeight="1">
      <c r="A419" s="52"/>
      <c r="B419" s="53"/>
      <c r="C419" s="53"/>
      <c r="D419" s="53"/>
      <c r="E419" s="53"/>
      <c r="F419" s="1"/>
      <c r="G419" s="1"/>
    </row>
    <row r="420" ht="14.25" customHeight="1">
      <c r="A420" s="52"/>
      <c r="B420" s="53"/>
      <c r="C420" s="53"/>
      <c r="D420" s="53"/>
      <c r="E420" s="53"/>
      <c r="F420" s="1"/>
      <c r="G420" s="1"/>
    </row>
    <row r="421" ht="14.25" customHeight="1">
      <c r="A421" s="52"/>
      <c r="B421" s="53"/>
      <c r="C421" s="53"/>
      <c r="D421" s="53"/>
      <c r="E421" s="53"/>
      <c r="F421" s="1"/>
      <c r="G421" s="1"/>
    </row>
    <row r="422" ht="14.25" customHeight="1">
      <c r="A422" s="52"/>
      <c r="B422" s="53"/>
      <c r="C422" s="53"/>
      <c r="D422" s="53"/>
      <c r="E422" s="53"/>
      <c r="F422" s="1"/>
      <c r="G422" s="1"/>
    </row>
    <row r="423" ht="14.25" customHeight="1">
      <c r="A423" s="52"/>
      <c r="B423" s="53"/>
      <c r="C423" s="53"/>
      <c r="D423" s="53"/>
      <c r="E423" s="53"/>
      <c r="F423" s="1"/>
      <c r="G423" s="1"/>
    </row>
    <row r="424" ht="14.25" customHeight="1">
      <c r="A424" s="52"/>
      <c r="B424" s="53"/>
      <c r="C424" s="53"/>
      <c r="D424" s="53"/>
      <c r="E424" s="53"/>
      <c r="F424" s="1"/>
      <c r="G424" s="1"/>
    </row>
    <row r="425" ht="14.25" customHeight="1">
      <c r="A425" s="52"/>
      <c r="B425" s="53"/>
      <c r="C425" s="53"/>
      <c r="D425" s="53"/>
      <c r="E425" s="53"/>
      <c r="F425" s="1"/>
      <c r="G425" s="1"/>
    </row>
    <row r="426" ht="14.25" customHeight="1">
      <c r="A426" s="52"/>
      <c r="B426" s="53"/>
      <c r="C426" s="53"/>
      <c r="D426" s="53"/>
      <c r="E426" s="53"/>
      <c r="F426" s="1"/>
      <c r="G426" s="1"/>
    </row>
    <row r="427" ht="14.25" customHeight="1">
      <c r="A427" s="52"/>
      <c r="B427" s="53"/>
      <c r="C427" s="53"/>
      <c r="D427" s="53"/>
      <c r="E427" s="53"/>
      <c r="F427" s="1"/>
      <c r="G427" s="1"/>
    </row>
    <row r="428" ht="14.25" customHeight="1">
      <c r="A428" s="52"/>
      <c r="B428" s="53"/>
      <c r="C428" s="53"/>
      <c r="D428" s="53"/>
      <c r="E428" s="53"/>
      <c r="F428" s="1"/>
      <c r="G428" s="1"/>
    </row>
    <row r="429" ht="14.25" customHeight="1">
      <c r="A429" s="52"/>
      <c r="B429" s="53"/>
      <c r="C429" s="53"/>
      <c r="D429" s="53"/>
      <c r="E429" s="53"/>
      <c r="F429" s="1"/>
      <c r="G429" s="1"/>
    </row>
    <row r="430" ht="14.25" customHeight="1">
      <c r="A430" s="52"/>
      <c r="B430" s="53"/>
      <c r="C430" s="53"/>
      <c r="D430" s="53"/>
      <c r="E430" s="53"/>
      <c r="F430" s="1"/>
      <c r="G430" s="1"/>
    </row>
    <row r="431" ht="14.25" customHeight="1">
      <c r="A431" s="52"/>
      <c r="B431" s="53"/>
      <c r="C431" s="53"/>
      <c r="D431" s="53"/>
      <c r="E431" s="53"/>
      <c r="F431" s="1"/>
      <c r="G431" s="1"/>
    </row>
    <row r="432" ht="14.25" customHeight="1">
      <c r="A432" s="52"/>
      <c r="B432" s="53"/>
      <c r="C432" s="53"/>
      <c r="D432" s="53"/>
      <c r="E432" s="53"/>
      <c r="F432" s="1"/>
      <c r="G432" s="1"/>
    </row>
    <row r="433" ht="14.25" customHeight="1">
      <c r="A433" s="52"/>
      <c r="B433" s="53"/>
      <c r="C433" s="53"/>
      <c r="D433" s="53"/>
      <c r="E433" s="53"/>
      <c r="F433" s="1"/>
      <c r="G433" s="1"/>
    </row>
    <row r="434" ht="14.25" customHeight="1">
      <c r="A434" s="52"/>
      <c r="B434" s="53"/>
      <c r="C434" s="53"/>
      <c r="D434" s="53"/>
      <c r="E434" s="53"/>
      <c r="F434" s="1"/>
      <c r="G434" s="1"/>
    </row>
    <row r="435" ht="14.25" customHeight="1">
      <c r="A435" s="52"/>
      <c r="B435" s="53"/>
      <c r="C435" s="53"/>
      <c r="D435" s="53"/>
      <c r="E435" s="53"/>
      <c r="F435" s="1"/>
      <c r="G435" s="1"/>
    </row>
    <row r="436" ht="14.25" customHeight="1">
      <c r="A436" s="52"/>
      <c r="B436" s="53"/>
      <c r="C436" s="53"/>
      <c r="D436" s="53"/>
      <c r="E436" s="53"/>
      <c r="F436" s="1"/>
      <c r="G436" s="1"/>
    </row>
    <row r="437" ht="14.25" customHeight="1">
      <c r="A437" s="52"/>
      <c r="B437" s="53"/>
      <c r="C437" s="53"/>
      <c r="D437" s="53"/>
      <c r="E437" s="53"/>
      <c r="F437" s="1"/>
      <c r="G437" s="1"/>
    </row>
    <row r="438" ht="14.25" customHeight="1">
      <c r="A438" s="52"/>
      <c r="B438" s="53"/>
      <c r="C438" s="53"/>
      <c r="D438" s="53"/>
      <c r="E438" s="53"/>
      <c r="F438" s="1"/>
      <c r="G438" s="1"/>
    </row>
    <row r="439" ht="14.25" customHeight="1">
      <c r="A439" s="52"/>
      <c r="B439" s="53"/>
      <c r="C439" s="53"/>
      <c r="D439" s="53"/>
      <c r="E439" s="53"/>
      <c r="F439" s="1"/>
      <c r="G439" s="1"/>
    </row>
    <row r="440" ht="14.25" customHeight="1">
      <c r="A440" s="52"/>
      <c r="B440" s="53"/>
      <c r="C440" s="53"/>
      <c r="D440" s="53"/>
      <c r="E440" s="53"/>
      <c r="F440" s="1"/>
      <c r="G440" s="1"/>
    </row>
    <row r="441" ht="14.25" customHeight="1">
      <c r="A441" s="52"/>
      <c r="B441" s="53"/>
      <c r="C441" s="53"/>
      <c r="D441" s="53"/>
      <c r="E441" s="53"/>
      <c r="F441" s="1"/>
      <c r="G441" s="1"/>
    </row>
    <row r="442" ht="14.25" customHeight="1">
      <c r="A442" s="52"/>
      <c r="B442" s="53"/>
      <c r="C442" s="53"/>
      <c r="D442" s="53"/>
      <c r="E442" s="53"/>
      <c r="F442" s="1"/>
      <c r="G442" s="1"/>
    </row>
    <row r="443" ht="14.25" customHeight="1">
      <c r="A443" s="52"/>
      <c r="B443" s="53"/>
      <c r="C443" s="53"/>
      <c r="D443" s="53"/>
      <c r="E443" s="53"/>
      <c r="F443" s="1"/>
      <c r="G443" s="1"/>
    </row>
    <row r="444" ht="14.25" customHeight="1">
      <c r="A444" s="52"/>
      <c r="B444" s="53"/>
      <c r="C444" s="53"/>
      <c r="D444" s="53"/>
      <c r="E444" s="53"/>
      <c r="F444" s="1"/>
      <c r="G444" s="1"/>
    </row>
    <row r="445" ht="14.25" customHeight="1">
      <c r="A445" s="52"/>
      <c r="B445" s="53"/>
      <c r="C445" s="53"/>
      <c r="D445" s="53"/>
      <c r="E445" s="53"/>
      <c r="F445" s="1"/>
      <c r="G445" s="1"/>
    </row>
    <row r="446" ht="14.25" customHeight="1">
      <c r="A446" s="52"/>
      <c r="B446" s="53"/>
      <c r="C446" s="53"/>
      <c r="D446" s="53"/>
      <c r="E446" s="53"/>
      <c r="F446" s="1"/>
      <c r="G446" s="1"/>
    </row>
    <row r="447" ht="14.25" customHeight="1">
      <c r="A447" s="52"/>
      <c r="B447" s="53"/>
      <c r="C447" s="53"/>
      <c r="D447" s="53"/>
      <c r="E447" s="53"/>
      <c r="F447" s="1"/>
      <c r="G447" s="1"/>
    </row>
    <row r="448" ht="14.25" customHeight="1">
      <c r="A448" s="52"/>
      <c r="B448" s="53"/>
      <c r="C448" s="53"/>
      <c r="D448" s="53"/>
      <c r="E448" s="53"/>
      <c r="F448" s="1"/>
      <c r="G448" s="1"/>
    </row>
    <row r="449" ht="14.25" customHeight="1">
      <c r="A449" s="52"/>
      <c r="B449" s="53"/>
      <c r="C449" s="53"/>
      <c r="D449" s="53"/>
      <c r="E449" s="53"/>
      <c r="F449" s="1"/>
      <c r="G449" s="1"/>
    </row>
    <row r="450" ht="14.25" customHeight="1">
      <c r="A450" s="52"/>
      <c r="B450" s="53"/>
      <c r="C450" s="53"/>
      <c r="D450" s="53"/>
      <c r="E450" s="53"/>
      <c r="F450" s="1"/>
      <c r="G450" s="1"/>
    </row>
    <row r="451" ht="14.25" customHeight="1">
      <c r="A451" s="52"/>
      <c r="B451" s="53"/>
      <c r="C451" s="53"/>
      <c r="D451" s="53"/>
      <c r="E451" s="53"/>
      <c r="F451" s="1"/>
      <c r="G451" s="1"/>
    </row>
    <row r="452" ht="14.25" customHeight="1">
      <c r="A452" s="52"/>
      <c r="B452" s="53"/>
      <c r="C452" s="53"/>
      <c r="D452" s="53"/>
      <c r="E452" s="53"/>
      <c r="F452" s="1"/>
      <c r="G452" s="1"/>
    </row>
    <row r="453" ht="14.25" customHeight="1">
      <c r="A453" s="52"/>
      <c r="B453" s="53"/>
      <c r="C453" s="53"/>
      <c r="D453" s="53"/>
      <c r="E453" s="53"/>
      <c r="F453" s="1"/>
      <c r="G453" s="1"/>
    </row>
    <row r="454" ht="14.25" customHeight="1">
      <c r="A454" s="52"/>
      <c r="B454" s="53"/>
      <c r="C454" s="53"/>
      <c r="D454" s="53"/>
      <c r="E454" s="53"/>
      <c r="F454" s="1"/>
      <c r="G454" s="1"/>
    </row>
    <row r="455" ht="14.25" customHeight="1">
      <c r="A455" s="52"/>
      <c r="B455" s="53"/>
      <c r="C455" s="53"/>
      <c r="D455" s="53"/>
      <c r="E455" s="53"/>
      <c r="F455" s="1"/>
      <c r="G455" s="1"/>
    </row>
    <row r="456" ht="14.25" customHeight="1">
      <c r="A456" s="52"/>
      <c r="B456" s="53"/>
      <c r="C456" s="53"/>
      <c r="D456" s="53"/>
      <c r="E456" s="53"/>
      <c r="F456" s="1"/>
      <c r="G456" s="1"/>
    </row>
    <row r="457" ht="14.25" customHeight="1">
      <c r="A457" s="52"/>
      <c r="B457" s="53"/>
      <c r="C457" s="53"/>
      <c r="D457" s="53"/>
      <c r="E457" s="53"/>
      <c r="F457" s="1"/>
      <c r="G457" s="1"/>
    </row>
    <row r="458" ht="14.25" customHeight="1">
      <c r="A458" s="52"/>
      <c r="B458" s="53"/>
      <c r="C458" s="53"/>
      <c r="D458" s="53"/>
      <c r="E458" s="53"/>
      <c r="F458" s="1"/>
      <c r="G458" s="1"/>
    </row>
    <row r="459" ht="14.25" customHeight="1">
      <c r="A459" s="52"/>
      <c r="B459" s="53"/>
      <c r="C459" s="53"/>
      <c r="D459" s="53"/>
      <c r="E459" s="53"/>
      <c r="F459" s="1"/>
      <c r="G459" s="1"/>
    </row>
    <row r="460" ht="14.25" customHeight="1">
      <c r="A460" s="52"/>
      <c r="B460" s="53"/>
      <c r="C460" s="53"/>
      <c r="D460" s="53"/>
      <c r="E460" s="53"/>
      <c r="F460" s="1"/>
      <c r="G460" s="1"/>
    </row>
    <row r="461" ht="14.25" customHeight="1">
      <c r="A461" s="52"/>
      <c r="B461" s="53"/>
      <c r="C461" s="53"/>
      <c r="D461" s="53"/>
      <c r="E461" s="53"/>
      <c r="F461" s="1"/>
      <c r="G461" s="1"/>
    </row>
    <row r="462" ht="14.25" customHeight="1">
      <c r="A462" s="52"/>
      <c r="B462" s="53"/>
      <c r="C462" s="53"/>
      <c r="D462" s="53"/>
      <c r="E462" s="53"/>
      <c r="F462" s="1"/>
      <c r="G462" s="1"/>
    </row>
    <row r="463" ht="14.25" customHeight="1">
      <c r="A463" s="52"/>
      <c r="B463" s="53"/>
      <c r="C463" s="53"/>
      <c r="D463" s="53"/>
      <c r="E463" s="53"/>
      <c r="F463" s="1"/>
      <c r="G463" s="1"/>
    </row>
    <row r="464" ht="14.25" customHeight="1">
      <c r="A464" s="52"/>
      <c r="B464" s="53"/>
      <c r="C464" s="53"/>
      <c r="D464" s="53"/>
      <c r="E464" s="53"/>
      <c r="F464" s="1"/>
      <c r="G464" s="1"/>
    </row>
    <row r="465" ht="14.25" customHeight="1">
      <c r="A465" s="52"/>
      <c r="B465" s="53"/>
      <c r="C465" s="53"/>
      <c r="D465" s="53"/>
      <c r="E465" s="53"/>
      <c r="F465" s="1"/>
      <c r="G465" s="1"/>
    </row>
    <row r="466" ht="14.25" customHeight="1">
      <c r="A466" s="52"/>
      <c r="B466" s="53"/>
      <c r="C466" s="53"/>
      <c r="D466" s="53"/>
      <c r="E466" s="53"/>
      <c r="F466" s="1"/>
      <c r="G466" s="1"/>
    </row>
    <row r="467" ht="14.25" customHeight="1">
      <c r="A467" s="52"/>
      <c r="B467" s="53"/>
      <c r="C467" s="53"/>
      <c r="D467" s="53"/>
      <c r="E467" s="53"/>
      <c r="F467" s="1"/>
      <c r="G467" s="1"/>
    </row>
    <row r="468" ht="14.25" customHeight="1">
      <c r="A468" s="52"/>
      <c r="B468" s="53"/>
      <c r="C468" s="53"/>
      <c r="D468" s="53"/>
      <c r="E468" s="53"/>
      <c r="F468" s="1"/>
      <c r="G468" s="1"/>
    </row>
    <row r="469" ht="14.25" customHeight="1">
      <c r="A469" s="52"/>
      <c r="B469" s="53"/>
      <c r="C469" s="53"/>
      <c r="D469" s="53"/>
      <c r="E469" s="53"/>
      <c r="F469" s="1"/>
      <c r="G469" s="1"/>
    </row>
    <row r="470" ht="14.25" customHeight="1">
      <c r="A470" s="52"/>
      <c r="B470" s="53"/>
      <c r="C470" s="53"/>
      <c r="D470" s="53"/>
      <c r="E470" s="53"/>
      <c r="F470" s="1"/>
      <c r="G470" s="1"/>
    </row>
    <row r="471" ht="14.25" customHeight="1">
      <c r="A471" s="52"/>
      <c r="B471" s="53"/>
      <c r="C471" s="53"/>
      <c r="D471" s="53"/>
      <c r="E471" s="53"/>
      <c r="F471" s="1"/>
      <c r="G471" s="1"/>
    </row>
    <row r="472" ht="14.25" customHeight="1">
      <c r="A472" s="52"/>
      <c r="B472" s="53"/>
      <c r="C472" s="53"/>
      <c r="D472" s="53"/>
      <c r="E472" s="53"/>
      <c r="F472" s="1"/>
      <c r="G472" s="1"/>
    </row>
    <row r="473" ht="14.25" customHeight="1">
      <c r="A473" s="52"/>
      <c r="B473" s="53"/>
      <c r="C473" s="53"/>
      <c r="D473" s="53"/>
      <c r="E473" s="53"/>
      <c r="F473" s="1"/>
      <c r="G473" s="1"/>
    </row>
    <row r="474" ht="14.25" customHeight="1">
      <c r="A474" s="52"/>
      <c r="B474" s="53"/>
      <c r="C474" s="53"/>
      <c r="D474" s="53"/>
      <c r="E474" s="53"/>
      <c r="F474" s="1"/>
      <c r="G474" s="1"/>
    </row>
    <row r="475" ht="14.25" customHeight="1">
      <c r="A475" s="52"/>
      <c r="B475" s="53"/>
      <c r="C475" s="53"/>
      <c r="D475" s="53"/>
      <c r="E475" s="53"/>
      <c r="F475" s="1"/>
      <c r="G475" s="1"/>
    </row>
    <row r="476" ht="14.25" customHeight="1">
      <c r="A476" s="52"/>
      <c r="B476" s="53"/>
      <c r="C476" s="53"/>
      <c r="D476" s="53"/>
      <c r="E476" s="53"/>
      <c r="F476" s="1"/>
      <c r="G476" s="1"/>
    </row>
    <row r="477" ht="14.25" customHeight="1">
      <c r="A477" s="52"/>
      <c r="B477" s="53"/>
      <c r="C477" s="53"/>
      <c r="D477" s="53"/>
      <c r="E477" s="53"/>
      <c r="F477" s="1"/>
      <c r="G477" s="1"/>
    </row>
    <row r="478" ht="14.25" customHeight="1">
      <c r="A478" s="52"/>
      <c r="B478" s="53"/>
      <c r="C478" s="53"/>
      <c r="D478" s="53"/>
      <c r="E478" s="53"/>
      <c r="F478" s="1"/>
      <c r="G478" s="1"/>
    </row>
    <row r="479" ht="14.25" customHeight="1">
      <c r="A479" s="52"/>
      <c r="B479" s="53"/>
      <c r="C479" s="53"/>
      <c r="D479" s="53"/>
      <c r="E479" s="53"/>
      <c r="F479" s="1"/>
      <c r="G479" s="1"/>
    </row>
    <row r="480" ht="14.25" customHeight="1">
      <c r="A480" s="52"/>
      <c r="B480" s="53"/>
      <c r="C480" s="53"/>
      <c r="D480" s="53"/>
      <c r="E480" s="53"/>
      <c r="F480" s="1"/>
      <c r="G480" s="1"/>
    </row>
    <row r="481" ht="14.25" customHeight="1">
      <c r="A481" s="52"/>
      <c r="B481" s="53"/>
      <c r="C481" s="53"/>
      <c r="D481" s="53"/>
      <c r="E481" s="53"/>
      <c r="F481" s="1"/>
      <c r="G481" s="1"/>
    </row>
    <row r="482" ht="14.25" customHeight="1">
      <c r="A482" s="52"/>
      <c r="B482" s="53"/>
      <c r="C482" s="53"/>
      <c r="D482" s="53"/>
      <c r="E482" s="53"/>
      <c r="F482" s="1"/>
      <c r="G482" s="1"/>
    </row>
    <row r="483" ht="14.25" customHeight="1">
      <c r="A483" s="52"/>
      <c r="B483" s="53"/>
      <c r="C483" s="53"/>
      <c r="D483" s="53"/>
      <c r="E483" s="53"/>
      <c r="F483" s="1"/>
      <c r="G483" s="1"/>
    </row>
    <row r="484" ht="14.25" customHeight="1">
      <c r="A484" s="52"/>
      <c r="B484" s="53"/>
      <c r="C484" s="53"/>
      <c r="D484" s="53"/>
      <c r="E484" s="53"/>
      <c r="F484" s="1"/>
      <c r="G484" s="1"/>
    </row>
    <row r="485" ht="14.25" customHeight="1">
      <c r="A485" s="52"/>
      <c r="B485" s="53"/>
      <c r="C485" s="53"/>
      <c r="D485" s="53"/>
      <c r="E485" s="53"/>
      <c r="F485" s="1"/>
      <c r="G485" s="1"/>
    </row>
    <row r="486" ht="14.25" customHeight="1">
      <c r="A486" s="52"/>
      <c r="B486" s="53"/>
      <c r="C486" s="53"/>
      <c r="D486" s="53"/>
      <c r="E486" s="53"/>
      <c r="F486" s="1"/>
      <c r="G486" s="1"/>
    </row>
    <row r="487" ht="14.25" customHeight="1">
      <c r="A487" s="52"/>
      <c r="B487" s="53"/>
      <c r="C487" s="53"/>
      <c r="D487" s="53"/>
      <c r="E487" s="53"/>
      <c r="F487" s="1"/>
      <c r="G487" s="1"/>
    </row>
    <row r="488" ht="14.25" customHeight="1">
      <c r="A488" s="52"/>
      <c r="B488" s="53"/>
      <c r="C488" s="53"/>
      <c r="D488" s="53"/>
      <c r="E488" s="53"/>
      <c r="F488" s="1"/>
      <c r="G488" s="1"/>
    </row>
    <row r="489" ht="14.25" customHeight="1">
      <c r="A489" s="52"/>
      <c r="B489" s="53"/>
      <c r="C489" s="53"/>
      <c r="D489" s="53"/>
      <c r="E489" s="53"/>
      <c r="F489" s="1"/>
      <c r="G489" s="1"/>
    </row>
    <row r="490" ht="14.25" customHeight="1">
      <c r="A490" s="52"/>
      <c r="B490" s="53"/>
      <c r="C490" s="53"/>
      <c r="D490" s="53"/>
      <c r="E490" s="53"/>
      <c r="F490" s="1"/>
      <c r="G490" s="1"/>
    </row>
    <row r="491" ht="14.25" customHeight="1">
      <c r="A491" s="52"/>
      <c r="B491" s="53"/>
      <c r="C491" s="53"/>
      <c r="D491" s="53"/>
      <c r="E491" s="53"/>
      <c r="F491" s="1"/>
      <c r="G491" s="1"/>
    </row>
    <row r="492" ht="14.25" customHeight="1">
      <c r="A492" s="52"/>
      <c r="B492" s="53"/>
      <c r="C492" s="53"/>
      <c r="D492" s="53"/>
      <c r="E492" s="53"/>
      <c r="F492" s="1"/>
      <c r="G492" s="1"/>
    </row>
    <row r="493" ht="14.25" customHeight="1">
      <c r="A493" s="52"/>
      <c r="B493" s="53"/>
      <c r="C493" s="53"/>
      <c r="D493" s="53"/>
      <c r="E493" s="53"/>
      <c r="F493" s="1"/>
      <c r="G493" s="1"/>
    </row>
    <row r="494" ht="14.25" customHeight="1">
      <c r="A494" s="52"/>
      <c r="B494" s="53"/>
      <c r="C494" s="53"/>
      <c r="D494" s="53"/>
      <c r="E494" s="53"/>
      <c r="F494" s="1"/>
      <c r="G494" s="1"/>
    </row>
    <row r="495" ht="14.25" customHeight="1">
      <c r="A495" s="52"/>
      <c r="B495" s="53"/>
      <c r="C495" s="53"/>
      <c r="D495" s="53"/>
      <c r="E495" s="53"/>
      <c r="F495" s="1"/>
      <c r="G495" s="1"/>
    </row>
    <row r="496" ht="14.25" customHeight="1">
      <c r="A496" s="52"/>
      <c r="B496" s="53"/>
      <c r="C496" s="53"/>
      <c r="D496" s="53"/>
      <c r="E496" s="53"/>
      <c r="F496" s="1"/>
      <c r="G496" s="1"/>
    </row>
    <row r="497" ht="14.25" customHeight="1">
      <c r="A497" s="52"/>
      <c r="B497" s="53"/>
      <c r="C497" s="53"/>
      <c r="D497" s="53"/>
      <c r="E497" s="53"/>
      <c r="F497" s="1"/>
      <c r="G497" s="1"/>
    </row>
    <row r="498" ht="14.25" customHeight="1">
      <c r="A498" s="52"/>
      <c r="B498" s="53"/>
      <c r="C498" s="53"/>
      <c r="D498" s="53"/>
      <c r="E498" s="53"/>
      <c r="F498" s="1"/>
      <c r="G498" s="1"/>
    </row>
    <row r="499" ht="14.25" customHeight="1">
      <c r="A499" s="52"/>
      <c r="B499" s="53"/>
      <c r="C499" s="53"/>
      <c r="D499" s="53"/>
      <c r="E499" s="53"/>
      <c r="F499" s="1"/>
      <c r="G499" s="1"/>
    </row>
    <row r="500" ht="14.25" customHeight="1">
      <c r="A500" s="52"/>
      <c r="B500" s="53"/>
      <c r="C500" s="53"/>
      <c r="D500" s="53"/>
      <c r="E500" s="53"/>
      <c r="F500" s="1"/>
      <c r="G500" s="1"/>
    </row>
    <row r="501" ht="14.25" customHeight="1">
      <c r="A501" s="52"/>
      <c r="B501" s="53"/>
      <c r="C501" s="53"/>
      <c r="D501" s="53"/>
      <c r="E501" s="53"/>
      <c r="F501" s="1"/>
      <c r="G501" s="1"/>
    </row>
    <row r="502" ht="14.25" customHeight="1">
      <c r="A502" s="52"/>
      <c r="B502" s="53"/>
      <c r="C502" s="53"/>
      <c r="D502" s="53"/>
      <c r="E502" s="53"/>
      <c r="F502" s="1"/>
      <c r="G502" s="1"/>
    </row>
    <row r="503" ht="14.25" customHeight="1">
      <c r="A503" s="52"/>
      <c r="B503" s="53"/>
      <c r="C503" s="53"/>
      <c r="D503" s="53"/>
      <c r="E503" s="53"/>
      <c r="F503" s="1"/>
      <c r="G503" s="1"/>
    </row>
    <row r="504" ht="14.25" customHeight="1">
      <c r="A504" s="52"/>
      <c r="B504" s="53"/>
      <c r="C504" s="53"/>
      <c r="D504" s="53"/>
      <c r="E504" s="53"/>
      <c r="F504" s="1"/>
      <c r="G504" s="1"/>
    </row>
    <row r="505" ht="14.25" customHeight="1">
      <c r="A505" s="52"/>
      <c r="B505" s="53"/>
      <c r="C505" s="53"/>
      <c r="D505" s="53"/>
      <c r="E505" s="53"/>
      <c r="F505" s="1"/>
      <c r="G505" s="1"/>
    </row>
    <row r="506" ht="14.25" customHeight="1">
      <c r="A506" s="52"/>
      <c r="B506" s="53"/>
      <c r="C506" s="53"/>
      <c r="D506" s="53"/>
      <c r="E506" s="53"/>
      <c r="F506" s="1"/>
      <c r="G506" s="1"/>
    </row>
    <row r="507" ht="14.25" customHeight="1">
      <c r="A507" s="52"/>
      <c r="B507" s="53"/>
      <c r="C507" s="53"/>
      <c r="D507" s="53"/>
      <c r="E507" s="53"/>
      <c r="F507" s="1"/>
      <c r="G507" s="1"/>
    </row>
    <row r="508" ht="14.25" customHeight="1">
      <c r="A508" s="52"/>
      <c r="B508" s="53"/>
      <c r="C508" s="53"/>
      <c r="D508" s="53"/>
      <c r="E508" s="53"/>
      <c r="F508" s="1"/>
      <c r="G508" s="1"/>
    </row>
    <row r="509" ht="14.25" customHeight="1">
      <c r="A509" s="52"/>
      <c r="B509" s="53"/>
      <c r="C509" s="53"/>
      <c r="D509" s="53"/>
      <c r="E509" s="53"/>
      <c r="F509" s="1"/>
      <c r="G509" s="1"/>
    </row>
    <row r="510" ht="14.25" customHeight="1">
      <c r="A510" s="52"/>
      <c r="B510" s="53"/>
      <c r="C510" s="53"/>
      <c r="D510" s="53"/>
      <c r="E510" s="53"/>
      <c r="F510" s="1"/>
      <c r="G510" s="1"/>
    </row>
    <row r="511" ht="14.25" customHeight="1">
      <c r="A511" s="52"/>
      <c r="B511" s="53"/>
      <c r="C511" s="53"/>
      <c r="D511" s="53"/>
      <c r="E511" s="53"/>
      <c r="F511" s="1"/>
      <c r="G511" s="1"/>
    </row>
    <row r="512" ht="14.25" customHeight="1">
      <c r="A512" s="52"/>
      <c r="B512" s="53"/>
      <c r="C512" s="53"/>
      <c r="D512" s="53"/>
      <c r="E512" s="53"/>
      <c r="F512" s="1"/>
      <c r="G512" s="1"/>
    </row>
    <row r="513" ht="14.25" customHeight="1">
      <c r="A513" s="52"/>
      <c r="B513" s="53"/>
      <c r="C513" s="53"/>
      <c r="D513" s="53"/>
      <c r="E513" s="53"/>
      <c r="F513" s="1"/>
      <c r="G513" s="1"/>
    </row>
    <row r="514" ht="14.25" customHeight="1">
      <c r="A514" s="52"/>
      <c r="B514" s="53"/>
      <c r="C514" s="53"/>
      <c r="D514" s="53"/>
      <c r="E514" s="53"/>
      <c r="F514" s="1"/>
      <c r="G514" s="1"/>
    </row>
    <row r="515" ht="14.25" customHeight="1">
      <c r="A515" s="52"/>
      <c r="B515" s="53"/>
      <c r="C515" s="53"/>
      <c r="D515" s="53"/>
      <c r="E515" s="53"/>
      <c r="F515" s="1"/>
      <c r="G515" s="1"/>
    </row>
    <row r="516" ht="14.25" customHeight="1">
      <c r="A516" s="52"/>
      <c r="B516" s="53"/>
      <c r="C516" s="53"/>
      <c r="D516" s="53"/>
      <c r="E516" s="53"/>
      <c r="F516" s="1"/>
      <c r="G516" s="1"/>
    </row>
    <row r="517" ht="14.25" customHeight="1">
      <c r="A517" s="52"/>
      <c r="B517" s="53"/>
      <c r="C517" s="53"/>
      <c r="D517" s="53"/>
      <c r="E517" s="53"/>
      <c r="F517" s="1"/>
      <c r="G517" s="1"/>
    </row>
    <row r="518" ht="14.25" customHeight="1">
      <c r="A518" s="52"/>
      <c r="B518" s="53"/>
      <c r="C518" s="53"/>
      <c r="D518" s="53"/>
      <c r="E518" s="53"/>
      <c r="F518" s="1"/>
      <c r="G518" s="1"/>
    </row>
    <row r="519" ht="14.25" customHeight="1">
      <c r="A519" s="52"/>
      <c r="B519" s="53"/>
      <c r="C519" s="53"/>
      <c r="D519" s="53"/>
      <c r="E519" s="53"/>
      <c r="F519" s="1"/>
      <c r="G519" s="1"/>
    </row>
    <row r="520" ht="14.25" customHeight="1">
      <c r="A520" s="52"/>
      <c r="B520" s="53"/>
      <c r="C520" s="53"/>
      <c r="D520" s="53"/>
      <c r="E520" s="53"/>
      <c r="F520" s="1"/>
      <c r="G520" s="1"/>
    </row>
    <row r="521" ht="14.25" customHeight="1">
      <c r="A521" s="52"/>
      <c r="B521" s="53"/>
      <c r="C521" s="53"/>
      <c r="D521" s="53"/>
      <c r="E521" s="53"/>
      <c r="F521" s="1"/>
      <c r="G521" s="1"/>
    </row>
    <row r="522" ht="14.25" customHeight="1">
      <c r="A522" s="52"/>
      <c r="B522" s="53"/>
      <c r="C522" s="53"/>
      <c r="D522" s="53"/>
      <c r="E522" s="53"/>
      <c r="F522" s="1"/>
      <c r="G522" s="1"/>
    </row>
    <row r="523" ht="14.25" customHeight="1">
      <c r="A523" s="52"/>
      <c r="B523" s="53"/>
      <c r="C523" s="53"/>
      <c r="D523" s="53"/>
      <c r="E523" s="53"/>
      <c r="F523" s="1"/>
      <c r="G523" s="1"/>
    </row>
    <row r="524" ht="14.25" customHeight="1">
      <c r="A524" s="52"/>
      <c r="B524" s="53"/>
      <c r="C524" s="53"/>
      <c r="D524" s="53"/>
      <c r="E524" s="53"/>
      <c r="F524" s="1"/>
      <c r="G524" s="1"/>
    </row>
    <row r="525" ht="14.25" customHeight="1">
      <c r="A525" s="52"/>
      <c r="B525" s="53"/>
      <c r="C525" s="53"/>
      <c r="D525" s="53"/>
      <c r="E525" s="53"/>
      <c r="F525" s="1"/>
      <c r="G525" s="1"/>
    </row>
    <row r="526" ht="14.25" customHeight="1">
      <c r="A526" s="52"/>
      <c r="B526" s="53"/>
      <c r="C526" s="53"/>
      <c r="D526" s="53"/>
      <c r="E526" s="53"/>
      <c r="F526" s="1"/>
      <c r="G526" s="1"/>
    </row>
    <row r="527" ht="14.25" customHeight="1">
      <c r="A527" s="52"/>
      <c r="B527" s="53"/>
      <c r="C527" s="53"/>
      <c r="D527" s="53"/>
      <c r="E527" s="53"/>
      <c r="F527" s="1"/>
      <c r="G527" s="1"/>
    </row>
    <row r="528" ht="14.25" customHeight="1">
      <c r="A528" s="52"/>
      <c r="B528" s="53"/>
      <c r="C528" s="53"/>
      <c r="D528" s="53"/>
      <c r="E528" s="53"/>
      <c r="F528" s="1"/>
      <c r="G528" s="1"/>
    </row>
    <row r="529" ht="14.25" customHeight="1">
      <c r="A529" s="52"/>
      <c r="B529" s="53"/>
      <c r="C529" s="53"/>
      <c r="D529" s="53"/>
      <c r="E529" s="53"/>
      <c r="F529" s="1"/>
      <c r="G529" s="1"/>
    </row>
    <row r="530" ht="14.25" customHeight="1">
      <c r="A530" s="52"/>
      <c r="B530" s="53"/>
      <c r="C530" s="53"/>
      <c r="D530" s="53"/>
      <c r="E530" s="53"/>
      <c r="F530" s="1"/>
      <c r="G530" s="1"/>
    </row>
    <row r="531" ht="14.25" customHeight="1">
      <c r="A531" s="52"/>
      <c r="B531" s="53"/>
      <c r="C531" s="53"/>
      <c r="D531" s="53"/>
      <c r="E531" s="53"/>
      <c r="F531" s="1"/>
      <c r="G531" s="1"/>
    </row>
    <row r="532" ht="14.25" customHeight="1">
      <c r="A532" s="52"/>
      <c r="B532" s="53"/>
      <c r="C532" s="53"/>
      <c r="D532" s="53"/>
      <c r="E532" s="53"/>
      <c r="F532" s="1"/>
      <c r="G532" s="1"/>
    </row>
    <row r="533" ht="14.25" customHeight="1">
      <c r="A533" s="52"/>
      <c r="B533" s="53"/>
      <c r="C533" s="53"/>
      <c r="D533" s="53"/>
      <c r="E533" s="53"/>
      <c r="F533" s="1"/>
      <c r="G533" s="1"/>
    </row>
    <row r="534" ht="14.25" customHeight="1">
      <c r="A534" s="52"/>
      <c r="B534" s="53"/>
      <c r="C534" s="53"/>
      <c r="D534" s="53"/>
      <c r="E534" s="53"/>
      <c r="F534" s="1"/>
      <c r="G534" s="1"/>
    </row>
    <row r="535" ht="14.25" customHeight="1">
      <c r="A535" s="52"/>
      <c r="B535" s="53"/>
      <c r="C535" s="53"/>
      <c r="D535" s="53"/>
      <c r="E535" s="53"/>
      <c r="F535" s="1"/>
      <c r="G535" s="1"/>
    </row>
    <row r="536" ht="14.25" customHeight="1">
      <c r="A536" s="52"/>
      <c r="B536" s="53"/>
      <c r="C536" s="53"/>
      <c r="D536" s="53"/>
      <c r="E536" s="53"/>
      <c r="F536" s="1"/>
      <c r="G536" s="1"/>
    </row>
    <row r="537" ht="14.25" customHeight="1">
      <c r="A537" s="52"/>
      <c r="B537" s="53"/>
      <c r="C537" s="53"/>
      <c r="D537" s="53"/>
      <c r="E537" s="53"/>
      <c r="F537" s="1"/>
      <c r="G537" s="1"/>
    </row>
    <row r="538" ht="14.25" customHeight="1">
      <c r="A538" s="52"/>
      <c r="B538" s="53"/>
      <c r="C538" s="53"/>
      <c r="D538" s="53"/>
      <c r="E538" s="53"/>
      <c r="F538" s="1"/>
      <c r="G538" s="1"/>
    </row>
    <row r="539" ht="14.25" customHeight="1">
      <c r="A539" s="52"/>
      <c r="B539" s="53"/>
      <c r="C539" s="53"/>
      <c r="D539" s="53"/>
      <c r="E539" s="53"/>
      <c r="F539" s="1"/>
      <c r="G539" s="1"/>
    </row>
    <row r="540" ht="14.25" customHeight="1">
      <c r="A540" s="52"/>
      <c r="B540" s="53"/>
      <c r="C540" s="53"/>
      <c r="D540" s="53"/>
      <c r="E540" s="53"/>
      <c r="F540" s="1"/>
      <c r="G540" s="1"/>
    </row>
    <row r="541" ht="14.25" customHeight="1">
      <c r="A541" s="52"/>
      <c r="B541" s="53"/>
      <c r="C541" s="53"/>
      <c r="D541" s="53"/>
      <c r="E541" s="53"/>
      <c r="F541" s="1"/>
      <c r="G541" s="1"/>
    </row>
    <row r="542" ht="14.25" customHeight="1">
      <c r="A542" s="52"/>
      <c r="B542" s="53"/>
      <c r="C542" s="53"/>
      <c r="D542" s="53"/>
      <c r="E542" s="53"/>
      <c r="F542" s="1"/>
      <c r="G542" s="1"/>
    </row>
    <row r="543" ht="14.25" customHeight="1">
      <c r="A543" s="52"/>
      <c r="B543" s="53"/>
      <c r="C543" s="53"/>
      <c r="D543" s="53"/>
      <c r="E543" s="53"/>
      <c r="F543" s="1"/>
      <c r="G543" s="1"/>
    </row>
    <row r="544" ht="14.25" customHeight="1">
      <c r="A544" s="52"/>
      <c r="B544" s="53"/>
      <c r="C544" s="53"/>
      <c r="D544" s="53"/>
      <c r="E544" s="53"/>
      <c r="F544" s="1"/>
      <c r="G544" s="1"/>
    </row>
    <row r="545" ht="14.25" customHeight="1">
      <c r="A545" s="52"/>
      <c r="B545" s="53"/>
      <c r="C545" s="53"/>
      <c r="D545" s="53"/>
      <c r="E545" s="53"/>
      <c r="F545" s="1"/>
      <c r="G545" s="1"/>
    </row>
    <row r="546" ht="14.25" customHeight="1">
      <c r="A546" s="52"/>
      <c r="B546" s="53"/>
      <c r="C546" s="53"/>
      <c r="D546" s="53"/>
      <c r="E546" s="53"/>
      <c r="F546" s="1"/>
      <c r="G546" s="1"/>
    </row>
    <row r="547" ht="14.25" customHeight="1">
      <c r="A547" s="52"/>
      <c r="B547" s="53"/>
      <c r="C547" s="53"/>
      <c r="D547" s="53"/>
      <c r="E547" s="53"/>
      <c r="F547" s="1"/>
      <c r="G547" s="1"/>
    </row>
    <row r="548" ht="14.25" customHeight="1">
      <c r="A548" s="52"/>
      <c r="B548" s="53"/>
      <c r="C548" s="53"/>
      <c r="D548" s="53"/>
      <c r="E548" s="53"/>
      <c r="F548" s="1"/>
      <c r="G548" s="1"/>
    </row>
    <row r="549" ht="14.25" customHeight="1">
      <c r="A549" s="52"/>
      <c r="B549" s="53"/>
      <c r="C549" s="53"/>
      <c r="D549" s="53"/>
      <c r="E549" s="53"/>
      <c r="F549" s="1"/>
      <c r="G549" s="1"/>
    </row>
    <row r="550" ht="14.25" customHeight="1">
      <c r="A550" s="52"/>
      <c r="B550" s="53"/>
      <c r="C550" s="53"/>
      <c r="D550" s="53"/>
      <c r="E550" s="53"/>
      <c r="F550" s="1"/>
      <c r="G550" s="1"/>
    </row>
    <row r="551" ht="14.25" customHeight="1">
      <c r="A551" s="52"/>
      <c r="B551" s="53"/>
      <c r="C551" s="53"/>
      <c r="D551" s="53"/>
      <c r="E551" s="53"/>
      <c r="F551" s="1"/>
      <c r="G551" s="1"/>
    </row>
    <row r="552" ht="14.25" customHeight="1">
      <c r="A552" s="52"/>
      <c r="B552" s="53"/>
      <c r="C552" s="53"/>
      <c r="D552" s="53"/>
      <c r="E552" s="53"/>
      <c r="F552" s="1"/>
      <c r="G552" s="1"/>
    </row>
    <row r="553" ht="14.25" customHeight="1">
      <c r="A553" s="52"/>
      <c r="B553" s="53"/>
      <c r="C553" s="53"/>
      <c r="D553" s="53"/>
      <c r="E553" s="53"/>
      <c r="F553" s="1"/>
      <c r="G553" s="1"/>
    </row>
    <row r="554" ht="14.25" customHeight="1">
      <c r="A554" s="52"/>
      <c r="B554" s="53"/>
      <c r="C554" s="53"/>
      <c r="D554" s="53"/>
      <c r="E554" s="53"/>
      <c r="F554" s="1"/>
      <c r="G554" s="1"/>
    </row>
    <row r="555" ht="14.25" customHeight="1">
      <c r="A555" s="52"/>
      <c r="B555" s="53"/>
      <c r="C555" s="53"/>
      <c r="D555" s="53"/>
      <c r="E555" s="53"/>
      <c r="F555" s="1"/>
      <c r="G555" s="1"/>
    </row>
    <row r="556" ht="14.25" customHeight="1">
      <c r="A556" s="52"/>
      <c r="B556" s="53"/>
      <c r="C556" s="53"/>
      <c r="D556" s="53"/>
      <c r="E556" s="53"/>
      <c r="F556" s="1"/>
      <c r="G556" s="1"/>
    </row>
    <row r="557" ht="14.25" customHeight="1">
      <c r="A557" s="52"/>
      <c r="B557" s="53"/>
      <c r="C557" s="53"/>
      <c r="D557" s="53"/>
      <c r="E557" s="53"/>
      <c r="F557" s="1"/>
      <c r="G557" s="1"/>
    </row>
    <row r="558" ht="14.25" customHeight="1">
      <c r="A558" s="52"/>
      <c r="B558" s="53"/>
      <c r="C558" s="53"/>
      <c r="D558" s="53"/>
      <c r="E558" s="53"/>
      <c r="F558" s="1"/>
      <c r="G558" s="1"/>
    </row>
    <row r="559" ht="14.25" customHeight="1">
      <c r="A559" s="52"/>
      <c r="B559" s="53"/>
      <c r="C559" s="53"/>
      <c r="D559" s="53"/>
      <c r="E559" s="53"/>
      <c r="F559" s="1"/>
      <c r="G559" s="1"/>
    </row>
    <row r="560" ht="14.25" customHeight="1">
      <c r="A560" s="52"/>
      <c r="B560" s="53"/>
      <c r="C560" s="53"/>
      <c r="D560" s="53"/>
      <c r="E560" s="53"/>
      <c r="F560" s="1"/>
      <c r="G560" s="1"/>
    </row>
    <row r="561" ht="14.25" customHeight="1">
      <c r="A561" s="52"/>
      <c r="B561" s="53"/>
      <c r="C561" s="53"/>
      <c r="D561" s="53"/>
      <c r="E561" s="53"/>
      <c r="F561" s="1"/>
      <c r="G561" s="1"/>
    </row>
    <row r="562" ht="14.25" customHeight="1">
      <c r="A562" s="52"/>
      <c r="B562" s="53"/>
      <c r="C562" s="53"/>
      <c r="D562" s="53"/>
      <c r="E562" s="53"/>
      <c r="F562" s="1"/>
      <c r="G562" s="1"/>
    </row>
    <row r="563" ht="14.25" customHeight="1">
      <c r="A563" s="52"/>
      <c r="B563" s="53"/>
      <c r="C563" s="53"/>
      <c r="D563" s="53"/>
      <c r="E563" s="53"/>
      <c r="F563" s="1"/>
      <c r="G563" s="1"/>
    </row>
    <row r="564" ht="14.25" customHeight="1">
      <c r="A564" s="52"/>
      <c r="B564" s="53"/>
      <c r="C564" s="53"/>
      <c r="D564" s="53"/>
      <c r="E564" s="53"/>
      <c r="F564" s="1"/>
      <c r="G564" s="1"/>
    </row>
    <row r="565" ht="14.25" customHeight="1">
      <c r="A565" s="52"/>
      <c r="B565" s="53"/>
      <c r="C565" s="53"/>
      <c r="D565" s="53"/>
      <c r="E565" s="53"/>
      <c r="F565" s="1"/>
      <c r="G565" s="1"/>
    </row>
    <row r="566" ht="14.25" customHeight="1">
      <c r="A566" s="52"/>
      <c r="B566" s="53"/>
      <c r="C566" s="53"/>
      <c r="D566" s="53"/>
      <c r="E566" s="53"/>
      <c r="F566" s="1"/>
      <c r="G566" s="1"/>
    </row>
    <row r="567" ht="14.25" customHeight="1">
      <c r="A567" s="52"/>
      <c r="B567" s="53"/>
      <c r="C567" s="53"/>
      <c r="D567" s="53"/>
      <c r="E567" s="53"/>
      <c r="F567" s="1"/>
      <c r="G567" s="1"/>
    </row>
    <row r="568" ht="14.25" customHeight="1">
      <c r="A568" s="52"/>
      <c r="B568" s="53"/>
      <c r="C568" s="53"/>
      <c r="D568" s="53"/>
      <c r="E568" s="53"/>
      <c r="F568" s="1"/>
      <c r="G568" s="1"/>
    </row>
    <row r="569" ht="14.25" customHeight="1">
      <c r="A569" s="52"/>
      <c r="B569" s="53"/>
      <c r="C569" s="53"/>
      <c r="D569" s="53"/>
      <c r="E569" s="53"/>
      <c r="F569" s="1"/>
      <c r="G569" s="1"/>
    </row>
    <row r="570" ht="14.25" customHeight="1">
      <c r="A570" s="52"/>
      <c r="B570" s="53"/>
      <c r="C570" s="53"/>
      <c r="D570" s="53"/>
      <c r="E570" s="53"/>
      <c r="F570" s="1"/>
      <c r="G570" s="1"/>
    </row>
    <row r="571" ht="14.25" customHeight="1">
      <c r="A571" s="52"/>
      <c r="B571" s="53"/>
      <c r="C571" s="53"/>
      <c r="D571" s="53"/>
      <c r="E571" s="53"/>
      <c r="F571" s="1"/>
      <c r="G571" s="1"/>
    </row>
    <row r="572" ht="14.25" customHeight="1">
      <c r="A572" s="52"/>
      <c r="B572" s="53"/>
      <c r="C572" s="53"/>
      <c r="D572" s="53"/>
      <c r="E572" s="53"/>
      <c r="F572" s="1"/>
      <c r="G572" s="1"/>
    </row>
    <row r="573" ht="14.25" customHeight="1">
      <c r="A573" s="52"/>
      <c r="B573" s="53"/>
      <c r="C573" s="53"/>
      <c r="D573" s="53"/>
      <c r="E573" s="53"/>
      <c r="F573" s="1"/>
      <c r="G573" s="1"/>
    </row>
    <row r="574" ht="14.25" customHeight="1">
      <c r="A574" s="52"/>
      <c r="B574" s="53"/>
      <c r="C574" s="53"/>
      <c r="D574" s="53"/>
      <c r="E574" s="53"/>
      <c r="F574" s="1"/>
      <c r="G574" s="1"/>
    </row>
    <row r="575" ht="14.25" customHeight="1">
      <c r="A575" s="52"/>
      <c r="B575" s="53"/>
      <c r="C575" s="53"/>
      <c r="D575" s="53"/>
      <c r="E575" s="53"/>
      <c r="F575" s="1"/>
      <c r="G575" s="1"/>
    </row>
    <row r="576" ht="14.25" customHeight="1">
      <c r="A576" s="52"/>
      <c r="B576" s="53"/>
      <c r="C576" s="53"/>
      <c r="D576" s="53"/>
      <c r="E576" s="53"/>
      <c r="F576" s="1"/>
      <c r="G576" s="1"/>
    </row>
    <row r="577" ht="14.25" customHeight="1">
      <c r="A577" s="52"/>
      <c r="B577" s="53"/>
      <c r="C577" s="53"/>
      <c r="D577" s="53"/>
      <c r="E577" s="53"/>
      <c r="F577" s="1"/>
      <c r="G577" s="1"/>
    </row>
    <row r="578" ht="14.25" customHeight="1">
      <c r="A578" s="52"/>
      <c r="B578" s="53"/>
      <c r="C578" s="53"/>
      <c r="D578" s="53"/>
      <c r="E578" s="53"/>
      <c r="F578" s="1"/>
      <c r="G578" s="1"/>
    </row>
    <row r="579" ht="14.25" customHeight="1">
      <c r="A579" s="52"/>
      <c r="B579" s="53"/>
      <c r="C579" s="53"/>
      <c r="D579" s="53"/>
      <c r="E579" s="53"/>
      <c r="F579" s="1"/>
      <c r="G579" s="1"/>
    </row>
    <row r="580" ht="14.25" customHeight="1">
      <c r="A580" s="52"/>
      <c r="B580" s="53"/>
      <c r="C580" s="53"/>
      <c r="D580" s="53"/>
      <c r="E580" s="53"/>
      <c r="F580" s="1"/>
      <c r="G580" s="1"/>
    </row>
    <row r="581" ht="14.25" customHeight="1">
      <c r="A581" s="52"/>
      <c r="B581" s="53"/>
      <c r="C581" s="53"/>
      <c r="D581" s="53"/>
      <c r="E581" s="53"/>
      <c r="F581" s="1"/>
      <c r="G581" s="1"/>
    </row>
    <row r="582" ht="14.25" customHeight="1">
      <c r="A582" s="52"/>
      <c r="B582" s="53"/>
      <c r="C582" s="53"/>
      <c r="D582" s="53"/>
      <c r="E582" s="53"/>
      <c r="F582" s="1"/>
      <c r="G582" s="1"/>
    </row>
    <row r="583" ht="14.25" customHeight="1">
      <c r="A583" s="52"/>
      <c r="B583" s="53"/>
      <c r="C583" s="53"/>
      <c r="D583" s="53"/>
      <c r="E583" s="53"/>
      <c r="F583" s="1"/>
      <c r="G583" s="1"/>
    </row>
    <row r="584" ht="14.25" customHeight="1">
      <c r="A584" s="52"/>
      <c r="B584" s="53"/>
      <c r="C584" s="53"/>
      <c r="D584" s="53"/>
      <c r="E584" s="53"/>
      <c r="F584" s="1"/>
      <c r="G584" s="1"/>
    </row>
    <row r="585" ht="14.25" customHeight="1">
      <c r="A585" s="52"/>
      <c r="B585" s="53"/>
      <c r="C585" s="53"/>
      <c r="D585" s="53"/>
      <c r="E585" s="53"/>
      <c r="F585" s="1"/>
      <c r="G585" s="1"/>
    </row>
    <row r="586" ht="14.25" customHeight="1">
      <c r="A586" s="52"/>
      <c r="B586" s="53"/>
      <c r="C586" s="53"/>
      <c r="D586" s="53"/>
      <c r="E586" s="53"/>
      <c r="F586" s="1"/>
      <c r="G586" s="1"/>
    </row>
    <row r="587" ht="14.25" customHeight="1">
      <c r="A587" s="52"/>
      <c r="B587" s="53"/>
      <c r="C587" s="53"/>
      <c r="D587" s="53"/>
      <c r="E587" s="53"/>
      <c r="F587" s="1"/>
      <c r="G587" s="1"/>
    </row>
    <row r="588" ht="14.25" customHeight="1">
      <c r="A588" s="52"/>
      <c r="B588" s="53"/>
      <c r="C588" s="53"/>
      <c r="D588" s="53"/>
      <c r="E588" s="53"/>
      <c r="F588" s="1"/>
      <c r="G588" s="1"/>
    </row>
    <row r="589" ht="14.25" customHeight="1">
      <c r="A589" s="52"/>
      <c r="B589" s="53"/>
      <c r="C589" s="53"/>
      <c r="D589" s="53"/>
      <c r="E589" s="53"/>
      <c r="F589" s="1"/>
      <c r="G589" s="1"/>
    </row>
    <row r="590" ht="14.25" customHeight="1">
      <c r="A590" s="52"/>
      <c r="B590" s="53"/>
      <c r="C590" s="53"/>
      <c r="D590" s="53"/>
      <c r="E590" s="53"/>
      <c r="F590" s="1"/>
      <c r="G590" s="1"/>
    </row>
    <row r="591" ht="14.25" customHeight="1">
      <c r="A591" s="52"/>
      <c r="B591" s="53"/>
      <c r="C591" s="53"/>
      <c r="D591" s="53"/>
      <c r="E591" s="53"/>
      <c r="F591" s="1"/>
      <c r="G591" s="1"/>
    </row>
    <row r="592" ht="14.25" customHeight="1">
      <c r="A592" s="52"/>
      <c r="B592" s="53"/>
      <c r="C592" s="53"/>
      <c r="D592" s="53"/>
      <c r="E592" s="53"/>
      <c r="F592" s="1"/>
      <c r="G592" s="1"/>
    </row>
    <row r="593" ht="14.25" customHeight="1">
      <c r="A593" s="52"/>
      <c r="B593" s="53"/>
      <c r="C593" s="53"/>
      <c r="D593" s="53"/>
      <c r="E593" s="53"/>
      <c r="F593" s="1"/>
      <c r="G593" s="1"/>
    </row>
    <row r="594" ht="14.25" customHeight="1">
      <c r="A594" s="52"/>
      <c r="B594" s="53"/>
      <c r="C594" s="53"/>
      <c r="D594" s="53"/>
      <c r="E594" s="53"/>
      <c r="F594" s="1"/>
      <c r="G594" s="1"/>
    </row>
    <row r="595" ht="14.25" customHeight="1">
      <c r="A595" s="52"/>
      <c r="B595" s="53"/>
      <c r="C595" s="53"/>
      <c r="D595" s="53"/>
      <c r="E595" s="53"/>
      <c r="F595" s="1"/>
      <c r="G595" s="1"/>
    </row>
    <row r="596" ht="14.25" customHeight="1">
      <c r="A596" s="52"/>
      <c r="B596" s="53"/>
      <c r="C596" s="53"/>
      <c r="D596" s="53"/>
      <c r="E596" s="53"/>
      <c r="F596" s="1"/>
      <c r="G596" s="1"/>
    </row>
    <row r="597" ht="14.25" customHeight="1">
      <c r="A597" s="52"/>
      <c r="B597" s="53"/>
      <c r="C597" s="53"/>
      <c r="D597" s="53"/>
      <c r="E597" s="53"/>
      <c r="F597" s="1"/>
      <c r="G597" s="1"/>
    </row>
    <row r="598" ht="14.25" customHeight="1">
      <c r="A598" s="52"/>
      <c r="B598" s="53"/>
      <c r="C598" s="53"/>
      <c r="D598" s="53"/>
      <c r="E598" s="53"/>
      <c r="F598" s="1"/>
      <c r="G598" s="1"/>
    </row>
    <row r="599" ht="14.25" customHeight="1">
      <c r="A599" s="52"/>
      <c r="B599" s="53"/>
      <c r="C599" s="53"/>
      <c r="D599" s="53"/>
      <c r="E599" s="53"/>
      <c r="F599" s="1"/>
      <c r="G599" s="1"/>
    </row>
    <row r="600" ht="14.25" customHeight="1">
      <c r="A600" s="52"/>
      <c r="B600" s="53"/>
      <c r="C600" s="53"/>
      <c r="D600" s="53"/>
      <c r="E600" s="53"/>
      <c r="F600" s="1"/>
      <c r="G600" s="1"/>
    </row>
    <row r="601" ht="14.25" customHeight="1">
      <c r="A601" s="52"/>
      <c r="B601" s="53"/>
      <c r="C601" s="53"/>
      <c r="D601" s="53"/>
      <c r="E601" s="53"/>
      <c r="F601" s="1"/>
      <c r="G601" s="1"/>
    </row>
    <row r="602" ht="14.25" customHeight="1">
      <c r="A602" s="52"/>
      <c r="B602" s="53"/>
      <c r="C602" s="53"/>
      <c r="D602" s="53"/>
      <c r="E602" s="53"/>
      <c r="F602" s="1"/>
      <c r="G602" s="1"/>
    </row>
    <row r="603" ht="14.25" customHeight="1">
      <c r="A603" s="52"/>
      <c r="B603" s="53"/>
      <c r="C603" s="53"/>
      <c r="D603" s="53"/>
      <c r="E603" s="53"/>
      <c r="F603" s="1"/>
      <c r="G603" s="1"/>
    </row>
    <row r="604" ht="14.25" customHeight="1">
      <c r="A604" s="52"/>
      <c r="B604" s="53"/>
      <c r="C604" s="53"/>
      <c r="D604" s="53"/>
      <c r="E604" s="53"/>
      <c r="F604" s="1"/>
      <c r="G604" s="1"/>
    </row>
    <row r="605" ht="14.25" customHeight="1">
      <c r="A605" s="52"/>
      <c r="B605" s="53"/>
      <c r="C605" s="53"/>
      <c r="D605" s="53"/>
      <c r="E605" s="53"/>
      <c r="F605" s="1"/>
      <c r="G605" s="1"/>
    </row>
    <row r="606" ht="14.25" customHeight="1">
      <c r="A606" s="52"/>
      <c r="B606" s="53"/>
      <c r="C606" s="53"/>
      <c r="D606" s="53"/>
      <c r="E606" s="53"/>
      <c r="F606" s="1"/>
      <c r="G606" s="1"/>
    </row>
    <row r="607" ht="14.25" customHeight="1">
      <c r="A607" s="52"/>
      <c r="B607" s="53"/>
      <c r="C607" s="53"/>
      <c r="D607" s="53"/>
      <c r="E607" s="53"/>
      <c r="F607" s="1"/>
      <c r="G607" s="1"/>
    </row>
    <row r="608" ht="14.25" customHeight="1">
      <c r="A608" s="52"/>
      <c r="B608" s="53"/>
      <c r="C608" s="53"/>
      <c r="D608" s="53"/>
      <c r="E608" s="53"/>
      <c r="F608" s="1"/>
      <c r="G608" s="1"/>
    </row>
    <row r="609" ht="14.25" customHeight="1">
      <c r="A609" s="52"/>
      <c r="B609" s="53"/>
      <c r="C609" s="53"/>
      <c r="D609" s="53"/>
      <c r="E609" s="53"/>
      <c r="F609" s="1"/>
      <c r="G609" s="1"/>
    </row>
    <row r="610" ht="14.25" customHeight="1">
      <c r="A610" s="52"/>
      <c r="B610" s="53"/>
      <c r="C610" s="53"/>
      <c r="D610" s="53"/>
      <c r="E610" s="53"/>
      <c r="F610" s="1"/>
      <c r="G610" s="1"/>
    </row>
    <row r="611" ht="14.25" customHeight="1">
      <c r="A611" s="52"/>
      <c r="B611" s="53"/>
      <c r="C611" s="53"/>
      <c r="D611" s="53"/>
      <c r="E611" s="53"/>
      <c r="F611" s="1"/>
      <c r="G611" s="1"/>
    </row>
    <row r="612" ht="14.25" customHeight="1">
      <c r="A612" s="52"/>
      <c r="B612" s="53"/>
      <c r="C612" s="53"/>
      <c r="D612" s="53"/>
      <c r="E612" s="53"/>
      <c r="F612" s="1"/>
      <c r="G612" s="1"/>
    </row>
    <row r="613" ht="14.25" customHeight="1">
      <c r="A613" s="52"/>
      <c r="B613" s="53"/>
      <c r="C613" s="53"/>
      <c r="D613" s="53"/>
      <c r="E613" s="53"/>
      <c r="F613" s="1"/>
      <c r="G613" s="1"/>
    </row>
    <row r="614" ht="14.25" customHeight="1">
      <c r="A614" s="52"/>
      <c r="B614" s="53"/>
      <c r="C614" s="53"/>
      <c r="D614" s="53"/>
      <c r="E614" s="53"/>
      <c r="F614" s="1"/>
      <c r="G614" s="1"/>
    </row>
    <row r="615" ht="14.25" customHeight="1">
      <c r="A615" s="52"/>
      <c r="B615" s="53"/>
      <c r="C615" s="53"/>
      <c r="D615" s="53"/>
      <c r="E615" s="53"/>
      <c r="F615" s="1"/>
      <c r="G615" s="1"/>
    </row>
    <row r="616" ht="14.25" customHeight="1">
      <c r="A616" s="52"/>
      <c r="B616" s="53"/>
      <c r="C616" s="53"/>
      <c r="D616" s="53"/>
      <c r="E616" s="53"/>
      <c r="F616" s="1"/>
      <c r="G616" s="1"/>
    </row>
    <row r="617" ht="14.25" customHeight="1">
      <c r="A617" s="52"/>
      <c r="B617" s="53"/>
      <c r="C617" s="53"/>
      <c r="D617" s="53"/>
      <c r="E617" s="53"/>
      <c r="F617" s="1"/>
      <c r="G617" s="1"/>
    </row>
    <row r="618" ht="14.25" customHeight="1">
      <c r="A618" s="52"/>
      <c r="B618" s="53"/>
      <c r="C618" s="53"/>
      <c r="D618" s="53"/>
      <c r="E618" s="53"/>
      <c r="F618" s="1"/>
      <c r="G618" s="1"/>
    </row>
    <row r="619" ht="14.25" customHeight="1">
      <c r="A619" s="52"/>
      <c r="B619" s="53"/>
      <c r="C619" s="53"/>
      <c r="D619" s="53"/>
      <c r="E619" s="53"/>
      <c r="F619" s="1"/>
      <c r="G619" s="1"/>
    </row>
    <row r="620" ht="14.25" customHeight="1">
      <c r="A620" s="52"/>
      <c r="B620" s="53"/>
      <c r="C620" s="53"/>
      <c r="D620" s="53"/>
      <c r="E620" s="53"/>
      <c r="F620" s="1"/>
      <c r="G620" s="1"/>
    </row>
    <row r="621" ht="14.25" customHeight="1">
      <c r="A621" s="52"/>
      <c r="B621" s="53"/>
      <c r="C621" s="53"/>
      <c r="D621" s="53"/>
      <c r="E621" s="53"/>
      <c r="F621" s="1"/>
      <c r="G621" s="1"/>
    </row>
    <row r="622" ht="14.25" customHeight="1">
      <c r="A622" s="52"/>
      <c r="B622" s="53"/>
      <c r="C622" s="53"/>
      <c r="D622" s="53"/>
      <c r="E622" s="53"/>
      <c r="F622" s="1"/>
      <c r="G622" s="1"/>
    </row>
    <row r="623" ht="14.25" customHeight="1">
      <c r="A623" s="52"/>
      <c r="B623" s="53"/>
      <c r="C623" s="53"/>
      <c r="D623" s="53"/>
      <c r="E623" s="53"/>
      <c r="F623" s="1"/>
      <c r="G623" s="1"/>
    </row>
    <row r="624" ht="14.25" customHeight="1">
      <c r="A624" s="52"/>
      <c r="B624" s="53"/>
      <c r="C624" s="53"/>
      <c r="D624" s="53"/>
      <c r="E624" s="53"/>
      <c r="F624" s="1"/>
      <c r="G624" s="1"/>
    </row>
    <row r="625" ht="14.25" customHeight="1">
      <c r="A625" s="52"/>
      <c r="B625" s="53"/>
      <c r="C625" s="53"/>
      <c r="D625" s="53"/>
      <c r="E625" s="53"/>
      <c r="F625" s="1"/>
      <c r="G625" s="1"/>
    </row>
    <row r="626" ht="14.25" customHeight="1">
      <c r="A626" s="52"/>
      <c r="B626" s="53"/>
      <c r="C626" s="53"/>
      <c r="D626" s="53"/>
      <c r="E626" s="53"/>
      <c r="F626" s="1"/>
      <c r="G626" s="1"/>
    </row>
    <row r="627" ht="14.25" customHeight="1">
      <c r="A627" s="52"/>
      <c r="B627" s="53"/>
      <c r="C627" s="53"/>
      <c r="D627" s="53"/>
      <c r="E627" s="53"/>
      <c r="F627" s="1"/>
      <c r="G627" s="1"/>
    </row>
    <row r="628" ht="14.25" customHeight="1">
      <c r="A628" s="52"/>
      <c r="B628" s="53"/>
      <c r="C628" s="53"/>
      <c r="D628" s="53"/>
      <c r="E628" s="53"/>
      <c r="F628" s="1"/>
      <c r="G628" s="1"/>
    </row>
    <row r="629" ht="14.25" customHeight="1">
      <c r="A629" s="52"/>
      <c r="B629" s="53"/>
      <c r="C629" s="53"/>
      <c r="D629" s="53"/>
      <c r="E629" s="53"/>
      <c r="F629" s="1"/>
      <c r="G629" s="1"/>
    </row>
    <row r="630" ht="14.25" customHeight="1">
      <c r="A630" s="52"/>
      <c r="B630" s="53"/>
      <c r="C630" s="53"/>
      <c r="D630" s="53"/>
      <c r="E630" s="53"/>
      <c r="F630" s="1"/>
      <c r="G630" s="1"/>
    </row>
    <row r="631" ht="14.25" customHeight="1">
      <c r="A631" s="52"/>
      <c r="B631" s="53"/>
      <c r="C631" s="53"/>
      <c r="D631" s="53"/>
      <c r="E631" s="53"/>
      <c r="F631" s="1"/>
      <c r="G631" s="1"/>
    </row>
    <row r="632" ht="14.25" customHeight="1">
      <c r="A632" s="52"/>
      <c r="B632" s="53"/>
      <c r="C632" s="53"/>
      <c r="D632" s="53"/>
      <c r="E632" s="53"/>
      <c r="F632" s="1"/>
      <c r="G632" s="1"/>
    </row>
    <row r="633" ht="14.25" customHeight="1">
      <c r="A633" s="52"/>
      <c r="B633" s="53"/>
      <c r="C633" s="53"/>
      <c r="D633" s="53"/>
      <c r="E633" s="53"/>
      <c r="F633" s="1"/>
      <c r="G633" s="1"/>
    </row>
    <row r="634" ht="14.25" customHeight="1">
      <c r="A634" s="52"/>
      <c r="B634" s="53"/>
      <c r="C634" s="53"/>
      <c r="D634" s="53"/>
      <c r="E634" s="53"/>
      <c r="F634" s="1"/>
      <c r="G634" s="1"/>
    </row>
    <row r="635" ht="14.25" customHeight="1">
      <c r="A635" s="52"/>
      <c r="B635" s="53"/>
      <c r="C635" s="53"/>
      <c r="D635" s="53"/>
      <c r="E635" s="53"/>
      <c r="F635" s="1"/>
      <c r="G635" s="1"/>
    </row>
    <row r="636" ht="14.25" customHeight="1">
      <c r="A636" s="52"/>
      <c r="B636" s="53"/>
      <c r="C636" s="53"/>
      <c r="D636" s="53"/>
      <c r="E636" s="53"/>
      <c r="F636" s="1"/>
      <c r="G636" s="1"/>
    </row>
    <row r="637" ht="14.25" customHeight="1">
      <c r="A637" s="52"/>
      <c r="B637" s="53"/>
      <c r="C637" s="53"/>
      <c r="D637" s="53"/>
      <c r="E637" s="53"/>
      <c r="F637" s="1"/>
      <c r="G637" s="1"/>
    </row>
    <row r="638" ht="14.25" customHeight="1">
      <c r="A638" s="52"/>
      <c r="B638" s="53"/>
      <c r="C638" s="53"/>
      <c r="D638" s="53"/>
      <c r="E638" s="53"/>
      <c r="F638" s="1"/>
      <c r="G638" s="1"/>
    </row>
    <row r="639" ht="14.25" customHeight="1">
      <c r="A639" s="52"/>
      <c r="B639" s="53"/>
      <c r="C639" s="53"/>
      <c r="D639" s="53"/>
      <c r="E639" s="53"/>
      <c r="F639" s="1"/>
      <c r="G639" s="1"/>
    </row>
    <row r="640" ht="14.25" customHeight="1">
      <c r="A640" s="52"/>
      <c r="B640" s="53"/>
      <c r="C640" s="53"/>
      <c r="D640" s="53"/>
      <c r="E640" s="53"/>
      <c r="F640" s="1"/>
      <c r="G640" s="1"/>
    </row>
    <row r="641" ht="14.25" customHeight="1">
      <c r="A641" s="52"/>
      <c r="B641" s="53"/>
      <c r="C641" s="53"/>
      <c r="D641" s="53"/>
      <c r="E641" s="53"/>
      <c r="F641" s="1"/>
      <c r="G641" s="1"/>
    </row>
    <row r="642" ht="14.25" customHeight="1">
      <c r="A642" s="52"/>
      <c r="B642" s="53"/>
      <c r="C642" s="53"/>
      <c r="D642" s="53"/>
      <c r="E642" s="53"/>
      <c r="F642" s="1"/>
      <c r="G642" s="1"/>
    </row>
    <row r="643" ht="14.25" customHeight="1">
      <c r="A643" s="52"/>
      <c r="B643" s="53"/>
      <c r="C643" s="53"/>
      <c r="D643" s="53"/>
      <c r="E643" s="53"/>
      <c r="F643" s="1"/>
      <c r="G643" s="1"/>
    </row>
    <row r="644" ht="14.25" customHeight="1">
      <c r="A644" s="52"/>
      <c r="B644" s="53"/>
      <c r="C644" s="53"/>
      <c r="D644" s="53"/>
      <c r="E644" s="53"/>
      <c r="F644" s="1"/>
      <c r="G644" s="1"/>
    </row>
    <row r="645" ht="14.25" customHeight="1">
      <c r="A645" s="52"/>
      <c r="B645" s="53"/>
      <c r="C645" s="53"/>
      <c r="D645" s="53"/>
      <c r="E645" s="53"/>
      <c r="F645" s="1"/>
      <c r="G645" s="1"/>
    </row>
    <row r="646" ht="14.25" customHeight="1">
      <c r="A646" s="52"/>
      <c r="B646" s="53"/>
      <c r="C646" s="53"/>
      <c r="D646" s="53"/>
      <c r="E646" s="53"/>
      <c r="F646" s="1"/>
      <c r="G646" s="1"/>
    </row>
    <row r="647" ht="14.25" customHeight="1">
      <c r="A647" s="52"/>
      <c r="B647" s="53"/>
      <c r="C647" s="53"/>
      <c r="D647" s="53"/>
      <c r="E647" s="53"/>
      <c r="F647" s="1"/>
      <c r="G647" s="1"/>
    </row>
    <row r="648" ht="14.25" customHeight="1">
      <c r="A648" s="52"/>
      <c r="B648" s="53"/>
      <c r="C648" s="53"/>
      <c r="D648" s="53"/>
      <c r="E648" s="53"/>
      <c r="F648" s="1"/>
      <c r="G648" s="1"/>
    </row>
    <row r="649" ht="14.25" customHeight="1">
      <c r="A649" s="52"/>
      <c r="B649" s="53"/>
      <c r="C649" s="53"/>
      <c r="D649" s="53"/>
      <c r="E649" s="53"/>
      <c r="F649" s="1"/>
      <c r="G649" s="1"/>
    </row>
    <row r="650" ht="14.25" customHeight="1">
      <c r="A650" s="52"/>
      <c r="B650" s="53"/>
      <c r="C650" s="53"/>
      <c r="D650" s="53"/>
      <c r="E650" s="53"/>
      <c r="F650" s="1"/>
      <c r="G650" s="1"/>
    </row>
    <row r="651" ht="14.25" customHeight="1">
      <c r="A651" s="52"/>
      <c r="B651" s="53"/>
      <c r="C651" s="53"/>
      <c r="D651" s="53"/>
      <c r="E651" s="53"/>
      <c r="F651" s="1"/>
      <c r="G651" s="1"/>
    </row>
    <row r="652" ht="14.25" customHeight="1">
      <c r="A652" s="52"/>
      <c r="B652" s="53"/>
      <c r="C652" s="53"/>
      <c r="D652" s="53"/>
      <c r="E652" s="53"/>
      <c r="F652" s="1"/>
      <c r="G652" s="1"/>
    </row>
    <row r="653" ht="14.25" customHeight="1">
      <c r="A653" s="52"/>
      <c r="B653" s="53"/>
      <c r="C653" s="53"/>
      <c r="D653" s="53"/>
      <c r="E653" s="53"/>
      <c r="F653" s="1"/>
      <c r="G653" s="1"/>
    </row>
    <row r="654" ht="14.25" customHeight="1">
      <c r="A654" s="52"/>
      <c r="B654" s="53"/>
      <c r="C654" s="53"/>
      <c r="D654" s="53"/>
      <c r="E654" s="53"/>
      <c r="F654" s="1"/>
      <c r="G654" s="1"/>
    </row>
    <row r="655" ht="14.25" customHeight="1">
      <c r="A655" s="52"/>
      <c r="B655" s="53"/>
      <c r="C655" s="53"/>
      <c r="D655" s="53"/>
      <c r="E655" s="53"/>
      <c r="F655" s="1"/>
      <c r="G655" s="1"/>
    </row>
    <row r="656" ht="14.25" customHeight="1">
      <c r="A656" s="52"/>
      <c r="B656" s="53"/>
      <c r="C656" s="53"/>
      <c r="D656" s="53"/>
      <c r="E656" s="53"/>
      <c r="F656" s="1"/>
      <c r="G656" s="1"/>
    </row>
    <row r="657" ht="14.25" customHeight="1">
      <c r="A657" s="52"/>
      <c r="B657" s="53"/>
      <c r="C657" s="53"/>
      <c r="D657" s="53"/>
      <c r="E657" s="53"/>
      <c r="F657" s="1"/>
      <c r="G657" s="1"/>
    </row>
    <row r="658" ht="14.25" customHeight="1">
      <c r="A658" s="52"/>
      <c r="B658" s="53"/>
      <c r="C658" s="53"/>
      <c r="D658" s="53"/>
      <c r="E658" s="53"/>
      <c r="F658" s="1"/>
      <c r="G658" s="1"/>
    </row>
    <row r="659" ht="14.25" customHeight="1">
      <c r="A659" s="52"/>
      <c r="B659" s="53"/>
      <c r="C659" s="53"/>
      <c r="D659" s="53"/>
      <c r="E659" s="53"/>
      <c r="F659" s="1"/>
      <c r="G659" s="1"/>
    </row>
    <row r="660" ht="14.25" customHeight="1">
      <c r="A660" s="52"/>
      <c r="B660" s="53"/>
      <c r="C660" s="53"/>
      <c r="D660" s="53"/>
      <c r="E660" s="53"/>
      <c r="F660" s="1"/>
      <c r="G660" s="1"/>
    </row>
    <row r="661" ht="14.25" customHeight="1">
      <c r="A661" s="52"/>
      <c r="B661" s="53"/>
      <c r="C661" s="53"/>
      <c r="D661" s="53"/>
      <c r="E661" s="53"/>
      <c r="F661" s="1"/>
      <c r="G661" s="1"/>
    </row>
    <row r="662" ht="14.25" customHeight="1">
      <c r="A662" s="52"/>
      <c r="B662" s="53"/>
      <c r="C662" s="53"/>
      <c r="D662" s="53"/>
      <c r="E662" s="53"/>
      <c r="F662" s="1"/>
      <c r="G662" s="1"/>
    </row>
    <row r="663" ht="14.25" customHeight="1">
      <c r="A663" s="52"/>
      <c r="B663" s="53"/>
      <c r="C663" s="53"/>
      <c r="D663" s="53"/>
      <c r="E663" s="53"/>
      <c r="F663" s="1"/>
      <c r="G663" s="1"/>
    </row>
    <row r="664" ht="14.25" customHeight="1">
      <c r="A664" s="52"/>
      <c r="B664" s="53"/>
      <c r="C664" s="53"/>
      <c r="D664" s="53"/>
      <c r="E664" s="53"/>
      <c r="F664" s="1"/>
      <c r="G664" s="1"/>
    </row>
    <row r="665" ht="14.25" customHeight="1">
      <c r="A665" s="52"/>
      <c r="B665" s="53"/>
      <c r="C665" s="53"/>
      <c r="D665" s="53"/>
      <c r="E665" s="53"/>
      <c r="F665" s="1"/>
      <c r="G665" s="1"/>
    </row>
    <row r="666" ht="14.25" customHeight="1">
      <c r="A666" s="52"/>
      <c r="B666" s="53"/>
      <c r="C666" s="53"/>
      <c r="D666" s="53"/>
      <c r="E666" s="53"/>
      <c r="F666" s="1"/>
      <c r="G666" s="1"/>
    </row>
    <row r="667" ht="14.25" customHeight="1">
      <c r="A667" s="52"/>
      <c r="B667" s="53"/>
      <c r="C667" s="53"/>
      <c r="D667" s="53"/>
      <c r="E667" s="53"/>
      <c r="F667" s="1"/>
      <c r="G667" s="1"/>
    </row>
    <row r="668" ht="14.25" customHeight="1">
      <c r="A668" s="52"/>
      <c r="B668" s="53"/>
      <c r="C668" s="53"/>
      <c r="D668" s="53"/>
      <c r="E668" s="53"/>
      <c r="F668" s="1"/>
      <c r="G668" s="1"/>
    </row>
    <row r="669" ht="14.25" customHeight="1">
      <c r="A669" s="52"/>
      <c r="B669" s="53"/>
      <c r="C669" s="53"/>
      <c r="D669" s="53"/>
      <c r="E669" s="53"/>
      <c r="F669" s="1"/>
      <c r="G669" s="1"/>
    </row>
    <row r="670" ht="14.25" customHeight="1">
      <c r="A670" s="52"/>
      <c r="B670" s="53"/>
      <c r="C670" s="53"/>
      <c r="D670" s="53"/>
      <c r="E670" s="53"/>
      <c r="F670" s="1"/>
      <c r="G670" s="1"/>
    </row>
    <row r="671" ht="14.25" customHeight="1">
      <c r="A671" s="52"/>
      <c r="B671" s="53"/>
      <c r="C671" s="53"/>
      <c r="D671" s="53"/>
      <c r="E671" s="53"/>
      <c r="F671" s="1"/>
      <c r="G671" s="1"/>
    </row>
    <row r="672" ht="14.25" customHeight="1">
      <c r="A672" s="52"/>
      <c r="B672" s="53"/>
      <c r="C672" s="53"/>
      <c r="D672" s="53"/>
      <c r="E672" s="53"/>
      <c r="F672" s="1"/>
      <c r="G672" s="1"/>
    </row>
    <row r="673" ht="14.25" customHeight="1">
      <c r="A673" s="52"/>
      <c r="B673" s="53"/>
      <c r="C673" s="53"/>
      <c r="D673" s="53"/>
      <c r="E673" s="53"/>
      <c r="F673" s="1"/>
      <c r="G673" s="1"/>
    </row>
    <row r="674" ht="14.25" customHeight="1">
      <c r="A674" s="52"/>
      <c r="B674" s="53"/>
      <c r="C674" s="53"/>
      <c r="D674" s="53"/>
      <c r="E674" s="53"/>
      <c r="F674" s="1"/>
      <c r="G674" s="1"/>
    </row>
    <row r="675" ht="14.25" customHeight="1">
      <c r="A675" s="52"/>
      <c r="B675" s="53"/>
      <c r="C675" s="53"/>
      <c r="D675" s="53"/>
      <c r="E675" s="53"/>
      <c r="F675" s="1"/>
      <c r="G675" s="1"/>
    </row>
    <row r="676" ht="14.25" customHeight="1">
      <c r="A676" s="52"/>
      <c r="B676" s="53"/>
      <c r="C676" s="53"/>
      <c r="D676" s="53"/>
      <c r="E676" s="53"/>
      <c r="F676" s="1"/>
      <c r="G676" s="1"/>
    </row>
    <row r="677" ht="14.25" customHeight="1">
      <c r="A677" s="52"/>
      <c r="B677" s="53"/>
      <c r="C677" s="53"/>
      <c r="D677" s="53"/>
      <c r="E677" s="53"/>
      <c r="F677" s="1"/>
      <c r="G677" s="1"/>
    </row>
    <row r="678" ht="14.25" customHeight="1">
      <c r="A678" s="52"/>
      <c r="B678" s="53"/>
      <c r="C678" s="53"/>
      <c r="D678" s="53"/>
      <c r="E678" s="53"/>
      <c r="F678" s="1"/>
      <c r="G678" s="1"/>
    </row>
    <row r="679" ht="14.25" customHeight="1">
      <c r="A679" s="52"/>
      <c r="B679" s="53"/>
      <c r="C679" s="53"/>
      <c r="D679" s="53"/>
      <c r="E679" s="53"/>
      <c r="F679" s="1"/>
      <c r="G679" s="1"/>
    </row>
    <row r="680" ht="14.25" customHeight="1">
      <c r="A680" s="52"/>
      <c r="B680" s="53"/>
      <c r="C680" s="53"/>
      <c r="D680" s="53"/>
      <c r="E680" s="53"/>
      <c r="F680" s="1"/>
      <c r="G680" s="1"/>
    </row>
    <row r="681" ht="14.25" customHeight="1">
      <c r="A681" s="52"/>
      <c r="B681" s="53"/>
      <c r="C681" s="53"/>
      <c r="D681" s="53"/>
      <c r="E681" s="53"/>
      <c r="F681" s="1"/>
      <c r="G681" s="1"/>
    </row>
    <row r="682" ht="14.25" customHeight="1">
      <c r="A682" s="52"/>
      <c r="B682" s="53"/>
      <c r="C682" s="53"/>
      <c r="D682" s="53"/>
      <c r="E682" s="53"/>
      <c r="F682" s="1"/>
      <c r="G682" s="1"/>
    </row>
    <row r="683" ht="14.25" customHeight="1">
      <c r="A683" s="52"/>
      <c r="B683" s="53"/>
      <c r="C683" s="53"/>
      <c r="D683" s="53"/>
      <c r="E683" s="53"/>
      <c r="F683" s="1"/>
      <c r="G683" s="1"/>
    </row>
    <row r="684" ht="14.25" customHeight="1">
      <c r="A684" s="52"/>
      <c r="B684" s="53"/>
      <c r="C684" s="53"/>
      <c r="D684" s="53"/>
      <c r="E684" s="53"/>
      <c r="F684" s="1"/>
      <c r="G684" s="1"/>
    </row>
    <row r="685" ht="14.25" customHeight="1">
      <c r="A685" s="52"/>
      <c r="B685" s="53"/>
      <c r="C685" s="53"/>
      <c r="D685" s="53"/>
      <c r="E685" s="53"/>
      <c r="F685" s="1"/>
      <c r="G685" s="1"/>
    </row>
    <row r="686" ht="14.25" customHeight="1">
      <c r="A686" s="52"/>
      <c r="B686" s="53"/>
      <c r="C686" s="53"/>
      <c r="D686" s="53"/>
      <c r="E686" s="53"/>
      <c r="F686" s="1"/>
      <c r="G686" s="1"/>
    </row>
    <row r="687" ht="14.25" customHeight="1">
      <c r="A687" s="52"/>
      <c r="B687" s="53"/>
      <c r="C687" s="53"/>
      <c r="D687" s="53"/>
      <c r="E687" s="53"/>
      <c r="F687" s="1"/>
      <c r="G687" s="1"/>
    </row>
    <row r="688" ht="14.25" customHeight="1">
      <c r="A688" s="52"/>
      <c r="B688" s="53"/>
      <c r="C688" s="53"/>
      <c r="D688" s="53"/>
      <c r="E688" s="53"/>
      <c r="F688" s="1"/>
      <c r="G688" s="1"/>
    </row>
    <row r="689" ht="14.25" customHeight="1">
      <c r="A689" s="52"/>
      <c r="B689" s="53"/>
      <c r="C689" s="53"/>
      <c r="D689" s="53"/>
      <c r="E689" s="53"/>
      <c r="F689" s="1"/>
      <c r="G689" s="1"/>
    </row>
    <row r="690" ht="14.25" customHeight="1">
      <c r="A690" s="52"/>
      <c r="B690" s="53"/>
      <c r="C690" s="53"/>
      <c r="D690" s="53"/>
      <c r="E690" s="53"/>
      <c r="F690" s="1"/>
      <c r="G690" s="1"/>
    </row>
    <row r="691" ht="14.25" customHeight="1">
      <c r="A691" s="52"/>
      <c r="B691" s="53"/>
      <c r="C691" s="53"/>
      <c r="D691" s="53"/>
      <c r="E691" s="53"/>
      <c r="F691" s="1"/>
      <c r="G691" s="1"/>
    </row>
    <row r="692" ht="14.25" customHeight="1">
      <c r="A692" s="52"/>
      <c r="B692" s="53"/>
      <c r="C692" s="53"/>
      <c r="D692" s="53"/>
      <c r="E692" s="53"/>
      <c r="F692" s="1"/>
      <c r="G692" s="1"/>
    </row>
    <row r="693" ht="14.25" customHeight="1">
      <c r="A693" s="52"/>
      <c r="B693" s="53"/>
      <c r="C693" s="53"/>
      <c r="D693" s="53"/>
      <c r="E693" s="53"/>
      <c r="F693" s="1"/>
      <c r="G693" s="1"/>
    </row>
    <row r="694" ht="14.25" customHeight="1">
      <c r="A694" s="52"/>
      <c r="B694" s="53"/>
      <c r="C694" s="53"/>
      <c r="D694" s="53"/>
      <c r="E694" s="53"/>
      <c r="F694" s="1"/>
      <c r="G694" s="1"/>
    </row>
    <row r="695" ht="14.25" customHeight="1">
      <c r="A695" s="52"/>
      <c r="B695" s="53"/>
      <c r="C695" s="53"/>
      <c r="D695" s="53"/>
      <c r="E695" s="53"/>
      <c r="F695" s="1"/>
      <c r="G695" s="1"/>
    </row>
    <row r="696" ht="14.25" customHeight="1">
      <c r="A696" s="52"/>
      <c r="B696" s="53"/>
      <c r="C696" s="53"/>
      <c r="D696" s="53"/>
      <c r="E696" s="53"/>
      <c r="F696" s="1"/>
      <c r="G696" s="1"/>
    </row>
    <row r="697" ht="14.25" customHeight="1">
      <c r="A697" s="52"/>
      <c r="B697" s="53"/>
      <c r="C697" s="53"/>
      <c r="D697" s="53"/>
      <c r="E697" s="53"/>
      <c r="F697" s="1"/>
      <c r="G697" s="1"/>
    </row>
    <row r="698" ht="14.25" customHeight="1">
      <c r="A698" s="52"/>
      <c r="B698" s="53"/>
      <c r="C698" s="53"/>
      <c r="D698" s="53"/>
      <c r="E698" s="53"/>
      <c r="F698" s="1"/>
      <c r="G698" s="1"/>
    </row>
    <row r="699" ht="14.25" customHeight="1">
      <c r="A699" s="52"/>
      <c r="B699" s="53"/>
      <c r="C699" s="53"/>
      <c r="D699" s="53"/>
      <c r="E699" s="53"/>
      <c r="F699" s="1"/>
      <c r="G699" s="1"/>
    </row>
    <row r="700" ht="14.25" customHeight="1">
      <c r="A700" s="52"/>
      <c r="B700" s="53"/>
      <c r="C700" s="53"/>
      <c r="D700" s="53"/>
      <c r="E700" s="53"/>
      <c r="F700" s="1"/>
      <c r="G700" s="1"/>
    </row>
    <row r="701" ht="14.25" customHeight="1">
      <c r="A701" s="52"/>
      <c r="B701" s="53"/>
      <c r="C701" s="53"/>
      <c r="D701" s="53"/>
      <c r="E701" s="53"/>
      <c r="F701" s="1"/>
      <c r="G701" s="1"/>
    </row>
    <row r="702" ht="14.25" customHeight="1">
      <c r="A702" s="52"/>
      <c r="B702" s="53"/>
      <c r="C702" s="53"/>
      <c r="D702" s="53"/>
      <c r="E702" s="53"/>
      <c r="F702" s="1"/>
      <c r="G702" s="1"/>
    </row>
    <row r="703" ht="14.25" customHeight="1">
      <c r="A703" s="52"/>
      <c r="B703" s="53"/>
      <c r="C703" s="53"/>
      <c r="D703" s="53"/>
      <c r="E703" s="53"/>
      <c r="F703" s="1"/>
      <c r="G703" s="1"/>
    </row>
    <row r="704" ht="14.25" customHeight="1">
      <c r="A704" s="52"/>
      <c r="B704" s="53"/>
      <c r="C704" s="53"/>
      <c r="D704" s="53"/>
      <c r="E704" s="53"/>
      <c r="F704" s="1"/>
      <c r="G704" s="1"/>
    </row>
    <row r="705" ht="14.25" customHeight="1">
      <c r="A705" s="52"/>
      <c r="B705" s="53"/>
      <c r="C705" s="53"/>
      <c r="D705" s="53"/>
      <c r="E705" s="53"/>
      <c r="F705" s="1"/>
      <c r="G705" s="1"/>
    </row>
    <row r="706" ht="14.25" customHeight="1">
      <c r="A706" s="52"/>
      <c r="B706" s="53"/>
      <c r="C706" s="53"/>
      <c r="D706" s="53"/>
      <c r="E706" s="53"/>
      <c r="F706" s="1"/>
      <c r="G706" s="1"/>
    </row>
    <row r="707" ht="14.25" customHeight="1">
      <c r="A707" s="52"/>
      <c r="B707" s="53"/>
      <c r="C707" s="53"/>
      <c r="D707" s="53"/>
      <c r="E707" s="53"/>
      <c r="F707" s="1"/>
      <c r="G707" s="1"/>
    </row>
    <row r="708" ht="14.25" customHeight="1">
      <c r="A708" s="52"/>
      <c r="B708" s="53"/>
      <c r="C708" s="53"/>
      <c r="D708" s="53"/>
      <c r="E708" s="53"/>
      <c r="F708" s="1"/>
      <c r="G708" s="1"/>
    </row>
    <row r="709" ht="14.25" customHeight="1">
      <c r="A709" s="52"/>
      <c r="B709" s="53"/>
      <c r="C709" s="53"/>
      <c r="D709" s="53"/>
      <c r="E709" s="53"/>
      <c r="F709" s="1"/>
      <c r="G709" s="1"/>
    </row>
    <row r="710" ht="14.25" customHeight="1">
      <c r="A710" s="52"/>
      <c r="B710" s="53"/>
      <c r="C710" s="53"/>
      <c r="D710" s="53"/>
      <c r="E710" s="53"/>
      <c r="F710" s="1"/>
      <c r="G710" s="1"/>
    </row>
    <row r="711" ht="14.25" customHeight="1">
      <c r="A711" s="52"/>
      <c r="B711" s="53"/>
      <c r="C711" s="53"/>
      <c r="D711" s="53"/>
      <c r="E711" s="53"/>
      <c r="F711" s="1"/>
      <c r="G711" s="1"/>
    </row>
    <row r="712" ht="14.25" customHeight="1">
      <c r="A712" s="52"/>
      <c r="B712" s="53"/>
      <c r="C712" s="53"/>
      <c r="D712" s="53"/>
      <c r="E712" s="53"/>
      <c r="F712" s="1"/>
      <c r="G712" s="1"/>
    </row>
    <row r="713" ht="14.25" customHeight="1">
      <c r="A713" s="52"/>
      <c r="B713" s="53"/>
      <c r="C713" s="53"/>
      <c r="D713" s="53"/>
      <c r="E713" s="53"/>
      <c r="F713" s="1"/>
      <c r="G713" s="1"/>
    </row>
    <row r="714" ht="14.25" customHeight="1">
      <c r="A714" s="52"/>
      <c r="B714" s="53"/>
      <c r="C714" s="53"/>
      <c r="D714" s="53"/>
      <c r="E714" s="53"/>
      <c r="F714" s="1"/>
      <c r="G714" s="1"/>
    </row>
    <row r="715" ht="14.25" customHeight="1">
      <c r="A715" s="52"/>
      <c r="B715" s="53"/>
      <c r="C715" s="53"/>
      <c r="D715" s="53"/>
      <c r="E715" s="53"/>
      <c r="F715" s="1"/>
      <c r="G715" s="1"/>
    </row>
    <row r="716" ht="14.25" customHeight="1">
      <c r="A716" s="52"/>
      <c r="B716" s="53"/>
      <c r="C716" s="53"/>
      <c r="D716" s="53"/>
      <c r="E716" s="53"/>
      <c r="F716" s="1"/>
      <c r="G716" s="1"/>
    </row>
    <row r="717" ht="14.25" customHeight="1">
      <c r="A717" s="52"/>
      <c r="B717" s="53"/>
      <c r="C717" s="53"/>
      <c r="D717" s="53"/>
      <c r="E717" s="53"/>
      <c r="F717" s="1"/>
      <c r="G717" s="1"/>
    </row>
    <row r="718" ht="14.25" customHeight="1">
      <c r="A718" s="52"/>
      <c r="B718" s="53"/>
      <c r="C718" s="53"/>
      <c r="D718" s="53"/>
      <c r="E718" s="53"/>
      <c r="F718" s="1"/>
      <c r="G718" s="1"/>
    </row>
    <row r="719" ht="14.25" customHeight="1">
      <c r="A719" s="52"/>
      <c r="B719" s="53"/>
      <c r="C719" s="53"/>
      <c r="D719" s="53"/>
      <c r="E719" s="53"/>
      <c r="F719" s="1"/>
      <c r="G719" s="1"/>
    </row>
    <row r="720" ht="14.25" customHeight="1">
      <c r="A720" s="52"/>
      <c r="B720" s="53"/>
      <c r="C720" s="53"/>
      <c r="D720" s="53"/>
      <c r="E720" s="53"/>
      <c r="F720" s="1"/>
      <c r="G720" s="1"/>
    </row>
    <row r="721" ht="14.25" customHeight="1">
      <c r="A721" s="52"/>
      <c r="B721" s="53"/>
      <c r="C721" s="53"/>
      <c r="D721" s="53"/>
      <c r="E721" s="53"/>
      <c r="F721" s="1"/>
      <c r="G721" s="1"/>
    </row>
    <row r="722" ht="14.25" customHeight="1">
      <c r="A722" s="52"/>
      <c r="B722" s="53"/>
      <c r="C722" s="53"/>
      <c r="D722" s="53"/>
      <c r="E722" s="53"/>
      <c r="F722" s="1"/>
      <c r="G722" s="1"/>
    </row>
    <row r="723" ht="14.25" customHeight="1">
      <c r="A723" s="52"/>
      <c r="B723" s="53"/>
      <c r="C723" s="53"/>
      <c r="D723" s="53"/>
      <c r="E723" s="53"/>
      <c r="F723" s="1"/>
      <c r="G723" s="1"/>
    </row>
    <row r="724" ht="14.25" customHeight="1">
      <c r="A724" s="52"/>
      <c r="B724" s="53"/>
      <c r="C724" s="53"/>
      <c r="D724" s="53"/>
      <c r="E724" s="53"/>
      <c r="F724" s="1"/>
      <c r="G724" s="1"/>
    </row>
    <row r="725" ht="14.25" customHeight="1">
      <c r="A725" s="52"/>
      <c r="B725" s="53"/>
      <c r="C725" s="53"/>
      <c r="D725" s="53"/>
      <c r="E725" s="53"/>
      <c r="F725" s="1"/>
      <c r="G725" s="1"/>
    </row>
    <row r="726" ht="14.25" customHeight="1">
      <c r="A726" s="52"/>
      <c r="B726" s="53"/>
      <c r="C726" s="53"/>
      <c r="D726" s="53"/>
      <c r="E726" s="53"/>
      <c r="F726" s="1"/>
      <c r="G726" s="1"/>
    </row>
    <row r="727" ht="14.25" customHeight="1">
      <c r="A727" s="52"/>
      <c r="B727" s="53"/>
      <c r="C727" s="53"/>
      <c r="D727" s="53"/>
      <c r="E727" s="53"/>
      <c r="F727" s="1"/>
      <c r="G727" s="1"/>
    </row>
    <row r="728" ht="14.25" customHeight="1">
      <c r="A728" s="52"/>
      <c r="B728" s="53"/>
      <c r="C728" s="53"/>
      <c r="D728" s="53"/>
      <c r="E728" s="53"/>
      <c r="F728" s="1"/>
      <c r="G728" s="1"/>
    </row>
    <row r="729" ht="14.25" customHeight="1">
      <c r="A729" s="52"/>
      <c r="B729" s="53"/>
      <c r="C729" s="53"/>
      <c r="D729" s="53"/>
      <c r="E729" s="53"/>
      <c r="F729" s="1"/>
      <c r="G729" s="1"/>
    </row>
    <row r="730" ht="14.25" customHeight="1">
      <c r="A730" s="52"/>
      <c r="B730" s="53"/>
      <c r="C730" s="53"/>
      <c r="D730" s="53"/>
      <c r="E730" s="53"/>
      <c r="F730" s="1"/>
      <c r="G730" s="1"/>
    </row>
    <row r="731" ht="14.25" customHeight="1">
      <c r="A731" s="52"/>
      <c r="B731" s="53"/>
      <c r="C731" s="53"/>
      <c r="D731" s="53"/>
      <c r="E731" s="53"/>
      <c r="F731" s="1"/>
      <c r="G731" s="1"/>
    </row>
    <row r="732" ht="14.25" customHeight="1">
      <c r="A732" s="52"/>
      <c r="B732" s="53"/>
      <c r="C732" s="53"/>
      <c r="D732" s="53"/>
      <c r="E732" s="53"/>
      <c r="F732" s="1"/>
      <c r="G732" s="1"/>
    </row>
    <row r="733" ht="14.25" customHeight="1">
      <c r="A733" s="52"/>
      <c r="B733" s="53"/>
      <c r="C733" s="53"/>
      <c r="D733" s="53"/>
      <c r="E733" s="53"/>
      <c r="F733" s="1"/>
      <c r="G733" s="1"/>
    </row>
    <row r="734" ht="14.25" customHeight="1">
      <c r="A734" s="52"/>
      <c r="B734" s="53"/>
      <c r="C734" s="53"/>
      <c r="D734" s="53"/>
      <c r="E734" s="53"/>
      <c r="F734" s="1"/>
      <c r="G734" s="1"/>
    </row>
    <row r="735" ht="14.25" customHeight="1">
      <c r="A735" s="52"/>
      <c r="B735" s="53"/>
      <c r="C735" s="53"/>
      <c r="D735" s="53"/>
      <c r="E735" s="53"/>
      <c r="F735" s="1"/>
      <c r="G735" s="1"/>
    </row>
    <row r="736" ht="14.25" customHeight="1">
      <c r="A736" s="52"/>
      <c r="B736" s="53"/>
      <c r="C736" s="53"/>
      <c r="D736" s="53"/>
      <c r="E736" s="53"/>
      <c r="F736" s="1"/>
      <c r="G736" s="1"/>
    </row>
    <row r="737" ht="14.25" customHeight="1">
      <c r="A737" s="52"/>
      <c r="B737" s="53"/>
      <c r="C737" s="53"/>
      <c r="D737" s="53"/>
      <c r="E737" s="53"/>
      <c r="F737" s="1"/>
      <c r="G737" s="1"/>
    </row>
    <row r="738" ht="14.25" customHeight="1">
      <c r="A738" s="52"/>
      <c r="B738" s="53"/>
      <c r="C738" s="53"/>
      <c r="D738" s="53"/>
      <c r="E738" s="53"/>
      <c r="F738" s="1"/>
      <c r="G738" s="1"/>
    </row>
    <row r="739" ht="14.25" customHeight="1">
      <c r="A739" s="52"/>
      <c r="B739" s="53"/>
      <c r="C739" s="53"/>
      <c r="D739" s="53"/>
      <c r="E739" s="53"/>
      <c r="F739" s="1"/>
      <c r="G739" s="1"/>
    </row>
    <row r="740" ht="14.25" customHeight="1">
      <c r="A740" s="52"/>
      <c r="B740" s="53"/>
      <c r="C740" s="53"/>
      <c r="D740" s="53"/>
      <c r="E740" s="53"/>
      <c r="F740" s="1"/>
      <c r="G740" s="1"/>
    </row>
    <row r="741" ht="14.25" customHeight="1">
      <c r="A741" s="52"/>
      <c r="B741" s="53"/>
      <c r="C741" s="53"/>
      <c r="D741" s="53"/>
      <c r="E741" s="53"/>
      <c r="F741" s="1"/>
      <c r="G741" s="1"/>
    </row>
    <row r="742" ht="14.25" customHeight="1">
      <c r="A742" s="52"/>
      <c r="B742" s="53"/>
      <c r="C742" s="53"/>
      <c r="D742" s="53"/>
      <c r="E742" s="53"/>
      <c r="F742" s="1"/>
      <c r="G742" s="1"/>
    </row>
    <row r="743" ht="14.25" customHeight="1">
      <c r="A743" s="52"/>
      <c r="B743" s="53"/>
      <c r="C743" s="53"/>
      <c r="D743" s="53"/>
      <c r="E743" s="53"/>
      <c r="F743" s="1"/>
      <c r="G743" s="1"/>
    </row>
    <row r="744" ht="14.25" customHeight="1">
      <c r="A744" s="52"/>
      <c r="B744" s="53"/>
      <c r="C744" s="53"/>
      <c r="D744" s="53"/>
      <c r="E744" s="53"/>
      <c r="F744" s="1"/>
      <c r="G744" s="1"/>
    </row>
    <row r="745" ht="14.25" customHeight="1">
      <c r="A745" s="52"/>
      <c r="B745" s="53"/>
      <c r="C745" s="53"/>
      <c r="D745" s="53"/>
      <c r="E745" s="53"/>
      <c r="F745" s="1"/>
      <c r="G745" s="1"/>
    </row>
    <row r="746" ht="14.25" customHeight="1">
      <c r="A746" s="52"/>
      <c r="B746" s="53"/>
      <c r="C746" s="53"/>
      <c r="D746" s="53"/>
      <c r="E746" s="53"/>
      <c r="F746" s="1"/>
      <c r="G746" s="1"/>
    </row>
    <row r="747" ht="14.25" customHeight="1">
      <c r="A747" s="52"/>
      <c r="B747" s="53"/>
      <c r="C747" s="53"/>
      <c r="D747" s="53"/>
      <c r="E747" s="53"/>
      <c r="F747" s="1"/>
      <c r="G747" s="1"/>
    </row>
    <row r="748" ht="14.25" customHeight="1">
      <c r="A748" s="52"/>
      <c r="B748" s="53"/>
      <c r="C748" s="53"/>
      <c r="D748" s="53"/>
      <c r="E748" s="53"/>
      <c r="F748" s="1"/>
      <c r="G748" s="1"/>
    </row>
    <row r="749" ht="14.25" customHeight="1">
      <c r="A749" s="52"/>
      <c r="B749" s="53"/>
      <c r="C749" s="53"/>
      <c r="D749" s="53"/>
      <c r="E749" s="53"/>
      <c r="F749" s="1"/>
      <c r="G749" s="1"/>
    </row>
    <row r="750" ht="14.25" customHeight="1">
      <c r="A750" s="52"/>
      <c r="B750" s="53"/>
      <c r="C750" s="53"/>
      <c r="D750" s="53"/>
      <c r="E750" s="53"/>
      <c r="F750" s="1"/>
      <c r="G750" s="1"/>
    </row>
    <row r="751" ht="14.25" customHeight="1">
      <c r="A751" s="52"/>
      <c r="B751" s="53"/>
      <c r="C751" s="53"/>
      <c r="D751" s="53"/>
      <c r="E751" s="53"/>
      <c r="F751" s="1"/>
      <c r="G751" s="1"/>
    </row>
    <row r="752" ht="14.25" customHeight="1">
      <c r="A752" s="52"/>
      <c r="B752" s="53"/>
      <c r="C752" s="53"/>
      <c r="D752" s="53"/>
      <c r="E752" s="53"/>
      <c r="F752" s="1"/>
      <c r="G752" s="1"/>
    </row>
    <row r="753" ht="14.25" customHeight="1">
      <c r="A753" s="52"/>
      <c r="B753" s="53"/>
      <c r="C753" s="53"/>
      <c r="D753" s="53"/>
      <c r="E753" s="53"/>
      <c r="F753" s="1"/>
      <c r="G753" s="1"/>
    </row>
    <row r="754" ht="14.25" customHeight="1">
      <c r="A754" s="52"/>
      <c r="B754" s="53"/>
      <c r="C754" s="53"/>
      <c r="D754" s="53"/>
      <c r="E754" s="53"/>
      <c r="F754" s="1"/>
      <c r="G754" s="1"/>
    </row>
    <row r="755" ht="14.25" customHeight="1">
      <c r="A755" s="52"/>
      <c r="B755" s="53"/>
      <c r="C755" s="53"/>
      <c r="D755" s="53"/>
      <c r="E755" s="53"/>
      <c r="F755" s="1"/>
      <c r="G755" s="1"/>
    </row>
    <row r="756" ht="14.25" customHeight="1">
      <c r="A756" s="52"/>
      <c r="B756" s="53"/>
      <c r="C756" s="53"/>
      <c r="D756" s="53"/>
      <c r="E756" s="53"/>
      <c r="F756" s="1"/>
      <c r="G756" s="1"/>
    </row>
    <row r="757" ht="14.25" customHeight="1">
      <c r="A757" s="52"/>
      <c r="B757" s="53"/>
      <c r="C757" s="53"/>
      <c r="D757" s="53"/>
      <c r="E757" s="53"/>
      <c r="F757" s="1"/>
      <c r="G757" s="1"/>
    </row>
    <row r="758" ht="14.25" customHeight="1">
      <c r="A758" s="52"/>
      <c r="B758" s="53"/>
      <c r="C758" s="53"/>
      <c r="D758" s="53"/>
      <c r="E758" s="53"/>
      <c r="F758" s="1"/>
      <c r="G758" s="1"/>
    </row>
    <row r="759" ht="14.25" customHeight="1">
      <c r="A759" s="52"/>
      <c r="B759" s="53"/>
      <c r="C759" s="53"/>
      <c r="D759" s="53"/>
      <c r="E759" s="53"/>
      <c r="F759" s="1"/>
      <c r="G759" s="1"/>
    </row>
    <row r="760" ht="14.25" customHeight="1">
      <c r="A760" s="52"/>
      <c r="B760" s="53"/>
      <c r="C760" s="53"/>
      <c r="D760" s="53"/>
      <c r="E760" s="53"/>
      <c r="F760" s="1"/>
      <c r="G760" s="1"/>
    </row>
    <row r="761" ht="14.25" customHeight="1">
      <c r="A761" s="52"/>
      <c r="B761" s="53"/>
      <c r="C761" s="53"/>
      <c r="D761" s="53"/>
      <c r="E761" s="53"/>
      <c r="F761" s="1"/>
      <c r="G761" s="1"/>
    </row>
    <row r="762" ht="14.25" customHeight="1">
      <c r="A762" s="52"/>
      <c r="B762" s="53"/>
      <c r="C762" s="53"/>
      <c r="D762" s="53"/>
      <c r="E762" s="53"/>
      <c r="F762" s="1"/>
      <c r="G762" s="1"/>
    </row>
    <row r="763" ht="14.25" customHeight="1">
      <c r="A763" s="52"/>
      <c r="B763" s="53"/>
      <c r="C763" s="53"/>
      <c r="D763" s="53"/>
      <c r="E763" s="53"/>
      <c r="F763" s="1"/>
      <c r="G763" s="1"/>
    </row>
    <row r="764" ht="14.25" customHeight="1">
      <c r="A764" s="52"/>
      <c r="B764" s="53"/>
      <c r="C764" s="53"/>
      <c r="D764" s="53"/>
      <c r="E764" s="53"/>
      <c r="F764" s="1"/>
      <c r="G764" s="1"/>
    </row>
    <row r="765" ht="14.25" customHeight="1">
      <c r="A765" s="52"/>
      <c r="B765" s="53"/>
      <c r="C765" s="53"/>
      <c r="D765" s="53"/>
      <c r="E765" s="53"/>
      <c r="F765" s="1"/>
      <c r="G765" s="1"/>
    </row>
    <row r="766" ht="14.25" customHeight="1">
      <c r="A766" s="52"/>
      <c r="B766" s="53"/>
      <c r="C766" s="53"/>
      <c r="D766" s="53"/>
      <c r="E766" s="53"/>
      <c r="F766" s="1"/>
      <c r="G766" s="1"/>
    </row>
    <row r="767" ht="14.25" customHeight="1">
      <c r="A767" s="52"/>
      <c r="B767" s="53"/>
      <c r="C767" s="53"/>
      <c r="D767" s="53"/>
      <c r="E767" s="53"/>
      <c r="F767" s="1"/>
      <c r="G767" s="1"/>
    </row>
    <row r="768" ht="14.25" customHeight="1">
      <c r="A768" s="52"/>
      <c r="B768" s="53"/>
      <c r="C768" s="53"/>
      <c r="D768" s="53"/>
      <c r="E768" s="53"/>
      <c r="F768" s="1"/>
      <c r="G768" s="1"/>
    </row>
    <row r="769" ht="14.25" customHeight="1">
      <c r="A769" s="52"/>
      <c r="B769" s="53"/>
      <c r="C769" s="53"/>
      <c r="D769" s="53"/>
      <c r="E769" s="53"/>
      <c r="F769" s="1"/>
      <c r="G769" s="1"/>
    </row>
    <row r="770" ht="14.25" customHeight="1">
      <c r="A770" s="52"/>
      <c r="B770" s="53"/>
      <c r="C770" s="53"/>
      <c r="D770" s="53"/>
      <c r="E770" s="53"/>
      <c r="F770" s="1"/>
      <c r="G770" s="1"/>
    </row>
    <row r="771" ht="14.25" customHeight="1">
      <c r="A771" s="52"/>
      <c r="B771" s="53"/>
      <c r="C771" s="53"/>
      <c r="D771" s="53"/>
      <c r="E771" s="53"/>
      <c r="F771" s="1"/>
      <c r="G771" s="1"/>
    </row>
    <row r="772" ht="14.25" customHeight="1">
      <c r="A772" s="52"/>
      <c r="B772" s="53"/>
      <c r="C772" s="53"/>
      <c r="D772" s="53"/>
      <c r="E772" s="53"/>
      <c r="F772" s="1"/>
      <c r="G772" s="1"/>
    </row>
    <row r="773" ht="14.25" customHeight="1">
      <c r="A773" s="52"/>
      <c r="B773" s="53"/>
      <c r="C773" s="53"/>
      <c r="D773" s="53"/>
      <c r="E773" s="53"/>
      <c r="F773" s="1"/>
      <c r="G773" s="1"/>
    </row>
    <row r="774" ht="14.25" customHeight="1">
      <c r="A774" s="52"/>
      <c r="B774" s="53"/>
      <c r="C774" s="53"/>
      <c r="D774" s="53"/>
      <c r="E774" s="53"/>
      <c r="F774" s="1"/>
      <c r="G774" s="1"/>
    </row>
    <row r="775" ht="14.25" customHeight="1">
      <c r="A775" s="52"/>
      <c r="B775" s="53"/>
      <c r="C775" s="53"/>
      <c r="D775" s="53"/>
      <c r="E775" s="53"/>
      <c r="F775" s="1"/>
      <c r="G775" s="1"/>
    </row>
    <row r="776" ht="14.25" customHeight="1">
      <c r="A776" s="52"/>
      <c r="B776" s="53"/>
      <c r="C776" s="53"/>
      <c r="D776" s="53"/>
      <c r="E776" s="53"/>
      <c r="F776" s="1"/>
      <c r="G776" s="1"/>
    </row>
    <row r="777" ht="14.25" customHeight="1">
      <c r="A777" s="52"/>
      <c r="B777" s="53"/>
      <c r="C777" s="53"/>
      <c r="D777" s="53"/>
      <c r="E777" s="53"/>
      <c r="F777" s="1"/>
      <c r="G777" s="1"/>
    </row>
    <row r="778" ht="14.25" customHeight="1">
      <c r="A778" s="52"/>
      <c r="B778" s="53"/>
      <c r="C778" s="53"/>
      <c r="D778" s="53"/>
      <c r="E778" s="53"/>
      <c r="F778" s="1"/>
      <c r="G778" s="1"/>
    </row>
    <row r="779" ht="14.25" customHeight="1">
      <c r="A779" s="52"/>
      <c r="B779" s="53"/>
      <c r="C779" s="53"/>
      <c r="D779" s="53"/>
      <c r="E779" s="53"/>
      <c r="F779" s="1"/>
      <c r="G779" s="1"/>
    </row>
    <row r="780" ht="14.25" customHeight="1">
      <c r="A780" s="52"/>
      <c r="B780" s="53"/>
      <c r="C780" s="53"/>
      <c r="D780" s="53"/>
      <c r="E780" s="53"/>
      <c r="F780" s="1"/>
      <c r="G780" s="1"/>
    </row>
    <row r="781" ht="14.25" customHeight="1">
      <c r="A781" s="52"/>
      <c r="B781" s="53"/>
      <c r="C781" s="53"/>
      <c r="D781" s="53"/>
      <c r="E781" s="53"/>
      <c r="F781" s="1"/>
      <c r="G781" s="1"/>
    </row>
    <row r="782" ht="14.25" customHeight="1">
      <c r="A782" s="52"/>
      <c r="B782" s="53"/>
      <c r="C782" s="53"/>
      <c r="D782" s="53"/>
      <c r="E782" s="53"/>
      <c r="F782" s="1"/>
      <c r="G782" s="1"/>
    </row>
    <row r="783" ht="14.25" customHeight="1">
      <c r="A783" s="52"/>
      <c r="B783" s="53"/>
      <c r="C783" s="53"/>
      <c r="D783" s="53"/>
      <c r="E783" s="53"/>
      <c r="F783" s="1"/>
      <c r="G783" s="1"/>
    </row>
    <row r="784" ht="14.25" customHeight="1">
      <c r="A784" s="52"/>
      <c r="B784" s="53"/>
      <c r="C784" s="53"/>
      <c r="D784" s="53"/>
      <c r="E784" s="53"/>
      <c r="F784" s="1"/>
      <c r="G784" s="1"/>
    </row>
    <row r="785" ht="14.25" customHeight="1">
      <c r="A785" s="52"/>
      <c r="B785" s="53"/>
      <c r="C785" s="53"/>
      <c r="D785" s="53"/>
      <c r="E785" s="53"/>
      <c r="F785" s="1"/>
      <c r="G785" s="1"/>
    </row>
    <row r="786" ht="14.25" customHeight="1">
      <c r="A786" s="52"/>
      <c r="B786" s="53"/>
      <c r="C786" s="53"/>
      <c r="D786" s="53"/>
      <c r="E786" s="53"/>
      <c r="F786" s="1"/>
      <c r="G786" s="1"/>
    </row>
    <row r="787" ht="14.25" customHeight="1">
      <c r="A787" s="52"/>
      <c r="B787" s="53"/>
      <c r="C787" s="53"/>
      <c r="D787" s="53"/>
      <c r="E787" s="53"/>
      <c r="F787" s="1"/>
      <c r="G787" s="1"/>
    </row>
    <row r="788" ht="14.25" customHeight="1">
      <c r="A788" s="52"/>
      <c r="B788" s="53"/>
      <c r="C788" s="53"/>
      <c r="D788" s="53"/>
      <c r="E788" s="53"/>
      <c r="F788" s="1"/>
      <c r="G788" s="1"/>
    </row>
    <row r="789" ht="14.25" customHeight="1">
      <c r="A789" s="52"/>
      <c r="B789" s="53"/>
      <c r="C789" s="53"/>
      <c r="D789" s="53"/>
      <c r="E789" s="53"/>
      <c r="F789" s="1"/>
      <c r="G789" s="1"/>
    </row>
    <row r="790" ht="14.25" customHeight="1">
      <c r="A790" s="52"/>
      <c r="B790" s="53"/>
      <c r="C790" s="53"/>
      <c r="D790" s="53"/>
      <c r="E790" s="53"/>
      <c r="F790" s="1"/>
      <c r="G790" s="1"/>
    </row>
    <row r="791" ht="14.25" customHeight="1">
      <c r="A791" s="52"/>
      <c r="B791" s="53"/>
      <c r="C791" s="53"/>
      <c r="D791" s="53"/>
      <c r="E791" s="53"/>
      <c r="F791" s="1"/>
      <c r="G791" s="1"/>
    </row>
    <row r="792" ht="14.25" customHeight="1">
      <c r="A792" s="52"/>
      <c r="B792" s="53"/>
      <c r="C792" s="53"/>
      <c r="D792" s="53"/>
      <c r="E792" s="53"/>
      <c r="F792" s="1"/>
      <c r="G792" s="1"/>
    </row>
    <row r="793" ht="14.25" customHeight="1">
      <c r="A793" s="52"/>
      <c r="B793" s="53"/>
      <c r="C793" s="53"/>
      <c r="D793" s="53"/>
      <c r="E793" s="53"/>
      <c r="F793" s="1"/>
      <c r="G793" s="1"/>
    </row>
    <row r="794" ht="14.25" customHeight="1">
      <c r="A794" s="52"/>
      <c r="B794" s="53"/>
      <c r="C794" s="53"/>
      <c r="D794" s="53"/>
      <c r="E794" s="53"/>
      <c r="F794" s="1"/>
      <c r="G794" s="1"/>
    </row>
    <row r="795" ht="14.25" customHeight="1">
      <c r="A795" s="52"/>
      <c r="B795" s="53"/>
      <c r="C795" s="53"/>
      <c r="D795" s="53"/>
      <c r="E795" s="53"/>
      <c r="F795" s="1"/>
      <c r="G795" s="1"/>
    </row>
    <row r="796" ht="14.25" customHeight="1">
      <c r="A796" s="52"/>
      <c r="B796" s="53"/>
      <c r="C796" s="53"/>
      <c r="D796" s="53"/>
      <c r="E796" s="53"/>
      <c r="F796" s="1"/>
      <c r="G796" s="1"/>
    </row>
    <row r="797" ht="14.25" customHeight="1">
      <c r="A797" s="52"/>
      <c r="B797" s="53"/>
      <c r="C797" s="53"/>
      <c r="D797" s="53"/>
      <c r="E797" s="53"/>
      <c r="F797" s="1"/>
      <c r="G797" s="1"/>
    </row>
    <row r="798" ht="14.25" customHeight="1">
      <c r="A798" s="52"/>
      <c r="B798" s="53"/>
      <c r="C798" s="53"/>
      <c r="D798" s="53"/>
      <c r="E798" s="53"/>
      <c r="F798" s="1"/>
      <c r="G798" s="1"/>
    </row>
    <row r="799" ht="14.25" customHeight="1">
      <c r="A799" s="52"/>
      <c r="B799" s="53"/>
      <c r="C799" s="53"/>
      <c r="D799" s="53"/>
      <c r="E799" s="53"/>
      <c r="F799" s="1"/>
      <c r="G799" s="1"/>
    </row>
    <row r="800" ht="14.25" customHeight="1">
      <c r="A800" s="52"/>
      <c r="B800" s="53"/>
      <c r="C800" s="53"/>
      <c r="D800" s="53"/>
      <c r="E800" s="53"/>
      <c r="F800" s="1"/>
      <c r="G800" s="1"/>
    </row>
    <row r="801" ht="14.25" customHeight="1">
      <c r="A801" s="52"/>
      <c r="B801" s="53"/>
      <c r="C801" s="53"/>
      <c r="D801" s="53"/>
      <c r="E801" s="53"/>
      <c r="F801" s="1"/>
      <c r="G801" s="1"/>
    </row>
    <row r="802" ht="14.25" customHeight="1">
      <c r="A802" s="52"/>
      <c r="B802" s="53"/>
      <c r="C802" s="53"/>
      <c r="D802" s="53"/>
      <c r="E802" s="53"/>
      <c r="F802" s="1"/>
      <c r="G802" s="1"/>
    </row>
    <row r="803" ht="14.25" customHeight="1">
      <c r="A803" s="52"/>
      <c r="B803" s="53"/>
      <c r="C803" s="53"/>
      <c r="D803" s="53"/>
      <c r="E803" s="53"/>
      <c r="F803" s="1"/>
      <c r="G803" s="1"/>
    </row>
    <row r="804" ht="14.25" customHeight="1">
      <c r="A804" s="52"/>
      <c r="B804" s="53"/>
      <c r="C804" s="53"/>
      <c r="D804" s="53"/>
      <c r="E804" s="53"/>
      <c r="F804" s="1"/>
      <c r="G804" s="1"/>
    </row>
    <row r="805" ht="14.25" customHeight="1">
      <c r="A805" s="52"/>
      <c r="B805" s="53"/>
      <c r="C805" s="53"/>
      <c r="D805" s="53"/>
      <c r="E805" s="53"/>
      <c r="F805" s="1"/>
      <c r="G805" s="1"/>
    </row>
    <row r="806" ht="14.25" customHeight="1">
      <c r="A806" s="52"/>
      <c r="B806" s="53"/>
      <c r="C806" s="53"/>
      <c r="D806" s="53"/>
      <c r="E806" s="53"/>
      <c r="F806" s="1"/>
      <c r="G806" s="1"/>
    </row>
    <row r="807" ht="14.25" customHeight="1">
      <c r="A807" s="52"/>
      <c r="B807" s="53"/>
      <c r="C807" s="53"/>
      <c r="D807" s="53"/>
      <c r="E807" s="53"/>
      <c r="F807" s="1"/>
      <c r="G807" s="1"/>
    </row>
    <row r="808" ht="14.25" customHeight="1">
      <c r="A808" s="52"/>
      <c r="B808" s="53"/>
      <c r="C808" s="53"/>
      <c r="D808" s="53"/>
      <c r="E808" s="53"/>
      <c r="F808" s="1"/>
      <c r="G808" s="1"/>
    </row>
    <row r="809" ht="14.25" customHeight="1">
      <c r="A809" s="52"/>
      <c r="B809" s="53"/>
      <c r="C809" s="53"/>
      <c r="D809" s="53"/>
      <c r="E809" s="53"/>
      <c r="F809" s="1"/>
      <c r="G809" s="1"/>
    </row>
    <row r="810" ht="14.25" customHeight="1">
      <c r="A810" s="52"/>
      <c r="B810" s="53"/>
      <c r="C810" s="53"/>
      <c r="D810" s="53"/>
      <c r="E810" s="53"/>
      <c r="F810" s="1"/>
      <c r="G810" s="1"/>
    </row>
    <row r="811" ht="14.25" customHeight="1">
      <c r="A811" s="52"/>
      <c r="B811" s="53"/>
      <c r="C811" s="53"/>
      <c r="D811" s="53"/>
      <c r="E811" s="53"/>
      <c r="F811" s="1"/>
      <c r="G811" s="1"/>
    </row>
    <row r="812" ht="14.25" customHeight="1">
      <c r="A812" s="52"/>
      <c r="B812" s="53"/>
      <c r="C812" s="53"/>
      <c r="D812" s="53"/>
      <c r="E812" s="53"/>
      <c r="F812" s="1"/>
      <c r="G812" s="1"/>
    </row>
    <row r="813" ht="14.25" customHeight="1">
      <c r="A813" s="52"/>
      <c r="B813" s="53"/>
      <c r="C813" s="53"/>
      <c r="D813" s="53"/>
      <c r="E813" s="53"/>
      <c r="F813" s="1"/>
      <c r="G813" s="1"/>
    </row>
    <row r="814" ht="14.25" customHeight="1">
      <c r="A814" s="52"/>
      <c r="B814" s="53"/>
      <c r="C814" s="53"/>
      <c r="D814" s="53"/>
      <c r="E814" s="53"/>
      <c r="F814" s="1"/>
      <c r="G814" s="1"/>
    </row>
    <row r="815" ht="14.25" customHeight="1">
      <c r="A815" s="52"/>
      <c r="B815" s="53"/>
      <c r="C815" s="53"/>
      <c r="D815" s="53"/>
      <c r="E815" s="53"/>
      <c r="F815" s="1"/>
      <c r="G815" s="1"/>
    </row>
    <row r="816" ht="14.25" customHeight="1">
      <c r="A816" s="52"/>
      <c r="B816" s="53"/>
      <c r="C816" s="53"/>
      <c r="D816" s="53"/>
      <c r="E816" s="53"/>
      <c r="F816" s="1"/>
      <c r="G816" s="1"/>
    </row>
    <row r="817" ht="14.25" customHeight="1">
      <c r="A817" s="52"/>
      <c r="B817" s="53"/>
      <c r="C817" s="53"/>
      <c r="D817" s="53"/>
      <c r="E817" s="53"/>
      <c r="F817" s="1"/>
      <c r="G817" s="1"/>
    </row>
    <row r="818" ht="14.25" customHeight="1">
      <c r="A818" s="52"/>
      <c r="B818" s="53"/>
      <c r="C818" s="53"/>
      <c r="D818" s="53"/>
      <c r="E818" s="53"/>
      <c r="F818" s="1"/>
      <c r="G818" s="1"/>
    </row>
    <row r="819" ht="14.25" customHeight="1">
      <c r="A819" s="52"/>
      <c r="B819" s="53"/>
      <c r="C819" s="53"/>
      <c r="D819" s="53"/>
      <c r="E819" s="53"/>
      <c r="F819" s="1"/>
      <c r="G819" s="1"/>
    </row>
    <row r="820" ht="14.25" customHeight="1">
      <c r="A820" s="52"/>
      <c r="B820" s="53"/>
      <c r="C820" s="53"/>
      <c r="D820" s="53"/>
      <c r="E820" s="53"/>
      <c r="F820" s="1"/>
      <c r="G820" s="1"/>
    </row>
    <row r="821" ht="14.25" customHeight="1">
      <c r="A821" s="52"/>
      <c r="B821" s="53"/>
      <c r="C821" s="53"/>
      <c r="D821" s="53"/>
      <c r="E821" s="53"/>
      <c r="F821" s="1"/>
      <c r="G821" s="1"/>
    </row>
    <row r="822" ht="14.25" customHeight="1">
      <c r="A822" s="52"/>
      <c r="B822" s="53"/>
      <c r="C822" s="53"/>
      <c r="D822" s="53"/>
      <c r="E822" s="53"/>
      <c r="F822" s="1"/>
      <c r="G822" s="1"/>
    </row>
    <row r="823" ht="14.25" customHeight="1">
      <c r="A823" s="52"/>
      <c r="B823" s="53"/>
      <c r="C823" s="53"/>
      <c r="D823" s="53"/>
      <c r="E823" s="53"/>
      <c r="F823" s="1"/>
      <c r="G823" s="1"/>
    </row>
    <row r="824" ht="14.25" customHeight="1">
      <c r="A824" s="52"/>
      <c r="B824" s="53"/>
      <c r="C824" s="53"/>
      <c r="D824" s="53"/>
      <c r="E824" s="53"/>
      <c r="F824" s="1"/>
      <c r="G824" s="1"/>
    </row>
    <row r="825" ht="14.25" customHeight="1">
      <c r="A825" s="52"/>
      <c r="B825" s="53"/>
      <c r="C825" s="53"/>
      <c r="D825" s="53"/>
      <c r="E825" s="53"/>
      <c r="F825" s="1"/>
      <c r="G825" s="1"/>
    </row>
    <row r="826" ht="14.25" customHeight="1">
      <c r="A826" s="52"/>
      <c r="B826" s="53"/>
      <c r="C826" s="53"/>
      <c r="D826" s="53"/>
      <c r="E826" s="53"/>
      <c r="F826" s="1"/>
      <c r="G826" s="1"/>
    </row>
    <row r="827" ht="14.25" customHeight="1">
      <c r="A827" s="52"/>
      <c r="B827" s="53"/>
      <c r="C827" s="53"/>
      <c r="D827" s="53"/>
      <c r="E827" s="53"/>
      <c r="F827" s="1"/>
      <c r="G827" s="1"/>
    </row>
    <row r="828" ht="14.25" customHeight="1">
      <c r="A828" s="52"/>
      <c r="B828" s="53"/>
      <c r="C828" s="53"/>
      <c r="D828" s="53"/>
      <c r="E828" s="53"/>
      <c r="F828" s="1"/>
      <c r="G828" s="1"/>
    </row>
    <row r="829" ht="14.25" customHeight="1">
      <c r="A829" s="52"/>
      <c r="B829" s="53"/>
      <c r="C829" s="53"/>
      <c r="D829" s="53"/>
      <c r="E829" s="53"/>
      <c r="F829" s="1"/>
      <c r="G829" s="1"/>
    </row>
    <row r="830" ht="14.25" customHeight="1">
      <c r="A830" s="52"/>
      <c r="B830" s="53"/>
      <c r="C830" s="53"/>
      <c r="D830" s="53"/>
      <c r="E830" s="53"/>
      <c r="F830" s="1"/>
      <c r="G830" s="1"/>
    </row>
    <row r="831" ht="14.25" customHeight="1">
      <c r="A831" s="52"/>
      <c r="B831" s="53"/>
      <c r="C831" s="53"/>
      <c r="D831" s="53"/>
      <c r="E831" s="53"/>
      <c r="F831" s="1"/>
      <c r="G831" s="1"/>
    </row>
    <row r="832" ht="14.25" customHeight="1">
      <c r="A832" s="52"/>
      <c r="B832" s="53"/>
      <c r="C832" s="53"/>
      <c r="D832" s="53"/>
      <c r="E832" s="53"/>
      <c r="F832" s="1"/>
      <c r="G832" s="1"/>
    </row>
    <row r="833" ht="14.25" customHeight="1">
      <c r="A833" s="52"/>
      <c r="B833" s="53"/>
      <c r="C833" s="53"/>
      <c r="D833" s="53"/>
      <c r="E833" s="53"/>
      <c r="F833" s="1"/>
      <c r="G833" s="1"/>
    </row>
    <row r="834" ht="14.25" customHeight="1">
      <c r="A834" s="52"/>
      <c r="B834" s="53"/>
      <c r="C834" s="53"/>
      <c r="D834" s="53"/>
      <c r="E834" s="53"/>
      <c r="F834" s="1"/>
      <c r="G834" s="1"/>
    </row>
    <row r="835" ht="14.25" customHeight="1">
      <c r="A835" s="52"/>
      <c r="B835" s="53"/>
      <c r="C835" s="53"/>
      <c r="D835" s="53"/>
      <c r="E835" s="53"/>
      <c r="F835" s="1"/>
      <c r="G835" s="1"/>
    </row>
    <row r="836" ht="14.25" customHeight="1">
      <c r="A836" s="52"/>
      <c r="B836" s="53"/>
      <c r="C836" s="53"/>
      <c r="D836" s="53"/>
      <c r="E836" s="53"/>
      <c r="F836" s="1"/>
      <c r="G836" s="1"/>
    </row>
    <row r="837" ht="14.25" customHeight="1">
      <c r="A837" s="52"/>
      <c r="B837" s="53"/>
      <c r="C837" s="53"/>
      <c r="D837" s="53"/>
      <c r="E837" s="53"/>
      <c r="F837" s="1"/>
      <c r="G837" s="1"/>
    </row>
    <row r="838" ht="14.25" customHeight="1">
      <c r="A838" s="52"/>
      <c r="B838" s="53"/>
      <c r="C838" s="53"/>
      <c r="D838" s="53"/>
      <c r="E838" s="53"/>
      <c r="F838" s="1"/>
      <c r="G838" s="1"/>
    </row>
    <row r="839" ht="14.25" customHeight="1">
      <c r="A839" s="52"/>
      <c r="B839" s="53"/>
      <c r="C839" s="53"/>
      <c r="D839" s="53"/>
      <c r="E839" s="53"/>
      <c r="F839" s="1"/>
      <c r="G839" s="1"/>
    </row>
    <row r="840" ht="14.25" customHeight="1">
      <c r="A840" s="52"/>
      <c r="B840" s="53"/>
      <c r="C840" s="53"/>
      <c r="D840" s="53"/>
      <c r="E840" s="53"/>
      <c r="F840" s="1"/>
      <c r="G840" s="1"/>
    </row>
    <row r="841" ht="14.25" customHeight="1">
      <c r="A841" s="52"/>
      <c r="B841" s="53"/>
      <c r="C841" s="53"/>
      <c r="D841" s="53"/>
      <c r="E841" s="53"/>
      <c r="F841" s="1"/>
      <c r="G841" s="1"/>
    </row>
    <row r="842" ht="14.25" customHeight="1">
      <c r="A842" s="52"/>
      <c r="B842" s="53"/>
      <c r="C842" s="53"/>
      <c r="D842" s="53"/>
      <c r="E842" s="53"/>
      <c r="F842" s="1"/>
      <c r="G842" s="1"/>
    </row>
    <row r="843" ht="14.25" customHeight="1">
      <c r="A843" s="52"/>
      <c r="B843" s="53"/>
      <c r="C843" s="53"/>
      <c r="D843" s="53"/>
      <c r="E843" s="53"/>
      <c r="F843" s="1"/>
      <c r="G843" s="1"/>
    </row>
    <row r="844" ht="14.25" customHeight="1">
      <c r="A844" s="52"/>
      <c r="B844" s="53"/>
      <c r="C844" s="53"/>
      <c r="D844" s="53"/>
      <c r="E844" s="53"/>
      <c r="F844" s="1"/>
      <c r="G844" s="1"/>
    </row>
    <row r="845" ht="14.25" customHeight="1">
      <c r="A845" s="52"/>
      <c r="B845" s="53"/>
      <c r="C845" s="53"/>
      <c r="D845" s="53"/>
      <c r="E845" s="53"/>
      <c r="F845" s="1"/>
      <c r="G845" s="1"/>
    </row>
    <row r="846" ht="14.25" customHeight="1">
      <c r="A846" s="52"/>
      <c r="B846" s="53"/>
      <c r="C846" s="53"/>
      <c r="D846" s="53"/>
      <c r="E846" s="53"/>
      <c r="F846" s="1"/>
      <c r="G846" s="1"/>
    </row>
    <row r="847" ht="14.25" customHeight="1">
      <c r="A847" s="52"/>
      <c r="B847" s="53"/>
      <c r="C847" s="53"/>
      <c r="D847" s="53"/>
      <c r="E847" s="53"/>
      <c r="F847" s="1"/>
      <c r="G847" s="1"/>
    </row>
    <row r="848" ht="14.25" customHeight="1">
      <c r="A848" s="52"/>
      <c r="B848" s="53"/>
      <c r="C848" s="53"/>
      <c r="D848" s="53"/>
      <c r="E848" s="53"/>
      <c r="F848" s="1"/>
      <c r="G848" s="1"/>
    </row>
    <row r="849" ht="14.25" customHeight="1">
      <c r="A849" s="52"/>
      <c r="B849" s="53"/>
      <c r="C849" s="53"/>
      <c r="D849" s="53"/>
      <c r="E849" s="53"/>
      <c r="F849" s="1"/>
      <c r="G849" s="1"/>
    </row>
    <row r="850" ht="14.25" customHeight="1">
      <c r="A850" s="52"/>
      <c r="B850" s="53"/>
      <c r="C850" s="53"/>
      <c r="D850" s="53"/>
      <c r="E850" s="53"/>
      <c r="F850" s="1"/>
      <c r="G850" s="1"/>
    </row>
    <row r="851" ht="14.25" customHeight="1">
      <c r="A851" s="52"/>
      <c r="B851" s="53"/>
      <c r="C851" s="53"/>
      <c r="D851" s="53"/>
      <c r="E851" s="53"/>
      <c r="F851" s="1"/>
      <c r="G851" s="1"/>
    </row>
    <row r="852" ht="14.25" customHeight="1">
      <c r="A852" s="52"/>
      <c r="B852" s="53"/>
      <c r="C852" s="53"/>
      <c r="D852" s="53"/>
      <c r="E852" s="53"/>
      <c r="F852" s="1"/>
      <c r="G852" s="1"/>
    </row>
    <row r="853" ht="14.25" customHeight="1">
      <c r="A853" s="52"/>
      <c r="B853" s="53"/>
      <c r="C853" s="53"/>
      <c r="D853" s="53"/>
      <c r="E853" s="53"/>
      <c r="F853" s="1"/>
      <c r="G853" s="1"/>
    </row>
    <row r="854" ht="14.25" customHeight="1">
      <c r="A854" s="52"/>
      <c r="B854" s="53"/>
      <c r="C854" s="53"/>
      <c r="D854" s="53"/>
      <c r="E854" s="53"/>
      <c r="F854" s="1"/>
      <c r="G854" s="1"/>
    </row>
    <row r="855" ht="14.25" customHeight="1">
      <c r="A855" s="52"/>
      <c r="B855" s="53"/>
      <c r="C855" s="53"/>
      <c r="D855" s="53"/>
      <c r="E855" s="53"/>
      <c r="F855" s="1"/>
      <c r="G855" s="1"/>
    </row>
    <row r="856" ht="14.25" customHeight="1">
      <c r="A856" s="52"/>
      <c r="B856" s="53"/>
      <c r="C856" s="53"/>
      <c r="D856" s="53"/>
      <c r="E856" s="53"/>
      <c r="F856" s="1"/>
      <c r="G856" s="1"/>
    </row>
    <row r="857" ht="14.25" customHeight="1">
      <c r="A857" s="52"/>
      <c r="B857" s="53"/>
      <c r="C857" s="53"/>
      <c r="D857" s="53"/>
      <c r="E857" s="53"/>
      <c r="F857" s="1"/>
      <c r="G857" s="1"/>
    </row>
    <row r="858" ht="14.25" customHeight="1">
      <c r="A858" s="52"/>
      <c r="B858" s="53"/>
      <c r="C858" s="53"/>
      <c r="D858" s="53"/>
      <c r="E858" s="53"/>
      <c r="F858" s="1"/>
      <c r="G858" s="1"/>
    </row>
    <row r="859" ht="14.25" customHeight="1">
      <c r="A859" s="52"/>
      <c r="B859" s="53"/>
      <c r="C859" s="53"/>
      <c r="D859" s="53"/>
      <c r="E859" s="53"/>
      <c r="F859" s="1"/>
      <c r="G859" s="1"/>
    </row>
    <row r="860" ht="14.25" customHeight="1">
      <c r="A860" s="52"/>
      <c r="B860" s="53"/>
      <c r="C860" s="53"/>
      <c r="D860" s="53"/>
      <c r="E860" s="53"/>
      <c r="F860" s="1"/>
      <c r="G860" s="1"/>
    </row>
    <row r="861" ht="14.25" customHeight="1">
      <c r="A861" s="52"/>
      <c r="B861" s="53"/>
      <c r="C861" s="53"/>
      <c r="D861" s="53"/>
      <c r="E861" s="53"/>
      <c r="F861" s="1"/>
      <c r="G861" s="1"/>
    </row>
    <row r="862" ht="14.25" customHeight="1">
      <c r="A862" s="52"/>
      <c r="B862" s="53"/>
      <c r="C862" s="53"/>
      <c r="D862" s="53"/>
      <c r="E862" s="53"/>
      <c r="F862" s="1"/>
      <c r="G862" s="1"/>
    </row>
    <row r="863" ht="14.25" customHeight="1">
      <c r="A863" s="52"/>
      <c r="B863" s="53"/>
      <c r="C863" s="53"/>
      <c r="D863" s="53"/>
      <c r="E863" s="53"/>
      <c r="F863" s="1"/>
      <c r="G863" s="1"/>
    </row>
    <row r="864" ht="14.25" customHeight="1">
      <c r="A864" s="52"/>
      <c r="B864" s="53"/>
      <c r="C864" s="53"/>
      <c r="D864" s="53"/>
      <c r="E864" s="53"/>
      <c r="F864" s="1"/>
      <c r="G864" s="1"/>
    </row>
    <row r="865" ht="14.25" customHeight="1">
      <c r="A865" s="52"/>
      <c r="B865" s="53"/>
      <c r="C865" s="53"/>
      <c r="D865" s="53"/>
      <c r="E865" s="53"/>
      <c r="F865" s="1"/>
      <c r="G865" s="1"/>
    </row>
    <row r="866" ht="14.25" customHeight="1">
      <c r="A866" s="52"/>
      <c r="B866" s="53"/>
      <c r="C866" s="53"/>
      <c r="D866" s="53"/>
      <c r="E866" s="53"/>
      <c r="F866" s="1"/>
      <c r="G866" s="1"/>
    </row>
    <row r="867" ht="14.25" customHeight="1">
      <c r="A867" s="52"/>
      <c r="B867" s="53"/>
      <c r="C867" s="53"/>
      <c r="D867" s="53"/>
      <c r="E867" s="53"/>
      <c r="F867" s="1"/>
      <c r="G867" s="1"/>
    </row>
    <row r="868" ht="14.25" customHeight="1">
      <c r="A868" s="52"/>
      <c r="B868" s="53"/>
      <c r="C868" s="53"/>
      <c r="D868" s="53"/>
      <c r="E868" s="53"/>
      <c r="F868" s="1"/>
      <c r="G868" s="1"/>
    </row>
    <row r="869" ht="14.25" customHeight="1">
      <c r="A869" s="52"/>
      <c r="B869" s="53"/>
      <c r="C869" s="53"/>
      <c r="D869" s="53"/>
      <c r="E869" s="53"/>
      <c r="F869" s="1"/>
      <c r="G869" s="1"/>
    </row>
    <row r="870" ht="14.25" customHeight="1">
      <c r="A870" s="52"/>
      <c r="B870" s="53"/>
      <c r="C870" s="53"/>
      <c r="D870" s="53"/>
      <c r="E870" s="53"/>
      <c r="F870" s="1"/>
      <c r="G870" s="1"/>
    </row>
    <row r="871" ht="14.25" customHeight="1">
      <c r="A871" s="52"/>
      <c r="B871" s="53"/>
      <c r="C871" s="53"/>
      <c r="D871" s="53"/>
      <c r="E871" s="53"/>
      <c r="F871" s="1"/>
      <c r="G871" s="1"/>
    </row>
    <row r="872" ht="14.25" customHeight="1">
      <c r="A872" s="52"/>
      <c r="B872" s="53"/>
      <c r="C872" s="53"/>
      <c r="D872" s="53"/>
      <c r="E872" s="53"/>
      <c r="F872" s="1"/>
      <c r="G872" s="1"/>
    </row>
    <row r="873" ht="14.25" customHeight="1">
      <c r="A873" s="52"/>
      <c r="B873" s="53"/>
      <c r="C873" s="53"/>
      <c r="D873" s="53"/>
      <c r="E873" s="53"/>
      <c r="F873" s="1"/>
      <c r="G873" s="1"/>
    </row>
    <row r="874" ht="14.25" customHeight="1">
      <c r="A874" s="52"/>
      <c r="B874" s="53"/>
      <c r="C874" s="53"/>
      <c r="D874" s="53"/>
      <c r="E874" s="53"/>
      <c r="F874" s="1"/>
      <c r="G874" s="1"/>
    </row>
    <row r="875" ht="14.25" customHeight="1">
      <c r="A875" s="52"/>
      <c r="B875" s="53"/>
      <c r="C875" s="53"/>
      <c r="D875" s="53"/>
      <c r="E875" s="53"/>
      <c r="F875" s="1"/>
      <c r="G875" s="1"/>
    </row>
    <row r="876" ht="14.25" customHeight="1">
      <c r="A876" s="52"/>
      <c r="B876" s="53"/>
      <c r="C876" s="53"/>
      <c r="D876" s="53"/>
      <c r="E876" s="53"/>
      <c r="F876" s="1"/>
      <c r="G876" s="1"/>
    </row>
    <row r="877" ht="14.25" customHeight="1">
      <c r="A877" s="52"/>
      <c r="B877" s="53"/>
      <c r="C877" s="53"/>
      <c r="D877" s="53"/>
      <c r="E877" s="53"/>
      <c r="F877" s="1"/>
      <c r="G877" s="1"/>
    </row>
    <row r="878" ht="14.25" customHeight="1">
      <c r="A878" s="52"/>
      <c r="B878" s="53"/>
      <c r="C878" s="53"/>
      <c r="D878" s="53"/>
      <c r="E878" s="53"/>
      <c r="F878" s="1"/>
      <c r="G878" s="1"/>
    </row>
    <row r="879" ht="14.25" customHeight="1">
      <c r="A879" s="52"/>
      <c r="B879" s="53"/>
      <c r="C879" s="53"/>
      <c r="D879" s="53"/>
      <c r="E879" s="53"/>
      <c r="F879" s="1"/>
      <c r="G879" s="1"/>
    </row>
    <row r="880" ht="14.25" customHeight="1">
      <c r="A880" s="52"/>
      <c r="B880" s="53"/>
      <c r="C880" s="53"/>
      <c r="D880" s="53"/>
      <c r="E880" s="53"/>
      <c r="F880" s="1"/>
      <c r="G880" s="1"/>
    </row>
    <row r="881" ht="14.25" customHeight="1">
      <c r="A881" s="52"/>
      <c r="B881" s="53"/>
      <c r="C881" s="53"/>
      <c r="D881" s="53"/>
      <c r="E881" s="53"/>
      <c r="F881" s="1"/>
      <c r="G881" s="1"/>
    </row>
    <row r="882" ht="14.25" customHeight="1">
      <c r="A882" s="52"/>
      <c r="B882" s="53"/>
      <c r="C882" s="53"/>
      <c r="D882" s="53"/>
      <c r="E882" s="53"/>
      <c r="F882" s="1"/>
      <c r="G882" s="1"/>
    </row>
    <row r="883" ht="14.25" customHeight="1">
      <c r="A883" s="52"/>
      <c r="B883" s="53"/>
      <c r="C883" s="53"/>
      <c r="D883" s="53"/>
      <c r="E883" s="53"/>
      <c r="F883" s="1"/>
      <c r="G883" s="1"/>
    </row>
    <row r="884" ht="14.25" customHeight="1">
      <c r="A884" s="52"/>
      <c r="B884" s="53"/>
      <c r="C884" s="53"/>
      <c r="D884" s="53"/>
      <c r="E884" s="53"/>
      <c r="F884" s="1"/>
      <c r="G884" s="1"/>
    </row>
    <row r="885" ht="14.25" customHeight="1">
      <c r="A885" s="52"/>
      <c r="B885" s="53"/>
      <c r="C885" s="53"/>
      <c r="D885" s="53"/>
      <c r="E885" s="53"/>
      <c r="F885" s="1"/>
      <c r="G885" s="1"/>
    </row>
    <row r="886" ht="14.25" customHeight="1">
      <c r="A886" s="52"/>
      <c r="B886" s="53"/>
      <c r="C886" s="53"/>
      <c r="D886" s="53"/>
      <c r="E886" s="53"/>
      <c r="F886" s="1"/>
      <c r="G886" s="1"/>
    </row>
    <row r="887" ht="14.25" customHeight="1">
      <c r="A887" s="52"/>
      <c r="B887" s="53"/>
      <c r="C887" s="53"/>
      <c r="D887" s="53"/>
      <c r="E887" s="53"/>
      <c r="F887" s="1"/>
      <c r="G887" s="1"/>
    </row>
    <row r="888" ht="14.25" customHeight="1">
      <c r="A888" s="52"/>
      <c r="B888" s="53"/>
      <c r="C888" s="53"/>
      <c r="D888" s="53"/>
      <c r="E888" s="53"/>
      <c r="F888" s="1"/>
      <c r="G888" s="1"/>
    </row>
    <row r="889" ht="14.25" customHeight="1">
      <c r="A889" s="52"/>
      <c r="B889" s="53"/>
      <c r="C889" s="53"/>
      <c r="D889" s="53"/>
      <c r="E889" s="53"/>
      <c r="F889" s="1"/>
      <c r="G889" s="1"/>
    </row>
    <row r="890" ht="14.25" customHeight="1">
      <c r="A890" s="52"/>
      <c r="B890" s="53"/>
      <c r="C890" s="53"/>
      <c r="D890" s="53"/>
      <c r="E890" s="53"/>
      <c r="F890" s="1"/>
      <c r="G890" s="1"/>
    </row>
    <row r="891" ht="14.25" customHeight="1">
      <c r="A891" s="52"/>
      <c r="B891" s="53"/>
      <c r="C891" s="53"/>
      <c r="D891" s="53"/>
      <c r="E891" s="53"/>
      <c r="F891" s="1"/>
      <c r="G891" s="1"/>
    </row>
    <row r="892" ht="14.25" customHeight="1">
      <c r="A892" s="52"/>
      <c r="B892" s="53"/>
      <c r="C892" s="53"/>
      <c r="D892" s="53"/>
      <c r="E892" s="53"/>
      <c r="F892" s="1"/>
      <c r="G892" s="1"/>
    </row>
    <row r="893" ht="14.25" customHeight="1">
      <c r="A893" s="52"/>
      <c r="B893" s="53"/>
      <c r="C893" s="53"/>
      <c r="D893" s="53"/>
      <c r="E893" s="53"/>
      <c r="F893" s="1"/>
      <c r="G893" s="1"/>
    </row>
    <row r="894" ht="14.25" customHeight="1">
      <c r="A894" s="52"/>
      <c r="B894" s="53"/>
      <c r="C894" s="53"/>
      <c r="D894" s="53"/>
      <c r="E894" s="53"/>
      <c r="F894" s="1"/>
      <c r="G894" s="1"/>
    </row>
    <row r="895" ht="14.25" customHeight="1">
      <c r="A895" s="52"/>
      <c r="B895" s="53"/>
      <c r="C895" s="53"/>
      <c r="D895" s="53"/>
      <c r="E895" s="53"/>
      <c r="F895" s="1"/>
      <c r="G895" s="1"/>
    </row>
    <row r="896" ht="14.25" customHeight="1">
      <c r="A896" s="52"/>
      <c r="B896" s="53"/>
      <c r="C896" s="53"/>
      <c r="D896" s="53"/>
      <c r="E896" s="53"/>
      <c r="F896" s="1"/>
      <c r="G896" s="1"/>
    </row>
    <row r="897" ht="14.25" customHeight="1">
      <c r="A897" s="52"/>
      <c r="B897" s="53"/>
      <c r="C897" s="53"/>
      <c r="D897" s="53"/>
      <c r="E897" s="53"/>
      <c r="F897" s="1"/>
      <c r="G897" s="1"/>
    </row>
    <row r="898" ht="14.25" customHeight="1">
      <c r="A898" s="52"/>
      <c r="B898" s="53"/>
      <c r="C898" s="53"/>
      <c r="D898" s="53"/>
      <c r="E898" s="53"/>
      <c r="F898" s="1"/>
      <c r="G898" s="1"/>
    </row>
    <row r="899" ht="14.25" customHeight="1">
      <c r="A899" s="52"/>
      <c r="B899" s="53"/>
      <c r="C899" s="53"/>
      <c r="D899" s="53"/>
      <c r="E899" s="53"/>
      <c r="F899" s="1"/>
      <c r="G899" s="1"/>
    </row>
    <row r="900" ht="14.25" customHeight="1">
      <c r="A900" s="52"/>
      <c r="B900" s="53"/>
      <c r="C900" s="53"/>
      <c r="D900" s="53"/>
      <c r="E900" s="53"/>
      <c r="F900" s="1"/>
      <c r="G900" s="1"/>
    </row>
    <row r="901" ht="14.25" customHeight="1">
      <c r="A901" s="52"/>
      <c r="B901" s="53"/>
      <c r="C901" s="53"/>
      <c r="D901" s="53"/>
      <c r="E901" s="53"/>
      <c r="F901" s="1"/>
      <c r="G901" s="1"/>
    </row>
    <row r="902" ht="14.25" customHeight="1">
      <c r="A902" s="52"/>
      <c r="B902" s="53"/>
      <c r="C902" s="53"/>
      <c r="D902" s="53"/>
      <c r="E902" s="53"/>
      <c r="F902" s="1"/>
      <c r="G902" s="1"/>
    </row>
    <row r="903" ht="14.25" customHeight="1">
      <c r="A903" s="52"/>
      <c r="B903" s="53"/>
      <c r="C903" s="53"/>
      <c r="D903" s="53"/>
      <c r="E903" s="53"/>
      <c r="F903" s="1"/>
      <c r="G903" s="1"/>
    </row>
    <row r="904" ht="14.25" customHeight="1">
      <c r="A904" s="52"/>
      <c r="B904" s="53"/>
      <c r="C904" s="53"/>
      <c r="D904" s="53"/>
      <c r="E904" s="53"/>
      <c r="F904" s="1"/>
      <c r="G904" s="1"/>
    </row>
    <row r="905" ht="14.25" customHeight="1">
      <c r="A905" s="52"/>
      <c r="B905" s="53"/>
      <c r="C905" s="53"/>
      <c r="D905" s="53"/>
      <c r="E905" s="53"/>
      <c r="F905" s="1"/>
      <c r="G905" s="1"/>
    </row>
    <row r="906" ht="14.25" customHeight="1">
      <c r="A906" s="52"/>
      <c r="B906" s="53"/>
      <c r="C906" s="53"/>
      <c r="D906" s="53"/>
      <c r="E906" s="53"/>
      <c r="F906" s="1"/>
      <c r="G906" s="1"/>
    </row>
    <row r="907" ht="14.25" customHeight="1">
      <c r="A907" s="52"/>
      <c r="B907" s="53"/>
      <c r="C907" s="53"/>
      <c r="D907" s="53"/>
      <c r="E907" s="53"/>
      <c r="F907" s="1"/>
      <c r="G907" s="1"/>
    </row>
    <row r="908" ht="14.25" customHeight="1">
      <c r="A908" s="52"/>
      <c r="B908" s="53"/>
      <c r="C908" s="53"/>
      <c r="D908" s="53"/>
      <c r="E908" s="53"/>
      <c r="F908" s="1"/>
      <c r="G908" s="1"/>
    </row>
    <row r="909" ht="14.25" customHeight="1">
      <c r="A909" s="52"/>
      <c r="B909" s="53"/>
      <c r="C909" s="53"/>
      <c r="D909" s="53"/>
      <c r="E909" s="53"/>
      <c r="F909" s="1"/>
      <c r="G909" s="1"/>
    </row>
    <row r="910" ht="14.25" customHeight="1">
      <c r="A910" s="52"/>
      <c r="B910" s="53"/>
      <c r="C910" s="53"/>
      <c r="D910" s="53"/>
      <c r="E910" s="53"/>
      <c r="F910" s="1"/>
      <c r="G910" s="1"/>
    </row>
    <row r="911" ht="14.25" customHeight="1">
      <c r="A911" s="52"/>
      <c r="B911" s="53"/>
      <c r="C911" s="53"/>
      <c r="D911" s="53"/>
      <c r="E911" s="53"/>
      <c r="F911" s="1"/>
      <c r="G911" s="1"/>
    </row>
    <row r="912" ht="14.25" customHeight="1">
      <c r="A912" s="52"/>
      <c r="B912" s="53"/>
      <c r="C912" s="53"/>
      <c r="D912" s="53"/>
      <c r="E912" s="53"/>
      <c r="F912" s="1"/>
      <c r="G912" s="1"/>
    </row>
    <row r="913" ht="14.25" customHeight="1">
      <c r="A913" s="52"/>
      <c r="B913" s="53"/>
      <c r="C913" s="53"/>
      <c r="D913" s="53"/>
      <c r="E913" s="53"/>
      <c r="F913" s="1"/>
      <c r="G913" s="1"/>
    </row>
    <row r="914" ht="14.25" customHeight="1">
      <c r="A914" s="52"/>
      <c r="B914" s="53"/>
      <c r="C914" s="53"/>
      <c r="D914" s="53"/>
      <c r="E914" s="53"/>
      <c r="F914" s="1"/>
      <c r="G914" s="1"/>
    </row>
    <row r="915" ht="14.25" customHeight="1">
      <c r="A915" s="52"/>
      <c r="B915" s="53"/>
      <c r="C915" s="53"/>
      <c r="D915" s="53"/>
      <c r="E915" s="53"/>
      <c r="F915" s="1"/>
      <c r="G915" s="1"/>
    </row>
    <row r="916" ht="14.25" customHeight="1">
      <c r="A916" s="52"/>
      <c r="B916" s="53"/>
      <c r="C916" s="53"/>
      <c r="D916" s="53"/>
      <c r="E916" s="53"/>
      <c r="F916" s="1"/>
      <c r="G916" s="1"/>
    </row>
    <row r="917" ht="14.25" customHeight="1">
      <c r="A917" s="52"/>
      <c r="B917" s="53"/>
      <c r="C917" s="53"/>
      <c r="D917" s="53"/>
      <c r="E917" s="53"/>
      <c r="F917" s="1"/>
      <c r="G917" s="1"/>
    </row>
    <row r="918" ht="14.25" customHeight="1">
      <c r="A918" s="52"/>
      <c r="B918" s="53"/>
      <c r="C918" s="53"/>
      <c r="D918" s="53"/>
      <c r="E918" s="53"/>
      <c r="F918" s="1"/>
      <c r="G918" s="1"/>
    </row>
    <row r="919" ht="14.25" customHeight="1">
      <c r="A919" s="52"/>
      <c r="B919" s="53"/>
      <c r="C919" s="53"/>
      <c r="D919" s="53"/>
      <c r="E919" s="53"/>
      <c r="F919" s="1"/>
      <c r="G919" s="1"/>
    </row>
    <row r="920" ht="14.25" customHeight="1">
      <c r="A920" s="52"/>
      <c r="B920" s="53"/>
      <c r="C920" s="53"/>
      <c r="D920" s="53"/>
      <c r="E920" s="53"/>
      <c r="F920" s="1"/>
      <c r="G920" s="1"/>
    </row>
    <row r="921" ht="14.25" customHeight="1">
      <c r="A921" s="52"/>
      <c r="B921" s="53"/>
      <c r="C921" s="53"/>
      <c r="D921" s="53"/>
      <c r="E921" s="53"/>
      <c r="F921" s="1"/>
      <c r="G921" s="1"/>
    </row>
    <row r="922" ht="14.25" customHeight="1">
      <c r="A922" s="52"/>
      <c r="B922" s="53"/>
      <c r="C922" s="53"/>
      <c r="D922" s="53"/>
      <c r="E922" s="53"/>
      <c r="F922" s="1"/>
      <c r="G922" s="1"/>
    </row>
    <row r="923" ht="14.25" customHeight="1">
      <c r="A923" s="52"/>
      <c r="B923" s="53"/>
      <c r="C923" s="53"/>
      <c r="D923" s="53"/>
      <c r="E923" s="53"/>
      <c r="F923" s="1"/>
      <c r="G923" s="1"/>
    </row>
    <row r="924" ht="14.25" customHeight="1">
      <c r="A924" s="52"/>
      <c r="B924" s="53"/>
      <c r="C924" s="53"/>
      <c r="D924" s="53"/>
      <c r="E924" s="53"/>
      <c r="F924" s="1"/>
      <c r="G924" s="1"/>
    </row>
    <row r="925" ht="14.25" customHeight="1">
      <c r="A925" s="52"/>
      <c r="B925" s="53"/>
      <c r="C925" s="53"/>
      <c r="D925" s="53"/>
      <c r="E925" s="53"/>
      <c r="F925" s="1"/>
      <c r="G925" s="1"/>
    </row>
    <row r="926" ht="14.25" customHeight="1">
      <c r="A926" s="52"/>
      <c r="B926" s="53"/>
      <c r="C926" s="53"/>
      <c r="D926" s="53"/>
      <c r="E926" s="53"/>
      <c r="F926" s="1"/>
      <c r="G926" s="1"/>
    </row>
    <row r="927" ht="14.25" customHeight="1">
      <c r="A927" s="52"/>
      <c r="B927" s="53"/>
      <c r="C927" s="53"/>
      <c r="D927" s="53"/>
      <c r="E927" s="53"/>
      <c r="F927" s="1"/>
      <c r="G927" s="1"/>
    </row>
    <row r="928" ht="14.25" customHeight="1">
      <c r="A928" s="52"/>
      <c r="B928" s="53"/>
      <c r="C928" s="53"/>
      <c r="D928" s="53"/>
      <c r="E928" s="53"/>
      <c r="F928" s="1"/>
      <c r="G928" s="1"/>
    </row>
    <row r="929" ht="14.25" customHeight="1">
      <c r="A929" s="52"/>
      <c r="B929" s="53"/>
      <c r="C929" s="53"/>
      <c r="D929" s="53"/>
      <c r="E929" s="53"/>
      <c r="F929" s="1"/>
      <c r="G929" s="1"/>
    </row>
    <row r="930" ht="14.25" customHeight="1">
      <c r="A930" s="52"/>
      <c r="B930" s="53"/>
      <c r="C930" s="53"/>
      <c r="D930" s="53"/>
      <c r="E930" s="53"/>
      <c r="F930" s="1"/>
      <c r="G930" s="1"/>
    </row>
    <row r="931" ht="14.25" customHeight="1">
      <c r="A931" s="52"/>
      <c r="B931" s="53"/>
      <c r="C931" s="53"/>
      <c r="D931" s="53"/>
      <c r="E931" s="53"/>
      <c r="F931" s="1"/>
      <c r="G931" s="1"/>
    </row>
    <row r="932" ht="14.25" customHeight="1">
      <c r="A932" s="52"/>
      <c r="B932" s="53"/>
      <c r="C932" s="53"/>
      <c r="D932" s="53"/>
      <c r="E932" s="53"/>
      <c r="F932" s="1"/>
      <c r="G932" s="1"/>
    </row>
    <row r="933" ht="14.25" customHeight="1">
      <c r="A933" s="52"/>
      <c r="B933" s="53"/>
      <c r="C933" s="53"/>
      <c r="D933" s="53"/>
      <c r="E933" s="53"/>
      <c r="F933" s="1"/>
      <c r="G933" s="1"/>
    </row>
    <row r="934" ht="14.25" customHeight="1">
      <c r="A934" s="52"/>
      <c r="B934" s="53"/>
      <c r="C934" s="53"/>
      <c r="D934" s="53"/>
      <c r="E934" s="53"/>
      <c r="F934" s="1"/>
      <c r="G934" s="1"/>
    </row>
    <row r="935" ht="14.25" customHeight="1">
      <c r="A935" s="52"/>
      <c r="B935" s="53"/>
      <c r="C935" s="53"/>
      <c r="D935" s="53"/>
      <c r="E935" s="53"/>
      <c r="F935" s="1"/>
      <c r="G935" s="1"/>
    </row>
    <row r="936" ht="14.25" customHeight="1">
      <c r="A936" s="52"/>
      <c r="B936" s="53"/>
      <c r="C936" s="53"/>
      <c r="D936" s="53"/>
      <c r="E936" s="53"/>
      <c r="F936" s="1"/>
      <c r="G936" s="1"/>
    </row>
    <row r="937" ht="14.25" customHeight="1">
      <c r="A937" s="52"/>
      <c r="B937" s="53"/>
      <c r="C937" s="53"/>
      <c r="D937" s="53"/>
      <c r="E937" s="53"/>
      <c r="F937" s="1"/>
      <c r="G937" s="1"/>
    </row>
    <row r="938" ht="14.25" customHeight="1">
      <c r="A938" s="52"/>
      <c r="B938" s="53"/>
      <c r="C938" s="53"/>
      <c r="D938" s="53"/>
      <c r="E938" s="53"/>
      <c r="F938" s="1"/>
      <c r="G938" s="1"/>
    </row>
    <row r="939" ht="14.25" customHeight="1">
      <c r="A939" s="52"/>
      <c r="B939" s="53"/>
      <c r="C939" s="53"/>
      <c r="D939" s="53"/>
      <c r="E939" s="53"/>
      <c r="F939" s="1"/>
      <c r="G939" s="1"/>
    </row>
    <row r="940" ht="14.25" customHeight="1">
      <c r="A940" s="52"/>
      <c r="B940" s="53"/>
      <c r="C940" s="53"/>
      <c r="D940" s="53"/>
      <c r="E940" s="53"/>
      <c r="F940" s="1"/>
      <c r="G940" s="1"/>
    </row>
    <row r="941" ht="14.25" customHeight="1">
      <c r="A941" s="52"/>
      <c r="B941" s="53"/>
      <c r="C941" s="53"/>
      <c r="D941" s="53"/>
      <c r="E941" s="53"/>
      <c r="F941" s="1"/>
      <c r="G941" s="1"/>
    </row>
    <row r="942" ht="14.25" customHeight="1">
      <c r="A942" s="52"/>
      <c r="B942" s="53"/>
      <c r="C942" s="53"/>
      <c r="D942" s="53"/>
      <c r="E942" s="53"/>
      <c r="F942" s="1"/>
      <c r="G942" s="1"/>
    </row>
    <row r="943" ht="14.25" customHeight="1">
      <c r="A943" s="52"/>
      <c r="B943" s="53"/>
      <c r="C943" s="53"/>
      <c r="D943" s="53"/>
      <c r="E943" s="53"/>
      <c r="F943" s="1"/>
      <c r="G943" s="1"/>
    </row>
    <row r="944" ht="14.25" customHeight="1">
      <c r="A944" s="52"/>
      <c r="B944" s="53"/>
      <c r="C944" s="53"/>
      <c r="D944" s="53"/>
      <c r="E944" s="53"/>
      <c r="F944" s="1"/>
      <c r="G944" s="1"/>
    </row>
    <row r="945" ht="14.25" customHeight="1">
      <c r="A945" s="52"/>
      <c r="B945" s="53"/>
      <c r="C945" s="53"/>
      <c r="D945" s="53"/>
      <c r="E945" s="53"/>
      <c r="F945" s="1"/>
      <c r="G945" s="1"/>
    </row>
    <row r="946" ht="14.25" customHeight="1">
      <c r="A946" s="52"/>
      <c r="B946" s="53"/>
      <c r="C946" s="53"/>
      <c r="D946" s="53"/>
      <c r="E946" s="53"/>
      <c r="F946" s="1"/>
      <c r="G946" s="1"/>
    </row>
    <row r="947" ht="14.25" customHeight="1">
      <c r="A947" s="52"/>
      <c r="B947" s="53"/>
      <c r="C947" s="53"/>
      <c r="D947" s="53"/>
      <c r="E947" s="53"/>
      <c r="F947" s="1"/>
      <c r="G947" s="1"/>
    </row>
    <row r="948" ht="14.25" customHeight="1">
      <c r="A948" s="52"/>
      <c r="B948" s="53"/>
      <c r="C948" s="53"/>
      <c r="D948" s="53"/>
      <c r="E948" s="53"/>
      <c r="F948" s="1"/>
      <c r="G948" s="1"/>
    </row>
    <row r="949" ht="14.25" customHeight="1">
      <c r="A949" s="52"/>
      <c r="B949" s="53"/>
      <c r="C949" s="53"/>
      <c r="D949" s="53"/>
      <c r="E949" s="53"/>
      <c r="F949" s="1"/>
      <c r="G949" s="1"/>
    </row>
    <row r="950" ht="14.25" customHeight="1">
      <c r="A950" s="52"/>
      <c r="B950" s="53"/>
      <c r="C950" s="53"/>
      <c r="D950" s="53"/>
      <c r="E950" s="53"/>
      <c r="F950" s="1"/>
      <c r="G950" s="1"/>
    </row>
    <row r="951" ht="14.25" customHeight="1">
      <c r="A951" s="52"/>
      <c r="B951" s="53"/>
      <c r="C951" s="53"/>
      <c r="D951" s="53"/>
      <c r="E951" s="53"/>
      <c r="F951" s="1"/>
      <c r="G951" s="1"/>
    </row>
    <row r="952" ht="14.25" customHeight="1">
      <c r="A952" s="52"/>
      <c r="B952" s="53"/>
      <c r="C952" s="53"/>
      <c r="D952" s="53"/>
      <c r="E952" s="53"/>
      <c r="F952" s="1"/>
      <c r="G952" s="1"/>
    </row>
    <row r="953" ht="14.25" customHeight="1">
      <c r="A953" s="52"/>
      <c r="B953" s="53"/>
      <c r="C953" s="53"/>
      <c r="D953" s="53"/>
      <c r="E953" s="53"/>
      <c r="F953" s="1"/>
      <c r="G953" s="1"/>
    </row>
    <row r="954" ht="14.25" customHeight="1">
      <c r="A954" s="52"/>
      <c r="B954" s="53"/>
      <c r="C954" s="53"/>
      <c r="D954" s="53"/>
      <c r="E954" s="53"/>
      <c r="F954" s="1"/>
      <c r="G954" s="1"/>
    </row>
    <row r="955" ht="14.25" customHeight="1">
      <c r="A955" s="52"/>
      <c r="B955" s="53"/>
      <c r="C955" s="53"/>
      <c r="D955" s="53"/>
      <c r="E955" s="53"/>
      <c r="F955" s="1"/>
      <c r="G955" s="1"/>
    </row>
    <row r="956" ht="14.25" customHeight="1">
      <c r="A956" s="52"/>
      <c r="B956" s="53"/>
      <c r="C956" s="53"/>
      <c r="D956" s="53"/>
      <c r="E956" s="53"/>
      <c r="F956" s="1"/>
      <c r="G956" s="1"/>
    </row>
    <row r="957" ht="14.25" customHeight="1">
      <c r="A957" s="52"/>
      <c r="B957" s="53"/>
      <c r="C957" s="53"/>
      <c r="D957" s="53"/>
      <c r="E957" s="53"/>
      <c r="F957" s="1"/>
      <c r="G957" s="1"/>
    </row>
    <row r="958" ht="14.25" customHeight="1">
      <c r="A958" s="52"/>
      <c r="B958" s="53"/>
      <c r="C958" s="53"/>
      <c r="D958" s="53"/>
      <c r="E958" s="53"/>
      <c r="F958" s="1"/>
      <c r="G958" s="1"/>
    </row>
    <row r="959" ht="14.25" customHeight="1">
      <c r="A959" s="52"/>
      <c r="B959" s="53"/>
      <c r="C959" s="53"/>
      <c r="D959" s="53"/>
      <c r="E959" s="53"/>
      <c r="F959" s="1"/>
      <c r="G959" s="1"/>
    </row>
    <row r="960" ht="14.25" customHeight="1">
      <c r="A960" s="52"/>
      <c r="B960" s="53"/>
      <c r="C960" s="53"/>
      <c r="D960" s="53"/>
      <c r="E960" s="53"/>
      <c r="F960" s="1"/>
      <c r="G960" s="1"/>
    </row>
    <row r="961" ht="14.25" customHeight="1">
      <c r="A961" s="52"/>
      <c r="B961" s="53"/>
      <c r="C961" s="53"/>
      <c r="D961" s="53"/>
      <c r="E961" s="53"/>
      <c r="F961" s="1"/>
      <c r="G961" s="1"/>
    </row>
    <row r="962" ht="14.25" customHeight="1">
      <c r="A962" s="52"/>
      <c r="B962" s="53"/>
      <c r="C962" s="53"/>
      <c r="D962" s="53"/>
      <c r="E962" s="53"/>
      <c r="F962" s="1"/>
      <c r="G962" s="1"/>
    </row>
    <row r="963" ht="14.25" customHeight="1">
      <c r="A963" s="52"/>
      <c r="B963" s="53"/>
      <c r="C963" s="53"/>
      <c r="D963" s="53"/>
      <c r="E963" s="53"/>
      <c r="F963" s="1"/>
      <c r="G963" s="1"/>
    </row>
    <row r="964" ht="14.25" customHeight="1">
      <c r="A964" s="52"/>
      <c r="B964" s="53"/>
      <c r="C964" s="53"/>
      <c r="D964" s="53"/>
      <c r="E964" s="53"/>
      <c r="F964" s="1"/>
      <c r="G964" s="1"/>
    </row>
    <row r="965" ht="14.25" customHeight="1">
      <c r="A965" s="52"/>
      <c r="B965" s="53"/>
      <c r="C965" s="53"/>
      <c r="D965" s="53"/>
      <c r="E965" s="53"/>
      <c r="F965" s="1"/>
      <c r="G965" s="1"/>
    </row>
    <row r="966" ht="14.25" customHeight="1">
      <c r="A966" s="52"/>
      <c r="B966" s="53"/>
      <c r="C966" s="53"/>
      <c r="D966" s="53"/>
      <c r="E966" s="53"/>
      <c r="F966" s="1"/>
      <c r="G966" s="1"/>
    </row>
    <row r="967" ht="14.25" customHeight="1">
      <c r="A967" s="52"/>
      <c r="B967" s="53"/>
      <c r="C967" s="53"/>
      <c r="D967" s="53"/>
      <c r="E967" s="53"/>
      <c r="F967" s="1"/>
      <c r="G967" s="1"/>
    </row>
    <row r="968" ht="14.25" customHeight="1">
      <c r="A968" s="52"/>
      <c r="B968" s="53"/>
      <c r="C968" s="53"/>
      <c r="D968" s="53"/>
      <c r="E968" s="53"/>
      <c r="F968" s="1"/>
      <c r="G968" s="1"/>
    </row>
    <row r="969" ht="14.25" customHeight="1">
      <c r="A969" s="52"/>
      <c r="B969" s="53"/>
      <c r="C969" s="53"/>
      <c r="D969" s="53"/>
      <c r="E969" s="53"/>
      <c r="F969" s="1"/>
      <c r="G969" s="1"/>
    </row>
    <row r="970" ht="14.25" customHeight="1">
      <c r="A970" s="52"/>
      <c r="B970" s="53"/>
      <c r="C970" s="53"/>
      <c r="D970" s="53"/>
      <c r="E970" s="53"/>
      <c r="F970" s="1"/>
      <c r="G970" s="1"/>
    </row>
    <row r="971" ht="14.25" customHeight="1">
      <c r="A971" s="52"/>
      <c r="B971" s="53"/>
      <c r="C971" s="53"/>
      <c r="D971" s="53"/>
      <c r="E971" s="53"/>
      <c r="F971" s="1"/>
      <c r="G971" s="1"/>
    </row>
    <row r="972" ht="14.25" customHeight="1">
      <c r="A972" s="52"/>
      <c r="B972" s="53"/>
      <c r="C972" s="53"/>
      <c r="D972" s="53"/>
      <c r="E972" s="53"/>
      <c r="F972" s="1"/>
      <c r="G972" s="1"/>
    </row>
    <row r="973" ht="14.25" customHeight="1">
      <c r="A973" s="52"/>
      <c r="B973" s="53"/>
      <c r="C973" s="53"/>
      <c r="D973" s="53"/>
      <c r="E973" s="53"/>
      <c r="F973" s="1"/>
      <c r="G973" s="1"/>
    </row>
    <row r="974" ht="14.25" customHeight="1">
      <c r="A974" s="52"/>
      <c r="B974" s="53"/>
      <c r="C974" s="53"/>
      <c r="D974" s="53"/>
      <c r="E974" s="53"/>
      <c r="F974" s="1"/>
      <c r="G974" s="1"/>
    </row>
    <row r="975" ht="14.25" customHeight="1">
      <c r="A975" s="52"/>
      <c r="B975" s="53"/>
      <c r="C975" s="53"/>
      <c r="D975" s="53"/>
      <c r="E975" s="53"/>
      <c r="F975" s="1"/>
      <c r="G975" s="1"/>
    </row>
    <row r="976" ht="14.25" customHeight="1">
      <c r="A976" s="52"/>
      <c r="B976" s="53"/>
      <c r="C976" s="53"/>
      <c r="D976" s="53"/>
      <c r="E976" s="53"/>
      <c r="F976" s="1"/>
      <c r="G976" s="1"/>
    </row>
    <row r="977" ht="14.25" customHeight="1">
      <c r="A977" s="52"/>
      <c r="B977" s="53"/>
      <c r="C977" s="53"/>
      <c r="D977" s="53"/>
      <c r="E977" s="53"/>
      <c r="F977" s="1"/>
      <c r="G977" s="1"/>
    </row>
    <row r="978" ht="14.25" customHeight="1">
      <c r="A978" s="52"/>
      <c r="B978" s="53"/>
      <c r="C978" s="53"/>
      <c r="D978" s="53"/>
      <c r="E978" s="53"/>
      <c r="F978" s="1"/>
      <c r="G978" s="1"/>
    </row>
    <row r="979" ht="14.25" customHeight="1">
      <c r="A979" s="52"/>
      <c r="B979" s="53"/>
      <c r="C979" s="53"/>
      <c r="D979" s="53"/>
      <c r="E979" s="53"/>
      <c r="F979" s="1"/>
      <c r="G979" s="1"/>
    </row>
    <row r="980" ht="14.25" customHeight="1">
      <c r="A980" s="52"/>
      <c r="B980" s="53"/>
      <c r="C980" s="53"/>
      <c r="D980" s="53"/>
      <c r="E980" s="53"/>
      <c r="F980" s="1"/>
      <c r="G980" s="1"/>
    </row>
    <row r="981" ht="14.25" customHeight="1">
      <c r="A981" s="52"/>
      <c r="B981" s="53"/>
      <c r="C981" s="53"/>
      <c r="D981" s="53"/>
      <c r="E981" s="53"/>
      <c r="F981" s="1"/>
      <c r="G981" s="1"/>
    </row>
    <row r="982" ht="14.25" customHeight="1">
      <c r="A982" s="52"/>
      <c r="B982" s="53"/>
      <c r="C982" s="53"/>
      <c r="D982" s="53"/>
      <c r="E982" s="53"/>
      <c r="F982" s="1"/>
      <c r="G982" s="1"/>
    </row>
    <row r="983" ht="14.25" customHeight="1">
      <c r="A983" s="52"/>
      <c r="B983" s="53"/>
      <c r="C983" s="53"/>
      <c r="D983" s="53"/>
      <c r="E983" s="53"/>
      <c r="F983" s="1"/>
      <c r="G983" s="1"/>
    </row>
    <row r="984" ht="14.25" customHeight="1">
      <c r="A984" s="52"/>
      <c r="B984" s="53"/>
      <c r="C984" s="53"/>
      <c r="D984" s="53"/>
      <c r="E984" s="53"/>
      <c r="F984" s="1"/>
      <c r="G984" s="1"/>
    </row>
    <row r="985" ht="14.25" customHeight="1">
      <c r="A985" s="52"/>
      <c r="B985" s="53"/>
      <c r="C985" s="53"/>
      <c r="D985" s="53"/>
      <c r="E985" s="53"/>
      <c r="F985" s="1"/>
      <c r="G985" s="1"/>
    </row>
    <row r="986" ht="14.25" customHeight="1">
      <c r="A986" s="52"/>
      <c r="B986" s="53"/>
      <c r="C986" s="53"/>
      <c r="D986" s="53"/>
      <c r="E986" s="53"/>
      <c r="F986" s="1"/>
      <c r="G986" s="1"/>
    </row>
    <row r="987" ht="14.25" customHeight="1">
      <c r="A987" s="52"/>
      <c r="B987" s="53"/>
      <c r="C987" s="53"/>
      <c r="D987" s="53"/>
      <c r="E987" s="53"/>
      <c r="F987" s="1"/>
      <c r="G987" s="1"/>
    </row>
    <row r="988" ht="14.25" customHeight="1">
      <c r="A988" s="52"/>
      <c r="B988" s="53"/>
      <c r="C988" s="53"/>
      <c r="D988" s="53"/>
      <c r="E988" s="53"/>
      <c r="F988" s="1"/>
      <c r="G988" s="1"/>
    </row>
    <row r="989" ht="14.25" customHeight="1">
      <c r="A989" s="52"/>
      <c r="B989" s="53"/>
      <c r="C989" s="53"/>
      <c r="D989" s="53"/>
      <c r="E989" s="53"/>
      <c r="F989" s="1"/>
      <c r="G989" s="1"/>
    </row>
    <row r="990" ht="14.25" customHeight="1">
      <c r="A990" s="52"/>
      <c r="B990" s="53"/>
      <c r="C990" s="53"/>
      <c r="D990" s="53"/>
      <c r="E990" s="53"/>
      <c r="F990" s="1"/>
      <c r="G990" s="1"/>
    </row>
    <row r="991" ht="14.25" customHeight="1">
      <c r="A991" s="52"/>
      <c r="B991" s="53"/>
      <c r="C991" s="53"/>
      <c r="D991" s="53"/>
      <c r="E991" s="53"/>
      <c r="F991" s="1"/>
      <c r="G991" s="1"/>
    </row>
    <row r="992" ht="14.25" customHeight="1">
      <c r="A992" s="52"/>
      <c r="B992" s="53"/>
      <c r="C992" s="53"/>
      <c r="D992" s="53"/>
      <c r="E992" s="53"/>
      <c r="F992" s="1"/>
      <c r="G992" s="1"/>
    </row>
    <row r="993" ht="14.25" customHeight="1">
      <c r="A993" s="52"/>
      <c r="B993" s="53"/>
      <c r="C993" s="53"/>
      <c r="D993" s="53"/>
      <c r="E993" s="53"/>
      <c r="F993" s="1"/>
      <c r="G993" s="1"/>
    </row>
    <row r="994" ht="14.25" customHeight="1">
      <c r="A994" s="52"/>
      <c r="B994" s="53"/>
      <c r="C994" s="53"/>
      <c r="D994" s="53"/>
      <c r="E994" s="53"/>
      <c r="F994" s="1"/>
      <c r="G994" s="1"/>
    </row>
    <row r="995" ht="14.25" customHeight="1">
      <c r="A995" s="52"/>
      <c r="B995" s="53"/>
      <c r="C995" s="53"/>
      <c r="D995" s="53"/>
      <c r="E995" s="53"/>
      <c r="F995" s="1"/>
      <c r="G995" s="1"/>
    </row>
    <row r="996" ht="14.25" customHeight="1">
      <c r="A996" s="52"/>
      <c r="B996" s="53"/>
      <c r="C996" s="53"/>
      <c r="D996" s="53"/>
      <c r="E996" s="53"/>
      <c r="F996" s="1"/>
      <c r="G996" s="1"/>
    </row>
    <row r="997" ht="14.25" customHeight="1">
      <c r="A997" s="52"/>
      <c r="B997" s="53"/>
      <c r="C997" s="53"/>
      <c r="D997" s="53"/>
      <c r="E997" s="53"/>
      <c r="F997" s="1"/>
      <c r="G997" s="1"/>
    </row>
    <row r="998" ht="14.25" customHeight="1">
      <c r="A998" s="52"/>
      <c r="B998" s="53"/>
      <c r="C998" s="53"/>
      <c r="D998" s="53"/>
      <c r="E998" s="53"/>
      <c r="F998" s="1"/>
      <c r="G998" s="1"/>
    </row>
    <row r="999" ht="14.25" customHeight="1">
      <c r="A999" s="52"/>
      <c r="B999" s="53"/>
      <c r="C999" s="53"/>
      <c r="D999" s="53"/>
      <c r="E999" s="53"/>
      <c r="F999" s="1"/>
      <c r="G999" s="1"/>
    </row>
    <row r="1000" ht="14.25" customHeight="1">
      <c r="A1000" s="52"/>
      <c r="B1000" s="53"/>
      <c r="C1000" s="53"/>
      <c r="D1000" s="53"/>
      <c r="E1000" s="53"/>
      <c r="F1000" s="1"/>
      <c r="G1000" s="1"/>
    </row>
  </sheetData>
  <mergeCells count="7">
    <mergeCell ref="A2:H2"/>
    <mergeCell ref="A4:H4"/>
    <mergeCell ref="A5:H5"/>
    <mergeCell ref="A6:H6"/>
    <mergeCell ref="A7:H7"/>
    <mergeCell ref="A8:H8"/>
    <mergeCell ref="A18:H18"/>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11.71"/>
    <col customWidth="1" min="3" max="3" width="22.43"/>
    <col customWidth="1" min="4" max="4" width="23.86"/>
    <col customWidth="1" min="5" max="5" width="23.43"/>
    <col customWidth="1" min="6" max="6" width="12.14"/>
    <col customWidth="1" min="7" max="7" width="8.86"/>
    <col customWidth="1" min="8" max="8" width="21.14"/>
    <col customWidth="1" min="9" max="26" width="10.0"/>
  </cols>
  <sheetData>
    <row r="1" ht="14.25" customHeight="1">
      <c r="A1" s="52"/>
      <c r="B1" s="53"/>
      <c r="C1" s="53"/>
      <c r="D1" s="53"/>
      <c r="E1" s="1"/>
    </row>
    <row r="2" ht="15.75" customHeight="1">
      <c r="A2" s="54" t="s">
        <v>3947</v>
      </c>
      <c r="B2" s="55"/>
      <c r="C2" s="55"/>
      <c r="D2" s="55"/>
      <c r="E2" s="55"/>
      <c r="F2" s="55"/>
      <c r="G2" s="56"/>
    </row>
    <row r="3" ht="14.25" customHeight="1">
      <c r="A3" s="115"/>
      <c r="B3" s="115"/>
      <c r="C3" s="115"/>
      <c r="D3" s="115"/>
      <c r="E3" s="115"/>
    </row>
    <row r="4" ht="15.0" customHeight="1">
      <c r="A4" s="59" t="s">
        <v>3948</v>
      </c>
      <c r="B4" s="55"/>
      <c r="C4" s="55"/>
      <c r="D4" s="55"/>
      <c r="E4" s="55"/>
      <c r="F4" s="55"/>
      <c r="G4" s="56"/>
    </row>
    <row r="5" ht="15.0" customHeight="1">
      <c r="A5" s="59" t="s">
        <v>3949</v>
      </c>
      <c r="B5" s="55"/>
      <c r="C5" s="55"/>
      <c r="D5" s="55"/>
      <c r="E5" s="55"/>
      <c r="F5" s="55"/>
      <c r="G5" s="56"/>
    </row>
    <row r="6" ht="15.0" customHeight="1">
      <c r="A6" s="116" t="s">
        <v>3950</v>
      </c>
      <c r="B6" s="55"/>
      <c r="C6" s="55"/>
      <c r="D6" s="55"/>
      <c r="E6" s="55"/>
      <c r="F6" s="55"/>
      <c r="G6" s="56"/>
    </row>
    <row r="7" ht="80.25" customHeight="1">
      <c r="A7" s="158" t="s">
        <v>3951</v>
      </c>
      <c r="B7" s="55"/>
      <c r="C7" s="55"/>
      <c r="D7" s="55"/>
      <c r="E7" s="55"/>
      <c r="F7" s="55"/>
      <c r="G7" s="56"/>
    </row>
    <row r="8" ht="14.25" customHeight="1">
      <c r="A8" s="61"/>
      <c r="B8" s="62"/>
      <c r="C8" s="62"/>
      <c r="D8" s="62"/>
      <c r="E8" s="61"/>
    </row>
    <row r="9" ht="55.5" customHeight="1">
      <c r="A9" s="203" t="s">
        <v>8</v>
      </c>
      <c r="B9" s="119" t="s">
        <v>9</v>
      </c>
      <c r="C9" s="203" t="s">
        <v>3952</v>
      </c>
      <c r="D9" s="557" t="s">
        <v>3953</v>
      </c>
      <c r="E9" s="204" t="s">
        <v>3954</v>
      </c>
      <c r="F9" s="203" t="s">
        <v>208</v>
      </c>
      <c r="G9" s="203" t="s">
        <v>209</v>
      </c>
      <c r="H9" s="65" t="s">
        <v>210</v>
      </c>
    </row>
    <row r="10" ht="28.5" customHeight="1">
      <c r="A10" s="101" t="s">
        <v>37</v>
      </c>
      <c r="B10" s="101" t="s">
        <v>38</v>
      </c>
      <c r="C10" s="101" t="s">
        <v>3955</v>
      </c>
      <c r="D10" s="558" t="s">
        <v>3956</v>
      </c>
      <c r="E10" s="559" t="s">
        <v>3957</v>
      </c>
      <c r="F10" s="312">
        <v>50.0</v>
      </c>
      <c r="G10" s="101">
        <v>50.0</v>
      </c>
      <c r="H10" s="77" t="s">
        <v>37</v>
      </c>
    </row>
    <row r="11" ht="28.5" customHeight="1">
      <c r="A11" s="101" t="s">
        <v>37</v>
      </c>
      <c r="B11" s="101" t="s">
        <v>38</v>
      </c>
      <c r="C11" s="101" t="s">
        <v>3958</v>
      </c>
      <c r="D11" s="558" t="s">
        <v>3959</v>
      </c>
      <c r="E11" s="362" t="s">
        <v>3960</v>
      </c>
      <c r="F11" s="312">
        <v>400.0</v>
      </c>
      <c r="G11" s="101">
        <v>125.0</v>
      </c>
      <c r="H11" s="77" t="s">
        <v>37</v>
      </c>
    </row>
    <row r="12" ht="42.75" customHeight="1">
      <c r="A12" s="101" t="s">
        <v>402</v>
      </c>
      <c r="B12" s="101" t="s">
        <v>38</v>
      </c>
      <c r="C12" s="101" t="s">
        <v>403</v>
      </c>
      <c r="D12" s="558" t="s">
        <v>3961</v>
      </c>
      <c r="E12" s="559" t="s">
        <v>537</v>
      </c>
      <c r="F12" s="312">
        <v>400.0</v>
      </c>
      <c r="G12" s="101">
        <v>125.0</v>
      </c>
      <c r="H12" s="77" t="s">
        <v>43</v>
      </c>
    </row>
    <row r="13" ht="41.25" customHeight="1">
      <c r="A13" s="101" t="s">
        <v>1721</v>
      </c>
      <c r="B13" s="101" t="s">
        <v>38</v>
      </c>
      <c r="C13" s="101" t="s">
        <v>3962</v>
      </c>
      <c r="D13" s="558" t="s">
        <v>3963</v>
      </c>
      <c r="E13" s="68" t="s">
        <v>440</v>
      </c>
      <c r="F13" s="312">
        <v>50.0</v>
      </c>
      <c r="G13" s="101">
        <v>50.0</v>
      </c>
      <c r="H13" s="77" t="s">
        <v>51</v>
      </c>
    </row>
    <row r="14" ht="57.0" customHeight="1">
      <c r="A14" s="101" t="s">
        <v>3964</v>
      </c>
      <c r="B14" s="101" t="s">
        <v>38</v>
      </c>
      <c r="C14" s="101" t="s">
        <v>3965</v>
      </c>
      <c r="D14" s="558" t="s">
        <v>3966</v>
      </c>
      <c r="E14" s="559" t="s">
        <v>3967</v>
      </c>
      <c r="F14" s="312">
        <v>400.0</v>
      </c>
      <c r="G14" s="101">
        <v>175.0</v>
      </c>
      <c r="H14" s="77" t="s">
        <v>54</v>
      </c>
    </row>
    <row r="15" ht="42.75" customHeight="1">
      <c r="A15" s="101" t="s">
        <v>740</v>
      </c>
      <c r="B15" s="75" t="s">
        <v>38</v>
      </c>
      <c r="C15" s="101" t="s">
        <v>3968</v>
      </c>
      <c r="D15" s="558" t="s">
        <v>3969</v>
      </c>
      <c r="E15" s="559" t="s">
        <v>3970</v>
      </c>
      <c r="F15" s="312">
        <v>100.0</v>
      </c>
      <c r="G15" s="560">
        <v>50.0</v>
      </c>
      <c r="H15" s="77" t="s">
        <v>58</v>
      </c>
    </row>
    <row r="16" ht="42.75" customHeight="1">
      <c r="A16" s="101" t="s">
        <v>740</v>
      </c>
      <c r="B16" s="75" t="s">
        <v>38</v>
      </c>
      <c r="C16" s="101" t="s">
        <v>3971</v>
      </c>
      <c r="D16" s="558" t="s">
        <v>3972</v>
      </c>
      <c r="E16" s="362" t="s">
        <v>3973</v>
      </c>
      <c r="F16" s="312">
        <v>50.0</v>
      </c>
      <c r="G16" s="560">
        <v>50.0</v>
      </c>
      <c r="H16" s="77" t="s">
        <v>58</v>
      </c>
    </row>
    <row r="17" ht="27.0" customHeight="1">
      <c r="A17" s="101" t="s">
        <v>740</v>
      </c>
      <c r="B17" s="75" t="s">
        <v>38</v>
      </c>
      <c r="C17" s="101" t="s">
        <v>3974</v>
      </c>
      <c r="D17" s="558" t="s">
        <v>3975</v>
      </c>
      <c r="E17" s="362" t="s">
        <v>3976</v>
      </c>
      <c r="F17" s="312">
        <v>50.0</v>
      </c>
      <c r="G17" s="560">
        <v>50.0</v>
      </c>
      <c r="H17" s="77" t="s">
        <v>58</v>
      </c>
    </row>
    <row r="18" ht="28.5" customHeight="1">
      <c r="A18" s="101" t="s">
        <v>740</v>
      </c>
      <c r="B18" s="75" t="s">
        <v>38</v>
      </c>
      <c r="C18" s="101" t="s">
        <v>741</v>
      </c>
      <c r="D18" s="561" t="s">
        <v>745</v>
      </c>
      <c r="E18" s="362" t="s">
        <v>3977</v>
      </c>
      <c r="F18" s="76">
        <v>75.0</v>
      </c>
      <c r="G18" s="180">
        <v>50.0</v>
      </c>
      <c r="H18" s="77" t="s">
        <v>58</v>
      </c>
    </row>
    <row r="19" ht="42.75" customHeight="1">
      <c r="A19" s="101" t="s">
        <v>740</v>
      </c>
      <c r="B19" s="75" t="s">
        <v>38</v>
      </c>
      <c r="C19" s="101" t="s">
        <v>3978</v>
      </c>
      <c r="D19" s="102" t="s">
        <v>3979</v>
      </c>
      <c r="E19" s="362" t="s">
        <v>3980</v>
      </c>
      <c r="F19" s="76">
        <v>100.0</v>
      </c>
      <c r="G19" s="180">
        <v>0.0</v>
      </c>
      <c r="H19" s="77" t="s">
        <v>58</v>
      </c>
    </row>
    <row r="20" ht="42.75" customHeight="1">
      <c r="A20" s="101" t="s">
        <v>3981</v>
      </c>
      <c r="B20" s="101" t="s">
        <v>38</v>
      </c>
      <c r="C20" s="101" t="s">
        <v>470</v>
      </c>
      <c r="D20" s="562" t="s">
        <v>3982</v>
      </c>
      <c r="E20" s="362" t="s">
        <v>3983</v>
      </c>
      <c r="F20" s="75">
        <v>100.0</v>
      </c>
      <c r="G20" s="101">
        <v>100.0</v>
      </c>
      <c r="H20" s="77" t="s">
        <v>59</v>
      </c>
    </row>
    <row r="21" ht="42.75" customHeight="1">
      <c r="A21" s="101" t="s">
        <v>3981</v>
      </c>
      <c r="B21" s="101" t="s">
        <v>38</v>
      </c>
      <c r="C21" s="101" t="s">
        <v>741</v>
      </c>
      <c r="D21" s="562" t="s">
        <v>3984</v>
      </c>
      <c r="E21" s="362" t="s">
        <v>3985</v>
      </c>
      <c r="F21" s="75">
        <v>50.0</v>
      </c>
      <c r="G21" s="101">
        <v>50.0</v>
      </c>
      <c r="H21" s="77" t="s">
        <v>59</v>
      </c>
    </row>
    <row r="22" ht="28.5" customHeight="1">
      <c r="A22" s="101" t="s">
        <v>3981</v>
      </c>
      <c r="B22" s="101" t="s">
        <v>38</v>
      </c>
      <c r="C22" s="101" t="s">
        <v>3955</v>
      </c>
      <c r="D22" s="558" t="s">
        <v>3986</v>
      </c>
      <c r="E22" s="559" t="s">
        <v>3987</v>
      </c>
      <c r="F22" s="312">
        <v>50.0</v>
      </c>
      <c r="G22" s="101">
        <v>50.0</v>
      </c>
      <c r="H22" s="77" t="s">
        <v>59</v>
      </c>
    </row>
    <row r="23" ht="28.5" customHeight="1">
      <c r="A23" s="101" t="s">
        <v>491</v>
      </c>
      <c r="B23" s="121" t="s">
        <v>38</v>
      </c>
      <c r="C23" s="101" t="s">
        <v>390</v>
      </c>
      <c r="D23" s="558" t="s">
        <v>3988</v>
      </c>
      <c r="E23" s="559" t="s">
        <v>3960</v>
      </c>
      <c r="F23" s="312">
        <v>50.0</v>
      </c>
      <c r="G23" s="101">
        <v>50.0</v>
      </c>
      <c r="H23" s="77" t="s">
        <v>498</v>
      </c>
    </row>
    <row r="24" ht="42.75" customHeight="1">
      <c r="A24" s="101" t="s">
        <v>491</v>
      </c>
      <c r="B24" s="75" t="s">
        <v>38</v>
      </c>
      <c r="C24" s="101" t="s">
        <v>741</v>
      </c>
      <c r="D24" s="558" t="s">
        <v>3989</v>
      </c>
      <c r="E24" s="362" t="s">
        <v>3990</v>
      </c>
      <c r="F24" s="312">
        <v>50.0</v>
      </c>
      <c r="G24" s="101">
        <v>50.0</v>
      </c>
      <c r="H24" s="77" t="s">
        <v>498</v>
      </c>
    </row>
    <row r="25" ht="28.5" customHeight="1">
      <c r="A25" s="101" t="s">
        <v>1908</v>
      </c>
      <c r="B25" s="101" t="s">
        <v>38</v>
      </c>
      <c r="C25" s="101" t="s">
        <v>390</v>
      </c>
      <c r="D25" s="558" t="s">
        <v>3991</v>
      </c>
      <c r="E25" s="559" t="s">
        <v>3992</v>
      </c>
      <c r="F25" s="312">
        <v>100.0</v>
      </c>
      <c r="G25" s="101">
        <v>50.0</v>
      </c>
      <c r="H25" s="77" t="s">
        <v>62</v>
      </c>
    </row>
    <row r="26" ht="41.25" customHeight="1">
      <c r="A26" s="101" t="s">
        <v>1908</v>
      </c>
      <c r="B26" s="101" t="s">
        <v>38</v>
      </c>
      <c r="C26" s="101" t="s">
        <v>3993</v>
      </c>
      <c r="D26" s="558" t="s">
        <v>3994</v>
      </c>
      <c r="E26" s="362" t="s">
        <v>3995</v>
      </c>
      <c r="F26" s="75">
        <v>50.0</v>
      </c>
      <c r="G26" s="101">
        <v>50.0</v>
      </c>
      <c r="H26" s="77" t="s">
        <v>62</v>
      </c>
    </row>
    <row r="27" ht="57.0" customHeight="1">
      <c r="A27" s="300" t="s">
        <v>1908</v>
      </c>
      <c r="B27" s="300" t="s">
        <v>38</v>
      </c>
      <c r="C27" s="503" t="s">
        <v>3996</v>
      </c>
      <c r="D27" s="558" t="s">
        <v>3997</v>
      </c>
      <c r="E27" s="362" t="s">
        <v>3998</v>
      </c>
      <c r="F27" s="75">
        <v>100.0</v>
      </c>
      <c r="G27" s="101">
        <v>100.0</v>
      </c>
      <c r="H27" s="77" t="s">
        <v>62</v>
      </c>
    </row>
    <row r="28" ht="41.25" customHeight="1">
      <c r="A28" s="101" t="s">
        <v>3999</v>
      </c>
      <c r="B28" s="101" t="s">
        <v>213</v>
      </c>
      <c r="C28" s="101" t="s">
        <v>780</v>
      </c>
      <c r="D28" s="558" t="s">
        <v>4000</v>
      </c>
      <c r="E28" s="68" t="s">
        <v>4001</v>
      </c>
      <c r="F28" s="75">
        <v>50.0</v>
      </c>
      <c r="G28" s="101">
        <v>50.0</v>
      </c>
      <c r="H28" s="77" t="s">
        <v>65</v>
      </c>
    </row>
    <row r="29" ht="28.5" customHeight="1">
      <c r="A29" s="101" t="s">
        <v>528</v>
      </c>
      <c r="B29" s="101" t="s">
        <v>38</v>
      </c>
      <c r="C29" s="101" t="s">
        <v>741</v>
      </c>
      <c r="D29" s="558" t="s">
        <v>4002</v>
      </c>
      <c r="E29" s="559" t="s">
        <v>4003</v>
      </c>
      <c r="F29" s="312">
        <v>100.0</v>
      </c>
      <c r="G29" s="101">
        <v>100.0</v>
      </c>
      <c r="H29" s="77" t="s">
        <v>66</v>
      </c>
    </row>
    <row r="30" ht="27.0" customHeight="1">
      <c r="A30" s="101" t="s">
        <v>528</v>
      </c>
      <c r="B30" s="101" t="s">
        <v>38</v>
      </c>
      <c r="C30" s="101" t="s">
        <v>4004</v>
      </c>
      <c r="D30" s="558" t="s">
        <v>1820</v>
      </c>
      <c r="E30" s="75" t="s">
        <v>4005</v>
      </c>
      <c r="F30" s="75">
        <v>100.0</v>
      </c>
      <c r="G30" s="101">
        <v>50.0</v>
      </c>
      <c r="H30" s="77" t="s">
        <v>66</v>
      </c>
    </row>
    <row r="31" ht="69.0" customHeight="1">
      <c r="A31" s="101" t="s">
        <v>4006</v>
      </c>
      <c r="B31" s="101" t="s">
        <v>38</v>
      </c>
      <c r="C31" s="563" t="s">
        <v>4007</v>
      </c>
      <c r="D31" s="558" t="s">
        <v>4008</v>
      </c>
      <c r="E31" s="362" t="s">
        <v>4009</v>
      </c>
      <c r="F31" s="75">
        <v>100.0</v>
      </c>
      <c r="G31" s="101">
        <v>100.0</v>
      </c>
      <c r="H31" s="77" t="s">
        <v>1330</v>
      </c>
    </row>
    <row r="32" ht="27.0" customHeight="1">
      <c r="A32" s="101" t="s">
        <v>4006</v>
      </c>
      <c r="B32" s="101" t="s">
        <v>38</v>
      </c>
      <c r="C32" s="101" t="s">
        <v>4010</v>
      </c>
      <c r="D32" s="558" t="s">
        <v>4011</v>
      </c>
      <c r="E32" s="559" t="s">
        <v>4012</v>
      </c>
      <c r="F32" s="312">
        <v>400.0</v>
      </c>
      <c r="G32" s="101">
        <v>75.0</v>
      </c>
      <c r="H32" s="77" t="s">
        <v>1330</v>
      </c>
    </row>
    <row r="33" ht="27.0" customHeight="1">
      <c r="A33" s="101" t="s">
        <v>532</v>
      </c>
      <c r="B33" s="101" t="s">
        <v>38</v>
      </c>
      <c r="C33" s="101" t="s">
        <v>4013</v>
      </c>
      <c r="D33" s="558" t="s">
        <v>4014</v>
      </c>
      <c r="E33" s="75" t="s">
        <v>4015</v>
      </c>
      <c r="F33" s="75">
        <v>400.0</v>
      </c>
      <c r="G33" s="101">
        <v>75.0</v>
      </c>
      <c r="H33" s="77" t="s">
        <v>68</v>
      </c>
    </row>
    <row r="34" ht="33.75" customHeight="1">
      <c r="A34" s="340" t="s">
        <v>650</v>
      </c>
      <c r="B34" s="340" t="s">
        <v>4016</v>
      </c>
      <c r="C34" s="340" t="s">
        <v>4017</v>
      </c>
      <c r="D34" s="564" t="s">
        <v>4018</v>
      </c>
      <c r="E34" s="565" t="s">
        <v>4019</v>
      </c>
      <c r="F34" s="343">
        <v>50.0</v>
      </c>
      <c r="G34" s="341">
        <v>50.0</v>
      </c>
      <c r="H34" s="154" t="s">
        <v>72</v>
      </c>
    </row>
    <row r="35" ht="33.75" customHeight="1">
      <c r="A35" s="340" t="s">
        <v>650</v>
      </c>
      <c r="B35" s="340" t="s">
        <v>4016</v>
      </c>
      <c r="C35" s="566" t="s">
        <v>4020</v>
      </c>
      <c r="D35" s="564" t="s">
        <v>4021</v>
      </c>
      <c r="E35" s="341" t="s">
        <v>4022</v>
      </c>
      <c r="F35" s="341">
        <v>50.0</v>
      </c>
      <c r="G35" s="341">
        <v>50.0</v>
      </c>
      <c r="H35" s="154" t="s">
        <v>72</v>
      </c>
    </row>
    <row r="36" ht="22.5" customHeight="1">
      <c r="A36" s="340" t="s">
        <v>650</v>
      </c>
      <c r="B36" s="340" t="s">
        <v>4016</v>
      </c>
      <c r="C36" s="340" t="s">
        <v>4023</v>
      </c>
      <c r="D36" s="564" t="s">
        <v>3574</v>
      </c>
      <c r="E36" s="567" t="s">
        <v>4024</v>
      </c>
      <c r="F36" s="341">
        <v>50.0</v>
      </c>
      <c r="G36" s="341">
        <v>50.0</v>
      </c>
      <c r="H36" s="154" t="s">
        <v>72</v>
      </c>
    </row>
    <row r="37" ht="24.0" customHeight="1">
      <c r="A37" s="340" t="s">
        <v>650</v>
      </c>
      <c r="B37" s="340" t="s">
        <v>4016</v>
      </c>
      <c r="C37" s="566" t="s">
        <v>4025</v>
      </c>
      <c r="D37" s="564" t="s">
        <v>4026</v>
      </c>
      <c r="E37" s="341" t="s">
        <v>4027</v>
      </c>
      <c r="F37" s="341">
        <v>50.0</v>
      </c>
      <c r="G37" s="341"/>
      <c r="H37" s="154" t="s">
        <v>72</v>
      </c>
    </row>
    <row r="38" ht="46.5" customHeight="1">
      <c r="A38" s="340" t="s">
        <v>650</v>
      </c>
      <c r="B38" s="340" t="s">
        <v>4016</v>
      </c>
      <c r="C38" s="568" t="s">
        <v>4028</v>
      </c>
      <c r="D38" s="569" t="s">
        <v>4029</v>
      </c>
      <c r="E38" s="341" t="s">
        <v>4030</v>
      </c>
      <c r="F38" s="570">
        <v>50.0</v>
      </c>
      <c r="G38" s="571">
        <v>50.0</v>
      </c>
      <c r="H38" s="154" t="s">
        <v>72</v>
      </c>
    </row>
    <row r="39" ht="33.75" customHeight="1">
      <c r="A39" s="340" t="s">
        <v>650</v>
      </c>
      <c r="B39" s="340" t="s">
        <v>4016</v>
      </c>
      <c r="C39" s="340" t="s">
        <v>4031</v>
      </c>
      <c r="D39" s="569" t="s">
        <v>4032</v>
      </c>
      <c r="E39" s="341" t="s">
        <v>4033</v>
      </c>
      <c r="F39" s="570">
        <v>50.0</v>
      </c>
      <c r="G39" s="571"/>
      <c r="H39" s="154" t="s">
        <v>72</v>
      </c>
    </row>
    <row r="40" ht="24.0" customHeight="1">
      <c r="A40" s="170" t="s">
        <v>76</v>
      </c>
      <c r="B40" s="170" t="s">
        <v>73</v>
      </c>
      <c r="C40" s="170" t="s">
        <v>4034</v>
      </c>
      <c r="D40" s="572" t="s">
        <v>4035</v>
      </c>
      <c r="E40" s="167" t="s">
        <v>4036</v>
      </c>
      <c r="F40" s="324">
        <v>50.0</v>
      </c>
      <c r="G40" s="170">
        <v>50.0</v>
      </c>
      <c r="H40" s="154" t="s">
        <v>76</v>
      </c>
    </row>
    <row r="41" ht="26.25" customHeight="1">
      <c r="A41" s="170" t="s">
        <v>4037</v>
      </c>
      <c r="B41" s="148" t="s">
        <v>73</v>
      </c>
      <c r="C41" s="170" t="s">
        <v>4038</v>
      </c>
      <c r="D41" s="572" t="s">
        <v>4039</v>
      </c>
      <c r="E41" s="167" t="s">
        <v>4040</v>
      </c>
      <c r="F41" s="324">
        <v>50.0</v>
      </c>
      <c r="G41" s="170">
        <v>50.0</v>
      </c>
      <c r="H41" s="154" t="s">
        <v>77</v>
      </c>
    </row>
    <row r="42" ht="52.5" customHeight="1">
      <c r="A42" s="170" t="s">
        <v>4037</v>
      </c>
      <c r="B42" s="148" t="s">
        <v>73</v>
      </c>
      <c r="C42" s="170" t="s">
        <v>4041</v>
      </c>
      <c r="D42" s="572" t="s">
        <v>4042</v>
      </c>
      <c r="E42" s="369" t="s">
        <v>4043</v>
      </c>
      <c r="F42" s="148">
        <v>50.0</v>
      </c>
      <c r="G42" s="170">
        <v>50.0</v>
      </c>
      <c r="H42" s="154" t="s">
        <v>77</v>
      </c>
    </row>
    <row r="43" ht="78.75" customHeight="1">
      <c r="A43" s="170" t="s">
        <v>4037</v>
      </c>
      <c r="B43" s="148" t="s">
        <v>73</v>
      </c>
      <c r="C43" s="162" t="s">
        <v>878</v>
      </c>
      <c r="D43" s="162" t="s">
        <v>4044</v>
      </c>
      <c r="E43" s="369" t="s">
        <v>4045</v>
      </c>
      <c r="F43" s="573">
        <v>50.0</v>
      </c>
      <c r="G43" s="150">
        <v>50.0</v>
      </c>
      <c r="H43" s="154" t="s">
        <v>77</v>
      </c>
    </row>
    <row r="44" ht="52.5" customHeight="1">
      <c r="A44" s="170" t="s">
        <v>4037</v>
      </c>
      <c r="B44" s="148" t="s">
        <v>73</v>
      </c>
      <c r="C44" s="170" t="s">
        <v>4046</v>
      </c>
      <c r="D44" s="572" t="s">
        <v>4047</v>
      </c>
      <c r="E44" s="369" t="s">
        <v>4048</v>
      </c>
      <c r="F44" s="148">
        <v>50.0</v>
      </c>
      <c r="G44" s="170">
        <v>50.0</v>
      </c>
      <c r="H44" s="154" t="s">
        <v>77</v>
      </c>
    </row>
    <row r="45" ht="118.5" customHeight="1">
      <c r="A45" s="170" t="s">
        <v>4037</v>
      </c>
      <c r="B45" s="148" t="s">
        <v>73</v>
      </c>
      <c r="C45" s="170" t="s">
        <v>4049</v>
      </c>
      <c r="D45" s="238" t="s">
        <v>4050</v>
      </c>
      <c r="E45" s="369" t="s">
        <v>4051</v>
      </c>
      <c r="F45" s="232">
        <v>50.0</v>
      </c>
      <c r="G45" s="574"/>
      <c r="H45" s="154" t="s">
        <v>77</v>
      </c>
    </row>
    <row r="46" ht="78.75" customHeight="1">
      <c r="A46" s="170" t="s">
        <v>4037</v>
      </c>
      <c r="B46" s="148" t="s">
        <v>73</v>
      </c>
      <c r="C46" s="170" t="s">
        <v>4052</v>
      </c>
      <c r="D46" s="151" t="s">
        <v>4053</v>
      </c>
      <c r="E46" s="369" t="s">
        <v>4054</v>
      </c>
      <c r="F46" s="232">
        <v>50.0</v>
      </c>
      <c r="G46" s="574"/>
      <c r="H46" s="154" t="s">
        <v>77</v>
      </c>
    </row>
    <row r="47" ht="14.25" customHeight="1">
      <c r="A47" s="168" t="s">
        <v>94</v>
      </c>
      <c r="B47" s="168" t="s">
        <v>73</v>
      </c>
      <c r="C47" s="575" t="s">
        <v>4049</v>
      </c>
      <c r="D47" s="576" t="s">
        <v>4055</v>
      </c>
      <c r="E47" s="577" t="s">
        <v>4051</v>
      </c>
      <c r="F47" s="169">
        <v>50.0</v>
      </c>
      <c r="G47" s="168">
        <v>50.0</v>
      </c>
      <c r="H47" s="154" t="s">
        <v>94</v>
      </c>
    </row>
    <row r="48" ht="14.25" customHeight="1">
      <c r="A48" s="168" t="s">
        <v>94</v>
      </c>
      <c r="B48" s="168" t="s">
        <v>73</v>
      </c>
      <c r="C48" s="578" t="s">
        <v>4056</v>
      </c>
      <c r="D48" s="576" t="s">
        <v>4057</v>
      </c>
      <c r="E48" s="579" t="s">
        <v>4058</v>
      </c>
      <c r="F48" s="479">
        <v>50.0</v>
      </c>
      <c r="G48" s="168">
        <v>50.0</v>
      </c>
      <c r="H48" s="154" t="s">
        <v>94</v>
      </c>
    </row>
    <row r="49" ht="36.0" customHeight="1">
      <c r="A49" s="168" t="s">
        <v>94</v>
      </c>
      <c r="B49" s="168" t="s">
        <v>142</v>
      </c>
      <c r="C49" s="580" t="s">
        <v>4059</v>
      </c>
      <c r="D49" s="581" t="s">
        <v>1890</v>
      </c>
      <c r="E49" s="369" t="s">
        <v>4060</v>
      </c>
      <c r="F49" s="148">
        <v>100.0</v>
      </c>
      <c r="G49" s="170">
        <v>100.0</v>
      </c>
      <c r="H49" s="154" t="s">
        <v>94</v>
      </c>
    </row>
    <row r="50" ht="118.5" customHeight="1">
      <c r="A50" s="168" t="s">
        <v>94</v>
      </c>
      <c r="B50" s="168" t="s">
        <v>100</v>
      </c>
      <c r="C50" s="170" t="s">
        <v>4061</v>
      </c>
      <c r="D50" s="572" t="s">
        <v>4062</v>
      </c>
      <c r="E50" s="369" t="s">
        <v>4063</v>
      </c>
      <c r="F50" s="148">
        <v>50.0</v>
      </c>
      <c r="G50" s="170"/>
      <c r="H50" s="154" t="s">
        <v>94</v>
      </c>
    </row>
    <row r="51" ht="26.25" customHeight="1">
      <c r="A51" s="168" t="s">
        <v>94</v>
      </c>
      <c r="B51" s="168" t="s">
        <v>4064</v>
      </c>
      <c r="C51" s="170" t="s">
        <v>4065</v>
      </c>
      <c r="D51" s="151" t="s">
        <v>4066</v>
      </c>
      <c r="E51" s="369" t="s">
        <v>4067</v>
      </c>
      <c r="F51" s="232">
        <v>50.0</v>
      </c>
      <c r="G51" s="574"/>
      <c r="H51" s="154" t="s">
        <v>94</v>
      </c>
    </row>
    <row r="52" ht="69.0" customHeight="1">
      <c r="A52" s="582" t="s">
        <v>4068</v>
      </c>
      <c r="B52" s="283" t="s">
        <v>100</v>
      </c>
      <c r="C52" s="283" t="s">
        <v>4069</v>
      </c>
      <c r="D52" s="583" t="s">
        <v>4070</v>
      </c>
      <c r="E52" s="279" t="s">
        <v>4071</v>
      </c>
      <c r="F52" s="351">
        <v>50.0</v>
      </c>
      <c r="G52" s="584">
        <v>50.0</v>
      </c>
      <c r="H52" s="92" t="s">
        <v>4072</v>
      </c>
    </row>
    <row r="53" ht="82.5" customHeight="1">
      <c r="A53" s="492" t="s">
        <v>4073</v>
      </c>
      <c r="B53" s="283" t="s">
        <v>100</v>
      </c>
      <c r="C53" s="278" t="s">
        <v>4074</v>
      </c>
      <c r="D53" s="290" t="s">
        <v>4075</v>
      </c>
      <c r="E53" s="585" t="s">
        <v>4076</v>
      </c>
      <c r="F53" s="351">
        <v>50.0</v>
      </c>
      <c r="G53" s="584">
        <v>50.0</v>
      </c>
      <c r="H53" s="586" t="s">
        <v>4077</v>
      </c>
    </row>
    <row r="54" ht="54.75" customHeight="1">
      <c r="A54" s="283" t="s">
        <v>4073</v>
      </c>
      <c r="B54" s="283" t="s">
        <v>4064</v>
      </c>
      <c r="C54" s="289" t="s">
        <v>4078</v>
      </c>
      <c r="D54" s="587" t="s">
        <v>4079</v>
      </c>
      <c r="E54" s="484" t="s">
        <v>4080</v>
      </c>
      <c r="F54" s="278">
        <v>100.0</v>
      </c>
      <c r="G54" s="584">
        <v>100.0</v>
      </c>
      <c r="H54" s="586" t="s">
        <v>4077</v>
      </c>
    </row>
    <row r="55" ht="41.25" customHeight="1">
      <c r="A55" s="283" t="s">
        <v>4073</v>
      </c>
      <c r="B55" s="278" t="s">
        <v>100</v>
      </c>
      <c r="C55" s="278" t="s">
        <v>4081</v>
      </c>
      <c r="D55" s="588"/>
      <c r="E55" s="278" t="s">
        <v>4082</v>
      </c>
      <c r="F55" s="589">
        <v>50.0</v>
      </c>
      <c r="G55" s="584">
        <v>50.0</v>
      </c>
      <c r="H55" s="586" t="s">
        <v>4077</v>
      </c>
    </row>
    <row r="56" ht="41.25" customHeight="1">
      <c r="A56" s="283" t="s">
        <v>4073</v>
      </c>
      <c r="B56" s="289" t="s">
        <v>100</v>
      </c>
      <c r="C56" s="278" t="s">
        <v>4083</v>
      </c>
      <c r="D56" s="588"/>
      <c r="E56" s="484" t="s">
        <v>4084</v>
      </c>
      <c r="F56" s="590">
        <v>50.0</v>
      </c>
      <c r="G56" s="584"/>
      <c r="H56" s="586" t="s">
        <v>4077</v>
      </c>
    </row>
    <row r="57" ht="165.0" customHeight="1">
      <c r="A57" s="101" t="s">
        <v>122</v>
      </c>
      <c r="B57" s="101" t="s">
        <v>560</v>
      </c>
      <c r="C57" s="101" t="s">
        <v>4085</v>
      </c>
      <c r="D57" s="558" t="s">
        <v>4086</v>
      </c>
      <c r="E57" s="68" t="s">
        <v>4087</v>
      </c>
      <c r="F57" s="312">
        <v>50.0</v>
      </c>
      <c r="G57" s="180">
        <v>50.0</v>
      </c>
      <c r="H57" s="77" t="s">
        <v>122</v>
      </c>
    </row>
    <row r="58" ht="110.25" customHeight="1">
      <c r="A58" s="101" t="s">
        <v>122</v>
      </c>
      <c r="B58" s="101" t="s">
        <v>560</v>
      </c>
      <c r="C58" s="101" t="s">
        <v>4088</v>
      </c>
      <c r="D58" s="558" t="s">
        <v>4089</v>
      </c>
      <c r="E58" s="68" t="s">
        <v>4090</v>
      </c>
      <c r="F58" s="312">
        <v>50.0</v>
      </c>
      <c r="G58" s="180">
        <v>50.0</v>
      </c>
      <c r="H58" s="77" t="s">
        <v>122</v>
      </c>
    </row>
    <row r="59" ht="69.0" customHeight="1">
      <c r="A59" s="101" t="s">
        <v>122</v>
      </c>
      <c r="B59" s="101" t="s">
        <v>560</v>
      </c>
      <c r="C59" s="101" t="s">
        <v>4091</v>
      </c>
      <c r="D59" s="558" t="s">
        <v>4092</v>
      </c>
      <c r="E59" s="68" t="s">
        <v>4093</v>
      </c>
      <c r="F59" s="312">
        <v>50.0</v>
      </c>
      <c r="G59" s="180">
        <v>50.0</v>
      </c>
      <c r="H59" s="77" t="s">
        <v>122</v>
      </c>
    </row>
    <row r="60" ht="27.0" customHeight="1">
      <c r="A60" s="101" t="s">
        <v>1505</v>
      </c>
      <c r="B60" s="101" t="s">
        <v>567</v>
      </c>
      <c r="C60" s="101" t="s">
        <v>4094</v>
      </c>
      <c r="D60" s="558" t="s">
        <v>4095</v>
      </c>
      <c r="E60" s="68" t="s">
        <v>4096</v>
      </c>
      <c r="F60" s="312">
        <v>100.0</v>
      </c>
      <c r="G60" s="180">
        <v>100.0</v>
      </c>
      <c r="H60" s="77" t="s">
        <v>125</v>
      </c>
    </row>
    <row r="61" ht="27.0" customHeight="1">
      <c r="A61" s="101" t="s">
        <v>1505</v>
      </c>
      <c r="B61" s="101" t="s">
        <v>567</v>
      </c>
      <c r="C61" s="101" t="s">
        <v>4097</v>
      </c>
      <c r="D61" s="558" t="s">
        <v>3616</v>
      </c>
      <c r="E61" s="68" t="s">
        <v>4098</v>
      </c>
      <c r="F61" s="312">
        <v>50.0</v>
      </c>
      <c r="G61" s="180">
        <v>50.0</v>
      </c>
      <c r="H61" s="77" t="s">
        <v>125</v>
      </c>
    </row>
    <row r="62" ht="82.5" customHeight="1">
      <c r="A62" s="101" t="s">
        <v>126</v>
      </c>
      <c r="B62" s="101" t="s">
        <v>123</v>
      </c>
      <c r="C62" s="101" t="s">
        <v>1002</v>
      </c>
      <c r="D62" s="558" t="s">
        <v>1006</v>
      </c>
      <c r="E62" s="68" t="s">
        <v>4099</v>
      </c>
      <c r="F62" s="312">
        <v>0.0</v>
      </c>
      <c r="G62" s="180">
        <v>50.0</v>
      </c>
      <c r="H62" s="77" t="s">
        <v>126</v>
      </c>
    </row>
    <row r="63" ht="41.25" customHeight="1">
      <c r="A63" s="101" t="s">
        <v>4100</v>
      </c>
      <c r="B63" s="101" t="s">
        <v>123</v>
      </c>
      <c r="C63" s="101" t="s">
        <v>4101</v>
      </c>
      <c r="D63" s="558" t="s">
        <v>2783</v>
      </c>
      <c r="E63" s="68" t="s">
        <v>4102</v>
      </c>
      <c r="F63" s="312">
        <v>50.0</v>
      </c>
      <c r="G63" s="180">
        <v>50.0</v>
      </c>
      <c r="H63" s="77" t="s">
        <v>128</v>
      </c>
    </row>
    <row r="64" ht="27.0" customHeight="1">
      <c r="A64" s="101" t="s">
        <v>4100</v>
      </c>
      <c r="B64" s="101" t="s">
        <v>123</v>
      </c>
      <c r="C64" s="101" t="s">
        <v>4103</v>
      </c>
      <c r="D64" s="558" t="s">
        <v>4104</v>
      </c>
      <c r="E64" s="68" t="s">
        <v>4105</v>
      </c>
      <c r="F64" s="312">
        <v>50.0</v>
      </c>
      <c r="G64" s="180">
        <v>50.0</v>
      </c>
      <c r="H64" s="77" t="s">
        <v>128</v>
      </c>
    </row>
    <row r="65" ht="41.25" customHeight="1">
      <c r="A65" s="101" t="s">
        <v>4100</v>
      </c>
      <c r="B65" s="101" t="s">
        <v>123</v>
      </c>
      <c r="C65" s="101" t="s">
        <v>4106</v>
      </c>
      <c r="D65" s="558" t="s">
        <v>4107</v>
      </c>
      <c r="E65" s="68" t="s">
        <v>4108</v>
      </c>
      <c r="F65" s="312">
        <v>50.0</v>
      </c>
      <c r="G65" s="180">
        <v>50.0</v>
      </c>
      <c r="H65" s="77" t="s">
        <v>128</v>
      </c>
    </row>
    <row r="66" ht="110.25" customHeight="1">
      <c r="A66" s="101" t="s">
        <v>4109</v>
      </c>
      <c r="B66" s="101" t="s">
        <v>123</v>
      </c>
      <c r="C66" s="101" t="s">
        <v>1002</v>
      </c>
      <c r="D66" s="558" t="s">
        <v>4110</v>
      </c>
      <c r="E66" s="68" t="s">
        <v>4111</v>
      </c>
      <c r="F66" s="312">
        <v>50.0</v>
      </c>
      <c r="G66" s="180">
        <v>50.0</v>
      </c>
      <c r="H66" s="77" t="s">
        <v>130</v>
      </c>
    </row>
    <row r="67" ht="27.0" customHeight="1">
      <c r="A67" s="101" t="s">
        <v>4112</v>
      </c>
      <c r="B67" s="101" t="s">
        <v>567</v>
      </c>
      <c r="C67" s="101" t="s">
        <v>4097</v>
      </c>
      <c r="D67" s="558" t="s">
        <v>3616</v>
      </c>
      <c r="E67" s="68" t="s">
        <v>4098</v>
      </c>
      <c r="F67" s="312">
        <v>50.0</v>
      </c>
      <c r="G67" s="180">
        <v>50.0</v>
      </c>
      <c r="H67" s="77" t="s">
        <v>131</v>
      </c>
    </row>
    <row r="68" ht="82.5" customHeight="1">
      <c r="A68" s="101" t="s">
        <v>1046</v>
      </c>
      <c r="B68" s="101" t="s">
        <v>123</v>
      </c>
      <c r="C68" s="101" t="s">
        <v>1002</v>
      </c>
      <c r="D68" s="558" t="s">
        <v>1006</v>
      </c>
      <c r="E68" s="68" t="s">
        <v>4099</v>
      </c>
      <c r="F68" s="312">
        <v>0.0</v>
      </c>
      <c r="G68" s="180">
        <v>50.0</v>
      </c>
      <c r="H68" s="77" t="s">
        <v>132</v>
      </c>
    </row>
    <row r="69" ht="69.0" customHeight="1">
      <c r="A69" s="101" t="s">
        <v>1046</v>
      </c>
      <c r="B69" s="101" t="s">
        <v>123</v>
      </c>
      <c r="C69" s="101" t="s">
        <v>4113</v>
      </c>
      <c r="D69" s="558" t="s">
        <v>4114</v>
      </c>
      <c r="E69" s="68" t="s">
        <v>4102</v>
      </c>
      <c r="F69" s="312">
        <v>0.0</v>
      </c>
      <c r="G69" s="180">
        <v>50.0</v>
      </c>
      <c r="H69" s="77" t="s">
        <v>132</v>
      </c>
    </row>
    <row r="70" ht="27.0" customHeight="1">
      <c r="A70" s="101" t="s">
        <v>133</v>
      </c>
      <c r="B70" s="101" t="s">
        <v>567</v>
      </c>
      <c r="C70" s="101" t="s">
        <v>4097</v>
      </c>
      <c r="D70" s="558" t="s">
        <v>3616</v>
      </c>
      <c r="E70" s="68" t="s">
        <v>4098</v>
      </c>
      <c r="F70" s="312">
        <v>50.0</v>
      </c>
      <c r="G70" s="180">
        <v>50.0</v>
      </c>
      <c r="H70" s="77" t="s">
        <v>133</v>
      </c>
    </row>
    <row r="71" ht="69.0" customHeight="1">
      <c r="A71" s="101" t="s">
        <v>4115</v>
      </c>
      <c r="B71" s="101" t="s">
        <v>123</v>
      </c>
      <c r="C71" s="101" t="s">
        <v>1070</v>
      </c>
      <c r="D71" s="558" t="s">
        <v>4116</v>
      </c>
      <c r="E71" s="68" t="s">
        <v>4117</v>
      </c>
      <c r="F71" s="312">
        <v>50.0</v>
      </c>
      <c r="G71" s="180">
        <v>50.0</v>
      </c>
      <c r="H71" s="77" t="s">
        <v>134</v>
      </c>
    </row>
    <row r="72" ht="41.25" customHeight="1">
      <c r="A72" s="101" t="s">
        <v>4115</v>
      </c>
      <c r="B72" s="101" t="s">
        <v>123</v>
      </c>
      <c r="C72" s="101" t="s">
        <v>4101</v>
      </c>
      <c r="D72" s="558" t="s">
        <v>1055</v>
      </c>
      <c r="E72" s="68" t="s">
        <v>4102</v>
      </c>
      <c r="F72" s="312">
        <v>50.0</v>
      </c>
      <c r="G72" s="180">
        <v>50.0</v>
      </c>
      <c r="H72" s="77" t="s">
        <v>134</v>
      </c>
    </row>
    <row r="73" ht="110.25" customHeight="1">
      <c r="A73" s="101" t="s">
        <v>135</v>
      </c>
      <c r="B73" s="101" t="s">
        <v>123</v>
      </c>
      <c r="C73" s="101" t="s">
        <v>1002</v>
      </c>
      <c r="D73" s="558" t="s">
        <v>4110</v>
      </c>
      <c r="E73" s="68" t="s">
        <v>4111</v>
      </c>
      <c r="F73" s="312">
        <v>50.0</v>
      </c>
      <c r="G73" s="180">
        <v>50.0</v>
      </c>
      <c r="H73" s="77" t="s">
        <v>135</v>
      </c>
    </row>
    <row r="74" ht="41.25" customHeight="1">
      <c r="A74" s="101" t="s">
        <v>135</v>
      </c>
      <c r="B74" s="101" t="s">
        <v>123</v>
      </c>
      <c r="C74" s="101" t="s">
        <v>4101</v>
      </c>
      <c r="D74" s="558" t="s">
        <v>4118</v>
      </c>
      <c r="E74" s="68" t="s">
        <v>4119</v>
      </c>
      <c r="F74" s="312">
        <v>50.0</v>
      </c>
      <c r="G74" s="180">
        <v>50.0</v>
      </c>
      <c r="H74" s="77" t="s">
        <v>135</v>
      </c>
    </row>
    <row r="75" ht="54.75" customHeight="1">
      <c r="A75" s="101" t="s">
        <v>136</v>
      </c>
      <c r="B75" s="101" t="s">
        <v>123</v>
      </c>
      <c r="C75" s="101" t="s">
        <v>4120</v>
      </c>
      <c r="D75" s="558" t="s">
        <v>4121</v>
      </c>
      <c r="E75" s="68" t="s">
        <v>4122</v>
      </c>
      <c r="F75" s="312">
        <v>50.0</v>
      </c>
      <c r="G75" s="180">
        <v>50.0</v>
      </c>
      <c r="H75" s="77" t="s">
        <v>136</v>
      </c>
    </row>
    <row r="76" ht="330.75" customHeight="1">
      <c r="A76" s="101" t="s">
        <v>138</v>
      </c>
      <c r="B76" s="101" t="s">
        <v>123</v>
      </c>
      <c r="C76" s="101" t="s">
        <v>4123</v>
      </c>
      <c r="D76" s="558" t="s">
        <v>4124</v>
      </c>
      <c r="E76" s="68" t="s">
        <v>4125</v>
      </c>
      <c r="F76" s="312">
        <v>50.0</v>
      </c>
      <c r="G76" s="180">
        <v>50.0</v>
      </c>
      <c r="H76" s="77" t="s">
        <v>138</v>
      </c>
    </row>
    <row r="77" ht="82.5" customHeight="1">
      <c r="A77" s="101" t="s">
        <v>138</v>
      </c>
      <c r="B77" s="101" t="s">
        <v>123</v>
      </c>
      <c r="C77" s="101" t="s">
        <v>4126</v>
      </c>
      <c r="D77" s="558" t="s">
        <v>4127</v>
      </c>
      <c r="E77" s="68" t="s">
        <v>4128</v>
      </c>
      <c r="F77" s="312">
        <v>50.0</v>
      </c>
      <c r="G77" s="180">
        <v>50.0</v>
      </c>
      <c r="H77" s="77" t="s">
        <v>138</v>
      </c>
    </row>
    <row r="78" ht="179.25" customHeight="1">
      <c r="A78" s="101" t="s">
        <v>138</v>
      </c>
      <c r="B78" s="101" t="s">
        <v>123</v>
      </c>
      <c r="C78" s="101" t="s">
        <v>4129</v>
      </c>
      <c r="D78" s="558" t="s">
        <v>4130</v>
      </c>
      <c r="E78" s="68" t="s">
        <v>4131</v>
      </c>
      <c r="F78" s="312">
        <v>50.0</v>
      </c>
      <c r="G78" s="180">
        <v>50.0</v>
      </c>
      <c r="H78" s="77" t="s">
        <v>138</v>
      </c>
    </row>
    <row r="79" ht="54.75" customHeight="1">
      <c r="A79" s="101" t="s">
        <v>1658</v>
      </c>
      <c r="B79" s="101" t="s">
        <v>123</v>
      </c>
      <c r="C79" s="101" t="s">
        <v>4132</v>
      </c>
      <c r="D79" s="558" t="s">
        <v>2272</v>
      </c>
      <c r="E79" s="68" t="s">
        <v>4133</v>
      </c>
      <c r="F79" s="312">
        <v>200.0</v>
      </c>
      <c r="G79" s="180">
        <v>200.0</v>
      </c>
      <c r="H79" s="77" t="s">
        <v>139</v>
      </c>
    </row>
    <row r="80" ht="96.0" customHeight="1">
      <c r="A80" s="101" t="s">
        <v>4134</v>
      </c>
      <c r="B80" s="101" t="s">
        <v>123</v>
      </c>
      <c r="C80" s="101" t="s">
        <v>568</v>
      </c>
      <c r="D80" s="558" t="s">
        <v>4135</v>
      </c>
      <c r="E80" s="68" t="s">
        <v>4136</v>
      </c>
      <c r="F80" s="312">
        <v>100.0</v>
      </c>
      <c r="G80" s="180">
        <v>100.0</v>
      </c>
      <c r="H80" s="77" t="s">
        <v>140</v>
      </c>
    </row>
    <row r="81" ht="27.0" customHeight="1">
      <c r="A81" s="101" t="s">
        <v>4137</v>
      </c>
      <c r="B81" s="101" t="s">
        <v>142</v>
      </c>
      <c r="C81" s="101" t="s">
        <v>1143</v>
      </c>
      <c r="D81" s="558" t="s">
        <v>4138</v>
      </c>
      <c r="E81" s="68" t="s">
        <v>4139</v>
      </c>
      <c r="F81" s="312">
        <v>400.0</v>
      </c>
      <c r="G81" s="180">
        <v>170.0</v>
      </c>
      <c r="H81" s="77" t="s">
        <v>141</v>
      </c>
    </row>
    <row r="82" ht="27.0" customHeight="1">
      <c r="A82" s="101" t="s">
        <v>147</v>
      </c>
      <c r="B82" s="101" t="s">
        <v>142</v>
      </c>
      <c r="C82" s="101" t="s">
        <v>1106</v>
      </c>
      <c r="D82" s="558" t="s">
        <v>1103</v>
      </c>
      <c r="E82" s="68" t="s">
        <v>4140</v>
      </c>
      <c r="F82" s="312">
        <v>50.0</v>
      </c>
      <c r="G82" s="180">
        <v>57.0</v>
      </c>
      <c r="H82" s="77" t="s">
        <v>147</v>
      </c>
    </row>
    <row r="83" ht="41.25" customHeight="1">
      <c r="A83" s="101" t="s">
        <v>151</v>
      </c>
      <c r="B83" s="101" t="s">
        <v>142</v>
      </c>
      <c r="C83" s="101" t="s">
        <v>4141</v>
      </c>
      <c r="D83" s="558" t="s">
        <v>4142</v>
      </c>
      <c r="E83" s="68" t="s">
        <v>4143</v>
      </c>
      <c r="F83" s="312">
        <v>50.0</v>
      </c>
      <c r="G83" s="180">
        <v>50.0</v>
      </c>
      <c r="H83" s="77" t="s">
        <v>151</v>
      </c>
    </row>
    <row r="84" ht="27.0" customHeight="1">
      <c r="A84" s="101" t="s">
        <v>153</v>
      </c>
      <c r="B84" s="101" t="s">
        <v>142</v>
      </c>
      <c r="C84" s="101" t="s">
        <v>4144</v>
      </c>
      <c r="D84" s="558" t="s">
        <v>1890</v>
      </c>
      <c r="E84" s="68" t="s">
        <v>4145</v>
      </c>
      <c r="F84" s="312">
        <v>100.0</v>
      </c>
      <c r="G84" s="180">
        <v>100.0</v>
      </c>
      <c r="H84" s="77" t="s">
        <v>153</v>
      </c>
    </row>
    <row r="85" ht="27.0" customHeight="1">
      <c r="A85" s="101" t="s">
        <v>153</v>
      </c>
      <c r="B85" s="101" t="s">
        <v>142</v>
      </c>
      <c r="C85" s="101" t="s">
        <v>4146</v>
      </c>
      <c r="D85" s="558" t="s">
        <v>1148</v>
      </c>
      <c r="E85" s="68" t="s">
        <v>4147</v>
      </c>
      <c r="F85" s="312">
        <v>400.0</v>
      </c>
      <c r="G85" s="180">
        <v>100.0</v>
      </c>
      <c r="H85" s="77" t="s">
        <v>153</v>
      </c>
    </row>
    <row r="86" ht="27.0" customHeight="1">
      <c r="A86" s="101" t="s">
        <v>1151</v>
      </c>
      <c r="B86" s="101" t="s">
        <v>142</v>
      </c>
      <c r="C86" s="101" t="s">
        <v>1099</v>
      </c>
      <c r="D86" s="558" t="s">
        <v>4148</v>
      </c>
      <c r="E86" s="68" t="s">
        <v>1104</v>
      </c>
      <c r="F86" s="312">
        <v>200.0</v>
      </c>
      <c r="G86" s="180">
        <v>57.0</v>
      </c>
      <c r="H86" s="77" t="s">
        <v>154</v>
      </c>
    </row>
    <row r="87" ht="41.25" customHeight="1">
      <c r="A87" s="101" t="s">
        <v>157</v>
      </c>
      <c r="B87" s="101" t="s">
        <v>142</v>
      </c>
      <c r="C87" s="101" t="s">
        <v>4149</v>
      </c>
      <c r="D87" s="558" t="s">
        <v>4150</v>
      </c>
      <c r="E87" s="68" t="s">
        <v>4151</v>
      </c>
      <c r="F87" s="312">
        <v>50.0</v>
      </c>
      <c r="G87" s="180">
        <v>50.0</v>
      </c>
      <c r="H87" s="77" t="s">
        <v>157</v>
      </c>
    </row>
    <row r="88" ht="14.25" customHeight="1">
      <c r="A88" s="101" t="s">
        <v>158</v>
      </c>
      <c r="B88" s="101" t="s">
        <v>142</v>
      </c>
      <c r="C88" s="101" t="s">
        <v>1143</v>
      </c>
      <c r="D88" s="558" t="s">
        <v>4152</v>
      </c>
      <c r="E88" s="68" t="s">
        <v>4153</v>
      </c>
      <c r="F88" s="312">
        <v>400.0</v>
      </c>
      <c r="G88" s="180">
        <v>130.0</v>
      </c>
      <c r="H88" s="77" t="s">
        <v>158</v>
      </c>
    </row>
    <row r="89" ht="27.0" customHeight="1">
      <c r="A89" s="101" t="s">
        <v>159</v>
      </c>
      <c r="B89" s="101" t="s">
        <v>142</v>
      </c>
      <c r="C89" s="101" t="s">
        <v>4154</v>
      </c>
      <c r="D89" s="558" t="s">
        <v>4155</v>
      </c>
      <c r="E89" s="68" t="s">
        <v>1179</v>
      </c>
      <c r="F89" s="312">
        <v>200.0</v>
      </c>
      <c r="G89" s="180">
        <v>57.0</v>
      </c>
      <c r="H89" s="77" t="s">
        <v>159</v>
      </c>
    </row>
    <row r="90" ht="41.25" customHeight="1">
      <c r="A90" s="101" t="s">
        <v>159</v>
      </c>
      <c r="B90" s="101" t="s">
        <v>142</v>
      </c>
      <c r="C90" s="101" t="s">
        <v>4156</v>
      </c>
      <c r="D90" s="558" t="s">
        <v>924</v>
      </c>
      <c r="E90" s="68" t="s">
        <v>4157</v>
      </c>
      <c r="F90" s="312">
        <v>50.0</v>
      </c>
      <c r="G90" s="180">
        <v>50.0</v>
      </c>
      <c r="H90" s="77" t="s">
        <v>159</v>
      </c>
    </row>
    <row r="91" ht="27.0" customHeight="1">
      <c r="A91" s="101" t="s">
        <v>4158</v>
      </c>
      <c r="B91" s="101" t="s">
        <v>142</v>
      </c>
      <c r="C91" s="101" t="s">
        <v>1200</v>
      </c>
      <c r="D91" s="558" t="s">
        <v>1121</v>
      </c>
      <c r="E91" s="68" t="s">
        <v>4140</v>
      </c>
      <c r="F91" s="312">
        <v>400.0</v>
      </c>
      <c r="G91" s="180">
        <v>57.0</v>
      </c>
      <c r="H91" s="77" t="s">
        <v>165</v>
      </c>
    </row>
    <row r="92" ht="27.0" customHeight="1">
      <c r="A92" s="101" t="s">
        <v>4159</v>
      </c>
      <c r="B92" s="101" t="s">
        <v>142</v>
      </c>
      <c r="C92" s="101" t="s">
        <v>1129</v>
      </c>
      <c r="D92" s="558" t="s">
        <v>4160</v>
      </c>
      <c r="E92" s="68" t="s">
        <v>4161</v>
      </c>
      <c r="F92" s="312">
        <v>50.0</v>
      </c>
      <c r="G92" s="180">
        <v>50.0</v>
      </c>
      <c r="H92" s="77" t="s">
        <v>166</v>
      </c>
    </row>
    <row r="93" ht="27.0" customHeight="1">
      <c r="A93" s="101" t="s">
        <v>167</v>
      </c>
      <c r="B93" s="101" t="s">
        <v>142</v>
      </c>
      <c r="C93" s="101" t="s">
        <v>1099</v>
      </c>
      <c r="D93" s="558" t="s">
        <v>1178</v>
      </c>
      <c r="E93" s="68" t="s">
        <v>4140</v>
      </c>
      <c r="F93" s="312">
        <v>400.0</v>
      </c>
      <c r="G93" s="180">
        <v>57.0</v>
      </c>
      <c r="H93" s="77" t="s">
        <v>167</v>
      </c>
    </row>
    <row r="94" ht="138.0" customHeight="1">
      <c r="A94" s="101" t="s">
        <v>168</v>
      </c>
      <c r="B94" s="101" t="s">
        <v>142</v>
      </c>
      <c r="C94" s="101" t="s">
        <v>1214</v>
      </c>
      <c r="D94" s="558" t="s">
        <v>1217</v>
      </c>
      <c r="E94" s="68" t="s">
        <v>4162</v>
      </c>
      <c r="F94" s="312">
        <v>50.0</v>
      </c>
      <c r="G94" s="180">
        <v>50.0</v>
      </c>
      <c r="H94" s="77" t="s">
        <v>168</v>
      </c>
    </row>
    <row r="95" ht="41.25" customHeight="1">
      <c r="A95" s="101" t="s">
        <v>170</v>
      </c>
      <c r="B95" s="101" t="s">
        <v>142</v>
      </c>
      <c r="C95" s="101" t="s">
        <v>4163</v>
      </c>
      <c r="D95" s="558" t="s">
        <v>4164</v>
      </c>
      <c r="E95" s="68" t="s">
        <v>4165</v>
      </c>
      <c r="F95" s="312">
        <v>50.0</v>
      </c>
      <c r="G95" s="180">
        <v>50.0</v>
      </c>
      <c r="H95" s="77" t="s">
        <v>170</v>
      </c>
    </row>
    <row r="96" ht="41.25" customHeight="1">
      <c r="A96" s="101" t="s">
        <v>170</v>
      </c>
      <c r="B96" s="101" t="s">
        <v>142</v>
      </c>
      <c r="C96" s="101" t="s">
        <v>4166</v>
      </c>
      <c r="D96" s="558" t="s">
        <v>4167</v>
      </c>
      <c r="E96" s="68" t="s">
        <v>4168</v>
      </c>
      <c r="F96" s="312">
        <v>50.0</v>
      </c>
      <c r="G96" s="180">
        <v>50.0</v>
      </c>
      <c r="H96" s="77" t="s">
        <v>170</v>
      </c>
    </row>
    <row r="97" ht="82.5" customHeight="1">
      <c r="A97" s="101" t="s">
        <v>172</v>
      </c>
      <c r="B97" s="101" t="s">
        <v>142</v>
      </c>
      <c r="C97" s="101" t="s">
        <v>1244</v>
      </c>
      <c r="D97" s="558" t="s">
        <v>4169</v>
      </c>
      <c r="E97" s="68" t="s">
        <v>4170</v>
      </c>
      <c r="F97" s="312">
        <v>50.0</v>
      </c>
      <c r="G97" s="180">
        <v>0.0</v>
      </c>
      <c r="H97" s="77" t="s">
        <v>172</v>
      </c>
    </row>
    <row r="98" ht="69.0" customHeight="1">
      <c r="A98" s="101" t="s">
        <v>172</v>
      </c>
      <c r="B98" s="101" t="s">
        <v>142</v>
      </c>
      <c r="C98" s="101" t="s">
        <v>4144</v>
      </c>
      <c r="D98" s="558" t="s">
        <v>4171</v>
      </c>
      <c r="E98" s="68" t="s">
        <v>4172</v>
      </c>
      <c r="F98" s="312">
        <v>100.0</v>
      </c>
      <c r="G98" s="180">
        <v>100.0</v>
      </c>
      <c r="H98" s="77" t="s">
        <v>172</v>
      </c>
    </row>
    <row r="99" ht="41.25" customHeight="1">
      <c r="A99" s="101" t="s">
        <v>172</v>
      </c>
      <c r="B99" s="101" t="s">
        <v>142</v>
      </c>
      <c r="C99" s="101" t="s">
        <v>4173</v>
      </c>
      <c r="D99" s="558" t="s">
        <v>4174</v>
      </c>
      <c r="E99" s="68" t="s">
        <v>4175</v>
      </c>
      <c r="F99" s="312">
        <v>50.0</v>
      </c>
      <c r="G99" s="180">
        <v>50.0</v>
      </c>
      <c r="H99" s="77" t="s">
        <v>172</v>
      </c>
    </row>
    <row r="100" ht="151.5" customHeight="1">
      <c r="A100" s="101" t="s">
        <v>172</v>
      </c>
      <c r="B100" s="101" t="s">
        <v>142</v>
      </c>
      <c r="C100" s="101" t="s">
        <v>1143</v>
      </c>
      <c r="D100" s="558" t="s">
        <v>4176</v>
      </c>
      <c r="E100" s="68" t="s">
        <v>4177</v>
      </c>
      <c r="F100" s="312">
        <v>50.0</v>
      </c>
      <c r="G100" s="180">
        <v>0.0</v>
      </c>
      <c r="H100" s="77" t="s">
        <v>172</v>
      </c>
    </row>
    <row r="101" ht="27.0" customHeight="1">
      <c r="A101" s="101" t="s">
        <v>172</v>
      </c>
      <c r="B101" s="101" t="s">
        <v>142</v>
      </c>
      <c r="C101" s="101" t="s">
        <v>339</v>
      </c>
      <c r="D101" s="558" t="s">
        <v>2272</v>
      </c>
      <c r="E101" s="68" t="s">
        <v>4178</v>
      </c>
      <c r="F101" s="312">
        <v>200.0</v>
      </c>
      <c r="G101" s="180">
        <v>0.0</v>
      </c>
      <c r="H101" s="77" t="s">
        <v>172</v>
      </c>
    </row>
    <row r="102" ht="27.0" customHeight="1">
      <c r="A102" s="101" t="s">
        <v>172</v>
      </c>
      <c r="B102" s="101" t="s">
        <v>142</v>
      </c>
      <c r="C102" s="101" t="s">
        <v>4179</v>
      </c>
      <c r="D102" s="558" t="s">
        <v>4180</v>
      </c>
      <c r="E102" s="68" t="s">
        <v>4181</v>
      </c>
      <c r="F102" s="312">
        <v>50.0</v>
      </c>
      <c r="G102" s="180">
        <v>50.0</v>
      </c>
      <c r="H102" s="77" t="s">
        <v>172</v>
      </c>
    </row>
    <row r="103" ht="27.0" customHeight="1">
      <c r="A103" s="101" t="s">
        <v>174</v>
      </c>
      <c r="B103" s="101" t="s">
        <v>142</v>
      </c>
      <c r="C103" s="101" t="s">
        <v>1099</v>
      </c>
      <c r="D103" s="558" t="s">
        <v>1255</v>
      </c>
      <c r="E103" s="68" t="s">
        <v>4140</v>
      </c>
      <c r="F103" s="312">
        <v>400.0</v>
      </c>
      <c r="G103" s="180">
        <v>57.0</v>
      </c>
      <c r="H103" s="77" t="s">
        <v>174</v>
      </c>
    </row>
    <row r="104" ht="27.0" customHeight="1">
      <c r="A104" s="101" t="s">
        <v>1265</v>
      </c>
      <c r="B104" s="101" t="s">
        <v>142</v>
      </c>
      <c r="C104" s="101" t="s">
        <v>1099</v>
      </c>
      <c r="D104" s="558" t="s">
        <v>1269</v>
      </c>
      <c r="E104" s="68" t="s">
        <v>4182</v>
      </c>
      <c r="F104" s="312">
        <v>400.0</v>
      </c>
      <c r="G104" s="180">
        <v>57.0</v>
      </c>
      <c r="H104" s="77" t="s">
        <v>177</v>
      </c>
    </row>
    <row r="105" ht="27.0" customHeight="1">
      <c r="A105" s="101" t="s">
        <v>4183</v>
      </c>
      <c r="B105" s="101" t="s">
        <v>142</v>
      </c>
      <c r="C105" s="101" t="s">
        <v>348</v>
      </c>
      <c r="D105" s="558" t="s">
        <v>3355</v>
      </c>
      <c r="E105" s="68" t="s">
        <v>708</v>
      </c>
      <c r="F105" s="312">
        <v>200.0</v>
      </c>
      <c r="G105" s="180">
        <v>200.0</v>
      </c>
      <c r="H105" s="77" t="s">
        <v>178</v>
      </c>
    </row>
    <row r="106" ht="14.25" customHeight="1">
      <c r="A106" s="101" t="s">
        <v>4183</v>
      </c>
      <c r="B106" s="101" t="s">
        <v>142</v>
      </c>
      <c r="C106" s="101" t="s">
        <v>4184</v>
      </c>
      <c r="D106" s="558" t="s">
        <v>4185</v>
      </c>
      <c r="E106" s="68" t="s">
        <v>4186</v>
      </c>
      <c r="F106" s="312">
        <v>100.0</v>
      </c>
      <c r="G106" s="180">
        <v>0.0</v>
      </c>
      <c r="H106" s="77" t="s">
        <v>178</v>
      </c>
    </row>
    <row r="107" ht="27.0" customHeight="1">
      <c r="A107" s="101" t="s">
        <v>4183</v>
      </c>
      <c r="B107" s="101" t="s">
        <v>142</v>
      </c>
      <c r="C107" s="101" t="s">
        <v>4187</v>
      </c>
      <c r="D107" s="558" t="s">
        <v>4188</v>
      </c>
      <c r="E107" s="68" t="s">
        <v>3140</v>
      </c>
      <c r="F107" s="312">
        <v>100.0</v>
      </c>
      <c r="G107" s="180">
        <v>0.0</v>
      </c>
      <c r="H107" s="77" t="s">
        <v>178</v>
      </c>
    </row>
    <row r="108" ht="14.25" customHeight="1">
      <c r="A108" s="101"/>
      <c r="B108" s="101"/>
      <c r="C108" s="101"/>
      <c r="D108" s="558"/>
      <c r="E108" s="68"/>
      <c r="F108" s="312"/>
      <c r="G108" s="180"/>
      <c r="H108" s="77"/>
    </row>
    <row r="109" ht="14.25" customHeight="1">
      <c r="A109" s="101"/>
      <c r="B109" s="101"/>
      <c r="C109" s="101"/>
      <c r="D109" s="558"/>
      <c r="E109" s="68"/>
      <c r="F109" s="312"/>
      <c r="G109" s="180"/>
      <c r="H109" s="77"/>
    </row>
    <row r="110" ht="14.25" customHeight="1">
      <c r="A110" s="101"/>
      <c r="B110" s="75"/>
      <c r="C110" s="101"/>
      <c r="D110" s="102"/>
      <c r="E110" s="75"/>
      <c r="F110" s="76"/>
      <c r="G110" s="180"/>
      <c r="H110" s="77"/>
    </row>
    <row r="111" ht="14.25" customHeight="1">
      <c r="A111" s="101"/>
      <c r="B111" s="75"/>
      <c r="C111" s="101"/>
      <c r="D111" s="102"/>
      <c r="E111" s="75"/>
      <c r="F111" s="76"/>
      <c r="G111" s="180"/>
      <c r="H111" s="77"/>
    </row>
    <row r="112" ht="14.25" customHeight="1">
      <c r="A112" s="104" t="s">
        <v>180</v>
      </c>
      <c r="B112" s="53"/>
      <c r="C112" s="53"/>
      <c r="D112" s="53"/>
      <c r="E112" s="53"/>
      <c r="F112" s="62"/>
      <c r="G112" s="533">
        <f>SUM(G10:G111)</f>
        <v>5674</v>
      </c>
    </row>
    <row r="113" ht="14.25" customHeight="1">
      <c r="A113" s="52"/>
      <c r="B113" s="53"/>
      <c r="C113" s="53"/>
      <c r="D113" s="53"/>
      <c r="E113" s="53"/>
      <c r="F113" s="53"/>
      <c r="G113" s="1"/>
    </row>
    <row r="114" ht="14.25" customHeight="1">
      <c r="A114" s="534" t="s">
        <v>330</v>
      </c>
      <c r="B114" s="107"/>
      <c r="C114" s="107"/>
      <c r="D114" s="107"/>
      <c r="E114" s="107"/>
      <c r="F114" s="107"/>
      <c r="G114" s="108"/>
    </row>
    <row r="115" ht="14.25" customHeight="1">
      <c r="A115" s="52"/>
      <c r="B115" s="53"/>
      <c r="C115" s="53"/>
      <c r="D115" s="53"/>
      <c r="E115" s="1"/>
    </row>
    <row r="116" ht="14.25" customHeight="1">
      <c r="A116" s="52"/>
      <c r="B116" s="53"/>
      <c r="C116" s="53"/>
      <c r="D116" s="53"/>
      <c r="E116" s="1"/>
    </row>
    <row r="117" ht="14.25" customHeight="1">
      <c r="A117" s="52"/>
      <c r="B117" s="53"/>
      <c r="C117" s="53"/>
      <c r="D117" s="53"/>
      <c r="E117" s="1"/>
    </row>
    <row r="118" ht="14.25" customHeight="1">
      <c r="A118" s="52"/>
      <c r="B118" s="53"/>
      <c r="C118" s="53"/>
      <c r="D118" s="53"/>
      <c r="E118" s="1"/>
    </row>
    <row r="119" ht="14.25" customHeight="1">
      <c r="A119" s="52"/>
      <c r="B119" s="53"/>
      <c r="C119" s="53"/>
      <c r="D119" s="53"/>
      <c r="E119" s="1"/>
    </row>
    <row r="120" ht="14.25" customHeight="1">
      <c r="A120" s="52"/>
      <c r="B120" s="53"/>
      <c r="C120" s="53"/>
      <c r="D120" s="53"/>
      <c r="E120" s="1"/>
    </row>
    <row r="121" ht="14.25" customHeight="1">
      <c r="A121" s="52"/>
      <c r="B121" s="53"/>
      <c r="C121" s="53"/>
      <c r="D121" s="53"/>
      <c r="E121" s="1"/>
    </row>
    <row r="122" ht="14.25" customHeight="1">
      <c r="A122" s="52"/>
      <c r="B122" s="53"/>
      <c r="C122" s="53"/>
      <c r="D122" s="53"/>
      <c r="E122" s="1"/>
    </row>
    <row r="123" ht="14.25" customHeight="1">
      <c r="A123" s="52"/>
      <c r="B123" s="53"/>
      <c r="C123" s="53"/>
      <c r="D123" s="53"/>
      <c r="E123" s="1"/>
    </row>
    <row r="124" ht="14.25" customHeight="1">
      <c r="A124" s="52"/>
      <c r="B124" s="53"/>
      <c r="C124" s="53"/>
      <c r="D124" s="53"/>
      <c r="E124" s="1"/>
    </row>
    <row r="125" ht="14.25" customHeight="1">
      <c r="A125" s="52"/>
      <c r="B125" s="53"/>
      <c r="C125" s="53"/>
      <c r="D125" s="53"/>
      <c r="E125" s="1"/>
    </row>
    <row r="126" ht="14.25" customHeight="1">
      <c r="A126" s="52"/>
      <c r="B126" s="53"/>
      <c r="C126" s="53"/>
      <c r="D126" s="53"/>
      <c r="E126" s="1"/>
    </row>
    <row r="127" ht="14.25" customHeight="1">
      <c r="A127" s="52"/>
      <c r="B127" s="53"/>
      <c r="C127" s="53"/>
      <c r="D127" s="53"/>
      <c r="E127" s="1"/>
    </row>
    <row r="128" ht="14.25" customHeight="1">
      <c r="A128" s="52"/>
      <c r="B128" s="53"/>
      <c r="C128" s="53"/>
      <c r="D128" s="53"/>
      <c r="E128" s="1"/>
    </row>
    <row r="129" ht="14.25" customHeight="1">
      <c r="A129" s="52"/>
      <c r="B129" s="53"/>
      <c r="C129" s="53"/>
      <c r="D129" s="53"/>
      <c r="E129" s="1"/>
    </row>
    <row r="130" ht="14.25" customHeight="1">
      <c r="A130" s="52"/>
      <c r="B130" s="53"/>
      <c r="C130" s="53"/>
      <c r="D130" s="53"/>
      <c r="E130" s="1"/>
    </row>
    <row r="131" ht="14.25" customHeight="1">
      <c r="A131" s="52"/>
      <c r="B131" s="53"/>
      <c r="C131" s="53"/>
      <c r="D131" s="53"/>
      <c r="E131" s="1"/>
    </row>
    <row r="132" ht="14.25" customHeight="1">
      <c r="A132" s="52"/>
      <c r="B132" s="53"/>
      <c r="C132" s="53"/>
      <c r="D132" s="53"/>
      <c r="E132" s="1"/>
    </row>
    <row r="133" ht="14.25" customHeight="1">
      <c r="A133" s="52"/>
      <c r="B133" s="53"/>
      <c r="C133" s="53"/>
      <c r="D133" s="53"/>
      <c r="E133" s="1"/>
    </row>
    <row r="134" ht="14.25" customHeight="1">
      <c r="A134" s="52"/>
      <c r="B134" s="53"/>
      <c r="C134" s="53"/>
      <c r="D134" s="53"/>
      <c r="E134" s="1"/>
    </row>
    <row r="135" ht="14.25" customHeight="1">
      <c r="A135" s="52"/>
      <c r="B135" s="53"/>
      <c r="C135" s="53"/>
      <c r="D135" s="53"/>
      <c r="E135" s="1"/>
    </row>
    <row r="136" ht="14.25" customHeight="1">
      <c r="A136" s="52"/>
      <c r="B136" s="53"/>
      <c r="C136" s="53"/>
      <c r="D136" s="53"/>
      <c r="E136" s="1"/>
    </row>
    <row r="137" ht="14.25" customHeight="1">
      <c r="A137" s="52"/>
      <c r="B137" s="53"/>
      <c r="C137" s="53"/>
      <c r="D137" s="53"/>
      <c r="E137" s="1"/>
    </row>
    <row r="138" ht="14.25" customHeight="1">
      <c r="A138" s="52"/>
      <c r="B138" s="53"/>
      <c r="C138" s="53"/>
      <c r="D138" s="53"/>
      <c r="E138" s="1"/>
    </row>
    <row r="139" ht="14.25" customHeight="1">
      <c r="A139" s="52"/>
      <c r="B139" s="53"/>
      <c r="C139" s="53"/>
      <c r="D139" s="53"/>
      <c r="E139" s="1"/>
    </row>
    <row r="140" ht="14.25" customHeight="1">
      <c r="A140" s="52"/>
      <c r="B140" s="53"/>
      <c r="C140" s="53"/>
      <c r="D140" s="53"/>
      <c r="E140" s="1"/>
    </row>
    <row r="141" ht="14.25" customHeight="1">
      <c r="A141" s="52"/>
      <c r="B141" s="53"/>
      <c r="C141" s="53"/>
      <c r="D141" s="53"/>
      <c r="E141" s="1"/>
    </row>
    <row r="142" ht="14.25" customHeight="1">
      <c r="A142" s="52"/>
      <c r="B142" s="53"/>
      <c r="C142" s="53"/>
      <c r="D142" s="53"/>
      <c r="E142" s="1"/>
    </row>
    <row r="143" ht="14.25" customHeight="1">
      <c r="A143" s="52"/>
      <c r="B143" s="53"/>
      <c r="C143" s="53"/>
      <c r="D143" s="53"/>
      <c r="E143" s="1"/>
    </row>
    <row r="144" ht="14.25" customHeight="1">
      <c r="A144" s="52"/>
      <c r="B144" s="53"/>
      <c r="C144" s="53"/>
      <c r="D144" s="53"/>
      <c r="E144" s="1"/>
    </row>
    <row r="145" ht="14.25" customHeight="1">
      <c r="A145" s="52"/>
      <c r="B145" s="53"/>
      <c r="C145" s="53"/>
      <c r="D145" s="53"/>
      <c r="E145" s="1"/>
    </row>
    <row r="146" ht="14.25" customHeight="1">
      <c r="A146" s="52"/>
      <c r="B146" s="53"/>
      <c r="C146" s="53"/>
      <c r="D146" s="53"/>
      <c r="E146" s="1"/>
    </row>
    <row r="147" ht="14.25" customHeight="1">
      <c r="A147" s="52"/>
      <c r="B147" s="53"/>
      <c r="C147" s="53"/>
      <c r="D147" s="53"/>
      <c r="E147" s="1"/>
    </row>
    <row r="148" ht="14.25" customHeight="1">
      <c r="A148" s="52"/>
      <c r="B148" s="53"/>
      <c r="C148" s="53"/>
      <c r="D148" s="53"/>
      <c r="E148" s="1"/>
    </row>
    <row r="149" ht="14.25" customHeight="1">
      <c r="A149" s="52"/>
      <c r="B149" s="53"/>
      <c r="C149" s="53"/>
      <c r="D149" s="53"/>
      <c r="E149" s="1"/>
    </row>
    <row r="150" ht="14.25" customHeight="1">
      <c r="A150" s="52"/>
      <c r="B150" s="53"/>
      <c r="C150" s="53"/>
      <c r="D150" s="53"/>
      <c r="E150" s="1"/>
    </row>
    <row r="151" ht="14.25" customHeight="1">
      <c r="A151" s="52"/>
      <c r="B151" s="53"/>
      <c r="C151" s="53"/>
      <c r="D151" s="53"/>
      <c r="E151" s="1"/>
    </row>
    <row r="152" ht="14.25" customHeight="1">
      <c r="A152" s="52"/>
      <c r="B152" s="53"/>
      <c r="C152" s="53"/>
      <c r="D152" s="53"/>
      <c r="E152" s="1"/>
    </row>
    <row r="153" ht="14.25" customHeight="1">
      <c r="A153" s="52"/>
      <c r="B153" s="53"/>
      <c r="C153" s="53"/>
      <c r="D153" s="53"/>
      <c r="E153" s="1"/>
    </row>
    <row r="154" ht="14.25" customHeight="1">
      <c r="A154" s="52"/>
      <c r="B154" s="53"/>
      <c r="C154" s="53"/>
      <c r="D154" s="53"/>
      <c r="E154" s="1"/>
    </row>
    <row r="155" ht="14.25" customHeight="1">
      <c r="A155" s="52"/>
      <c r="B155" s="53"/>
      <c r="C155" s="53"/>
      <c r="D155" s="53"/>
      <c r="E155" s="1"/>
    </row>
    <row r="156" ht="14.25" customHeight="1">
      <c r="A156" s="52"/>
      <c r="B156" s="53"/>
      <c r="C156" s="53"/>
      <c r="D156" s="53"/>
      <c r="E156" s="1"/>
    </row>
    <row r="157" ht="14.25" customHeight="1">
      <c r="A157" s="52"/>
      <c r="B157" s="53"/>
      <c r="C157" s="53"/>
      <c r="D157" s="53"/>
      <c r="E157" s="1"/>
    </row>
    <row r="158" ht="14.25" customHeight="1">
      <c r="A158" s="52"/>
      <c r="B158" s="53"/>
      <c r="C158" s="53"/>
      <c r="D158" s="53"/>
      <c r="E158" s="1"/>
    </row>
    <row r="159" ht="14.25" customHeight="1">
      <c r="A159" s="52"/>
      <c r="B159" s="53"/>
      <c r="C159" s="53"/>
      <c r="D159" s="53"/>
      <c r="E159" s="1"/>
    </row>
    <row r="160" ht="14.25" customHeight="1">
      <c r="A160" s="52"/>
      <c r="B160" s="53"/>
      <c r="C160" s="53"/>
      <c r="D160" s="53"/>
      <c r="E160" s="1"/>
    </row>
    <row r="161" ht="14.25" customHeight="1">
      <c r="A161" s="52"/>
      <c r="B161" s="53"/>
      <c r="C161" s="53"/>
      <c r="D161" s="53"/>
      <c r="E161" s="1"/>
    </row>
    <row r="162" ht="14.25" customHeight="1">
      <c r="A162" s="52"/>
      <c r="B162" s="53"/>
      <c r="C162" s="53"/>
      <c r="D162" s="53"/>
      <c r="E162" s="1"/>
    </row>
    <row r="163" ht="14.25" customHeight="1">
      <c r="A163" s="52"/>
      <c r="B163" s="53"/>
      <c r="C163" s="53"/>
      <c r="D163" s="53"/>
      <c r="E163" s="1"/>
    </row>
    <row r="164" ht="14.25" customHeight="1">
      <c r="A164" s="52"/>
      <c r="B164" s="53"/>
      <c r="C164" s="53"/>
      <c r="D164" s="53"/>
      <c r="E164" s="1"/>
    </row>
    <row r="165" ht="14.25" customHeight="1">
      <c r="A165" s="52"/>
      <c r="B165" s="53"/>
      <c r="C165" s="53"/>
      <c r="D165" s="53"/>
      <c r="E165" s="1"/>
    </row>
    <row r="166" ht="14.25" customHeight="1">
      <c r="A166" s="52"/>
      <c r="B166" s="53"/>
      <c r="C166" s="53"/>
      <c r="D166" s="53"/>
      <c r="E166" s="1"/>
    </row>
    <row r="167" ht="14.25" customHeight="1">
      <c r="A167" s="52"/>
      <c r="B167" s="53"/>
      <c r="C167" s="53"/>
      <c r="D167" s="53"/>
      <c r="E167" s="1"/>
    </row>
    <row r="168" ht="14.25" customHeight="1">
      <c r="A168" s="52"/>
      <c r="B168" s="53"/>
      <c r="C168" s="53"/>
      <c r="D168" s="53"/>
      <c r="E168" s="1"/>
    </row>
    <row r="169" ht="14.25" customHeight="1">
      <c r="A169" s="52"/>
      <c r="B169" s="53"/>
      <c r="C169" s="53"/>
      <c r="D169" s="53"/>
      <c r="E169" s="1"/>
    </row>
    <row r="170" ht="14.25" customHeight="1">
      <c r="A170" s="52"/>
      <c r="B170" s="53"/>
      <c r="C170" s="53"/>
      <c r="D170" s="53"/>
      <c r="E170" s="1"/>
    </row>
    <row r="171" ht="14.25" customHeight="1">
      <c r="A171" s="52"/>
      <c r="B171" s="53"/>
      <c r="C171" s="53"/>
      <c r="D171" s="53"/>
      <c r="E171" s="1"/>
    </row>
    <row r="172" ht="14.25" customHeight="1">
      <c r="A172" s="52"/>
      <c r="B172" s="53"/>
      <c r="C172" s="53"/>
      <c r="D172" s="53"/>
      <c r="E172" s="1"/>
    </row>
    <row r="173" ht="14.25" customHeight="1">
      <c r="A173" s="52"/>
      <c r="B173" s="53"/>
      <c r="C173" s="53"/>
      <c r="D173" s="53"/>
      <c r="E173" s="1"/>
    </row>
    <row r="174" ht="14.25" customHeight="1">
      <c r="A174" s="52"/>
      <c r="B174" s="53"/>
      <c r="C174" s="53"/>
      <c r="D174" s="53"/>
      <c r="E174" s="1"/>
    </row>
    <row r="175" ht="14.25" customHeight="1">
      <c r="A175" s="52"/>
      <c r="B175" s="53"/>
      <c r="C175" s="53"/>
      <c r="D175" s="53"/>
      <c r="E175" s="1"/>
    </row>
    <row r="176" ht="14.25" customHeight="1">
      <c r="A176" s="52"/>
      <c r="B176" s="53"/>
      <c r="C176" s="53"/>
      <c r="D176" s="53"/>
      <c r="E176" s="1"/>
    </row>
    <row r="177" ht="14.25" customHeight="1">
      <c r="A177" s="52"/>
      <c r="B177" s="53"/>
      <c r="C177" s="53"/>
      <c r="D177" s="53"/>
      <c r="E177" s="1"/>
    </row>
    <row r="178" ht="14.25" customHeight="1">
      <c r="A178" s="52"/>
      <c r="B178" s="53"/>
      <c r="C178" s="53"/>
      <c r="D178" s="53"/>
      <c r="E178" s="1"/>
    </row>
    <row r="179" ht="14.25" customHeight="1">
      <c r="A179" s="52"/>
      <c r="B179" s="53"/>
      <c r="C179" s="53"/>
      <c r="D179" s="53"/>
      <c r="E179" s="1"/>
    </row>
    <row r="180" ht="14.25" customHeight="1">
      <c r="A180" s="52"/>
      <c r="B180" s="53"/>
      <c r="C180" s="53"/>
      <c r="D180" s="53"/>
      <c r="E180" s="1"/>
    </row>
    <row r="181" ht="14.25" customHeight="1">
      <c r="A181" s="52"/>
      <c r="B181" s="53"/>
      <c r="C181" s="53"/>
      <c r="D181" s="53"/>
      <c r="E181" s="1"/>
    </row>
    <row r="182" ht="14.25" customHeight="1">
      <c r="A182" s="52"/>
      <c r="B182" s="53"/>
      <c r="C182" s="53"/>
      <c r="D182" s="53"/>
      <c r="E182" s="1"/>
    </row>
    <row r="183" ht="14.25" customHeight="1">
      <c r="A183" s="52"/>
      <c r="B183" s="53"/>
      <c r="C183" s="53"/>
      <c r="D183" s="53"/>
      <c r="E183" s="1"/>
    </row>
    <row r="184" ht="14.25" customHeight="1">
      <c r="A184" s="52"/>
      <c r="B184" s="53"/>
      <c r="C184" s="53"/>
      <c r="D184" s="53"/>
      <c r="E184" s="1"/>
    </row>
    <row r="185" ht="14.25" customHeight="1">
      <c r="A185" s="52"/>
      <c r="B185" s="53"/>
      <c r="C185" s="53"/>
      <c r="D185" s="53"/>
      <c r="E185" s="1"/>
    </row>
    <row r="186" ht="14.25" customHeight="1">
      <c r="A186" s="52"/>
      <c r="B186" s="53"/>
      <c r="C186" s="53"/>
      <c r="D186" s="53"/>
      <c r="E186" s="1"/>
    </row>
    <row r="187" ht="14.25" customHeight="1">
      <c r="A187" s="52"/>
      <c r="B187" s="53"/>
      <c r="C187" s="53"/>
      <c r="D187" s="53"/>
      <c r="E187" s="1"/>
    </row>
    <row r="188" ht="14.25" customHeight="1">
      <c r="A188" s="52"/>
      <c r="B188" s="53"/>
      <c r="C188" s="53"/>
      <c r="D188" s="53"/>
      <c r="E188" s="1"/>
    </row>
    <row r="189" ht="14.25" customHeight="1">
      <c r="A189" s="52"/>
      <c r="B189" s="53"/>
      <c r="C189" s="53"/>
      <c r="D189" s="53"/>
      <c r="E189" s="1"/>
    </row>
    <row r="190" ht="14.25" customHeight="1">
      <c r="A190" s="52"/>
      <c r="B190" s="53"/>
      <c r="C190" s="53"/>
      <c r="D190" s="53"/>
      <c r="E190" s="1"/>
    </row>
    <row r="191" ht="14.25" customHeight="1">
      <c r="A191" s="52"/>
      <c r="B191" s="53"/>
      <c r="C191" s="53"/>
      <c r="D191" s="53"/>
      <c r="E191" s="1"/>
    </row>
    <row r="192" ht="14.25" customHeight="1">
      <c r="A192" s="52"/>
      <c r="B192" s="53"/>
      <c r="C192" s="53"/>
      <c r="D192" s="53"/>
      <c r="E192" s="1"/>
    </row>
    <row r="193" ht="14.25" customHeight="1">
      <c r="A193" s="52"/>
      <c r="B193" s="53"/>
      <c r="C193" s="53"/>
      <c r="D193" s="53"/>
      <c r="E193" s="1"/>
    </row>
    <row r="194" ht="14.25" customHeight="1">
      <c r="A194" s="52"/>
      <c r="B194" s="53"/>
      <c r="C194" s="53"/>
      <c r="D194" s="53"/>
      <c r="E194" s="1"/>
    </row>
    <row r="195" ht="14.25" customHeight="1">
      <c r="A195" s="52"/>
      <c r="B195" s="53"/>
      <c r="C195" s="53"/>
      <c r="D195" s="53"/>
      <c r="E195" s="1"/>
    </row>
    <row r="196" ht="14.25" customHeight="1">
      <c r="A196" s="52"/>
      <c r="B196" s="53"/>
      <c r="C196" s="53"/>
      <c r="D196" s="53"/>
      <c r="E196" s="1"/>
    </row>
    <row r="197" ht="14.25" customHeight="1">
      <c r="A197" s="52"/>
      <c r="B197" s="53"/>
      <c r="C197" s="53"/>
      <c r="D197" s="53"/>
      <c r="E197" s="1"/>
    </row>
    <row r="198" ht="14.25" customHeight="1">
      <c r="A198" s="52"/>
      <c r="B198" s="53"/>
      <c r="C198" s="53"/>
      <c r="D198" s="53"/>
      <c r="E198" s="1"/>
    </row>
    <row r="199" ht="14.25" customHeight="1">
      <c r="A199" s="52"/>
      <c r="B199" s="53"/>
      <c r="C199" s="53"/>
      <c r="D199" s="53"/>
      <c r="E199" s="1"/>
    </row>
    <row r="200" ht="14.25" customHeight="1">
      <c r="A200" s="52"/>
      <c r="B200" s="53"/>
      <c r="C200" s="53"/>
      <c r="D200" s="53"/>
      <c r="E200" s="1"/>
    </row>
    <row r="201" ht="14.25" customHeight="1">
      <c r="A201" s="52"/>
      <c r="B201" s="53"/>
      <c r="C201" s="53"/>
      <c r="D201" s="53"/>
      <c r="E201" s="1"/>
    </row>
    <row r="202" ht="14.25" customHeight="1">
      <c r="A202" s="52"/>
      <c r="B202" s="53"/>
      <c r="C202" s="53"/>
      <c r="D202" s="53"/>
      <c r="E202" s="1"/>
    </row>
    <row r="203" ht="14.25" customHeight="1">
      <c r="A203" s="52"/>
      <c r="B203" s="53"/>
      <c r="C203" s="53"/>
      <c r="D203" s="53"/>
      <c r="E203" s="1"/>
    </row>
    <row r="204" ht="14.25" customHeight="1">
      <c r="A204" s="52"/>
      <c r="B204" s="53"/>
      <c r="C204" s="53"/>
      <c r="D204" s="53"/>
      <c r="E204" s="1"/>
    </row>
    <row r="205" ht="14.25" customHeight="1">
      <c r="A205" s="52"/>
      <c r="B205" s="53"/>
      <c r="C205" s="53"/>
      <c r="D205" s="53"/>
      <c r="E205" s="1"/>
    </row>
    <row r="206" ht="14.25" customHeight="1">
      <c r="A206" s="52"/>
      <c r="B206" s="53"/>
      <c r="C206" s="53"/>
      <c r="D206" s="53"/>
      <c r="E206" s="1"/>
    </row>
    <row r="207" ht="14.25" customHeight="1">
      <c r="A207" s="52"/>
      <c r="B207" s="53"/>
      <c r="C207" s="53"/>
      <c r="D207" s="53"/>
      <c r="E207" s="1"/>
    </row>
    <row r="208" ht="14.25" customHeight="1">
      <c r="A208" s="52"/>
      <c r="B208" s="53"/>
      <c r="C208" s="53"/>
      <c r="D208" s="53"/>
      <c r="E208" s="1"/>
    </row>
    <row r="209" ht="14.25" customHeight="1">
      <c r="A209" s="52"/>
      <c r="B209" s="53"/>
      <c r="C209" s="53"/>
      <c r="D209" s="53"/>
      <c r="E209" s="1"/>
    </row>
    <row r="210" ht="14.25" customHeight="1">
      <c r="A210" s="52"/>
      <c r="B210" s="53"/>
      <c r="C210" s="53"/>
      <c r="D210" s="53"/>
      <c r="E210" s="1"/>
    </row>
    <row r="211" ht="14.25" customHeight="1">
      <c r="A211" s="52"/>
      <c r="B211" s="53"/>
      <c r="C211" s="53"/>
      <c r="D211" s="53"/>
      <c r="E211" s="1"/>
    </row>
    <row r="212" ht="14.25" customHeight="1">
      <c r="A212" s="52"/>
      <c r="B212" s="53"/>
      <c r="C212" s="53"/>
      <c r="D212" s="53"/>
      <c r="E212" s="1"/>
    </row>
    <row r="213" ht="14.25" customHeight="1">
      <c r="A213" s="52"/>
      <c r="B213" s="53"/>
      <c r="C213" s="53"/>
      <c r="D213" s="53"/>
      <c r="E213" s="1"/>
    </row>
    <row r="214" ht="14.25" customHeight="1">
      <c r="A214" s="52"/>
      <c r="B214" s="53"/>
      <c r="C214" s="53"/>
      <c r="D214" s="53"/>
      <c r="E214" s="1"/>
    </row>
    <row r="215" ht="14.25" customHeight="1">
      <c r="A215" s="52"/>
      <c r="B215" s="53"/>
      <c r="C215" s="53"/>
      <c r="D215" s="53"/>
      <c r="E215" s="1"/>
    </row>
    <row r="216" ht="14.25" customHeight="1">
      <c r="A216" s="52"/>
      <c r="B216" s="53"/>
      <c r="C216" s="53"/>
      <c r="D216" s="53"/>
      <c r="E216" s="1"/>
    </row>
    <row r="217" ht="14.25" customHeight="1">
      <c r="A217" s="52"/>
      <c r="B217" s="53"/>
      <c r="C217" s="53"/>
      <c r="D217" s="53"/>
      <c r="E217" s="1"/>
    </row>
    <row r="218" ht="14.25" customHeight="1">
      <c r="A218" s="52"/>
      <c r="B218" s="53"/>
      <c r="C218" s="53"/>
      <c r="D218" s="53"/>
      <c r="E218" s="1"/>
    </row>
    <row r="219" ht="14.25" customHeight="1">
      <c r="A219" s="52"/>
      <c r="B219" s="53"/>
      <c r="C219" s="53"/>
      <c r="D219" s="53"/>
      <c r="E219" s="1"/>
    </row>
    <row r="220" ht="14.25" customHeight="1">
      <c r="A220" s="52"/>
      <c r="B220" s="53"/>
      <c r="C220" s="53"/>
      <c r="D220" s="53"/>
      <c r="E220" s="1"/>
    </row>
    <row r="221" ht="14.25" customHeight="1">
      <c r="A221" s="52"/>
      <c r="B221" s="53"/>
      <c r="C221" s="53"/>
      <c r="D221" s="53"/>
      <c r="E221" s="1"/>
    </row>
    <row r="222" ht="14.25" customHeight="1">
      <c r="A222" s="52"/>
      <c r="B222" s="53"/>
      <c r="C222" s="53"/>
      <c r="D222" s="53"/>
      <c r="E222" s="1"/>
    </row>
    <row r="223" ht="14.25" customHeight="1">
      <c r="A223" s="52"/>
      <c r="B223" s="53"/>
      <c r="C223" s="53"/>
      <c r="D223" s="53"/>
      <c r="E223" s="1"/>
    </row>
    <row r="224" ht="14.25" customHeight="1">
      <c r="A224" s="52"/>
      <c r="B224" s="53"/>
      <c r="C224" s="53"/>
      <c r="D224" s="53"/>
      <c r="E224" s="1"/>
    </row>
    <row r="225" ht="14.25" customHeight="1">
      <c r="A225" s="52"/>
      <c r="B225" s="53"/>
      <c r="C225" s="53"/>
      <c r="D225" s="53"/>
      <c r="E225" s="1"/>
    </row>
    <row r="226" ht="14.25" customHeight="1">
      <c r="A226" s="52"/>
      <c r="B226" s="53"/>
      <c r="C226" s="53"/>
      <c r="D226" s="53"/>
      <c r="E226" s="1"/>
    </row>
    <row r="227" ht="14.25" customHeight="1">
      <c r="A227" s="52"/>
      <c r="B227" s="53"/>
      <c r="C227" s="53"/>
      <c r="D227" s="53"/>
      <c r="E227" s="1"/>
    </row>
    <row r="228" ht="14.25" customHeight="1">
      <c r="A228" s="52"/>
      <c r="B228" s="53"/>
      <c r="C228" s="53"/>
      <c r="D228" s="53"/>
      <c r="E228" s="1"/>
    </row>
    <row r="229" ht="14.25" customHeight="1">
      <c r="A229" s="52"/>
      <c r="B229" s="53"/>
      <c r="C229" s="53"/>
      <c r="D229" s="53"/>
      <c r="E229" s="1"/>
    </row>
    <row r="230" ht="14.25" customHeight="1">
      <c r="A230" s="52"/>
      <c r="B230" s="53"/>
      <c r="C230" s="53"/>
      <c r="D230" s="53"/>
      <c r="E230" s="1"/>
    </row>
    <row r="231" ht="14.25" customHeight="1">
      <c r="A231" s="52"/>
      <c r="B231" s="53"/>
      <c r="C231" s="53"/>
      <c r="D231" s="53"/>
      <c r="E231" s="1"/>
    </row>
    <row r="232" ht="14.25" customHeight="1">
      <c r="A232" s="52"/>
      <c r="B232" s="53"/>
      <c r="C232" s="53"/>
      <c r="D232" s="53"/>
      <c r="E232" s="1"/>
    </row>
    <row r="233" ht="14.25" customHeight="1">
      <c r="A233" s="52"/>
      <c r="B233" s="53"/>
      <c r="C233" s="53"/>
      <c r="D233" s="53"/>
      <c r="E233" s="1"/>
    </row>
    <row r="234" ht="14.25" customHeight="1">
      <c r="A234" s="52"/>
      <c r="B234" s="53"/>
      <c r="C234" s="53"/>
      <c r="D234" s="53"/>
      <c r="E234" s="1"/>
    </row>
    <row r="235" ht="14.25" customHeight="1">
      <c r="A235" s="52"/>
      <c r="B235" s="53"/>
      <c r="C235" s="53"/>
      <c r="D235" s="53"/>
      <c r="E235" s="1"/>
    </row>
    <row r="236" ht="14.25" customHeight="1">
      <c r="A236" s="52"/>
      <c r="B236" s="53"/>
      <c r="C236" s="53"/>
      <c r="D236" s="53"/>
      <c r="E236" s="1"/>
    </row>
    <row r="237" ht="14.25" customHeight="1">
      <c r="A237" s="52"/>
      <c r="B237" s="53"/>
      <c r="C237" s="53"/>
      <c r="D237" s="53"/>
      <c r="E237" s="1"/>
    </row>
    <row r="238" ht="14.25" customHeight="1">
      <c r="A238" s="52"/>
      <c r="B238" s="53"/>
      <c r="C238" s="53"/>
      <c r="D238" s="53"/>
      <c r="E238" s="1"/>
    </row>
    <row r="239" ht="14.25" customHeight="1">
      <c r="A239" s="52"/>
      <c r="B239" s="53"/>
      <c r="C239" s="53"/>
      <c r="D239" s="53"/>
      <c r="E239" s="1"/>
    </row>
    <row r="240" ht="14.25" customHeight="1">
      <c r="A240" s="52"/>
      <c r="B240" s="53"/>
      <c r="C240" s="53"/>
      <c r="D240" s="53"/>
      <c r="E240" s="1"/>
    </row>
    <row r="241" ht="14.25" customHeight="1">
      <c r="A241" s="52"/>
      <c r="B241" s="53"/>
      <c r="C241" s="53"/>
      <c r="D241" s="53"/>
      <c r="E241" s="1"/>
    </row>
    <row r="242" ht="14.25" customHeight="1">
      <c r="A242" s="52"/>
      <c r="B242" s="53"/>
      <c r="C242" s="53"/>
      <c r="D242" s="53"/>
      <c r="E242" s="1"/>
    </row>
    <row r="243" ht="14.25" customHeight="1">
      <c r="A243" s="52"/>
      <c r="B243" s="53"/>
      <c r="C243" s="53"/>
      <c r="D243" s="53"/>
      <c r="E243" s="1"/>
    </row>
    <row r="244" ht="14.25" customHeight="1">
      <c r="A244" s="52"/>
      <c r="B244" s="53"/>
      <c r="C244" s="53"/>
      <c r="D244" s="53"/>
      <c r="E244" s="1"/>
    </row>
    <row r="245" ht="14.25" customHeight="1">
      <c r="A245" s="52"/>
      <c r="B245" s="53"/>
      <c r="C245" s="53"/>
      <c r="D245" s="53"/>
      <c r="E245" s="1"/>
    </row>
    <row r="246" ht="14.25" customHeight="1">
      <c r="A246" s="52"/>
      <c r="B246" s="53"/>
      <c r="C246" s="53"/>
      <c r="D246" s="53"/>
      <c r="E246" s="1"/>
    </row>
    <row r="247" ht="14.25" customHeight="1">
      <c r="A247" s="52"/>
      <c r="B247" s="53"/>
      <c r="C247" s="53"/>
      <c r="D247" s="53"/>
      <c r="E247" s="1"/>
    </row>
    <row r="248" ht="14.25" customHeight="1">
      <c r="A248" s="52"/>
      <c r="B248" s="53"/>
      <c r="C248" s="53"/>
      <c r="D248" s="53"/>
      <c r="E248" s="1"/>
    </row>
    <row r="249" ht="14.25" customHeight="1">
      <c r="A249" s="52"/>
      <c r="B249" s="53"/>
      <c r="C249" s="53"/>
      <c r="D249" s="53"/>
      <c r="E249" s="1"/>
    </row>
    <row r="250" ht="14.25" customHeight="1">
      <c r="A250" s="52"/>
      <c r="B250" s="53"/>
      <c r="C250" s="53"/>
      <c r="D250" s="53"/>
      <c r="E250" s="1"/>
    </row>
    <row r="251" ht="14.25" customHeight="1">
      <c r="A251" s="52"/>
      <c r="B251" s="53"/>
      <c r="C251" s="53"/>
      <c r="D251" s="53"/>
      <c r="E251" s="1"/>
    </row>
    <row r="252" ht="14.25" customHeight="1">
      <c r="A252" s="52"/>
      <c r="B252" s="53"/>
      <c r="C252" s="53"/>
      <c r="D252" s="53"/>
      <c r="E252" s="1"/>
    </row>
    <row r="253" ht="14.25" customHeight="1">
      <c r="A253" s="52"/>
      <c r="B253" s="53"/>
      <c r="C253" s="53"/>
      <c r="D253" s="53"/>
      <c r="E253" s="1"/>
    </row>
    <row r="254" ht="14.25" customHeight="1">
      <c r="A254" s="52"/>
      <c r="B254" s="53"/>
      <c r="C254" s="53"/>
      <c r="D254" s="53"/>
      <c r="E254" s="1"/>
    </row>
    <row r="255" ht="14.25" customHeight="1">
      <c r="A255" s="52"/>
      <c r="B255" s="53"/>
      <c r="C255" s="53"/>
      <c r="D255" s="53"/>
      <c r="E255" s="1"/>
    </row>
    <row r="256" ht="14.25" customHeight="1">
      <c r="A256" s="52"/>
      <c r="B256" s="53"/>
      <c r="C256" s="53"/>
      <c r="D256" s="53"/>
      <c r="E256" s="1"/>
    </row>
    <row r="257" ht="14.25" customHeight="1">
      <c r="A257" s="52"/>
      <c r="B257" s="53"/>
      <c r="C257" s="53"/>
      <c r="D257" s="53"/>
      <c r="E257" s="1"/>
    </row>
    <row r="258" ht="14.25" customHeight="1">
      <c r="A258" s="52"/>
      <c r="B258" s="53"/>
      <c r="C258" s="53"/>
      <c r="D258" s="53"/>
      <c r="E258" s="1"/>
    </row>
    <row r="259" ht="14.25" customHeight="1">
      <c r="A259" s="52"/>
      <c r="B259" s="53"/>
      <c r="C259" s="53"/>
      <c r="D259" s="53"/>
      <c r="E259" s="1"/>
    </row>
    <row r="260" ht="14.25" customHeight="1">
      <c r="A260" s="52"/>
      <c r="B260" s="53"/>
      <c r="C260" s="53"/>
      <c r="D260" s="53"/>
      <c r="E260" s="1"/>
    </row>
    <row r="261" ht="14.25" customHeight="1">
      <c r="A261" s="52"/>
      <c r="B261" s="53"/>
      <c r="C261" s="53"/>
      <c r="D261" s="53"/>
      <c r="E261" s="1"/>
    </row>
    <row r="262" ht="14.25" customHeight="1">
      <c r="A262" s="52"/>
      <c r="B262" s="53"/>
      <c r="C262" s="53"/>
      <c r="D262" s="53"/>
      <c r="E262" s="1"/>
    </row>
    <row r="263" ht="14.25" customHeight="1">
      <c r="A263" s="52"/>
      <c r="B263" s="53"/>
      <c r="C263" s="53"/>
      <c r="D263" s="53"/>
      <c r="E263" s="1"/>
    </row>
    <row r="264" ht="14.25" customHeight="1">
      <c r="A264" s="52"/>
      <c r="B264" s="53"/>
      <c r="C264" s="53"/>
      <c r="D264" s="53"/>
      <c r="E264" s="1"/>
    </row>
    <row r="265" ht="14.25" customHeight="1">
      <c r="A265" s="52"/>
      <c r="B265" s="53"/>
      <c r="C265" s="53"/>
      <c r="D265" s="53"/>
      <c r="E265" s="1"/>
    </row>
    <row r="266" ht="14.25" customHeight="1">
      <c r="A266" s="52"/>
      <c r="B266" s="53"/>
      <c r="C266" s="53"/>
      <c r="D266" s="53"/>
      <c r="E266" s="1"/>
    </row>
    <row r="267" ht="14.25" customHeight="1">
      <c r="A267" s="52"/>
      <c r="B267" s="53"/>
      <c r="C267" s="53"/>
      <c r="D267" s="53"/>
      <c r="E267" s="1"/>
    </row>
    <row r="268" ht="14.25" customHeight="1">
      <c r="A268" s="52"/>
      <c r="B268" s="53"/>
      <c r="C268" s="53"/>
      <c r="D268" s="53"/>
      <c r="E268" s="1"/>
    </row>
    <row r="269" ht="14.25" customHeight="1">
      <c r="A269" s="52"/>
      <c r="B269" s="53"/>
      <c r="C269" s="53"/>
      <c r="D269" s="53"/>
      <c r="E269" s="1"/>
    </row>
    <row r="270" ht="14.25" customHeight="1">
      <c r="A270" s="52"/>
      <c r="B270" s="53"/>
      <c r="C270" s="53"/>
      <c r="D270" s="53"/>
      <c r="E270" s="1"/>
    </row>
    <row r="271" ht="14.25" customHeight="1">
      <c r="A271" s="52"/>
      <c r="B271" s="53"/>
      <c r="C271" s="53"/>
      <c r="D271" s="53"/>
      <c r="E271" s="1"/>
    </row>
    <row r="272" ht="14.25" customHeight="1">
      <c r="A272" s="52"/>
      <c r="B272" s="53"/>
      <c r="C272" s="53"/>
      <c r="D272" s="53"/>
      <c r="E272" s="1"/>
    </row>
    <row r="273" ht="14.25" customHeight="1">
      <c r="A273" s="52"/>
      <c r="B273" s="53"/>
      <c r="C273" s="53"/>
      <c r="D273" s="53"/>
      <c r="E273" s="1"/>
    </row>
    <row r="274" ht="14.25" customHeight="1">
      <c r="A274" s="52"/>
      <c r="B274" s="53"/>
      <c r="C274" s="53"/>
      <c r="D274" s="53"/>
      <c r="E274" s="1"/>
    </row>
    <row r="275" ht="14.25" customHeight="1">
      <c r="A275" s="52"/>
      <c r="B275" s="53"/>
      <c r="C275" s="53"/>
      <c r="D275" s="53"/>
      <c r="E275" s="1"/>
    </row>
    <row r="276" ht="14.25" customHeight="1">
      <c r="A276" s="52"/>
      <c r="B276" s="53"/>
      <c r="C276" s="53"/>
      <c r="D276" s="53"/>
      <c r="E276" s="1"/>
    </row>
    <row r="277" ht="14.25" customHeight="1">
      <c r="A277" s="52"/>
      <c r="B277" s="53"/>
      <c r="C277" s="53"/>
      <c r="D277" s="53"/>
      <c r="E277" s="1"/>
    </row>
    <row r="278" ht="14.25" customHeight="1">
      <c r="A278" s="52"/>
      <c r="B278" s="53"/>
      <c r="C278" s="53"/>
      <c r="D278" s="53"/>
      <c r="E278" s="1"/>
    </row>
    <row r="279" ht="14.25" customHeight="1">
      <c r="A279" s="52"/>
      <c r="B279" s="53"/>
      <c r="C279" s="53"/>
      <c r="D279" s="53"/>
      <c r="E279" s="1"/>
    </row>
    <row r="280" ht="14.25" customHeight="1">
      <c r="A280" s="52"/>
      <c r="B280" s="53"/>
      <c r="C280" s="53"/>
      <c r="D280" s="53"/>
      <c r="E280" s="1"/>
    </row>
    <row r="281" ht="14.25" customHeight="1">
      <c r="A281" s="52"/>
      <c r="B281" s="53"/>
      <c r="C281" s="53"/>
      <c r="D281" s="53"/>
      <c r="E281" s="1"/>
    </row>
    <row r="282" ht="14.25" customHeight="1">
      <c r="A282" s="52"/>
      <c r="B282" s="53"/>
      <c r="C282" s="53"/>
      <c r="D282" s="53"/>
      <c r="E282" s="1"/>
    </row>
    <row r="283" ht="14.25" customHeight="1">
      <c r="A283" s="52"/>
      <c r="B283" s="53"/>
      <c r="C283" s="53"/>
      <c r="D283" s="53"/>
      <c r="E283" s="1"/>
    </row>
    <row r="284" ht="14.25" customHeight="1">
      <c r="A284" s="52"/>
      <c r="B284" s="53"/>
      <c r="C284" s="53"/>
      <c r="D284" s="53"/>
      <c r="E284" s="1"/>
    </row>
    <row r="285" ht="14.25" customHeight="1">
      <c r="A285" s="52"/>
      <c r="B285" s="53"/>
      <c r="C285" s="53"/>
      <c r="D285" s="53"/>
      <c r="E285" s="1"/>
    </row>
    <row r="286" ht="14.25" customHeight="1">
      <c r="A286" s="52"/>
      <c r="B286" s="53"/>
      <c r="C286" s="53"/>
      <c r="D286" s="53"/>
      <c r="E286" s="1"/>
    </row>
    <row r="287" ht="14.25" customHeight="1">
      <c r="A287" s="52"/>
      <c r="B287" s="53"/>
      <c r="C287" s="53"/>
      <c r="D287" s="53"/>
      <c r="E287" s="1"/>
    </row>
    <row r="288" ht="14.25" customHeight="1">
      <c r="A288" s="52"/>
      <c r="B288" s="53"/>
      <c r="C288" s="53"/>
      <c r="D288" s="53"/>
      <c r="E288" s="1"/>
    </row>
    <row r="289" ht="14.25" customHeight="1">
      <c r="A289" s="52"/>
      <c r="B289" s="53"/>
      <c r="C289" s="53"/>
      <c r="D289" s="53"/>
      <c r="E289" s="1"/>
    </row>
    <row r="290" ht="14.25" customHeight="1">
      <c r="A290" s="52"/>
      <c r="B290" s="53"/>
      <c r="C290" s="53"/>
      <c r="D290" s="53"/>
      <c r="E290" s="1"/>
    </row>
    <row r="291" ht="14.25" customHeight="1">
      <c r="A291" s="52"/>
      <c r="B291" s="53"/>
      <c r="C291" s="53"/>
      <c r="D291" s="53"/>
      <c r="E291" s="1"/>
    </row>
    <row r="292" ht="14.25" customHeight="1">
      <c r="A292" s="52"/>
      <c r="B292" s="53"/>
      <c r="C292" s="53"/>
      <c r="D292" s="53"/>
      <c r="E292" s="1"/>
    </row>
    <row r="293" ht="14.25" customHeight="1">
      <c r="A293" s="52"/>
      <c r="B293" s="53"/>
      <c r="C293" s="53"/>
      <c r="D293" s="53"/>
      <c r="E293" s="1"/>
    </row>
    <row r="294" ht="14.25" customHeight="1">
      <c r="A294" s="52"/>
      <c r="B294" s="53"/>
      <c r="C294" s="53"/>
      <c r="D294" s="53"/>
      <c r="E294" s="1"/>
    </row>
    <row r="295" ht="14.25" customHeight="1">
      <c r="A295" s="52"/>
      <c r="B295" s="53"/>
      <c r="C295" s="53"/>
      <c r="D295" s="53"/>
      <c r="E295" s="1"/>
    </row>
    <row r="296" ht="14.25" customHeight="1">
      <c r="A296" s="52"/>
      <c r="B296" s="53"/>
      <c r="C296" s="53"/>
      <c r="D296" s="53"/>
      <c r="E296" s="1"/>
    </row>
    <row r="297" ht="14.25" customHeight="1">
      <c r="A297" s="52"/>
      <c r="B297" s="53"/>
      <c r="C297" s="53"/>
      <c r="D297" s="53"/>
      <c r="E297" s="1"/>
    </row>
    <row r="298" ht="14.25" customHeight="1">
      <c r="A298" s="52"/>
      <c r="B298" s="53"/>
      <c r="C298" s="53"/>
      <c r="D298" s="53"/>
      <c r="E298" s="1"/>
    </row>
    <row r="299" ht="14.25" customHeight="1">
      <c r="A299" s="52"/>
      <c r="B299" s="53"/>
      <c r="C299" s="53"/>
      <c r="D299" s="53"/>
      <c r="E299" s="1"/>
    </row>
    <row r="300" ht="14.25" customHeight="1">
      <c r="A300" s="52"/>
      <c r="B300" s="53"/>
      <c r="C300" s="53"/>
      <c r="D300" s="53"/>
      <c r="E300" s="1"/>
    </row>
    <row r="301" ht="14.25" customHeight="1">
      <c r="A301" s="52"/>
      <c r="B301" s="53"/>
      <c r="C301" s="53"/>
      <c r="D301" s="53"/>
      <c r="E301" s="1"/>
    </row>
    <row r="302" ht="14.25" customHeight="1">
      <c r="A302" s="52"/>
      <c r="B302" s="53"/>
      <c r="C302" s="53"/>
      <c r="D302" s="53"/>
      <c r="E302" s="1"/>
    </row>
    <row r="303" ht="14.25" customHeight="1">
      <c r="A303" s="52"/>
      <c r="B303" s="53"/>
      <c r="C303" s="53"/>
      <c r="D303" s="53"/>
      <c r="E303" s="1"/>
    </row>
    <row r="304" ht="14.25" customHeight="1">
      <c r="A304" s="52"/>
      <c r="B304" s="53"/>
      <c r="C304" s="53"/>
      <c r="D304" s="53"/>
      <c r="E304" s="1"/>
    </row>
    <row r="305" ht="14.25" customHeight="1">
      <c r="A305" s="52"/>
      <c r="B305" s="53"/>
      <c r="C305" s="53"/>
      <c r="D305" s="53"/>
      <c r="E305" s="1"/>
    </row>
    <row r="306" ht="14.25" customHeight="1">
      <c r="A306" s="52"/>
      <c r="B306" s="53"/>
      <c r="C306" s="53"/>
      <c r="D306" s="53"/>
      <c r="E306" s="1"/>
    </row>
    <row r="307" ht="14.25" customHeight="1">
      <c r="A307" s="52"/>
      <c r="B307" s="53"/>
      <c r="C307" s="53"/>
      <c r="D307" s="53"/>
      <c r="E307" s="1"/>
    </row>
    <row r="308" ht="14.25" customHeight="1">
      <c r="A308" s="52"/>
      <c r="B308" s="53"/>
      <c r="C308" s="53"/>
      <c r="D308" s="53"/>
      <c r="E308" s="1"/>
    </row>
    <row r="309" ht="14.25" customHeight="1">
      <c r="A309" s="52"/>
      <c r="B309" s="53"/>
      <c r="C309" s="53"/>
      <c r="D309" s="53"/>
      <c r="E309" s="1"/>
    </row>
    <row r="310" ht="14.25" customHeight="1">
      <c r="A310" s="52"/>
      <c r="B310" s="53"/>
      <c r="C310" s="53"/>
      <c r="D310" s="53"/>
      <c r="E310" s="1"/>
    </row>
    <row r="311" ht="14.25" customHeight="1">
      <c r="A311" s="52"/>
      <c r="B311" s="53"/>
      <c r="C311" s="53"/>
      <c r="D311" s="53"/>
      <c r="E311" s="1"/>
    </row>
    <row r="312" ht="14.25" customHeight="1">
      <c r="A312" s="52"/>
      <c r="B312" s="53"/>
      <c r="C312" s="53"/>
      <c r="D312" s="53"/>
      <c r="E312" s="1"/>
    </row>
    <row r="313" ht="14.25" customHeight="1">
      <c r="A313" s="52"/>
      <c r="B313" s="53"/>
      <c r="C313" s="53"/>
      <c r="D313" s="53"/>
      <c r="E313" s="1"/>
    </row>
    <row r="314" ht="14.25" customHeight="1">
      <c r="A314" s="52"/>
      <c r="B314" s="53"/>
      <c r="C314" s="53"/>
      <c r="D314" s="53"/>
      <c r="E314" s="1"/>
    </row>
    <row r="315" ht="14.25" customHeight="1">
      <c r="A315" s="52"/>
      <c r="B315" s="53"/>
      <c r="C315" s="53"/>
      <c r="D315" s="53"/>
      <c r="E315" s="1"/>
    </row>
    <row r="316" ht="14.25" customHeight="1">
      <c r="A316" s="52"/>
      <c r="B316" s="53"/>
      <c r="C316" s="53"/>
      <c r="D316" s="53"/>
      <c r="E316" s="1"/>
    </row>
    <row r="317" ht="14.25" customHeight="1">
      <c r="A317" s="52"/>
      <c r="B317" s="53"/>
      <c r="C317" s="53"/>
      <c r="D317" s="53"/>
      <c r="E317" s="1"/>
    </row>
    <row r="318" ht="14.25" customHeight="1">
      <c r="A318" s="52"/>
      <c r="B318" s="53"/>
      <c r="C318" s="53"/>
      <c r="D318" s="53"/>
      <c r="E318" s="1"/>
    </row>
    <row r="319" ht="14.25" customHeight="1">
      <c r="A319" s="52"/>
      <c r="B319" s="53"/>
      <c r="C319" s="53"/>
      <c r="D319" s="53"/>
      <c r="E319" s="1"/>
    </row>
    <row r="320" ht="14.25" customHeight="1">
      <c r="A320" s="52"/>
      <c r="B320" s="53"/>
      <c r="C320" s="53"/>
      <c r="D320" s="53"/>
      <c r="E320" s="1"/>
    </row>
    <row r="321" ht="14.25" customHeight="1">
      <c r="A321" s="52"/>
      <c r="B321" s="53"/>
      <c r="C321" s="53"/>
      <c r="D321" s="53"/>
      <c r="E321" s="1"/>
    </row>
    <row r="322" ht="14.25" customHeight="1">
      <c r="A322" s="52"/>
      <c r="B322" s="53"/>
      <c r="C322" s="53"/>
      <c r="D322" s="53"/>
      <c r="E322" s="1"/>
    </row>
    <row r="323" ht="14.25" customHeight="1">
      <c r="A323" s="52"/>
      <c r="B323" s="53"/>
      <c r="C323" s="53"/>
      <c r="D323" s="53"/>
      <c r="E323" s="1"/>
    </row>
    <row r="324" ht="14.25" customHeight="1">
      <c r="A324" s="52"/>
      <c r="B324" s="53"/>
      <c r="C324" s="53"/>
      <c r="D324" s="53"/>
      <c r="E324" s="1"/>
    </row>
    <row r="325" ht="14.25" customHeight="1">
      <c r="A325" s="52"/>
      <c r="B325" s="53"/>
      <c r="C325" s="53"/>
      <c r="D325" s="53"/>
      <c r="E325" s="1"/>
    </row>
    <row r="326" ht="14.25" customHeight="1">
      <c r="A326" s="52"/>
      <c r="B326" s="53"/>
      <c r="C326" s="53"/>
      <c r="D326" s="53"/>
      <c r="E326" s="1"/>
    </row>
    <row r="327" ht="14.25" customHeight="1">
      <c r="A327" s="52"/>
      <c r="B327" s="53"/>
      <c r="C327" s="53"/>
      <c r="D327" s="53"/>
      <c r="E327" s="1"/>
    </row>
    <row r="328" ht="14.25" customHeight="1">
      <c r="A328" s="52"/>
      <c r="B328" s="53"/>
      <c r="C328" s="53"/>
      <c r="D328" s="53"/>
      <c r="E328" s="1"/>
    </row>
    <row r="329" ht="14.25" customHeight="1">
      <c r="A329" s="52"/>
      <c r="B329" s="53"/>
      <c r="C329" s="53"/>
      <c r="D329" s="53"/>
      <c r="E329" s="1"/>
    </row>
    <row r="330" ht="14.25" customHeight="1">
      <c r="A330" s="52"/>
      <c r="B330" s="53"/>
      <c r="C330" s="53"/>
      <c r="D330" s="53"/>
      <c r="E330" s="1"/>
    </row>
    <row r="331" ht="14.25" customHeight="1">
      <c r="A331" s="52"/>
      <c r="B331" s="53"/>
      <c r="C331" s="53"/>
      <c r="D331" s="53"/>
      <c r="E331" s="1"/>
    </row>
    <row r="332" ht="14.25" customHeight="1">
      <c r="A332" s="52"/>
      <c r="B332" s="53"/>
      <c r="C332" s="53"/>
      <c r="D332" s="53"/>
      <c r="E332" s="1"/>
    </row>
    <row r="333" ht="14.25" customHeight="1">
      <c r="A333" s="52"/>
      <c r="B333" s="53"/>
      <c r="C333" s="53"/>
      <c r="D333" s="53"/>
      <c r="E333" s="1"/>
    </row>
    <row r="334" ht="14.25" customHeight="1">
      <c r="A334" s="52"/>
      <c r="B334" s="53"/>
      <c r="C334" s="53"/>
      <c r="D334" s="53"/>
      <c r="E334" s="1"/>
    </row>
    <row r="335" ht="14.25" customHeight="1">
      <c r="A335" s="52"/>
      <c r="B335" s="53"/>
      <c r="C335" s="53"/>
      <c r="D335" s="53"/>
      <c r="E335" s="1"/>
    </row>
    <row r="336" ht="14.25" customHeight="1">
      <c r="A336" s="52"/>
      <c r="B336" s="53"/>
      <c r="C336" s="53"/>
      <c r="D336" s="53"/>
      <c r="E336" s="1"/>
    </row>
    <row r="337" ht="14.25" customHeight="1">
      <c r="A337" s="52"/>
      <c r="B337" s="53"/>
      <c r="C337" s="53"/>
      <c r="D337" s="53"/>
      <c r="E337" s="1"/>
    </row>
    <row r="338" ht="14.25" customHeight="1">
      <c r="A338" s="52"/>
      <c r="B338" s="53"/>
      <c r="C338" s="53"/>
      <c r="D338" s="53"/>
      <c r="E338" s="1"/>
    </row>
    <row r="339" ht="14.25" customHeight="1">
      <c r="A339" s="52"/>
      <c r="B339" s="53"/>
      <c r="C339" s="53"/>
      <c r="D339" s="53"/>
      <c r="E339" s="1"/>
    </row>
    <row r="340" ht="14.25" customHeight="1">
      <c r="A340" s="52"/>
      <c r="B340" s="53"/>
      <c r="C340" s="53"/>
      <c r="D340" s="53"/>
      <c r="E340" s="1"/>
    </row>
    <row r="341" ht="14.25" customHeight="1">
      <c r="A341" s="52"/>
      <c r="B341" s="53"/>
      <c r="C341" s="53"/>
      <c r="D341" s="53"/>
      <c r="E341" s="1"/>
    </row>
    <row r="342" ht="14.25" customHeight="1">
      <c r="A342" s="52"/>
      <c r="B342" s="53"/>
      <c r="C342" s="53"/>
      <c r="D342" s="53"/>
      <c r="E342" s="1"/>
    </row>
    <row r="343" ht="14.25" customHeight="1">
      <c r="A343" s="52"/>
      <c r="B343" s="53"/>
      <c r="C343" s="53"/>
      <c r="D343" s="53"/>
      <c r="E343" s="1"/>
    </row>
    <row r="344" ht="14.25" customHeight="1">
      <c r="A344" s="52"/>
      <c r="B344" s="53"/>
      <c r="C344" s="53"/>
      <c r="D344" s="53"/>
      <c r="E344" s="1"/>
    </row>
    <row r="345" ht="14.25" customHeight="1">
      <c r="A345" s="52"/>
      <c r="B345" s="53"/>
      <c r="C345" s="53"/>
      <c r="D345" s="53"/>
      <c r="E345" s="1"/>
    </row>
    <row r="346" ht="14.25" customHeight="1">
      <c r="A346" s="52"/>
      <c r="B346" s="53"/>
      <c r="C346" s="53"/>
      <c r="D346" s="53"/>
      <c r="E346" s="1"/>
    </row>
    <row r="347" ht="14.25" customHeight="1">
      <c r="A347" s="52"/>
      <c r="B347" s="53"/>
      <c r="C347" s="53"/>
      <c r="D347" s="53"/>
      <c r="E347" s="1"/>
    </row>
    <row r="348" ht="14.25" customHeight="1">
      <c r="A348" s="52"/>
      <c r="B348" s="53"/>
      <c r="C348" s="53"/>
      <c r="D348" s="53"/>
      <c r="E348" s="1"/>
    </row>
    <row r="349" ht="14.25" customHeight="1">
      <c r="A349" s="52"/>
      <c r="B349" s="53"/>
      <c r="C349" s="53"/>
      <c r="D349" s="53"/>
      <c r="E349" s="1"/>
    </row>
    <row r="350" ht="14.25" customHeight="1">
      <c r="A350" s="52"/>
      <c r="B350" s="53"/>
      <c r="C350" s="53"/>
      <c r="D350" s="53"/>
      <c r="E350" s="1"/>
    </row>
    <row r="351" ht="14.25" customHeight="1">
      <c r="A351" s="52"/>
      <c r="B351" s="53"/>
      <c r="C351" s="53"/>
      <c r="D351" s="53"/>
      <c r="E351" s="1"/>
    </row>
    <row r="352" ht="14.25" customHeight="1">
      <c r="A352" s="52"/>
      <c r="B352" s="53"/>
      <c r="C352" s="53"/>
      <c r="D352" s="53"/>
      <c r="E352" s="1"/>
    </row>
    <row r="353" ht="14.25" customHeight="1">
      <c r="A353" s="52"/>
      <c r="B353" s="53"/>
      <c r="C353" s="53"/>
      <c r="D353" s="53"/>
      <c r="E353" s="1"/>
    </row>
    <row r="354" ht="14.25" customHeight="1">
      <c r="A354" s="52"/>
      <c r="B354" s="53"/>
      <c r="C354" s="53"/>
      <c r="D354" s="53"/>
      <c r="E354" s="1"/>
    </row>
    <row r="355" ht="14.25" customHeight="1">
      <c r="A355" s="52"/>
      <c r="B355" s="53"/>
      <c r="C355" s="53"/>
      <c r="D355" s="53"/>
      <c r="E355" s="1"/>
    </row>
    <row r="356" ht="14.25" customHeight="1">
      <c r="A356" s="52"/>
      <c r="B356" s="53"/>
      <c r="C356" s="53"/>
      <c r="D356" s="53"/>
      <c r="E356" s="1"/>
    </row>
    <row r="357" ht="14.25" customHeight="1">
      <c r="A357" s="52"/>
      <c r="B357" s="53"/>
      <c r="C357" s="53"/>
      <c r="D357" s="53"/>
      <c r="E357" s="1"/>
    </row>
    <row r="358" ht="14.25" customHeight="1">
      <c r="A358" s="52"/>
      <c r="B358" s="53"/>
      <c r="C358" s="53"/>
      <c r="D358" s="53"/>
      <c r="E358" s="1"/>
    </row>
    <row r="359" ht="14.25" customHeight="1">
      <c r="A359" s="52"/>
      <c r="B359" s="53"/>
      <c r="C359" s="53"/>
      <c r="D359" s="53"/>
      <c r="E359" s="1"/>
    </row>
    <row r="360" ht="14.25" customHeight="1">
      <c r="A360" s="52"/>
      <c r="B360" s="53"/>
      <c r="C360" s="53"/>
      <c r="D360" s="53"/>
      <c r="E360" s="1"/>
    </row>
    <row r="361" ht="14.25" customHeight="1">
      <c r="A361" s="52"/>
      <c r="B361" s="53"/>
      <c r="C361" s="53"/>
      <c r="D361" s="53"/>
      <c r="E361" s="1"/>
    </row>
    <row r="362" ht="14.25" customHeight="1">
      <c r="A362" s="52"/>
      <c r="B362" s="53"/>
      <c r="C362" s="53"/>
      <c r="D362" s="53"/>
      <c r="E362" s="1"/>
    </row>
    <row r="363" ht="14.25" customHeight="1">
      <c r="A363" s="52"/>
      <c r="B363" s="53"/>
      <c r="C363" s="53"/>
      <c r="D363" s="53"/>
      <c r="E363" s="1"/>
    </row>
    <row r="364" ht="14.25" customHeight="1">
      <c r="A364" s="52"/>
      <c r="B364" s="53"/>
      <c r="C364" s="53"/>
      <c r="D364" s="53"/>
      <c r="E364" s="1"/>
    </row>
    <row r="365" ht="14.25" customHeight="1">
      <c r="A365" s="52"/>
      <c r="B365" s="53"/>
      <c r="C365" s="53"/>
      <c r="D365" s="53"/>
      <c r="E365" s="1"/>
    </row>
    <row r="366" ht="14.25" customHeight="1">
      <c r="A366" s="52"/>
      <c r="B366" s="53"/>
      <c r="C366" s="53"/>
      <c r="D366" s="53"/>
      <c r="E366" s="1"/>
    </row>
    <row r="367" ht="14.25" customHeight="1">
      <c r="A367" s="52"/>
      <c r="B367" s="53"/>
      <c r="C367" s="53"/>
      <c r="D367" s="53"/>
      <c r="E367" s="1"/>
    </row>
    <row r="368" ht="14.25" customHeight="1">
      <c r="A368" s="52"/>
      <c r="B368" s="53"/>
      <c r="C368" s="53"/>
      <c r="D368" s="53"/>
      <c r="E368" s="1"/>
    </row>
    <row r="369" ht="14.25" customHeight="1">
      <c r="A369" s="52"/>
      <c r="B369" s="53"/>
      <c r="C369" s="53"/>
      <c r="D369" s="53"/>
      <c r="E369" s="1"/>
    </row>
    <row r="370" ht="14.25" customHeight="1">
      <c r="A370" s="52"/>
      <c r="B370" s="53"/>
      <c r="C370" s="53"/>
      <c r="D370" s="53"/>
      <c r="E370" s="1"/>
    </row>
    <row r="371" ht="14.25" customHeight="1">
      <c r="A371" s="52"/>
      <c r="B371" s="53"/>
      <c r="C371" s="53"/>
      <c r="D371" s="53"/>
      <c r="E371" s="1"/>
    </row>
    <row r="372" ht="14.25" customHeight="1">
      <c r="A372" s="52"/>
      <c r="B372" s="53"/>
      <c r="C372" s="53"/>
      <c r="D372" s="53"/>
      <c r="E372" s="1"/>
    </row>
    <row r="373" ht="14.25" customHeight="1">
      <c r="A373" s="52"/>
      <c r="B373" s="53"/>
      <c r="C373" s="53"/>
      <c r="D373" s="53"/>
      <c r="E373" s="1"/>
    </row>
    <row r="374" ht="14.25" customHeight="1">
      <c r="A374" s="52"/>
      <c r="B374" s="53"/>
      <c r="C374" s="53"/>
      <c r="D374" s="53"/>
      <c r="E374" s="1"/>
    </row>
    <row r="375" ht="14.25" customHeight="1">
      <c r="A375" s="52"/>
      <c r="B375" s="53"/>
      <c r="C375" s="53"/>
      <c r="D375" s="53"/>
      <c r="E375" s="1"/>
    </row>
    <row r="376" ht="14.25" customHeight="1">
      <c r="A376" s="52"/>
      <c r="B376" s="53"/>
      <c r="C376" s="53"/>
      <c r="D376" s="53"/>
      <c r="E376" s="1"/>
    </row>
    <row r="377" ht="14.25" customHeight="1">
      <c r="A377" s="52"/>
      <c r="B377" s="53"/>
      <c r="C377" s="53"/>
      <c r="D377" s="53"/>
      <c r="E377" s="1"/>
    </row>
    <row r="378" ht="14.25" customHeight="1">
      <c r="A378" s="52"/>
      <c r="B378" s="53"/>
      <c r="C378" s="53"/>
      <c r="D378" s="53"/>
      <c r="E378" s="1"/>
    </row>
    <row r="379" ht="14.25" customHeight="1">
      <c r="A379" s="52"/>
      <c r="B379" s="53"/>
      <c r="C379" s="53"/>
      <c r="D379" s="53"/>
      <c r="E379" s="1"/>
    </row>
    <row r="380" ht="14.25" customHeight="1">
      <c r="A380" s="52"/>
      <c r="B380" s="53"/>
      <c r="C380" s="53"/>
      <c r="D380" s="53"/>
      <c r="E380" s="1"/>
    </row>
    <row r="381" ht="14.25" customHeight="1">
      <c r="A381" s="52"/>
      <c r="B381" s="53"/>
      <c r="C381" s="53"/>
      <c r="D381" s="53"/>
      <c r="E381" s="1"/>
    </row>
    <row r="382" ht="14.25" customHeight="1">
      <c r="A382" s="52"/>
      <c r="B382" s="53"/>
      <c r="C382" s="53"/>
      <c r="D382" s="53"/>
      <c r="E382" s="1"/>
    </row>
    <row r="383" ht="14.25" customHeight="1">
      <c r="A383" s="52"/>
      <c r="B383" s="53"/>
      <c r="C383" s="53"/>
      <c r="D383" s="53"/>
      <c r="E383" s="1"/>
    </row>
    <row r="384" ht="14.25" customHeight="1">
      <c r="A384" s="52"/>
      <c r="B384" s="53"/>
      <c r="C384" s="53"/>
      <c r="D384" s="53"/>
      <c r="E384" s="1"/>
    </row>
    <row r="385" ht="14.25" customHeight="1">
      <c r="A385" s="52"/>
      <c r="B385" s="53"/>
      <c r="C385" s="53"/>
      <c r="D385" s="53"/>
      <c r="E385" s="1"/>
    </row>
    <row r="386" ht="14.25" customHeight="1">
      <c r="A386" s="52"/>
      <c r="B386" s="53"/>
      <c r="C386" s="53"/>
      <c r="D386" s="53"/>
      <c r="E386" s="1"/>
    </row>
    <row r="387" ht="14.25" customHeight="1">
      <c r="A387" s="52"/>
      <c r="B387" s="53"/>
      <c r="C387" s="53"/>
      <c r="D387" s="53"/>
      <c r="E387" s="1"/>
    </row>
    <row r="388" ht="14.25" customHeight="1">
      <c r="A388" s="52"/>
      <c r="B388" s="53"/>
      <c r="C388" s="53"/>
      <c r="D388" s="53"/>
      <c r="E388" s="1"/>
    </row>
    <row r="389" ht="14.25" customHeight="1">
      <c r="A389" s="52"/>
      <c r="B389" s="53"/>
      <c r="C389" s="53"/>
      <c r="D389" s="53"/>
      <c r="E389" s="1"/>
    </row>
    <row r="390" ht="14.25" customHeight="1">
      <c r="A390" s="52"/>
      <c r="B390" s="53"/>
      <c r="C390" s="53"/>
      <c r="D390" s="53"/>
      <c r="E390" s="1"/>
    </row>
    <row r="391" ht="14.25" customHeight="1">
      <c r="A391" s="52"/>
      <c r="B391" s="53"/>
      <c r="C391" s="53"/>
      <c r="D391" s="53"/>
      <c r="E391" s="1"/>
    </row>
    <row r="392" ht="14.25" customHeight="1">
      <c r="A392" s="52"/>
      <c r="B392" s="53"/>
      <c r="C392" s="53"/>
      <c r="D392" s="53"/>
      <c r="E392" s="1"/>
    </row>
    <row r="393" ht="14.25" customHeight="1">
      <c r="A393" s="52"/>
      <c r="B393" s="53"/>
      <c r="C393" s="53"/>
      <c r="D393" s="53"/>
      <c r="E393" s="1"/>
    </row>
    <row r="394" ht="14.25" customHeight="1">
      <c r="A394" s="52"/>
      <c r="B394" s="53"/>
      <c r="C394" s="53"/>
      <c r="D394" s="53"/>
      <c r="E394" s="1"/>
    </row>
    <row r="395" ht="14.25" customHeight="1">
      <c r="A395" s="52"/>
      <c r="B395" s="53"/>
      <c r="C395" s="53"/>
      <c r="D395" s="53"/>
      <c r="E395" s="1"/>
    </row>
    <row r="396" ht="14.25" customHeight="1">
      <c r="A396" s="52"/>
      <c r="B396" s="53"/>
      <c r="C396" s="53"/>
      <c r="D396" s="53"/>
      <c r="E396" s="1"/>
    </row>
    <row r="397" ht="14.25" customHeight="1">
      <c r="A397" s="52"/>
      <c r="B397" s="53"/>
      <c r="C397" s="53"/>
      <c r="D397" s="53"/>
      <c r="E397" s="1"/>
    </row>
    <row r="398" ht="14.25" customHeight="1">
      <c r="A398" s="52"/>
      <c r="B398" s="53"/>
      <c r="C398" s="53"/>
      <c r="D398" s="53"/>
      <c r="E398" s="1"/>
    </row>
    <row r="399" ht="14.25" customHeight="1">
      <c r="A399" s="52"/>
      <c r="B399" s="53"/>
      <c r="C399" s="53"/>
      <c r="D399" s="53"/>
      <c r="E399" s="1"/>
    </row>
    <row r="400" ht="14.25" customHeight="1">
      <c r="A400" s="52"/>
      <c r="B400" s="53"/>
      <c r="C400" s="53"/>
      <c r="D400" s="53"/>
      <c r="E400" s="1"/>
    </row>
    <row r="401" ht="14.25" customHeight="1">
      <c r="A401" s="52"/>
      <c r="B401" s="53"/>
      <c r="C401" s="53"/>
      <c r="D401" s="53"/>
      <c r="E401" s="1"/>
    </row>
    <row r="402" ht="14.25" customHeight="1">
      <c r="A402" s="52"/>
      <c r="B402" s="53"/>
      <c r="C402" s="53"/>
      <c r="D402" s="53"/>
      <c r="E402" s="1"/>
    </row>
    <row r="403" ht="14.25" customHeight="1">
      <c r="A403" s="52"/>
      <c r="B403" s="53"/>
      <c r="C403" s="53"/>
      <c r="D403" s="53"/>
      <c r="E403" s="1"/>
    </row>
    <row r="404" ht="14.25" customHeight="1">
      <c r="A404" s="52"/>
      <c r="B404" s="53"/>
      <c r="C404" s="53"/>
      <c r="D404" s="53"/>
      <c r="E404" s="1"/>
    </row>
    <row r="405" ht="14.25" customHeight="1">
      <c r="A405" s="52"/>
      <c r="B405" s="53"/>
      <c r="C405" s="53"/>
      <c r="D405" s="53"/>
      <c r="E405" s="1"/>
    </row>
    <row r="406" ht="14.25" customHeight="1">
      <c r="A406" s="52"/>
      <c r="B406" s="53"/>
      <c r="C406" s="53"/>
      <c r="D406" s="53"/>
      <c r="E406" s="1"/>
    </row>
    <row r="407" ht="14.25" customHeight="1">
      <c r="A407" s="52"/>
      <c r="B407" s="53"/>
      <c r="C407" s="53"/>
      <c r="D407" s="53"/>
      <c r="E407" s="1"/>
    </row>
    <row r="408" ht="14.25" customHeight="1">
      <c r="A408" s="52"/>
      <c r="B408" s="53"/>
      <c r="C408" s="53"/>
      <c r="D408" s="53"/>
      <c r="E408" s="1"/>
    </row>
    <row r="409" ht="14.25" customHeight="1">
      <c r="A409" s="52"/>
      <c r="B409" s="53"/>
      <c r="C409" s="53"/>
      <c r="D409" s="53"/>
      <c r="E409" s="1"/>
    </row>
    <row r="410" ht="14.25" customHeight="1">
      <c r="A410" s="52"/>
      <c r="B410" s="53"/>
      <c r="C410" s="53"/>
      <c r="D410" s="53"/>
      <c r="E410" s="1"/>
    </row>
    <row r="411" ht="14.25" customHeight="1">
      <c r="A411" s="52"/>
      <c r="B411" s="53"/>
      <c r="C411" s="53"/>
      <c r="D411" s="53"/>
      <c r="E411" s="1"/>
    </row>
    <row r="412" ht="14.25" customHeight="1">
      <c r="A412" s="52"/>
      <c r="B412" s="53"/>
      <c r="C412" s="53"/>
      <c r="D412" s="53"/>
      <c r="E412" s="1"/>
    </row>
    <row r="413" ht="14.25" customHeight="1">
      <c r="A413" s="52"/>
      <c r="B413" s="53"/>
      <c r="C413" s="53"/>
      <c r="D413" s="53"/>
      <c r="E413" s="1"/>
    </row>
    <row r="414" ht="14.25" customHeight="1">
      <c r="A414" s="52"/>
      <c r="B414" s="53"/>
      <c r="C414" s="53"/>
      <c r="D414" s="53"/>
      <c r="E414" s="1"/>
    </row>
    <row r="415" ht="14.25" customHeight="1">
      <c r="A415" s="52"/>
      <c r="B415" s="53"/>
      <c r="C415" s="53"/>
      <c r="D415" s="53"/>
      <c r="E415" s="1"/>
    </row>
    <row r="416" ht="14.25" customHeight="1">
      <c r="A416" s="52"/>
      <c r="B416" s="53"/>
      <c r="C416" s="53"/>
      <c r="D416" s="53"/>
      <c r="E416" s="1"/>
    </row>
    <row r="417" ht="14.25" customHeight="1">
      <c r="A417" s="52"/>
      <c r="B417" s="53"/>
      <c r="C417" s="53"/>
      <c r="D417" s="53"/>
      <c r="E417" s="1"/>
    </row>
    <row r="418" ht="14.25" customHeight="1">
      <c r="A418" s="52"/>
      <c r="B418" s="53"/>
      <c r="C418" s="53"/>
      <c r="D418" s="53"/>
      <c r="E418" s="1"/>
    </row>
    <row r="419" ht="14.25" customHeight="1">
      <c r="A419" s="52"/>
      <c r="B419" s="53"/>
      <c r="C419" s="53"/>
      <c r="D419" s="53"/>
      <c r="E419" s="1"/>
    </row>
    <row r="420" ht="14.25" customHeight="1">
      <c r="A420" s="52"/>
      <c r="B420" s="53"/>
      <c r="C420" s="53"/>
      <c r="D420" s="53"/>
      <c r="E420" s="1"/>
    </row>
    <row r="421" ht="14.25" customHeight="1">
      <c r="A421" s="52"/>
      <c r="B421" s="53"/>
      <c r="C421" s="53"/>
      <c r="D421" s="53"/>
      <c r="E421" s="1"/>
    </row>
    <row r="422" ht="14.25" customHeight="1">
      <c r="A422" s="52"/>
      <c r="B422" s="53"/>
      <c r="C422" s="53"/>
      <c r="D422" s="53"/>
      <c r="E422" s="1"/>
    </row>
    <row r="423" ht="14.25" customHeight="1">
      <c r="A423" s="52"/>
      <c r="B423" s="53"/>
      <c r="C423" s="53"/>
      <c r="D423" s="53"/>
      <c r="E423" s="1"/>
    </row>
    <row r="424" ht="14.25" customHeight="1">
      <c r="A424" s="52"/>
      <c r="B424" s="53"/>
      <c r="C424" s="53"/>
      <c r="D424" s="53"/>
      <c r="E424" s="1"/>
    </row>
    <row r="425" ht="14.25" customHeight="1">
      <c r="A425" s="52"/>
      <c r="B425" s="53"/>
      <c r="C425" s="53"/>
      <c r="D425" s="53"/>
      <c r="E425" s="1"/>
    </row>
    <row r="426" ht="14.25" customHeight="1">
      <c r="A426" s="52"/>
      <c r="B426" s="53"/>
      <c r="C426" s="53"/>
      <c r="D426" s="53"/>
      <c r="E426" s="1"/>
    </row>
    <row r="427" ht="14.25" customHeight="1">
      <c r="A427" s="52"/>
      <c r="B427" s="53"/>
      <c r="C427" s="53"/>
      <c r="D427" s="53"/>
      <c r="E427" s="1"/>
    </row>
    <row r="428" ht="14.25" customHeight="1">
      <c r="A428" s="52"/>
      <c r="B428" s="53"/>
      <c r="C428" s="53"/>
      <c r="D428" s="53"/>
      <c r="E428" s="1"/>
    </row>
    <row r="429" ht="14.25" customHeight="1">
      <c r="A429" s="52"/>
      <c r="B429" s="53"/>
      <c r="C429" s="53"/>
      <c r="D429" s="53"/>
      <c r="E429" s="1"/>
    </row>
    <row r="430" ht="14.25" customHeight="1">
      <c r="A430" s="52"/>
      <c r="B430" s="53"/>
      <c r="C430" s="53"/>
      <c r="D430" s="53"/>
      <c r="E430" s="1"/>
    </row>
    <row r="431" ht="14.25" customHeight="1">
      <c r="A431" s="52"/>
      <c r="B431" s="53"/>
      <c r="C431" s="53"/>
      <c r="D431" s="53"/>
      <c r="E431" s="1"/>
    </row>
    <row r="432" ht="14.25" customHeight="1">
      <c r="A432" s="52"/>
      <c r="B432" s="53"/>
      <c r="C432" s="53"/>
      <c r="D432" s="53"/>
      <c r="E432" s="1"/>
    </row>
    <row r="433" ht="14.25" customHeight="1">
      <c r="A433" s="52"/>
      <c r="B433" s="53"/>
      <c r="C433" s="53"/>
      <c r="D433" s="53"/>
      <c r="E433" s="1"/>
    </row>
    <row r="434" ht="14.25" customHeight="1">
      <c r="A434" s="52"/>
      <c r="B434" s="53"/>
      <c r="C434" s="53"/>
      <c r="D434" s="53"/>
      <c r="E434" s="1"/>
    </row>
    <row r="435" ht="14.25" customHeight="1">
      <c r="A435" s="52"/>
      <c r="B435" s="53"/>
      <c r="C435" s="53"/>
      <c r="D435" s="53"/>
      <c r="E435" s="1"/>
    </row>
    <row r="436" ht="14.25" customHeight="1">
      <c r="A436" s="52"/>
      <c r="B436" s="53"/>
      <c r="C436" s="53"/>
      <c r="D436" s="53"/>
      <c r="E436" s="1"/>
    </row>
    <row r="437" ht="14.25" customHeight="1">
      <c r="A437" s="52"/>
      <c r="B437" s="53"/>
      <c r="C437" s="53"/>
      <c r="D437" s="53"/>
      <c r="E437" s="1"/>
    </row>
    <row r="438" ht="14.25" customHeight="1">
      <c r="A438" s="52"/>
      <c r="B438" s="53"/>
      <c r="C438" s="53"/>
      <c r="D438" s="53"/>
      <c r="E438" s="1"/>
    </row>
    <row r="439" ht="14.25" customHeight="1">
      <c r="A439" s="52"/>
      <c r="B439" s="53"/>
      <c r="C439" s="53"/>
      <c r="D439" s="53"/>
      <c r="E439" s="1"/>
    </row>
    <row r="440" ht="14.25" customHeight="1">
      <c r="A440" s="52"/>
      <c r="B440" s="53"/>
      <c r="C440" s="53"/>
      <c r="D440" s="53"/>
      <c r="E440" s="1"/>
    </row>
    <row r="441" ht="14.25" customHeight="1">
      <c r="A441" s="52"/>
      <c r="B441" s="53"/>
      <c r="C441" s="53"/>
      <c r="D441" s="53"/>
      <c r="E441" s="1"/>
    </row>
    <row r="442" ht="14.25" customHeight="1">
      <c r="A442" s="52"/>
      <c r="B442" s="53"/>
      <c r="C442" s="53"/>
      <c r="D442" s="53"/>
      <c r="E442" s="1"/>
    </row>
    <row r="443" ht="14.25" customHeight="1">
      <c r="A443" s="52"/>
      <c r="B443" s="53"/>
      <c r="C443" s="53"/>
      <c r="D443" s="53"/>
      <c r="E443" s="1"/>
    </row>
    <row r="444" ht="14.25" customHeight="1">
      <c r="A444" s="52"/>
      <c r="B444" s="53"/>
      <c r="C444" s="53"/>
      <c r="D444" s="53"/>
      <c r="E444" s="1"/>
    </row>
    <row r="445" ht="14.25" customHeight="1">
      <c r="A445" s="52"/>
      <c r="B445" s="53"/>
      <c r="C445" s="53"/>
      <c r="D445" s="53"/>
      <c r="E445" s="1"/>
    </row>
    <row r="446" ht="14.25" customHeight="1">
      <c r="A446" s="52"/>
      <c r="B446" s="53"/>
      <c r="C446" s="53"/>
      <c r="D446" s="53"/>
      <c r="E446" s="1"/>
    </row>
    <row r="447" ht="14.25" customHeight="1">
      <c r="A447" s="52"/>
      <c r="B447" s="53"/>
      <c r="C447" s="53"/>
      <c r="D447" s="53"/>
      <c r="E447" s="1"/>
    </row>
    <row r="448" ht="14.25" customHeight="1">
      <c r="A448" s="52"/>
      <c r="B448" s="53"/>
      <c r="C448" s="53"/>
      <c r="D448" s="53"/>
      <c r="E448" s="1"/>
    </row>
    <row r="449" ht="14.25" customHeight="1">
      <c r="A449" s="52"/>
      <c r="B449" s="53"/>
      <c r="C449" s="53"/>
      <c r="D449" s="53"/>
      <c r="E449" s="1"/>
    </row>
    <row r="450" ht="14.25" customHeight="1">
      <c r="A450" s="52"/>
      <c r="B450" s="53"/>
      <c r="C450" s="53"/>
      <c r="D450" s="53"/>
      <c r="E450" s="1"/>
    </row>
    <row r="451" ht="14.25" customHeight="1">
      <c r="A451" s="52"/>
      <c r="B451" s="53"/>
      <c r="C451" s="53"/>
      <c r="D451" s="53"/>
      <c r="E451" s="1"/>
    </row>
    <row r="452" ht="14.25" customHeight="1">
      <c r="A452" s="52"/>
      <c r="B452" s="53"/>
      <c r="C452" s="53"/>
      <c r="D452" s="53"/>
      <c r="E452" s="1"/>
    </row>
    <row r="453" ht="14.25" customHeight="1">
      <c r="A453" s="52"/>
      <c r="B453" s="53"/>
      <c r="C453" s="53"/>
      <c r="D453" s="53"/>
      <c r="E453" s="1"/>
    </row>
    <row r="454" ht="14.25" customHeight="1">
      <c r="A454" s="52"/>
      <c r="B454" s="53"/>
      <c r="C454" s="53"/>
      <c r="D454" s="53"/>
      <c r="E454" s="1"/>
    </row>
    <row r="455" ht="14.25" customHeight="1">
      <c r="A455" s="52"/>
      <c r="B455" s="53"/>
      <c r="C455" s="53"/>
      <c r="D455" s="53"/>
      <c r="E455" s="1"/>
    </row>
    <row r="456" ht="14.25" customHeight="1">
      <c r="A456" s="52"/>
      <c r="B456" s="53"/>
      <c r="C456" s="53"/>
      <c r="D456" s="53"/>
      <c r="E456" s="1"/>
    </row>
    <row r="457" ht="14.25" customHeight="1">
      <c r="A457" s="52"/>
      <c r="B457" s="53"/>
      <c r="C457" s="53"/>
      <c r="D457" s="53"/>
      <c r="E457" s="1"/>
    </row>
    <row r="458" ht="14.25" customHeight="1">
      <c r="A458" s="52"/>
      <c r="B458" s="53"/>
      <c r="C458" s="53"/>
      <c r="D458" s="53"/>
      <c r="E458" s="1"/>
    </row>
    <row r="459" ht="14.25" customHeight="1">
      <c r="A459" s="52"/>
      <c r="B459" s="53"/>
      <c r="C459" s="53"/>
      <c r="D459" s="53"/>
      <c r="E459" s="1"/>
    </row>
    <row r="460" ht="14.25" customHeight="1">
      <c r="A460" s="52"/>
      <c r="B460" s="53"/>
      <c r="C460" s="53"/>
      <c r="D460" s="53"/>
      <c r="E460" s="1"/>
    </row>
    <row r="461" ht="14.25" customHeight="1">
      <c r="A461" s="52"/>
      <c r="B461" s="53"/>
      <c r="C461" s="53"/>
      <c r="D461" s="53"/>
      <c r="E461" s="1"/>
    </row>
    <row r="462" ht="14.25" customHeight="1">
      <c r="A462" s="52"/>
      <c r="B462" s="53"/>
      <c r="C462" s="53"/>
      <c r="D462" s="53"/>
      <c r="E462" s="1"/>
    </row>
    <row r="463" ht="14.25" customHeight="1">
      <c r="A463" s="52"/>
      <c r="B463" s="53"/>
      <c r="C463" s="53"/>
      <c r="D463" s="53"/>
      <c r="E463" s="1"/>
    </row>
    <row r="464" ht="14.25" customHeight="1">
      <c r="A464" s="52"/>
      <c r="B464" s="53"/>
      <c r="C464" s="53"/>
      <c r="D464" s="53"/>
      <c r="E464" s="1"/>
    </row>
    <row r="465" ht="14.25" customHeight="1">
      <c r="A465" s="52"/>
      <c r="B465" s="53"/>
      <c r="C465" s="53"/>
      <c r="D465" s="53"/>
      <c r="E465" s="1"/>
    </row>
    <row r="466" ht="14.25" customHeight="1">
      <c r="A466" s="52"/>
      <c r="B466" s="53"/>
      <c r="C466" s="53"/>
      <c r="D466" s="53"/>
      <c r="E466" s="1"/>
    </row>
    <row r="467" ht="14.25" customHeight="1">
      <c r="A467" s="52"/>
      <c r="B467" s="53"/>
      <c r="C467" s="53"/>
      <c r="D467" s="53"/>
      <c r="E467" s="1"/>
    </row>
    <row r="468" ht="14.25" customHeight="1">
      <c r="A468" s="52"/>
      <c r="B468" s="53"/>
      <c r="C468" s="53"/>
      <c r="D468" s="53"/>
      <c r="E468" s="1"/>
    </row>
    <row r="469" ht="14.25" customHeight="1">
      <c r="A469" s="52"/>
      <c r="B469" s="53"/>
      <c r="C469" s="53"/>
      <c r="D469" s="53"/>
      <c r="E469" s="1"/>
    </row>
    <row r="470" ht="14.25" customHeight="1">
      <c r="A470" s="52"/>
      <c r="B470" s="53"/>
      <c r="C470" s="53"/>
      <c r="D470" s="53"/>
      <c r="E470" s="1"/>
    </row>
    <row r="471" ht="14.25" customHeight="1">
      <c r="A471" s="52"/>
      <c r="B471" s="53"/>
      <c r="C471" s="53"/>
      <c r="D471" s="53"/>
      <c r="E471" s="1"/>
    </row>
    <row r="472" ht="14.25" customHeight="1">
      <c r="A472" s="52"/>
      <c r="B472" s="53"/>
      <c r="C472" s="53"/>
      <c r="D472" s="53"/>
      <c r="E472" s="1"/>
    </row>
    <row r="473" ht="14.25" customHeight="1">
      <c r="A473" s="52"/>
      <c r="B473" s="53"/>
      <c r="C473" s="53"/>
      <c r="D473" s="53"/>
      <c r="E473" s="1"/>
    </row>
    <row r="474" ht="14.25" customHeight="1">
      <c r="A474" s="52"/>
      <c r="B474" s="53"/>
      <c r="C474" s="53"/>
      <c r="D474" s="53"/>
      <c r="E474" s="1"/>
    </row>
    <row r="475" ht="14.25" customHeight="1">
      <c r="A475" s="52"/>
      <c r="B475" s="53"/>
      <c r="C475" s="53"/>
      <c r="D475" s="53"/>
      <c r="E475" s="1"/>
    </row>
    <row r="476" ht="14.25" customHeight="1">
      <c r="A476" s="52"/>
      <c r="B476" s="53"/>
      <c r="C476" s="53"/>
      <c r="D476" s="53"/>
      <c r="E476" s="1"/>
    </row>
    <row r="477" ht="14.25" customHeight="1">
      <c r="A477" s="52"/>
      <c r="B477" s="53"/>
      <c r="C477" s="53"/>
      <c r="D477" s="53"/>
      <c r="E477" s="1"/>
    </row>
    <row r="478" ht="14.25" customHeight="1">
      <c r="A478" s="52"/>
      <c r="B478" s="53"/>
      <c r="C478" s="53"/>
      <c r="D478" s="53"/>
      <c r="E478" s="1"/>
    </row>
    <row r="479" ht="14.25" customHeight="1">
      <c r="A479" s="52"/>
      <c r="B479" s="53"/>
      <c r="C479" s="53"/>
      <c r="D479" s="53"/>
      <c r="E479" s="1"/>
    </row>
    <row r="480" ht="14.25" customHeight="1">
      <c r="A480" s="52"/>
      <c r="B480" s="53"/>
      <c r="C480" s="53"/>
      <c r="D480" s="53"/>
      <c r="E480" s="1"/>
    </row>
    <row r="481" ht="14.25" customHeight="1">
      <c r="A481" s="52"/>
      <c r="B481" s="53"/>
      <c r="C481" s="53"/>
      <c r="D481" s="53"/>
      <c r="E481" s="1"/>
    </row>
    <row r="482" ht="14.25" customHeight="1">
      <c r="A482" s="52"/>
      <c r="B482" s="53"/>
      <c r="C482" s="53"/>
      <c r="D482" s="53"/>
      <c r="E482" s="1"/>
    </row>
    <row r="483" ht="14.25" customHeight="1">
      <c r="A483" s="52"/>
      <c r="B483" s="53"/>
      <c r="C483" s="53"/>
      <c r="D483" s="53"/>
      <c r="E483" s="1"/>
    </row>
    <row r="484" ht="14.25" customHeight="1">
      <c r="A484" s="52"/>
      <c r="B484" s="53"/>
      <c r="C484" s="53"/>
      <c r="D484" s="53"/>
      <c r="E484" s="1"/>
    </row>
    <row r="485" ht="14.25" customHeight="1">
      <c r="A485" s="52"/>
      <c r="B485" s="53"/>
      <c r="C485" s="53"/>
      <c r="D485" s="53"/>
      <c r="E485" s="1"/>
    </row>
    <row r="486" ht="14.25" customHeight="1">
      <c r="A486" s="52"/>
      <c r="B486" s="53"/>
      <c r="C486" s="53"/>
      <c r="D486" s="53"/>
      <c r="E486" s="1"/>
    </row>
    <row r="487" ht="14.25" customHeight="1">
      <c r="A487" s="52"/>
      <c r="B487" s="53"/>
      <c r="C487" s="53"/>
      <c r="D487" s="53"/>
      <c r="E487" s="1"/>
    </row>
    <row r="488" ht="14.25" customHeight="1">
      <c r="A488" s="52"/>
      <c r="B488" s="53"/>
      <c r="C488" s="53"/>
      <c r="D488" s="53"/>
      <c r="E488" s="1"/>
    </row>
    <row r="489" ht="14.25" customHeight="1">
      <c r="A489" s="52"/>
      <c r="B489" s="53"/>
      <c r="C489" s="53"/>
      <c r="D489" s="53"/>
      <c r="E489" s="1"/>
    </row>
    <row r="490" ht="14.25" customHeight="1">
      <c r="A490" s="52"/>
      <c r="B490" s="53"/>
      <c r="C490" s="53"/>
      <c r="D490" s="53"/>
      <c r="E490" s="1"/>
    </row>
    <row r="491" ht="14.25" customHeight="1">
      <c r="A491" s="52"/>
      <c r="B491" s="53"/>
      <c r="C491" s="53"/>
      <c r="D491" s="53"/>
      <c r="E491" s="1"/>
    </row>
    <row r="492" ht="14.25" customHeight="1">
      <c r="A492" s="52"/>
      <c r="B492" s="53"/>
      <c r="C492" s="53"/>
      <c r="D492" s="53"/>
      <c r="E492" s="1"/>
    </row>
    <row r="493" ht="14.25" customHeight="1">
      <c r="A493" s="52"/>
      <c r="B493" s="53"/>
      <c r="C493" s="53"/>
      <c r="D493" s="53"/>
      <c r="E493" s="1"/>
    </row>
    <row r="494" ht="14.25" customHeight="1">
      <c r="A494" s="52"/>
      <c r="B494" s="53"/>
      <c r="C494" s="53"/>
      <c r="D494" s="53"/>
      <c r="E494" s="1"/>
    </row>
    <row r="495" ht="14.25" customHeight="1">
      <c r="A495" s="52"/>
      <c r="B495" s="53"/>
      <c r="C495" s="53"/>
      <c r="D495" s="53"/>
      <c r="E495" s="1"/>
    </row>
    <row r="496" ht="14.25" customHeight="1">
      <c r="A496" s="52"/>
      <c r="B496" s="53"/>
      <c r="C496" s="53"/>
      <c r="D496" s="53"/>
      <c r="E496" s="1"/>
    </row>
    <row r="497" ht="14.25" customHeight="1">
      <c r="A497" s="52"/>
      <c r="B497" s="53"/>
      <c r="C497" s="53"/>
      <c r="D497" s="53"/>
      <c r="E497" s="1"/>
    </row>
    <row r="498" ht="14.25" customHeight="1">
      <c r="A498" s="52"/>
      <c r="B498" s="53"/>
      <c r="C498" s="53"/>
      <c r="D498" s="53"/>
      <c r="E498" s="1"/>
    </row>
    <row r="499" ht="14.25" customHeight="1">
      <c r="A499" s="52"/>
      <c r="B499" s="53"/>
      <c r="C499" s="53"/>
      <c r="D499" s="53"/>
      <c r="E499" s="1"/>
    </row>
    <row r="500" ht="14.25" customHeight="1">
      <c r="A500" s="52"/>
      <c r="B500" s="53"/>
      <c r="C500" s="53"/>
      <c r="D500" s="53"/>
      <c r="E500" s="1"/>
    </row>
    <row r="501" ht="14.25" customHeight="1">
      <c r="A501" s="52"/>
      <c r="B501" s="53"/>
      <c r="C501" s="53"/>
      <c r="D501" s="53"/>
      <c r="E501" s="1"/>
    </row>
    <row r="502" ht="14.25" customHeight="1">
      <c r="A502" s="52"/>
      <c r="B502" s="53"/>
      <c r="C502" s="53"/>
      <c r="D502" s="53"/>
      <c r="E502" s="1"/>
    </row>
    <row r="503" ht="14.25" customHeight="1">
      <c r="A503" s="52"/>
      <c r="B503" s="53"/>
      <c r="C503" s="53"/>
      <c r="D503" s="53"/>
      <c r="E503" s="1"/>
    </row>
    <row r="504" ht="14.25" customHeight="1">
      <c r="A504" s="52"/>
      <c r="B504" s="53"/>
      <c r="C504" s="53"/>
      <c r="D504" s="53"/>
      <c r="E504" s="1"/>
    </row>
    <row r="505" ht="14.25" customHeight="1">
      <c r="A505" s="52"/>
      <c r="B505" s="53"/>
      <c r="C505" s="53"/>
      <c r="D505" s="53"/>
      <c r="E505" s="1"/>
    </row>
    <row r="506" ht="14.25" customHeight="1">
      <c r="A506" s="52"/>
      <c r="B506" s="53"/>
      <c r="C506" s="53"/>
      <c r="D506" s="53"/>
      <c r="E506" s="1"/>
    </row>
    <row r="507" ht="14.25" customHeight="1">
      <c r="A507" s="52"/>
      <c r="B507" s="53"/>
      <c r="C507" s="53"/>
      <c r="D507" s="53"/>
      <c r="E507" s="1"/>
    </row>
    <row r="508" ht="14.25" customHeight="1">
      <c r="A508" s="52"/>
      <c r="B508" s="53"/>
      <c r="C508" s="53"/>
      <c r="D508" s="53"/>
      <c r="E508" s="1"/>
    </row>
    <row r="509" ht="14.25" customHeight="1">
      <c r="A509" s="52"/>
      <c r="B509" s="53"/>
      <c r="C509" s="53"/>
      <c r="D509" s="53"/>
      <c r="E509" s="1"/>
    </row>
    <row r="510" ht="14.25" customHeight="1">
      <c r="A510" s="52"/>
      <c r="B510" s="53"/>
      <c r="C510" s="53"/>
      <c r="D510" s="53"/>
      <c r="E510" s="1"/>
    </row>
    <row r="511" ht="14.25" customHeight="1">
      <c r="A511" s="52"/>
      <c r="B511" s="53"/>
      <c r="C511" s="53"/>
      <c r="D511" s="53"/>
      <c r="E511" s="1"/>
    </row>
    <row r="512" ht="14.25" customHeight="1">
      <c r="A512" s="52"/>
      <c r="B512" s="53"/>
      <c r="C512" s="53"/>
      <c r="D512" s="53"/>
      <c r="E512" s="1"/>
    </row>
    <row r="513" ht="14.25" customHeight="1">
      <c r="A513" s="52"/>
      <c r="B513" s="53"/>
      <c r="C513" s="53"/>
      <c r="D513" s="53"/>
      <c r="E513" s="1"/>
    </row>
    <row r="514" ht="14.25" customHeight="1">
      <c r="A514" s="52"/>
      <c r="B514" s="53"/>
      <c r="C514" s="53"/>
      <c r="D514" s="53"/>
      <c r="E514" s="1"/>
    </row>
    <row r="515" ht="14.25" customHeight="1">
      <c r="A515" s="52"/>
      <c r="B515" s="53"/>
      <c r="C515" s="53"/>
      <c r="D515" s="53"/>
      <c r="E515" s="1"/>
    </row>
    <row r="516" ht="14.25" customHeight="1">
      <c r="A516" s="52"/>
      <c r="B516" s="53"/>
      <c r="C516" s="53"/>
      <c r="D516" s="53"/>
      <c r="E516" s="1"/>
    </row>
    <row r="517" ht="14.25" customHeight="1">
      <c r="A517" s="52"/>
      <c r="B517" s="53"/>
      <c r="C517" s="53"/>
      <c r="D517" s="53"/>
      <c r="E517" s="1"/>
    </row>
    <row r="518" ht="14.25" customHeight="1">
      <c r="A518" s="52"/>
      <c r="B518" s="53"/>
      <c r="C518" s="53"/>
      <c r="D518" s="53"/>
      <c r="E518" s="1"/>
    </row>
    <row r="519" ht="14.25" customHeight="1">
      <c r="A519" s="52"/>
      <c r="B519" s="53"/>
      <c r="C519" s="53"/>
      <c r="D519" s="53"/>
      <c r="E519" s="1"/>
    </row>
    <row r="520" ht="14.25" customHeight="1">
      <c r="A520" s="52"/>
      <c r="B520" s="53"/>
      <c r="C520" s="53"/>
      <c r="D520" s="53"/>
      <c r="E520" s="1"/>
    </row>
    <row r="521" ht="14.25" customHeight="1">
      <c r="A521" s="52"/>
      <c r="B521" s="53"/>
      <c r="C521" s="53"/>
      <c r="D521" s="53"/>
      <c r="E521" s="1"/>
    </row>
    <row r="522" ht="14.25" customHeight="1">
      <c r="A522" s="52"/>
      <c r="B522" s="53"/>
      <c r="C522" s="53"/>
      <c r="D522" s="53"/>
      <c r="E522" s="1"/>
    </row>
    <row r="523" ht="14.25" customHeight="1">
      <c r="A523" s="52"/>
      <c r="B523" s="53"/>
      <c r="C523" s="53"/>
      <c r="D523" s="53"/>
      <c r="E523" s="1"/>
    </row>
    <row r="524" ht="14.25" customHeight="1">
      <c r="A524" s="52"/>
      <c r="B524" s="53"/>
      <c r="C524" s="53"/>
      <c r="D524" s="53"/>
      <c r="E524" s="1"/>
    </row>
    <row r="525" ht="14.25" customHeight="1">
      <c r="A525" s="52"/>
      <c r="B525" s="53"/>
      <c r="C525" s="53"/>
      <c r="D525" s="53"/>
      <c r="E525" s="1"/>
    </row>
    <row r="526" ht="14.25" customHeight="1">
      <c r="A526" s="52"/>
      <c r="B526" s="53"/>
      <c r="C526" s="53"/>
      <c r="D526" s="53"/>
      <c r="E526" s="1"/>
    </row>
    <row r="527" ht="14.25" customHeight="1">
      <c r="A527" s="52"/>
      <c r="B527" s="53"/>
      <c r="C527" s="53"/>
      <c r="D527" s="53"/>
      <c r="E527" s="1"/>
    </row>
    <row r="528" ht="14.25" customHeight="1">
      <c r="A528" s="52"/>
      <c r="B528" s="53"/>
      <c r="C528" s="53"/>
      <c r="D528" s="53"/>
      <c r="E528" s="1"/>
    </row>
    <row r="529" ht="14.25" customHeight="1">
      <c r="A529" s="52"/>
      <c r="B529" s="53"/>
      <c r="C529" s="53"/>
      <c r="D529" s="53"/>
      <c r="E529" s="1"/>
    </row>
    <row r="530" ht="14.25" customHeight="1">
      <c r="A530" s="52"/>
      <c r="B530" s="53"/>
      <c r="C530" s="53"/>
      <c r="D530" s="53"/>
      <c r="E530" s="1"/>
    </row>
    <row r="531" ht="14.25" customHeight="1">
      <c r="A531" s="52"/>
      <c r="B531" s="53"/>
      <c r="C531" s="53"/>
      <c r="D531" s="53"/>
      <c r="E531" s="1"/>
    </row>
    <row r="532" ht="14.25" customHeight="1">
      <c r="A532" s="52"/>
      <c r="B532" s="53"/>
      <c r="C532" s="53"/>
      <c r="D532" s="53"/>
      <c r="E532" s="1"/>
    </row>
    <row r="533" ht="14.25" customHeight="1">
      <c r="A533" s="52"/>
      <c r="B533" s="53"/>
      <c r="C533" s="53"/>
      <c r="D533" s="53"/>
      <c r="E533" s="1"/>
    </row>
    <row r="534" ht="14.25" customHeight="1">
      <c r="A534" s="52"/>
      <c r="B534" s="53"/>
      <c r="C534" s="53"/>
      <c r="D534" s="53"/>
      <c r="E534" s="1"/>
    </row>
    <row r="535" ht="14.25" customHeight="1">
      <c r="A535" s="52"/>
      <c r="B535" s="53"/>
      <c r="C535" s="53"/>
      <c r="D535" s="53"/>
      <c r="E535" s="1"/>
    </row>
    <row r="536" ht="14.25" customHeight="1">
      <c r="A536" s="52"/>
      <c r="B536" s="53"/>
      <c r="C536" s="53"/>
      <c r="D536" s="53"/>
      <c r="E536" s="1"/>
    </row>
    <row r="537" ht="14.25" customHeight="1">
      <c r="A537" s="52"/>
      <c r="B537" s="53"/>
      <c r="C537" s="53"/>
      <c r="D537" s="53"/>
      <c r="E537" s="1"/>
    </row>
    <row r="538" ht="14.25" customHeight="1">
      <c r="A538" s="52"/>
      <c r="B538" s="53"/>
      <c r="C538" s="53"/>
      <c r="D538" s="53"/>
      <c r="E538" s="1"/>
    </row>
    <row r="539" ht="14.25" customHeight="1">
      <c r="A539" s="52"/>
      <c r="B539" s="53"/>
      <c r="C539" s="53"/>
      <c r="D539" s="53"/>
      <c r="E539" s="1"/>
    </row>
    <row r="540" ht="14.25" customHeight="1">
      <c r="A540" s="52"/>
      <c r="B540" s="53"/>
      <c r="C540" s="53"/>
      <c r="D540" s="53"/>
      <c r="E540" s="1"/>
    </row>
    <row r="541" ht="14.25" customHeight="1">
      <c r="A541" s="52"/>
      <c r="B541" s="53"/>
      <c r="C541" s="53"/>
      <c r="D541" s="53"/>
      <c r="E541" s="1"/>
    </row>
    <row r="542" ht="14.25" customHeight="1">
      <c r="A542" s="52"/>
      <c r="B542" s="53"/>
      <c r="C542" s="53"/>
      <c r="D542" s="53"/>
      <c r="E542" s="1"/>
    </row>
    <row r="543" ht="14.25" customHeight="1">
      <c r="A543" s="52"/>
      <c r="B543" s="53"/>
      <c r="C543" s="53"/>
      <c r="D543" s="53"/>
      <c r="E543" s="1"/>
    </row>
    <row r="544" ht="14.25" customHeight="1">
      <c r="A544" s="52"/>
      <c r="B544" s="53"/>
      <c r="C544" s="53"/>
      <c r="D544" s="53"/>
      <c r="E544" s="1"/>
    </row>
    <row r="545" ht="14.25" customHeight="1">
      <c r="A545" s="52"/>
      <c r="B545" s="53"/>
      <c r="C545" s="53"/>
      <c r="D545" s="53"/>
      <c r="E545" s="1"/>
    </row>
    <row r="546" ht="14.25" customHeight="1">
      <c r="A546" s="52"/>
      <c r="B546" s="53"/>
      <c r="C546" s="53"/>
      <c r="D546" s="53"/>
      <c r="E546" s="1"/>
    </row>
    <row r="547" ht="14.25" customHeight="1">
      <c r="A547" s="52"/>
      <c r="B547" s="53"/>
      <c r="C547" s="53"/>
      <c r="D547" s="53"/>
      <c r="E547" s="1"/>
    </row>
    <row r="548" ht="14.25" customHeight="1">
      <c r="A548" s="52"/>
      <c r="B548" s="53"/>
      <c r="C548" s="53"/>
      <c r="D548" s="53"/>
      <c r="E548" s="1"/>
    </row>
    <row r="549" ht="14.25" customHeight="1">
      <c r="A549" s="52"/>
      <c r="B549" s="53"/>
      <c r="C549" s="53"/>
      <c r="D549" s="53"/>
      <c r="E549" s="1"/>
    </row>
    <row r="550" ht="14.25" customHeight="1">
      <c r="A550" s="52"/>
      <c r="B550" s="53"/>
      <c r="C550" s="53"/>
      <c r="D550" s="53"/>
      <c r="E550" s="1"/>
    </row>
    <row r="551" ht="14.25" customHeight="1">
      <c r="A551" s="52"/>
      <c r="B551" s="53"/>
      <c r="C551" s="53"/>
      <c r="D551" s="53"/>
      <c r="E551" s="1"/>
    </row>
    <row r="552" ht="14.25" customHeight="1">
      <c r="A552" s="52"/>
      <c r="B552" s="53"/>
      <c r="C552" s="53"/>
      <c r="D552" s="53"/>
      <c r="E552" s="1"/>
    </row>
    <row r="553" ht="14.25" customHeight="1">
      <c r="A553" s="52"/>
      <c r="B553" s="53"/>
      <c r="C553" s="53"/>
      <c r="D553" s="53"/>
      <c r="E553" s="1"/>
    </row>
    <row r="554" ht="14.25" customHeight="1">
      <c r="A554" s="52"/>
      <c r="B554" s="53"/>
      <c r="C554" s="53"/>
      <c r="D554" s="53"/>
      <c r="E554" s="1"/>
    </row>
    <row r="555" ht="14.25" customHeight="1">
      <c r="A555" s="52"/>
      <c r="B555" s="53"/>
      <c r="C555" s="53"/>
      <c r="D555" s="53"/>
      <c r="E555" s="1"/>
    </row>
    <row r="556" ht="14.25" customHeight="1">
      <c r="A556" s="52"/>
      <c r="B556" s="53"/>
      <c r="C556" s="53"/>
      <c r="D556" s="53"/>
      <c r="E556" s="1"/>
    </row>
    <row r="557" ht="14.25" customHeight="1">
      <c r="A557" s="52"/>
      <c r="B557" s="53"/>
      <c r="C557" s="53"/>
      <c r="D557" s="53"/>
      <c r="E557" s="1"/>
    </row>
    <row r="558" ht="14.25" customHeight="1">
      <c r="A558" s="52"/>
      <c r="B558" s="53"/>
      <c r="C558" s="53"/>
      <c r="D558" s="53"/>
      <c r="E558" s="1"/>
    </row>
    <row r="559" ht="14.25" customHeight="1">
      <c r="A559" s="52"/>
      <c r="B559" s="53"/>
      <c r="C559" s="53"/>
      <c r="D559" s="53"/>
      <c r="E559" s="1"/>
    </row>
    <row r="560" ht="14.25" customHeight="1">
      <c r="A560" s="52"/>
      <c r="B560" s="53"/>
      <c r="C560" s="53"/>
      <c r="D560" s="53"/>
      <c r="E560" s="1"/>
    </row>
    <row r="561" ht="14.25" customHeight="1">
      <c r="A561" s="52"/>
      <c r="B561" s="53"/>
      <c r="C561" s="53"/>
      <c r="D561" s="53"/>
      <c r="E561" s="1"/>
    </row>
    <row r="562" ht="14.25" customHeight="1">
      <c r="A562" s="52"/>
      <c r="B562" s="53"/>
      <c r="C562" s="53"/>
      <c r="D562" s="53"/>
      <c r="E562" s="1"/>
    </row>
    <row r="563" ht="14.25" customHeight="1">
      <c r="A563" s="52"/>
      <c r="B563" s="53"/>
      <c r="C563" s="53"/>
      <c r="D563" s="53"/>
      <c r="E563" s="1"/>
    </row>
    <row r="564" ht="14.25" customHeight="1">
      <c r="A564" s="52"/>
      <c r="B564" s="53"/>
      <c r="C564" s="53"/>
      <c r="D564" s="53"/>
      <c r="E564" s="1"/>
    </row>
    <row r="565" ht="14.25" customHeight="1">
      <c r="A565" s="52"/>
      <c r="B565" s="53"/>
      <c r="C565" s="53"/>
      <c r="D565" s="53"/>
      <c r="E565" s="1"/>
    </row>
    <row r="566" ht="14.25" customHeight="1">
      <c r="A566" s="52"/>
      <c r="B566" s="53"/>
      <c r="C566" s="53"/>
      <c r="D566" s="53"/>
      <c r="E566" s="1"/>
    </row>
    <row r="567" ht="14.25" customHeight="1">
      <c r="A567" s="52"/>
      <c r="B567" s="53"/>
      <c r="C567" s="53"/>
      <c r="D567" s="53"/>
      <c r="E567" s="1"/>
    </row>
    <row r="568" ht="14.25" customHeight="1">
      <c r="A568" s="52"/>
      <c r="B568" s="53"/>
      <c r="C568" s="53"/>
      <c r="D568" s="53"/>
      <c r="E568" s="1"/>
    </row>
    <row r="569" ht="14.25" customHeight="1">
      <c r="A569" s="52"/>
      <c r="B569" s="53"/>
      <c r="C569" s="53"/>
      <c r="D569" s="53"/>
      <c r="E569" s="1"/>
    </row>
    <row r="570" ht="14.25" customHeight="1">
      <c r="A570" s="52"/>
      <c r="B570" s="53"/>
      <c r="C570" s="53"/>
      <c r="D570" s="53"/>
      <c r="E570" s="1"/>
    </row>
    <row r="571" ht="14.25" customHeight="1">
      <c r="A571" s="52"/>
      <c r="B571" s="53"/>
      <c r="C571" s="53"/>
      <c r="D571" s="53"/>
      <c r="E571" s="1"/>
    </row>
    <row r="572" ht="14.25" customHeight="1">
      <c r="A572" s="52"/>
      <c r="B572" s="53"/>
      <c r="C572" s="53"/>
      <c r="D572" s="53"/>
      <c r="E572" s="1"/>
    </row>
    <row r="573" ht="14.25" customHeight="1">
      <c r="A573" s="52"/>
      <c r="B573" s="53"/>
      <c r="C573" s="53"/>
      <c r="D573" s="53"/>
      <c r="E573" s="1"/>
    </row>
    <row r="574" ht="14.25" customHeight="1">
      <c r="A574" s="52"/>
      <c r="B574" s="53"/>
      <c r="C574" s="53"/>
      <c r="D574" s="53"/>
      <c r="E574" s="1"/>
    </row>
    <row r="575" ht="14.25" customHeight="1">
      <c r="A575" s="52"/>
      <c r="B575" s="53"/>
      <c r="C575" s="53"/>
      <c r="D575" s="53"/>
      <c r="E575" s="1"/>
    </row>
    <row r="576" ht="14.25" customHeight="1">
      <c r="A576" s="52"/>
      <c r="B576" s="53"/>
      <c r="C576" s="53"/>
      <c r="D576" s="53"/>
      <c r="E576" s="1"/>
    </row>
    <row r="577" ht="14.25" customHeight="1">
      <c r="A577" s="52"/>
      <c r="B577" s="53"/>
      <c r="C577" s="53"/>
      <c r="D577" s="53"/>
      <c r="E577" s="1"/>
    </row>
    <row r="578" ht="14.25" customHeight="1">
      <c r="A578" s="52"/>
      <c r="B578" s="53"/>
      <c r="C578" s="53"/>
      <c r="D578" s="53"/>
      <c r="E578" s="1"/>
    </row>
    <row r="579" ht="14.25" customHeight="1">
      <c r="A579" s="52"/>
      <c r="B579" s="53"/>
      <c r="C579" s="53"/>
      <c r="D579" s="53"/>
      <c r="E579" s="1"/>
    </row>
    <row r="580" ht="14.25" customHeight="1">
      <c r="A580" s="52"/>
      <c r="B580" s="53"/>
      <c r="C580" s="53"/>
      <c r="D580" s="53"/>
      <c r="E580" s="1"/>
    </row>
    <row r="581" ht="14.25" customHeight="1">
      <c r="A581" s="52"/>
      <c r="B581" s="53"/>
      <c r="C581" s="53"/>
      <c r="D581" s="53"/>
      <c r="E581" s="1"/>
    </row>
    <row r="582" ht="14.25" customHeight="1">
      <c r="A582" s="52"/>
      <c r="B582" s="53"/>
      <c r="C582" s="53"/>
      <c r="D582" s="53"/>
      <c r="E582" s="1"/>
    </row>
    <row r="583" ht="14.25" customHeight="1">
      <c r="A583" s="52"/>
      <c r="B583" s="53"/>
      <c r="C583" s="53"/>
      <c r="D583" s="53"/>
      <c r="E583" s="1"/>
    </row>
    <row r="584" ht="14.25" customHeight="1">
      <c r="A584" s="52"/>
      <c r="B584" s="53"/>
      <c r="C584" s="53"/>
      <c r="D584" s="53"/>
      <c r="E584" s="1"/>
    </row>
    <row r="585" ht="14.25" customHeight="1">
      <c r="A585" s="52"/>
      <c r="B585" s="53"/>
      <c r="C585" s="53"/>
      <c r="D585" s="53"/>
      <c r="E585" s="1"/>
    </row>
    <row r="586" ht="14.25" customHeight="1">
      <c r="A586" s="52"/>
      <c r="B586" s="53"/>
      <c r="C586" s="53"/>
      <c r="D586" s="53"/>
      <c r="E586" s="1"/>
    </row>
    <row r="587" ht="14.25" customHeight="1">
      <c r="A587" s="52"/>
      <c r="B587" s="53"/>
      <c r="C587" s="53"/>
      <c r="D587" s="53"/>
      <c r="E587" s="1"/>
    </row>
    <row r="588" ht="14.25" customHeight="1">
      <c r="A588" s="52"/>
      <c r="B588" s="53"/>
      <c r="C588" s="53"/>
      <c r="D588" s="53"/>
      <c r="E588" s="1"/>
    </row>
    <row r="589" ht="14.25" customHeight="1">
      <c r="A589" s="52"/>
      <c r="B589" s="53"/>
      <c r="C589" s="53"/>
      <c r="D589" s="53"/>
      <c r="E589" s="1"/>
    </row>
    <row r="590" ht="14.25" customHeight="1">
      <c r="A590" s="52"/>
      <c r="B590" s="53"/>
      <c r="C590" s="53"/>
      <c r="D590" s="53"/>
      <c r="E590" s="1"/>
    </row>
    <row r="591" ht="14.25" customHeight="1">
      <c r="A591" s="52"/>
      <c r="B591" s="53"/>
      <c r="C591" s="53"/>
      <c r="D591" s="53"/>
      <c r="E591" s="1"/>
    </row>
    <row r="592" ht="14.25" customHeight="1">
      <c r="A592" s="52"/>
      <c r="B592" s="53"/>
      <c r="C592" s="53"/>
      <c r="D592" s="53"/>
      <c r="E592" s="1"/>
    </row>
    <row r="593" ht="14.25" customHeight="1">
      <c r="A593" s="52"/>
      <c r="B593" s="53"/>
      <c r="C593" s="53"/>
      <c r="D593" s="53"/>
      <c r="E593" s="1"/>
    </row>
    <row r="594" ht="14.25" customHeight="1">
      <c r="A594" s="52"/>
      <c r="B594" s="53"/>
      <c r="C594" s="53"/>
      <c r="D594" s="53"/>
      <c r="E594" s="1"/>
    </row>
    <row r="595" ht="14.25" customHeight="1">
      <c r="A595" s="52"/>
      <c r="B595" s="53"/>
      <c r="C595" s="53"/>
      <c r="D595" s="53"/>
      <c r="E595" s="1"/>
    </row>
    <row r="596" ht="14.25" customHeight="1">
      <c r="A596" s="52"/>
      <c r="B596" s="53"/>
      <c r="C596" s="53"/>
      <c r="D596" s="53"/>
      <c r="E596" s="1"/>
    </row>
    <row r="597" ht="14.25" customHeight="1">
      <c r="A597" s="52"/>
      <c r="B597" s="53"/>
      <c r="C597" s="53"/>
      <c r="D597" s="53"/>
      <c r="E597" s="1"/>
    </row>
    <row r="598" ht="14.25" customHeight="1">
      <c r="A598" s="52"/>
      <c r="B598" s="53"/>
      <c r="C598" s="53"/>
      <c r="D598" s="53"/>
      <c r="E598" s="1"/>
    </row>
    <row r="599" ht="14.25" customHeight="1">
      <c r="A599" s="52"/>
      <c r="B599" s="53"/>
      <c r="C599" s="53"/>
      <c r="D599" s="53"/>
      <c r="E599" s="1"/>
    </row>
    <row r="600" ht="14.25" customHeight="1">
      <c r="A600" s="52"/>
      <c r="B600" s="53"/>
      <c r="C600" s="53"/>
      <c r="D600" s="53"/>
      <c r="E600" s="1"/>
    </row>
    <row r="601" ht="14.25" customHeight="1">
      <c r="A601" s="52"/>
      <c r="B601" s="53"/>
      <c r="C601" s="53"/>
      <c r="D601" s="53"/>
      <c r="E601" s="1"/>
    </row>
    <row r="602" ht="14.25" customHeight="1">
      <c r="A602" s="52"/>
      <c r="B602" s="53"/>
      <c r="C602" s="53"/>
      <c r="D602" s="53"/>
      <c r="E602" s="1"/>
    </row>
    <row r="603" ht="14.25" customHeight="1">
      <c r="A603" s="52"/>
      <c r="B603" s="53"/>
      <c r="C603" s="53"/>
      <c r="D603" s="53"/>
      <c r="E603" s="1"/>
    </row>
    <row r="604" ht="14.25" customHeight="1">
      <c r="A604" s="52"/>
      <c r="B604" s="53"/>
      <c r="C604" s="53"/>
      <c r="D604" s="53"/>
      <c r="E604" s="1"/>
    </row>
    <row r="605" ht="14.25" customHeight="1">
      <c r="A605" s="52"/>
      <c r="B605" s="53"/>
      <c r="C605" s="53"/>
      <c r="D605" s="53"/>
      <c r="E605" s="1"/>
    </row>
    <row r="606" ht="14.25" customHeight="1">
      <c r="A606" s="52"/>
      <c r="B606" s="53"/>
      <c r="C606" s="53"/>
      <c r="D606" s="53"/>
      <c r="E606" s="1"/>
    </row>
    <row r="607" ht="14.25" customHeight="1">
      <c r="A607" s="52"/>
      <c r="B607" s="53"/>
      <c r="C607" s="53"/>
      <c r="D607" s="53"/>
      <c r="E607" s="1"/>
    </row>
    <row r="608" ht="14.25" customHeight="1">
      <c r="A608" s="52"/>
      <c r="B608" s="53"/>
      <c r="C608" s="53"/>
      <c r="D608" s="53"/>
      <c r="E608" s="1"/>
    </row>
    <row r="609" ht="14.25" customHeight="1">
      <c r="A609" s="52"/>
      <c r="B609" s="53"/>
      <c r="C609" s="53"/>
      <c r="D609" s="53"/>
      <c r="E609" s="1"/>
    </row>
    <row r="610" ht="14.25" customHeight="1">
      <c r="A610" s="52"/>
      <c r="B610" s="53"/>
      <c r="C610" s="53"/>
      <c r="D610" s="53"/>
      <c r="E610" s="1"/>
    </row>
    <row r="611" ht="14.25" customHeight="1">
      <c r="A611" s="52"/>
      <c r="B611" s="53"/>
      <c r="C611" s="53"/>
      <c r="D611" s="53"/>
      <c r="E611" s="1"/>
    </row>
    <row r="612" ht="14.25" customHeight="1">
      <c r="A612" s="52"/>
      <c r="B612" s="53"/>
      <c r="C612" s="53"/>
      <c r="D612" s="53"/>
      <c r="E612" s="1"/>
    </row>
    <row r="613" ht="14.25" customHeight="1">
      <c r="A613" s="52"/>
      <c r="B613" s="53"/>
      <c r="C613" s="53"/>
      <c r="D613" s="53"/>
      <c r="E613" s="1"/>
    </row>
    <row r="614" ht="14.25" customHeight="1">
      <c r="A614" s="52"/>
      <c r="B614" s="53"/>
      <c r="C614" s="53"/>
      <c r="D614" s="53"/>
      <c r="E614" s="1"/>
    </row>
    <row r="615" ht="14.25" customHeight="1">
      <c r="A615" s="52"/>
      <c r="B615" s="53"/>
      <c r="C615" s="53"/>
      <c r="D615" s="53"/>
      <c r="E615" s="1"/>
    </row>
    <row r="616" ht="14.25" customHeight="1">
      <c r="A616" s="52"/>
      <c r="B616" s="53"/>
      <c r="C616" s="53"/>
      <c r="D616" s="53"/>
      <c r="E616" s="1"/>
    </row>
    <row r="617" ht="14.25" customHeight="1">
      <c r="A617" s="52"/>
      <c r="B617" s="53"/>
      <c r="C617" s="53"/>
      <c r="D617" s="53"/>
      <c r="E617" s="1"/>
    </row>
    <row r="618" ht="14.25" customHeight="1">
      <c r="A618" s="52"/>
      <c r="B618" s="53"/>
      <c r="C618" s="53"/>
      <c r="D618" s="53"/>
      <c r="E618" s="1"/>
    </row>
    <row r="619" ht="14.25" customHeight="1">
      <c r="A619" s="52"/>
      <c r="B619" s="53"/>
      <c r="C619" s="53"/>
      <c r="D619" s="53"/>
      <c r="E619" s="1"/>
    </row>
    <row r="620" ht="14.25" customHeight="1">
      <c r="A620" s="52"/>
      <c r="B620" s="53"/>
      <c r="C620" s="53"/>
      <c r="D620" s="53"/>
      <c r="E620" s="1"/>
    </row>
    <row r="621" ht="14.25" customHeight="1">
      <c r="A621" s="52"/>
      <c r="B621" s="53"/>
      <c r="C621" s="53"/>
      <c r="D621" s="53"/>
      <c r="E621" s="1"/>
    </row>
    <row r="622" ht="14.25" customHeight="1">
      <c r="A622" s="52"/>
      <c r="B622" s="53"/>
      <c r="C622" s="53"/>
      <c r="D622" s="53"/>
      <c r="E622" s="1"/>
    </row>
    <row r="623" ht="14.25" customHeight="1">
      <c r="A623" s="52"/>
      <c r="B623" s="53"/>
      <c r="C623" s="53"/>
      <c r="D623" s="53"/>
      <c r="E623" s="1"/>
    </row>
    <row r="624" ht="14.25" customHeight="1">
      <c r="A624" s="52"/>
      <c r="B624" s="53"/>
      <c r="C624" s="53"/>
      <c r="D624" s="53"/>
      <c r="E624" s="1"/>
    </row>
    <row r="625" ht="14.25" customHeight="1">
      <c r="A625" s="52"/>
      <c r="B625" s="53"/>
      <c r="C625" s="53"/>
      <c r="D625" s="53"/>
      <c r="E625" s="1"/>
    </row>
    <row r="626" ht="14.25" customHeight="1">
      <c r="A626" s="52"/>
      <c r="B626" s="53"/>
      <c r="C626" s="53"/>
      <c r="D626" s="53"/>
      <c r="E626" s="1"/>
    </row>
    <row r="627" ht="14.25" customHeight="1">
      <c r="A627" s="52"/>
      <c r="B627" s="53"/>
      <c r="C627" s="53"/>
      <c r="D627" s="53"/>
      <c r="E627" s="1"/>
    </row>
    <row r="628" ht="14.25" customHeight="1">
      <c r="A628" s="52"/>
      <c r="B628" s="53"/>
      <c r="C628" s="53"/>
      <c r="D628" s="53"/>
      <c r="E628" s="1"/>
    </row>
    <row r="629" ht="14.25" customHeight="1">
      <c r="A629" s="52"/>
      <c r="B629" s="53"/>
      <c r="C629" s="53"/>
      <c r="D629" s="53"/>
      <c r="E629" s="1"/>
    </row>
    <row r="630" ht="14.25" customHeight="1">
      <c r="A630" s="52"/>
      <c r="B630" s="53"/>
      <c r="C630" s="53"/>
      <c r="D630" s="53"/>
      <c r="E630" s="1"/>
    </row>
    <row r="631" ht="14.25" customHeight="1">
      <c r="A631" s="52"/>
      <c r="B631" s="53"/>
      <c r="C631" s="53"/>
      <c r="D631" s="53"/>
      <c r="E631" s="1"/>
    </row>
    <row r="632" ht="14.25" customHeight="1">
      <c r="A632" s="52"/>
      <c r="B632" s="53"/>
      <c r="C632" s="53"/>
      <c r="D632" s="53"/>
      <c r="E632" s="1"/>
    </row>
    <row r="633" ht="14.25" customHeight="1">
      <c r="A633" s="52"/>
      <c r="B633" s="53"/>
      <c r="C633" s="53"/>
      <c r="D633" s="53"/>
      <c r="E633" s="1"/>
    </row>
    <row r="634" ht="14.25" customHeight="1">
      <c r="A634" s="52"/>
      <c r="B634" s="53"/>
      <c r="C634" s="53"/>
      <c r="D634" s="53"/>
      <c r="E634" s="1"/>
    </row>
    <row r="635" ht="14.25" customHeight="1">
      <c r="A635" s="52"/>
      <c r="B635" s="53"/>
      <c r="C635" s="53"/>
      <c r="D635" s="53"/>
      <c r="E635" s="1"/>
    </row>
    <row r="636" ht="14.25" customHeight="1">
      <c r="A636" s="52"/>
      <c r="B636" s="53"/>
      <c r="C636" s="53"/>
      <c r="D636" s="53"/>
      <c r="E636" s="1"/>
    </row>
    <row r="637" ht="14.25" customHeight="1">
      <c r="A637" s="52"/>
      <c r="B637" s="53"/>
      <c r="C637" s="53"/>
      <c r="D637" s="53"/>
      <c r="E637" s="1"/>
    </row>
    <row r="638" ht="14.25" customHeight="1">
      <c r="A638" s="52"/>
      <c r="B638" s="53"/>
      <c r="C638" s="53"/>
      <c r="D638" s="53"/>
      <c r="E638" s="1"/>
    </row>
    <row r="639" ht="14.25" customHeight="1">
      <c r="A639" s="52"/>
      <c r="B639" s="53"/>
      <c r="C639" s="53"/>
      <c r="D639" s="53"/>
      <c r="E639" s="1"/>
    </row>
    <row r="640" ht="14.25" customHeight="1">
      <c r="A640" s="52"/>
      <c r="B640" s="53"/>
      <c r="C640" s="53"/>
      <c r="D640" s="53"/>
      <c r="E640" s="1"/>
    </row>
    <row r="641" ht="14.25" customHeight="1">
      <c r="A641" s="52"/>
      <c r="B641" s="53"/>
      <c r="C641" s="53"/>
      <c r="D641" s="53"/>
      <c r="E641" s="1"/>
    </row>
    <row r="642" ht="14.25" customHeight="1">
      <c r="A642" s="52"/>
      <c r="B642" s="53"/>
      <c r="C642" s="53"/>
      <c r="D642" s="53"/>
      <c r="E642" s="1"/>
    </row>
    <row r="643" ht="14.25" customHeight="1">
      <c r="A643" s="52"/>
      <c r="B643" s="53"/>
      <c r="C643" s="53"/>
      <c r="D643" s="53"/>
      <c r="E643" s="1"/>
    </row>
    <row r="644" ht="14.25" customHeight="1">
      <c r="A644" s="52"/>
      <c r="B644" s="53"/>
      <c r="C644" s="53"/>
      <c r="D644" s="53"/>
      <c r="E644" s="1"/>
    </row>
    <row r="645" ht="14.25" customHeight="1">
      <c r="A645" s="52"/>
      <c r="B645" s="53"/>
      <c r="C645" s="53"/>
      <c r="D645" s="53"/>
      <c r="E645" s="1"/>
    </row>
    <row r="646" ht="14.25" customHeight="1">
      <c r="A646" s="52"/>
      <c r="B646" s="53"/>
      <c r="C646" s="53"/>
      <c r="D646" s="53"/>
      <c r="E646" s="1"/>
    </row>
    <row r="647" ht="14.25" customHeight="1">
      <c r="A647" s="52"/>
      <c r="B647" s="53"/>
      <c r="C647" s="53"/>
      <c r="D647" s="53"/>
      <c r="E647" s="1"/>
    </row>
    <row r="648" ht="14.25" customHeight="1">
      <c r="A648" s="52"/>
      <c r="B648" s="53"/>
      <c r="C648" s="53"/>
      <c r="D648" s="53"/>
      <c r="E648" s="1"/>
    </row>
    <row r="649" ht="14.25" customHeight="1">
      <c r="A649" s="52"/>
      <c r="B649" s="53"/>
      <c r="C649" s="53"/>
      <c r="D649" s="53"/>
      <c r="E649" s="1"/>
    </row>
    <row r="650" ht="14.25" customHeight="1">
      <c r="A650" s="52"/>
      <c r="B650" s="53"/>
      <c r="C650" s="53"/>
      <c r="D650" s="53"/>
      <c r="E650" s="1"/>
    </row>
    <row r="651" ht="14.25" customHeight="1">
      <c r="A651" s="52"/>
      <c r="B651" s="53"/>
      <c r="C651" s="53"/>
      <c r="D651" s="53"/>
      <c r="E651" s="1"/>
    </row>
    <row r="652" ht="14.25" customHeight="1">
      <c r="A652" s="52"/>
      <c r="B652" s="53"/>
      <c r="C652" s="53"/>
      <c r="D652" s="53"/>
      <c r="E652" s="1"/>
    </row>
    <row r="653" ht="14.25" customHeight="1">
      <c r="A653" s="52"/>
      <c r="B653" s="53"/>
      <c r="C653" s="53"/>
      <c r="D653" s="53"/>
      <c r="E653" s="1"/>
    </row>
    <row r="654" ht="14.25" customHeight="1">
      <c r="A654" s="52"/>
      <c r="B654" s="53"/>
      <c r="C654" s="53"/>
      <c r="D654" s="53"/>
      <c r="E654" s="1"/>
    </row>
    <row r="655" ht="14.25" customHeight="1">
      <c r="A655" s="52"/>
      <c r="B655" s="53"/>
      <c r="C655" s="53"/>
      <c r="D655" s="53"/>
      <c r="E655" s="1"/>
    </row>
    <row r="656" ht="14.25" customHeight="1">
      <c r="A656" s="52"/>
      <c r="B656" s="53"/>
      <c r="C656" s="53"/>
      <c r="D656" s="53"/>
      <c r="E656" s="1"/>
    </row>
    <row r="657" ht="14.25" customHeight="1">
      <c r="A657" s="52"/>
      <c r="B657" s="53"/>
      <c r="C657" s="53"/>
      <c r="D657" s="53"/>
      <c r="E657" s="1"/>
    </row>
    <row r="658" ht="14.25" customHeight="1">
      <c r="A658" s="52"/>
      <c r="B658" s="53"/>
      <c r="C658" s="53"/>
      <c r="D658" s="53"/>
      <c r="E658" s="1"/>
    </row>
    <row r="659" ht="14.25" customHeight="1">
      <c r="A659" s="52"/>
      <c r="B659" s="53"/>
      <c r="C659" s="53"/>
      <c r="D659" s="53"/>
      <c r="E659" s="1"/>
    </row>
    <row r="660" ht="14.25" customHeight="1">
      <c r="A660" s="52"/>
      <c r="B660" s="53"/>
      <c r="C660" s="53"/>
      <c r="D660" s="53"/>
      <c r="E660" s="1"/>
    </row>
    <row r="661" ht="14.25" customHeight="1">
      <c r="A661" s="52"/>
      <c r="B661" s="53"/>
      <c r="C661" s="53"/>
      <c r="D661" s="53"/>
      <c r="E661" s="1"/>
    </row>
    <row r="662" ht="14.25" customHeight="1">
      <c r="A662" s="52"/>
      <c r="B662" s="53"/>
      <c r="C662" s="53"/>
      <c r="D662" s="53"/>
      <c r="E662" s="1"/>
    </row>
    <row r="663" ht="14.25" customHeight="1">
      <c r="A663" s="52"/>
      <c r="B663" s="53"/>
      <c r="C663" s="53"/>
      <c r="D663" s="53"/>
      <c r="E663" s="1"/>
    </row>
    <row r="664" ht="14.25" customHeight="1">
      <c r="A664" s="52"/>
      <c r="B664" s="53"/>
      <c r="C664" s="53"/>
      <c r="D664" s="53"/>
      <c r="E664" s="1"/>
    </row>
    <row r="665" ht="14.25" customHeight="1">
      <c r="A665" s="52"/>
      <c r="B665" s="53"/>
      <c r="C665" s="53"/>
      <c r="D665" s="53"/>
      <c r="E665" s="1"/>
    </row>
    <row r="666" ht="14.25" customHeight="1">
      <c r="A666" s="52"/>
      <c r="B666" s="53"/>
      <c r="C666" s="53"/>
      <c r="D666" s="53"/>
      <c r="E666" s="1"/>
    </row>
    <row r="667" ht="14.25" customHeight="1">
      <c r="A667" s="52"/>
      <c r="B667" s="53"/>
      <c r="C667" s="53"/>
      <c r="D667" s="53"/>
      <c r="E667" s="1"/>
    </row>
    <row r="668" ht="14.25" customHeight="1">
      <c r="A668" s="52"/>
      <c r="B668" s="53"/>
      <c r="C668" s="53"/>
      <c r="D668" s="53"/>
      <c r="E668" s="1"/>
    </row>
    <row r="669" ht="14.25" customHeight="1">
      <c r="A669" s="52"/>
      <c r="B669" s="53"/>
      <c r="C669" s="53"/>
      <c r="D669" s="53"/>
      <c r="E669" s="1"/>
    </row>
    <row r="670" ht="14.25" customHeight="1">
      <c r="A670" s="52"/>
      <c r="B670" s="53"/>
      <c r="C670" s="53"/>
      <c r="D670" s="53"/>
      <c r="E670" s="1"/>
    </row>
    <row r="671" ht="14.25" customHeight="1">
      <c r="A671" s="52"/>
      <c r="B671" s="53"/>
      <c r="C671" s="53"/>
      <c r="D671" s="53"/>
      <c r="E671" s="1"/>
    </row>
    <row r="672" ht="14.25" customHeight="1">
      <c r="A672" s="52"/>
      <c r="B672" s="53"/>
      <c r="C672" s="53"/>
      <c r="D672" s="53"/>
      <c r="E672" s="1"/>
    </row>
    <row r="673" ht="14.25" customHeight="1">
      <c r="A673" s="52"/>
      <c r="B673" s="53"/>
      <c r="C673" s="53"/>
      <c r="D673" s="53"/>
      <c r="E673" s="1"/>
    </row>
    <row r="674" ht="14.25" customHeight="1">
      <c r="A674" s="52"/>
      <c r="B674" s="53"/>
      <c r="C674" s="53"/>
      <c r="D674" s="53"/>
      <c r="E674" s="1"/>
    </row>
    <row r="675" ht="14.25" customHeight="1">
      <c r="A675" s="52"/>
      <c r="B675" s="53"/>
      <c r="C675" s="53"/>
      <c r="D675" s="53"/>
      <c r="E675" s="1"/>
    </row>
    <row r="676" ht="14.25" customHeight="1">
      <c r="A676" s="52"/>
      <c r="B676" s="53"/>
      <c r="C676" s="53"/>
      <c r="D676" s="53"/>
      <c r="E676" s="1"/>
    </row>
    <row r="677" ht="14.25" customHeight="1">
      <c r="A677" s="52"/>
      <c r="B677" s="53"/>
      <c r="C677" s="53"/>
      <c r="D677" s="53"/>
      <c r="E677" s="1"/>
    </row>
    <row r="678" ht="14.25" customHeight="1">
      <c r="A678" s="52"/>
      <c r="B678" s="53"/>
      <c r="C678" s="53"/>
      <c r="D678" s="53"/>
      <c r="E678" s="1"/>
    </row>
    <row r="679" ht="14.25" customHeight="1">
      <c r="A679" s="52"/>
      <c r="B679" s="53"/>
      <c r="C679" s="53"/>
      <c r="D679" s="53"/>
      <c r="E679" s="1"/>
    </row>
    <row r="680" ht="14.25" customHeight="1">
      <c r="A680" s="52"/>
      <c r="B680" s="53"/>
      <c r="C680" s="53"/>
      <c r="D680" s="53"/>
      <c r="E680" s="1"/>
    </row>
    <row r="681" ht="14.25" customHeight="1">
      <c r="A681" s="52"/>
      <c r="B681" s="53"/>
      <c r="C681" s="53"/>
      <c r="D681" s="53"/>
      <c r="E681" s="1"/>
    </row>
    <row r="682" ht="14.25" customHeight="1">
      <c r="A682" s="52"/>
      <c r="B682" s="53"/>
      <c r="C682" s="53"/>
      <c r="D682" s="53"/>
      <c r="E682" s="1"/>
    </row>
    <row r="683" ht="14.25" customHeight="1">
      <c r="A683" s="52"/>
      <c r="B683" s="53"/>
      <c r="C683" s="53"/>
      <c r="D683" s="53"/>
      <c r="E683" s="1"/>
    </row>
    <row r="684" ht="14.25" customHeight="1">
      <c r="A684" s="52"/>
      <c r="B684" s="53"/>
      <c r="C684" s="53"/>
      <c r="D684" s="53"/>
      <c r="E684" s="1"/>
    </row>
    <row r="685" ht="14.25" customHeight="1">
      <c r="A685" s="52"/>
      <c r="B685" s="53"/>
      <c r="C685" s="53"/>
      <c r="D685" s="53"/>
      <c r="E685" s="1"/>
    </row>
    <row r="686" ht="14.25" customHeight="1">
      <c r="A686" s="52"/>
      <c r="B686" s="53"/>
      <c r="C686" s="53"/>
      <c r="D686" s="53"/>
      <c r="E686" s="1"/>
    </row>
    <row r="687" ht="14.25" customHeight="1">
      <c r="A687" s="52"/>
      <c r="B687" s="53"/>
      <c r="C687" s="53"/>
      <c r="D687" s="53"/>
      <c r="E687" s="1"/>
    </row>
    <row r="688" ht="14.25" customHeight="1">
      <c r="A688" s="52"/>
      <c r="B688" s="53"/>
      <c r="C688" s="53"/>
      <c r="D688" s="53"/>
      <c r="E688" s="1"/>
    </row>
    <row r="689" ht="14.25" customHeight="1">
      <c r="A689" s="52"/>
      <c r="B689" s="53"/>
      <c r="C689" s="53"/>
      <c r="D689" s="53"/>
      <c r="E689" s="1"/>
    </row>
    <row r="690" ht="14.25" customHeight="1">
      <c r="A690" s="52"/>
      <c r="B690" s="53"/>
      <c r="C690" s="53"/>
      <c r="D690" s="53"/>
      <c r="E690" s="1"/>
    </row>
    <row r="691" ht="14.25" customHeight="1">
      <c r="A691" s="52"/>
      <c r="B691" s="53"/>
      <c r="C691" s="53"/>
      <c r="D691" s="53"/>
      <c r="E691" s="1"/>
    </row>
    <row r="692" ht="14.25" customHeight="1">
      <c r="A692" s="52"/>
      <c r="B692" s="53"/>
      <c r="C692" s="53"/>
      <c r="D692" s="53"/>
      <c r="E692" s="1"/>
    </row>
    <row r="693" ht="14.25" customHeight="1">
      <c r="A693" s="52"/>
      <c r="B693" s="53"/>
      <c r="C693" s="53"/>
      <c r="D693" s="53"/>
      <c r="E693" s="1"/>
    </row>
    <row r="694" ht="14.25" customHeight="1">
      <c r="A694" s="52"/>
      <c r="B694" s="53"/>
      <c r="C694" s="53"/>
      <c r="D694" s="53"/>
      <c r="E694" s="1"/>
    </row>
    <row r="695" ht="14.25" customHeight="1">
      <c r="A695" s="52"/>
      <c r="B695" s="53"/>
      <c r="C695" s="53"/>
      <c r="D695" s="53"/>
      <c r="E695" s="1"/>
    </row>
    <row r="696" ht="14.25" customHeight="1">
      <c r="A696" s="52"/>
      <c r="B696" s="53"/>
      <c r="C696" s="53"/>
      <c r="D696" s="53"/>
      <c r="E696" s="1"/>
    </row>
    <row r="697" ht="14.25" customHeight="1">
      <c r="A697" s="52"/>
      <c r="B697" s="53"/>
      <c r="C697" s="53"/>
      <c r="D697" s="53"/>
      <c r="E697" s="1"/>
    </row>
    <row r="698" ht="14.25" customHeight="1">
      <c r="A698" s="52"/>
      <c r="B698" s="53"/>
      <c r="C698" s="53"/>
      <c r="D698" s="53"/>
      <c r="E698" s="1"/>
    </row>
    <row r="699" ht="14.25" customHeight="1">
      <c r="A699" s="52"/>
      <c r="B699" s="53"/>
      <c r="C699" s="53"/>
      <c r="D699" s="53"/>
      <c r="E699" s="1"/>
    </row>
    <row r="700" ht="14.25" customHeight="1">
      <c r="A700" s="52"/>
      <c r="B700" s="53"/>
      <c r="C700" s="53"/>
      <c r="D700" s="53"/>
      <c r="E700" s="1"/>
    </row>
    <row r="701" ht="14.25" customHeight="1">
      <c r="A701" s="52"/>
      <c r="B701" s="53"/>
      <c r="C701" s="53"/>
      <c r="D701" s="53"/>
      <c r="E701" s="1"/>
    </row>
    <row r="702" ht="14.25" customHeight="1">
      <c r="A702" s="52"/>
      <c r="B702" s="53"/>
      <c r="C702" s="53"/>
      <c r="D702" s="53"/>
      <c r="E702" s="1"/>
    </row>
    <row r="703" ht="14.25" customHeight="1">
      <c r="A703" s="52"/>
      <c r="B703" s="53"/>
      <c r="C703" s="53"/>
      <c r="D703" s="53"/>
      <c r="E703" s="1"/>
    </row>
    <row r="704" ht="14.25" customHeight="1">
      <c r="A704" s="52"/>
      <c r="B704" s="53"/>
      <c r="C704" s="53"/>
      <c r="D704" s="53"/>
      <c r="E704" s="1"/>
    </row>
    <row r="705" ht="14.25" customHeight="1">
      <c r="A705" s="52"/>
      <c r="B705" s="53"/>
      <c r="C705" s="53"/>
      <c r="D705" s="53"/>
      <c r="E705" s="1"/>
    </row>
    <row r="706" ht="14.25" customHeight="1">
      <c r="A706" s="52"/>
      <c r="B706" s="53"/>
      <c r="C706" s="53"/>
      <c r="D706" s="53"/>
      <c r="E706" s="1"/>
    </row>
    <row r="707" ht="14.25" customHeight="1">
      <c r="A707" s="52"/>
      <c r="B707" s="53"/>
      <c r="C707" s="53"/>
      <c r="D707" s="53"/>
      <c r="E707" s="1"/>
    </row>
    <row r="708" ht="14.25" customHeight="1">
      <c r="A708" s="52"/>
      <c r="B708" s="53"/>
      <c r="C708" s="53"/>
      <c r="D708" s="53"/>
      <c r="E708" s="1"/>
    </row>
    <row r="709" ht="14.25" customHeight="1">
      <c r="A709" s="52"/>
      <c r="B709" s="53"/>
      <c r="C709" s="53"/>
      <c r="D709" s="53"/>
      <c r="E709" s="1"/>
    </row>
    <row r="710" ht="14.25" customHeight="1">
      <c r="A710" s="52"/>
      <c r="B710" s="53"/>
      <c r="C710" s="53"/>
      <c r="D710" s="53"/>
      <c r="E710" s="1"/>
    </row>
    <row r="711" ht="14.25" customHeight="1">
      <c r="A711" s="52"/>
      <c r="B711" s="53"/>
      <c r="C711" s="53"/>
      <c r="D711" s="53"/>
      <c r="E711" s="1"/>
    </row>
    <row r="712" ht="14.25" customHeight="1">
      <c r="A712" s="52"/>
      <c r="B712" s="53"/>
      <c r="C712" s="53"/>
      <c r="D712" s="53"/>
      <c r="E712" s="1"/>
    </row>
    <row r="713" ht="14.25" customHeight="1">
      <c r="A713" s="52"/>
      <c r="B713" s="53"/>
      <c r="C713" s="53"/>
      <c r="D713" s="53"/>
      <c r="E713" s="1"/>
    </row>
    <row r="714" ht="14.25" customHeight="1">
      <c r="A714" s="52"/>
      <c r="B714" s="53"/>
      <c r="C714" s="53"/>
      <c r="D714" s="53"/>
      <c r="E714" s="1"/>
    </row>
    <row r="715" ht="14.25" customHeight="1">
      <c r="A715" s="52"/>
      <c r="B715" s="53"/>
      <c r="C715" s="53"/>
      <c r="D715" s="53"/>
      <c r="E715" s="1"/>
    </row>
    <row r="716" ht="14.25" customHeight="1">
      <c r="A716" s="52"/>
      <c r="B716" s="53"/>
      <c r="C716" s="53"/>
      <c r="D716" s="53"/>
      <c r="E716" s="1"/>
    </row>
    <row r="717" ht="14.25" customHeight="1">
      <c r="A717" s="52"/>
      <c r="B717" s="53"/>
      <c r="C717" s="53"/>
      <c r="D717" s="53"/>
      <c r="E717" s="1"/>
    </row>
    <row r="718" ht="14.25" customHeight="1">
      <c r="A718" s="52"/>
      <c r="B718" s="53"/>
      <c r="C718" s="53"/>
      <c r="D718" s="53"/>
      <c r="E718" s="1"/>
    </row>
    <row r="719" ht="14.25" customHeight="1">
      <c r="A719" s="52"/>
      <c r="B719" s="53"/>
      <c r="C719" s="53"/>
      <c r="D719" s="53"/>
      <c r="E719" s="1"/>
    </row>
    <row r="720" ht="14.25" customHeight="1">
      <c r="A720" s="52"/>
      <c r="B720" s="53"/>
      <c r="C720" s="53"/>
      <c r="D720" s="53"/>
      <c r="E720" s="1"/>
    </row>
    <row r="721" ht="14.25" customHeight="1">
      <c r="A721" s="52"/>
      <c r="B721" s="53"/>
      <c r="C721" s="53"/>
      <c r="D721" s="53"/>
      <c r="E721" s="1"/>
    </row>
    <row r="722" ht="14.25" customHeight="1">
      <c r="A722" s="52"/>
      <c r="B722" s="53"/>
      <c r="C722" s="53"/>
      <c r="D722" s="53"/>
      <c r="E722" s="1"/>
    </row>
    <row r="723" ht="14.25" customHeight="1">
      <c r="A723" s="52"/>
      <c r="B723" s="53"/>
      <c r="C723" s="53"/>
      <c r="D723" s="53"/>
      <c r="E723" s="1"/>
    </row>
    <row r="724" ht="14.25" customHeight="1">
      <c r="A724" s="52"/>
      <c r="B724" s="53"/>
      <c r="C724" s="53"/>
      <c r="D724" s="53"/>
      <c r="E724" s="1"/>
    </row>
    <row r="725" ht="14.25" customHeight="1">
      <c r="A725" s="52"/>
      <c r="B725" s="53"/>
      <c r="C725" s="53"/>
      <c r="D725" s="53"/>
      <c r="E725" s="1"/>
    </row>
    <row r="726" ht="14.25" customHeight="1">
      <c r="A726" s="52"/>
      <c r="B726" s="53"/>
      <c r="C726" s="53"/>
      <c r="D726" s="53"/>
      <c r="E726" s="1"/>
    </row>
    <row r="727" ht="14.25" customHeight="1">
      <c r="A727" s="52"/>
      <c r="B727" s="53"/>
      <c r="C727" s="53"/>
      <c r="D727" s="53"/>
      <c r="E727" s="1"/>
    </row>
    <row r="728" ht="14.25" customHeight="1">
      <c r="A728" s="52"/>
      <c r="B728" s="53"/>
      <c r="C728" s="53"/>
      <c r="D728" s="53"/>
      <c r="E728" s="1"/>
    </row>
    <row r="729" ht="14.25" customHeight="1">
      <c r="A729" s="52"/>
      <c r="B729" s="53"/>
      <c r="C729" s="53"/>
      <c r="D729" s="53"/>
      <c r="E729" s="1"/>
    </row>
    <row r="730" ht="14.25" customHeight="1">
      <c r="A730" s="52"/>
      <c r="B730" s="53"/>
      <c r="C730" s="53"/>
      <c r="D730" s="53"/>
      <c r="E730" s="1"/>
    </row>
    <row r="731" ht="14.25" customHeight="1">
      <c r="A731" s="52"/>
      <c r="B731" s="53"/>
      <c r="C731" s="53"/>
      <c r="D731" s="53"/>
      <c r="E731" s="1"/>
    </row>
    <row r="732" ht="14.25" customHeight="1">
      <c r="A732" s="52"/>
      <c r="B732" s="53"/>
      <c r="C732" s="53"/>
      <c r="D732" s="53"/>
      <c r="E732" s="1"/>
    </row>
    <row r="733" ht="14.25" customHeight="1">
      <c r="A733" s="52"/>
      <c r="B733" s="53"/>
      <c r="C733" s="53"/>
      <c r="D733" s="53"/>
      <c r="E733" s="1"/>
    </row>
    <row r="734" ht="14.25" customHeight="1">
      <c r="A734" s="52"/>
      <c r="B734" s="53"/>
      <c r="C734" s="53"/>
      <c r="D734" s="53"/>
      <c r="E734" s="1"/>
    </row>
    <row r="735" ht="14.25" customHeight="1">
      <c r="A735" s="52"/>
      <c r="B735" s="53"/>
      <c r="C735" s="53"/>
      <c r="D735" s="53"/>
      <c r="E735" s="1"/>
    </row>
    <row r="736" ht="14.25" customHeight="1">
      <c r="A736" s="52"/>
      <c r="B736" s="53"/>
      <c r="C736" s="53"/>
      <c r="D736" s="53"/>
      <c r="E736" s="1"/>
    </row>
    <row r="737" ht="14.25" customHeight="1">
      <c r="A737" s="52"/>
      <c r="B737" s="53"/>
      <c r="C737" s="53"/>
      <c r="D737" s="53"/>
      <c r="E737" s="1"/>
    </row>
    <row r="738" ht="14.25" customHeight="1">
      <c r="A738" s="52"/>
      <c r="B738" s="53"/>
      <c r="C738" s="53"/>
      <c r="D738" s="53"/>
      <c r="E738" s="1"/>
    </row>
    <row r="739" ht="14.25" customHeight="1">
      <c r="A739" s="52"/>
      <c r="B739" s="53"/>
      <c r="C739" s="53"/>
      <c r="D739" s="53"/>
      <c r="E739" s="1"/>
    </row>
    <row r="740" ht="14.25" customHeight="1">
      <c r="A740" s="52"/>
      <c r="B740" s="53"/>
      <c r="C740" s="53"/>
      <c r="D740" s="53"/>
      <c r="E740" s="1"/>
    </row>
    <row r="741" ht="14.25" customHeight="1">
      <c r="A741" s="52"/>
      <c r="B741" s="53"/>
      <c r="C741" s="53"/>
      <c r="D741" s="53"/>
      <c r="E741" s="1"/>
    </row>
    <row r="742" ht="14.25" customHeight="1">
      <c r="A742" s="52"/>
      <c r="B742" s="53"/>
      <c r="C742" s="53"/>
      <c r="D742" s="53"/>
      <c r="E742" s="1"/>
    </row>
    <row r="743" ht="14.25" customHeight="1">
      <c r="A743" s="52"/>
      <c r="B743" s="53"/>
      <c r="C743" s="53"/>
      <c r="D743" s="53"/>
      <c r="E743" s="1"/>
    </row>
    <row r="744" ht="14.25" customHeight="1">
      <c r="A744" s="52"/>
      <c r="B744" s="53"/>
      <c r="C744" s="53"/>
      <c r="D744" s="53"/>
      <c r="E744" s="1"/>
    </row>
    <row r="745" ht="14.25" customHeight="1">
      <c r="A745" s="52"/>
      <c r="B745" s="53"/>
      <c r="C745" s="53"/>
      <c r="D745" s="53"/>
      <c r="E745" s="1"/>
    </row>
    <row r="746" ht="14.25" customHeight="1">
      <c r="A746" s="52"/>
      <c r="B746" s="53"/>
      <c r="C746" s="53"/>
      <c r="D746" s="53"/>
      <c r="E746" s="1"/>
    </row>
    <row r="747" ht="14.25" customHeight="1">
      <c r="A747" s="52"/>
      <c r="B747" s="53"/>
      <c r="C747" s="53"/>
      <c r="D747" s="53"/>
      <c r="E747" s="1"/>
    </row>
    <row r="748" ht="14.25" customHeight="1">
      <c r="A748" s="52"/>
      <c r="B748" s="53"/>
      <c r="C748" s="53"/>
      <c r="D748" s="53"/>
      <c r="E748" s="1"/>
    </row>
    <row r="749" ht="14.25" customHeight="1">
      <c r="A749" s="52"/>
      <c r="B749" s="53"/>
      <c r="C749" s="53"/>
      <c r="D749" s="53"/>
      <c r="E749" s="1"/>
    </row>
    <row r="750" ht="14.25" customHeight="1">
      <c r="A750" s="52"/>
      <c r="B750" s="53"/>
      <c r="C750" s="53"/>
      <c r="D750" s="53"/>
      <c r="E750" s="1"/>
    </row>
    <row r="751" ht="14.25" customHeight="1">
      <c r="A751" s="52"/>
      <c r="B751" s="53"/>
      <c r="C751" s="53"/>
      <c r="D751" s="53"/>
      <c r="E751" s="1"/>
    </row>
    <row r="752" ht="14.25" customHeight="1">
      <c r="A752" s="52"/>
      <c r="B752" s="53"/>
      <c r="C752" s="53"/>
      <c r="D752" s="53"/>
      <c r="E752" s="1"/>
    </row>
    <row r="753" ht="14.25" customHeight="1">
      <c r="A753" s="52"/>
      <c r="B753" s="53"/>
      <c r="C753" s="53"/>
      <c r="D753" s="53"/>
      <c r="E753" s="1"/>
    </row>
    <row r="754" ht="14.25" customHeight="1">
      <c r="A754" s="52"/>
      <c r="B754" s="53"/>
      <c r="C754" s="53"/>
      <c r="D754" s="53"/>
      <c r="E754" s="1"/>
    </row>
    <row r="755" ht="14.25" customHeight="1">
      <c r="A755" s="52"/>
      <c r="B755" s="53"/>
      <c r="C755" s="53"/>
      <c r="D755" s="53"/>
      <c r="E755" s="1"/>
    </row>
    <row r="756" ht="14.25" customHeight="1">
      <c r="A756" s="52"/>
      <c r="B756" s="53"/>
      <c r="C756" s="53"/>
      <c r="D756" s="53"/>
      <c r="E756" s="1"/>
    </row>
    <row r="757" ht="14.25" customHeight="1">
      <c r="A757" s="52"/>
      <c r="B757" s="53"/>
      <c r="C757" s="53"/>
      <c r="D757" s="53"/>
      <c r="E757" s="1"/>
    </row>
    <row r="758" ht="14.25" customHeight="1">
      <c r="A758" s="52"/>
      <c r="B758" s="53"/>
      <c r="C758" s="53"/>
      <c r="D758" s="53"/>
      <c r="E758" s="1"/>
    </row>
    <row r="759" ht="14.25" customHeight="1">
      <c r="A759" s="52"/>
      <c r="B759" s="53"/>
      <c r="C759" s="53"/>
      <c r="D759" s="53"/>
      <c r="E759" s="1"/>
    </row>
    <row r="760" ht="14.25" customHeight="1">
      <c r="A760" s="52"/>
      <c r="B760" s="53"/>
      <c r="C760" s="53"/>
      <c r="D760" s="53"/>
      <c r="E760" s="1"/>
    </row>
    <row r="761" ht="14.25" customHeight="1">
      <c r="A761" s="52"/>
      <c r="B761" s="53"/>
      <c r="C761" s="53"/>
      <c r="D761" s="53"/>
      <c r="E761" s="1"/>
    </row>
    <row r="762" ht="14.25" customHeight="1">
      <c r="A762" s="52"/>
      <c r="B762" s="53"/>
      <c r="C762" s="53"/>
      <c r="D762" s="53"/>
      <c r="E762" s="1"/>
    </row>
    <row r="763" ht="14.25" customHeight="1">
      <c r="A763" s="52"/>
      <c r="B763" s="53"/>
      <c r="C763" s="53"/>
      <c r="D763" s="53"/>
      <c r="E763" s="1"/>
    </row>
    <row r="764" ht="14.25" customHeight="1">
      <c r="A764" s="52"/>
      <c r="B764" s="53"/>
      <c r="C764" s="53"/>
      <c r="D764" s="53"/>
      <c r="E764" s="1"/>
    </row>
    <row r="765" ht="14.25" customHeight="1">
      <c r="A765" s="52"/>
      <c r="B765" s="53"/>
      <c r="C765" s="53"/>
      <c r="D765" s="53"/>
      <c r="E765" s="1"/>
    </row>
    <row r="766" ht="14.25" customHeight="1">
      <c r="A766" s="52"/>
      <c r="B766" s="53"/>
      <c r="C766" s="53"/>
      <c r="D766" s="53"/>
      <c r="E766" s="1"/>
    </row>
    <row r="767" ht="14.25" customHeight="1">
      <c r="A767" s="52"/>
      <c r="B767" s="53"/>
      <c r="C767" s="53"/>
      <c r="D767" s="53"/>
      <c r="E767" s="1"/>
    </row>
    <row r="768" ht="14.25" customHeight="1">
      <c r="A768" s="52"/>
      <c r="B768" s="53"/>
      <c r="C768" s="53"/>
      <c r="D768" s="53"/>
      <c r="E768" s="1"/>
    </row>
    <row r="769" ht="14.25" customHeight="1">
      <c r="A769" s="52"/>
      <c r="B769" s="53"/>
      <c r="C769" s="53"/>
      <c r="D769" s="53"/>
      <c r="E769" s="1"/>
    </row>
    <row r="770" ht="14.25" customHeight="1">
      <c r="A770" s="52"/>
      <c r="B770" s="53"/>
      <c r="C770" s="53"/>
      <c r="D770" s="53"/>
      <c r="E770" s="1"/>
    </row>
    <row r="771" ht="14.25" customHeight="1">
      <c r="A771" s="52"/>
      <c r="B771" s="53"/>
      <c r="C771" s="53"/>
      <c r="D771" s="53"/>
      <c r="E771" s="1"/>
    </row>
    <row r="772" ht="14.25" customHeight="1">
      <c r="A772" s="52"/>
      <c r="B772" s="53"/>
      <c r="C772" s="53"/>
      <c r="D772" s="53"/>
      <c r="E772" s="1"/>
    </row>
    <row r="773" ht="14.25" customHeight="1">
      <c r="A773" s="52"/>
      <c r="B773" s="53"/>
      <c r="C773" s="53"/>
      <c r="D773" s="53"/>
      <c r="E773" s="1"/>
    </row>
    <row r="774" ht="14.25" customHeight="1">
      <c r="A774" s="52"/>
      <c r="B774" s="53"/>
      <c r="C774" s="53"/>
      <c r="D774" s="53"/>
      <c r="E774" s="1"/>
    </row>
    <row r="775" ht="14.25" customHeight="1">
      <c r="A775" s="52"/>
      <c r="B775" s="53"/>
      <c r="C775" s="53"/>
      <c r="D775" s="53"/>
      <c r="E775" s="1"/>
    </row>
    <row r="776" ht="14.25" customHeight="1">
      <c r="A776" s="52"/>
      <c r="B776" s="53"/>
      <c r="C776" s="53"/>
      <c r="D776" s="53"/>
      <c r="E776" s="1"/>
    </row>
    <row r="777" ht="14.25" customHeight="1">
      <c r="A777" s="52"/>
      <c r="B777" s="53"/>
      <c r="C777" s="53"/>
      <c r="D777" s="53"/>
      <c r="E777" s="1"/>
    </row>
    <row r="778" ht="14.25" customHeight="1">
      <c r="A778" s="52"/>
      <c r="B778" s="53"/>
      <c r="C778" s="53"/>
      <c r="D778" s="53"/>
      <c r="E778" s="1"/>
    </row>
    <row r="779" ht="14.25" customHeight="1">
      <c r="A779" s="52"/>
      <c r="B779" s="53"/>
      <c r="C779" s="53"/>
      <c r="D779" s="53"/>
      <c r="E779" s="1"/>
    </row>
    <row r="780" ht="14.25" customHeight="1">
      <c r="A780" s="52"/>
      <c r="B780" s="53"/>
      <c r="C780" s="53"/>
      <c r="D780" s="53"/>
      <c r="E780" s="1"/>
    </row>
    <row r="781" ht="14.25" customHeight="1">
      <c r="A781" s="52"/>
      <c r="B781" s="53"/>
      <c r="C781" s="53"/>
      <c r="D781" s="53"/>
      <c r="E781" s="1"/>
    </row>
    <row r="782" ht="14.25" customHeight="1">
      <c r="A782" s="52"/>
      <c r="B782" s="53"/>
      <c r="C782" s="53"/>
      <c r="D782" s="53"/>
      <c r="E782" s="1"/>
    </row>
    <row r="783" ht="14.25" customHeight="1">
      <c r="A783" s="52"/>
      <c r="B783" s="53"/>
      <c r="C783" s="53"/>
      <c r="D783" s="53"/>
      <c r="E783" s="1"/>
    </row>
    <row r="784" ht="14.25" customHeight="1">
      <c r="A784" s="52"/>
      <c r="B784" s="53"/>
      <c r="C784" s="53"/>
      <c r="D784" s="53"/>
      <c r="E784" s="1"/>
    </row>
    <row r="785" ht="14.25" customHeight="1">
      <c r="A785" s="52"/>
      <c r="B785" s="53"/>
      <c r="C785" s="53"/>
      <c r="D785" s="53"/>
      <c r="E785" s="1"/>
    </row>
    <row r="786" ht="14.25" customHeight="1">
      <c r="A786" s="52"/>
      <c r="B786" s="53"/>
      <c r="C786" s="53"/>
      <c r="D786" s="53"/>
      <c r="E786" s="1"/>
    </row>
    <row r="787" ht="14.25" customHeight="1">
      <c r="A787" s="52"/>
      <c r="B787" s="53"/>
      <c r="C787" s="53"/>
      <c r="D787" s="53"/>
      <c r="E787" s="1"/>
    </row>
    <row r="788" ht="14.25" customHeight="1">
      <c r="A788" s="52"/>
      <c r="B788" s="53"/>
      <c r="C788" s="53"/>
      <c r="D788" s="53"/>
      <c r="E788" s="1"/>
    </row>
    <row r="789" ht="14.25" customHeight="1">
      <c r="A789" s="52"/>
      <c r="B789" s="53"/>
      <c r="C789" s="53"/>
      <c r="D789" s="53"/>
      <c r="E789" s="1"/>
    </row>
    <row r="790" ht="14.25" customHeight="1">
      <c r="A790" s="52"/>
      <c r="B790" s="53"/>
      <c r="C790" s="53"/>
      <c r="D790" s="53"/>
      <c r="E790" s="1"/>
    </row>
    <row r="791" ht="14.25" customHeight="1">
      <c r="A791" s="52"/>
      <c r="B791" s="53"/>
      <c r="C791" s="53"/>
      <c r="D791" s="53"/>
      <c r="E791" s="1"/>
    </row>
    <row r="792" ht="14.25" customHeight="1">
      <c r="A792" s="52"/>
      <c r="B792" s="53"/>
      <c r="C792" s="53"/>
      <c r="D792" s="53"/>
      <c r="E792" s="1"/>
    </row>
    <row r="793" ht="14.25" customHeight="1">
      <c r="A793" s="52"/>
      <c r="B793" s="53"/>
      <c r="C793" s="53"/>
      <c r="D793" s="53"/>
      <c r="E793" s="1"/>
    </row>
    <row r="794" ht="14.25" customHeight="1">
      <c r="A794" s="52"/>
      <c r="B794" s="53"/>
      <c r="C794" s="53"/>
      <c r="D794" s="53"/>
      <c r="E794" s="1"/>
    </row>
    <row r="795" ht="14.25" customHeight="1">
      <c r="A795" s="52"/>
      <c r="B795" s="53"/>
      <c r="C795" s="53"/>
      <c r="D795" s="53"/>
      <c r="E795" s="1"/>
    </row>
    <row r="796" ht="14.25" customHeight="1">
      <c r="A796" s="52"/>
      <c r="B796" s="53"/>
      <c r="C796" s="53"/>
      <c r="D796" s="53"/>
      <c r="E796" s="1"/>
    </row>
    <row r="797" ht="14.25" customHeight="1">
      <c r="A797" s="52"/>
      <c r="B797" s="53"/>
      <c r="C797" s="53"/>
      <c r="D797" s="53"/>
      <c r="E797" s="1"/>
    </row>
    <row r="798" ht="14.25" customHeight="1">
      <c r="A798" s="52"/>
      <c r="B798" s="53"/>
      <c r="C798" s="53"/>
      <c r="D798" s="53"/>
      <c r="E798" s="1"/>
    </row>
    <row r="799" ht="14.25" customHeight="1">
      <c r="A799" s="52"/>
      <c r="B799" s="53"/>
      <c r="C799" s="53"/>
      <c r="D799" s="53"/>
      <c r="E799" s="1"/>
    </row>
    <row r="800" ht="14.25" customHeight="1">
      <c r="A800" s="52"/>
      <c r="B800" s="53"/>
      <c r="C800" s="53"/>
      <c r="D800" s="53"/>
      <c r="E800" s="1"/>
    </row>
    <row r="801" ht="14.25" customHeight="1">
      <c r="A801" s="52"/>
      <c r="B801" s="53"/>
      <c r="C801" s="53"/>
      <c r="D801" s="53"/>
      <c r="E801" s="1"/>
    </row>
    <row r="802" ht="14.25" customHeight="1">
      <c r="A802" s="52"/>
      <c r="B802" s="53"/>
      <c r="C802" s="53"/>
      <c r="D802" s="53"/>
      <c r="E802" s="1"/>
    </row>
    <row r="803" ht="14.25" customHeight="1">
      <c r="A803" s="52"/>
      <c r="B803" s="53"/>
      <c r="C803" s="53"/>
      <c r="D803" s="53"/>
      <c r="E803" s="1"/>
    </row>
    <row r="804" ht="14.25" customHeight="1">
      <c r="A804" s="52"/>
      <c r="B804" s="53"/>
      <c r="C804" s="53"/>
      <c r="D804" s="53"/>
      <c r="E804" s="1"/>
    </row>
    <row r="805" ht="14.25" customHeight="1">
      <c r="A805" s="52"/>
      <c r="B805" s="53"/>
      <c r="C805" s="53"/>
      <c r="D805" s="53"/>
      <c r="E805" s="1"/>
    </row>
    <row r="806" ht="14.25" customHeight="1">
      <c r="A806" s="52"/>
      <c r="B806" s="53"/>
      <c r="C806" s="53"/>
      <c r="D806" s="53"/>
      <c r="E806" s="1"/>
    </row>
    <row r="807" ht="14.25" customHeight="1">
      <c r="A807" s="52"/>
      <c r="B807" s="53"/>
      <c r="C807" s="53"/>
      <c r="D807" s="53"/>
      <c r="E807" s="1"/>
    </row>
    <row r="808" ht="14.25" customHeight="1">
      <c r="A808" s="52"/>
      <c r="B808" s="53"/>
      <c r="C808" s="53"/>
      <c r="D808" s="53"/>
      <c r="E808" s="1"/>
    </row>
    <row r="809" ht="14.25" customHeight="1">
      <c r="A809" s="52"/>
      <c r="B809" s="53"/>
      <c r="C809" s="53"/>
      <c r="D809" s="53"/>
      <c r="E809" s="1"/>
    </row>
    <row r="810" ht="14.25" customHeight="1">
      <c r="A810" s="52"/>
      <c r="B810" s="53"/>
      <c r="C810" s="53"/>
      <c r="D810" s="53"/>
      <c r="E810" s="1"/>
    </row>
    <row r="811" ht="14.25" customHeight="1">
      <c r="A811" s="52"/>
      <c r="B811" s="53"/>
      <c r="C811" s="53"/>
      <c r="D811" s="53"/>
      <c r="E811" s="1"/>
    </row>
    <row r="812" ht="14.25" customHeight="1">
      <c r="A812" s="52"/>
      <c r="B812" s="53"/>
      <c r="C812" s="53"/>
      <c r="D812" s="53"/>
      <c r="E812" s="1"/>
    </row>
    <row r="813" ht="14.25" customHeight="1">
      <c r="A813" s="52"/>
      <c r="B813" s="53"/>
      <c r="C813" s="53"/>
      <c r="D813" s="53"/>
      <c r="E813" s="1"/>
    </row>
    <row r="814" ht="14.25" customHeight="1">
      <c r="A814" s="52"/>
      <c r="B814" s="53"/>
      <c r="C814" s="53"/>
      <c r="D814" s="53"/>
      <c r="E814" s="1"/>
    </row>
    <row r="815" ht="14.25" customHeight="1">
      <c r="A815" s="52"/>
      <c r="B815" s="53"/>
      <c r="C815" s="53"/>
      <c r="D815" s="53"/>
      <c r="E815" s="1"/>
    </row>
    <row r="816" ht="14.25" customHeight="1">
      <c r="A816" s="52"/>
      <c r="B816" s="53"/>
      <c r="C816" s="53"/>
      <c r="D816" s="53"/>
      <c r="E816" s="1"/>
    </row>
    <row r="817" ht="14.25" customHeight="1">
      <c r="A817" s="52"/>
      <c r="B817" s="53"/>
      <c r="C817" s="53"/>
      <c r="D817" s="53"/>
      <c r="E817" s="1"/>
    </row>
    <row r="818" ht="14.25" customHeight="1">
      <c r="A818" s="52"/>
      <c r="B818" s="53"/>
      <c r="C818" s="53"/>
      <c r="D818" s="53"/>
      <c r="E818" s="1"/>
    </row>
    <row r="819" ht="14.25" customHeight="1">
      <c r="A819" s="52"/>
      <c r="B819" s="53"/>
      <c r="C819" s="53"/>
      <c r="D819" s="53"/>
      <c r="E819" s="1"/>
    </row>
    <row r="820" ht="14.25" customHeight="1">
      <c r="A820" s="52"/>
      <c r="B820" s="53"/>
      <c r="C820" s="53"/>
      <c r="D820" s="53"/>
      <c r="E820" s="1"/>
    </row>
    <row r="821" ht="14.25" customHeight="1">
      <c r="A821" s="52"/>
      <c r="B821" s="53"/>
      <c r="C821" s="53"/>
      <c r="D821" s="53"/>
      <c r="E821" s="1"/>
    </row>
    <row r="822" ht="14.25" customHeight="1">
      <c r="A822" s="52"/>
      <c r="B822" s="53"/>
      <c r="C822" s="53"/>
      <c r="D822" s="53"/>
      <c r="E822" s="1"/>
    </row>
    <row r="823" ht="14.25" customHeight="1">
      <c r="A823" s="52"/>
      <c r="B823" s="53"/>
      <c r="C823" s="53"/>
      <c r="D823" s="53"/>
      <c r="E823" s="1"/>
    </row>
    <row r="824" ht="14.25" customHeight="1">
      <c r="A824" s="52"/>
      <c r="B824" s="53"/>
      <c r="C824" s="53"/>
      <c r="D824" s="53"/>
      <c r="E824" s="1"/>
    </row>
    <row r="825" ht="14.25" customHeight="1">
      <c r="A825" s="52"/>
      <c r="B825" s="53"/>
      <c r="C825" s="53"/>
      <c r="D825" s="53"/>
      <c r="E825" s="1"/>
    </row>
    <row r="826" ht="14.25" customHeight="1">
      <c r="A826" s="52"/>
      <c r="B826" s="53"/>
      <c r="C826" s="53"/>
      <c r="D826" s="53"/>
      <c r="E826" s="1"/>
    </row>
    <row r="827" ht="14.25" customHeight="1">
      <c r="A827" s="52"/>
      <c r="B827" s="53"/>
      <c r="C827" s="53"/>
      <c r="D827" s="53"/>
      <c r="E827" s="1"/>
    </row>
    <row r="828" ht="14.25" customHeight="1">
      <c r="A828" s="52"/>
      <c r="B828" s="53"/>
      <c r="C828" s="53"/>
      <c r="D828" s="53"/>
      <c r="E828" s="1"/>
    </row>
    <row r="829" ht="14.25" customHeight="1">
      <c r="A829" s="52"/>
      <c r="B829" s="53"/>
      <c r="C829" s="53"/>
      <c r="D829" s="53"/>
      <c r="E829" s="1"/>
    </row>
    <row r="830" ht="14.25" customHeight="1">
      <c r="A830" s="52"/>
      <c r="B830" s="53"/>
      <c r="C830" s="53"/>
      <c r="D830" s="53"/>
      <c r="E830" s="1"/>
    </row>
    <row r="831" ht="14.25" customHeight="1">
      <c r="A831" s="52"/>
      <c r="B831" s="53"/>
      <c r="C831" s="53"/>
      <c r="D831" s="53"/>
      <c r="E831" s="1"/>
    </row>
    <row r="832" ht="14.25" customHeight="1">
      <c r="A832" s="52"/>
      <c r="B832" s="53"/>
      <c r="C832" s="53"/>
      <c r="D832" s="53"/>
      <c r="E832" s="1"/>
    </row>
    <row r="833" ht="14.25" customHeight="1">
      <c r="A833" s="52"/>
      <c r="B833" s="53"/>
      <c r="C833" s="53"/>
      <c r="D833" s="53"/>
      <c r="E833" s="1"/>
    </row>
    <row r="834" ht="14.25" customHeight="1">
      <c r="A834" s="52"/>
      <c r="B834" s="53"/>
      <c r="C834" s="53"/>
      <c r="D834" s="53"/>
      <c r="E834" s="1"/>
    </row>
    <row r="835" ht="14.25" customHeight="1">
      <c r="A835" s="52"/>
      <c r="B835" s="53"/>
      <c r="C835" s="53"/>
      <c r="D835" s="53"/>
      <c r="E835" s="1"/>
    </row>
    <row r="836" ht="14.25" customHeight="1">
      <c r="A836" s="52"/>
      <c r="B836" s="53"/>
      <c r="C836" s="53"/>
      <c r="D836" s="53"/>
      <c r="E836" s="1"/>
    </row>
    <row r="837" ht="14.25" customHeight="1">
      <c r="A837" s="52"/>
      <c r="B837" s="53"/>
      <c r="C837" s="53"/>
      <c r="D837" s="53"/>
      <c r="E837" s="1"/>
    </row>
    <row r="838" ht="14.25" customHeight="1">
      <c r="A838" s="52"/>
      <c r="B838" s="53"/>
      <c r="C838" s="53"/>
      <c r="D838" s="53"/>
      <c r="E838" s="1"/>
    </row>
    <row r="839" ht="14.25" customHeight="1">
      <c r="A839" s="52"/>
      <c r="B839" s="53"/>
      <c r="C839" s="53"/>
      <c r="D839" s="53"/>
      <c r="E839" s="1"/>
    </row>
    <row r="840" ht="14.25" customHeight="1">
      <c r="A840" s="52"/>
      <c r="B840" s="53"/>
      <c r="C840" s="53"/>
      <c r="D840" s="53"/>
      <c r="E840" s="1"/>
    </row>
    <row r="841" ht="14.25" customHeight="1">
      <c r="A841" s="52"/>
      <c r="B841" s="53"/>
      <c r="C841" s="53"/>
      <c r="D841" s="53"/>
      <c r="E841" s="1"/>
    </row>
    <row r="842" ht="14.25" customHeight="1">
      <c r="A842" s="52"/>
      <c r="B842" s="53"/>
      <c r="C842" s="53"/>
      <c r="D842" s="53"/>
      <c r="E842" s="1"/>
    </row>
    <row r="843" ht="14.25" customHeight="1">
      <c r="A843" s="52"/>
      <c r="B843" s="53"/>
      <c r="C843" s="53"/>
      <c r="D843" s="53"/>
      <c r="E843" s="1"/>
    </row>
    <row r="844" ht="14.25" customHeight="1">
      <c r="A844" s="52"/>
      <c r="B844" s="53"/>
      <c r="C844" s="53"/>
      <c r="D844" s="53"/>
      <c r="E844" s="1"/>
    </row>
    <row r="845" ht="14.25" customHeight="1">
      <c r="A845" s="52"/>
      <c r="B845" s="53"/>
      <c r="C845" s="53"/>
      <c r="D845" s="53"/>
      <c r="E845" s="1"/>
    </row>
    <row r="846" ht="14.25" customHeight="1">
      <c r="A846" s="52"/>
      <c r="B846" s="53"/>
      <c r="C846" s="53"/>
      <c r="D846" s="53"/>
      <c r="E846" s="1"/>
    </row>
    <row r="847" ht="14.25" customHeight="1">
      <c r="A847" s="52"/>
      <c r="B847" s="53"/>
      <c r="C847" s="53"/>
      <c r="D847" s="53"/>
      <c r="E847" s="1"/>
    </row>
    <row r="848" ht="14.25" customHeight="1">
      <c r="A848" s="52"/>
      <c r="B848" s="53"/>
      <c r="C848" s="53"/>
      <c r="D848" s="53"/>
      <c r="E848" s="1"/>
    </row>
    <row r="849" ht="14.25" customHeight="1">
      <c r="A849" s="52"/>
      <c r="B849" s="53"/>
      <c r="C849" s="53"/>
      <c r="D849" s="53"/>
      <c r="E849" s="1"/>
    </row>
    <row r="850" ht="14.25" customHeight="1">
      <c r="A850" s="52"/>
      <c r="B850" s="53"/>
      <c r="C850" s="53"/>
      <c r="D850" s="53"/>
      <c r="E850" s="1"/>
    </row>
    <row r="851" ht="14.25" customHeight="1">
      <c r="A851" s="52"/>
      <c r="B851" s="53"/>
      <c r="C851" s="53"/>
      <c r="D851" s="53"/>
      <c r="E851" s="1"/>
    </row>
    <row r="852" ht="14.25" customHeight="1">
      <c r="A852" s="52"/>
      <c r="B852" s="53"/>
      <c r="C852" s="53"/>
      <c r="D852" s="53"/>
      <c r="E852" s="1"/>
    </row>
    <row r="853" ht="14.25" customHeight="1">
      <c r="A853" s="52"/>
      <c r="B853" s="53"/>
      <c r="C853" s="53"/>
      <c r="D853" s="53"/>
      <c r="E853" s="1"/>
    </row>
    <row r="854" ht="14.25" customHeight="1">
      <c r="A854" s="52"/>
      <c r="B854" s="53"/>
      <c r="C854" s="53"/>
      <c r="D854" s="53"/>
      <c r="E854" s="1"/>
    </row>
    <row r="855" ht="14.25" customHeight="1">
      <c r="A855" s="52"/>
      <c r="B855" s="53"/>
      <c r="C855" s="53"/>
      <c r="D855" s="53"/>
      <c r="E855" s="1"/>
    </row>
    <row r="856" ht="14.25" customHeight="1">
      <c r="A856" s="52"/>
      <c r="B856" s="53"/>
      <c r="C856" s="53"/>
      <c r="D856" s="53"/>
      <c r="E856" s="1"/>
    </row>
    <row r="857" ht="14.25" customHeight="1">
      <c r="A857" s="52"/>
      <c r="B857" s="53"/>
      <c r="C857" s="53"/>
      <c r="D857" s="53"/>
      <c r="E857" s="1"/>
    </row>
    <row r="858" ht="14.25" customHeight="1">
      <c r="A858" s="52"/>
      <c r="B858" s="53"/>
      <c r="C858" s="53"/>
      <c r="D858" s="53"/>
      <c r="E858" s="1"/>
    </row>
    <row r="859" ht="14.25" customHeight="1">
      <c r="A859" s="52"/>
      <c r="B859" s="53"/>
      <c r="C859" s="53"/>
      <c r="D859" s="53"/>
      <c r="E859" s="1"/>
    </row>
    <row r="860" ht="14.25" customHeight="1">
      <c r="A860" s="52"/>
      <c r="B860" s="53"/>
      <c r="C860" s="53"/>
      <c r="D860" s="53"/>
      <c r="E860" s="1"/>
    </row>
    <row r="861" ht="14.25" customHeight="1">
      <c r="A861" s="52"/>
      <c r="B861" s="53"/>
      <c r="C861" s="53"/>
      <c r="D861" s="53"/>
      <c r="E861" s="1"/>
    </row>
    <row r="862" ht="14.25" customHeight="1">
      <c r="A862" s="52"/>
      <c r="B862" s="53"/>
      <c r="C862" s="53"/>
      <c r="D862" s="53"/>
      <c r="E862" s="1"/>
    </row>
    <row r="863" ht="14.25" customHeight="1">
      <c r="A863" s="52"/>
      <c r="B863" s="53"/>
      <c r="C863" s="53"/>
      <c r="D863" s="53"/>
      <c r="E863" s="1"/>
    </row>
    <row r="864" ht="14.25" customHeight="1">
      <c r="A864" s="52"/>
      <c r="B864" s="53"/>
      <c r="C864" s="53"/>
      <c r="D864" s="53"/>
      <c r="E864" s="1"/>
    </row>
    <row r="865" ht="14.25" customHeight="1">
      <c r="A865" s="52"/>
      <c r="B865" s="53"/>
      <c r="C865" s="53"/>
      <c r="D865" s="53"/>
      <c r="E865" s="1"/>
    </row>
    <row r="866" ht="14.25" customHeight="1">
      <c r="A866" s="52"/>
      <c r="B866" s="53"/>
      <c r="C866" s="53"/>
      <c r="D866" s="53"/>
      <c r="E866" s="1"/>
    </row>
    <row r="867" ht="14.25" customHeight="1">
      <c r="A867" s="52"/>
      <c r="B867" s="53"/>
      <c r="C867" s="53"/>
      <c r="D867" s="53"/>
      <c r="E867" s="1"/>
    </row>
    <row r="868" ht="14.25" customHeight="1">
      <c r="A868" s="52"/>
      <c r="B868" s="53"/>
      <c r="C868" s="53"/>
      <c r="D868" s="53"/>
      <c r="E868" s="1"/>
    </row>
    <row r="869" ht="14.25" customHeight="1">
      <c r="A869" s="52"/>
      <c r="B869" s="53"/>
      <c r="C869" s="53"/>
      <c r="D869" s="53"/>
      <c r="E869" s="1"/>
    </row>
    <row r="870" ht="14.25" customHeight="1">
      <c r="A870" s="52"/>
      <c r="B870" s="53"/>
      <c r="C870" s="53"/>
      <c r="D870" s="53"/>
      <c r="E870" s="1"/>
    </row>
    <row r="871" ht="14.25" customHeight="1">
      <c r="A871" s="52"/>
      <c r="B871" s="53"/>
      <c r="C871" s="53"/>
      <c r="D871" s="53"/>
      <c r="E871" s="1"/>
    </row>
    <row r="872" ht="14.25" customHeight="1">
      <c r="A872" s="52"/>
      <c r="B872" s="53"/>
      <c r="C872" s="53"/>
      <c r="D872" s="53"/>
      <c r="E872" s="1"/>
    </row>
    <row r="873" ht="14.25" customHeight="1">
      <c r="A873" s="52"/>
      <c r="B873" s="53"/>
      <c r="C873" s="53"/>
      <c r="D873" s="53"/>
      <c r="E873" s="1"/>
    </row>
    <row r="874" ht="14.25" customHeight="1">
      <c r="A874" s="52"/>
      <c r="B874" s="53"/>
      <c r="C874" s="53"/>
      <c r="D874" s="53"/>
      <c r="E874" s="1"/>
    </row>
    <row r="875" ht="14.25" customHeight="1">
      <c r="A875" s="52"/>
      <c r="B875" s="53"/>
      <c r="C875" s="53"/>
      <c r="D875" s="53"/>
      <c r="E875" s="1"/>
    </row>
    <row r="876" ht="14.25" customHeight="1">
      <c r="A876" s="52"/>
      <c r="B876" s="53"/>
      <c r="C876" s="53"/>
      <c r="D876" s="53"/>
      <c r="E876" s="1"/>
    </row>
    <row r="877" ht="14.25" customHeight="1">
      <c r="A877" s="52"/>
      <c r="B877" s="53"/>
      <c r="C877" s="53"/>
      <c r="D877" s="53"/>
      <c r="E877" s="1"/>
    </row>
    <row r="878" ht="14.25" customHeight="1">
      <c r="A878" s="52"/>
      <c r="B878" s="53"/>
      <c r="C878" s="53"/>
      <c r="D878" s="53"/>
      <c r="E878" s="1"/>
    </row>
    <row r="879" ht="14.25" customHeight="1">
      <c r="A879" s="52"/>
      <c r="B879" s="53"/>
      <c r="C879" s="53"/>
      <c r="D879" s="53"/>
      <c r="E879" s="1"/>
    </row>
    <row r="880" ht="14.25" customHeight="1">
      <c r="A880" s="52"/>
      <c r="B880" s="53"/>
      <c r="C880" s="53"/>
      <c r="D880" s="53"/>
      <c r="E880" s="1"/>
    </row>
    <row r="881" ht="14.25" customHeight="1">
      <c r="A881" s="52"/>
      <c r="B881" s="53"/>
      <c r="C881" s="53"/>
      <c r="D881" s="53"/>
      <c r="E881" s="1"/>
    </row>
    <row r="882" ht="14.25" customHeight="1">
      <c r="A882" s="52"/>
      <c r="B882" s="53"/>
      <c r="C882" s="53"/>
      <c r="D882" s="53"/>
      <c r="E882" s="1"/>
    </row>
    <row r="883" ht="14.25" customHeight="1">
      <c r="A883" s="52"/>
      <c r="B883" s="53"/>
      <c r="C883" s="53"/>
      <c r="D883" s="53"/>
      <c r="E883" s="1"/>
    </row>
    <row r="884" ht="14.25" customHeight="1">
      <c r="A884" s="52"/>
      <c r="B884" s="53"/>
      <c r="C884" s="53"/>
      <c r="D884" s="53"/>
      <c r="E884" s="1"/>
    </row>
    <row r="885" ht="14.25" customHeight="1">
      <c r="A885" s="52"/>
      <c r="B885" s="53"/>
      <c r="C885" s="53"/>
      <c r="D885" s="53"/>
      <c r="E885" s="1"/>
    </row>
    <row r="886" ht="14.25" customHeight="1">
      <c r="A886" s="52"/>
      <c r="B886" s="53"/>
      <c r="C886" s="53"/>
      <c r="D886" s="53"/>
      <c r="E886" s="1"/>
    </row>
    <row r="887" ht="14.25" customHeight="1">
      <c r="A887" s="52"/>
      <c r="B887" s="53"/>
      <c r="C887" s="53"/>
      <c r="D887" s="53"/>
      <c r="E887" s="1"/>
    </row>
    <row r="888" ht="14.25" customHeight="1">
      <c r="A888" s="52"/>
      <c r="B888" s="53"/>
      <c r="C888" s="53"/>
      <c r="D888" s="53"/>
      <c r="E888" s="1"/>
    </row>
    <row r="889" ht="14.25" customHeight="1">
      <c r="A889" s="52"/>
      <c r="B889" s="53"/>
      <c r="C889" s="53"/>
      <c r="D889" s="53"/>
      <c r="E889" s="1"/>
    </row>
    <row r="890" ht="14.25" customHeight="1">
      <c r="A890" s="52"/>
      <c r="B890" s="53"/>
      <c r="C890" s="53"/>
      <c r="D890" s="53"/>
      <c r="E890" s="1"/>
    </row>
    <row r="891" ht="14.25" customHeight="1">
      <c r="A891" s="52"/>
      <c r="B891" s="53"/>
      <c r="C891" s="53"/>
      <c r="D891" s="53"/>
      <c r="E891" s="1"/>
    </row>
    <row r="892" ht="14.25" customHeight="1">
      <c r="A892" s="52"/>
      <c r="B892" s="53"/>
      <c r="C892" s="53"/>
      <c r="D892" s="53"/>
      <c r="E892" s="1"/>
    </row>
    <row r="893" ht="14.25" customHeight="1">
      <c r="A893" s="52"/>
      <c r="B893" s="53"/>
      <c r="C893" s="53"/>
      <c r="D893" s="53"/>
      <c r="E893" s="1"/>
    </row>
    <row r="894" ht="14.25" customHeight="1">
      <c r="A894" s="52"/>
      <c r="B894" s="53"/>
      <c r="C894" s="53"/>
      <c r="D894" s="53"/>
      <c r="E894" s="1"/>
    </row>
    <row r="895" ht="14.25" customHeight="1">
      <c r="A895" s="52"/>
      <c r="B895" s="53"/>
      <c r="C895" s="53"/>
      <c r="D895" s="53"/>
      <c r="E895" s="1"/>
    </row>
    <row r="896" ht="14.25" customHeight="1">
      <c r="A896" s="52"/>
      <c r="B896" s="53"/>
      <c r="C896" s="53"/>
      <c r="D896" s="53"/>
      <c r="E896" s="1"/>
    </row>
    <row r="897" ht="14.25" customHeight="1">
      <c r="A897" s="52"/>
      <c r="B897" s="53"/>
      <c r="C897" s="53"/>
      <c r="D897" s="53"/>
      <c r="E897" s="1"/>
    </row>
    <row r="898" ht="14.25" customHeight="1">
      <c r="A898" s="52"/>
      <c r="B898" s="53"/>
      <c r="C898" s="53"/>
      <c r="D898" s="53"/>
      <c r="E898" s="1"/>
    </row>
    <row r="899" ht="14.25" customHeight="1">
      <c r="A899" s="52"/>
      <c r="B899" s="53"/>
      <c r="C899" s="53"/>
      <c r="D899" s="53"/>
      <c r="E899" s="1"/>
    </row>
    <row r="900" ht="14.25" customHeight="1">
      <c r="A900" s="52"/>
      <c r="B900" s="53"/>
      <c r="C900" s="53"/>
      <c r="D900" s="53"/>
      <c r="E900" s="1"/>
    </row>
    <row r="901" ht="14.25" customHeight="1">
      <c r="A901" s="52"/>
      <c r="B901" s="53"/>
      <c r="C901" s="53"/>
      <c r="D901" s="53"/>
      <c r="E901" s="1"/>
    </row>
    <row r="902" ht="14.25" customHeight="1">
      <c r="A902" s="52"/>
      <c r="B902" s="53"/>
      <c r="C902" s="53"/>
      <c r="D902" s="53"/>
      <c r="E902" s="1"/>
    </row>
    <row r="903" ht="14.25" customHeight="1">
      <c r="A903" s="52"/>
      <c r="B903" s="53"/>
      <c r="C903" s="53"/>
      <c r="D903" s="53"/>
      <c r="E903" s="1"/>
    </row>
    <row r="904" ht="14.25" customHeight="1">
      <c r="A904" s="52"/>
      <c r="B904" s="53"/>
      <c r="C904" s="53"/>
      <c r="D904" s="53"/>
      <c r="E904" s="1"/>
    </row>
    <row r="905" ht="14.25" customHeight="1">
      <c r="A905" s="52"/>
      <c r="B905" s="53"/>
      <c r="C905" s="53"/>
      <c r="D905" s="53"/>
      <c r="E905" s="1"/>
    </row>
    <row r="906" ht="14.25" customHeight="1">
      <c r="A906" s="52"/>
      <c r="B906" s="53"/>
      <c r="C906" s="53"/>
      <c r="D906" s="53"/>
      <c r="E906" s="1"/>
    </row>
    <row r="907" ht="14.25" customHeight="1">
      <c r="A907" s="52"/>
      <c r="B907" s="53"/>
      <c r="C907" s="53"/>
      <c r="D907" s="53"/>
      <c r="E907" s="1"/>
    </row>
    <row r="908" ht="14.25" customHeight="1">
      <c r="A908" s="52"/>
      <c r="B908" s="53"/>
      <c r="C908" s="53"/>
      <c r="D908" s="53"/>
      <c r="E908" s="1"/>
    </row>
    <row r="909" ht="14.25" customHeight="1">
      <c r="A909" s="52"/>
      <c r="B909" s="53"/>
      <c r="C909" s="53"/>
      <c r="D909" s="53"/>
      <c r="E909" s="1"/>
    </row>
    <row r="910" ht="14.25" customHeight="1">
      <c r="A910" s="52"/>
      <c r="B910" s="53"/>
      <c r="C910" s="53"/>
      <c r="D910" s="53"/>
      <c r="E910" s="1"/>
    </row>
    <row r="911" ht="14.25" customHeight="1">
      <c r="A911" s="52"/>
      <c r="B911" s="53"/>
      <c r="C911" s="53"/>
      <c r="D911" s="53"/>
      <c r="E911" s="1"/>
    </row>
    <row r="912" ht="14.25" customHeight="1">
      <c r="A912" s="52"/>
      <c r="B912" s="53"/>
      <c r="C912" s="53"/>
      <c r="D912" s="53"/>
      <c r="E912" s="1"/>
    </row>
    <row r="913" ht="14.25" customHeight="1">
      <c r="A913" s="52"/>
      <c r="B913" s="53"/>
      <c r="C913" s="53"/>
      <c r="D913" s="53"/>
      <c r="E913" s="1"/>
    </row>
    <row r="914" ht="14.25" customHeight="1">
      <c r="A914" s="52"/>
      <c r="B914" s="53"/>
      <c r="C914" s="53"/>
      <c r="D914" s="53"/>
      <c r="E914" s="1"/>
    </row>
    <row r="915" ht="14.25" customHeight="1">
      <c r="A915" s="52"/>
      <c r="B915" s="53"/>
      <c r="C915" s="53"/>
      <c r="D915" s="53"/>
      <c r="E915" s="1"/>
    </row>
    <row r="916" ht="14.25" customHeight="1">
      <c r="A916" s="52"/>
      <c r="B916" s="53"/>
      <c r="C916" s="53"/>
      <c r="D916" s="53"/>
      <c r="E916" s="1"/>
    </row>
    <row r="917" ht="14.25" customHeight="1">
      <c r="A917" s="52"/>
      <c r="B917" s="53"/>
      <c r="C917" s="53"/>
      <c r="D917" s="53"/>
      <c r="E917" s="1"/>
    </row>
    <row r="918" ht="14.25" customHeight="1">
      <c r="A918" s="52"/>
      <c r="B918" s="53"/>
      <c r="C918" s="53"/>
      <c r="D918" s="53"/>
      <c r="E918" s="1"/>
    </row>
    <row r="919" ht="14.25" customHeight="1">
      <c r="A919" s="52"/>
      <c r="B919" s="53"/>
      <c r="C919" s="53"/>
      <c r="D919" s="53"/>
      <c r="E919" s="1"/>
    </row>
    <row r="920" ht="14.25" customHeight="1">
      <c r="A920" s="52"/>
      <c r="B920" s="53"/>
      <c r="C920" s="53"/>
      <c r="D920" s="53"/>
      <c r="E920" s="1"/>
    </row>
    <row r="921" ht="14.25" customHeight="1">
      <c r="A921" s="52"/>
      <c r="B921" s="53"/>
      <c r="C921" s="53"/>
      <c r="D921" s="53"/>
      <c r="E921" s="1"/>
    </row>
    <row r="922" ht="14.25" customHeight="1">
      <c r="A922" s="52"/>
      <c r="B922" s="53"/>
      <c r="C922" s="53"/>
      <c r="D922" s="53"/>
      <c r="E922" s="1"/>
    </row>
    <row r="923" ht="14.25" customHeight="1">
      <c r="A923" s="52"/>
      <c r="B923" s="53"/>
      <c r="C923" s="53"/>
      <c r="D923" s="53"/>
      <c r="E923" s="1"/>
    </row>
    <row r="924" ht="14.25" customHeight="1">
      <c r="A924" s="52"/>
      <c r="B924" s="53"/>
      <c r="C924" s="53"/>
      <c r="D924" s="53"/>
      <c r="E924" s="1"/>
    </row>
    <row r="925" ht="14.25" customHeight="1">
      <c r="A925" s="52"/>
      <c r="B925" s="53"/>
      <c r="C925" s="53"/>
      <c r="D925" s="53"/>
      <c r="E925" s="1"/>
    </row>
    <row r="926" ht="14.25" customHeight="1">
      <c r="A926" s="52"/>
      <c r="B926" s="53"/>
      <c r="C926" s="53"/>
      <c r="D926" s="53"/>
      <c r="E926" s="1"/>
    </row>
    <row r="927" ht="14.25" customHeight="1">
      <c r="A927" s="52"/>
      <c r="B927" s="53"/>
      <c r="C927" s="53"/>
      <c r="D927" s="53"/>
      <c r="E927" s="1"/>
    </row>
    <row r="928" ht="14.25" customHeight="1">
      <c r="A928" s="52"/>
      <c r="B928" s="53"/>
      <c r="C928" s="53"/>
      <c r="D928" s="53"/>
      <c r="E928" s="1"/>
    </row>
    <row r="929" ht="14.25" customHeight="1">
      <c r="A929" s="52"/>
      <c r="B929" s="53"/>
      <c r="C929" s="53"/>
      <c r="D929" s="53"/>
      <c r="E929" s="1"/>
    </row>
    <row r="930" ht="14.25" customHeight="1">
      <c r="A930" s="52"/>
      <c r="B930" s="53"/>
      <c r="C930" s="53"/>
      <c r="D930" s="53"/>
      <c r="E930" s="1"/>
    </row>
    <row r="931" ht="14.25" customHeight="1">
      <c r="A931" s="52"/>
      <c r="B931" s="53"/>
      <c r="C931" s="53"/>
      <c r="D931" s="53"/>
      <c r="E931" s="1"/>
    </row>
    <row r="932" ht="14.25" customHeight="1">
      <c r="A932" s="52"/>
      <c r="B932" s="53"/>
      <c r="C932" s="53"/>
      <c r="D932" s="53"/>
      <c r="E932" s="1"/>
    </row>
    <row r="933" ht="14.25" customHeight="1">
      <c r="A933" s="52"/>
      <c r="B933" s="53"/>
      <c r="C933" s="53"/>
      <c r="D933" s="53"/>
      <c r="E933" s="1"/>
    </row>
    <row r="934" ht="14.25" customHeight="1">
      <c r="A934" s="52"/>
      <c r="B934" s="53"/>
      <c r="C934" s="53"/>
      <c r="D934" s="53"/>
      <c r="E934" s="1"/>
    </row>
    <row r="935" ht="14.25" customHeight="1">
      <c r="A935" s="52"/>
      <c r="B935" s="53"/>
      <c r="C935" s="53"/>
      <c r="D935" s="53"/>
      <c r="E935" s="1"/>
    </row>
    <row r="936" ht="14.25" customHeight="1">
      <c r="A936" s="52"/>
      <c r="B936" s="53"/>
      <c r="C936" s="53"/>
      <c r="D936" s="53"/>
      <c r="E936" s="1"/>
    </row>
    <row r="937" ht="14.25" customHeight="1">
      <c r="A937" s="52"/>
      <c r="B937" s="53"/>
      <c r="C937" s="53"/>
      <c r="D937" s="53"/>
      <c r="E937" s="1"/>
    </row>
    <row r="938" ht="14.25" customHeight="1">
      <c r="A938" s="52"/>
      <c r="B938" s="53"/>
      <c r="C938" s="53"/>
      <c r="D938" s="53"/>
      <c r="E938" s="1"/>
    </row>
    <row r="939" ht="14.25" customHeight="1">
      <c r="A939" s="52"/>
      <c r="B939" s="53"/>
      <c r="C939" s="53"/>
      <c r="D939" s="53"/>
      <c r="E939" s="1"/>
    </row>
    <row r="940" ht="14.25" customHeight="1">
      <c r="A940" s="52"/>
      <c r="B940" s="53"/>
      <c r="C940" s="53"/>
      <c r="D940" s="53"/>
      <c r="E940" s="1"/>
    </row>
    <row r="941" ht="14.25" customHeight="1">
      <c r="A941" s="52"/>
      <c r="B941" s="53"/>
      <c r="C941" s="53"/>
      <c r="D941" s="53"/>
      <c r="E941" s="1"/>
    </row>
    <row r="942" ht="14.25" customHeight="1">
      <c r="A942" s="52"/>
      <c r="B942" s="53"/>
      <c r="C942" s="53"/>
      <c r="D942" s="53"/>
      <c r="E942" s="1"/>
    </row>
    <row r="943" ht="14.25" customHeight="1">
      <c r="A943" s="52"/>
      <c r="B943" s="53"/>
      <c r="C943" s="53"/>
      <c r="D943" s="53"/>
      <c r="E943" s="1"/>
    </row>
    <row r="944" ht="14.25" customHeight="1">
      <c r="A944" s="52"/>
      <c r="B944" s="53"/>
      <c r="C944" s="53"/>
      <c r="D944" s="53"/>
      <c r="E944" s="1"/>
    </row>
    <row r="945" ht="14.25" customHeight="1">
      <c r="A945" s="52"/>
      <c r="B945" s="53"/>
      <c r="C945" s="53"/>
      <c r="D945" s="53"/>
      <c r="E945" s="1"/>
    </row>
    <row r="946" ht="14.25" customHeight="1">
      <c r="A946" s="52"/>
      <c r="B946" s="53"/>
      <c r="C946" s="53"/>
      <c r="D946" s="53"/>
      <c r="E946" s="1"/>
    </row>
    <row r="947" ht="14.25" customHeight="1">
      <c r="A947" s="52"/>
      <c r="B947" s="53"/>
      <c r="C947" s="53"/>
      <c r="D947" s="53"/>
      <c r="E947" s="1"/>
    </row>
    <row r="948" ht="14.25" customHeight="1">
      <c r="A948" s="52"/>
      <c r="B948" s="53"/>
      <c r="C948" s="53"/>
      <c r="D948" s="53"/>
      <c r="E948" s="1"/>
    </row>
    <row r="949" ht="14.25" customHeight="1">
      <c r="A949" s="52"/>
      <c r="B949" s="53"/>
      <c r="C949" s="53"/>
      <c r="D949" s="53"/>
      <c r="E949" s="1"/>
    </row>
    <row r="950" ht="14.25" customHeight="1">
      <c r="A950" s="52"/>
      <c r="B950" s="53"/>
      <c r="C950" s="53"/>
      <c r="D950" s="53"/>
      <c r="E950" s="1"/>
    </row>
    <row r="951" ht="14.25" customHeight="1">
      <c r="A951" s="52"/>
      <c r="B951" s="53"/>
      <c r="C951" s="53"/>
      <c r="D951" s="53"/>
      <c r="E951" s="1"/>
    </row>
    <row r="952" ht="14.25" customHeight="1">
      <c r="A952" s="52"/>
      <c r="B952" s="53"/>
      <c r="C952" s="53"/>
      <c r="D952" s="53"/>
      <c r="E952" s="1"/>
    </row>
    <row r="953" ht="14.25" customHeight="1">
      <c r="A953" s="52"/>
      <c r="B953" s="53"/>
      <c r="C953" s="53"/>
      <c r="D953" s="53"/>
      <c r="E953" s="1"/>
    </row>
    <row r="954" ht="14.25" customHeight="1">
      <c r="A954" s="52"/>
      <c r="B954" s="53"/>
      <c r="C954" s="53"/>
      <c r="D954" s="53"/>
      <c r="E954" s="1"/>
    </row>
    <row r="955" ht="14.25" customHeight="1">
      <c r="A955" s="52"/>
      <c r="B955" s="53"/>
      <c r="C955" s="53"/>
      <c r="D955" s="53"/>
      <c r="E955" s="1"/>
    </row>
    <row r="956" ht="14.25" customHeight="1">
      <c r="A956" s="52"/>
      <c r="B956" s="53"/>
      <c r="C956" s="53"/>
      <c r="D956" s="53"/>
      <c r="E956" s="1"/>
    </row>
    <row r="957" ht="14.25" customHeight="1">
      <c r="A957" s="52"/>
      <c r="B957" s="53"/>
      <c r="C957" s="53"/>
      <c r="D957" s="53"/>
      <c r="E957" s="1"/>
    </row>
    <row r="958" ht="14.25" customHeight="1">
      <c r="A958" s="52"/>
      <c r="B958" s="53"/>
      <c r="C958" s="53"/>
      <c r="D958" s="53"/>
      <c r="E958" s="1"/>
    </row>
    <row r="959" ht="14.25" customHeight="1">
      <c r="A959" s="52"/>
      <c r="B959" s="53"/>
      <c r="C959" s="53"/>
      <c r="D959" s="53"/>
      <c r="E959" s="1"/>
    </row>
    <row r="960" ht="14.25" customHeight="1">
      <c r="A960" s="52"/>
      <c r="B960" s="53"/>
      <c r="C960" s="53"/>
      <c r="D960" s="53"/>
      <c r="E960" s="1"/>
    </row>
    <row r="961" ht="14.25" customHeight="1">
      <c r="A961" s="52"/>
      <c r="B961" s="53"/>
      <c r="C961" s="53"/>
      <c r="D961" s="53"/>
      <c r="E961" s="1"/>
    </row>
    <row r="962" ht="14.25" customHeight="1">
      <c r="A962" s="52"/>
      <c r="B962" s="53"/>
      <c r="C962" s="53"/>
      <c r="D962" s="53"/>
      <c r="E962" s="1"/>
    </row>
    <row r="963" ht="14.25" customHeight="1">
      <c r="A963" s="52"/>
      <c r="B963" s="53"/>
      <c r="C963" s="53"/>
      <c r="D963" s="53"/>
      <c r="E963" s="1"/>
    </row>
    <row r="964" ht="14.25" customHeight="1">
      <c r="A964" s="52"/>
      <c r="B964" s="53"/>
      <c r="C964" s="53"/>
      <c r="D964" s="53"/>
      <c r="E964" s="1"/>
    </row>
    <row r="965" ht="14.25" customHeight="1">
      <c r="A965" s="52"/>
      <c r="B965" s="53"/>
      <c r="C965" s="53"/>
      <c r="D965" s="53"/>
      <c r="E965" s="1"/>
    </row>
    <row r="966" ht="14.25" customHeight="1">
      <c r="A966" s="52"/>
      <c r="B966" s="53"/>
      <c r="C966" s="53"/>
      <c r="D966" s="53"/>
      <c r="E966" s="1"/>
    </row>
    <row r="967" ht="14.25" customHeight="1">
      <c r="A967" s="52"/>
      <c r="B967" s="53"/>
      <c r="C967" s="53"/>
      <c r="D967" s="53"/>
      <c r="E967" s="1"/>
    </row>
    <row r="968" ht="14.25" customHeight="1">
      <c r="A968" s="52"/>
      <c r="B968" s="53"/>
      <c r="C968" s="53"/>
      <c r="D968" s="53"/>
      <c r="E968" s="1"/>
    </row>
    <row r="969" ht="14.25" customHeight="1">
      <c r="A969" s="52"/>
      <c r="B969" s="53"/>
      <c r="C969" s="53"/>
      <c r="D969" s="53"/>
      <c r="E969" s="1"/>
    </row>
    <row r="970" ht="14.25" customHeight="1">
      <c r="A970" s="52"/>
      <c r="B970" s="53"/>
      <c r="C970" s="53"/>
      <c r="D970" s="53"/>
      <c r="E970" s="1"/>
    </row>
    <row r="971" ht="14.25" customHeight="1">
      <c r="A971" s="52"/>
      <c r="B971" s="53"/>
      <c r="C971" s="53"/>
      <c r="D971" s="53"/>
      <c r="E971" s="1"/>
    </row>
    <row r="972" ht="14.25" customHeight="1">
      <c r="A972" s="52"/>
      <c r="B972" s="53"/>
      <c r="C972" s="53"/>
      <c r="D972" s="53"/>
      <c r="E972" s="1"/>
    </row>
    <row r="973" ht="14.25" customHeight="1">
      <c r="A973" s="52"/>
      <c r="B973" s="53"/>
      <c r="C973" s="53"/>
      <c r="D973" s="53"/>
      <c r="E973" s="1"/>
    </row>
    <row r="974" ht="14.25" customHeight="1">
      <c r="A974" s="52"/>
      <c r="B974" s="53"/>
      <c r="C974" s="53"/>
      <c r="D974" s="53"/>
      <c r="E974" s="1"/>
    </row>
    <row r="975" ht="14.25" customHeight="1">
      <c r="A975" s="52"/>
      <c r="B975" s="53"/>
      <c r="C975" s="53"/>
      <c r="D975" s="53"/>
      <c r="E975" s="1"/>
    </row>
    <row r="976" ht="14.25" customHeight="1">
      <c r="A976" s="52"/>
      <c r="B976" s="53"/>
      <c r="C976" s="53"/>
      <c r="D976" s="53"/>
      <c r="E976" s="1"/>
    </row>
    <row r="977" ht="14.25" customHeight="1">
      <c r="A977" s="52"/>
      <c r="B977" s="53"/>
      <c r="C977" s="53"/>
      <c r="D977" s="53"/>
      <c r="E977" s="1"/>
    </row>
    <row r="978" ht="14.25" customHeight="1">
      <c r="A978" s="52"/>
      <c r="B978" s="53"/>
      <c r="C978" s="53"/>
      <c r="D978" s="53"/>
      <c r="E978" s="1"/>
    </row>
    <row r="979" ht="14.25" customHeight="1">
      <c r="A979" s="52"/>
      <c r="B979" s="53"/>
      <c r="C979" s="53"/>
      <c r="D979" s="53"/>
      <c r="E979" s="1"/>
    </row>
    <row r="980" ht="14.25" customHeight="1">
      <c r="A980" s="52"/>
      <c r="B980" s="53"/>
      <c r="C980" s="53"/>
      <c r="D980" s="53"/>
      <c r="E980" s="1"/>
    </row>
    <row r="981" ht="14.25" customHeight="1">
      <c r="A981" s="52"/>
      <c r="B981" s="53"/>
      <c r="C981" s="53"/>
      <c r="D981" s="53"/>
      <c r="E981" s="1"/>
    </row>
    <row r="982" ht="14.25" customHeight="1">
      <c r="A982" s="52"/>
      <c r="B982" s="53"/>
      <c r="C982" s="53"/>
      <c r="D982" s="53"/>
      <c r="E982" s="1"/>
    </row>
    <row r="983" ht="14.25" customHeight="1">
      <c r="A983" s="52"/>
      <c r="B983" s="53"/>
      <c r="C983" s="53"/>
      <c r="D983" s="53"/>
      <c r="E983" s="1"/>
    </row>
    <row r="984" ht="14.25" customHeight="1">
      <c r="A984" s="52"/>
      <c r="B984" s="53"/>
      <c r="C984" s="53"/>
      <c r="D984" s="53"/>
      <c r="E984" s="1"/>
    </row>
    <row r="985" ht="14.25" customHeight="1">
      <c r="A985" s="52"/>
      <c r="B985" s="53"/>
      <c r="C985" s="53"/>
      <c r="D985" s="53"/>
      <c r="E985" s="1"/>
    </row>
    <row r="986" ht="14.25" customHeight="1">
      <c r="A986" s="52"/>
      <c r="B986" s="53"/>
      <c r="C986" s="53"/>
      <c r="D986" s="53"/>
      <c r="E986" s="1"/>
    </row>
    <row r="987" ht="14.25" customHeight="1">
      <c r="A987" s="52"/>
      <c r="B987" s="53"/>
      <c r="C987" s="53"/>
      <c r="D987" s="53"/>
      <c r="E987" s="1"/>
    </row>
    <row r="988" ht="14.25" customHeight="1">
      <c r="A988" s="52"/>
      <c r="B988" s="53"/>
      <c r="C988" s="53"/>
      <c r="D988" s="53"/>
      <c r="E988" s="1"/>
    </row>
    <row r="989" ht="14.25" customHeight="1">
      <c r="A989" s="52"/>
      <c r="B989" s="53"/>
      <c r="C989" s="53"/>
      <c r="D989" s="53"/>
      <c r="E989" s="1"/>
    </row>
    <row r="990" ht="14.25" customHeight="1">
      <c r="A990" s="52"/>
      <c r="B990" s="53"/>
      <c r="C990" s="53"/>
      <c r="D990" s="53"/>
      <c r="E990" s="1"/>
    </row>
    <row r="991" ht="14.25" customHeight="1">
      <c r="A991" s="52"/>
      <c r="B991" s="53"/>
      <c r="C991" s="53"/>
      <c r="D991" s="53"/>
      <c r="E991" s="1"/>
    </row>
    <row r="992" ht="14.25" customHeight="1">
      <c r="A992" s="52"/>
      <c r="B992" s="53"/>
      <c r="C992" s="53"/>
      <c r="D992" s="53"/>
      <c r="E992" s="1"/>
    </row>
    <row r="993" ht="14.25" customHeight="1">
      <c r="A993" s="52"/>
      <c r="B993" s="53"/>
      <c r="C993" s="53"/>
      <c r="D993" s="53"/>
      <c r="E993" s="1"/>
    </row>
    <row r="994" ht="14.25" customHeight="1">
      <c r="A994" s="52"/>
      <c r="B994" s="53"/>
      <c r="C994" s="53"/>
      <c r="D994" s="53"/>
      <c r="E994" s="1"/>
    </row>
    <row r="995" ht="14.25" customHeight="1">
      <c r="A995" s="52"/>
      <c r="B995" s="53"/>
      <c r="C995" s="53"/>
      <c r="D995" s="53"/>
      <c r="E995" s="1"/>
    </row>
    <row r="996" ht="14.25" customHeight="1">
      <c r="A996" s="52"/>
      <c r="B996" s="53"/>
      <c r="C996" s="53"/>
      <c r="D996" s="53"/>
      <c r="E996" s="1"/>
    </row>
    <row r="997" ht="14.25" customHeight="1">
      <c r="A997" s="52"/>
      <c r="B997" s="53"/>
      <c r="C997" s="53"/>
      <c r="D997" s="53"/>
      <c r="E997" s="1"/>
    </row>
    <row r="998" ht="14.25" customHeight="1">
      <c r="A998" s="52"/>
      <c r="B998" s="53"/>
      <c r="C998" s="53"/>
      <c r="D998" s="53"/>
      <c r="E998" s="1"/>
    </row>
    <row r="999" ht="14.25" customHeight="1">
      <c r="A999" s="52"/>
      <c r="B999" s="53"/>
      <c r="C999" s="53"/>
      <c r="D999" s="53"/>
      <c r="E999" s="1"/>
    </row>
    <row r="1000" ht="14.25" customHeight="1">
      <c r="A1000" s="52"/>
      <c r="B1000" s="53"/>
      <c r="C1000" s="53"/>
      <c r="D1000" s="53"/>
      <c r="E1000" s="1"/>
    </row>
  </sheetData>
  <mergeCells count="6">
    <mergeCell ref="A2:G2"/>
    <mergeCell ref="A4:G4"/>
    <mergeCell ref="A5:G5"/>
    <mergeCell ref="A6:G6"/>
    <mergeCell ref="A7:G7"/>
    <mergeCell ref="A114:G114"/>
  </mergeCells>
  <hyperlinks>
    <hyperlink r:id="rId1" ref="E10"/>
    <hyperlink r:id="rId2" ref="E11"/>
    <hyperlink r:id="rId3" ref="E12"/>
    <hyperlink r:id="rId4" ref="E14"/>
    <hyperlink r:id="rId5" ref="E15"/>
    <hyperlink r:id="rId6" ref="E16"/>
    <hyperlink r:id="rId7" ref="E17"/>
    <hyperlink r:id="rId8" ref="E18"/>
    <hyperlink r:id="rId9" ref="E19"/>
    <hyperlink r:id="rId10" ref="E20"/>
    <hyperlink r:id="rId11" ref="E21"/>
    <hyperlink r:id="rId12" ref="E22"/>
    <hyperlink r:id="rId13" ref="E23"/>
    <hyperlink r:id="rId14" ref="E24"/>
    <hyperlink r:id="rId15" ref="E25"/>
    <hyperlink r:id="rId16" ref="E26"/>
    <hyperlink r:id="rId17" ref="E27"/>
    <hyperlink r:id="rId18" ref="E29"/>
    <hyperlink r:id="rId19" ref="E31"/>
    <hyperlink r:id="rId20" ref="E32"/>
    <hyperlink r:id="rId21" ref="E40"/>
    <hyperlink r:id="rId22" ref="E41"/>
    <hyperlink r:id="rId23" ref="E42"/>
    <hyperlink r:id="rId24" ref="E43"/>
    <hyperlink r:id="rId25" ref="E44"/>
    <hyperlink r:id="rId26" ref="E45"/>
    <hyperlink r:id="rId27" ref="E46"/>
    <hyperlink r:id="rId28" ref="E47"/>
    <hyperlink r:id="rId29" ref="E48"/>
    <hyperlink r:id="rId30" ref="E49"/>
    <hyperlink r:id="rId31" ref="E50"/>
    <hyperlink r:id="rId32" ref="E51"/>
  </hyperlinks>
  <printOptions/>
  <pageMargins bottom="0.75" footer="0.0" header="0.0" left="0.7" right="0.7" top="0.75"/>
  <pageSetup orientation="landscape"/>
  <drawing r:id="rId3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10.86"/>
    <col customWidth="1" min="3" max="3" width="30.0"/>
    <col customWidth="1" min="4" max="4" width="22.71"/>
    <col customWidth="1" min="5" max="5" width="17.71"/>
    <col customWidth="1" min="6" max="6" width="16.14"/>
    <col customWidth="1" min="7" max="7" width="13.71"/>
    <col customWidth="1" min="8" max="8" width="20.86"/>
    <col customWidth="1" min="9" max="26" width="10.0"/>
  </cols>
  <sheetData>
    <row r="1" ht="14.25" customHeight="1">
      <c r="A1" s="52"/>
      <c r="B1" s="52"/>
      <c r="C1" s="53"/>
      <c r="D1" s="53"/>
      <c r="E1" s="53"/>
      <c r="F1" s="53"/>
      <c r="G1" s="1"/>
    </row>
    <row r="2" ht="15.0" customHeight="1">
      <c r="A2" s="54" t="s">
        <v>4189</v>
      </c>
      <c r="B2" s="55"/>
      <c r="C2" s="55"/>
      <c r="D2" s="55"/>
      <c r="E2" s="55"/>
      <c r="F2" s="55"/>
      <c r="G2" s="56"/>
      <c r="H2" s="58"/>
      <c r="I2" s="58"/>
      <c r="J2" s="58"/>
      <c r="K2" s="58"/>
      <c r="L2" s="58"/>
      <c r="M2" s="58"/>
      <c r="N2" s="58"/>
      <c r="O2" s="58"/>
      <c r="P2" s="58"/>
      <c r="Q2" s="58"/>
      <c r="R2" s="58"/>
      <c r="S2" s="58"/>
      <c r="T2" s="58"/>
      <c r="U2" s="58"/>
      <c r="V2" s="58"/>
      <c r="W2" s="58"/>
      <c r="X2" s="58"/>
      <c r="Y2" s="58"/>
      <c r="Z2" s="58"/>
    </row>
    <row r="3" ht="15.0" customHeight="1">
      <c r="A3" s="156"/>
      <c r="B3" s="156"/>
      <c r="C3" s="156"/>
      <c r="D3" s="156"/>
      <c r="E3" s="156"/>
      <c r="F3" s="156"/>
      <c r="G3" s="156"/>
      <c r="H3" s="58"/>
      <c r="I3" s="58"/>
      <c r="J3" s="58"/>
      <c r="K3" s="58"/>
      <c r="L3" s="58"/>
      <c r="M3" s="58"/>
      <c r="N3" s="58"/>
      <c r="O3" s="58"/>
      <c r="P3" s="58"/>
      <c r="Q3" s="58"/>
      <c r="R3" s="58"/>
      <c r="S3" s="58"/>
      <c r="T3" s="58"/>
      <c r="U3" s="58"/>
      <c r="V3" s="58"/>
      <c r="W3" s="58"/>
      <c r="X3" s="58"/>
      <c r="Y3" s="58"/>
      <c r="Z3" s="58"/>
    </row>
    <row r="4" ht="14.25" customHeight="1">
      <c r="A4" s="116" t="s">
        <v>4190</v>
      </c>
      <c r="B4" s="55"/>
      <c r="C4" s="55"/>
      <c r="D4" s="55"/>
      <c r="E4" s="55"/>
      <c r="F4" s="55"/>
      <c r="G4" s="56"/>
      <c r="H4" s="58"/>
      <c r="I4" s="58"/>
      <c r="J4" s="58"/>
      <c r="K4" s="58"/>
      <c r="L4" s="58"/>
      <c r="M4" s="58"/>
      <c r="N4" s="58"/>
      <c r="O4" s="58"/>
      <c r="P4" s="58"/>
      <c r="Q4" s="58"/>
      <c r="R4" s="58"/>
      <c r="S4" s="58"/>
      <c r="T4" s="58"/>
      <c r="U4" s="58"/>
      <c r="V4" s="58"/>
      <c r="W4" s="58"/>
      <c r="X4" s="58"/>
      <c r="Y4" s="58"/>
      <c r="Z4" s="58"/>
    </row>
    <row r="5" ht="14.25" customHeight="1">
      <c r="A5" s="116" t="s">
        <v>4191</v>
      </c>
      <c r="B5" s="55"/>
      <c r="C5" s="55"/>
      <c r="D5" s="55"/>
      <c r="E5" s="55"/>
      <c r="F5" s="55"/>
      <c r="G5" s="56"/>
      <c r="H5" s="58"/>
      <c r="I5" s="58"/>
      <c r="J5" s="58"/>
      <c r="K5" s="58"/>
      <c r="L5" s="58"/>
      <c r="M5" s="58"/>
      <c r="N5" s="58"/>
      <c r="O5" s="58"/>
      <c r="P5" s="58"/>
      <c r="Q5" s="58"/>
      <c r="R5" s="58"/>
      <c r="S5" s="58"/>
      <c r="T5" s="58"/>
      <c r="U5" s="58"/>
      <c r="V5" s="58"/>
      <c r="W5" s="58"/>
      <c r="X5" s="58"/>
      <c r="Y5" s="58"/>
      <c r="Z5" s="58"/>
    </row>
    <row r="6" ht="80.25" customHeight="1">
      <c r="A6" s="158" t="s">
        <v>4192</v>
      </c>
      <c r="B6" s="55"/>
      <c r="C6" s="55"/>
      <c r="D6" s="55"/>
      <c r="E6" s="55"/>
      <c r="F6" s="55"/>
      <c r="G6" s="56"/>
      <c r="H6" s="58"/>
      <c r="I6" s="58"/>
      <c r="J6" s="58"/>
      <c r="K6" s="58"/>
      <c r="L6" s="58"/>
      <c r="M6" s="58"/>
      <c r="N6" s="58"/>
      <c r="O6" s="58"/>
      <c r="P6" s="58"/>
      <c r="Q6" s="58"/>
      <c r="R6" s="58"/>
      <c r="S6" s="58"/>
      <c r="T6" s="58"/>
      <c r="U6" s="58"/>
      <c r="V6" s="58"/>
      <c r="W6" s="58"/>
      <c r="X6" s="58"/>
      <c r="Y6" s="58"/>
      <c r="Z6" s="58"/>
    </row>
    <row r="7" ht="53.25" customHeight="1">
      <c r="A7" s="158" t="s">
        <v>4193</v>
      </c>
      <c r="B7" s="55"/>
      <c r="C7" s="55"/>
      <c r="D7" s="55"/>
      <c r="E7" s="55"/>
      <c r="F7" s="55"/>
      <c r="G7" s="56"/>
      <c r="H7" s="58"/>
      <c r="I7" s="58"/>
      <c r="J7" s="58"/>
      <c r="K7" s="58"/>
      <c r="L7" s="58"/>
      <c r="M7" s="58"/>
      <c r="N7" s="58"/>
      <c r="O7" s="58"/>
      <c r="P7" s="58"/>
      <c r="Q7" s="58"/>
      <c r="R7" s="58"/>
      <c r="S7" s="58"/>
      <c r="T7" s="58"/>
      <c r="U7" s="58"/>
      <c r="V7" s="58"/>
      <c r="W7" s="58"/>
      <c r="X7" s="58"/>
      <c r="Y7" s="58"/>
      <c r="Z7" s="58"/>
    </row>
    <row r="8" ht="14.25" customHeight="1">
      <c r="A8" s="61"/>
      <c r="B8" s="61"/>
      <c r="C8" s="62"/>
      <c r="D8" s="62"/>
      <c r="E8" s="62"/>
      <c r="F8" s="62"/>
      <c r="G8" s="61"/>
      <c r="H8" s="58"/>
      <c r="I8" s="58"/>
      <c r="J8" s="58"/>
      <c r="K8" s="58"/>
      <c r="L8" s="58"/>
      <c r="M8" s="58"/>
      <c r="N8" s="58"/>
      <c r="O8" s="58"/>
      <c r="P8" s="58"/>
      <c r="Q8" s="58"/>
      <c r="R8" s="58"/>
      <c r="S8" s="58"/>
      <c r="T8" s="58"/>
      <c r="U8" s="58"/>
      <c r="V8" s="58"/>
      <c r="W8" s="58"/>
      <c r="X8" s="58"/>
      <c r="Y8" s="58"/>
      <c r="Z8" s="58"/>
    </row>
    <row r="9" ht="27.0" customHeight="1">
      <c r="A9" s="203" t="s">
        <v>8</v>
      </c>
      <c r="B9" s="119" t="s">
        <v>9</v>
      </c>
      <c r="C9" s="309" t="s">
        <v>4194</v>
      </c>
      <c r="D9" s="309" t="s">
        <v>4195</v>
      </c>
      <c r="E9" s="309" t="s">
        <v>4196</v>
      </c>
      <c r="F9" s="309" t="s">
        <v>208</v>
      </c>
      <c r="G9" s="309" t="s">
        <v>3867</v>
      </c>
      <c r="H9" s="65" t="s">
        <v>210</v>
      </c>
      <c r="I9" s="58"/>
      <c r="J9" s="58"/>
      <c r="K9" s="58"/>
      <c r="L9" s="58"/>
      <c r="M9" s="58"/>
      <c r="N9" s="58"/>
      <c r="O9" s="58"/>
      <c r="P9" s="58"/>
      <c r="Q9" s="58"/>
      <c r="R9" s="58"/>
      <c r="S9" s="58"/>
      <c r="T9" s="58"/>
      <c r="U9" s="58"/>
      <c r="V9" s="58"/>
      <c r="W9" s="58"/>
      <c r="X9" s="58"/>
      <c r="Y9" s="58"/>
      <c r="Z9" s="58"/>
    </row>
    <row r="10" ht="57.0" customHeight="1">
      <c r="A10" s="101" t="s">
        <v>395</v>
      </c>
      <c r="B10" s="75" t="s">
        <v>38</v>
      </c>
      <c r="C10" s="176" t="s">
        <v>4197</v>
      </c>
      <c r="D10" s="423" t="s">
        <v>4198</v>
      </c>
      <c r="E10" s="75" t="s">
        <v>4199</v>
      </c>
      <c r="F10" s="185">
        <v>25.0</v>
      </c>
      <c r="G10" s="591">
        <v>25.0</v>
      </c>
      <c r="H10" s="77" t="s">
        <v>42</v>
      </c>
    </row>
    <row r="11" ht="42.75" customHeight="1">
      <c r="A11" s="101" t="s">
        <v>402</v>
      </c>
      <c r="B11" s="75" t="s">
        <v>38</v>
      </c>
      <c r="C11" s="176" t="s">
        <v>4200</v>
      </c>
      <c r="D11" s="423" t="s">
        <v>4201</v>
      </c>
      <c r="E11" s="75" t="s">
        <v>4202</v>
      </c>
      <c r="F11" s="185">
        <v>25.0</v>
      </c>
      <c r="G11" s="591">
        <v>25.0</v>
      </c>
      <c r="H11" s="77" t="s">
        <v>43</v>
      </c>
    </row>
    <row r="12" ht="27.0" customHeight="1">
      <c r="A12" s="101" t="s">
        <v>4203</v>
      </c>
      <c r="B12" s="75" t="s">
        <v>38</v>
      </c>
      <c r="C12" s="176" t="s">
        <v>4204</v>
      </c>
      <c r="D12" s="176" t="s">
        <v>4205</v>
      </c>
      <c r="E12" s="75" t="s">
        <v>4206</v>
      </c>
      <c r="F12" s="185">
        <v>25.0</v>
      </c>
      <c r="G12" s="591">
        <v>25.0</v>
      </c>
      <c r="H12" s="77" t="s">
        <v>4207</v>
      </c>
    </row>
    <row r="13" ht="27.0" customHeight="1">
      <c r="A13" s="101" t="s">
        <v>4203</v>
      </c>
      <c r="B13" s="75" t="s">
        <v>38</v>
      </c>
      <c r="C13" s="176" t="s">
        <v>1305</v>
      </c>
      <c r="D13" s="176" t="s">
        <v>4208</v>
      </c>
      <c r="E13" s="75" t="s">
        <v>4209</v>
      </c>
      <c r="F13" s="80">
        <v>25.0</v>
      </c>
      <c r="G13" s="591">
        <v>25.0</v>
      </c>
      <c r="H13" s="77" t="s">
        <v>4210</v>
      </c>
    </row>
    <row r="14" ht="28.5" customHeight="1">
      <c r="A14" s="101" t="s">
        <v>4211</v>
      </c>
      <c r="B14" s="75" t="s">
        <v>38</v>
      </c>
      <c r="C14" s="176" t="s">
        <v>4212</v>
      </c>
      <c r="D14" s="423" t="s">
        <v>4213</v>
      </c>
      <c r="E14" s="75" t="s">
        <v>4214</v>
      </c>
      <c r="F14" s="185">
        <v>25.0</v>
      </c>
      <c r="G14" s="591">
        <v>25.0</v>
      </c>
      <c r="H14" s="77" t="s">
        <v>59</v>
      </c>
    </row>
    <row r="15" ht="57.0" customHeight="1">
      <c r="A15" s="101" t="s">
        <v>4211</v>
      </c>
      <c r="B15" s="75" t="s">
        <v>38</v>
      </c>
      <c r="C15" s="176" t="s">
        <v>4215</v>
      </c>
      <c r="D15" s="423" t="s">
        <v>4216</v>
      </c>
      <c r="E15" s="75" t="s">
        <v>4217</v>
      </c>
      <c r="F15" s="80">
        <v>25.0</v>
      </c>
      <c r="G15" s="591">
        <v>25.0</v>
      </c>
      <c r="H15" s="77" t="s">
        <v>59</v>
      </c>
    </row>
    <row r="16" ht="42.75" customHeight="1">
      <c r="A16" s="101" t="s">
        <v>4211</v>
      </c>
      <c r="B16" s="75" t="s">
        <v>38</v>
      </c>
      <c r="C16" s="176" t="s">
        <v>4218</v>
      </c>
      <c r="D16" s="423" t="s">
        <v>4219</v>
      </c>
      <c r="E16" s="75" t="s">
        <v>4220</v>
      </c>
      <c r="F16" s="80">
        <v>25.0</v>
      </c>
      <c r="G16" s="591">
        <v>25.0</v>
      </c>
      <c r="H16" s="77" t="s">
        <v>59</v>
      </c>
    </row>
    <row r="17" ht="28.5" customHeight="1">
      <c r="A17" s="101" t="s">
        <v>491</v>
      </c>
      <c r="B17" s="75" t="s">
        <v>38</v>
      </c>
      <c r="C17" s="176" t="s">
        <v>4221</v>
      </c>
      <c r="D17" s="423" t="s">
        <v>4222</v>
      </c>
      <c r="E17" s="75" t="s">
        <v>4223</v>
      </c>
      <c r="F17" s="185">
        <v>25.0</v>
      </c>
      <c r="G17" s="591">
        <v>25.0</v>
      </c>
      <c r="H17" s="77" t="s">
        <v>498</v>
      </c>
    </row>
    <row r="18" ht="27.0" customHeight="1">
      <c r="A18" s="101" t="s">
        <v>1908</v>
      </c>
      <c r="B18" s="75" t="s">
        <v>38</v>
      </c>
      <c r="C18" s="176" t="s">
        <v>4224</v>
      </c>
      <c r="D18" s="378" t="s">
        <v>4225</v>
      </c>
      <c r="E18" s="75" t="s">
        <v>4226</v>
      </c>
      <c r="F18" s="80">
        <v>50.0</v>
      </c>
      <c r="G18" s="591">
        <v>50.0</v>
      </c>
      <c r="H18" s="77" t="s">
        <v>62</v>
      </c>
    </row>
    <row r="19" ht="27.0" customHeight="1">
      <c r="A19" s="101" t="s">
        <v>528</v>
      </c>
      <c r="B19" s="75" t="s">
        <v>4016</v>
      </c>
      <c r="C19" s="176" t="s">
        <v>4227</v>
      </c>
      <c r="D19" s="176" t="s">
        <v>4228</v>
      </c>
      <c r="E19" s="75"/>
      <c r="F19" s="185">
        <v>25.0</v>
      </c>
      <c r="G19" s="591">
        <v>25.0</v>
      </c>
      <c r="H19" s="77" t="s">
        <v>66</v>
      </c>
    </row>
    <row r="20" ht="27.0" customHeight="1">
      <c r="A20" s="101" t="s">
        <v>528</v>
      </c>
      <c r="B20" s="75" t="s">
        <v>4016</v>
      </c>
      <c r="C20" s="176" t="s">
        <v>784</v>
      </c>
      <c r="D20" s="176" t="s">
        <v>4229</v>
      </c>
      <c r="E20" s="325">
        <v>44075.0</v>
      </c>
      <c r="F20" s="80">
        <v>25.0</v>
      </c>
      <c r="G20" s="591">
        <v>25.0</v>
      </c>
      <c r="H20" s="77" t="s">
        <v>66</v>
      </c>
    </row>
    <row r="21" ht="39.0" customHeight="1">
      <c r="A21" s="592" t="s">
        <v>72</v>
      </c>
      <c r="B21" s="593" t="s">
        <v>73</v>
      </c>
      <c r="C21" s="594" t="s">
        <v>4230</v>
      </c>
      <c r="D21" s="595" t="s">
        <v>4231</v>
      </c>
      <c r="E21" s="596" t="s">
        <v>4232</v>
      </c>
      <c r="F21" s="596">
        <v>25.0</v>
      </c>
      <c r="G21" s="596">
        <v>25.0</v>
      </c>
      <c r="H21" s="154" t="s">
        <v>72</v>
      </c>
    </row>
    <row r="22" ht="26.25" customHeight="1">
      <c r="A22" s="592" t="s">
        <v>72</v>
      </c>
      <c r="B22" s="593" t="s">
        <v>73</v>
      </c>
      <c r="C22" s="594" t="s">
        <v>4233</v>
      </c>
      <c r="D22" s="596" t="s">
        <v>4234</v>
      </c>
      <c r="E22" s="596" t="s">
        <v>4235</v>
      </c>
      <c r="F22" s="596">
        <v>25.0</v>
      </c>
      <c r="G22" s="596">
        <v>25.0</v>
      </c>
      <c r="H22" s="154" t="s">
        <v>72</v>
      </c>
    </row>
    <row r="23" ht="26.25" customHeight="1">
      <c r="A23" s="592" t="s">
        <v>72</v>
      </c>
      <c r="B23" s="593" t="s">
        <v>73</v>
      </c>
      <c r="C23" s="597" t="s">
        <v>4236</v>
      </c>
      <c r="D23" s="596" t="s">
        <v>4237</v>
      </c>
      <c r="E23" s="596" t="s">
        <v>4238</v>
      </c>
      <c r="F23" s="596">
        <v>25.0</v>
      </c>
      <c r="G23" s="596">
        <v>25.0</v>
      </c>
      <c r="H23" s="154" t="s">
        <v>72</v>
      </c>
    </row>
    <row r="24" ht="39.0" customHeight="1">
      <c r="A24" s="170" t="s">
        <v>72</v>
      </c>
      <c r="B24" s="148" t="s">
        <v>73</v>
      </c>
      <c r="C24" s="598" t="s">
        <v>4239</v>
      </c>
      <c r="D24" s="599" t="s">
        <v>4240</v>
      </c>
      <c r="E24" s="148" t="s">
        <v>4241</v>
      </c>
      <c r="F24" s="573">
        <v>25.0</v>
      </c>
      <c r="G24" s="150">
        <v>25.0</v>
      </c>
      <c r="H24" s="154" t="s">
        <v>72</v>
      </c>
    </row>
    <row r="25" ht="14.25" customHeight="1">
      <c r="A25" s="170" t="s">
        <v>72</v>
      </c>
      <c r="B25" s="148" t="s">
        <v>73</v>
      </c>
      <c r="C25" s="162" t="s">
        <v>4242</v>
      </c>
      <c r="D25" s="162" t="s">
        <v>4243</v>
      </c>
      <c r="E25" s="148" t="s">
        <v>4238</v>
      </c>
      <c r="F25" s="573">
        <v>25.0</v>
      </c>
      <c r="G25" s="150">
        <v>25.0</v>
      </c>
      <c r="H25" s="154" t="s">
        <v>72</v>
      </c>
    </row>
    <row r="26" ht="39.0" customHeight="1">
      <c r="A26" s="170" t="s">
        <v>72</v>
      </c>
      <c r="B26" s="148" t="s">
        <v>73</v>
      </c>
      <c r="C26" s="162" t="s">
        <v>4244</v>
      </c>
      <c r="D26" s="162" t="s">
        <v>4245</v>
      </c>
      <c r="E26" s="600">
        <v>44044.0</v>
      </c>
      <c r="F26" s="573">
        <v>25.0</v>
      </c>
      <c r="G26" s="150">
        <v>25.0</v>
      </c>
      <c r="H26" s="154" t="s">
        <v>72</v>
      </c>
    </row>
    <row r="27" ht="26.25" customHeight="1">
      <c r="A27" s="170" t="s">
        <v>72</v>
      </c>
      <c r="B27" s="148" t="s">
        <v>73</v>
      </c>
      <c r="C27" s="601" t="s">
        <v>4246</v>
      </c>
      <c r="D27" s="602" t="s">
        <v>4247</v>
      </c>
      <c r="E27" s="600">
        <v>44105.0</v>
      </c>
      <c r="F27" s="573">
        <v>25.0</v>
      </c>
      <c r="G27" s="150">
        <v>25.0</v>
      </c>
      <c r="H27" s="154" t="s">
        <v>72</v>
      </c>
    </row>
    <row r="28" ht="26.25" customHeight="1">
      <c r="A28" s="170" t="s">
        <v>72</v>
      </c>
      <c r="B28" s="148" t="s">
        <v>73</v>
      </c>
      <c r="C28" s="594" t="s">
        <v>4248</v>
      </c>
      <c r="D28" s="162" t="s">
        <v>4249</v>
      </c>
      <c r="E28" s="600" t="s">
        <v>4250</v>
      </c>
      <c r="F28" s="573">
        <v>25.0</v>
      </c>
      <c r="G28" s="150">
        <v>25.0</v>
      </c>
      <c r="H28" s="154" t="s">
        <v>72</v>
      </c>
    </row>
    <row r="29" ht="26.25" customHeight="1">
      <c r="A29" s="170" t="s">
        <v>72</v>
      </c>
      <c r="B29" s="170" t="s">
        <v>73</v>
      </c>
      <c r="C29" s="366" t="s">
        <v>4251</v>
      </c>
      <c r="D29" s="572"/>
      <c r="E29" s="600">
        <v>44105.0</v>
      </c>
      <c r="F29" s="148">
        <v>25.0</v>
      </c>
      <c r="G29" s="148"/>
      <c r="H29" s="154" t="s">
        <v>72</v>
      </c>
    </row>
    <row r="30" ht="26.25" customHeight="1">
      <c r="A30" s="170" t="s">
        <v>4252</v>
      </c>
      <c r="B30" s="148" t="s">
        <v>73</v>
      </c>
      <c r="C30" s="162" t="s">
        <v>4253</v>
      </c>
      <c r="D30" s="428" t="s">
        <v>4254</v>
      </c>
      <c r="E30" s="148" t="s">
        <v>4255</v>
      </c>
      <c r="F30" s="364">
        <v>25.0</v>
      </c>
      <c r="G30" s="150">
        <v>25.0</v>
      </c>
      <c r="H30" s="154" t="s">
        <v>75</v>
      </c>
    </row>
    <row r="31" ht="52.5" customHeight="1">
      <c r="A31" s="170" t="s">
        <v>4037</v>
      </c>
      <c r="B31" s="148" t="s">
        <v>73</v>
      </c>
      <c r="C31" s="162" t="s">
        <v>4256</v>
      </c>
      <c r="D31" s="428" t="s">
        <v>4257</v>
      </c>
      <c r="E31" s="148" t="s">
        <v>4258</v>
      </c>
      <c r="F31" s="364">
        <v>25.0</v>
      </c>
      <c r="G31" s="150">
        <v>25.0</v>
      </c>
      <c r="H31" s="154" t="s">
        <v>77</v>
      </c>
    </row>
    <row r="32" ht="52.5" customHeight="1">
      <c r="A32" s="170" t="s">
        <v>4037</v>
      </c>
      <c r="B32" s="148" t="s">
        <v>73</v>
      </c>
      <c r="C32" s="162" t="s">
        <v>4259</v>
      </c>
      <c r="D32" s="428" t="s">
        <v>4260</v>
      </c>
      <c r="E32" s="603" t="s">
        <v>4261</v>
      </c>
      <c r="F32" s="573">
        <v>25.0</v>
      </c>
      <c r="G32" s="150">
        <v>25.0</v>
      </c>
      <c r="H32" s="154" t="s">
        <v>77</v>
      </c>
    </row>
    <row r="33" ht="52.5" customHeight="1">
      <c r="A33" s="170" t="s">
        <v>4037</v>
      </c>
      <c r="B33" s="148" t="s">
        <v>73</v>
      </c>
      <c r="C33" s="162" t="s">
        <v>4262</v>
      </c>
      <c r="D33" s="428" t="s">
        <v>4263</v>
      </c>
      <c r="E33" s="603">
        <v>44104.0</v>
      </c>
      <c r="F33" s="573">
        <v>25.0</v>
      </c>
      <c r="G33" s="150">
        <v>25.0</v>
      </c>
      <c r="H33" s="154" t="s">
        <v>77</v>
      </c>
    </row>
    <row r="34" ht="39.0" customHeight="1">
      <c r="A34" s="170" t="s">
        <v>4037</v>
      </c>
      <c r="B34" s="148" t="s">
        <v>73</v>
      </c>
      <c r="C34" s="162" t="s">
        <v>4264</v>
      </c>
      <c r="D34" s="428" t="s">
        <v>2675</v>
      </c>
      <c r="E34" s="603" t="s">
        <v>4265</v>
      </c>
      <c r="F34" s="573">
        <v>50.0</v>
      </c>
      <c r="G34" s="150">
        <v>50.0</v>
      </c>
      <c r="H34" s="154" t="s">
        <v>77</v>
      </c>
    </row>
    <row r="35" ht="26.25" customHeight="1">
      <c r="A35" s="170" t="s">
        <v>4037</v>
      </c>
      <c r="B35" s="148" t="s">
        <v>73</v>
      </c>
      <c r="C35" s="162" t="s">
        <v>4266</v>
      </c>
      <c r="D35" s="428" t="s">
        <v>4267</v>
      </c>
      <c r="E35" s="603">
        <v>44146.0</v>
      </c>
      <c r="F35" s="573">
        <v>50.0</v>
      </c>
      <c r="G35" s="150">
        <v>50.0</v>
      </c>
      <c r="H35" s="154" t="s">
        <v>77</v>
      </c>
    </row>
    <row r="36" ht="26.25" customHeight="1">
      <c r="A36" s="170" t="s">
        <v>4037</v>
      </c>
      <c r="B36" s="148" t="s">
        <v>73</v>
      </c>
      <c r="C36" s="162" t="s">
        <v>4268</v>
      </c>
      <c r="D36" s="428" t="s">
        <v>4051</v>
      </c>
      <c r="E36" s="603">
        <v>44146.0</v>
      </c>
      <c r="F36" s="573">
        <v>25.0</v>
      </c>
      <c r="G36" s="150">
        <v>25.0</v>
      </c>
      <c r="H36" s="154" t="s">
        <v>77</v>
      </c>
    </row>
    <row r="37" ht="26.25" customHeight="1">
      <c r="A37" s="170" t="s">
        <v>4037</v>
      </c>
      <c r="B37" s="148" t="s">
        <v>73</v>
      </c>
      <c r="C37" s="162" t="s">
        <v>4269</v>
      </c>
      <c r="D37" s="428" t="s">
        <v>4270</v>
      </c>
      <c r="E37" s="603" t="s">
        <v>4271</v>
      </c>
      <c r="F37" s="573">
        <v>50.0</v>
      </c>
      <c r="G37" s="150"/>
      <c r="H37" s="154" t="s">
        <v>77</v>
      </c>
    </row>
    <row r="38" ht="14.25" customHeight="1">
      <c r="A38" s="170" t="s">
        <v>4037</v>
      </c>
      <c r="B38" s="148" t="s">
        <v>73</v>
      </c>
      <c r="C38" s="162" t="s">
        <v>4272</v>
      </c>
      <c r="D38" s="428" t="s">
        <v>4273</v>
      </c>
      <c r="E38" s="603">
        <v>44159.0</v>
      </c>
      <c r="F38" s="573">
        <v>25.0</v>
      </c>
      <c r="G38" s="150"/>
      <c r="H38" s="154" t="s">
        <v>77</v>
      </c>
    </row>
    <row r="39" ht="39.0" customHeight="1">
      <c r="A39" s="170" t="s">
        <v>4037</v>
      </c>
      <c r="B39" s="148" t="s">
        <v>73</v>
      </c>
      <c r="C39" s="162" t="s">
        <v>4274</v>
      </c>
      <c r="D39" s="428" t="s">
        <v>4275</v>
      </c>
      <c r="E39" s="603">
        <v>44170.0</v>
      </c>
      <c r="F39" s="573">
        <v>25.0</v>
      </c>
      <c r="G39" s="150"/>
      <c r="H39" s="154" t="s">
        <v>77</v>
      </c>
    </row>
    <row r="40" ht="52.5" customHeight="1">
      <c r="A40" s="170" t="s">
        <v>4037</v>
      </c>
      <c r="B40" s="148" t="s">
        <v>73</v>
      </c>
      <c r="C40" s="162" t="s">
        <v>4276</v>
      </c>
      <c r="D40" s="428" t="s">
        <v>4277</v>
      </c>
      <c r="E40" s="603">
        <v>44184.0</v>
      </c>
      <c r="F40" s="573">
        <v>25.0</v>
      </c>
      <c r="G40" s="150"/>
      <c r="H40" s="154" t="s">
        <v>77</v>
      </c>
    </row>
    <row r="41" ht="24.0" customHeight="1">
      <c r="A41" s="225" t="s">
        <v>877</v>
      </c>
      <c r="B41" s="121" t="s">
        <v>73</v>
      </c>
      <c r="C41" s="170" t="s">
        <v>878</v>
      </c>
      <c r="D41" s="262" t="s">
        <v>881</v>
      </c>
      <c r="E41" s="148" t="s">
        <v>4278</v>
      </c>
      <c r="F41" s="364">
        <v>25.0</v>
      </c>
      <c r="G41" s="150">
        <v>25.0</v>
      </c>
      <c r="H41" s="154" t="s">
        <v>882</v>
      </c>
    </row>
    <row r="42" ht="42.75" customHeight="1">
      <c r="A42" s="101" t="s">
        <v>81</v>
      </c>
      <c r="B42" s="75" t="s">
        <v>73</v>
      </c>
      <c r="C42" s="176" t="s">
        <v>4279</v>
      </c>
      <c r="D42" s="423" t="s">
        <v>4280</v>
      </c>
      <c r="E42" s="604">
        <v>43902.0</v>
      </c>
      <c r="F42" s="185">
        <v>25.0</v>
      </c>
      <c r="G42" s="591">
        <v>25.0</v>
      </c>
      <c r="H42" s="154" t="s">
        <v>81</v>
      </c>
    </row>
    <row r="43" ht="41.25" customHeight="1">
      <c r="A43" s="101" t="s">
        <v>81</v>
      </c>
      <c r="B43" s="75" t="s">
        <v>73</v>
      </c>
      <c r="C43" s="176" t="s">
        <v>4281</v>
      </c>
      <c r="D43" s="423" t="s">
        <v>4282</v>
      </c>
      <c r="E43" s="604">
        <v>44004.0</v>
      </c>
      <c r="F43" s="80">
        <v>25.0</v>
      </c>
      <c r="G43" s="591">
        <v>25.0</v>
      </c>
      <c r="H43" s="154" t="s">
        <v>81</v>
      </c>
    </row>
    <row r="44" ht="42.75" customHeight="1">
      <c r="A44" s="101" t="s">
        <v>81</v>
      </c>
      <c r="B44" s="75" t="s">
        <v>73</v>
      </c>
      <c r="C44" s="605" t="s">
        <v>4279</v>
      </c>
      <c r="D44" s="423" t="s">
        <v>4280</v>
      </c>
      <c r="E44" s="604">
        <v>44078.0</v>
      </c>
      <c r="F44" s="80">
        <v>25.0</v>
      </c>
      <c r="G44" s="591">
        <v>25.0</v>
      </c>
      <c r="H44" s="154" t="s">
        <v>81</v>
      </c>
    </row>
    <row r="45" ht="42.75" customHeight="1">
      <c r="A45" s="101" t="s">
        <v>81</v>
      </c>
      <c r="B45" s="75" t="s">
        <v>73</v>
      </c>
      <c r="C45" s="331" t="s">
        <v>4283</v>
      </c>
      <c r="D45" s="423" t="s">
        <v>4284</v>
      </c>
      <c r="E45" s="604">
        <v>44094.0</v>
      </c>
      <c r="F45" s="80">
        <v>25.0</v>
      </c>
      <c r="G45" s="591">
        <v>25.0</v>
      </c>
      <c r="H45" s="154" t="s">
        <v>81</v>
      </c>
    </row>
    <row r="46" ht="42.75" customHeight="1">
      <c r="A46" s="101" t="s">
        <v>81</v>
      </c>
      <c r="B46" s="75" t="s">
        <v>73</v>
      </c>
      <c r="C46" s="176" t="s">
        <v>4279</v>
      </c>
      <c r="D46" s="423" t="s">
        <v>4280</v>
      </c>
      <c r="E46" s="604">
        <v>44164.0</v>
      </c>
      <c r="F46" s="80">
        <v>25.0</v>
      </c>
      <c r="G46" s="591">
        <v>25.0</v>
      </c>
      <c r="H46" s="154" t="s">
        <v>81</v>
      </c>
    </row>
    <row r="47" ht="14.25" customHeight="1">
      <c r="A47" s="170" t="s">
        <v>4285</v>
      </c>
      <c r="B47" s="75" t="s">
        <v>73</v>
      </c>
      <c r="C47" s="176" t="s">
        <v>4286</v>
      </c>
      <c r="D47" s="606" t="s">
        <v>4287</v>
      </c>
      <c r="E47" s="75" t="s">
        <v>4288</v>
      </c>
      <c r="F47" s="185">
        <v>50.0</v>
      </c>
      <c r="G47" s="591">
        <v>50.0</v>
      </c>
      <c r="H47" s="154" t="s">
        <v>82</v>
      </c>
    </row>
    <row r="48" ht="14.25" customHeight="1">
      <c r="A48" s="170" t="s">
        <v>4285</v>
      </c>
      <c r="B48" s="75" t="s">
        <v>73</v>
      </c>
      <c r="C48" s="176" t="s">
        <v>4286</v>
      </c>
      <c r="D48" s="606" t="s">
        <v>4287</v>
      </c>
      <c r="E48" s="75" t="s">
        <v>4289</v>
      </c>
      <c r="F48" s="80">
        <v>50.0</v>
      </c>
      <c r="G48" s="591">
        <v>50.0</v>
      </c>
      <c r="H48" s="154" t="s">
        <v>82</v>
      </c>
    </row>
    <row r="49" ht="14.25" customHeight="1">
      <c r="A49" s="170" t="s">
        <v>4285</v>
      </c>
      <c r="B49" s="75" t="s">
        <v>73</v>
      </c>
      <c r="C49" s="176" t="s">
        <v>4286</v>
      </c>
      <c r="D49" s="606" t="s">
        <v>4287</v>
      </c>
      <c r="E49" s="75" t="s">
        <v>4290</v>
      </c>
      <c r="F49" s="80">
        <v>50.0</v>
      </c>
      <c r="G49" s="591">
        <v>50.0</v>
      </c>
      <c r="H49" s="154" t="s">
        <v>82</v>
      </c>
    </row>
    <row r="50" ht="14.25" customHeight="1">
      <c r="A50" s="170" t="s">
        <v>4285</v>
      </c>
      <c r="B50" s="75" t="s">
        <v>73</v>
      </c>
      <c r="C50" s="176" t="s">
        <v>4286</v>
      </c>
      <c r="D50" s="606" t="s">
        <v>4287</v>
      </c>
      <c r="E50" s="75" t="s">
        <v>4291</v>
      </c>
      <c r="F50" s="80">
        <v>50.0</v>
      </c>
      <c r="G50" s="591">
        <v>50.0</v>
      </c>
      <c r="H50" s="154" t="s">
        <v>82</v>
      </c>
    </row>
    <row r="51" ht="39.0" customHeight="1">
      <c r="A51" s="170" t="s">
        <v>4292</v>
      </c>
      <c r="B51" s="148" t="s">
        <v>73</v>
      </c>
      <c r="C51" s="162" t="s">
        <v>3955</v>
      </c>
      <c r="D51" s="162" t="s">
        <v>4293</v>
      </c>
      <c r="E51" s="148" t="s">
        <v>4294</v>
      </c>
      <c r="F51" s="364">
        <v>25.0</v>
      </c>
      <c r="G51" s="150">
        <v>25.0</v>
      </c>
      <c r="H51" s="154" t="s">
        <v>83</v>
      </c>
    </row>
    <row r="52" ht="26.25" customHeight="1">
      <c r="A52" s="170" t="s">
        <v>1641</v>
      </c>
      <c r="B52" s="148" t="s">
        <v>73</v>
      </c>
      <c r="C52" s="162" t="s">
        <v>4295</v>
      </c>
      <c r="D52" s="607" t="s">
        <v>4296</v>
      </c>
      <c r="E52" s="148">
        <v>2020.0</v>
      </c>
      <c r="F52" s="364">
        <v>25.0</v>
      </c>
      <c r="G52" s="150">
        <v>25.0</v>
      </c>
      <c r="H52" s="154" t="s">
        <v>89</v>
      </c>
    </row>
    <row r="53" ht="36.0" customHeight="1">
      <c r="A53" s="170" t="s">
        <v>1641</v>
      </c>
      <c r="B53" s="148" t="s">
        <v>73</v>
      </c>
      <c r="C53" s="162" t="s">
        <v>4297</v>
      </c>
      <c r="D53" s="607" t="s">
        <v>4298</v>
      </c>
      <c r="E53" s="148">
        <v>2020.0</v>
      </c>
      <c r="F53" s="573">
        <v>25.0</v>
      </c>
      <c r="G53" s="150">
        <v>25.0</v>
      </c>
      <c r="H53" s="154" t="s">
        <v>89</v>
      </c>
    </row>
    <row r="54" ht="26.25" customHeight="1">
      <c r="A54" s="170" t="s">
        <v>1641</v>
      </c>
      <c r="B54" s="148" t="s">
        <v>73</v>
      </c>
      <c r="C54" s="162" t="s">
        <v>4299</v>
      </c>
      <c r="D54" s="607" t="s">
        <v>4300</v>
      </c>
      <c r="E54" s="148">
        <v>2020.0</v>
      </c>
      <c r="F54" s="573">
        <v>25.0</v>
      </c>
      <c r="G54" s="150">
        <v>25.0</v>
      </c>
      <c r="H54" s="154" t="s">
        <v>89</v>
      </c>
    </row>
    <row r="55" ht="36.0" customHeight="1">
      <c r="A55" s="170" t="s">
        <v>1641</v>
      </c>
      <c r="B55" s="148" t="s">
        <v>73</v>
      </c>
      <c r="C55" s="162" t="s">
        <v>4301</v>
      </c>
      <c r="D55" s="607" t="s">
        <v>4302</v>
      </c>
      <c r="E55" s="148">
        <v>2020.0</v>
      </c>
      <c r="F55" s="573">
        <v>25.0</v>
      </c>
      <c r="G55" s="150">
        <v>25.0</v>
      </c>
      <c r="H55" s="154" t="s">
        <v>4303</v>
      </c>
    </row>
    <row r="56" ht="36.0" customHeight="1">
      <c r="A56" s="170" t="s">
        <v>1641</v>
      </c>
      <c r="B56" s="148" t="s">
        <v>73</v>
      </c>
      <c r="C56" s="162" t="s">
        <v>4304</v>
      </c>
      <c r="D56" s="607" t="s">
        <v>4305</v>
      </c>
      <c r="E56" s="148">
        <v>2020.0</v>
      </c>
      <c r="F56" s="573">
        <v>25.0</v>
      </c>
      <c r="G56" s="150">
        <v>25.0</v>
      </c>
      <c r="H56" s="154" t="s">
        <v>89</v>
      </c>
    </row>
    <row r="57" ht="36.0" customHeight="1">
      <c r="A57" s="170" t="s">
        <v>1641</v>
      </c>
      <c r="B57" s="148" t="s">
        <v>73</v>
      </c>
      <c r="C57" s="162" t="s">
        <v>4306</v>
      </c>
      <c r="D57" s="607" t="s">
        <v>4307</v>
      </c>
      <c r="E57" s="148">
        <v>2020.0</v>
      </c>
      <c r="F57" s="573">
        <v>25.0</v>
      </c>
      <c r="G57" s="150">
        <v>25.0</v>
      </c>
      <c r="H57" s="154" t="s">
        <v>89</v>
      </c>
    </row>
    <row r="58" ht="36.0" customHeight="1">
      <c r="A58" s="170" t="s">
        <v>1641</v>
      </c>
      <c r="B58" s="148" t="s">
        <v>73</v>
      </c>
      <c r="C58" s="162" t="s">
        <v>4308</v>
      </c>
      <c r="D58" s="607" t="s">
        <v>4309</v>
      </c>
      <c r="E58" s="148">
        <v>2020.0</v>
      </c>
      <c r="F58" s="573">
        <v>25.0</v>
      </c>
      <c r="G58" s="150">
        <v>25.0</v>
      </c>
      <c r="H58" s="154" t="s">
        <v>89</v>
      </c>
    </row>
    <row r="59" ht="48.0" customHeight="1">
      <c r="A59" s="170" t="s">
        <v>1641</v>
      </c>
      <c r="B59" s="148" t="s">
        <v>73</v>
      </c>
      <c r="C59" s="162" t="s">
        <v>4310</v>
      </c>
      <c r="D59" s="607" t="s">
        <v>4311</v>
      </c>
      <c r="E59" s="148">
        <v>2020.0</v>
      </c>
      <c r="F59" s="573">
        <v>25.0</v>
      </c>
      <c r="G59" s="150">
        <v>25.0</v>
      </c>
      <c r="H59" s="154" t="s">
        <v>89</v>
      </c>
    </row>
    <row r="60" ht="26.25" customHeight="1">
      <c r="A60" s="170" t="s">
        <v>90</v>
      </c>
      <c r="B60" s="148" t="s">
        <v>2211</v>
      </c>
      <c r="C60" s="162" t="s">
        <v>4312</v>
      </c>
      <c r="D60" s="607" t="s">
        <v>4313</v>
      </c>
      <c r="E60" s="603">
        <v>43861.0</v>
      </c>
      <c r="F60" s="364">
        <v>25.0</v>
      </c>
      <c r="G60" s="150">
        <v>25.0</v>
      </c>
      <c r="H60" s="154" t="s">
        <v>90</v>
      </c>
    </row>
    <row r="61" ht="24.0" customHeight="1">
      <c r="A61" s="170" t="s">
        <v>934</v>
      </c>
      <c r="B61" s="148" t="s">
        <v>73</v>
      </c>
      <c r="C61" s="227" t="s">
        <v>878</v>
      </c>
      <c r="D61" s="607" t="s">
        <v>4314</v>
      </c>
      <c r="E61" s="148" t="s">
        <v>4315</v>
      </c>
      <c r="F61" s="364">
        <v>25.0</v>
      </c>
      <c r="G61" s="150">
        <v>25.0</v>
      </c>
      <c r="H61" s="154" t="s">
        <v>98</v>
      </c>
    </row>
    <row r="62" ht="54.75" customHeight="1">
      <c r="A62" s="87" t="s">
        <v>4316</v>
      </c>
      <c r="B62" s="90" t="s">
        <v>100</v>
      </c>
      <c r="C62" s="483" t="s">
        <v>4317</v>
      </c>
      <c r="D62" s="608" t="s">
        <v>4318</v>
      </c>
      <c r="E62" s="90" t="s">
        <v>4319</v>
      </c>
      <c r="F62" s="372">
        <v>50.0</v>
      </c>
      <c r="G62" s="609">
        <v>50.0</v>
      </c>
      <c r="H62" s="345" t="s">
        <v>4316</v>
      </c>
    </row>
    <row r="63" ht="41.25" customHeight="1">
      <c r="A63" s="87" t="s">
        <v>4316</v>
      </c>
      <c r="B63" s="90" t="s">
        <v>100</v>
      </c>
      <c r="C63" s="483" t="s">
        <v>4320</v>
      </c>
      <c r="D63" s="608" t="s">
        <v>4321</v>
      </c>
      <c r="E63" s="90" t="s">
        <v>4322</v>
      </c>
      <c r="F63" s="610">
        <v>50.0</v>
      </c>
      <c r="G63" s="609">
        <v>50.0</v>
      </c>
      <c r="H63" s="345" t="s">
        <v>4316</v>
      </c>
    </row>
    <row r="64" ht="52.5" customHeight="1">
      <c r="A64" s="87" t="s">
        <v>4316</v>
      </c>
      <c r="B64" s="90" t="s">
        <v>100</v>
      </c>
      <c r="C64" s="483" t="s">
        <v>4323</v>
      </c>
      <c r="D64" s="608" t="s">
        <v>4324</v>
      </c>
      <c r="E64" s="90" t="s">
        <v>4325</v>
      </c>
      <c r="F64" s="610">
        <v>25.0</v>
      </c>
      <c r="G64" s="609">
        <v>25.0</v>
      </c>
      <c r="H64" s="345" t="s">
        <v>4316</v>
      </c>
    </row>
    <row r="65" ht="52.5" customHeight="1">
      <c r="A65" s="87" t="s">
        <v>4316</v>
      </c>
      <c r="B65" s="90" t="s">
        <v>100</v>
      </c>
      <c r="C65" s="483" t="s">
        <v>4323</v>
      </c>
      <c r="D65" s="608" t="s">
        <v>4324</v>
      </c>
      <c r="E65" s="90" t="s">
        <v>4326</v>
      </c>
      <c r="F65" s="610">
        <v>25.0</v>
      </c>
      <c r="G65" s="609">
        <v>25.0</v>
      </c>
      <c r="H65" s="345" t="s">
        <v>4316</v>
      </c>
    </row>
    <row r="66" ht="52.5" customHeight="1">
      <c r="A66" s="87" t="s">
        <v>4316</v>
      </c>
      <c r="B66" s="90" t="s">
        <v>100</v>
      </c>
      <c r="C66" s="483" t="s">
        <v>4323</v>
      </c>
      <c r="D66" s="608" t="s">
        <v>4324</v>
      </c>
      <c r="E66" s="90" t="s">
        <v>4327</v>
      </c>
      <c r="F66" s="610">
        <v>25.0</v>
      </c>
      <c r="G66" s="609">
        <v>25.0</v>
      </c>
      <c r="H66" s="345" t="s">
        <v>4316</v>
      </c>
    </row>
    <row r="67" ht="52.5" customHeight="1">
      <c r="A67" s="87" t="s">
        <v>4316</v>
      </c>
      <c r="B67" s="90" t="s">
        <v>100</v>
      </c>
      <c r="C67" s="483" t="s">
        <v>4323</v>
      </c>
      <c r="D67" s="608" t="s">
        <v>4324</v>
      </c>
      <c r="E67" s="90" t="s">
        <v>4328</v>
      </c>
      <c r="F67" s="610">
        <v>25.0</v>
      </c>
      <c r="G67" s="609">
        <v>25.0</v>
      </c>
      <c r="H67" s="345" t="s">
        <v>4316</v>
      </c>
    </row>
    <row r="68" ht="52.5" customHeight="1">
      <c r="A68" s="87" t="s">
        <v>1653</v>
      </c>
      <c r="B68" s="90" t="s">
        <v>100</v>
      </c>
      <c r="C68" s="483" t="s">
        <v>4329</v>
      </c>
      <c r="D68" s="608" t="s">
        <v>4330</v>
      </c>
      <c r="E68" s="90" t="s">
        <v>4331</v>
      </c>
      <c r="F68" s="372">
        <v>25.0</v>
      </c>
      <c r="G68" s="609">
        <v>25.0</v>
      </c>
      <c r="H68" s="345" t="s">
        <v>1653</v>
      </c>
    </row>
    <row r="69" ht="52.5" customHeight="1">
      <c r="A69" s="87" t="s">
        <v>1653</v>
      </c>
      <c r="B69" s="90" t="s">
        <v>100</v>
      </c>
      <c r="C69" s="483" t="s">
        <v>4329</v>
      </c>
      <c r="D69" s="608" t="s">
        <v>1656</v>
      </c>
      <c r="E69" s="90" t="s">
        <v>4332</v>
      </c>
      <c r="F69" s="610">
        <v>25.0</v>
      </c>
      <c r="G69" s="609">
        <v>25.0</v>
      </c>
      <c r="H69" s="345" t="s">
        <v>1653</v>
      </c>
    </row>
    <row r="70" ht="52.5" customHeight="1">
      <c r="A70" s="87" t="s">
        <v>1653</v>
      </c>
      <c r="B70" s="90" t="s">
        <v>100</v>
      </c>
      <c r="C70" s="483" t="s">
        <v>4329</v>
      </c>
      <c r="D70" s="608" t="s">
        <v>1656</v>
      </c>
      <c r="E70" s="90" t="s">
        <v>4333</v>
      </c>
      <c r="F70" s="610">
        <v>25.0</v>
      </c>
      <c r="G70" s="609">
        <v>25.0</v>
      </c>
      <c r="H70" s="345" t="s">
        <v>1653</v>
      </c>
    </row>
    <row r="71" ht="78.75" customHeight="1">
      <c r="A71" s="87" t="s">
        <v>1653</v>
      </c>
      <c r="B71" s="90" t="s">
        <v>100</v>
      </c>
      <c r="C71" s="483" t="s">
        <v>4334</v>
      </c>
      <c r="D71" s="608" t="s">
        <v>4335</v>
      </c>
      <c r="E71" s="90" t="s">
        <v>4336</v>
      </c>
      <c r="F71" s="610">
        <v>25.0</v>
      </c>
      <c r="G71" s="609">
        <v>25.0</v>
      </c>
      <c r="H71" s="345" t="s">
        <v>1653</v>
      </c>
    </row>
    <row r="72" ht="26.25" customHeight="1">
      <c r="A72" s="87" t="s">
        <v>1653</v>
      </c>
      <c r="B72" s="90" t="s">
        <v>100</v>
      </c>
      <c r="C72" s="483" t="s">
        <v>4337</v>
      </c>
      <c r="D72" s="483" t="s">
        <v>4338</v>
      </c>
      <c r="E72" s="90" t="s">
        <v>4339</v>
      </c>
      <c r="F72" s="610">
        <v>50.0</v>
      </c>
      <c r="G72" s="609">
        <v>50.0</v>
      </c>
      <c r="H72" s="345" t="s">
        <v>1653</v>
      </c>
    </row>
    <row r="73" ht="26.25" customHeight="1">
      <c r="A73" s="87" t="s">
        <v>1653</v>
      </c>
      <c r="B73" s="90" t="s">
        <v>100</v>
      </c>
      <c r="C73" s="483" t="s">
        <v>4337</v>
      </c>
      <c r="D73" s="483" t="s">
        <v>4338</v>
      </c>
      <c r="E73" s="90" t="s">
        <v>4255</v>
      </c>
      <c r="F73" s="610">
        <v>50.0</v>
      </c>
      <c r="G73" s="609">
        <v>50.0</v>
      </c>
      <c r="H73" s="345" t="s">
        <v>1653</v>
      </c>
    </row>
    <row r="74" ht="27.0" customHeight="1">
      <c r="A74" s="90" t="s">
        <v>4340</v>
      </c>
      <c r="B74" s="90" t="s">
        <v>100</v>
      </c>
      <c r="C74" s="90" t="s">
        <v>4341</v>
      </c>
      <c r="D74" s="611" t="s">
        <v>1656</v>
      </c>
      <c r="E74" s="612">
        <v>44133.0</v>
      </c>
      <c r="F74" s="372">
        <v>25.0</v>
      </c>
      <c r="G74" s="609">
        <v>25.0</v>
      </c>
      <c r="H74" s="345" t="s">
        <v>4340</v>
      </c>
    </row>
    <row r="75" ht="27.0" customHeight="1">
      <c r="A75" s="90" t="s">
        <v>4340</v>
      </c>
      <c r="B75" s="90" t="s">
        <v>100</v>
      </c>
      <c r="C75" s="90" t="s">
        <v>4341</v>
      </c>
      <c r="D75" s="611" t="s">
        <v>1656</v>
      </c>
      <c r="E75" s="612">
        <v>44139.0</v>
      </c>
      <c r="F75" s="610">
        <v>25.0</v>
      </c>
      <c r="G75" s="609">
        <v>25.0</v>
      </c>
      <c r="H75" s="345" t="s">
        <v>4340</v>
      </c>
    </row>
    <row r="76" ht="52.5" customHeight="1">
      <c r="A76" s="87" t="s">
        <v>4342</v>
      </c>
      <c r="B76" s="90" t="s">
        <v>100</v>
      </c>
      <c r="C76" s="483" t="s">
        <v>4343</v>
      </c>
      <c r="D76" s="483" t="s">
        <v>4344</v>
      </c>
      <c r="E76" s="90" t="s">
        <v>4345</v>
      </c>
      <c r="F76" s="372">
        <v>25.0</v>
      </c>
      <c r="G76" s="372">
        <v>25.0</v>
      </c>
      <c r="H76" s="92" t="s">
        <v>4346</v>
      </c>
    </row>
    <row r="77" ht="14.25" customHeight="1">
      <c r="A77" s="347" t="s">
        <v>113</v>
      </c>
      <c r="B77" s="613" t="s">
        <v>100</v>
      </c>
      <c r="C77" s="614" t="s">
        <v>4347</v>
      </c>
      <c r="D77" s="615" t="s">
        <v>4344</v>
      </c>
      <c r="E77" s="616">
        <v>44075.0</v>
      </c>
      <c r="F77" s="617">
        <v>25.0</v>
      </c>
      <c r="G77" s="618">
        <v>25.0</v>
      </c>
      <c r="H77" s="92" t="s">
        <v>113</v>
      </c>
    </row>
    <row r="78" ht="14.25" customHeight="1">
      <c r="A78" s="347" t="s">
        <v>113</v>
      </c>
      <c r="B78" s="613" t="s">
        <v>100</v>
      </c>
      <c r="C78" s="614" t="s">
        <v>4347</v>
      </c>
      <c r="D78" s="615" t="s">
        <v>4344</v>
      </c>
      <c r="E78" s="616">
        <v>44112.0</v>
      </c>
      <c r="F78" s="617">
        <v>25.0</v>
      </c>
      <c r="G78" s="618">
        <v>25.0</v>
      </c>
      <c r="H78" s="92" t="s">
        <v>113</v>
      </c>
    </row>
    <row r="79" ht="54.75" customHeight="1">
      <c r="A79" s="492" t="s">
        <v>115</v>
      </c>
      <c r="B79" s="278" t="s">
        <v>964</v>
      </c>
      <c r="C79" s="283" t="s">
        <v>4348</v>
      </c>
      <c r="D79" s="284" t="s">
        <v>4349</v>
      </c>
      <c r="E79" s="619">
        <v>43961.0</v>
      </c>
      <c r="F79" s="589">
        <v>50.0</v>
      </c>
      <c r="G79" s="290">
        <v>50.0</v>
      </c>
      <c r="H79" s="92" t="s">
        <v>4350</v>
      </c>
    </row>
    <row r="80" ht="54.75" customHeight="1">
      <c r="A80" s="283" t="s">
        <v>115</v>
      </c>
      <c r="B80" s="278" t="s">
        <v>964</v>
      </c>
      <c r="C80" s="283" t="s">
        <v>4348</v>
      </c>
      <c r="D80" s="284" t="s">
        <v>4349</v>
      </c>
      <c r="E80" s="619">
        <v>44054.0</v>
      </c>
      <c r="F80" s="589">
        <v>50.0</v>
      </c>
      <c r="G80" s="290">
        <v>50.0</v>
      </c>
      <c r="H80" s="92" t="s">
        <v>4350</v>
      </c>
    </row>
    <row r="81" ht="27.0" customHeight="1">
      <c r="A81" s="283" t="s">
        <v>115</v>
      </c>
      <c r="B81" s="278" t="s">
        <v>73</v>
      </c>
      <c r="C81" s="283" t="s">
        <v>4351</v>
      </c>
      <c r="D81" s="284" t="s">
        <v>2675</v>
      </c>
      <c r="E81" s="619">
        <v>44088.0</v>
      </c>
      <c r="F81" s="590">
        <v>50.0</v>
      </c>
      <c r="G81" s="290">
        <v>50.0</v>
      </c>
      <c r="H81" s="92" t="s">
        <v>4350</v>
      </c>
    </row>
    <row r="82" ht="27.0" customHeight="1">
      <c r="A82" s="283" t="s">
        <v>115</v>
      </c>
      <c r="B82" s="278" t="s">
        <v>142</v>
      </c>
      <c r="C82" s="283" t="s">
        <v>4351</v>
      </c>
      <c r="D82" s="284" t="s">
        <v>2675</v>
      </c>
      <c r="E82" s="619">
        <v>44097.0</v>
      </c>
      <c r="F82" s="590">
        <v>50.0</v>
      </c>
      <c r="G82" s="290">
        <v>50.0</v>
      </c>
      <c r="H82" s="92" t="s">
        <v>4350</v>
      </c>
    </row>
    <row r="83" ht="72.0" customHeight="1">
      <c r="A83" s="492" t="s">
        <v>121</v>
      </c>
      <c r="B83" s="278" t="s">
        <v>100</v>
      </c>
      <c r="C83" s="620" t="s">
        <v>4352</v>
      </c>
      <c r="D83" s="284" t="s">
        <v>4353</v>
      </c>
      <c r="E83" s="278" t="s">
        <v>4354</v>
      </c>
      <c r="F83" s="589">
        <v>25.0</v>
      </c>
      <c r="G83" s="290">
        <v>25.0</v>
      </c>
      <c r="H83" s="286" t="s">
        <v>1497</v>
      </c>
    </row>
    <row r="84" ht="69.0" customHeight="1">
      <c r="A84" s="283" t="s">
        <v>121</v>
      </c>
      <c r="B84" s="278" t="s">
        <v>100</v>
      </c>
      <c r="C84" s="621" t="s">
        <v>4355</v>
      </c>
      <c r="D84" s="284" t="s">
        <v>4353</v>
      </c>
      <c r="E84" s="278" t="s">
        <v>4356</v>
      </c>
      <c r="F84" s="590">
        <v>25.0</v>
      </c>
      <c r="G84" s="290">
        <v>25.0</v>
      </c>
      <c r="H84" s="286" t="s">
        <v>1497</v>
      </c>
    </row>
    <row r="85" ht="27.0" customHeight="1">
      <c r="A85" s="492" t="s">
        <v>4073</v>
      </c>
      <c r="B85" s="278" t="s">
        <v>100</v>
      </c>
      <c r="C85" s="278" t="s">
        <v>4357</v>
      </c>
      <c r="D85" s="585" t="s">
        <v>4358</v>
      </c>
      <c r="E85" s="585" t="s">
        <v>1146</v>
      </c>
      <c r="F85" s="590">
        <v>50.0</v>
      </c>
      <c r="G85" s="290">
        <v>50.0</v>
      </c>
      <c r="H85" s="286" t="s">
        <v>4077</v>
      </c>
    </row>
    <row r="86" ht="27.0" customHeight="1">
      <c r="A86" s="283" t="s">
        <v>4073</v>
      </c>
      <c r="B86" s="278" t="s">
        <v>100</v>
      </c>
      <c r="C86" s="278" t="s">
        <v>4359</v>
      </c>
      <c r="D86" s="278" t="s">
        <v>4360</v>
      </c>
      <c r="E86" s="278">
        <v>2020.0</v>
      </c>
      <c r="F86" s="590">
        <v>50.0</v>
      </c>
      <c r="G86" s="290">
        <v>50.0</v>
      </c>
      <c r="H86" s="286" t="s">
        <v>4077</v>
      </c>
    </row>
    <row r="87" ht="27.0" customHeight="1">
      <c r="A87" s="101" t="s">
        <v>1505</v>
      </c>
      <c r="B87" s="75" t="s">
        <v>4016</v>
      </c>
      <c r="C87" s="176" t="s">
        <v>4361</v>
      </c>
      <c r="D87" s="176" t="s">
        <v>4362</v>
      </c>
      <c r="E87" s="75">
        <v>44172.0</v>
      </c>
      <c r="F87" s="185">
        <v>50.0</v>
      </c>
      <c r="G87" s="180">
        <v>50.0</v>
      </c>
      <c r="H87" s="77" t="s">
        <v>125</v>
      </c>
    </row>
    <row r="88" ht="41.25" customHeight="1">
      <c r="A88" s="101" t="s">
        <v>4100</v>
      </c>
      <c r="B88" s="75" t="s">
        <v>123</v>
      </c>
      <c r="C88" s="176" t="s">
        <v>1002</v>
      </c>
      <c r="D88" s="176" t="s">
        <v>4363</v>
      </c>
      <c r="E88" s="75">
        <v>0.0</v>
      </c>
      <c r="F88" s="185">
        <v>25.0</v>
      </c>
      <c r="G88" s="180">
        <v>25.0</v>
      </c>
      <c r="H88" s="77" t="s">
        <v>128</v>
      </c>
    </row>
    <row r="89" ht="41.25" customHeight="1">
      <c r="A89" s="101" t="s">
        <v>4100</v>
      </c>
      <c r="B89" s="75" t="s">
        <v>123</v>
      </c>
      <c r="C89" s="176" t="s">
        <v>4364</v>
      </c>
      <c r="D89" s="176" t="s">
        <v>4365</v>
      </c>
      <c r="E89" s="75">
        <v>0.0</v>
      </c>
      <c r="F89" s="185">
        <v>25.0</v>
      </c>
      <c r="G89" s="180">
        <v>25.0</v>
      </c>
      <c r="H89" s="77" t="s">
        <v>128</v>
      </c>
    </row>
    <row r="90" ht="27.0" customHeight="1">
      <c r="A90" s="101" t="s">
        <v>4100</v>
      </c>
      <c r="B90" s="75" t="s">
        <v>123</v>
      </c>
      <c r="C90" s="176" t="s">
        <v>4101</v>
      </c>
      <c r="D90" s="176" t="s">
        <v>4102</v>
      </c>
      <c r="E90" s="75">
        <v>0.0</v>
      </c>
      <c r="F90" s="185">
        <v>25.0</v>
      </c>
      <c r="G90" s="180">
        <v>25.0</v>
      </c>
      <c r="H90" s="77" t="s">
        <v>128</v>
      </c>
    </row>
    <row r="91" ht="69.0" customHeight="1">
      <c r="A91" s="101" t="s">
        <v>4100</v>
      </c>
      <c r="B91" s="75" t="s">
        <v>123</v>
      </c>
      <c r="C91" s="176" t="s">
        <v>4366</v>
      </c>
      <c r="D91" s="176">
        <v>0.0</v>
      </c>
      <c r="E91" s="75">
        <v>0.0</v>
      </c>
      <c r="F91" s="185">
        <v>25.0</v>
      </c>
      <c r="G91" s="180">
        <v>25.0</v>
      </c>
      <c r="H91" s="77" t="s">
        <v>128</v>
      </c>
    </row>
    <row r="92" ht="27.0" customHeight="1">
      <c r="A92" s="101" t="s">
        <v>4109</v>
      </c>
      <c r="B92" s="75" t="s">
        <v>123</v>
      </c>
      <c r="C92" s="176" t="s">
        <v>4101</v>
      </c>
      <c r="D92" s="176" t="s">
        <v>4118</v>
      </c>
      <c r="E92" s="75" t="s">
        <v>4119</v>
      </c>
      <c r="F92" s="185">
        <v>25.0</v>
      </c>
      <c r="G92" s="180">
        <v>25.0</v>
      </c>
      <c r="H92" s="77" t="s">
        <v>130</v>
      </c>
    </row>
    <row r="93" ht="41.25" customHeight="1">
      <c r="A93" s="101" t="s">
        <v>1658</v>
      </c>
      <c r="B93" s="75" t="s">
        <v>123</v>
      </c>
      <c r="C93" s="176" t="s">
        <v>4367</v>
      </c>
      <c r="D93" s="176" t="s">
        <v>4368</v>
      </c>
      <c r="E93" s="75" t="s">
        <v>1388</v>
      </c>
      <c r="F93" s="185">
        <v>50.0</v>
      </c>
      <c r="G93" s="180">
        <v>50.0</v>
      </c>
      <c r="H93" s="77" t="s">
        <v>139</v>
      </c>
    </row>
    <row r="94" ht="27.0" customHeight="1">
      <c r="A94" s="101" t="s">
        <v>1658</v>
      </c>
      <c r="B94" s="75" t="s">
        <v>964</v>
      </c>
      <c r="C94" s="176" t="s">
        <v>1143</v>
      </c>
      <c r="D94" s="176" t="s">
        <v>4369</v>
      </c>
      <c r="E94" s="75" t="s">
        <v>4370</v>
      </c>
      <c r="F94" s="185">
        <v>25.0</v>
      </c>
      <c r="G94" s="180">
        <v>25.0</v>
      </c>
      <c r="H94" s="77" t="s">
        <v>139</v>
      </c>
    </row>
    <row r="95" ht="27.0" customHeight="1">
      <c r="A95" s="101" t="s">
        <v>1658</v>
      </c>
      <c r="B95" s="75" t="s">
        <v>73</v>
      </c>
      <c r="C95" s="176" t="s">
        <v>4371</v>
      </c>
      <c r="D95" s="176" t="s">
        <v>4372</v>
      </c>
      <c r="E95" s="75" t="s">
        <v>1578</v>
      </c>
      <c r="F95" s="185">
        <v>25.0</v>
      </c>
      <c r="G95" s="180">
        <v>25.0</v>
      </c>
      <c r="H95" s="77" t="s">
        <v>139</v>
      </c>
    </row>
    <row r="96" ht="27.0" customHeight="1">
      <c r="A96" s="101" t="s">
        <v>141</v>
      </c>
      <c r="B96" s="75" t="s">
        <v>142</v>
      </c>
      <c r="C96" s="176" t="s">
        <v>348</v>
      </c>
      <c r="D96" s="176" t="s">
        <v>708</v>
      </c>
      <c r="E96" s="622">
        <v>44030.0</v>
      </c>
      <c r="F96" s="185">
        <v>50.0</v>
      </c>
      <c r="G96" s="180">
        <v>50.0</v>
      </c>
      <c r="H96" s="77" t="s">
        <v>141</v>
      </c>
    </row>
    <row r="97" ht="41.25" customHeight="1">
      <c r="A97" s="101" t="s">
        <v>141</v>
      </c>
      <c r="B97" s="75" t="s">
        <v>142</v>
      </c>
      <c r="C97" s="176" t="s">
        <v>4373</v>
      </c>
      <c r="D97" s="176" t="s">
        <v>4374</v>
      </c>
      <c r="E97" s="75" t="s">
        <v>4375</v>
      </c>
      <c r="F97" s="185">
        <v>50.0</v>
      </c>
      <c r="G97" s="180">
        <v>50.0</v>
      </c>
      <c r="H97" s="77" t="s">
        <v>141</v>
      </c>
    </row>
    <row r="98" ht="69.0" customHeight="1">
      <c r="A98" s="101" t="s">
        <v>141</v>
      </c>
      <c r="B98" s="75" t="s">
        <v>142</v>
      </c>
      <c r="C98" s="176" t="s">
        <v>4376</v>
      </c>
      <c r="D98" s="176" t="s">
        <v>4377</v>
      </c>
      <c r="E98" s="75" t="s">
        <v>4378</v>
      </c>
      <c r="F98" s="185">
        <v>50.0</v>
      </c>
      <c r="G98" s="180">
        <v>50.0</v>
      </c>
      <c r="H98" s="77" t="s">
        <v>141</v>
      </c>
    </row>
    <row r="99" ht="27.0" customHeight="1">
      <c r="A99" s="101" t="s">
        <v>141</v>
      </c>
      <c r="B99" s="75" t="s">
        <v>142</v>
      </c>
      <c r="C99" s="176" t="s">
        <v>339</v>
      </c>
      <c r="D99" s="176" t="s">
        <v>4379</v>
      </c>
      <c r="E99" s="75" t="s">
        <v>4380</v>
      </c>
      <c r="F99" s="185">
        <v>50.0</v>
      </c>
      <c r="G99" s="180">
        <v>50.0</v>
      </c>
      <c r="H99" s="77" t="s">
        <v>141</v>
      </c>
    </row>
    <row r="100" ht="27.0" customHeight="1">
      <c r="A100" s="101" t="s">
        <v>147</v>
      </c>
      <c r="B100" s="75" t="s">
        <v>142</v>
      </c>
      <c r="C100" s="176" t="s">
        <v>1099</v>
      </c>
      <c r="D100" s="176" t="s">
        <v>1179</v>
      </c>
      <c r="E100" s="75" t="s">
        <v>4381</v>
      </c>
      <c r="F100" s="185">
        <v>25.0</v>
      </c>
      <c r="G100" s="180">
        <v>25.0</v>
      </c>
      <c r="H100" s="77" t="s">
        <v>147</v>
      </c>
    </row>
    <row r="101" ht="27.0" customHeight="1">
      <c r="A101" s="101" t="s">
        <v>150</v>
      </c>
      <c r="B101" s="75" t="s">
        <v>142</v>
      </c>
      <c r="C101" s="176" t="s">
        <v>4382</v>
      </c>
      <c r="D101" s="176" t="s">
        <v>4383</v>
      </c>
      <c r="E101" s="75" t="s">
        <v>4384</v>
      </c>
      <c r="F101" s="185">
        <v>25.0</v>
      </c>
      <c r="G101" s="180">
        <v>25.0</v>
      </c>
      <c r="H101" s="77" t="s">
        <v>150</v>
      </c>
    </row>
    <row r="102" ht="14.25" customHeight="1">
      <c r="A102" s="101" t="s">
        <v>150</v>
      </c>
      <c r="B102" s="75" t="s">
        <v>142</v>
      </c>
      <c r="C102" s="176" t="s">
        <v>1143</v>
      </c>
      <c r="D102" s="176" t="s">
        <v>4385</v>
      </c>
      <c r="E102" s="75" t="s">
        <v>4386</v>
      </c>
      <c r="F102" s="185">
        <v>25.0</v>
      </c>
      <c r="G102" s="180">
        <v>25.0</v>
      </c>
      <c r="H102" s="77" t="s">
        <v>150</v>
      </c>
    </row>
    <row r="103" ht="27.0" customHeight="1">
      <c r="A103" s="101" t="s">
        <v>150</v>
      </c>
      <c r="B103" s="75" t="s">
        <v>142</v>
      </c>
      <c r="C103" s="176" t="s">
        <v>4387</v>
      </c>
      <c r="D103" s="176" t="s">
        <v>4388</v>
      </c>
      <c r="E103" s="75" t="s">
        <v>4389</v>
      </c>
      <c r="F103" s="185">
        <v>50.0</v>
      </c>
      <c r="G103" s="180">
        <v>50.0</v>
      </c>
      <c r="H103" s="77" t="s">
        <v>150</v>
      </c>
    </row>
    <row r="104" ht="27.0" customHeight="1">
      <c r="A104" s="101" t="s">
        <v>153</v>
      </c>
      <c r="B104" s="75" t="s">
        <v>142</v>
      </c>
      <c r="C104" s="176" t="s">
        <v>348</v>
      </c>
      <c r="D104" s="176" t="s">
        <v>708</v>
      </c>
      <c r="E104" s="623">
        <v>43899.0</v>
      </c>
      <c r="F104" s="185">
        <v>50.0</v>
      </c>
      <c r="G104" s="180">
        <v>50.0</v>
      </c>
      <c r="H104" s="77" t="s">
        <v>153</v>
      </c>
    </row>
    <row r="105" ht="41.25" customHeight="1">
      <c r="A105" s="101" t="s">
        <v>153</v>
      </c>
      <c r="B105" s="75" t="s">
        <v>142</v>
      </c>
      <c r="C105" s="176" t="s">
        <v>1143</v>
      </c>
      <c r="D105" s="176" t="s">
        <v>4390</v>
      </c>
      <c r="E105" s="623">
        <v>43961.0</v>
      </c>
      <c r="F105" s="185">
        <v>25.0</v>
      </c>
      <c r="G105" s="180">
        <v>25.0</v>
      </c>
      <c r="H105" s="77" t="s">
        <v>153</v>
      </c>
    </row>
    <row r="106" ht="27.0" customHeight="1">
      <c r="A106" s="101" t="s">
        <v>1151</v>
      </c>
      <c r="B106" s="75" t="s">
        <v>4391</v>
      </c>
      <c r="C106" s="176" t="s">
        <v>1099</v>
      </c>
      <c r="D106" s="176" t="s">
        <v>1104</v>
      </c>
      <c r="E106" s="604">
        <v>44150.0</v>
      </c>
      <c r="F106" s="185">
        <v>200.0</v>
      </c>
      <c r="G106" s="180">
        <v>25.0</v>
      </c>
      <c r="H106" s="77" t="s">
        <v>154</v>
      </c>
    </row>
    <row r="107" ht="27.0" customHeight="1">
      <c r="A107" s="101" t="s">
        <v>158</v>
      </c>
      <c r="B107" s="75" t="s">
        <v>142</v>
      </c>
      <c r="C107" s="176" t="s">
        <v>4392</v>
      </c>
      <c r="D107" s="176" t="s">
        <v>4393</v>
      </c>
      <c r="E107" s="604">
        <v>44074.0</v>
      </c>
      <c r="F107" s="185">
        <v>50.0</v>
      </c>
      <c r="G107" s="180">
        <v>50.0</v>
      </c>
      <c r="H107" s="77" t="s">
        <v>158</v>
      </c>
    </row>
    <row r="108" ht="27.0" customHeight="1">
      <c r="A108" s="101" t="s">
        <v>158</v>
      </c>
      <c r="B108" s="75" t="s">
        <v>142</v>
      </c>
      <c r="C108" s="176" t="s">
        <v>4394</v>
      </c>
      <c r="D108" s="176" t="s">
        <v>4395</v>
      </c>
      <c r="E108" s="604">
        <v>44030.0</v>
      </c>
      <c r="F108" s="185">
        <v>25.0</v>
      </c>
      <c r="G108" s="180">
        <v>25.0</v>
      </c>
      <c r="H108" s="77" t="s">
        <v>158</v>
      </c>
    </row>
    <row r="109" ht="27.0" customHeight="1">
      <c r="A109" s="101" t="s">
        <v>159</v>
      </c>
      <c r="B109" s="75" t="s">
        <v>142</v>
      </c>
      <c r="C109" s="176" t="s">
        <v>4154</v>
      </c>
      <c r="D109" s="176" t="s">
        <v>4140</v>
      </c>
      <c r="E109" s="75" t="s">
        <v>4396</v>
      </c>
      <c r="F109" s="185">
        <v>25.0</v>
      </c>
      <c r="G109" s="180">
        <v>25.0</v>
      </c>
      <c r="H109" s="77" t="s">
        <v>159</v>
      </c>
    </row>
    <row r="110" ht="27.0" customHeight="1">
      <c r="A110" s="101" t="s">
        <v>159</v>
      </c>
      <c r="B110" s="75" t="s">
        <v>142</v>
      </c>
      <c r="C110" s="176" t="s">
        <v>4397</v>
      </c>
      <c r="D110" s="176" t="s">
        <v>4398</v>
      </c>
      <c r="E110" s="325">
        <v>43983.0</v>
      </c>
      <c r="F110" s="185">
        <v>25.0</v>
      </c>
      <c r="G110" s="180">
        <v>25.0</v>
      </c>
      <c r="H110" s="77" t="s">
        <v>159</v>
      </c>
    </row>
    <row r="111" ht="27.0" customHeight="1">
      <c r="A111" s="101" t="s">
        <v>160</v>
      </c>
      <c r="B111" s="75" t="s">
        <v>142</v>
      </c>
      <c r="C111" s="176" t="s">
        <v>4399</v>
      </c>
      <c r="D111" s="176" t="s">
        <v>4400</v>
      </c>
      <c r="E111" s="75" t="s">
        <v>4401</v>
      </c>
      <c r="F111" s="185">
        <v>50.0</v>
      </c>
      <c r="G111" s="180">
        <v>50.0</v>
      </c>
      <c r="H111" s="77" t="s">
        <v>160</v>
      </c>
    </row>
    <row r="112" ht="27.0" customHeight="1">
      <c r="A112" s="101" t="s">
        <v>4402</v>
      </c>
      <c r="B112" s="75" t="s">
        <v>142</v>
      </c>
      <c r="C112" s="176" t="s">
        <v>1143</v>
      </c>
      <c r="D112" s="176" t="s">
        <v>4403</v>
      </c>
      <c r="E112" s="624">
        <v>43983.0</v>
      </c>
      <c r="F112" s="185">
        <v>25.0</v>
      </c>
      <c r="G112" s="180">
        <v>25.0</v>
      </c>
      <c r="H112" s="77" t="s">
        <v>162</v>
      </c>
    </row>
    <row r="113" ht="27.0" customHeight="1">
      <c r="A113" s="101" t="s">
        <v>4402</v>
      </c>
      <c r="B113" s="75" t="s">
        <v>142</v>
      </c>
      <c r="C113" s="176" t="s">
        <v>4404</v>
      </c>
      <c r="D113" s="176" t="s">
        <v>708</v>
      </c>
      <c r="E113" s="625">
        <v>44397.0</v>
      </c>
      <c r="F113" s="185">
        <v>50.0</v>
      </c>
      <c r="G113" s="180">
        <v>50.0</v>
      </c>
      <c r="H113" s="77" t="s">
        <v>162</v>
      </c>
    </row>
    <row r="114" ht="27.0" customHeight="1">
      <c r="A114" s="101" t="s">
        <v>4158</v>
      </c>
      <c r="B114" s="75" t="s">
        <v>142</v>
      </c>
      <c r="C114" s="176" t="s">
        <v>1200</v>
      </c>
      <c r="D114" s="176" t="s">
        <v>4405</v>
      </c>
      <c r="E114" s="604">
        <v>44305.0</v>
      </c>
      <c r="F114" s="185">
        <v>25.0</v>
      </c>
      <c r="G114" s="180">
        <v>25.0</v>
      </c>
      <c r="H114" s="77" t="s">
        <v>165</v>
      </c>
    </row>
    <row r="115" ht="27.0" customHeight="1">
      <c r="A115" s="101" t="s">
        <v>167</v>
      </c>
      <c r="B115" s="75" t="s">
        <v>1109</v>
      </c>
      <c r="C115" s="176" t="s">
        <v>1099</v>
      </c>
      <c r="D115" s="176" t="s">
        <v>1104</v>
      </c>
      <c r="E115" s="75"/>
      <c r="F115" s="185">
        <v>25.0</v>
      </c>
      <c r="G115" s="180">
        <v>25.0</v>
      </c>
      <c r="H115" s="77" t="s">
        <v>167</v>
      </c>
    </row>
    <row r="116" ht="14.25" customHeight="1">
      <c r="A116" s="101" t="s">
        <v>167</v>
      </c>
      <c r="B116" s="75" t="s">
        <v>1109</v>
      </c>
      <c r="C116" s="176" t="s">
        <v>4406</v>
      </c>
      <c r="D116" s="176" t="s">
        <v>4407</v>
      </c>
      <c r="E116" s="75"/>
      <c r="F116" s="185">
        <v>25.0</v>
      </c>
      <c r="G116" s="180">
        <v>25.0</v>
      </c>
      <c r="H116" s="77" t="s">
        <v>167</v>
      </c>
    </row>
    <row r="117" ht="27.0" customHeight="1">
      <c r="A117" s="101" t="s">
        <v>4408</v>
      </c>
      <c r="B117" s="75" t="s">
        <v>142</v>
      </c>
      <c r="C117" s="176" t="s">
        <v>4409</v>
      </c>
      <c r="D117" s="176" t="s">
        <v>4410</v>
      </c>
      <c r="E117" s="604">
        <v>43863.0</v>
      </c>
      <c r="F117" s="185">
        <v>50.0</v>
      </c>
      <c r="G117" s="180">
        <v>50.0</v>
      </c>
      <c r="H117" s="77" t="s">
        <v>169</v>
      </c>
    </row>
    <row r="118" ht="27.0" customHeight="1">
      <c r="A118" s="101" t="s">
        <v>4408</v>
      </c>
      <c r="B118" s="75" t="s">
        <v>142</v>
      </c>
      <c r="C118" s="176" t="s">
        <v>4411</v>
      </c>
      <c r="D118" s="176" t="s">
        <v>4412</v>
      </c>
      <c r="E118" s="604">
        <v>44046.0</v>
      </c>
      <c r="F118" s="185">
        <v>50.0</v>
      </c>
      <c r="G118" s="180">
        <v>50.0</v>
      </c>
      <c r="H118" s="77" t="s">
        <v>169</v>
      </c>
    </row>
    <row r="119" ht="27.0" customHeight="1">
      <c r="A119" s="101" t="s">
        <v>4408</v>
      </c>
      <c r="B119" s="75" t="s">
        <v>142</v>
      </c>
      <c r="C119" s="176" t="s">
        <v>4413</v>
      </c>
      <c r="D119" s="176" t="s">
        <v>4414</v>
      </c>
      <c r="E119" s="604">
        <v>44123.0</v>
      </c>
      <c r="F119" s="185">
        <v>50.0</v>
      </c>
      <c r="G119" s="180">
        <v>50.0</v>
      </c>
      <c r="H119" s="77" t="s">
        <v>169</v>
      </c>
    </row>
    <row r="120" ht="14.25" customHeight="1">
      <c r="A120" s="101" t="s">
        <v>170</v>
      </c>
      <c r="B120" s="75" t="s">
        <v>142</v>
      </c>
      <c r="C120" s="176" t="s">
        <v>1143</v>
      </c>
      <c r="D120" s="176" t="s">
        <v>4395</v>
      </c>
      <c r="E120" s="75" t="s">
        <v>4415</v>
      </c>
      <c r="F120" s="185">
        <v>25.0</v>
      </c>
      <c r="G120" s="180">
        <v>25.0</v>
      </c>
      <c r="H120" s="77" t="s">
        <v>170</v>
      </c>
    </row>
    <row r="121" ht="27.0" customHeight="1">
      <c r="A121" s="101" t="s">
        <v>1243</v>
      </c>
      <c r="B121" s="75" t="s">
        <v>142</v>
      </c>
      <c r="C121" s="176" t="s">
        <v>339</v>
      </c>
      <c r="D121" s="176" t="s">
        <v>4178</v>
      </c>
      <c r="E121" s="75">
        <v>43788.0</v>
      </c>
      <c r="F121" s="185">
        <v>50.0</v>
      </c>
      <c r="G121" s="180">
        <v>50.0</v>
      </c>
      <c r="H121" s="77" t="s">
        <v>172</v>
      </c>
    </row>
    <row r="122" ht="27.0" customHeight="1">
      <c r="A122" s="101" t="s">
        <v>1243</v>
      </c>
      <c r="B122" s="75" t="s">
        <v>142</v>
      </c>
      <c r="C122" s="176" t="s">
        <v>4416</v>
      </c>
      <c r="D122" s="176" t="s">
        <v>4393</v>
      </c>
      <c r="E122" s="75" t="s">
        <v>4417</v>
      </c>
      <c r="F122" s="185">
        <v>50.0</v>
      </c>
      <c r="G122" s="180">
        <v>50.0</v>
      </c>
      <c r="H122" s="77" t="s">
        <v>172</v>
      </c>
    </row>
    <row r="123" ht="27.0" customHeight="1">
      <c r="A123" s="101" t="s">
        <v>1243</v>
      </c>
      <c r="B123" s="75" t="s">
        <v>142</v>
      </c>
      <c r="C123" s="176" t="s">
        <v>4418</v>
      </c>
      <c r="D123" s="176" t="s">
        <v>4419</v>
      </c>
      <c r="E123" s="75" t="s">
        <v>4420</v>
      </c>
      <c r="F123" s="185">
        <v>25.0</v>
      </c>
      <c r="G123" s="180">
        <v>25.0</v>
      </c>
      <c r="H123" s="77" t="s">
        <v>172</v>
      </c>
    </row>
    <row r="124" ht="41.25" customHeight="1">
      <c r="A124" s="101" t="s">
        <v>1243</v>
      </c>
      <c r="B124" s="75" t="s">
        <v>142</v>
      </c>
      <c r="C124" s="176" t="s">
        <v>1143</v>
      </c>
      <c r="D124" s="176" t="s">
        <v>4390</v>
      </c>
      <c r="E124" s="75">
        <v>7.2019</v>
      </c>
      <c r="F124" s="185">
        <v>25.0</v>
      </c>
      <c r="G124" s="180">
        <v>25.0</v>
      </c>
      <c r="H124" s="77" t="s">
        <v>172</v>
      </c>
    </row>
    <row r="125" ht="27.0" customHeight="1">
      <c r="A125" s="101" t="s">
        <v>311</v>
      </c>
      <c r="B125" s="75" t="s">
        <v>142</v>
      </c>
      <c r="C125" s="176" t="s">
        <v>4421</v>
      </c>
      <c r="D125" s="176" t="s">
        <v>4422</v>
      </c>
      <c r="E125" s="75" t="s">
        <v>4423</v>
      </c>
      <c r="F125" s="185">
        <v>50.0</v>
      </c>
      <c r="G125" s="180">
        <v>50.0</v>
      </c>
      <c r="H125" s="77" t="s">
        <v>173</v>
      </c>
    </row>
    <row r="126" ht="27.0" customHeight="1">
      <c r="A126" s="101" t="s">
        <v>311</v>
      </c>
      <c r="B126" s="75" t="s">
        <v>142</v>
      </c>
      <c r="C126" s="176" t="s">
        <v>4424</v>
      </c>
      <c r="D126" s="176" t="s">
        <v>4425</v>
      </c>
      <c r="E126" s="75" t="s">
        <v>4426</v>
      </c>
      <c r="F126" s="185">
        <v>25.0</v>
      </c>
      <c r="G126" s="180">
        <v>25.0</v>
      </c>
      <c r="H126" s="77" t="s">
        <v>173</v>
      </c>
    </row>
    <row r="127" ht="41.25" customHeight="1">
      <c r="A127" s="101" t="s">
        <v>311</v>
      </c>
      <c r="B127" s="75" t="s">
        <v>142</v>
      </c>
      <c r="C127" s="176" t="s">
        <v>4427</v>
      </c>
      <c r="D127" s="176" t="s">
        <v>4428</v>
      </c>
      <c r="E127" s="75" t="s">
        <v>4429</v>
      </c>
      <c r="F127" s="185">
        <v>25.0</v>
      </c>
      <c r="G127" s="180">
        <v>25.0</v>
      </c>
      <c r="H127" s="77" t="s">
        <v>173</v>
      </c>
    </row>
    <row r="128" ht="27.0" customHeight="1">
      <c r="A128" s="101" t="s">
        <v>311</v>
      </c>
      <c r="B128" s="75" t="s">
        <v>142</v>
      </c>
      <c r="C128" s="176" t="s">
        <v>4430</v>
      </c>
      <c r="D128" s="176" t="s">
        <v>4431</v>
      </c>
      <c r="E128" s="75" t="s">
        <v>4432</v>
      </c>
      <c r="F128" s="185">
        <v>25.0</v>
      </c>
      <c r="G128" s="180">
        <v>25.0</v>
      </c>
      <c r="H128" s="77" t="s">
        <v>173</v>
      </c>
    </row>
    <row r="129" ht="27.0" customHeight="1">
      <c r="A129" s="101" t="s">
        <v>311</v>
      </c>
      <c r="B129" s="75" t="s">
        <v>142</v>
      </c>
      <c r="C129" s="176" t="s">
        <v>4433</v>
      </c>
      <c r="D129" s="176" t="s">
        <v>4434</v>
      </c>
      <c r="E129" s="75" t="s">
        <v>4435</v>
      </c>
      <c r="F129" s="185">
        <v>25.0</v>
      </c>
      <c r="G129" s="180">
        <v>25.0</v>
      </c>
      <c r="H129" s="77" t="s">
        <v>173</v>
      </c>
    </row>
    <row r="130" ht="27.0" customHeight="1">
      <c r="A130" s="101" t="s">
        <v>311</v>
      </c>
      <c r="B130" s="75" t="s">
        <v>142</v>
      </c>
      <c r="C130" s="176" t="s">
        <v>348</v>
      </c>
      <c r="D130" s="176" t="s">
        <v>708</v>
      </c>
      <c r="E130" s="75" t="s">
        <v>4209</v>
      </c>
      <c r="F130" s="185">
        <v>50.0</v>
      </c>
      <c r="G130" s="180">
        <v>50.0</v>
      </c>
      <c r="H130" s="77" t="s">
        <v>173</v>
      </c>
    </row>
    <row r="131" ht="27.0" customHeight="1">
      <c r="A131" s="101" t="s">
        <v>311</v>
      </c>
      <c r="B131" s="75" t="s">
        <v>142</v>
      </c>
      <c r="C131" s="176" t="s">
        <v>4436</v>
      </c>
      <c r="D131" s="176" t="s">
        <v>4437</v>
      </c>
      <c r="E131" s="75" t="s">
        <v>4209</v>
      </c>
      <c r="F131" s="185">
        <v>25.0</v>
      </c>
      <c r="G131" s="180">
        <v>0.0</v>
      </c>
      <c r="H131" s="77" t="s">
        <v>173</v>
      </c>
    </row>
    <row r="132" ht="27.0" customHeight="1">
      <c r="A132" s="101" t="s">
        <v>311</v>
      </c>
      <c r="B132" s="75" t="s">
        <v>142</v>
      </c>
      <c r="C132" s="176" t="s">
        <v>4438</v>
      </c>
      <c r="D132" s="176" t="s">
        <v>4439</v>
      </c>
      <c r="E132" s="75" t="s">
        <v>4209</v>
      </c>
      <c r="F132" s="185">
        <v>50.0</v>
      </c>
      <c r="G132" s="180">
        <v>0.0</v>
      </c>
      <c r="H132" s="77" t="s">
        <v>173</v>
      </c>
    </row>
    <row r="133" ht="27.0" customHeight="1">
      <c r="A133" s="101" t="s">
        <v>311</v>
      </c>
      <c r="B133" s="75" t="s">
        <v>142</v>
      </c>
      <c r="C133" s="176" t="s">
        <v>4440</v>
      </c>
      <c r="D133" s="176" t="s">
        <v>4441</v>
      </c>
      <c r="E133" s="75" t="s">
        <v>4209</v>
      </c>
      <c r="F133" s="185">
        <v>50.0</v>
      </c>
      <c r="G133" s="180">
        <v>0.0</v>
      </c>
      <c r="H133" s="77" t="s">
        <v>173</v>
      </c>
    </row>
    <row r="134" ht="27.0" customHeight="1">
      <c r="A134" s="101" t="s">
        <v>311</v>
      </c>
      <c r="B134" s="75" t="s">
        <v>142</v>
      </c>
      <c r="C134" s="176" t="s">
        <v>4442</v>
      </c>
      <c r="D134" s="176" t="s">
        <v>4443</v>
      </c>
      <c r="E134" s="75" t="s">
        <v>4444</v>
      </c>
      <c r="F134" s="185">
        <v>50.0</v>
      </c>
      <c r="G134" s="180">
        <v>0.0</v>
      </c>
      <c r="H134" s="77" t="s">
        <v>173</v>
      </c>
    </row>
    <row r="135" ht="41.25" customHeight="1">
      <c r="A135" s="101" t="s">
        <v>311</v>
      </c>
      <c r="B135" s="75" t="s">
        <v>142</v>
      </c>
      <c r="C135" s="176" t="s">
        <v>4445</v>
      </c>
      <c r="D135" s="176" t="s">
        <v>4446</v>
      </c>
      <c r="E135" s="75" t="s">
        <v>4447</v>
      </c>
      <c r="F135" s="185">
        <v>50.0</v>
      </c>
      <c r="G135" s="180">
        <v>0.0</v>
      </c>
      <c r="H135" s="77" t="s">
        <v>173</v>
      </c>
    </row>
    <row r="136" ht="14.25" customHeight="1">
      <c r="A136" s="101" t="s">
        <v>311</v>
      </c>
      <c r="B136" s="75" t="s">
        <v>142</v>
      </c>
      <c r="C136" s="176" t="s">
        <v>4448</v>
      </c>
      <c r="D136" s="176" t="s">
        <v>4449</v>
      </c>
      <c r="E136" s="75" t="s">
        <v>4450</v>
      </c>
      <c r="F136" s="185">
        <v>25.0</v>
      </c>
      <c r="G136" s="180">
        <v>0.0</v>
      </c>
      <c r="H136" s="77" t="s">
        <v>173</v>
      </c>
    </row>
    <row r="137" ht="27.0" customHeight="1">
      <c r="A137" s="101" t="s">
        <v>174</v>
      </c>
      <c r="B137" s="75" t="s">
        <v>142</v>
      </c>
      <c r="C137" s="176" t="s">
        <v>1099</v>
      </c>
      <c r="D137" s="176" t="s">
        <v>4140</v>
      </c>
      <c r="E137" s="75" t="s">
        <v>4451</v>
      </c>
      <c r="F137" s="185">
        <v>25.0</v>
      </c>
      <c r="G137" s="180">
        <v>25.0</v>
      </c>
      <c r="H137" s="77" t="s">
        <v>174</v>
      </c>
    </row>
    <row r="138" ht="27.0" customHeight="1">
      <c r="A138" s="101" t="s">
        <v>175</v>
      </c>
      <c r="B138" s="75" t="s">
        <v>1109</v>
      </c>
      <c r="C138" s="176" t="s">
        <v>4452</v>
      </c>
      <c r="D138" s="176" t="s">
        <v>4335</v>
      </c>
      <c r="E138" s="604">
        <v>44171.0</v>
      </c>
      <c r="F138" s="185">
        <v>25.0</v>
      </c>
      <c r="G138" s="180">
        <v>25.0</v>
      </c>
      <c r="H138" s="77" t="s">
        <v>175</v>
      </c>
    </row>
    <row r="139" ht="27.0" customHeight="1">
      <c r="A139" s="101" t="s">
        <v>177</v>
      </c>
      <c r="B139" s="75" t="s">
        <v>142</v>
      </c>
      <c r="C139" s="176" t="s">
        <v>1099</v>
      </c>
      <c r="D139" s="176" t="s">
        <v>4182</v>
      </c>
      <c r="E139" s="75"/>
      <c r="F139" s="185">
        <v>25.0</v>
      </c>
      <c r="G139" s="180">
        <v>25.0</v>
      </c>
      <c r="H139" s="77" t="s">
        <v>177</v>
      </c>
    </row>
    <row r="140" ht="27.0" customHeight="1">
      <c r="A140" s="101" t="s">
        <v>178</v>
      </c>
      <c r="B140" s="75" t="s">
        <v>142</v>
      </c>
      <c r="C140" s="176" t="s">
        <v>348</v>
      </c>
      <c r="D140" s="176" t="s">
        <v>708</v>
      </c>
      <c r="E140" s="75">
        <v>44013.0</v>
      </c>
      <c r="F140" s="185">
        <v>50.0</v>
      </c>
      <c r="G140" s="180">
        <v>50.0</v>
      </c>
      <c r="H140" s="77" t="s">
        <v>178</v>
      </c>
    </row>
    <row r="141" ht="41.25" customHeight="1">
      <c r="A141" s="101" t="s">
        <v>178</v>
      </c>
      <c r="B141" s="75" t="s">
        <v>142</v>
      </c>
      <c r="C141" s="176" t="s">
        <v>4453</v>
      </c>
      <c r="D141" s="176" t="s">
        <v>4390</v>
      </c>
      <c r="E141" s="75">
        <v>43831.0</v>
      </c>
      <c r="F141" s="80">
        <v>25.0</v>
      </c>
      <c r="G141" s="180">
        <v>25.0</v>
      </c>
      <c r="H141" s="77" t="s">
        <v>178</v>
      </c>
    </row>
    <row r="142" ht="27.0" customHeight="1">
      <c r="A142" s="101" t="s">
        <v>178</v>
      </c>
      <c r="B142" s="75" t="s">
        <v>142</v>
      </c>
      <c r="C142" s="176" t="s">
        <v>4454</v>
      </c>
      <c r="D142" s="176" t="s">
        <v>4455</v>
      </c>
      <c r="E142" s="75">
        <v>44044.0</v>
      </c>
      <c r="F142" s="80">
        <v>25.0</v>
      </c>
      <c r="G142" s="180">
        <v>25.0</v>
      </c>
      <c r="H142" s="77" t="s">
        <v>178</v>
      </c>
    </row>
    <row r="143" ht="27.0" customHeight="1">
      <c r="A143" s="101" t="s">
        <v>178</v>
      </c>
      <c r="B143" s="75" t="s">
        <v>142</v>
      </c>
      <c r="C143" s="176" t="s">
        <v>4456</v>
      </c>
      <c r="D143" s="176" t="s">
        <v>4457</v>
      </c>
      <c r="E143" s="75">
        <v>44075.0</v>
      </c>
      <c r="F143" s="80">
        <v>50.0</v>
      </c>
      <c r="G143" s="180">
        <v>50.0</v>
      </c>
      <c r="H143" s="77" t="s">
        <v>178</v>
      </c>
    </row>
    <row r="144" ht="27.0" customHeight="1">
      <c r="A144" s="101" t="s">
        <v>178</v>
      </c>
      <c r="B144" s="75" t="s">
        <v>142</v>
      </c>
      <c r="C144" s="176" t="s">
        <v>4458</v>
      </c>
      <c r="D144" s="176" t="s">
        <v>4459</v>
      </c>
      <c r="E144" s="75" t="s">
        <v>4460</v>
      </c>
      <c r="F144" s="80">
        <v>50.0</v>
      </c>
      <c r="G144" s="180">
        <v>50.0</v>
      </c>
      <c r="H144" s="77" t="s">
        <v>178</v>
      </c>
    </row>
    <row r="145" ht="14.25" customHeight="1">
      <c r="A145" s="101"/>
      <c r="B145" s="75"/>
      <c r="C145" s="176"/>
      <c r="D145" s="176"/>
      <c r="E145" s="75"/>
      <c r="F145" s="185"/>
      <c r="G145" s="180"/>
      <c r="H145" s="77"/>
    </row>
    <row r="146" ht="14.25" customHeight="1">
      <c r="A146" s="101"/>
      <c r="B146" s="75"/>
      <c r="C146" s="176"/>
      <c r="D146" s="176"/>
      <c r="E146" s="75"/>
      <c r="F146" s="185"/>
      <c r="G146" s="180"/>
      <c r="H146" s="77"/>
    </row>
    <row r="147" ht="14.25" customHeight="1">
      <c r="A147" s="101"/>
      <c r="B147" s="75"/>
      <c r="C147" s="176"/>
      <c r="D147" s="176"/>
      <c r="E147" s="75"/>
      <c r="F147" s="80"/>
      <c r="G147" s="180"/>
      <c r="H147" s="77"/>
    </row>
    <row r="148" ht="14.25" customHeight="1">
      <c r="A148" s="101"/>
      <c r="B148" s="75"/>
      <c r="C148" s="176"/>
      <c r="D148" s="176"/>
      <c r="E148" s="75"/>
      <c r="F148" s="80"/>
      <c r="G148" s="180"/>
      <c r="H148" s="77"/>
    </row>
    <row r="149" ht="14.25" customHeight="1">
      <c r="A149" s="62"/>
      <c r="B149" s="62"/>
      <c r="C149" s="384"/>
      <c r="D149" s="384"/>
      <c r="E149" s="384"/>
      <c r="F149" s="384"/>
      <c r="G149" s="626">
        <f>SUM(G10:G148)</f>
        <v>4050</v>
      </c>
    </row>
    <row r="150" ht="14.25" customHeight="1">
      <c r="A150" s="52"/>
      <c r="B150" s="52"/>
      <c r="C150" s="53"/>
      <c r="D150" s="53"/>
      <c r="E150" s="53"/>
      <c r="F150" s="53"/>
      <c r="G150" s="1"/>
    </row>
    <row r="151" ht="15.0" customHeight="1">
      <c r="A151" s="106" t="s">
        <v>330</v>
      </c>
      <c r="B151" s="107"/>
      <c r="C151" s="107"/>
      <c r="D151" s="107"/>
      <c r="E151" s="107"/>
      <c r="F151" s="107"/>
      <c r="G151" s="108"/>
      <c r="H151" s="52"/>
      <c r="I151" s="52"/>
      <c r="J151" s="52"/>
      <c r="K151" s="52"/>
      <c r="L151" s="52"/>
      <c r="M151" s="52"/>
      <c r="N151" s="52"/>
      <c r="O151" s="52"/>
      <c r="P151" s="52"/>
      <c r="Q151" s="52"/>
      <c r="R151" s="52"/>
      <c r="S151" s="52"/>
      <c r="T151" s="52"/>
      <c r="U151" s="52"/>
      <c r="V151" s="52"/>
      <c r="W151" s="52"/>
      <c r="X151" s="52"/>
      <c r="Y151" s="52"/>
      <c r="Z151" s="52"/>
    </row>
    <row r="152" ht="14.25" customHeight="1">
      <c r="A152" s="52"/>
      <c r="B152" s="52"/>
      <c r="C152" s="53"/>
      <c r="D152" s="53"/>
      <c r="E152" s="53"/>
      <c r="F152" s="1"/>
      <c r="G152" s="1"/>
    </row>
    <row r="153" ht="14.25" customHeight="1">
      <c r="A153" s="52"/>
      <c r="B153" s="52"/>
      <c r="C153" s="53"/>
      <c r="D153" s="53"/>
      <c r="E153" s="53"/>
      <c r="F153" s="53"/>
      <c r="G153" s="1"/>
    </row>
    <row r="154" ht="14.25" customHeight="1">
      <c r="A154" s="52"/>
      <c r="B154" s="52"/>
      <c r="C154" s="53"/>
      <c r="D154" s="53"/>
      <c r="E154" s="53"/>
      <c r="F154" s="1"/>
      <c r="G154" s="1"/>
    </row>
    <row r="155" ht="14.25" customHeight="1">
      <c r="A155" s="52"/>
      <c r="B155" s="52"/>
      <c r="C155" s="53"/>
      <c r="D155" s="53"/>
      <c r="E155" s="53"/>
      <c r="F155" s="53"/>
      <c r="G155" s="1"/>
    </row>
    <row r="156" ht="14.25" customHeight="1">
      <c r="A156" s="52"/>
      <c r="B156" s="52"/>
      <c r="C156" s="53"/>
      <c r="D156" s="53"/>
      <c r="E156" s="53"/>
      <c r="F156" s="53"/>
      <c r="G156" s="1"/>
    </row>
    <row r="157" ht="14.25" customHeight="1">
      <c r="A157" s="52"/>
      <c r="B157" s="52"/>
      <c r="C157" s="53"/>
      <c r="D157" s="53"/>
      <c r="E157" s="53"/>
      <c r="F157" s="53"/>
      <c r="G157" s="1"/>
    </row>
    <row r="158" ht="14.25" customHeight="1">
      <c r="A158" s="52"/>
      <c r="B158" s="52"/>
      <c r="C158" s="53"/>
      <c r="D158" s="53"/>
      <c r="E158" s="53"/>
      <c r="F158" s="53"/>
      <c r="G158" s="1"/>
    </row>
    <row r="159" ht="14.25" customHeight="1">
      <c r="A159" s="52"/>
      <c r="B159" s="52"/>
      <c r="C159" s="53"/>
      <c r="D159" s="53"/>
      <c r="E159" s="53"/>
      <c r="F159" s="53"/>
      <c r="G159" s="1"/>
    </row>
    <row r="160" ht="14.25" customHeight="1">
      <c r="A160" s="52"/>
      <c r="B160" s="52"/>
      <c r="C160" s="53"/>
      <c r="D160" s="53"/>
      <c r="E160" s="53"/>
      <c r="F160" s="53"/>
      <c r="G160" s="1"/>
    </row>
    <row r="161" ht="14.25" customHeight="1">
      <c r="A161" s="52"/>
      <c r="B161" s="52"/>
      <c r="C161" s="53"/>
      <c r="D161" s="53"/>
      <c r="E161" s="53"/>
      <c r="F161" s="53"/>
      <c r="G161" s="1"/>
    </row>
    <row r="162" ht="14.25" customHeight="1">
      <c r="A162" s="52"/>
      <c r="B162" s="52"/>
      <c r="C162" s="53"/>
      <c r="D162" s="53"/>
      <c r="E162" s="53"/>
      <c r="F162" s="53"/>
      <c r="G162" s="1"/>
    </row>
    <row r="163" ht="14.25" customHeight="1">
      <c r="A163" s="52"/>
      <c r="B163" s="52"/>
      <c r="C163" s="53"/>
      <c r="D163" s="53"/>
      <c r="E163" s="53"/>
      <c r="F163" s="53"/>
      <c r="G163" s="1"/>
    </row>
    <row r="164" ht="14.25" customHeight="1">
      <c r="A164" s="52"/>
      <c r="B164" s="52"/>
      <c r="C164" s="53"/>
      <c r="D164" s="53"/>
      <c r="E164" s="53"/>
      <c r="F164" s="53"/>
      <c r="G164" s="1"/>
    </row>
    <row r="165" ht="14.25" customHeight="1">
      <c r="A165" s="52"/>
      <c r="B165" s="52"/>
      <c r="C165" s="53"/>
      <c r="D165" s="53"/>
      <c r="E165" s="53"/>
      <c r="F165" s="53"/>
      <c r="G165" s="1"/>
    </row>
    <row r="166" ht="14.25" customHeight="1">
      <c r="A166" s="52"/>
      <c r="B166" s="52"/>
      <c r="C166" s="53"/>
      <c r="D166" s="53"/>
      <c r="E166" s="53"/>
      <c r="F166" s="53"/>
      <c r="G166" s="1"/>
    </row>
    <row r="167" ht="14.25" customHeight="1">
      <c r="A167" s="52"/>
      <c r="B167" s="52"/>
      <c r="C167" s="53"/>
      <c r="D167" s="53"/>
      <c r="E167" s="53"/>
      <c r="F167" s="53"/>
      <c r="G167" s="1"/>
    </row>
    <row r="168" ht="14.25" customHeight="1">
      <c r="A168" s="52"/>
      <c r="B168" s="52"/>
      <c r="C168" s="53"/>
      <c r="D168" s="53"/>
      <c r="E168" s="53"/>
      <c r="F168" s="53"/>
      <c r="G168" s="1"/>
    </row>
    <row r="169" ht="14.25" customHeight="1">
      <c r="A169" s="52"/>
      <c r="B169" s="52"/>
      <c r="C169" s="53"/>
      <c r="D169" s="53"/>
      <c r="E169" s="53"/>
      <c r="F169" s="53"/>
      <c r="G169" s="1"/>
    </row>
    <row r="170" ht="14.25" customHeight="1">
      <c r="A170" s="52"/>
      <c r="B170" s="52"/>
      <c r="C170" s="53"/>
      <c r="D170" s="53"/>
      <c r="E170" s="53"/>
      <c r="F170" s="53"/>
      <c r="G170" s="1"/>
    </row>
    <row r="171" ht="14.25" customHeight="1">
      <c r="A171" s="52"/>
      <c r="B171" s="52"/>
      <c r="C171" s="53"/>
      <c r="D171" s="53"/>
      <c r="E171" s="53"/>
      <c r="F171" s="53"/>
      <c r="G171" s="1"/>
    </row>
    <row r="172" ht="14.25" customHeight="1">
      <c r="A172" s="52"/>
      <c r="B172" s="52"/>
      <c r="C172" s="53"/>
      <c r="D172" s="53"/>
      <c r="E172" s="53"/>
      <c r="F172" s="53"/>
      <c r="G172" s="1"/>
    </row>
    <row r="173" ht="14.25" customHeight="1">
      <c r="A173" s="52"/>
      <c r="B173" s="52"/>
      <c r="C173" s="53"/>
      <c r="D173" s="53"/>
      <c r="E173" s="53"/>
      <c r="F173" s="53"/>
      <c r="G173" s="1"/>
    </row>
    <row r="174" ht="14.25" customHeight="1">
      <c r="A174" s="52"/>
      <c r="B174" s="52"/>
      <c r="C174" s="53"/>
      <c r="D174" s="53"/>
      <c r="E174" s="53"/>
      <c r="F174" s="53"/>
      <c r="G174" s="1"/>
    </row>
    <row r="175" ht="14.25" customHeight="1">
      <c r="A175" s="52"/>
      <c r="B175" s="52"/>
      <c r="C175" s="53"/>
      <c r="D175" s="53"/>
      <c r="E175" s="53"/>
      <c r="F175" s="53"/>
      <c r="G175" s="1"/>
    </row>
    <row r="176" ht="14.25" customHeight="1">
      <c r="A176" s="52"/>
      <c r="B176" s="52"/>
      <c r="C176" s="53"/>
      <c r="D176" s="53"/>
      <c r="E176" s="53"/>
      <c r="F176" s="53"/>
      <c r="G176" s="1"/>
    </row>
    <row r="177" ht="14.25" customHeight="1">
      <c r="A177" s="52"/>
      <c r="B177" s="52"/>
      <c r="C177" s="53"/>
      <c r="D177" s="53"/>
      <c r="E177" s="53"/>
      <c r="F177" s="53"/>
      <c r="G177" s="1"/>
    </row>
    <row r="178" ht="14.25" customHeight="1">
      <c r="A178" s="52"/>
      <c r="B178" s="52"/>
      <c r="C178" s="53"/>
      <c r="D178" s="53"/>
      <c r="E178" s="53"/>
      <c r="F178" s="53"/>
      <c r="G178" s="1"/>
    </row>
    <row r="179" ht="14.25" customHeight="1">
      <c r="A179" s="52"/>
      <c r="B179" s="52"/>
      <c r="C179" s="53"/>
      <c r="D179" s="53"/>
      <c r="E179" s="53"/>
      <c r="F179" s="53"/>
      <c r="G179" s="1"/>
    </row>
    <row r="180" ht="14.25" customHeight="1">
      <c r="A180" s="52"/>
      <c r="B180" s="52"/>
      <c r="C180" s="53"/>
      <c r="D180" s="53"/>
      <c r="E180" s="53"/>
      <c r="F180" s="53"/>
      <c r="G180" s="1"/>
    </row>
    <row r="181" ht="14.25" customHeight="1">
      <c r="A181" s="52"/>
      <c r="B181" s="52"/>
      <c r="C181" s="53"/>
      <c r="D181" s="53"/>
      <c r="E181" s="53"/>
      <c r="F181" s="53"/>
      <c r="G181" s="1"/>
    </row>
    <row r="182" ht="14.25" customHeight="1">
      <c r="A182" s="52"/>
      <c r="B182" s="52"/>
      <c r="C182" s="53"/>
      <c r="D182" s="53"/>
      <c r="E182" s="53"/>
      <c r="F182" s="53"/>
      <c r="G182" s="1"/>
    </row>
    <row r="183" ht="14.25" customHeight="1">
      <c r="A183" s="52"/>
      <c r="B183" s="52"/>
      <c r="C183" s="53"/>
      <c r="D183" s="53"/>
      <c r="E183" s="53"/>
      <c r="F183" s="53"/>
      <c r="G183" s="1"/>
    </row>
    <row r="184" ht="14.25" customHeight="1">
      <c r="A184" s="52"/>
      <c r="B184" s="52"/>
      <c r="C184" s="53"/>
      <c r="D184" s="53"/>
      <c r="E184" s="53"/>
      <c r="F184" s="53"/>
      <c r="G184" s="1"/>
    </row>
    <row r="185" ht="14.25" customHeight="1">
      <c r="A185" s="52"/>
      <c r="B185" s="52"/>
      <c r="C185" s="53"/>
      <c r="D185" s="53"/>
      <c r="E185" s="53"/>
      <c r="F185" s="53"/>
      <c r="G185" s="1"/>
    </row>
    <row r="186" ht="14.25" customHeight="1">
      <c r="A186" s="52"/>
      <c r="B186" s="52"/>
      <c r="C186" s="53"/>
      <c r="D186" s="53"/>
      <c r="E186" s="53"/>
      <c r="F186" s="53"/>
      <c r="G186" s="1"/>
    </row>
    <row r="187" ht="14.25" customHeight="1">
      <c r="A187" s="52"/>
      <c r="B187" s="52"/>
      <c r="C187" s="53"/>
      <c r="D187" s="53"/>
      <c r="E187" s="53"/>
      <c r="F187" s="53"/>
      <c r="G187" s="1"/>
    </row>
    <row r="188" ht="14.25" customHeight="1">
      <c r="A188" s="52"/>
      <c r="B188" s="52"/>
      <c r="C188" s="53"/>
      <c r="D188" s="53"/>
      <c r="E188" s="53"/>
      <c r="F188" s="53"/>
      <c r="G188" s="1"/>
    </row>
    <row r="189" ht="14.25" customHeight="1">
      <c r="A189" s="52"/>
      <c r="B189" s="52"/>
      <c r="C189" s="53"/>
      <c r="D189" s="53"/>
      <c r="E189" s="53"/>
      <c r="F189" s="53"/>
      <c r="G189" s="1"/>
    </row>
    <row r="190" ht="14.25" customHeight="1">
      <c r="A190" s="52"/>
      <c r="B190" s="52"/>
      <c r="C190" s="53"/>
      <c r="D190" s="53"/>
      <c r="E190" s="53"/>
      <c r="F190" s="53"/>
      <c r="G190" s="1"/>
    </row>
    <row r="191" ht="14.25" customHeight="1">
      <c r="A191" s="52"/>
      <c r="B191" s="52"/>
      <c r="C191" s="53"/>
      <c r="D191" s="53"/>
      <c r="E191" s="53"/>
      <c r="F191" s="53"/>
      <c r="G191" s="1"/>
    </row>
    <row r="192" ht="14.25" customHeight="1">
      <c r="A192" s="52"/>
      <c r="B192" s="52"/>
      <c r="C192" s="53"/>
      <c r="D192" s="53"/>
      <c r="E192" s="53"/>
      <c r="F192" s="53"/>
      <c r="G192" s="1"/>
    </row>
    <row r="193" ht="14.25" customHeight="1">
      <c r="A193" s="52"/>
      <c r="B193" s="52"/>
      <c r="C193" s="53"/>
      <c r="D193" s="53"/>
      <c r="E193" s="53"/>
      <c r="F193" s="53"/>
      <c r="G193" s="1"/>
    </row>
    <row r="194" ht="14.25" customHeight="1">
      <c r="A194" s="52"/>
      <c r="B194" s="52"/>
      <c r="C194" s="53"/>
      <c r="D194" s="53"/>
      <c r="E194" s="53"/>
      <c r="F194" s="53"/>
      <c r="G194" s="1"/>
    </row>
    <row r="195" ht="14.25" customHeight="1">
      <c r="A195" s="52"/>
      <c r="B195" s="52"/>
      <c r="C195" s="53"/>
      <c r="D195" s="53"/>
      <c r="E195" s="53"/>
      <c r="F195" s="53"/>
      <c r="G195" s="1"/>
    </row>
    <row r="196" ht="14.25" customHeight="1">
      <c r="A196" s="52"/>
      <c r="B196" s="52"/>
      <c r="C196" s="53"/>
      <c r="D196" s="53"/>
      <c r="E196" s="53"/>
      <c r="F196" s="53"/>
      <c r="G196" s="1"/>
    </row>
    <row r="197" ht="14.25" customHeight="1">
      <c r="A197" s="52"/>
      <c r="B197" s="52"/>
      <c r="C197" s="53"/>
      <c r="D197" s="53"/>
      <c r="E197" s="53"/>
      <c r="F197" s="53"/>
      <c r="G197" s="1"/>
    </row>
    <row r="198" ht="14.25" customHeight="1">
      <c r="A198" s="52"/>
      <c r="B198" s="52"/>
      <c r="C198" s="53"/>
      <c r="D198" s="53"/>
      <c r="E198" s="53"/>
      <c r="F198" s="53"/>
      <c r="G198" s="1"/>
    </row>
    <row r="199" ht="14.25" customHeight="1">
      <c r="A199" s="52"/>
      <c r="B199" s="52"/>
      <c r="C199" s="53"/>
      <c r="D199" s="53"/>
      <c r="E199" s="53"/>
      <c r="F199" s="53"/>
      <c r="G199" s="1"/>
    </row>
    <row r="200" ht="14.25" customHeight="1">
      <c r="A200" s="52"/>
      <c r="B200" s="52"/>
      <c r="C200" s="53"/>
      <c r="D200" s="53"/>
      <c r="E200" s="53"/>
      <c r="F200" s="53"/>
      <c r="G200" s="1"/>
    </row>
    <row r="201" ht="14.25" customHeight="1">
      <c r="A201" s="52"/>
      <c r="B201" s="52"/>
      <c r="C201" s="53"/>
      <c r="D201" s="53"/>
      <c r="E201" s="53"/>
      <c r="F201" s="53"/>
      <c r="G201" s="1"/>
    </row>
    <row r="202" ht="14.25" customHeight="1">
      <c r="A202" s="52"/>
      <c r="B202" s="52"/>
      <c r="C202" s="53"/>
      <c r="D202" s="53"/>
      <c r="E202" s="53"/>
      <c r="F202" s="53"/>
      <c r="G202" s="1"/>
    </row>
    <row r="203" ht="14.25" customHeight="1">
      <c r="A203" s="52"/>
      <c r="B203" s="52"/>
      <c r="C203" s="53"/>
      <c r="D203" s="53"/>
      <c r="E203" s="53"/>
      <c r="F203" s="53"/>
      <c r="G203" s="1"/>
    </row>
    <row r="204" ht="14.25" customHeight="1">
      <c r="A204" s="52"/>
      <c r="B204" s="52"/>
      <c r="C204" s="53"/>
      <c r="D204" s="53"/>
      <c r="E204" s="53"/>
      <c r="F204" s="53"/>
      <c r="G204" s="1"/>
    </row>
    <row r="205" ht="14.25" customHeight="1">
      <c r="A205" s="52"/>
      <c r="B205" s="52"/>
      <c r="C205" s="53"/>
      <c r="D205" s="53"/>
      <c r="E205" s="53"/>
      <c r="F205" s="53"/>
      <c r="G205" s="1"/>
    </row>
    <row r="206" ht="14.25" customHeight="1">
      <c r="A206" s="52"/>
      <c r="B206" s="52"/>
      <c r="C206" s="53"/>
      <c r="D206" s="53"/>
      <c r="E206" s="53"/>
      <c r="F206" s="53"/>
      <c r="G206" s="1"/>
    </row>
    <row r="207" ht="14.25" customHeight="1">
      <c r="A207" s="52"/>
      <c r="B207" s="52"/>
      <c r="C207" s="53"/>
      <c r="D207" s="53"/>
      <c r="E207" s="53"/>
      <c r="F207" s="53"/>
      <c r="G207" s="1"/>
    </row>
    <row r="208" ht="14.25" customHeight="1">
      <c r="A208" s="52"/>
      <c r="B208" s="52"/>
      <c r="C208" s="53"/>
      <c r="D208" s="53"/>
      <c r="E208" s="53"/>
      <c r="F208" s="53"/>
      <c r="G208" s="1"/>
    </row>
    <row r="209" ht="14.25" customHeight="1">
      <c r="A209" s="52"/>
      <c r="B209" s="52"/>
      <c r="C209" s="53"/>
      <c r="D209" s="53"/>
      <c r="E209" s="53"/>
      <c r="F209" s="53"/>
      <c r="G209" s="1"/>
    </row>
    <row r="210" ht="14.25" customHeight="1">
      <c r="A210" s="52"/>
      <c r="B210" s="52"/>
      <c r="C210" s="53"/>
      <c r="D210" s="53"/>
      <c r="E210" s="53"/>
      <c r="F210" s="53"/>
      <c r="G210" s="1"/>
    </row>
    <row r="211" ht="14.25" customHeight="1">
      <c r="A211" s="52"/>
      <c r="B211" s="52"/>
      <c r="C211" s="53"/>
      <c r="D211" s="53"/>
      <c r="E211" s="53"/>
      <c r="F211" s="53"/>
      <c r="G211" s="1"/>
    </row>
    <row r="212" ht="14.25" customHeight="1">
      <c r="A212" s="52"/>
      <c r="B212" s="52"/>
      <c r="C212" s="53"/>
      <c r="D212" s="53"/>
      <c r="E212" s="53"/>
      <c r="F212" s="53"/>
      <c r="G212" s="1"/>
    </row>
    <row r="213" ht="14.25" customHeight="1">
      <c r="A213" s="52"/>
      <c r="B213" s="52"/>
      <c r="C213" s="53"/>
      <c r="D213" s="53"/>
      <c r="E213" s="53"/>
      <c r="F213" s="53"/>
      <c r="G213" s="1"/>
    </row>
    <row r="214" ht="14.25" customHeight="1">
      <c r="A214" s="52"/>
      <c r="B214" s="52"/>
      <c r="C214" s="53"/>
      <c r="D214" s="53"/>
      <c r="E214" s="53"/>
      <c r="F214" s="53"/>
      <c r="G214" s="1"/>
    </row>
    <row r="215" ht="14.25" customHeight="1">
      <c r="A215" s="52"/>
      <c r="B215" s="52"/>
      <c r="C215" s="53"/>
      <c r="D215" s="53"/>
      <c r="E215" s="53"/>
      <c r="F215" s="53"/>
      <c r="G215" s="1"/>
    </row>
    <row r="216" ht="14.25" customHeight="1">
      <c r="A216" s="52"/>
      <c r="B216" s="52"/>
      <c r="C216" s="53"/>
      <c r="D216" s="53"/>
      <c r="E216" s="53"/>
      <c r="F216" s="53"/>
      <c r="G216" s="1"/>
    </row>
    <row r="217" ht="14.25" customHeight="1">
      <c r="A217" s="52"/>
      <c r="B217" s="52"/>
      <c r="C217" s="53"/>
      <c r="D217" s="53"/>
      <c r="E217" s="53"/>
      <c r="F217" s="53"/>
      <c r="G217" s="1"/>
    </row>
    <row r="218" ht="14.25" customHeight="1">
      <c r="A218" s="52"/>
      <c r="B218" s="52"/>
      <c r="C218" s="53"/>
      <c r="D218" s="53"/>
      <c r="E218" s="53"/>
      <c r="F218" s="53"/>
      <c r="G218" s="1"/>
    </row>
    <row r="219" ht="14.25" customHeight="1">
      <c r="A219" s="52"/>
      <c r="B219" s="52"/>
      <c r="C219" s="53"/>
      <c r="D219" s="53"/>
      <c r="E219" s="53"/>
      <c r="F219" s="53"/>
      <c r="G219" s="1"/>
    </row>
    <row r="220" ht="14.25" customHeight="1">
      <c r="A220" s="52"/>
      <c r="B220" s="52"/>
      <c r="C220" s="53"/>
      <c r="D220" s="53"/>
      <c r="E220" s="53"/>
      <c r="F220" s="53"/>
      <c r="G220" s="1"/>
    </row>
    <row r="221" ht="14.25" customHeight="1">
      <c r="A221" s="52"/>
      <c r="B221" s="52"/>
      <c r="C221" s="53"/>
      <c r="D221" s="53"/>
      <c r="E221" s="53"/>
      <c r="F221" s="53"/>
      <c r="G221" s="1"/>
    </row>
    <row r="222" ht="14.25" customHeight="1">
      <c r="A222" s="52"/>
      <c r="B222" s="52"/>
      <c r="C222" s="53"/>
      <c r="D222" s="53"/>
      <c r="E222" s="53"/>
      <c r="F222" s="53"/>
      <c r="G222" s="1"/>
    </row>
    <row r="223" ht="14.25" customHeight="1">
      <c r="A223" s="52"/>
      <c r="B223" s="52"/>
      <c r="C223" s="53"/>
      <c r="D223" s="53"/>
      <c r="E223" s="53"/>
      <c r="F223" s="53"/>
      <c r="G223" s="1"/>
    </row>
    <row r="224" ht="14.25" customHeight="1">
      <c r="A224" s="52"/>
      <c r="B224" s="52"/>
      <c r="C224" s="53"/>
      <c r="D224" s="53"/>
      <c r="E224" s="53"/>
      <c r="F224" s="53"/>
      <c r="G224" s="1"/>
    </row>
    <row r="225" ht="14.25" customHeight="1">
      <c r="A225" s="52"/>
      <c r="B225" s="52"/>
      <c r="C225" s="53"/>
      <c r="D225" s="53"/>
      <c r="E225" s="53"/>
      <c r="F225" s="53"/>
      <c r="G225" s="1"/>
    </row>
    <row r="226" ht="14.25" customHeight="1">
      <c r="A226" s="52"/>
      <c r="B226" s="52"/>
      <c r="C226" s="53"/>
      <c r="D226" s="53"/>
      <c r="E226" s="53"/>
      <c r="F226" s="53"/>
      <c r="G226" s="1"/>
    </row>
    <row r="227" ht="14.25" customHeight="1">
      <c r="A227" s="52"/>
      <c r="B227" s="52"/>
      <c r="C227" s="53"/>
      <c r="D227" s="53"/>
      <c r="E227" s="53"/>
      <c r="F227" s="53"/>
      <c r="G227" s="1"/>
    </row>
    <row r="228" ht="14.25" customHeight="1">
      <c r="A228" s="52"/>
      <c r="B228" s="52"/>
      <c r="C228" s="53"/>
      <c r="D228" s="53"/>
      <c r="E228" s="53"/>
      <c r="F228" s="53"/>
      <c r="G228" s="1"/>
    </row>
    <row r="229" ht="14.25" customHeight="1">
      <c r="A229" s="52"/>
      <c r="B229" s="52"/>
      <c r="C229" s="53"/>
      <c r="D229" s="53"/>
      <c r="E229" s="53"/>
      <c r="F229" s="53"/>
      <c r="G229" s="1"/>
    </row>
    <row r="230" ht="14.25" customHeight="1">
      <c r="A230" s="52"/>
      <c r="B230" s="52"/>
      <c r="C230" s="53"/>
      <c r="D230" s="53"/>
      <c r="E230" s="53"/>
      <c r="F230" s="53"/>
      <c r="G230" s="1"/>
    </row>
    <row r="231" ht="14.25" customHeight="1">
      <c r="A231" s="52"/>
      <c r="B231" s="52"/>
      <c r="C231" s="53"/>
      <c r="D231" s="53"/>
      <c r="E231" s="53"/>
      <c r="F231" s="53"/>
      <c r="G231" s="1"/>
    </row>
    <row r="232" ht="14.25" customHeight="1">
      <c r="A232" s="52"/>
      <c r="B232" s="52"/>
      <c r="C232" s="53"/>
      <c r="D232" s="53"/>
      <c r="E232" s="53"/>
      <c r="F232" s="53"/>
      <c r="G232" s="1"/>
    </row>
    <row r="233" ht="14.25" customHeight="1">
      <c r="A233" s="52"/>
      <c r="B233" s="52"/>
      <c r="C233" s="53"/>
      <c r="D233" s="53"/>
      <c r="E233" s="53"/>
      <c r="F233" s="53"/>
      <c r="G233" s="1"/>
    </row>
    <row r="234" ht="14.25" customHeight="1">
      <c r="A234" s="52"/>
      <c r="B234" s="52"/>
      <c r="C234" s="53"/>
      <c r="D234" s="53"/>
      <c r="E234" s="53"/>
      <c r="F234" s="53"/>
      <c r="G234" s="1"/>
    </row>
    <row r="235" ht="14.25" customHeight="1">
      <c r="A235" s="52"/>
      <c r="B235" s="52"/>
      <c r="C235" s="53"/>
      <c r="D235" s="53"/>
      <c r="E235" s="53"/>
      <c r="F235" s="53"/>
      <c r="G235" s="1"/>
    </row>
    <row r="236" ht="14.25" customHeight="1">
      <c r="A236" s="52"/>
      <c r="B236" s="52"/>
      <c r="C236" s="53"/>
      <c r="D236" s="53"/>
      <c r="E236" s="53"/>
      <c r="F236" s="53"/>
      <c r="G236" s="1"/>
    </row>
    <row r="237" ht="14.25" customHeight="1">
      <c r="A237" s="52"/>
      <c r="B237" s="52"/>
      <c r="C237" s="53"/>
      <c r="D237" s="53"/>
      <c r="E237" s="53"/>
      <c r="F237" s="53"/>
      <c r="G237" s="1"/>
    </row>
    <row r="238" ht="14.25" customHeight="1">
      <c r="A238" s="52"/>
      <c r="B238" s="52"/>
      <c r="C238" s="53"/>
      <c r="D238" s="53"/>
      <c r="E238" s="53"/>
      <c r="F238" s="53"/>
      <c r="G238" s="1"/>
    </row>
    <row r="239" ht="14.25" customHeight="1">
      <c r="A239" s="52"/>
      <c r="B239" s="52"/>
      <c r="C239" s="53"/>
      <c r="D239" s="53"/>
      <c r="E239" s="53"/>
      <c r="F239" s="53"/>
      <c r="G239" s="1"/>
    </row>
    <row r="240" ht="14.25" customHeight="1">
      <c r="A240" s="52"/>
      <c r="B240" s="52"/>
      <c r="C240" s="53"/>
      <c r="D240" s="53"/>
      <c r="E240" s="53"/>
      <c r="F240" s="53"/>
      <c r="G240" s="1"/>
    </row>
    <row r="241" ht="14.25" customHeight="1">
      <c r="A241" s="52"/>
      <c r="B241" s="52"/>
      <c r="C241" s="53"/>
      <c r="D241" s="53"/>
      <c r="E241" s="53"/>
      <c r="F241" s="53"/>
      <c r="G241" s="1"/>
    </row>
    <row r="242" ht="14.25" customHeight="1">
      <c r="A242" s="52"/>
      <c r="B242" s="52"/>
      <c r="C242" s="53"/>
      <c r="D242" s="53"/>
      <c r="E242" s="53"/>
      <c r="F242" s="53"/>
      <c r="G242" s="1"/>
    </row>
    <row r="243" ht="14.25" customHeight="1">
      <c r="A243" s="52"/>
      <c r="B243" s="52"/>
      <c r="C243" s="53"/>
      <c r="D243" s="53"/>
      <c r="E243" s="53"/>
      <c r="F243" s="53"/>
      <c r="G243" s="1"/>
    </row>
    <row r="244" ht="14.25" customHeight="1">
      <c r="A244" s="52"/>
      <c r="B244" s="52"/>
      <c r="C244" s="53"/>
      <c r="D244" s="53"/>
      <c r="E244" s="53"/>
      <c r="F244" s="53"/>
      <c r="G244" s="1"/>
    </row>
    <row r="245" ht="14.25" customHeight="1">
      <c r="A245" s="52"/>
      <c r="B245" s="52"/>
      <c r="C245" s="53"/>
      <c r="D245" s="53"/>
      <c r="E245" s="53"/>
      <c r="F245" s="53"/>
      <c r="G245" s="1"/>
    </row>
    <row r="246" ht="14.25" customHeight="1">
      <c r="A246" s="52"/>
      <c r="B246" s="52"/>
      <c r="C246" s="53"/>
      <c r="D246" s="53"/>
      <c r="E246" s="53"/>
      <c r="F246" s="53"/>
      <c r="G246" s="1"/>
    </row>
    <row r="247" ht="14.25" customHeight="1">
      <c r="A247" s="52"/>
      <c r="B247" s="52"/>
      <c r="C247" s="53"/>
      <c r="D247" s="53"/>
      <c r="E247" s="53"/>
      <c r="F247" s="53"/>
      <c r="G247" s="1"/>
    </row>
    <row r="248" ht="14.25" customHeight="1">
      <c r="A248" s="52"/>
      <c r="B248" s="52"/>
      <c r="C248" s="53"/>
      <c r="D248" s="53"/>
      <c r="E248" s="53"/>
      <c r="F248" s="53"/>
      <c r="G248" s="1"/>
    </row>
    <row r="249" ht="14.25" customHeight="1">
      <c r="A249" s="52"/>
      <c r="B249" s="52"/>
      <c r="C249" s="53"/>
      <c r="D249" s="53"/>
      <c r="E249" s="53"/>
      <c r="F249" s="53"/>
      <c r="G249" s="1"/>
    </row>
    <row r="250" ht="14.25" customHeight="1">
      <c r="A250" s="52"/>
      <c r="B250" s="52"/>
      <c r="C250" s="53"/>
      <c r="D250" s="53"/>
      <c r="E250" s="53"/>
      <c r="F250" s="53"/>
      <c r="G250" s="1"/>
    </row>
    <row r="251" ht="14.25" customHeight="1">
      <c r="A251" s="52"/>
      <c r="B251" s="52"/>
      <c r="C251" s="53"/>
      <c r="D251" s="53"/>
      <c r="E251" s="53"/>
      <c r="F251" s="53"/>
      <c r="G251" s="1"/>
    </row>
    <row r="252" ht="14.25" customHeight="1">
      <c r="A252" s="52"/>
      <c r="B252" s="52"/>
      <c r="C252" s="53"/>
      <c r="D252" s="53"/>
      <c r="E252" s="53"/>
      <c r="F252" s="53"/>
      <c r="G252" s="1"/>
    </row>
    <row r="253" ht="14.25" customHeight="1">
      <c r="A253" s="52"/>
      <c r="B253" s="52"/>
      <c r="C253" s="53"/>
      <c r="D253" s="53"/>
      <c r="E253" s="53"/>
      <c r="F253" s="53"/>
      <c r="G253" s="1"/>
    </row>
    <row r="254" ht="14.25" customHeight="1">
      <c r="A254" s="52"/>
      <c r="B254" s="52"/>
      <c r="C254" s="53"/>
      <c r="D254" s="53"/>
      <c r="E254" s="53"/>
      <c r="F254" s="53"/>
      <c r="G254" s="1"/>
    </row>
    <row r="255" ht="14.25" customHeight="1">
      <c r="A255" s="52"/>
      <c r="B255" s="52"/>
      <c r="C255" s="53"/>
      <c r="D255" s="53"/>
      <c r="E255" s="53"/>
      <c r="F255" s="53"/>
      <c r="G255" s="1"/>
    </row>
    <row r="256" ht="14.25" customHeight="1">
      <c r="A256" s="52"/>
      <c r="B256" s="52"/>
      <c r="C256" s="53"/>
      <c r="D256" s="53"/>
      <c r="E256" s="53"/>
      <c r="F256" s="53"/>
      <c r="G256" s="1"/>
    </row>
    <row r="257" ht="14.25" customHeight="1">
      <c r="A257" s="52"/>
      <c r="B257" s="52"/>
      <c r="C257" s="53"/>
      <c r="D257" s="53"/>
      <c r="E257" s="53"/>
      <c r="F257" s="53"/>
      <c r="G257" s="1"/>
    </row>
    <row r="258" ht="14.25" customHeight="1">
      <c r="A258" s="52"/>
      <c r="B258" s="52"/>
      <c r="C258" s="53"/>
      <c r="D258" s="53"/>
      <c r="E258" s="53"/>
      <c r="F258" s="53"/>
      <c r="G258" s="1"/>
    </row>
    <row r="259" ht="14.25" customHeight="1">
      <c r="A259" s="52"/>
      <c r="B259" s="52"/>
      <c r="C259" s="53"/>
      <c r="D259" s="53"/>
      <c r="E259" s="53"/>
      <c r="F259" s="53"/>
      <c r="G259" s="1"/>
    </row>
    <row r="260" ht="14.25" customHeight="1">
      <c r="A260" s="52"/>
      <c r="B260" s="52"/>
      <c r="C260" s="53"/>
      <c r="D260" s="53"/>
      <c r="E260" s="53"/>
      <c r="F260" s="53"/>
      <c r="G260" s="1"/>
    </row>
    <row r="261" ht="14.25" customHeight="1">
      <c r="A261" s="52"/>
      <c r="B261" s="52"/>
      <c r="C261" s="53"/>
      <c r="D261" s="53"/>
      <c r="E261" s="53"/>
      <c r="F261" s="53"/>
      <c r="G261" s="1"/>
    </row>
    <row r="262" ht="14.25" customHeight="1">
      <c r="A262" s="52"/>
      <c r="B262" s="52"/>
      <c r="C262" s="53"/>
      <c r="D262" s="53"/>
      <c r="E262" s="53"/>
      <c r="F262" s="53"/>
      <c r="G262" s="1"/>
    </row>
    <row r="263" ht="14.25" customHeight="1">
      <c r="A263" s="52"/>
      <c r="B263" s="52"/>
      <c r="C263" s="53"/>
      <c r="D263" s="53"/>
      <c r="E263" s="53"/>
      <c r="F263" s="53"/>
      <c r="G263" s="1"/>
    </row>
    <row r="264" ht="14.25" customHeight="1">
      <c r="A264" s="52"/>
      <c r="B264" s="52"/>
      <c r="C264" s="53"/>
      <c r="D264" s="53"/>
      <c r="E264" s="53"/>
      <c r="F264" s="53"/>
      <c r="G264" s="1"/>
    </row>
    <row r="265" ht="14.25" customHeight="1">
      <c r="A265" s="52"/>
      <c r="B265" s="52"/>
      <c r="C265" s="53"/>
      <c r="D265" s="53"/>
      <c r="E265" s="53"/>
      <c r="F265" s="53"/>
      <c r="G265" s="1"/>
    </row>
    <row r="266" ht="14.25" customHeight="1">
      <c r="A266" s="52"/>
      <c r="B266" s="52"/>
      <c r="C266" s="53"/>
      <c r="D266" s="53"/>
      <c r="E266" s="53"/>
      <c r="F266" s="53"/>
      <c r="G266" s="1"/>
    </row>
    <row r="267" ht="14.25" customHeight="1">
      <c r="A267" s="52"/>
      <c r="B267" s="52"/>
      <c r="C267" s="53"/>
      <c r="D267" s="53"/>
      <c r="E267" s="53"/>
      <c r="F267" s="53"/>
      <c r="G267" s="1"/>
    </row>
    <row r="268" ht="14.25" customHeight="1">
      <c r="A268" s="52"/>
      <c r="B268" s="52"/>
      <c r="C268" s="53"/>
      <c r="D268" s="53"/>
      <c r="E268" s="53"/>
      <c r="F268" s="53"/>
      <c r="G268" s="1"/>
    </row>
    <row r="269" ht="14.25" customHeight="1">
      <c r="A269" s="52"/>
      <c r="B269" s="52"/>
      <c r="C269" s="53"/>
      <c r="D269" s="53"/>
      <c r="E269" s="53"/>
      <c r="F269" s="53"/>
      <c r="G269" s="1"/>
    </row>
    <row r="270" ht="14.25" customHeight="1">
      <c r="A270" s="52"/>
      <c r="B270" s="52"/>
      <c r="C270" s="53"/>
      <c r="D270" s="53"/>
      <c r="E270" s="53"/>
      <c r="F270" s="53"/>
      <c r="G270" s="1"/>
    </row>
    <row r="271" ht="14.25" customHeight="1">
      <c r="A271" s="52"/>
      <c r="B271" s="52"/>
      <c r="C271" s="53"/>
      <c r="D271" s="53"/>
      <c r="E271" s="53"/>
      <c r="F271" s="53"/>
      <c r="G271" s="1"/>
    </row>
    <row r="272" ht="14.25" customHeight="1">
      <c r="A272" s="52"/>
      <c r="B272" s="52"/>
      <c r="C272" s="53"/>
      <c r="D272" s="53"/>
      <c r="E272" s="53"/>
      <c r="F272" s="53"/>
      <c r="G272" s="1"/>
    </row>
    <row r="273" ht="14.25" customHeight="1">
      <c r="A273" s="52"/>
      <c r="B273" s="52"/>
      <c r="C273" s="53"/>
      <c r="D273" s="53"/>
      <c r="E273" s="53"/>
      <c r="F273" s="53"/>
      <c r="G273" s="1"/>
    </row>
    <row r="274" ht="14.25" customHeight="1">
      <c r="A274" s="52"/>
      <c r="B274" s="52"/>
      <c r="C274" s="53"/>
      <c r="D274" s="53"/>
      <c r="E274" s="53"/>
      <c r="F274" s="53"/>
      <c r="G274" s="1"/>
    </row>
    <row r="275" ht="14.25" customHeight="1">
      <c r="A275" s="52"/>
      <c r="B275" s="52"/>
      <c r="C275" s="53"/>
      <c r="D275" s="53"/>
      <c r="E275" s="53"/>
      <c r="F275" s="53"/>
      <c r="G275" s="1"/>
    </row>
    <row r="276" ht="14.25" customHeight="1">
      <c r="A276" s="52"/>
      <c r="B276" s="52"/>
      <c r="C276" s="53"/>
      <c r="D276" s="53"/>
      <c r="E276" s="53"/>
      <c r="F276" s="53"/>
      <c r="G276" s="1"/>
    </row>
    <row r="277" ht="14.25" customHeight="1">
      <c r="A277" s="52"/>
      <c r="B277" s="52"/>
      <c r="C277" s="53"/>
      <c r="D277" s="53"/>
      <c r="E277" s="53"/>
      <c r="F277" s="53"/>
      <c r="G277" s="1"/>
    </row>
    <row r="278" ht="14.25" customHeight="1">
      <c r="A278" s="52"/>
      <c r="B278" s="52"/>
      <c r="C278" s="53"/>
      <c r="D278" s="53"/>
      <c r="E278" s="53"/>
      <c r="F278" s="53"/>
      <c r="G278" s="1"/>
    </row>
    <row r="279" ht="14.25" customHeight="1">
      <c r="A279" s="52"/>
      <c r="B279" s="52"/>
      <c r="C279" s="53"/>
      <c r="D279" s="53"/>
      <c r="E279" s="53"/>
      <c r="F279" s="53"/>
      <c r="G279" s="1"/>
    </row>
    <row r="280" ht="14.25" customHeight="1">
      <c r="A280" s="52"/>
      <c r="B280" s="52"/>
      <c r="C280" s="53"/>
      <c r="D280" s="53"/>
      <c r="E280" s="53"/>
      <c r="F280" s="53"/>
      <c r="G280" s="1"/>
    </row>
    <row r="281" ht="14.25" customHeight="1">
      <c r="A281" s="52"/>
      <c r="B281" s="52"/>
      <c r="C281" s="53"/>
      <c r="D281" s="53"/>
      <c r="E281" s="53"/>
      <c r="F281" s="53"/>
      <c r="G281" s="1"/>
    </row>
    <row r="282" ht="14.25" customHeight="1">
      <c r="A282" s="52"/>
      <c r="B282" s="52"/>
      <c r="C282" s="53"/>
      <c r="D282" s="53"/>
      <c r="E282" s="53"/>
      <c r="F282" s="53"/>
      <c r="G282" s="1"/>
    </row>
    <row r="283" ht="14.25" customHeight="1">
      <c r="A283" s="52"/>
      <c r="B283" s="52"/>
      <c r="C283" s="53"/>
      <c r="D283" s="53"/>
      <c r="E283" s="53"/>
      <c r="F283" s="53"/>
      <c r="G283" s="1"/>
    </row>
    <row r="284" ht="14.25" customHeight="1">
      <c r="A284" s="52"/>
      <c r="B284" s="52"/>
      <c r="C284" s="53"/>
      <c r="D284" s="53"/>
      <c r="E284" s="53"/>
      <c r="F284" s="53"/>
      <c r="G284" s="1"/>
    </row>
    <row r="285" ht="14.25" customHeight="1">
      <c r="A285" s="52"/>
      <c r="B285" s="52"/>
      <c r="C285" s="53"/>
      <c r="D285" s="53"/>
      <c r="E285" s="53"/>
      <c r="F285" s="53"/>
      <c r="G285" s="1"/>
    </row>
    <row r="286" ht="14.25" customHeight="1">
      <c r="A286" s="52"/>
      <c r="B286" s="52"/>
      <c r="C286" s="53"/>
      <c r="D286" s="53"/>
      <c r="E286" s="53"/>
      <c r="F286" s="53"/>
      <c r="G286" s="1"/>
    </row>
    <row r="287" ht="14.25" customHeight="1">
      <c r="A287" s="52"/>
      <c r="B287" s="52"/>
      <c r="C287" s="53"/>
      <c r="D287" s="53"/>
      <c r="E287" s="53"/>
      <c r="F287" s="53"/>
      <c r="G287" s="1"/>
    </row>
    <row r="288" ht="14.25" customHeight="1">
      <c r="A288" s="52"/>
      <c r="B288" s="52"/>
      <c r="C288" s="53"/>
      <c r="D288" s="53"/>
      <c r="E288" s="53"/>
      <c r="F288" s="53"/>
      <c r="G288" s="1"/>
    </row>
    <row r="289" ht="14.25" customHeight="1">
      <c r="A289" s="52"/>
      <c r="B289" s="52"/>
      <c r="C289" s="53"/>
      <c r="D289" s="53"/>
      <c r="E289" s="53"/>
      <c r="F289" s="53"/>
      <c r="G289" s="1"/>
    </row>
    <row r="290" ht="14.25" customHeight="1">
      <c r="A290" s="52"/>
      <c r="B290" s="52"/>
      <c r="C290" s="53"/>
      <c r="D290" s="53"/>
      <c r="E290" s="53"/>
      <c r="F290" s="53"/>
      <c r="G290" s="1"/>
    </row>
    <row r="291" ht="14.25" customHeight="1">
      <c r="A291" s="52"/>
      <c r="B291" s="52"/>
      <c r="C291" s="53"/>
      <c r="D291" s="53"/>
      <c r="E291" s="53"/>
      <c r="F291" s="53"/>
      <c r="G291" s="1"/>
    </row>
    <row r="292" ht="14.25" customHeight="1">
      <c r="A292" s="52"/>
      <c r="B292" s="52"/>
      <c r="C292" s="53"/>
      <c r="D292" s="53"/>
      <c r="E292" s="53"/>
      <c r="F292" s="53"/>
      <c r="G292" s="1"/>
    </row>
    <row r="293" ht="14.25" customHeight="1">
      <c r="A293" s="52"/>
      <c r="B293" s="52"/>
      <c r="C293" s="53"/>
      <c r="D293" s="53"/>
      <c r="E293" s="53"/>
      <c r="F293" s="53"/>
      <c r="G293" s="1"/>
    </row>
    <row r="294" ht="14.25" customHeight="1">
      <c r="A294" s="52"/>
      <c r="B294" s="52"/>
      <c r="C294" s="53"/>
      <c r="D294" s="53"/>
      <c r="E294" s="53"/>
      <c r="F294" s="53"/>
      <c r="G294" s="1"/>
    </row>
    <row r="295" ht="14.25" customHeight="1">
      <c r="A295" s="52"/>
      <c r="B295" s="52"/>
      <c r="C295" s="53"/>
      <c r="D295" s="53"/>
      <c r="E295" s="53"/>
      <c r="F295" s="53"/>
      <c r="G295" s="1"/>
    </row>
    <row r="296" ht="14.25" customHeight="1">
      <c r="A296" s="52"/>
      <c r="B296" s="52"/>
      <c r="C296" s="53"/>
      <c r="D296" s="53"/>
      <c r="E296" s="53"/>
      <c r="F296" s="53"/>
      <c r="G296" s="1"/>
    </row>
    <row r="297" ht="14.25" customHeight="1">
      <c r="A297" s="52"/>
      <c r="B297" s="52"/>
      <c r="C297" s="53"/>
      <c r="D297" s="53"/>
      <c r="E297" s="53"/>
      <c r="F297" s="53"/>
      <c r="G297" s="1"/>
    </row>
    <row r="298" ht="14.25" customHeight="1">
      <c r="A298" s="52"/>
      <c r="B298" s="52"/>
      <c r="C298" s="53"/>
      <c r="D298" s="53"/>
      <c r="E298" s="53"/>
      <c r="F298" s="53"/>
      <c r="G298" s="1"/>
    </row>
    <row r="299" ht="14.25" customHeight="1">
      <c r="A299" s="52"/>
      <c r="B299" s="52"/>
      <c r="C299" s="53"/>
      <c r="D299" s="53"/>
      <c r="E299" s="53"/>
      <c r="F299" s="53"/>
      <c r="G299" s="1"/>
    </row>
    <row r="300" ht="14.25" customHeight="1">
      <c r="A300" s="52"/>
      <c r="B300" s="52"/>
      <c r="C300" s="53"/>
      <c r="D300" s="53"/>
      <c r="E300" s="53"/>
      <c r="F300" s="53"/>
      <c r="G300" s="1"/>
    </row>
    <row r="301" ht="14.25" customHeight="1">
      <c r="A301" s="52"/>
      <c r="B301" s="52"/>
      <c r="C301" s="53"/>
      <c r="D301" s="53"/>
      <c r="E301" s="53"/>
      <c r="F301" s="53"/>
      <c r="G301" s="1"/>
    </row>
    <row r="302" ht="14.25" customHeight="1">
      <c r="A302" s="52"/>
      <c r="B302" s="52"/>
      <c r="C302" s="53"/>
      <c r="D302" s="53"/>
      <c r="E302" s="53"/>
      <c r="F302" s="53"/>
      <c r="G302" s="1"/>
    </row>
    <row r="303" ht="14.25" customHeight="1">
      <c r="A303" s="52"/>
      <c r="B303" s="52"/>
      <c r="C303" s="53"/>
      <c r="D303" s="53"/>
      <c r="E303" s="53"/>
      <c r="F303" s="53"/>
      <c r="G303" s="1"/>
    </row>
    <row r="304" ht="14.25" customHeight="1">
      <c r="A304" s="52"/>
      <c r="B304" s="52"/>
      <c r="C304" s="53"/>
      <c r="D304" s="53"/>
      <c r="E304" s="53"/>
      <c r="F304" s="53"/>
      <c r="G304" s="1"/>
    </row>
    <row r="305" ht="14.25" customHeight="1">
      <c r="A305" s="52"/>
      <c r="B305" s="52"/>
      <c r="C305" s="53"/>
      <c r="D305" s="53"/>
      <c r="E305" s="53"/>
      <c r="F305" s="53"/>
      <c r="G305" s="1"/>
    </row>
    <row r="306" ht="14.25" customHeight="1">
      <c r="A306" s="52"/>
      <c r="B306" s="52"/>
      <c r="C306" s="53"/>
      <c r="D306" s="53"/>
      <c r="E306" s="53"/>
      <c r="F306" s="53"/>
      <c r="G306" s="1"/>
    </row>
    <row r="307" ht="14.25" customHeight="1">
      <c r="A307" s="52"/>
      <c r="B307" s="52"/>
      <c r="C307" s="53"/>
      <c r="D307" s="53"/>
      <c r="E307" s="53"/>
      <c r="F307" s="53"/>
      <c r="G307" s="1"/>
    </row>
    <row r="308" ht="14.25" customHeight="1">
      <c r="A308" s="52"/>
      <c r="B308" s="52"/>
      <c r="C308" s="53"/>
      <c r="D308" s="53"/>
      <c r="E308" s="53"/>
      <c r="F308" s="53"/>
      <c r="G308" s="1"/>
    </row>
    <row r="309" ht="14.25" customHeight="1">
      <c r="A309" s="52"/>
      <c r="B309" s="52"/>
      <c r="C309" s="53"/>
      <c r="D309" s="53"/>
      <c r="E309" s="53"/>
      <c r="F309" s="53"/>
      <c r="G309" s="1"/>
    </row>
    <row r="310" ht="14.25" customHeight="1">
      <c r="A310" s="52"/>
      <c r="B310" s="52"/>
      <c r="C310" s="53"/>
      <c r="D310" s="53"/>
      <c r="E310" s="53"/>
      <c r="F310" s="53"/>
      <c r="G310" s="1"/>
    </row>
    <row r="311" ht="14.25" customHeight="1">
      <c r="A311" s="52"/>
      <c r="B311" s="52"/>
      <c r="C311" s="53"/>
      <c r="D311" s="53"/>
      <c r="E311" s="53"/>
      <c r="F311" s="53"/>
      <c r="G311" s="1"/>
    </row>
    <row r="312" ht="14.25" customHeight="1">
      <c r="A312" s="52"/>
      <c r="B312" s="52"/>
      <c r="C312" s="53"/>
      <c r="D312" s="53"/>
      <c r="E312" s="53"/>
      <c r="F312" s="53"/>
      <c r="G312" s="1"/>
    </row>
    <row r="313" ht="14.25" customHeight="1">
      <c r="A313" s="52"/>
      <c r="B313" s="52"/>
      <c r="C313" s="53"/>
      <c r="D313" s="53"/>
      <c r="E313" s="53"/>
      <c r="F313" s="53"/>
      <c r="G313" s="1"/>
    </row>
    <row r="314" ht="14.25" customHeight="1">
      <c r="A314" s="52"/>
      <c r="B314" s="52"/>
      <c r="C314" s="53"/>
      <c r="D314" s="53"/>
      <c r="E314" s="53"/>
      <c r="F314" s="53"/>
      <c r="G314" s="1"/>
    </row>
    <row r="315" ht="14.25" customHeight="1">
      <c r="A315" s="52"/>
      <c r="B315" s="52"/>
      <c r="C315" s="53"/>
      <c r="D315" s="53"/>
      <c r="E315" s="53"/>
      <c r="F315" s="53"/>
      <c r="G315" s="1"/>
    </row>
    <row r="316" ht="14.25" customHeight="1">
      <c r="A316" s="52"/>
      <c r="B316" s="52"/>
      <c r="C316" s="53"/>
      <c r="D316" s="53"/>
      <c r="E316" s="53"/>
      <c r="F316" s="53"/>
      <c r="G316" s="1"/>
    </row>
    <row r="317" ht="14.25" customHeight="1">
      <c r="A317" s="52"/>
      <c r="B317" s="52"/>
      <c r="C317" s="53"/>
      <c r="D317" s="53"/>
      <c r="E317" s="53"/>
      <c r="F317" s="53"/>
      <c r="G317" s="1"/>
    </row>
    <row r="318" ht="14.25" customHeight="1">
      <c r="A318" s="52"/>
      <c r="B318" s="52"/>
      <c r="C318" s="53"/>
      <c r="D318" s="53"/>
      <c r="E318" s="53"/>
      <c r="F318" s="53"/>
      <c r="G318" s="1"/>
    </row>
    <row r="319" ht="14.25" customHeight="1">
      <c r="A319" s="52"/>
      <c r="B319" s="52"/>
      <c r="C319" s="53"/>
      <c r="D319" s="53"/>
      <c r="E319" s="53"/>
      <c r="F319" s="53"/>
      <c r="G319" s="1"/>
    </row>
    <row r="320" ht="14.25" customHeight="1">
      <c r="A320" s="52"/>
      <c r="B320" s="52"/>
      <c r="C320" s="53"/>
      <c r="D320" s="53"/>
      <c r="E320" s="53"/>
      <c r="F320" s="53"/>
      <c r="G320" s="1"/>
    </row>
    <row r="321" ht="14.25" customHeight="1">
      <c r="A321" s="52"/>
      <c r="B321" s="52"/>
      <c r="C321" s="53"/>
      <c r="D321" s="53"/>
      <c r="E321" s="53"/>
      <c r="F321" s="53"/>
      <c r="G321" s="1"/>
    </row>
    <row r="322" ht="14.25" customHeight="1">
      <c r="A322" s="52"/>
      <c r="B322" s="52"/>
      <c r="C322" s="53"/>
      <c r="D322" s="53"/>
      <c r="E322" s="53"/>
      <c r="F322" s="53"/>
      <c r="G322" s="1"/>
    </row>
    <row r="323" ht="14.25" customHeight="1">
      <c r="A323" s="52"/>
      <c r="B323" s="52"/>
      <c r="C323" s="53"/>
      <c r="D323" s="53"/>
      <c r="E323" s="53"/>
      <c r="F323" s="53"/>
      <c r="G323" s="1"/>
    </row>
    <row r="324" ht="14.25" customHeight="1">
      <c r="A324" s="52"/>
      <c r="B324" s="52"/>
      <c r="C324" s="53"/>
      <c r="D324" s="53"/>
      <c r="E324" s="53"/>
      <c r="F324" s="53"/>
      <c r="G324" s="1"/>
    </row>
    <row r="325" ht="14.25" customHeight="1">
      <c r="A325" s="52"/>
      <c r="B325" s="52"/>
      <c r="C325" s="53"/>
      <c r="D325" s="53"/>
      <c r="E325" s="53"/>
      <c r="F325" s="53"/>
      <c r="G325" s="1"/>
    </row>
    <row r="326" ht="14.25" customHeight="1">
      <c r="A326" s="52"/>
      <c r="B326" s="52"/>
      <c r="C326" s="53"/>
      <c r="D326" s="53"/>
      <c r="E326" s="53"/>
      <c r="F326" s="53"/>
      <c r="G326" s="1"/>
    </row>
    <row r="327" ht="14.25" customHeight="1">
      <c r="A327" s="52"/>
      <c r="B327" s="52"/>
      <c r="C327" s="53"/>
      <c r="D327" s="53"/>
      <c r="E327" s="53"/>
      <c r="F327" s="53"/>
      <c r="G327" s="1"/>
    </row>
    <row r="328" ht="14.25" customHeight="1">
      <c r="A328" s="52"/>
      <c r="B328" s="52"/>
      <c r="C328" s="53"/>
      <c r="D328" s="53"/>
      <c r="E328" s="53"/>
      <c r="F328" s="53"/>
      <c r="G328" s="1"/>
    </row>
    <row r="329" ht="14.25" customHeight="1">
      <c r="A329" s="52"/>
      <c r="B329" s="52"/>
      <c r="C329" s="53"/>
      <c r="D329" s="53"/>
      <c r="E329" s="53"/>
      <c r="F329" s="53"/>
      <c r="G329" s="1"/>
    </row>
    <row r="330" ht="14.25" customHeight="1">
      <c r="A330" s="52"/>
      <c r="B330" s="52"/>
      <c r="C330" s="53"/>
      <c r="D330" s="53"/>
      <c r="E330" s="53"/>
      <c r="F330" s="53"/>
      <c r="G330" s="1"/>
    </row>
    <row r="331" ht="14.25" customHeight="1">
      <c r="A331" s="52"/>
      <c r="B331" s="52"/>
      <c r="C331" s="53"/>
      <c r="D331" s="53"/>
      <c r="E331" s="53"/>
      <c r="F331" s="53"/>
      <c r="G331" s="1"/>
    </row>
    <row r="332" ht="14.25" customHeight="1">
      <c r="A332" s="52"/>
      <c r="B332" s="52"/>
      <c r="C332" s="53"/>
      <c r="D332" s="53"/>
      <c r="E332" s="53"/>
      <c r="F332" s="53"/>
      <c r="G332" s="1"/>
    </row>
    <row r="333" ht="14.25" customHeight="1">
      <c r="A333" s="52"/>
      <c r="B333" s="52"/>
      <c r="C333" s="53"/>
      <c r="D333" s="53"/>
      <c r="E333" s="53"/>
      <c r="F333" s="53"/>
      <c r="G333" s="1"/>
    </row>
    <row r="334" ht="14.25" customHeight="1">
      <c r="A334" s="52"/>
      <c r="B334" s="52"/>
      <c r="C334" s="53"/>
      <c r="D334" s="53"/>
      <c r="E334" s="53"/>
      <c r="F334" s="53"/>
      <c r="G334" s="1"/>
    </row>
    <row r="335" ht="14.25" customHeight="1">
      <c r="A335" s="52"/>
      <c r="B335" s="52"/>
      <c r="C335" s="53"/>
      <c r="D335" s="53"/>
      <c r="E335" s="53"/>
      <c r="F335" s="53"/>
      <c r="G335" s="1"/>
    </row>
    <row r="336" ht="14.25" customHeight="1">
      <c r="A336" s="52"/>
      <c r="B336" s="52"/>
      <c r="C336" s="53"/>
      <c r="D336" s="53"/>
      <c r="E336" s="53"/>
      <c r="F336" s="53"/>
      <c r="G336" s="1"/>
    </row>
    <row r="337" ht="14.25" customHeight="1">
      <c r="A337" s="52"/>
      <c r="B337" s="52"/>
      <c r="C337" s="53"/>
      <c r="D337" s="53"/>
      <c r="E337" s="53"/>
      <c r="F337" s="53"/>
      <c r="G337" s="1"/>
    </row>
    <row r="338" ht="14.25" customHeight="1">
      <c r="A338" s="52"/>
      <c r="B338" s="52"/>
      <c r="C338" s="53"/>
      <c r="D338" s="53"/>
      <c r="E338" s="53"/>
      <c r="F338" s="53"/>
      <c r="G338" s="1"/>
    </row>
    <row r="339" ht="14.25" customHeight="1">
      <c r="A339" s="52"/>
      <c r="B339" s="52"/>
      <c r="C339" s="53"/>
      <c r="D339" s="53"/>
      <c r="E339" s="53"/>
      <c r="F339" s="53"/>
      <c r="G339" s="1"/>
    </row>
    <row r="340" ht="14.25" customHeight="1">
      <c r="A340" s="52"/>
      <c r="B340" s="52"/>
      <c r="C340" s="53"/>
      <c r="D340" s="53"/>
      <c r="E340" s="53"/>
      <c r="F340" s="53"/>
      <c r="G340" s="1"/>
    </row>
    <row r="341" ht="14.25" customHeight="1">
      <c r="A341" s="52"/>
      <c r="B341" s="52"/>
      <c r="C341" s="53"/>
      <c r="D341" s="53"/>
      <c r="E341" s="53"/>
      <c r="F341" s="53"/>
      <c r="G341" s="1"/>
    </row>
    <row r="342" ht="14.25" customHeight="1">
      <c r="A342" s="52"/>
      <c r="B342" s="52"/>
      <c r="C342" s="53"/>
      <c r="D342" s="53"/>
      <c r="E342" s="53"/>
      <c r="F342" s="53"/>
      <c r="G342" s="1"/>
    </row>
    <row r="343" ht="14.25" customHeight="1">
      <c r="A343" s="52"/>
      <c r="B343" s="52"/>
      <c r="C343" s="53"/>
      <c r="D343" s="53"/>
      <c r="E343" s="53"/>
      <c r="F343" s="53"/>
      <c r="G343" s="1"/>
    </row>
    <row r="344" ht="14.25" customHeight="1">
      <c r="A344" s="52"/>
      <c r="B344" s="52"/>
      <c r="C344" s="53"/>
      <c r="D344" s="53"/>
      <c r="E344" s="53"/>
      <c r="F344" s="53"/>
      <c r="G344" s="1"/>
    </row>
    <row r="345" ht="14.25" customHeight="1">
      <c r="A345" s="52"/>
      <c r="B345" s="52"/>
      <c r="C345" s="53"/>
      <c r="D345" s="53"/>
      <c r="E345" s="53"/>
      <c r="F345" s="53"/>
      <c r="G345" s="1"/>
    </row>
    <row r="346" ht="14.25" customHeight="1">
      <c r="A346" s="52"/>
      <c r="B346" s="52"/>
      <c r="C346" s="53"/>
      <c r="D346" s="53"/>
      <c r="E346" s="53"/>
      <c r="F346" s="53"/>
      <c r="G346" s="1"/>
    </row>
    <row r="347" ht="14.25" customHeight="1">
      <c r="A347" s="52"/>
      <c r="B347" s="52"/>
      <c r="C347" s="53"/>
      <c r="D347" s="53"/>
      <c r="E347" s="53"/>
      <c r="F347" s="53"/>
      <c r="G347" s="1"/>
    </row>
    <row r="348" ht="14.25" customHeight="1">
      <c r="A348" s="52"/>
      <c r="B348" s="52"/>
      <c r="C348" s="53"/>
      <c r="D348" s="53"/>
      <c r="E348" s="53"/>
      <c r="F348" s="53"/>
      <c r="G348" s="1"/>
    </row>
    <row r="349" ht="14.25" customHeight="1">
      <c r="A349" s="52"/>
      <c r="B349" s="52"/>
      <c r="C349" s="53"/>
      <c r="D349" s="53"/>
      <c r="E349" s="53"/>
      <c r="F349" s="53"/>
      <c r="G349" s="1"/>
    </row>
    <row r="350" ht="14.25" customHeight="1">
      <c r="A350" s="52"/>
      <c r="B350" s="52"/>
      <c r="C350" s="53"/>
      <c r="D350" s="53"/>
      <c r="E350" s="53"/>
      <c r="F350" s="53"/>
      <c r="G350" s="1"/>
    </row>
    <row r="351" ht="14.25" customHeight="1">
      <c r="A351" s="52"/>
      <c r="B351" s="52"/>
      <c r="C351" s="53"/>
      <c r="D351" s="53"/>
      <c r="E351" s="53"/>
      <c r="F351" s="53"/>
      <c r="G351" s="1"/>
    </row>
    <row r="352" ht="14.25" customHeight="1">
      <c r="A352" s="52"/>
      <c r="B352" s="52"/>
      <c r="C352" s="53"/>
      <c r="D352" s="53"/>
      <c r="E352" s="53"/>
      <c r="F352" s="53"/>
      <c r="G352" s="1"/>
    </row>
    <row r="353" ht="14.25" customHeight="1">
      <c r="A353" s="52"/>
      <c r="B353" s="52"/>
      <c r="C353" s="53"/>
      <c r="D353" s="53"/>
      <c r="E353" s="53"/>
      <c r="F353" s="53"/>
      <c r="G353" s="1"/>
    </row>
    <row r="354" ht="14.25" customHeight="1">
      <c r="A354" s="52"/>
      <c r="B354" s="52"/>
      <c r="C354" s="53"/>
      <c r="D354" s="53"/>
      <c r="E354" s="53"/>
      <c r="F354" s="53"/>
      <c r="G354" s="1"/>
    </row>
    <row r="355" ht="14.25" customHeight="1">
      <c r="A355" s="52"/>
      <c r="B355" s="52"/>
      <c r="C355" s="53"/>
      <c r="D355" s="53"/>
      <c r="E355" s="53"/>
      <c r="F355" s="53"/>
      <c r="G355" s="1"/>
    </row>
    <row r="356" ht="14.25" customHeight="1">
      <c r="A356" s="52"/>
      <c r="B356" s="52"/>
      <c r="C356" s="53"/>
      <c r="D356" s="53"/>
      <c r="E356" s="53"/>
      <c r="F356" s="53"/>
      <c r="G356" s="1"/>
    </row>
    <row r="357" ht="14.25" customHeight="1">
      <c r="A357" s="52"/>
      <c r="B357" s="52"/>
      <c r="C357" s="53"/>
      <c r="D357" s="53"/>
      <c r="E357" s="53"/>
      <c r="F357" s="53"/>
      <c r="G357" s="1"/>
    </row>
    <row r="358" ht="14.25" customHeight="1">
      <c r="A358" s="52"/>
      <c r="B358" s="52"/>
      <c r="C358" s="53"/>
      <c r="D358" s="53"/>
      <c r="E358" s="53"/>
      <c r="F358" s="53"/>
      <c r="G358" s="1"/>
    </row>
    <row r="359" ht="14.25" customHeight="1">
      <c r="A359" s="52"/>
      <c r="B359" s="52"/>
      <c r="C359" s="53"/>
      <c r="D359" s="53"/>
      <c r="E359" s="53"/>
      <c r="F359" s="53"/>
      <c r="G359" s="1"/>
    </row>
    <row r="360" ht="14.25" customHeight="1">
      <c r="A360" s="52"/>
      <c r="B360" s="52"/>
      <c r="C360" s="53"/>
      <c r="D360" s="53"/>
      <c r="E360" s="53"/>
      <c r="F360" s="53"/>
      <c r="G360" s="1"/>
    </row>
    <row r="361" ht="14.25" customHeight="1">
      <c r="A361" s="52"/>
      <c r="B361" s="52"/>
      <c r="C361" s="53"/>
      <c r="D361" s="53"/>
      <c r="E361" s="53"/>
      <c r="F361" s="53"/>
      <c r="G361" s="1"/>
    </row>
    <row r="362" ht="14.25" customHeight="1">
      <c r="A362" s="52"/>
      <c r="B362" s="52"/>
      <c r="C362" s="53"/>
      <c r="D362" s="53"/>
      <c r="E362" s="53"/>
      <c r="F362" s="53"/>
      <c r="G362" s="1"/>
    </row>
    <row r="363" ht="14.25" customHeight="1">
      <c r="A363" s="52"/>
      <c r="B363" s="52"/>
      <c r="C363" s="53"/>
      <c r="D363" s="53"/>
      <c r="E363" s="53"/>
      <c r="F363" s="53"/>
      <c r="G363" s="1"/>
    </row>
    <row r="364" ht="14.25" customHeight="1">
      <c r="A364" s="52"/>
      <c r="B364" s="52"/>
      <c r="C364" s="53"/>
      <c r="D364" s="53"/>
      <c r="E364" s="53"/>
      <c r="F364" s="53"/>
      <c r="G364" s="1"/>
    </row>
    <row r="365" ht="14.25" customHeight="1">
      <c r="A365" s="52"/>
      <c r="B365" s="52"/>
      <c r="C365" s="53"/>
      <c r="D365" s="53"/>
      <c r="E365" s="53"/>
      <c r="F365" s="53"/>
      <c r="G365" s="1"/>
    </row>
    <row r="366" ht="14.25" customHeight="1">
      <c r="A366" s="52"/>
      <c r="B366" s="52"/>
      <c r="C366" s="53"/>
      <c r="D366" s="53"/>
      <c r="E366" s="53"/>
      <c r="F366" s="53"/>
      <c r="G366" s="1"/>
    </row>
    <row r="367" ht="14.25" customHeight="1">
      <c r="A367" s="52"/>
      <c r="B367" s="52"/>
      <c r="C367" s="53"/>
      <c r="D367" s="53"/>
      <c r="E367" s="53"/>
      <c r="F367" s="53"/>
      <c r="G367" s="1"/>
    </row>
    <row r="368" ht="14.25" customHeight="1">
      <c r="A368" s="52"/>
      <c r="B368" s="52"/>
      <c r="C368" s="53"/>
      <c r="D368" s="53"/>
      <c r="E368" s="53"/>
      <c r="F368" s="53"/>
      <c r="G368" s="1"/>
    </row>
    <row r="369" ht="14.25" customHeight="1">
      <c r="A369" s="52"/>
      <c r="B369" s="52"/>
      <c r="C369" s="53"/>
      <c r="D369" s="53"/>
      <c r="E369" s="53"/>
      <c r="F369" s="53"/>
      <c r="G369" s="1"/>
    </row>
    <row r="370" ht="14.25" customHeight="1">
      <c r="A370" s="52"/>
      <c r="B370" s="52"/>
      <c r="C370" s="53"/>
      <c r="D370" s="53"/>
      <c r="E370" s="53"/>
      <c r="F370" s="53"/>
      <c r="G370" s="1"/>
    </row>
    <row r="371" ht="14.25" customHeight="1">
      <c r="A371" s="52"/>
      <c r="B371" s="52"/>
      <c r="C371" s="53"/>
      <c r="D371" s="53"/>
      <c r="E371" s="53"/>
      <c r="F371" s="53"/>
      <c r="G371" s="1"/>
    </row>
    <row r="372" ht="14.25" customHeight="1">
      <c r="A372" s="52"/>
      <c r="B372" s="52"/>
      <c r="C372" s="53"/>
      <c r="D372" s="53"/>
      <c r="E372" s="53"/>
      <c r="F372" s="53"/>
      <c r="G372" s="1"/>
    </row>
    <row r="373" ht="14.25" customHeight="1">
      <c r="A373" s="52"/>
      <c r="B373" s="52"/>
      <c r="C373" s="53"/>
      <c r="D373" s="53"/>
      <c r="E373" s="53"/>
      <c r="F373" s="53"/>
      <c r="G373" s="1"/>
    </row>
    <row r="374" ht="14.25" customHeight="1">
      <c r="A374" s="52"/>
      <c r="B374" s="52"/>
      <c r="C374" s="53"/>
      <c r="D374" s="53"/>
      <c r="E374" s="53"/>
      <c r="F374" s="53"/>
      <c r="G374" s="1"/>
    </row>
    <row r="375" ht="14.25" customHeight="1">
      <c r="A375" s="52"/>
      <c r="B375" s="52"/>
      <c r="C375" s="53"/>
      <c r="D375" s="53"/>
      <c r="E375" s="53"/>
      <c r="F375" s="53"/>
      <c r="G375" s="1"/>
    </row>
    <row r="376" ht="14.25" customHeight="1">
      <c r="A376" s="52"/>
      <c r="B376" s="52"/>
      <c r="C376" s="53"/>
      <c r="D376" s="53"/>
      <c r="E376" s="53"/>
      <c r="F376" s="53"/>
      <c r="G376" s="1"/>
    </row>
    <row r="377" ht="14.25" customHeight="1">
      <c r="A377" s="52"/>
      <c r="B377" s="52"/>
      <c r="C377" s="53"/>
      <c r="D377" s="53"/>
      <c r="E377" s="53"/>
      <c r="F377" s="53"/>
      <c r="G377" s="1"/>
    </row>
    <row r="378" ht="14.25" customHeight="1">
      <c r="A378" s="52"/>
      <c r="B378" s="52"/>
      <c r="C378" s="53"/>
      <c r="D378" s="53"/>
      <c r="E378" s="53"/>
      <c r="F378" s="53"/>
      <c r="G378" s="1"/>
    </row>
    <row r="379" ht="14.25" customHeight="1">
      <c r="A379" s="52"/>
      <c r="B379" s="52"/>
      <c r="C379" s="53"/>
      <c r="D379" s="53"/>
      <c r="E379" s="53"/>
      <c r="F379" s="53"/>
      <c r="G379" s="1"/>
    </row>
    <row r="380" ht="14.25" customHeight="1">
      <c r="A380" s="52"/>
      <c r="B380" s="52"/>
      <c r="C380" s="53"/>
      <c r="D380" s="53"/>
      <c r="E380" s="53"/>
      <c r="F380" s="53"/>
      <c r="G380" s="1"/>
    </row>
    <row r="381" ht="14.25" customHeight="1">
      <c r="A381" s="52"/>
      <c r="B381" s="52"/>
      <c r="C381" s="53"/>
      <c r="D381" s="53"/>
      <c r="E381" s="53"/>
      <c r="F381" s="53"/>
      <c r="G381" s="1"/>
    </row>
    <row r="382" ht="14.25" customHeight="1">
      <c r="A382" s="52"/>
      <c r="B382" s="52"/>
      <c r="C382" s="53"/>
      <c r="D382" s="53"/>
      <c r="E382" s="53"/>
      <c r="F382" s="53"/>
      <c r="G382" s="1"/>
    </row>
    <row r="383" ht="14.25" customHeight="1">
      <c r="A383" s="52"/>
      <c r="B383" s="52"/>
      <c r="C383" s="53"/>
      <c r="D383" s="53"/>
      <c r="E383" s="53"/>
      <c r="F383" s="53"/>
      <c r="G383" s="1"/>
    </row>
    <row r="384" ht="14.25" customHeight="1">
      <c r="A384" s="52"/>
      <c r="B384" s="52"/>
      <c r="C384" s="53"/>
      <c r="D384" s="53"/>
      <c r="E384" s="53"/>
      <c r="F384" s="53"/>
      <c r="G384" s="1"/>
    </row>
    <row r="385" ht="14.25" customHeight="1">
      <c r="A385" s="52"/>
      <c r="B385" s="52"/>
      <c r="C385" s="53"/>
      <c r="D385" s="53"/>
      <c r="E385" s="53"/>
      <c r="F385" s="53"/>
      <c r="G385" s="1"/>
    </row>
    <row r="386" ht="14.25" customHeight="1">
      <c r="A386" s="52"/>
      <c r="B386" s="52"/>
      <c r="C386" s="53"/>
      <c r="D386" s="53"/>
      <c r="E386" s="53"/>
      <c r="F386" s="53"/>
      <c r="G386" s="1"/>
    </row>
    <row r="387" ht="14.25" customHeight="1">
      <c r="A387" s="52"/>
      <c r="B387" s="52"/>
      <c r="C387" s="53"/>
      <c r="D387" s="53"/>
      <c r="E387" s="53"/>
      <c r="F387" s="53"/>
      <c r="G387" s="1"/>
    </row>
    <row r="388" ht="14.25" customHeight="1">
      <c r="A388" s="52"/>
      <c r="B388" s="52"/>
      <c r="C388" s="53"/>
      <c r="D388" s="53"/>
      <c r="E388" s="53"/>
      <c r="F388" s="53"/>
      <c r="G388" s="1"/>
    </row>
    <row r="389" ht="14.25" customHeight="1">
      <c r="A389" s="52"/>
      <c r="B389" s="52"/>
      <c r="C389" s="53"/>
      <c r="D389" s="53"/>
      <c r="E389" s="53"/>
      <c r="F389" s="53"/>
      <c r="G389" s="1"/>
    </row>
    <row r="390" ht="14.25" customHeight="1">
      <c r="A390" s="52"/>
      <c r="B390" s="52"/>
      <c r="C390" s="53"/>
      <c r="D390" s="53"/>
      <c r="E390" s="53"/>
      <c r="F390" s="53"/>
      <c r="G390" s="1"/>
    </row>
    <row r="391" ht="14.25" customHeight="1">
      <c r="A391" s="52"/>
      <c r="B391" s="52"/>
      <c r="C391" s="53"/>
      <c r="D391" s="53"/>
      <c r="E391" s="53"/>
      <c r="F391" s="53"/>
      <c r="G391" s="1"/>
    </row>
    <row r="392" ht="14.25" customHeight="1">
      <c r="A392" s="52"/>
      <c r="B392" s="52"/>
      <c r="C392" s="53"/>
      <c r="D392" s="53"/>
      <c r="E392" s="53"/>
      <c r="F392" s="53"/>
      <c r="G392" s="1"/>
    </row>
    <row r="393" ht="14.25" customHeight="1">
      <c r="A393" s="52"/>
      <c r="B393" s="52"/>
      <c r="C393" s="53"/>
      <c r="D393" s="53"/>
      <c r="E393" s="53"/>
      <c r="F393" s="53"/>
      <c r="G393" s="1"/>
    </row>
    <row r="394" ht="14.25" customHeight="1">
      <c r="A394" s="52"/>
      <c r="B394" s="52"/>
      <c r="C394" s="53"/>
      <c r="D394" s="53"/>
      <c r="E394" s="53"/>
      <c r="F394" s="53"/>
      <c r="G394" s="1"/>
    </row>
    <row r="395" ht="14.25" customHeight="1">
      <c r="A395" s="52"/>
      <c r="B395" s="52"/>
      <c r="C395" s="53"/>
      <c r="D395" s="53"/>
      <c r="E395" s="53"/>
      <c r="F395" s="53"/>
      <c r="G395" s="1"/>
    </row>
    <row r="396" ht="14.25" customHeight="1">
      <c r="A396" s="52"/>
      <c r="B396" s="52"/>
      <c r="C396" s="53"/>
      <c r="D396" s="53"/>
      <c r="E396" s="53"/>
      <c r="F396" s="53"/>
      <c r="G396" s="1"/>
    </row>
    <row r="397" ht="14.25" customHeight="1">
      <c r="A397" s="52"/>
      <c r="B397" s="52"/>
      <c r="C397" s="53"/>
      <c r="D397" s="53"/>
      <c r="E397" s="53"/>
      <c r="F397" s="53"/>
      <c r="G397" s="1"/>
    </row>
    <row r="398" ht="14.25" customHeight="1">
      <c r="A398" s="52"/>
      <c r="B398" s="52"/>
      <c r="C398" s="53"/>
      <c r="D398" s="53"/>
      <c r="E398" s="53"/>
      <c r="F398" s="53"/>
      <c r="G398" s="1"/>
    </row>
    <row r="399" ht="14.25" customHeight="1">
      <c r="A399" s="52"/>
      <c r="B399" s="52"/>
      <c r="C399" s="53"/>
      <c r="D399" s="53"/>
      <c r="E399" s="53"/>
      <c r="F399" s="53"/>
      <c r="G399" s="1"/>
    </row>
    <row r="400" ht="14.25" customHeight="1">
      <c r="A400" s="52"/>
      <c r="B400" s="52"/>
      <c r="C400" s="53"/>
      <c r="D400" s="53"/>
      <c r="E400" s="53"/>
      <c r="F400" s="53"/>
      <c r="G400" s="1"/>
    </row>
    <row r="401" ht="14.25" customHeight="1">
      <c r="A401" s="52"/>
      <c r="B401" s="52"/>
      <c r="C401" s="53"/>
      <c r="D401" s="53"/>
      <c r="E401" s="53"/>
      <c r="F401" s="53"/>
      <c r="G401" s="1"/>
    </row>
    <row r="402" ht="14.25" customHeight="1">
      <c r="A402" s="52"/>
      <c r="B402" s="52"/>
      <c r="C402" s="53"/>
      <c r="D402" s="53"/>
      <c r="E402" s="53"/>
      <c r="F402" s="53"/>
      <c r="G402" s="1"/>
    </row>
    <row r="403" ht="14.25" customHeight="1">
      <c r="A403" s="52"/>
      <c r="B403" s="52"/>
      <c r="C403" s="53"/>
      <c r="D403" s="53"/>
      <c r="E403" s="53"/>
      <c r="F403" s="53"/>
      <c r="G403" s="1"/>
    </row>
    <row r="404" ht="14.25" customHeight="1">
      <c r="A404" s="52"/>
      <c r="B404" s="52"/>
      <c r="C404" s="53"/>
      <c r="D404" s="53"/>
      <c r="E404" s="53"/>
      <c r="F404" s="53"/>
      <c r="G404" s="1"/>
    </row>
    <row r="405" ht="14.25" customHeight="1">
      <c r="A405" s="52"/>
      <c r="B405" s="52"/>
      <c r="C405" s="53"/>
      <c r="D405" s="53"/>
      <c r="E405" s="53"/>
      <c r="F405" s="53"/>
      <c r="G405" s="1"/>
    </row>
    <row r="406" ht="14.25" customHeight="1">
      <c r="A406" s="52"/>
      <c r="B406" s="52"/>
      <c r="C406" s="53"/>
      <c r="D406" s="53"/>
      <c r="E406" s="53"/>
      <c r="F406" s="53"/>
      <c r="G406" s="1"/>
    </row>
    <row r="407" ht="14.25" customHeight="1">
      <c r="A407" s="52"/>
      <c r="B407" s="52"/>
      <c r="C407" s="53"/>
      <c r="D407" s="53"/>
      <c r="E407" s="53"/>
      <c r="F407" s="53"/>
      <c r="G407" s="1"/>
    </row>
    <row r="408" ht="14.25" customHeight="1">
      <c r="A408" s="52"/>
      <c r="B408" s="52"/>
      <c r="C408" s="53"/>
      <c r="D408" s="53"/>
      <c r="E408" s="53"/>
      <c r="F408" s="53"/>
      <c r="G408" s="1"/>
    </row>
    <row r="409" ht="14.25" customHeight="1">
      <c r="A409" s="52"/>
      <c r="B409" s="52"/>
      <c r="C409" s="53"/>
      <c r="D409" s="53"/>
      <c r="E409" s="53"/>
      <c r="F409" s="53"/>
      <c r="G409" s="1"/>
    </row>
    <row r="410" ht="14.25" customHeight="1">
      <c r="A410" s="52"/>
      <c r="B410" s="52"/>
      <c r="C410" s="53"/>
      <c r="D410" s="53"/>
      <c r="E410" s="53"/>
      <c r="F410" s="53"/>
      <c r="G410" s="1"/>
    </row>
    <row r="411" ht="14.25" customHeight="1">
      <c r="A411" s="52"/>
      <c r="B411" s="52"/>
      <c r="C411" s="53"/>
      <c r="D411" s="53"/>
      <c r="E411" s="53"/>
      <c r="F411" s="53"/>
      <c r="G411" s="1"/>
    </row>
    <row r="412" ht="14.25" customHeight="1">
      <c r="A412" s="52"/>
      <c r="B412" s="52"/>
      <c r="C412" s="53"/>
      <c r="D412" s="53"/>
      <c r="E412" s="53"/>
      <c r="F412" s="53"/>
      <c r="G412" s="1"/>
    </row>
    <row r="413" ht="14.25" customHeight="1">
      <c r="A413" s="52"/>
      <c r="B413" s="52"/>
      <c r="C413" s="53"/>
      <c r="D413" s="53"/>
      <c r="E413" s="53"/>
      <c r="F413" s="53"/>
      <c r="G413" s="1"/>
    </row>
    <row r="414" ht="14.25" customHeight="1">
      <c r="A414" s="52"/>
      <c r="B414" s="52"/>
      <c r="C414" s="53"/>
      <c r="D414" s="53"/>
      <c r="E414" s="53"/>
      <c r="F414" s="53"/>
      <c r="G414" s="1"/>
    </row>
    <row r="415" ht="14.25" customHeight="1">
      <c r="A415" s="52"/>
      <c r="B415" s="52"/>
      <c r="C415" s="53"/>
      <c r="D415" s="53"/>
      <c r="E415" s="53"/>
      <c r="F415" s="53"/>
      <c r="G415" s="1"/>
    </row>
    <row r="416" ht="14.25" customHeight="1">
      <c r="A416" s="52"/>
      <c r="B416" s="52"/>
      <c r="C416" s="53"/>
      <c r="D416" s="53"/>
      <c r="E416" s="53"/>
      <c r="F416" s="53"/>
      <c r="G416" s="1"/>
    </row>
    <row r="417" ht="14.25" customHeight="1">
      <c r="A417" s="52"/>
      <c r="B417" s="52"/>
      <c r="C417" s="53"/>
      <c r="D417" s="53"/>
      <c r="E417" s="53"/>
      <c r="F417" s="53"/>
      <c r="G417" s="1"/>
    </row>
    <row r="418" ht="14.25" customHeight="1">
      <c r="A418" s="52"/>
      <c r="B418" s="52"/>
      <c r="C418" s="53"/>
      <c r="D418" s="53"/>
      <c r="E418" s="53"/>
      <c r="F418" s="53"/>
      <c r="G418" s="1"/>
    </row>
    <row r="419" ht="14.25" customHeight="1">
      <c r="A419" s="52"/>
      <c r="B419" s="52"/>
      <c r="C419" s="53"/>
      <c r="D419" s="53"/>
      <c r="E419" s="53"/>
      <c r="F419" s="53"/>
      <c r="G419" s="1"/>
    </row>
    <row r="420" ht="14.25" customHeight="1">
      <c r="A420" s="52"/>
      <c r="B420" s="52"/>
      <c r="C420" s="53"/>
      <c r="D420" s="53"/>
      <c r="E420" s="53"/>
      <c r="F420" s="53"/>
      <c r="G420" s="1"/>
    </row>
    <row r="421" ht="14.25" customHeight="1">
      <c r="A421" s="52"/>
      <c r="B421" s="52"/>
      <c r="C421" s="53"/>
      <c r="D421" s="53"/>
      <c r="E421" s="53"/>
      <c r="F421" s="53"/>
      <c r="G421" s="1"/>
    </row>
    <row r="422" ht="14.25" customHeight="1">
      <c r="A422" s="52"/>
      <c r="B422" s="52"/>
      <c r="C422" s="53"/>
      <c r="D422" s="53"/>
      <c r="E422" s="53"/>
      <c r="F422" s="53"/>
      <c r="G422" s="1"/>
    </row>
    <row r="423" ht="14.25" customHeight="1">
      <c r="A423" s="52"/>
      <c r="B423" s="52"/>
      <c r="C423" s="53"/>
      <c r="D423" s="53"/>
      <c r="E423" s="53"/>
      <c r="F423" s="53"/>
      <c r="G423" s="1"/>
    </row>
    <row r="424" ht="14.25" customHeight="1">
      <c r="A424" s="52"/>
      <c r="B424" s="52"/>
      <c r="C424" s="53"/>
      <c r="D424" s="53"/>
      <c r="E424" s="53"/>
      <c r="F424" s="53"/>
      <c r="G424" s="1"/>
    </row>
    <row r="425" ht="14.25" customHeight="1">
      <c r="A425" s="52"/>
      <c r="B425" s="52"/>
      <c r="C425" s="53"/>
      <c r="D425" s="53"/>
      <c r="E425" s="53"/>
      <c r="F425" s="53"/>
      <c r="G425" s="1"/>
    </row>
    <row r="426" ht="14.25" customHeight="1">
      <c r="A426" s="52"/>
      <c r="B426" s="52"/>
      <c r="C426" s="53"/>
      <c r="D426" s="53"/>
      <c r="E426" s="53"/>
      <c r="F426" s="53"/>
      <c r="G426" s="1"/>
    </row>
    <row r="427" ht="14.25" customHeight="1">
      <c r="A427" s="52"/>
      <c r="B427" s="52"/>
      <c r="C427" s="53"/>
      <c r="D427" s="53"/>
      <c r="E427" s="53"/>
      <c r="F427" s="53"/>
      <c r="G427" s="1"/>
    </row>
    <row r="428" ht="14.25" customHeight="1">
      <c r="A428" s="52"/>
      <c r="B428" s="52"/>
      <c r="C428" s="53"/>
      <c r="D428" s="53"/>
      <c r="E428" s="53"/>
      <c r="F428" s="53"/>
      <c r="G428" s="1"/>
    </row>
    <row r="429" ht="14.25" customHeight="1">
      <c r="A429" s="52"/>
      <c r="B429" s="52"/>
      <c r="C429" s="53"/>
      <c r="D429" s="53"/>
      <c r="E429" s="53"/>
      <c r="F429" s="53"/>
      <c r="G429" s="1"/>
    </row>
    <row r="430" ht="14.25" customHeight="1">
      <c r="A430" s="52"/>
      <c r="B430" s="52"/>
      <c r="C430" s="53"/>
      <c r="D430" s="53"/>
      <c r="E430" s="53"/>
      <c r="F430" s="53"/>
      <c r="G430" s="1"/>
    </row>
    <row r="431" ht="14.25" customHeight="1">
      <c r="A431" s="52"/>
      <c r="B431" s="52"/>
      <c r="C431" s="53"/>
      <c r="D431" s="53"/>
      <c r="E431" s="53"/>
      <c r="F431" s="53"/>
      <c r="G431" s="1"/>
    </row>
    <row r="432" ht="14.25" customHeight="1">
      <c r="A432" s="52"/>
      <c r="B432" s="52"/>
      <c r="C432" s="53"/>
      <c r="D432" s="53"/>
      <c r="E432" s="53"/>
      <c r="F432" s="53"/>
      <c r="G432" s="1"/>
    </row>
    <row r="433" ht="14.25" customHeight="1">
      <c r="A433" s="52"/>
      <c r="B433" s="52"/>
      <c r="C433" s="53"/>
      <c r="D433" s="53"/>
      <c r="E433" s="53"/>
      <c r="F433" s="53"/>
      <c r="G433" s="1"/>
    </row>
    <row r="434" ht="14.25" customHeight="1">
      <c r="A434" s="52"/>
      <c r="B434" s="52"/>
      <c r="C434" s="53"/>
      <c r="D434" s="53"/>
      <c r="E434" s="53"/>
      <c r="F434" s="53"/>
      <c r="G434" s="1"/>
    </row>
    <row r="435" ht="14.25" customHeight="1">
      <c r="A435" s="52"/>
      <c r="B435" s="52"/>
      <c r="C435" s="53"/>
      <c r="D435" s="53"/>
      <c r="E435" s="53"/>
      <c r="F435" s="53"/>
      <c r="G435" s="1"/>
    </row>
    <row r="436" ht="14.25" customHeight="1">
      <c r="A436" s="52"/>
      <c r="B436" s="52"/>
      <c r="C436" s="53"/>
      <c r="D436" s="53"/>
      <c r="E436" s="53"/>
      <c r="F436" s="53"/>
      <c r="G436" s="1"/>
    </row>
    <row r="437" ht="14.25" customHeight="1">
      <c r="A437" s="52"/>
      <c r="B437" s="52"/>
      <c r="C437" s="53"/>
      <c r="D437" s="53"/>
      <c r="E437" s="53"/>
      <c r="F437" s="53"/>
      <c r="G437" s="1"/>
    </row>
    <row r="438" ht="14.25" customHeight="1">
      <c r="A438" s="52"/>
      <c r="B438" s="52"/>
      <c r="C438" s="53"/>
      <c r="D438" s="53"/>
      <c r="E438" s="53"/>
      <c r="F438" s="53"/>
      <c r="G438" s="1"/>
    </row>
    <row r="439" ht="14.25" customHeight="1">
      <c r="A439" s="52"/>
      <c r="B439" s="52"/>
      <c r="C439" s="53"/>
      <c r="D439" s="53"/>
      <c r="E439" s="53"/>
      <c r="F439" s="53"/>
      <c r="G439" s="1"/>
    </row>
    <row r="440" ht="14.25" customHeight="1">
      <c r="A440" s="52"/>
      <c r="B440" s="52"/>
      <c r="C440" s="53"/>
      <c r="D440" s="53"/>
      <c r="E440" s="53"/>
      <c r="F440" s="53"/>
      <c r="G440" s="1"/>
    </row>
    <row r="441" ht="14.25" customHeight="1">
      <c r="A441" s="52"/>
      <c r="B441" s="52"/>
      <c r="C441" s="53"/>
      <c r="D441" s="53"/>
      <c r="E441" s="53"/>
      <c r="F441" s="53"/>
      <c r="G441" s="1"/>
    </row>
    <row r="442" ht="14.25" customHeight="1">
      <c r="A442" s="52"/>
      <c r="B442" s="52"/>
      <c r="C442" s="53"/>
      <c r="D442" s="53"/>
      <c r="E442" s="53"/>
      <c r="F442" s="53"/>
      <c r="G442" s="1"/>
    </row>
    <row r="443" ht="14.25" customHeight="1">
      <c r="A443" s="52"/>
      <c r="B443" s="52"/>
      <c r="C443" s="53"/>
      <c r="D443" s="53"/>
      <c r="E443" s="53"/>
      <c r="F443" s="53"/>
      <c r="G443" s="1"/>
    </row>
    <row r="444" ht="14.25" customHeight="1">
      <c r="A444" s="52"/>
      <c r="B444" s="52"/>
      <c r="C444" s="53"/>
      <c r="D444" s="53"/>
      <c r="E444" s="53"/>
      <c r="F444" s="53"/>
      <c r="G444" s="1"/>
    </row>
    <row r="445" ht="14.25" customHeight="1">
      <c r="A445" s="52"/>
      <c r="B445" s="52"/>
      <c r="C445" s="53"/>
      <c r="D445" s="53"/>
      <c r="E445" s="53"/>
      <c r="F445" s="53"/>
      <c r="G445" s="1"/>
    </row>
    <row r="446" ht="14.25" customHeight="1">
      <c r="A446" s="52"/>
      <c r="B446" s="52"/>
      <c r="C446" s="53"/>
      <c r="D446" s="53"/>
      <c r="E446" s="53"/>
      <c r="F446" s="53"/>
      <c r="G446" s="1"/>
    </row>
    <row r="447" ht="14.25" customHeight="1">
      <c r="A447" s="52"/>
      <c r="B447" s="52"/>
      <c r="C447" s="53"/>
      <c r="D447" s="53"/>
      <c r="E447" s="53"/>
      <c r="F447" s="53"/>
      <c r="G447" s="1"/>
    </row>
    <row r="448" ht="14.25" customHeight="1">
      <c r="A448" s="52"/>
      <c r="B448" s="52"/>
      <c r="C448" s="53"/>
      <c r="D448" s="53"/>
      <c r="E448" s="53"/>
      <c r="F448" s="53"/>
      <c r="G448" s="1"/>
    </row>
    <row r="449" ht="14.25" customHeight="1">
      <c r="A449" s="52"/>
      <c r="B449" s="52"/>
      <c r="C449" s="53"/>
      <c r="D449" s="53"/>
      <c r="E449" s="53"/>
      <c r="F449" s="53"/>
      <c r="G449" s="1"/>
    </row>
    <row r="450" ht="14.25" customHeight="1">
      <c r="A450" s="52"/>
      <c r="B450" s="52"/>
      <c r="C450" s="53"/>
      <c r="D450" s="53"/>
      <c r="E450" s="53"/>
      <c r="F450" s="53"/>
      <c r="G450" s="1"/>
    </row>
    <row r="451" ht="14.25" customHeight="1">
      <c r="A451" s="52"/>
      <c r="B451" s="52"/>
      <c r="C451" s="53"/>
      <c r="D451" s="53"/>
      <c r="E451" s="53"/>
      <c r="F451" s="53"/>
      <c r="G451" s="1"/>
    </row>
    <row r="452" ht="14.25" customHeight="1">
      <c r="A452" s="52"/>
      <c r="B452" s="52"/>
      <c r="C452" s="53"/>
      <c r="D452" s="53"/>
      <c r="E452" s="53"/>
      <c r="F452" s="53"/>
      <c r="G452" s="1"/>
    </row>
    <row r="453" ht="14.25" customHeight="1">
      <c r="A453" s="52"/>
      <c r="B453" s="52"/>
      <c r="C453" s="53"/>
      <c r="D453" s="53"/>
      <c r="E453" s="53"/>
      <c r="F453" s="53"/>
      <c r="G453" s="1"/>
    </row>
    <row r="454" ht="14.25" customHeight="1">
      <c r="A454" s="52"/>
      <c r="B454" s="52"/>
      <c r="C454" s="53"/>
      <c r="D454" s="53"/>
      <c r="E454" s="53"/>
      <c r="F454" s="53"/>
      <c r="G454" s="1"/>
    </row>
    <row r="455" ht="14.25" customHeight="1">
      <c r="A455" s="52"/>
      <c r="B455" s="52"/>
      <c r="C455" s="53"/>
      <c r="D455" s="53"/>
      <c r="E455" s="53"/>
      <c r="F455" s="53"/>
      <c r="G455" s="1"/>
    </row>
    <row r="456" ht="14.25" customHeight="1">
      <c r="A456" s="52"/>
      <c r="B456" s="52"/>
      <c r="C456" s="53"/>
      <c r="D456" s="53"/>
      <c r="E456" s="53"/>
      <c r="F456" s="53"/>
      <c r="G456" s="1"/>
    </row>
    <row r="457" ht="14.25" customHeight="1">
      <c r="A457" s="52"/>
      <c r="B457" s="52"/>
      <c r="C457" s="53"/>
      <c r="D457" s="53"/>
      <c r="E457" s="53"/>
      <c r="F457" s="53"/>
      <c r="G457" s="1"/>
    </row>
    <row r="458" ht="14.25" customHeight="1">
      <c r="A458" s="52"/>
      <c r="B458" s="52"/>
      <c r="C458" s="53"/>
      <c r="D458" s="53"/>
      <c r="E458" s="53"/>
      <c r="F458" s="53"/>
      <c r="G458" s="1"/>
    </row>
    <row r="459" ht="14.25" customHeight="1">
      <c r="A459" s="52"/>
      <c r="B459" s="52"/>
      <c r="C459" s="53"/>
      <c r="D459" s="53"/>
      <c r="E459" s="53"/>
      <c r="F459" s="53"/>
      <c r="G459" s="1"/>
    </row>
    <row r="460" ht="14.25" customHeight="1">
      <c r="A460" s="52"/>
      <c r="B460" s="52"/>
      <c r="C460" s="53"/>
      <c r="D460" s="53"/>
      <c r="E460" s="53"/>
      <c r="F460" s="53"/>
      <c r="G460" s="1"/>
    </row>
    <row r="461" ht="14.25" customHeight="1">
      <c r="A461" s="52"/>
      <c r="B461" s="52"/>
      <c r="C461" s="53"/>
      <c r="D461" s="53"/>
      <c r="E461" s="53"/>
      <c r="F461" s="53"/>
      <c r="G461" s="1"/>
    </row>
    <row r="462" ht="14.25" customHeight="1">
      <c r="A462" s="52"/>
      <c r="B462" s="52"/>
      <c r="C462" s="53"/>
      <c r="D462" s="53"/>
      <c r="E462" s="53"/>
      <c r="F462" s="53"/>
      <c r="G462" s="1"/>
    </row>
    <row r="463" ht="14.25" customHeight="1">
      <c r="A463" s="52"/>
      <c r="B463" s="52"/>
      <c r="C463" s="53"/>
      <c r="D463" s="53"/>
      <c r="E463" s="53"/>
      <c r="F463" s="53"/>
      <c r="G463" s="1"/>
    </row>
    <row r="464" ht="14.25" customHeight="1">
      <c r="A464" s="52"/>
      <c r="B464" s="52"/>
      <c r="C464" s="53"/>
      <c r="D464" s="53"/>
      <c r="E464" s="53"/>
      <c r="F464" s="53"/>
      <c r="G464" s="1"/>
    </row>
    <row r="465" ht="14.25" customHeight="1">
      <c r="A465" s="52"/>
      <c r="B465" s="52"/>
      <c r="C465" s="53"/>
      <c r="D465" s="53"/>
      <c r="E465" s="53"/>
      <c r="F465" s="53"/>
      <c r="G465" s="1"/>
    </row>
    <row r="466" ht="14.25" customHeight="1">
      <c r="A466" s="52"/>
      <c r="B466" s="52"/>
      <c r="C466" s="53"/>
      <c r="D466" s="53"/>
      <c r="E466" s="53"/>
      <c r="F466" s="53"/>
      <c r="G466" s="1"/>
    </row>
    <row r="467" ht="14.25" customHeight="1">
      <c r="A467" s="52"/>
      <c r="B467" s="52"/>
      <c r="C467" s="53"/>
      <c r="D467" s="53"/>
      <c r="E467" s="53"/>
      <c r="F467" s="53"/>
      <c r="G467" s="1"/>
    </row>
    <row r="468" ht="14.25" customHeight="1">
      <c r="A468" s="52"/>
      <c r="B468" s="52"/>
      <c r="C468" s="53"/>
      <c r="D468" s="53"/>
      <c r="E468" s="53"/>
      <c r="F468" s="53"/>
      <c r="G468" s="1"/>
    </row>
    <row r="469" ht="14.25" customHeight="1">
      <c r="A469" s="52"/>
      <c r="B469" s="52"/>
      <c r="C469" s="53"/>
      <c r="D469" s="53"/>
      <c r="E469" s="53"/>
      <c r="F469" s="53"/>
      <c r="G469" s="1"/>
    </row>
    <row r="470" ht="14.25" customHeight="1">
      <c r="A470" s="52"/>
      <c r="B470" s="52"/>
      <c r="C470" s="53"/>
      <c r="D470" s="53"/>
      <c r="E470" s="53"/>
      <c r="F470" s="53"/>
      <c r="G470" s="1"/>
    </row>
    <row r="471" ht="14.25" customHeight="1">
      <c r="A471" s="52"/>
      <c r="B471" s="52"/>
      <c r="C471" s="53"/>
      <c r="D471" s="53"/>
      <c r="E471" s="53"/>
      <c r="F471" s="53"/>
      <c r="G471" s="1"/>
    </row>
    <row r="472" ht="14.25" customHeight="1">
      <c r="A472" s="52"/>
      <c r="B472" s="52"/>
      <c r="C472" s="53"/>
      <c r="D472" s="53"/>
      <c r="E472" s="53"/>
      <c r="F472" s="53"/>
      <c r="G472" s="1"/>
    </row>
    <row r="473" ht="14.25" customHeight="1">
      <c r="A473" s="52"/>
      <c r="B473" s="52"/>
      <c r="C473" s="53"/>
      <c r="D473" s="53"/>
      <c r="E473" s="53"/>
      <c r="F473" s="53"/>
      <c r="G473" s="1"/>
    </row>
    <row r="474" ht="14.25" customHeight="1">
      <c r="A474" s="52"/>
      <c r="B474" s="52"/>
      <c r="C474" s="53"/>
      <c r="D474" s="53"/>
      <c r="E474" s="53"/>
      <c r="F474" s="53"/>
      <c r="G474" s="1"/>
    </row>
    <row r="475" ht="14.25" customHeight="1">
      <c r="A475" s="52"/>
      <c r="B475" s="52"/>
      <c r="C475" s="53"/>
      <c r="D475" s="53"/>
      <c r="E475" s="53"/>
      <c r="F475" s="53"/>
      <c r="G475" s="1"/>
    </row>
    <row r="476" ht="14.25" customHeight="1">
      <c r="A476" s="52"/>
      <c r="B476" s="52"/>
      <c r="C476" s="53"/>
      <c r="D476" s="53"/>
      <c r="E476" s="53"/>
      <c r="F476" s="53"/>
      <c r="G476" s="1"/>
    </row>
    <row r="477" ht="14.25" customHeight="1">
      <c r="A477" s="52"/>
      <c r="B477" s="52"/>
      <c r="C477" s="53"/>
      <c r="D477" s="53"/>
      <c r="E477" s="53"/>
      <c r="F477" s="53"/>
      <c r="G477" s="1"/>
    </row>
    <row r="478" ht="14.25" customHeight="1">
      <c r="A478" s="52"/>
      <c r="B478" s="52"/>
      <c r="C478" s="53"/>
      <c r="D478" s="53"/>
      <c r="E478" s="53"/>
      <c r="F478" s="53"/>
      <c r="G478" s="1"/>
    </row>
    <row r="479" ht="14.25" customHeight="1">
      <c r="A479" s="52"/>
      <c r="B479" s="52"/>
      <c r="C479" s="53"/>
      <c r="D479" s="53"/>
      <c r="E479" s="53"/>
      <c r="F479" s="53"/>
      <c r="G479" s="1"/>
    </row>
    <row r="480" ht="14.25" customHeight="1">
      <c r="A480" s="52"/>
      <c r="B480" s="52"/>
      <c r="C480" s="53"/>
      <c r="D480" s="53"/>
      <c r="E480" s="53"/>
      <c r="F480" s="53"/>
      <c r="G480" s="1"/>
    </row>
    <row r="481" ht="14.25" customHeight="1">
      <c r="A481" s="52"/>
      <c r="B481" s="52"/>
      <c r="C481" s="53"/>
      <c r="D481" s="53"/>
      <c r="E481" s="53"/>
      <c r="F481" s="53"/>
      <c r="G481" s="1"/>
    </row>
    <row r="482" ht="14.25" customHeight="1">
      <c r="A482" s="52"/>
      <c r="B482" s="52"/>
      <c r="C482" s="53"/>
      <c r="D482" s="53"/>
      <c r="E482" s="53"/>
      <c r="F482" s="53"/>
      <c r="G482" s="1"/>
    </row>
    <row r="483" ht="14.25" customHeight="1">
      <c r="A483" s="52"/>
      <c r="B483" s="52"/>
      <c r="C483" s="53"/>
      <c r="D483" s="53"/>
      <c r="E483" s="53"/>
      <c r="F483" s="53"/>
      <c r="G483" s="1"/>
    </row>
    <row r="484" ht="14.25" customHeight="1">
      <c r="A484" s="52"/>
      <c r="B484" s="52"/>
      <c r="C484" s="53"/>
      <c r="D484" s="53"/>
      <c r="E484" s="53"/>
      <c r="F484" s="53"/>
      <c r="G484" s="1"/>
    </row>
    <row r="485" ht="14.25" customHeight="1">
      <c r="A485" s="52"/>
      <c r="B485" s="52"/>
      <c r="C485" s="53"/>
      <c r="D485" s="53"/>
      <c r="E485" s="53"/>
      <c r="F485" s="53"/>
      <c r="G485" s="1"/>
    </row>
    <row r="486" ht="14.25" customHeight="1">
      <c r="A486" s="52"/>
      <c r="B486" s="52"/>
      <c r="C486" s="53"/>
      <c r="D486" s="53"/>
      <c r="E486" s="53"/>
      <c r="F486" s="53"/>
      <c r="G486" s="1"/>
    </row>
    <row r="487" ht="14.25" customHeight="1">
      <c r="A487" s="52"/>
      <c r="B487" s="52"/>
      <c r="C487" s="53"/>
      <c r="D487" s="53"/>
      <c r="E487" s="53"/>
      <c r="F487" s="53"/>
      <c r="G487" s="1"/>
    </row>
    <row r="488" ht="14.25" customHeight="1">
      <c r="A488" s="52"/>
      <c r="B488" s="52"/>
      <c r="C488" s="53"/>
      <c r="D488" s="53"/>
      <c r="E488" s="53"/>
      <c r="F488" s="53"/>
      <c r="G488" s="1"/>
    </row>
    <row r="489" ht="14.25" customHeight="1">
      <c r="A489" s="52"/>
      <c r="B489" s="52"/>
      <c r="C489" s="53"/>
      <c r="D489" s="53"/>
      <c r="E489" s="53"/>
      <c r="F489" s="53"/>
      <c r="G489" s="1"/>
    </row>
    <row r="490" ht="14.25" customHeight="1">
      <c r="A490" s="52"/>
      <c r="B490" s="52"/>
      <c r="C490" s="53"/>
      <c r="D490" s="53"/>
      <c r="E490" s="53"/>
      <c r="F490" s="53"/>
      <c r="G490" s="1"/>
    </row>
    <row r="491" ht="14.25" customHeight="1">
      <c r="A491" s="52"/>
      <c r="B491" s="52"/>
      <c r="C491" s="53"/>
      <c r="D491" s="53"/>
      <c r="E491" s="53"/>
      <c r="F491" s="53"/>
      <c r="G491" s="1"/>
    </row>
    <row r="492" ht="14.25" customHeight="1">
      <c r="A492" s="52"/>
      <c r="B492" s="52"/>
      <c r="C492" s="53"/>
      <c r="D492" s="53"/>
      <c r="E492" s="53"/>
      <c r="F492" s="53"/>
      <c r="G492" s="1"/>
    </row>
    <row r="493" ht="14.25" customHeight="1">
      <c r="A493" s="52"/>
      <c r="B493" s="52"/>
      <c r="C493" s="53"/>
      <c r="D493" s="53"/>
      <c r="E493" s="53"/>
      <c r="F493" s="53"/>
      <c r="G493" s="1"/>
    </row>
    <row r="494" ht="14.25" customHeight="1">
      <c r="A494" s="52"/>
      <c r="B494" s="52"/>
      <c r="C494" s="53"/>
      <c r="D494" s="53"/>
      <c r="E494" s="53"/>
      <c r="F494" s="53"/>
      <c r="G494" s="1"/>
    </row>
    <row r="495" ht="14.25" customHeight="1">
      <c r="A495" s="52"/>
      <c r="B495" s="52"/>
      <c r="C495" s="53"/>
      <c r="D495" s="53"/>
      <c r="E495" s="53"/>
      <c r="F495" s="53"/>
      <c r="G495" s="1"/>
    </row>
    <row r="496" ht="14.25" customHeight="1">
      <c r="A496" s="52"/>
      <c r="B496" s="52"/>
      <c r="C496" s="53"/>
      <c r="D496" s="53"/>
      <c r="E496" s="53"/>
      <c r="F496" s="53"/>
      <c r="G496" s="1"/>
    </row>
    <row r="497" ht="14.25" customHeight="1">
      <c r="A497" s="52"/>
      <c r="B497" s="52"/>
      <c r="C497" s="53"/>
      <c r="D497" s="53"/>
      <c r="E497" s="53"/>
      <c r="F497" s="53"/>
      <c r="G497" s="1"/>
    </row>
    <row r="498" ht="14.25" customHeight="1">
      <c r="A498" s="52"/>
      <c r="B498" s="52"/>
      <c r="C498" s="53"/>
      <c r="D498" s="53"/>
      <c r="E498" s="53"/>
      <c r="F498" s="53"/>
      <c r="G498" s="1"/>
    </row>
    <row r="499" ht="14.25" customHeight="1">
      <c r="A499" s="52"/>
      <c r="B499" s="52"/>
      <c r="C499" s="53"/>
      <c r="D499" s="53"/>
      <c r="E499" s="53"/>
      <c r="F499" s="53"/>
      <c r="G499" s="1"/>
    </row>
    <row r="500" ht="14.25" customHeight="1">
      <c r="A500" s="52"/>
      <c r="B500" s="52"/>
      <c r="C500" s="53"/>
      <c r="D500" s="53"/>
      <c r="E500" s="53"/>
      <c r="F500" s="53"/>
      <c r="G500" s="1"/>
    </row>
    <row r="501" ht="14.25" customHeight="1">
      <c r="A501" s="52"/>
      <c r="B501" s="52"/>
      <c r="C501" s="53"/>
      <c r="D501" s="53"/>
      <c r="E501" s="53"/>
      <c r="F501" s="53"/>
      <c r="G501" s="1"/>
    </row>
    <row r="502" ht="14.25" customHeight="1">
      <c r="A502" s="52"/>
      <c r="B502" s="52"/>
      <c r="C502" s="53"/>
      <c r="D502" s="53"/>
      <c r="E502" s="53"/>
      <c r="F502" s="53"/>
      <c r="G502" s="1"/>
    </row>
    <row r="503" ht="14.25" customHeight="1">
      <c r="A503" s="52"/>
      <c r="B503" s="52"/>
      <c r="C503" s="53"/>
      <c r="D503" s="53"/>
      <c r="E503" s="53"/>
      <c r="F503" s="53"/>
      <c r="G503" s="1"/>
    </row>
    <row r="504" ht="14.25" customHeight="1">
      <c r="A504" s="52"/>
      <c r="B504" s="52"/>
      <c r="C504" s="53"/>
      <c r="D504" s="53"/>
      <c r="E504" s="53"/>
      <c r="F504" s="53"/>
      <c r="G504" s="1"/>
    </row>
    <row r="505" ht="14.25" customHeight="1">
      <c r="A505" s="52"/>
      <c r="B505" s="52"/>
      <c r="C505" s="53"/>
      <c r="D505" s="53"/>
      <c r="E505" s="53"/>
      <c r="F505" s="53"/>
      <c r="G505" s="1"/>
    </row>
    <row r="506" ht="14.25" customHeight="1">
      <c r="A506" s="52"/>
      <c r="B506" s="52"/>
      <c r="C506" s="53"/>
      <c r="D506" s="53"/>
      <c r="E506" s="53"/>
      <c r="F506" s="53"/>
      <c r="G506" s="1"/>
    </row>
    <row r="507" ht="14.25" customHeight="1">
      <c r="A507" s="52"/>
      <c r="B507" s="52"/>
      <c r="C507" s="53"/>
      <c r="D507" s="53"/>
      <c r="E507" s="53"/>
      <c r="F507" s="53"/>
      <c r="G507" s="1"/>
    </row>
    <row r="508" ht="14.25" customHeight="1">
      <c r="A508" s="52"/>
      <c r="B508" s="52"/>
      <c r="C508" s="53"/>
      <c r="D508" s="53"/>
      <c r="E508" s="53"/>
      <c r="F508" s="53"/>
      <c r="G508" s="1"/>
    </row>
    <row r="509" ht="14.25" customHeight="1">
      <c r="A509" s="52"/>
      <c r="B509" s="52"/>
      <c r="C509" s="53"/>
      <c r="D509" s="53"/>
      <c r="E509" s="53"/>
      <c r="F509" s="53"/>
      <c r="G509" s="1"/>
    </row>
    <row r="510" ht="14.25" customHeight="1">
      <c r="A510" s="52"/>
      <c r="B510" s="52"/>
      <c r="C510" s="53"/>
      <c r="D510" s="53"/>
      <c r="E510" s="53"/>
      <c r="F510" s="53"/>
      <c r="G510" s="1"/>
    </row>
    <row r="511" ht="14.25" customHeight="1">
      <c r="A511" s="52"/>
      <c r="B511" s="52"/>
      <c r="C511" s="53"/>
      <c r="D511" s="53"/>
      <c r="E511" s="53"/>
      <c r="F511" s="53"/>
      <c r="G511" s="1"/>
    </row>
    <row r="512" ht="14.25" customHeight="1">
      <c r="A512" s="52"/>
      <c r="B512" s="52"/>
      <c r="C512" s="53"/>
      <c r="D512" s="53"/>
      <c r="E512" s="53"/>
      <c r="F512" s="53"/>
      <c r="G512" s="1"/>
    </row>
    <row r="513" ht="14.25" customHeight="1">
      <c r="A513" s="52"/>
      <c r="B513" s="52"/>
      <c r="C513" s="53"/>
      <c r="D513" s="53"/>
      <c r="E513" s="53"/>
      <c r="F513" s="53"/>
      <c r="G513" s="1"/>
    </row>
    <row r="514" ht="14.25" customHeight="1">
      <c r="A514" s="52"/>
      <c r="B514" s="52"/>
      <c r="C514" s="53"/>
      <c r="D514" s="53"/>
      <c r="E514" s="53"/>
      <c r="F514" s="53"/>
      <c r="G514" s="1"/>
    </row>
    <row r="515" ht="14.25" customHeight="1">
      <c r="A515" s="52"/>
      <c r="B515" s="52"/>
      <c r="C515" s="53"/>
      <c r="D515" s="53"/>
      <c r="E515" s="53"/>
      <c r="F515" s="53"/>
      <c r="G515" s="1"/>
    </row>
    <row r="516" ht="14.25" customHeight="1">
      <c r="A516" s="52"/>
      <c r="B516" s="52"/>
      <c r="C516" s="53"/>
      <c r="D516" s="53"/>
      <c r="E516" s="53"/>
      <c r="F516" s="53"/>
      <c r="G516" s="1"/>
    </row>
    <row r="517" ht="14.25" customHeight="1">
      <c r="A517" s="52"/>
      <c r="B517" s="52"/>
      <c r="C517" s="53"/>
      <c r="D517" s="53"/>
      <c r="E517" s="53"/>
      <c r="F517" s="53"/>
      <c r="G517" s="1"/>
    </row>
    <row r="518" ht="14.25" customHeight="1">
      <c r="A518" s="52"/>
      <c r="B518" s="52"/>
      <c r="C518" s="53"/>
      <c r="D518" s="53"/>
      <c r="E518" s="53"/>
      <c r="F518" s="53"/>
      <c r="G518" s="1"/>
    </row>
    <row r="519" ht="14.25" customHeight="1">
      <c r="A519" s="52"/>
      <c r="B519" s="52"/>
      <c r="C519" s="53"/>
      <c r="D519" s="53"/>
      <c r="E519" s="53"/>
      <c r="F519" s="53"/>
      <c r="G519" s="1"/>
    </row>
    <row r="520" ht="14.25" customHeight="1">
      <c r="A520" s="52"/>
      <c r="B520" s="52"/>
      <c r="C520" s="53"/>
      <c r="D520" s="53"/>
      <c r="E520" s="53"/>
      <c r="F520" s="53"/>
      <c r="G520" s="1"/>
    </row>
    <row r="521" ht="14.25" customHeight="1">
      <c r="A521" s="52"/>
      <c r="B521" s="52"/>
      <c r="C521" s="53"/>
      <c r="D521" s="53"/>
      <c r="E521" s="53"/>
      <c r="F521" s="53"/>
      <c r="G521" s="1"/>
    </row>
    <row r="522" ht="14.25" customHeight="1">
      <c r="A522" s="52"/>
      <c r="B522" s="52"/>
      <c r="C522" s="53"/>
      <c r="D522" s="53"/>
      <c r="E522" s="53"/>
      <c r="F522" s="53"/>
      <c r="G522" s="1"/>
    </row>
    <row r="523" ht="14.25" customHeight="1">
      <c r="A523" s="52"/>
      <c r="B523" s="52"/>
      <c r="C523" s="53"/>
      <c r="D523" s="53"/>
      <c r="E523" s="53"/>
      <c r="F523" s="53"/>
      <c r="G523" s="1"/>
    </row>
    <row r="524" ht="14.25" customHeight="1">
      <c r="A524" s="52"/>
      <c r="B524" s="52"/>
      <c r="C524" s="53"/>
      <c r="D524" s="53"/>
      <c r="E524" s="53"/>
      <c r="F524" s="53"/>
      <c r="G524" s="1"/>
    </row>
    <row r="525" ht="14.25" customHeight="1">
      <c r="A525" s="52"/>
      <c r="B525" s="52"/>
      <c r="C525" s="53"/>
      <c r="D525" s="53"/>
      <c r="E525" s="53"/>
      <c r="F525" s="53"/>
      <c r="G525" s="1"/>
    </row>
    <row r="526" ht="14.25" customHeight="1">
      <c r="A526" s="52"/>
      <c r="B526" s="52"/>
      <c r="C526" s="53"/>
      <c r="D526" s="53"/>
      <c r="E526" s="53"/>
      <c r="F526" s="53"/>
      <c r="G526" s="1"/>
    </row>
    <row r="527" ht="14.25" customHeight="1">
      <c r="A527" s="52"/>
      <c r="B527" s="52"/>
      <c r="C527" s="53"/>
      <c r="D527" s="53"/>
      <c r="E527" s="53"/>
      <c r="F527" s="53"/>
      <c r="G527" s="1"/>
    </row>
    <row r="528" ht="14.25" customHeight="1">
      <c r="A528" s="52"/>
      <c r="B528" s="52"/>
      <c r="C528" s="53"/>
      <c r="D528" s="53"/>
      <c r="E528" s="53"/>
      <c r="F528" s="53"/>
      <c r="G528" s="1"/>
    </row>
    <row r="529" ht="14.25" customHeight="1">
      <c r="A529" s="52"/>
      <c r="B529" s="52"/>
      <c r="C529" s="53"/>
      <c r="D529" s="53"/>
      <c r="E529" s="53"/>
      <c r="F529" s="53"/>
      <c r="G529" s="1"/>
    </row>
    <row r="530" ht="14.25" customHeight="1">
      <c r="A530" s="52"/>
      <c r="B530" s="52"/>
      <c r="C530" s="53"/>
      <c r="D530" s="53"/>
      <c r="E530" s="53"/>
      <c r="F530" s="53"/>
      <c r="G530" s="1"/>
    </row>
    <row r="531" ht="14.25" customHeight="1">
      <c r="A531" s="52"/>
      <c r="B531" s="52"/>
      <c r="C531" s="53"/>
      <c r="D531" s="53"/>
      <c r="E531" s="53"/>
      <c r="F531" s="53"/>
      <c r="G531" s="1"/>
    </row>
    <row r="532" ht="14.25" customHeight="1">
      <c r="A532" s="52"/>
      <c r="B532" s="52"/>
      <c r="C532" s="53"/>
      <c r="D532" s="53"/>
      <c r="E532" s="53"/>
      <c r="F532" s="53"/>
      <c r="G532" s="1"/>
    </row>
    <row r="533" ht="14.25" customHeight="1">
      <c r="A533" s="52"/>
      <c r="B533" s="52"/>
      <c r="C533" s="53"/>
      <c r="D533" s="53"/>
      <c r="E533" s="53"/>
      <c r="F533" s="53"/>
      <c r="G533" s="1"/>
    </row>
    <row r="534" ht="14.25" customHeight="1">
      <c r="A534" s="52"/>
      <c r="B534" s="52"/>
      <c r="C534" s="53"/>
      <c r="D534" s="53"/>
      <c r="E534" s="53"/>
      <c r="F534" s="53"/>
      <c r="G534" s="1"/>
    </row>
    <row r="535" ht="14.25" customHeight="1">
      <c r="A535" s="52"/>
      <c r="B535" s="52"/>
      <c r="C535" s="53"/>
      <c r="D535" s="53"/>
      <c r="E535" s="53"/>
      <c r="F535" s="53"/>
      <c r="G535" s="1"/>
    </row>
    <row r="536" ht="14.25" customHeight="1">
      <c r="A536" s="52"/>
      <c r="B536" s="52"/>
      <c r="C536" s="53"/>
      <c r="D536" s="53"/>
      <c r="E536" s="53"/>
      <c r="F536" s="53"/>
      <c r="G536" s="1"/>
    </row>
    <row r="537" ht="14.25" customHeight="1">
      <c r="A537" s="52"/>
      <c r="B537" s="52"/>
      <c r="C537" s="53"/>
      <c r="D537" s="53"/>
      <c r="E537" s="53"/>
      <c r="F537" s="53"/>
      <c r="G537" s="1"/>
    </row>
    <row r="538" ht="14.25" customHeight="1">
      <c r="A538" s="52"/>
      <c r="B538" s="52"/>
      <c r="C538" s="53"/>
      <c r="D538" s="53"/>
      <c r="E538" s="53"/>
      <c r="F538" s="53"/>
      <c r="G538" s="1"/>
    </row>
    <row r="539" ht="14.25" customHeight="1">
      <c r="A539" s="52"/>
      <c r="B539" s="52"/>
      <c r="C539" s="53"/>
      <c r="D539" s="53"/>
      <c r="E539" s="53"/>
      <c r="F539" s="53"/>
      <c r="G539" s="1"/>
    </row>
    <row r="540" ht="14.25" customHeight="1">
      <c r="A540" s="52"/>
      <c r="B540" s="52"/>
      <c r="C540" s="53"/>
      <c r="D540" s="53"/>
      <c r="E540" s="53"/>
      <c r="F540" s="53"/>
      <c r="G540" s="1"/>
    </row>
    <row r="541" ht="14.25" customHeight="1">
      <c r="A541" s="52"/>
      <c r="B541" s="52"/>
      <c r="C541" s="53"/>
      <c r="D541" s="53"/>
      <c r="E541" s="53"/>
      <c r="F541" s="53"/>
      <c r="G541" s="1"/>
    </row>
    <row r="542" ht="14.25" customHeight="1">
      <c r="A542" s="52"/>
      <c r="B542" s="52"/>
      <c r="C542" s="53"/>
      <c r="D542" s="53"/>
      <c r="E542" s="53"/>
      <c r="F542" s="53"/>
      <c r="G542" s="1"/>
    </row>
    <row r="543" ht="14.25" customHeight="1">
      <c r="A543" s="52"/>
      <c r="B543" s="52"/>
      <c r="C543" s="53"/>
      <c r="D543" s="53"/>
      <c r="E543" s="53"/>
      <c r="F543" s="53"/>
      <c r="G543" s="1"/>
    </row>
    <row r="544" ht="14.25" customHeight="1">
      <c r="A544" s="52"/>
      <c r="B544" s="52"/>
      <c r="C544" s="53"/>
      <c r="D544" s="53"/>
      <c r="E544" s="53"/>
      <c r="F544" s="53"/>
      <c r="G544" s="1"/>
    </row>
    <row r="545" ht="14.25" customHeight="1">
      <c r="A545" s="52"/>
      <c r="B545" s="52"/>
      <c r="C545" s="53"/>
      <c r="D545" s="53"/>
      <c r="E545" s="53"/>
      <c r="F545" s="53"/>
      <c r="G545" s="1"/>
    </row>
    <row r="546" ht="14.25" customHeight="1">
      <c r="A546" s="52"/>
      <c r="B546" s="52"/>
      <c r="C546" s="53"/>
      <c r="D546" s="53"/>
      <c r="E546" s="53"/>
      <c r="F546" s="53"/>
      <c r="G546" s="1"/>
    </row>
    <row r="547" ht="14.25" customHeight="1">
      <c r="A547" s="52"/>
      <c r="B547" s="52"/>
      <c r="C547" s="53"/>
      <c r="D547" s="53"/>
      <c r="E547" s="53"/>
      <c r="F547" s="53"/>
      <c r="G547" s="1"/>
    </row>
    <row r="548" ht="14.25" customHeight="1">
      <c r="A548" s="52"/>
      <c r="B548" s="52"/>
      <c r="C548" s="53"/>
      <c r="D548" s="53"/>
      <c r="E548" s="53"/>
      <c r="F548" s="53"/>
      <c r="G548" s="1"/>
    </row>
    <row r="549" ht="14.25" customHeight="1">
      <c r="A549" s="52"/>
      <c r="B549" s="52"/>
      <c r="C549" s="53"/>
      <c r="D549" s="53"/>
      <c r="E549" s="53"/>
      <c r="F549" s="53"/>
      <c r="G549" s="1"/>
    </row>
    <row r="550" ht="14.25" customHeight="1">
      <c r="A550" s="52"/>
      <c r="B550" s="52"/>
      <c r="C550" s="53"/>
      <c r="D550" s="53"/>
      <c r="E550" s="53"/>
      <c r="F550" s="53"/>
      <c r="G550" s="1"/>
    </row>
    <row r="551" ht="14.25" customHeight="1">
      <c r="A551" s="52"/>
      <c r="B551" s="52"/>
      <c r="C551" s="53"/>
      <c r="D551" s="53"/>
      <c r="E551" s="53"/>
      <c r="F551" s="53"/>
      <c r="G551" s="1"/>
    </row>
    <row r="552" ht="14.25" customHeight="1">
      <c r="A552" s="52"/>
      <c r="B552" s="52"/>
      <c r="C552" s="53"/>
      <c r="D552" s="53"/>
      <c r="E552" s="53"/>
      <c r="F552" s="53"/>
      <c r="G552" s="1"/>
    </row>
    <row r="553" ht="14.25" customHeight="1">
      <c r="A553" s="52"/>
      <c r="B553" s="52"/>
      <c r="C553" s="53"/>
      <c r="D553" s="53"/>
      <c r="E553" s="53"/>
      <c r="F553" s="53"/>
      <c r="G553" s="1"/>
    </row>
    <row r="554" ht="14.25" customHeight="1">
      <c r="A554" s="52"/>
      <c r="B554" s="52"/>
      <c r="C554" s="53"/>
      <c r="D554" s="53"/>
      <c r="E554" s="53"/>
      <c r="F554" s="53"/>
      <c r="G554" s="1"/>
    </row>
    <row r="555" ht="14.25" customHeight="1">
      <c r="A555" s="52"/>
      <c r="B555" s="52"/>
      <c r="C555" s="53"/>
      <c r="D555" s="53"/>
      <c r="E555" s="53"/>
      <c r="F555" s="53"/>
      <c r="G555" s="1"/>
    </row>
    <row r="556" ht="14.25" customHeight="1">
      <c r="A556" s="52"/>
      <c r="B556" s="52"/>
      <c r="C556" s="53"/>
      <c r="D556" s="53"/>
      <c r="E556" s="53"/>
      <c r="F556" s="53"/>
      <c r="G556" s="1"/>
    </row>
    <row r="557" ht="14.25" customHeight="1">
      <c r="A557" s="52"/>
      <c r="B557" s="52"/>
      <c r="C557" s="53"/>
      <c r="D557" s="53"/>
      <c r="E557" s="53"/>
      <c r="F557" s="53"/>
      <c r="G557" s="1"/>
    </row>
    <row r="558" ht="14.25" customHeight="1">
      <c r="A558" s="52"/>
      <c r="B558" s="52"/>
      <c r="C558" s="53"/>
      <c r="D558" s="53"/>
      <c r="E558" s="53"/>
      <c r="F558" s="53"/>
      <c r="G558" s="1"/>
    </row>
    <row r="559" ht="14.25" customHeight="1">
      <c r="A559" s="52"/>
      <c r="B559" s="52"/>
      <c r="C559" s="53"/>
      <c r="D559" s="53"/>
      <c r="E559" s="53"/>
      <c r="F559" s="53"/>
      <c r="G559" s="1"/>
    </row>
    <row r="560" ht="14.25" customHeight="1">
      <c r="A560" s="52"/>
      <c r="B560" s="52"/>
      <c r="C560" s="53"/>
      <c r="D560" s="53"/>
      <c r="E560" s="53"/>
      <c r="F560" s="53"/>
      <c r="G560" s="1"/>
    </row>
    <row r="561" ht="14.25" customHeight="1">
      <c r="A561" s="52"/>
      <c r="B561" s="52"/>
      <c r="C561" s="53"/>
      <c r="D561" s="53"/>
      <c r="E561" s="53"/>
      <c r="F561" s="53"/>
      <c r="G561" s="1"/>
    </row>
    <row r="562" ht="14.25" customHeight="1">
      <c r="A562" s="52"/>
      <c r="B562" s="52"/>
      <c r="C562" s="53"/>
      <c r="D562" s="53"/>
      <c r="E562" s="53"/>
      <c r="F562" s="53"/>
      <c r="G562" s="1"/>
    </row>
    <row r="563" ht="14.25" customHeight="1">
      <c r="A563" s="52"/>
      <c r="B563" s="52"/>
      <c r="C563" s="53"/>
      <c r="D563" s="53"/>
      <c r="E563" s="53"/>
      <c r="F563" s="53"/>
      <c r="G563" s="1"/>
    </row>
    <row r="564" ht="14.25" customHeight="1">
      <c r="A564" s="52"/>
      <c r="B564" s="52"/>
      <c r="C564" s="53"/>
      <c r="D564" s="53"/>
      <c r="E564" s="53"/>
      <c r="F564" s="53"/>
      <c r="G564" s="1"/>
    </row>
    <row r="565" ht="14.25" customHeight="1">
      <c r="A565" s="52"/>
      <c r="B565" s="52"/>
      <c r="C565" s="53"/>
      <c r="D565" s="53"/>
      <c r="E565" s="53"/>
      <c r="F565" s="53"/>
      <c r="G565" s="1"/>
    </row>
    <row r="566" ht="14.25" customHeight="1">
      <c r="A566" s="52"/>
      <c r="B566" s="52"/>
      <c r="C566" s="53"/>
      <c r="D566" s="53"/>
      <c r="E566" s="53"/>
      <c r="F566" s="53"/>
      <c r="G566" s="1"/>
    </row>
    <row r="567" ht="14.25" customHeight="1">
      <c r="A567" s="52"/>
      <c r="B567" s="52"/>
      <c r="C567" s="53"/>
      <c r="D567" s="53"/>
      <c r="E567" s="53"/>
      <c r="F567" s="53"/>
      <c r="G567" s="1"/>
    </row>
    <row r="568" ht="14.25" customHeight="1">
      <c r="A568" s="52"/>
      <c r="B568" s="52"/>
      <c r="C568" s="53"/>
      <c r="D568" s="53"/>
      <c r="E568" s="53"/>
      <c r="F568" s="53"/>
      <c r="G568" s="1"/>
    </row>
    <row r="569" ht="14.25" customHeight="1">
      <c r="A569" s="52"/>
      <c r="B569" s="52"/>
      <c r="C569" s="53"/>
      <c r="D569" s="53"/>
      <c r="E569" s="53"/>
      <c r="F569" s="53"/>
      <c r="G569" s="1"/>
    </row>
    <row r="570" ht="14.25" customHeight="1">
      <c r="A570" s="52"/>
      <c r="B570" s="52"/>
      <c r="C570" s="53"/>
      <c r="D570" s="53"/>
      <c r="E570" s="53"/>
      <c r="F570" s="53"/>
      <c r="G570" s="1"/>
    </row>
    <row r="571" ht="14.25" customHeight="1">
      <c r="A571" s="52"/>
      <c r="B571" s="52"/>
      <c r="C571" s="53"/>
      <c r="D571" s="53"/>
      <c r="E571" s="53"/>
      <c r="F571" s="53"/>
      <c r="G571" s="1"/>
    </row>
    <row r="572" ht="14.25" customHeight="1">
      <c r="A572" s="52"/>
      <c r="B572" s="52"/>
      <c r="C572" s="53"/>
      <c r="D572" s="53"/>
      <c r="E572" s="53"/>
      <c r="F572" s="53"/>
      <c r="G572" s="1"/>
    </row>
    <row r="573" ht="14.25" customHeight="1">
      <c r="A573" s="52"/>
      <c r="B573" s="52"/>
      <c r="C573" s="53"/>
      <c r="D573" s="53"/>
      <c r="E573" s="53"/>
      <c r="F573" s="53"/>
      <c r="G573" s="1"/>
    </row>
    <row r="574" ht="14.25" customHeight="1">
      <c r="A574" s="52"/>
      <c r="B574" s="52"/>
      <c r="C574" s="53"/>
      <c r="D574" s="53"/>
      <c r="E574" s="53"/>
      <c r="F574" s="53"/>
      <c r="G574" s="1"/>
    </row>
    <row r="575" ht="14.25" customHeight="1">
      <c r="A575" s="52"/>
      <c r="B575" s="52"/>
      <c r="C575" s="53"/>
      <c r="D575" s="53"/>
      <c r="E575" s="53"/>
      <c r="F575" s="53"/>
      <c r="G575" s="1"/>
    </row>
    <row r="576" ht="14.25" customHeight="1">
      <c r="A576" s="52"/>
      <c r="B576" s="52"/>
      <c r="C576" s="53"/>
      <c r="D576" s="53"/>
      <c r="E576" s="53"/>
      <c r="F576" s="53"/>
      <c r="G576" s="1"/>
    </row>
    <row r="577" ht="14.25" customHeight="1">
      <c r="A577" s="52"/>
      <c r="B577" s="52"/>
      <c r="C577" s="53"/>
      <c r="D577" s="53"/>
      <c r="E577" s="53"/>
      <c r="F577" s="53"/>
      <c r="G577" s="1"/>
    </row>
    <row r="578" ht="14.25" customHeight="1">
      <c r="A578" s="52"/>
      <c r="B578" s="52"/>
      <c r="C578" s="53"/>
      <c r="D578" s="53"/>
      <c r="E578" s="53"/>
      <c r="F578" s="53"/>
      <c r="G578" s="1"/>
    </row>
    <row r="579" ht="14.25" customHeight="1">
      <c r="A579" s="52"/>
      <c r="B579" s="52"/>
      <c r="C579" s="53"/>
      <c r="D579" s="53"/>
      <c r="E579" s="53"/>
      <c r="F579" s="53"/>
      <c r="G579" s="1"/>
    </row>
    <row r="580" ht="14.25" customHeight="1">
      <c r="A580" s="52"/>
      <c r="B580" s="52"/>
      <c r="C580" s="53"/>
      <c r="D580" s="53"/>
      <c r="E580" s="53"/>
      <c r="F580" s="53"/>
      <c r="G580" s="1"/>
    </row>
    <row r="581" ht="14.25" customHeight="1">
      <c r="A581" s="52"/>
      <c r="B581" s="52"/>
      <c r="C581" s="53"/>
      <c r="D581" s="53"/>
      <c r="E581" s="53"/>
      <c r="F581" s="53"/>
      <c r="G581" s="1"/>
    </row>
    <row r="582" ht="14.25" customHeight="1">
      <c r="A582" s="52"/>
      <c r="B582" s="52"/>
      <c r="C582" s="53"/>
      <c r="D582" s="53"/>
      <c r="E582" s="53"/>
      <c r="F582" s="53"/>
      <c r="G582" s="1"/>
    </row>
    <row r="583" ht="14.25" customHeight="1">
      <c r="A583" s="52"/>
      <c r="B583" s="52"/>
      <c r="C583" s="53"/>
      <c r="D583" s="53"/>
      <c r="E583" s="53"/>
      <c r="F583" s="53"/>
      <c r="G583" s="1"/>
    </row>
    <row r="584" ht="14.25" customHeight="1">
      <c r="A584" s="52"/>
      <c r="B584" s="52"/>
      <c r="C584" s="53"/>
      <c r="D584" s="53"/>
      <c r="E584" s="53"/>
      <c r="F584" s="53"/>
      <c r="G584" s="1"/>
    </row>
    <row r="585" ht="14.25" customHeight="1">
      <c r="A585" s="52"/>
      <c r="B585" s="52"/>
      <c r="C585" s="53"/>
      <c r="D585" s="53"/>
      <c r="E585" s="53"/>
      <c r="F585" s="53"/>
      <c r="G585" s="1"/>
    </row>
    <row r="586" ht="14.25" customHeight="1">
      <c r="A586" s="52"/>
      <c r="B586" s="52"/>
      <c r="C586" s="53"/>
      <c r="D586" s="53"/>
      <c r="E586" s="53"/>
      <c r="F586" s="53"/>
      <c r="G586" s="1"/>
    </row>
    <row r="587" ht="14.25" customHeight="1">
      <c r="A587" s="52"/>
      <c r="B587" s="52"/>
      <c r="C587" s="53"/>
      <c r="D587" s="53"/>
      <c r="E587" s="53"/>
      <c r="F587" s="53"/>
      <c r="G587" s="1"/>
    </row>
    <row r="588" ht="14.25" customHeight="1">
      <c r="A588" s="52"/>
      <c r="B588" s="52"/>
      <c r="C588" s="53"/>
      <c r="D588" s="53"/>
      <c r="E588" s="53"/>
      <c r="F588" s="53"/>
      <c r="G588" s="1"/>
    </row>
    <row r="589" ht="14.25" customHeight="1">
      <c r="A589" s="52"/>
      <c r="B589" s="52"/>
      <c r="C589" s="53"/>
      <c r="D589" s="53"/>
      <c r="E589" s="53"/>
      <c r="F589" s="53"/>
      <c r="G589" s="1"/>
    </row>
    <row r="590" ht="14.25" customHeight="1">
      <c r="A590" s="52"/>
      <c r="B590" s="52"/>
      <c r="C590" s="53"/>
      <c r="D590" s="53"/>
      <c r="E590" s="53"/>
      <c r="F590" s="53"/>
      <c r="G590" s="1"/>
    </row>
    <row r="591" ht="14.25" customHeight="1">
      <c r="A591" s="52"/>
      <c r="B591" s="52"/>
      <c r="C591" s="53"/>
      <c r="D591" s="53"/>
      <c r="E591" s="53"/>
      <c r="F591" s="53"/>
      <c r="G591" s="1"/>
    </row>
    <row r="592" ht="14.25" customHeight="1">
      <c r="A592" s="52"/>
      <c r="B592" s="52"/>
      <c r="C592" s="53"/>
      <c r="D592" s="53"/>
      <c r="E592" s="53"/>
      <c r="F592" s="53"/>
      <c r="G592" s="1"/>
    </row>
    <row r="593" ht="14.25" customHeight="1">
      <c r="A593" s="52"/>
      <c r="B593" s="52"/>
      <c r="C593" s="53"/>
      <c r="D593" s="53"/>
      <c r="E593" s="53"/>
      <c r="F593" s="53"/>
      <c r="G593" s="1"/>
    </row>
    <row r="594" ht="14.25" customHeight="1">
      <c r="A594" s="52"/>
      <c r="B594" s="52"/>
      <c r="C594" s="53"/>
      <c r="D594" s="53"/>
      <c r="E594" s="53"/>
      <c r="F594" s="53"/>
      <c r="G594" s="1"/>
    </row>
    <row r="595" ht="14.25" customHeight="1">
      <c r="A595" s="52"/>
      <c r="B595" s="52"/>
      <c r="C595" s="53"/>
      <c r="D595" s="53"/>
      <c r="E595" s="53"/>
      <c r="F595" s="53"/>
      <c r="G595" s="1"/>
    </row>
    <row r="596" ht="14.25" customHeight="1">
      <c r="A596" s="52"/>
      <c r="B596" s="52"/>
      <c r="C596" s="53"/>
      <c r="D596" s="53"/>
      <c r="E596" s="53"/>
      <c r="F596" s="53"/>
      <c r="G596" s="1"/>
    </row>
    <row r="597" ht="14.25" customHeight="1">
      <c r="A597" s="52"/>
      <c r="B597" s="52"/>
      <c r="C597" s="53"/>
      <c r="D597" s="53"/>
      <c r="E597" s="53"/>
      <c r="F597" s="53"/>
      <c r="G597" s="1"/>
    </row>
    <row r="598" ht="14.25" customHeight="1">
      <c r="A598" s="52"/>
      <c r="B598" s="52"/>
      <c r="C598" s="53"/>
      <c r="D598" s="53"/>
      <c r="E598" s="53"/>
      <c r="F598" s="53"/>
      <c r="G598" s="1"/>
    </row>
    <row r="599" ht="14.25" customHeight="1">
      <c r="A599" s="52"/>
      <c r="B599" s="52"/>
      <c r="C599" s="53"/>
      <c r="D599" s="53"/>
      <c r="E599" s="53"/>
      <c r="F599" s="53"/>
      <c r="G599" s="1"/>
    </row>
    <row r="600" ht="14.25" customHeight="1">
      <c r="A600" s="52"/>
      <c r="B600" s="52"/>
      <c r="C600" s="53"/>
      <c r="D600" s="53"/>
      <c r="E600" s="53"/>
      <c r="F600" s="53"/>
      <c r="G600" s="1"/>
    </row>
    <row r="601" ht="14.25" customHeight="1">
      <c r="A601" s="52"/>
      <c r="B601" s="52"/>
      <c r="C601" s="53"/>
      <c r="D601" s="53"/>
      <c r="E601" s="53"/>
      <c r="F601" s="53"/>
      <c r="G601" s="1"/>
    </row>
    <row r="602" ht="14.25" customHeight="1">
      <c r="A602" s="52"/>
      <c r="B602" s="52"/>
      <c r="C602" s="53"/>
      <c r="D602" s="53"/>
      <c r="E602" s="53"/>
      <c r="F602" s="53"/>
      <c r="G602" s="1"/>
    </row>
    <row r="603" ht="14.25" customHeight="1">
      <c r="A603" s="52"/>
      <c r="B603" s="52"/>
      <c r="C603" s="53"/>
      <c r="D603" s="53"/>
      <c r="E603" s="53"/>
      <c r="F603" s="53"/>
      <c r="G603" s="1"/>
    </row>
    <row r="604" ht="14.25" customHeight="1">
      <c r="A604" s="52"/>
      <c r="B604" s="52"/>
      <c r="C604" s="53"/>
      <c r="D604" s="53"/>
      <c r="E604" s="53"/>
      <c r="F604" s="53"/>
      <c r="G604" s="1"/>
    </row>
    <row r="605" ht="14.25" customHeight="1">
      <c r="A605" s="52"/>
      <c r="B605" s="52"/>
      <c r="C605" s="53"/>
      <c r="D605" s="53"/>
      <c r="E605" s="53"/>
      <c r="F605" s="53"/>
      <c r="G605" s="1"/>
    </row>
    <row r="606" ht="14.25" customHeight="1">
      <c r="A606" s="52"/>
      <c r="B606" s="52"/>
      <c r="C606" s="53"/>
      <c r="D606" s="53"/>
      <c r="E606" s="53"/>
      <c r="F606" s="53"/>
      <c r="G606" s="1"/>
    </row>
    <row r="607" ht="14.25" customHeight="1">
      <c r="A607" s="52"/>
      <c r="B607" s="52"/>
      <c r="C607" s="53"/>
      <c r="D607" s="53"/>
      <c r="E607" s="53"/>
      <c r="F607" s="53"/>
      <c r="G607" s="1"/>
    </row>
    <row r="608" ht="14.25" customHeight="1">
      <c r="A608" s="52"/>
      <c r="B608" s="52"/>
      <c r="C608" s="53"/>
      <c r="D608" s="53"/>
      <c r="E608" s="53"/>
      <c r="F608" s="53"/>
      <c r="G608" s="1"/>
    </row>
    <row r="609" ht="14.25" customHeight="1">
      <c r="A609" s="52"/>
      <c r="B609" s="52"/>
      <c r="C609" s="53"/>
      <c r="D609" s="53"/>
      <c r="E609" s="53"/>
      <c r="F609" s="53"/>
      <c r="G609" s="1"/>
    </row>
    <row r="610" ht="14.25" customHeight="1">
      <c r="A610" s="52"/>
      <c r="B610" s="52"/>
      <c r="C610" s="53"/>
      <c r="D610" s="53"/>
      <c r="E610" s="53"/>
      <c r="F610" s="53"/>
      <c r="G610" s="1"/>
    </row>
    <row r="611" ht="14.25" customHeight="1">
      <c r="A611" s="52"/>
      <c r="B611" s="52"/>
      <c r="C611" s="53"/>
      <c r="D611" s="53"/>
      <c r="E611" s="53"/>
      <c r="F611" s="53"/>
      <c r="G611" s="1"/>
    </row>
    <row r="612" ht="14.25" customHeight="1">
      <c r="A612" s="52"/>
      <c r="B612" s="52"/>
      <c r="C612" s="53"/>
      <c r="D612" s="53"/>
      <c r="E612" s="53"/>
      <c r="F612" s="53"/>
      <c r="G612" s="1"/>
    </row>
    <row r="613" ht="14.25" customHeight="1">
      <c r="A613" s="52"/>
      <c r="B613" s="52"/>
      <c r="C613" s="53"/>
      <c r="D613" s="53"/>
      <c r="E613" s="53"/>
      <c r="F613" s="53"/>
      <c r="G613" s="1"/>
    </row>
    <row r="614" ht="14.25" customHeight="1">
      <c r="A614" s="52"/>
      <c r="B614" s="52"/>
      <c r="C614" s="53"/>
      <c r="D614" s="53"/>
      <c r="E614" s="53"/>
      <c r="F614" s="53"/>
      <c r="G614" s="1"/>
    </row>
    <row r="615" ht="14.25" customHeight="1">
      <c r="A615" s="52"/>
      <c r="B615" s="52"/>
      <c r="C615" s="53"/>
      <c r="D615" s="53"/>
      <c r="E615" s="53"/>
      <c r="F615" s="53"/>
      <c r="G615" s="1"/>
    </row>
    <row r="616" ht="14.25" customHeight="1">
      <c r="A616" s="52"/>
      <c r="B616" s="52"/>
      <c r="C616" s="53"/>
      <c r="D616" s="53"/>
      <c r="E616" s="53"/>
      <c r="F616" s="53"/>
      <c r="G616" s="1"/>
    </row>
    <row r="617" ht="14.25" customHeight="1">
      <c r="A617" s="52"/>
      <c r="B617" s="52"/>
      <c r="C617" s="53"/>
      <c r="D617" s="53"/>
      <c r="E617" s="53"/>
      <c r="F617" s="53"/>
      <c r="G617" s="1"/>
    </row>
    <row r="618" ht="14.25" customHeight="1">
      <c r="A618" s="52"/>
      <c r="B618" s="52"/>
      <c r="C618" s="53"/>
      <c r="D618" s="53"/>
      <c r="E618" s="53"/>
      <c r="F618" s="53"/>
      <c r="G618" s="1"/>
    </row>
    <row r="619" ht="14.25" customHeight="1">
      <c r="A619" s="52"/>
      <c r="B619" s="52"/>
      <c r="C619" s="53"/>
      <c r="D619" s="53"/>
      <c r="E619" s="53"/>
      <c r="F619" s="53"/>
      <c r="G619" s="1"/>
    </row>
    <row r="620" ht="14.25" customHeight="1">
      <c r="A620" s="52"/>
      <c r="B620" s="52"/>
      <c r="C620" s="53"/>
      <c r="D620" s="53"/>
      <c r="E620" s="53"/>
      <c r="F620" s="53"/>
      <c r="G620" s="1"/>
    </row>
    <row r="621" ht="14.25" customHeight="1">
      <c r="A621" s="52"/>
      <c r="B621" s="52"/>
      <c r="C621" s="53"/>
      <c r="D621" s="53"/>
      <c r="E621" s="53"/>
      <c r="F621" s="53"/>
      <c r="G621" s="1"/>
    </row>
    <row r="622" ht="14.25" customHeight="1">
      <c r="A622" s="52"/>
      <c r="B622" s="52"/>
      <c r="C622" s="53"/>
      <c r="D622" s="53"/>
      <c r="E622" s="53"/>
      <c r="F622" s="53"/>
      <c r="G622" s="1"/>
    </row>
    <row r="623" ht="14.25" customHeight="1">
      <c r="A623" s="52"/>
      <c r="B623" s="52"/>
      <c r="C623" s="53"/>
      <c r="D623" s="53"/>
      <c r="E623" s="53"/>
      <c r="F623" s="53"/>
      <c r="G623" s="1"/>
    </row>
    <row r="624" ht="14.25" customHeight="1">
      <c r="A624" s="52"/>
      <c r="B624" s="52"/>
      <c r="C624" s="53"/>
      <c r="D624" s="53"/>
      <c r="E624" s="53"/>
      <c r="F624" s="53"/>
      <c r="G624" s="1"/>
    </row>
    <row r="625" ht="14.25" customHeight="1">
      <c r="A625" s="52"/>
      <c r="B625" s="52"/>
      <c r="C625" s="53"/>
      <c r="D625" s="53"/>
      <c r="E625" s="53"/>
      <c r="F625" s="53"/>
      <c r="G625" s="1"/>
    </row>
    <row r="626" ht="14.25" customHeight="1">
      <c r="A626" s="52"/>
      <c r="B626" s="52"/>
      <c r="C626" s="53"/>
      <c r="D626" s="53"/>
      <c r="E626" s="53"/>
      <c r="F626" s="53"/>
      <c r="G626" s="1"/>
    </row>
    <row r="627" ht="14.25" customHeight="1">
      <c r="A627" s="52"/>
      <c r="B627" s="52"/>
      <c r="C627" s="53"/>
      <c r="D627" s="53"/>
      <c r="E627" s="53"/>
      <c r="F627" s="53"/>
      <c r="G627" s="1"/>
    </row>
    <row r="628" ht="14.25" customHeight="1">
      <c r="A628" s="52"/>
      <c r="B628" s="52"/>
      <c r="C628" s="53"/>
      <c r="D628" s="53"/>
      <c r="E628" s="53"/>
      <c r="F628" s="53"/>
      <c r="G628" s="1"/>
    </row>
    <row r="629" ht="14.25" customHeight="1">
      <c r="A629" s="52"/>
      <c r="B629" s="52"/>
      <c r="C629" s="53"/>
      <c r="D629" s="53"/>
      <c r="E629" s="53"/>
      <c r="F629" s="53"/>
      <c r="G629" s="1"/>
    </row>
    <row r="630" ht="14.25" customHeight="1">
      <c r="A630" s="52"/>
      <c r="B630" s="52"/>
      <c r="C630" s="53"/>
      <c r="D630" s="53"/>
      <c r="E630" s="53"/>
      <c r="F630" s="53"/>
      <c r="G630" s="1"/>
    </row>
    <row r="631" ht="14.25" customHeight="1">
      <c r="A631" s="52"/>
      <c r="B631" s="52"/>
      <c r="C631" s="53"/>
      <c r="D631" s="53"/>
      <c r="E631" s="53"/>
      <c r="F631" s="53"/>
      <c r="G631" s="1"/>
    </row>
    <row r="632" ht="14.25" customHeight="1">
      <c r="A632" s="52"/>
      <c r="B632" s="52"/>
      <c r="C632" s="53"/>
      <c r="D632" s="53"/>
      <c r="E632" s="53"/>
      <c r="F632" s="53"/>
      <c r="G632" s="1"/>
    </row>
    <row r="633" ht="14.25" customHeight="1">
      <c r="A633" s="52"/>
      <c r="B633" s="52"/>
      <c r="C633" s="53"/>
      <c r="D633" s="53"/>
      <c r="E633" s="53"/>
      <c r="F633" s="53"/>
      <c r="G633" s="1"/>
    </row>
    <row r="634" ht="14.25" customHeight="1">
      <c r="A634" s="52"/>
      <c r="B634" s="52"/>
      <c r="C634" s="53"/>
      <c r="D634" s="53"/>
      <c r="E634" s="53"/>
      <c r="F634" s="53"/>
      <c r="G634" s="1"/>
    </row>
    <row r="635" ht="14.25" customHeight="1">
      <c r="A635" s="52"/>
      <c r="B635" s="52"/>
      <c r="C635" s="53"/>
      <c r="D635" s="53"/>
      <c r="E635" s="53"/>
      <c r="F635" s="53"/>
      <c r="G635" s="1"/>
    </row>
    <row r="636" ht="14.25" customHeight="1">
      <c r="A636" s="52"/>
      <c r="B636" s="52"/>
      <c r="C636" s="53"/>
      <c r="D636" s="53"/>
      <c r="E636" s="53"/>
      <c r="F636" s="53"/>
      <c r="G636" s="1"/>
    </row>
    <row r="637" ht="14.25" customHeight="1">
      <c r="A637" s="52"/>
      <c r="B637" s="52"/>
      <c r="C637" s="53"/>
      <c r="D637" s="53"/>
      <c r="E637" s="53"/>
      <c r="F637" s="53"/>
      <c r="G637" s="1"/>
    </row>
    <row r="638" ht="14.25" customHeight="1">
      <c r="A638" s="52"/>
      <c r="B638" s="52"/>
      <c r="C638" s="53"/>
      <c r="D638" s="53"/>
      <c r="E638" s="53"/>
      <c r="F638" s="53"/>
      <c r="G638" s="1"/>
    </row>
    <row r="639" ht="14.25" customHeight="1">
      <c r="A639" s="52"/>
      <c r="B639" s="52"/>
      <c r="C639" s="53"/>
      <c r="D639" s="53"/>
      <c r="E639" s="53"/>
      <c r="F639" s="53"/>
      <c r="G639" s="1"/>
    </row>
    <row r="640" ht="14.25" customHeight="1">
      <c r="A640" s="52"/>
      <c r="B640" s="52"/>
      <c r="C640" s="53"/>
      <c r="D640" s="53"/>
      <c r="E640" s="53"/>
      <c r="F640" s="53"/>
      <c r="G640" s="1"/>
    </row>
    <row r="641" ht="14.25" customHeight="1">
      <c r="A641" s="52"/>
      <c r="B641" s="52"/>
      <c r="C641" s="53"/>
      <c r="D641" s="53"/>
      <c r="E641" s="53"/>
      <c r="F641" s="53"/>
      <c r="G641" s="1"/>
    </row>
    <row r="642" ht="14.25" customHeight="1">
      <c r="A642" s="52"/>
      <c r="B642" s="52"/>
      <c r="C642" s="53"/>
      <c r="D642" s="53"/>
      <c r="E642" s="53"/>
      <c r="F642" s="53"/>
      <c r="G642" s="1"/>
    </row>
    <row r="643" ht="14.25" customHeight="1">
      <c r="A643" s="52"/>
      <c r="B643" s="52"/>
      <c r="C643" s="53"/>
      <c r="D643" s="53"/>
      <c r="E643" s="53"/>
      <c r="F643" s="53"/>
      <c r="G643" s="1"/>
    </row>
    <row r="644" ht="14.25" customHeight="1">
      <c r="A644" s="52"/>
      <c r="B644" s="52"/>
      <c r="C644" s="53"/>
      <c r="D644" s="53"/>
      <c r="E644" s="53"/>
      <c r="F644" s="53"/>
      <c r="G644" s="1"/>
    </row>
    <row r="645" ht="14.25" customHeight="1">
      <c r="A645" s="52"/>
      <c r="B645" s="52"/>
      <c r="C645" s="53"/>
      <c r="D645" s="53"/>
      <c r="E645" s="53"/>
      <c r="F645" s="53"/>
      <c r="G645" s="1"/>
    </row>
    <row r="646" ht="14.25" customHeight="1">
      <c r="A646" s="52"/>
      <c r="B646" s="52"/>
      <c r="C646" s="53"/>
      <c r="D646" s="53"/>
      <c r="E646" s="53"/>
      <c r="F646" s="53"/>
      <c r="G646" s="1"/>
    </row>
    <row r="647" ht="14.25" customHeight="1">
      <c r="A647" s="52"/>
      <c r="B647" s="52"/>
      <c r="C647" s="53"/>
      <c r="D647" s="53"/>
      <c r="E647" s="53"/>
      <c r="F647" s="53"/>
      <c r="G647" s="1"/>
    </row>
    <row r="648" ht="14.25" customHeight="1">
      <c r="A648" s="52"/>
      <c r="B648" s="52"/>
      <c r="C648" s="53"/>
      <c r="D648" s="53"/>
      <c r="E648" s="53"/>
      <c r="F648" s="53"/>
      <c r="G648" s="1"/>
    </row>
    <row r="649" ht="14.25" customHeight="1">
      <c r="A649" s="52"/>
      <c r="B649" s="52"/>
      <c r="C649" s="53"/>
      <c r="D649" s="53"/>
      <c r="E649" s="53"/>
      <c r="F649" s="53"/>
      <c r="G649" s="1"/>
    </row>
    <row r="650" ht="14.25" customHeight="1">
      <c r="A650" s="52"/>
      <c r="B650" s="52"/>
      <c r="C650" s="53"/>
      <c r="D650" s="53"/>
      <c r="E650" s="53"/>
      <c r="F650" s="53"/>
      <c r="G650" s="1"/>
    </row>
    <row r="651" ht="14.25" customHeight="1">
      <c r="A651" s="52"/>
      <c r="B651" s="52"/>
      <c r="C651" s="53"/>
      <c r="D651" s="53"/>
      <c r="E651" s="53"/>
      <c r="F651" s="53"/>
      <c r="G651" s="1"/>
    </row>
    <row r="652" ht="14.25" customHeight="1">
      <c r="A652" s="52"/>
      <c r="B652" s="52"/>
      <c r="C652" s="53"/>
      <c r="D652" s="53"/>
      <c r="E652" s="53"/>
      <c r="F652" s="53"/>
      <c r="G652" s="1"/>
    </row>
    <row r="653" ht="14.25" customHeight="1">
      <c r="A653" s="52"/>
      <c r="B653" s="52"/>
      <c r="C653" s="53"/>
      <c r="D653" s="53"/>
      <c r="E653" s="53"/>
      <c r="F653" s="53"/>
      <c r="G653" s="1"/>
    </row>
    <row r="654" ht="14.25" customHeight="1">
      <c r="A654" s="52"/>
      <c r="B654" s="52"/>
      <c r="C654" s="53"/>
      <c r="D654" s="53"/>
      <c r="E654" s="53"/>
      <c r="F654" s="53"/>
      <c r="G654" s="1"/>
    </row>
    <row r="655" ht="14.25" customHeight="1">
      <c r="A655" s="52"/>
      <c r="B655" s="52"/>
      <c r="C655" s="53"/>
      <c r="D655" s="53"/>
      <c r="E655" s="53"/>
      <c r="F655" s="53"/>
      <c r="G655" s="1"/>
    </row>
    <row r="656" ht="14.25" customHeight="1">
      <c r="A656" s="52"/>
      <c r="B656" s="52"/>
      <c r="C656" s="53"/>
      <c r="D656" s="53"/>
      <c r="E656" s="53"/>
      <c r="F656" s="53"/>
      <c r="G656" s="1"/>
    </row>
    <row r="657" ht="14.25" customHeight="1">
      <c r="A657" s="52"/>
      <c r="B657" s="52"/>
      <c r="C657" s="53"/>
      <c r="D657" s="53"/>
      <c r="E657" s="53"/>
      <c r="F657" s="53"/>
      <c r="G657" s="1"/>
    </row>
    <row r="658" ht="14.25" customHeight="1">
      <c r="A658" s="52"/>
      <c r="B658" s="52"/>
      <c r="C658" s="53"/>
      <c r="D658" s="53"/>
      <c r="E658" s="53"/>
      <c r="F658" s="53"/>
      <c r="G658" s="1"/>
    </row>
    <row r="659" ht="14.25" customHeight="1">
      <c r="A659" s="52"/>
      <c r="B659" s="52"/>
      <c r="C659" s="53"/>
      <c r="D659" s="53"/>
      <c r="E659" s="53"/>
      <c r="F659" s="53"/>
      <c r="G659" s="1"/>
    </row>
    <row r="660" ht="14.25" customHeight="1">
      <c r="A660" s="52"/>
      <c r="B660" s="52"/>
      <c r="C660" s="53"/>
      <c r="D660" s="53"/>
      <c r="E660" s="53"/>
      <c r="F660" s="53"/>
      <c r="G660" s="1"/>
    </row>
    <row r="661" ht="14.25" customHeight="1">
      <c r="A661" s="52"/>
      <c r="B661" s="52"/>
      <c r="C661" s="53"/>
      <c r="D661" s="53"/>
      <c r="E661" s="53"/>
      <c r="F661" s="53"/>
      <c r="G661" s="1"/>
    </row>
    <row r="662" ht="14.25" customHeight="1">
      <c r="A662" s="52"/>
      <c r="B662" s="52"/>
      <c r="C662" s="53"/>
      <c r="D662" s="53"/>
      <c r="E662" s="53"/>
      <c r="F662" s="53"/>
      <c r="G662" s="1"/>
    </row>
    <row r="663" ht="14.25" customHeight="1">
      <c r="A663" s="52"/>
      <c r="B663" s="52"/>
      <c r="C663" s="53"/>
      <c r="D663" s="53"/>
      <c r="E663" s="53"/>
      <c r="F663" s="53"/>
      <c r="G663" s="1"/>
    </row>
    <row r="664" ht="14.25" customHeight="1">
      <c r="A664" s="52"/>
      <c r="B664" s="52"/>
      <c r="C664" s="53"/>
      <c r="D664" s="53"/>
      <c r="E664" s="53"/>
      <c r="F664" s="53"/>
      <c r="G664" s="1"/>
    </row>
    <row r="665" ht="14.25" customHeight="1">
      <c r="A665" s="52"/>
      <c r="B665" s="52"/>
      <c r="C665" s="53"/>
      <c r="D665" s="53"/>
      <c r="E665" s="53"/>
      <c r="F665" s="53"/>
      <c r="G665" s="1"/>
    </row>
    <row r="666" ht="14.25" customHeight="1">
      <c r="A666" s="52"/>
      <c r="B666" s="52"/>
      <c r="C666" s="53"/>
      <c r="D666" s="53"/>
      <c r="E666" s="53"/>
      <c r="F666" s="53"/>
      <c r="G666" s="1"/>
    </row>
    <row r="667" ht="14.25" customHeight="1">
      <c r="A667" s="52"/>
      <c r="B667" s="52"/>
      <c r="C667" s="53"/>
      <c r="D667" s="53"/>
      <c r="E667" s="53"/>
      <c r="F667" s="53"/>
      <c r="G667" s="1"/>
    </row>
    <row r="668" ht="14.25" customHeight="1">
      <c r="A668" s="52"/>
      <c r="B668" s="52"/>
      <c r="C668" s="53"/>
      <c r="D668" s="53"/>
      <c r="E668" s="53"/>
      <c r="F668" s="53"/>
      <c r="G668" s="1"/>
    </row>
    <row r="669" ht="14.25" customHeight="1">
      <c r="A669" s="52"/>
      <c r="B669" s="52"/>
      <c r="C669" s="53"/>
      <c r="D669" s="53"/>
      <c r="E669" s="53"/>
      <c r="F669" s="53"/>
      <c r="G669" s="1"/>
    </row>
    <row r="670" ht="14.25" customHeight="1">
      <c r="A670" s="52"/>
      <c r="B670" s="52"/>
      <c r="C670" s="53"/>
      <c r="D670" s="53"/>
      <c r="E670" s="53"/>
      <c r="F670" s="53"/>
      <c r="G670" s="1"/>
    </row>
    <row r="671" ht="14.25" customHeight="1">
      <c r="A671" s="52"/>
      <c r="B671" s="52"/>
      <c r="C671" s="53"/>
      <c r="D671" s="53"/>
      <c r="E671" s="53"/>
      <c r="F671" s="53"/>
      <c r="G671" s="1"/>
    </row>
    <row r="672" ht="14.25" customHeight="1">
      <c r="A672" s="52"/>
      <c r="B672" s="52"/>
      <c r="C672" s="53"/>
      <c r="D672" s="53"/>
      <c r="E672" s="53"/>
      <c r="F672" s="53"/>
      <c r="G672" s="1"/>
    </row>
    <row r="673" ht="14.25" customHeight="1">
      <c r="A673" s="52"/>
      <c r="B673" s="52"/>
      <c r="C673" s="53"/>
      <c r="D673" s="53"/>
      <c r="E673" s="53"/>
      <c r="F673" s="53"/>
      <c r="G673" s="1"/>
    </row>
    <row r="674" ht="14.25" customHeight="1">
      <c r="A674" s="52"/>
      <c r="B674" s="52"/>
      <c r="C674" s="53"/>
      <c r="D674" s="53"/>
      <c r="E674" s="53"/>
      <c r="F674" s="53"/>
      <c r="G674" s="1"/>
    </row>
    <row r="675" ht="14.25" customHeight="1">
      <c r="A675" s="52"/>
      <c r="B675" s="52"/>
      <c r="C675" s="53"/>
      <c r="D675" s="53"/>
      <c r="E675" s="53"/>
      <c r="F675" s="53"/>
      <c r="G675" s="1"/>
    </row>
    <row r="676" ht="14.25" customHeight="1">
      <c r="A676" s="52"/>
      <c r="B676" s="52"/>
      <c r="C676" s="53"/>
      <c r="D676" s="53"/>
      <c r="E676" s="53"/>
      <c r="F676" s="53"/>
      <c r="G676" s="1"/>
    </row>
    <row r="677" ht="14.25" customHeight="1">
      <c r="A677" s="52"/>
      <c r="B677" s="52"/>
      <c r="C677" s="53"/>
      <c r="D677" s="53"/>
      <c r="E677" s="53"/>
      <c r="F677" s="53"/>
      <c r="G677" s="1"/>
    </row>
    <row r="678" ht="14.25" customHeight="1">
      <c r="A678" s="52"/>
      <c r="B678" s="52"/>
      <c r="C678" s="53"/>
      <c r="D678" s="53"/>
      <c r="E678" s="53"/>
      <c r="F678" s="53"/>
      <c r="G678" s="1"/>
    </row>
    <row r="679" ht="14.25" customHeight="1">
      <c r="A679" s="52"/>
      <c r="B679" s="52"/>
      <c r="C679" s="53"/>
      <c r="D679" s="53"/>
      <c r="E679" s="53"/>
      <c r="F679" s="53"/>
      <c r="G679" s="1"/>
    </row>
    <row r="680" ht="14.25" customHeight="1">
      <c r="A680" s="52"/>
      <c r="B680" s="52"/>
      <c r="C680" s="53"/>
      <c r="D680" s="53"/>
      <c r="E680" s="53"/>
      <c r="F680" s="53"/>
      <c r="G680" s="1"/>
    </row>
    <row r="681" ht="14.25" customHeight="1">
      <c r="A681" s="52"/>
      <c r="B681" s="52"/>
      <c r="C681" s="53"/>
      <c r="D681" s="53"/>
      <c r="E681" s="53"/>
      <c r="F681" s="53"/>
      <c r="G681" s="1"/>
    </row>
    <row r="682" ht="14.25" customHeight="1">
      <c r="A682" s="52"/>
      <c r="B682" s="52"/>
      <c r="C682" s="53"/>
      <c r="D682" s="53"/>
      <c r="E682" s="53"/>
      <c r="F682" s="53"/>
      <c r="G682" s="1"/>
    </row>
    <row r="683" ht="14.25" customHeight="1">
      <c r="A683" s="52"/>
      <c r="B683" s="52"/>
      <c r="C683" s="53"/>
      <c r="D683" s="53"/>
      <c r="E683" s="53"/>
      <c r="F683" s="53"/>
      <c r="G683" s="1"/>
    </row>
    <row r="684" ht="14.25" customHeight="1">
      <c r="A684" s="52"/>
      <c r="B684" s="52"/>
      <c r="C684" s="53"/>
      <c r="D684" s="53"/>
      <c r="E684" s="53"/>
      <c r="F684" s="53"/>
      <c r="G684" s="1"/>
    </row>
    <row r="685" ht="14.25" customHeight="1">
      <c r="A685" s="52"/>
      <c r="B685" s="52"/>
      <c r="C685" s="53"/>
      <c r="D685" s="53"/>
      <c r="E685" s="53"/>
      <c r="F685" s="53"/>
      <c r="G685" s="1"/>
    </row>
    <row r="686" ht="14.25" customHeight="1">
      <c r="A686" s="52"/>
      <c r="B686" s="52"/>
      <c r="C686" s="53"/>
      <c r="D686" s="53"/>
      <c r="E686" s="53"/>
      <c r="F686" s="53"/>
      <c r="G686" s="1"/>
    </row>
    <row r="687" ht="14.25" customHeight="1">
      <c r="A687" s="52"/>
      <c r="B687" s="52"/>
      <c r="C687" s="53"/>
      <c r="D687" s="53"/>
      <c r="E687" s="53"/>
      <c r="F687" s="53"/>
      <c r="G687" s="1"/>
    </row>
    <row r="688" ht="14.25" customHeight="1">
      <c r="A688" s="52"/>
      <c r="B688" s="52"/>
      <c r="C688" s="53"/>
      <c r="D688" s="53"/>
      <c r="E688" s="53"/>
      <c r="F688" s="53"/>
      <c r="G688" s="1"/>
    </row>
    <row r="689" ht="14.25" customHeight="1">
      <c r="A689" s="52"/>
      <c r="B689" s="52"/>
      <c r="C689" s="53"/>
      <c r="D689" s="53"/>
      <c r="E689" s="53"/>
      <c r="F689" s="53"/>
      <c r="G689" s="1"/>
    </row>
    <row r="690" ht="14.25" customHeight="1">
      <c r="A690" s="52"/>
      <c r="B690" s="52"/>
      <c r="C690" s="53"/>
      <c r="D690" s="53"/>
      <c r="E690" s="53"/>
      <c r="F690" s="53"/>
      <c r="G690" s="1"/>
    </row>
    <row r="691" ht="14.25" customHeight="1">
      <c r="A691" s="52"/>
      <c r="B691" s="52"/>
      <c r="C691" s="53"/>
      <c r="D691" s="53"/>
      <c r="E691" s="53"/>
      <c r="F691" s="53"/>
      <c r="G691" s="1"/>
    </row>
    <row r="692" ht="14.25" customHeight="1">
      <c r="A692" s="52"/>
      <c r="B692" s="52"/>
      <c r="C692" s="53"/>
      <c r="D692" s="53"/>
      <c r="E692" s="53"/>
      <c r="F692" s="53"/>
      <c r="G692" s="1"/>
    </row>
    <row r="693" ht="14.25" customHeight="1">
      <c r="A693" s="52"/>
      <c r="B693" s="52"/>
      <c r="C693" s="53"/>
      <c r="D693" s="53"/>
      <c r="E693" s="53"/>
      <c r="F693" s="53"/>
      <c r="G693" s="1"/>
    </row>
    <row r="694" ht="14.25" customHeight="1">
      <c r="A694" s="52"/>
      <c r="B694" s="52"/>
      <c r="C694" s="53"/>
      <c r="D694" s="53"/>
      <c r="E694" s="53"/>
      <c r="F694" s="53"/>
      <c r="G694" s="1"/>
    </row>
    <row r="695" ht="14.25" customHeight="1">
      <c r="A695" s="52"/>
      <c r="B695" s="52"/>
      <c r="C695" s="53"/>
      <c r="D695" s="53"/>
      <c r="E695" s="53"/>
      <c r="F695" s="53"/>
      <c r="G695" s="1"/>
    </row>
    <row r="696" ht="14.25" customHeight="1">
      <c r="A696" s="52"/>
      <c r="B696" s="52"/>
      <c r="C696" s="53"/>
      <c r="D696" s="53"/>
      <c r="E696" s="53"/>
      <c r="F696" s="53"/>
      <c r="G696" s="1"/>
    </row>
    <row r="697" ht="14.25" customHeight="1">
      <c r="A697" s="52"/>
      <c r="B697" s="52"/>
      <c r="C697" s="53"/>
      <c r="D697" s="53"/>
      <c r="E697" s="53"/>
      <c r="F697" s="53"/>
      <c r="G697" s="1"/>
    </row>
    <row r="698" ht="14.25" customHeight="1">
      <c r="A698" s="52"/>
      <c r="B698" s="52"/>
      <c r="C698" s="53"/>
      <c r="D698" s="53"/>
      <c r="E698" s="53"/>
      <c r="F698" s="53"/>
      <c r="G698" s="1"/>
    </row>
    <row r="699" ht="14.25" customHeight="1">
      <c r="A699" s="52"/>
      <c r="B699" s="52"/>
      <c r="C699" s="53"/>
      <c r="D699" s="53"/>
      <c r="E699" s="53"/>
      <c r="F699" s="53"/>
      <c r="G699" s="1"/>
    </row>
    <row r="700" ht="14.25" customHeight="1">
      <c r="A700" s="52"/>
      <c r="B700" s="52"/>
      <c r="C700" s="53"/>
      <c r="D700" s="53"/>
      <c r="E700" s="53"/>
      <c r="F700" s="53"/>
      <c r="G700" s="1"/>
    </row>
    <row r="701" ht="14.25" customHeight="1">
      <c r="A701" s="52"/>
      <c r="B701" s="52"/>
      <c r="C701" s="53"/>
      <c r="D701" s="53"/>
      <c r="E701" s="53"/>
      <c r="F701" s="53"/>
      <c r="G701" s="1"/>
    </row>
    <row r="702" ht="14.25" customHeight="1">
      <c r="A702" s="52"/>
      <c r="B702" s="52"/>
      <c r="C702" s="53"/>
      <c r="D702" s="53"/>
      <c r="E702" s="53"/>
      <c r="F702" s="53"/>
      <c r="G702" s="1"/>
    </row>
    <row r="703" ht="14.25" customHeight="1">
      <c r="A703" s="52"/>
      <c r="B703" s="52"/>
      <c r="C703" s="53"/>
      <c r="D703" s="53"/>
      <c r="E703" s="53"/>
      <c r="F703" s="53"/>
      <c r="G703" s="1"/>
    </row>
    <row r="704" ht="14.25" customHeight="1">
      <c r="A704" s="52"/>
      <c r="B704" s="52"/>
      <c r="C704" s="53"/>
      <c r="D704" s="53"/>
      <c r="E704" s="53"/>
      <c r="F704" s="53"/>
      <c r="G704" s="1"/>
    </row>
    <row r="705" ht="14.25" customHeight="1">
      <c r="A705" s="52"/>
      <c r="B705" s="52"/>
      <c r="C705" s="53"/>
      <c r="D705" s="53"/>
      <c r="E705" s="53"/>
      <c r="F705" s="53"/>
      <c r="G705" s="1"/>
    </row>
    <row r="706" ht="14.25" customHeight="1">
      <c r="A706" s="52"/>
      <c r="B706" s="52"/>
      <c r="C706" s="53"/>
      <c r="D706" s="53"/>
      <c r="E706" s="53"/>
      <c r="F706" s="53"/>
      <c r="G706" s="1"/>
    </row>
    <row r="707" ht="14.25" customHeight="1">
      <c r="A707" s="52"/>
      <c r="B707" s="52"/>
      <c r="C707" s="53"/>
      <c r="D707" s="53"/>
      <c r="E707" s="53"/>
      <c r="F707" s="53"/>
      <c r="G707" s="1"/>
    </row>
    <row r="708" ht="14.25" customHeight="1">
      <c r="A708" s="52"/>
      <c r="B708" s="52"/>
      <c r="C708" s="53"/>
      <c r="D708" s="53"/>
      <c r="E708" s="53"/>
      <c r="F708" s="53"/>
      <c r="G708" s="1"/>
    </row>
    <row r="709" ht="14.25" customHeight="1">
      <c r="A709" s="52"/>
      <c r="B709" s="52"/>
      <c r="C709" s="53"/>
      <c r="D709" s="53"/>
      <c r="E709" s="53"/>
      <c r="F709" s="53"/>
      <c r="G709" s="1"/>
    </row>
    <row r="710" ht="14.25" customHeight="1">
      <c r="A710" s="52"/>
      <c r="B710" s="52"/>
      <c r="C710" s="53"/>
      <c r="D710" s="53"/>
      <c r="E710" s="53"/>
      <c r="F710" s="53"/>
      <c r="G710" s="1"/>
    </row>
    <row r="711" ht="14.25" customHeight="1">
      <c r="A711" s="52"/>
      <c r="B711" s="52"/>
      <c r="C711" s="53"/>
      <c r="D711" s="53"/>
      <c r="E711" s="53"/>
      <c r="F711" s="53"/>
      <c r="G711" s="1"/>
    </row>
    <row r="712" ht="14.25" customHeight="1">
      <c r="A712" s="52"/>
      <c r="B712" s="52"/>
      <c r="C712" s="53"/>
      <c r="D712" s="53"/>
      <c r="E712" s="53"/>
      <c r="F712" s="53"/>
      <c r="G712" s="1"/>
    </row>
    <row r="713" ht="14.25" customHeight="1">
      <c r="A713" s="52"/>
      <c r="B713" s="52"/>
      <c r="C713" s="53"/>
      <c r="D713" s="53"/>
      <c r="E713" s="53"/>
      <c r="F713" s="53"/>
      <c r="G713" s="1"/>
    </row>
    <row r="714" ht="14.25" customHeight="1">
      <c r="A714" s="52"/>
      <c r="B714" s="52"/>
      <c r="C714" s="53"/>
      <c r="D714" s="53"/>
      <c r="E714" s="53"/>
      <c r="F714" s="53"/>
      <c r="G714" s="1"/>
    </row>
    <row r="715" ht="14.25" customHeight="1">
      <c r="A715" s="52"/>
      <c r="B715" s="52"/>
      <c r="C715" s="53"/>
      <c r="D715" s="53"/>
      <c r="E715" s="53"/>
      <c r="F715" s="53"/>
      <c r="G715" s="1"/>
    </row>
    <row r="716" ht="14.25" customHeight="1">
      <c r="A716" s="52"/>
      <c r="B716" s="52"/>
      <c r="C716" s="53"/>
      <c r="D716" s="53"/>
      <c r="E716" s="53"/>
      <c r="F716" s="53"/>
      <c r="G716" s="1"/>
    </row>
    <row r="717" ht="14.25" customHeight="1">
      <c r="A717" s="52"/>
      <c r="B717" s="52"/>
      <c r="C717" s="53"/>
      <c r="D717" s="53"/>
      <c r="E717" s="53"/>
      <c r="F717" s="53"/>
      <c r="G717" s="1"/>
    </row>
    <row r="718" ht="14.25" customHeight="1">
      <c r="A718" s="52"/>
      <c r="B718" s="52"/>
      <c r="C718" s="53"/>
      <c r="D718" s="53"/>
      <c r="E718" s="53"/>
      <c r="F718" s="53"/>
      <c r="G718" s="1"/>
    </row>
    <row r="719" ht="14.25" customHeight="1">
      <c r="A719" s="52"/>
      <c r="B719" s="52"/>
      <c r="C719" s="53"/>
      <c r="D719" s="53"/>
      <c r="E719" s="53"/>
      <c r="F719" s="53"/>
      <c r="G719" s="1"/>
    </row>
    <row r="720" ht="14.25" customHeight="1">
      <c r="A720" s="52"/>
      <c r="B720" s="52"/>
      <c r="C720" s="53"/>
      <c r="D720" s="53"/>
      <c r="E720" s="53"/>
      <c r="F720" s="53"/>
      <c r="G720" s="1"/>
    </row>
    <row r="721" ht="14.25" customHeight="1">
      <c r="A721" s="52"/>
      <c r="B721" s="52"/>
      <c r="C721" s="53"/>
      <c r="D721" s="53"/>
      <c r="E721" s="53"/>
      <c r="F721" s="53"/>
      <c r="G721" s="1"/>
    </row>
    <row r="722" ht="14.25" customHeight="1">
      <c r="A722" s="52"/>
      <c r="B722" s="52"/>
      <c r="C722" s="53"/>
      <c r="D722" s="53"/>
      <c r="E722" s="53"/>
      <c r="F722" s="53"/>
      <c r="G722" s="1"/>
    </row>
    <row r="723" ht="14.25" customHeight="1">
      <c r="A723" s="52"/>
      <c r="B723" s="52"/>
      <c r="C723" s="53"/>
      <c r="D723" s="53"/>
      <c r="E723" s="53"/>
      <c r="F723" s="53"/>
      <c r="G723" s="1"/>
    </row>
    <row r="724" ht="14.25" customHeight="1">
      <c r="A724" s="52"/>
      <c r="B724" s="52"/>
      <c r="C724" s="53"/>
      <c r="D724" s="53"/>
      <c r="E724" s="53"/>
      <c r="F724" s="53"/>
      <c r="G724" s="1"/>
    </row>
    <row r="725" ht="14.25" customHeight="1">
      <c r="A725" s="52"/>
      <c r="B725" s="52"/>
      <c r="C725" s="53"/>
      <c r="D725" s="53"/>
      <c r="E725" s="53"/>
      <c r="F725" s="53"/>
      <c r="G725" s="1"/>
    </row>
    <row r="726" ht="14.25" customHeight="1">
      <c r="A726" s="52"/>
      <c r="B726" s="52"/>
      <c r="C726" s="53"/>
      <c r="D726" s="53"/>
      <c r="E726" s="53"/>
      <c r="F726" s="53"/>
      <c r="G726" s="1"/>
    </row>
    <row r="727" ht="14.25" customHeight="1">
      <c r="A727" s="52"/>
      <c r="B727" s="52"/>
      <c r="C727" s="53"/>
      <c r="D727" s="53"/>
      <c r="E727" s="53"/>
      <c r="F727" s="53"/>
      <c r="G727" s="1"/>
    </row>
    <row r="728" ht="14.25" customHeight="1">
      <c r="A728" s="52"/>
      <c r="B728" s="52"/>
      <c r="C728" s="53"/>
      <c r="D728" s="53"/>
      <c r="E728" s="53"/>
      <c r="F728" s="53"/>
      <c r="G728" s="1"/>
    </row>
    <row r="729" ht="14.25" customHeight="1">
      <c r="A729" s="52"/>
      <c r="B729" s="52"/>
      <c r="C729" s="53"/>
      <c r="D729" s="53"/>
      <c r="E729" s="53"/>
      <c r="F729" s="53"/>
      <c r="G729" s="1"/>
    </row>
    <row r="730" ht="14.25" customHeight="1">
      <c r="A730" s="52"/>
      <c r="B730" s="52"/>
      <c r="C730" s="53"/>
      <c r="D730" s="53"/>
      <c r="E730" s="53"/>
      <c r="F730" s="53"/>
      <c r="G730" s="1"/>
    </row>
    <row r="731" ht="14.25" customHeight="1">
      <c r="A731" s="52"/>
      <c r="B731" s="52"/>
      <c r="C731" s="53"/>
      <c r="D731" s="53"/>
      <c r="E731" s="53"/>
      <c r="F731" s="53"/>
      <c r="G731" s="1"/>
    </row>
    <row r="732" ht="14.25" customHeight="1">
      <c r="A732" s="52"/>
      <c r="B732" s="52"/>
      <c r="C732" s="53"/>
      <c r="D732" s="53"/>
      <c r="E732" s="53"/>
      <c r="F732" s="53"/>
      <c r="G732" s="1"/>
    </row>
    <row r="733" ht="14.25" customHeight="1">
      <c r="A733" s="52"/>
      <c r="B733" s="52"/>
      <c r="C733" s="53"/>
      <c r="D733" s="53"/>
      <c r="E733" s="53"/>
      <c r="F733" s="53"/>
      <c r="G733" s="1"/>
    </row>
    <row r="734" ht="14.25" customHeight="1">
      <c r="A734" s="52"/>
      <c r="B734" s="52"/>
      <c r="C734" s="53"/>
      <c r="D734" s="53"/>
      <c r="E734" s="53"/>
      <c r="F734" s="53"/>
      <c r="G734" s="1"/>
    </row>
    <row r="735" ht="14.25" customHeight="1">
      <c r="A735" s="52"/>
      <c r="B735" s="52"/>
      <c r="C735" s="53"/>
      <c r="D735" s="53"/>
      <c r="E735" s="53"/>
      <c r="F735" s="53"/>
      <c r="G735" s="1"/>
    </row>
    <row r="736" ht="14.25" customHeight="1">
      <c r="A736" s="52"/>
      <c r="B736" s="52"/>
      <c r="C736" s="53"/>
      <c r="D736" s="53"/>
      <c r="E736" s="53"/>
      <c r="F736" s="53"/>
      <c r="G736" s="1"/>
    </row>
    <row r="737" ht="14.25" customHeight="1">
      <c r="A737" s="52"/>
      <c r="B737" s="52"/>
      <c r="C737" s="53"/>
      <c r="D737" s="53"/>
      <c r="E737" s="53"/>
      <c r="F737" s="53"/>
      <c r="G737" s="1"/>
    </row>
    <row r="738" ht="14.25" customHeight="1">
      <c r="A738" s="52"/>
      <c r="B738" s="52"/>
      <c r="C738" s="53"/>
      <c r="D738" s="53"/>
      <c r="E738" s="53"/>
      <c r="F738" s="53"/>
      <c r="G738" s="1"/>
    </row>
    <row r="739" ht="14.25" customHeight="1">
      <c r="A739" s="52"/>
      <c r="B739" s="52"/>
      <c r="C739" s="53"/>
      <c r="D739" s="53"/>
      <c r="E739" s="53"/>
      <c r="F739" s="53"/>
      <c r="G739" s="1"/>
    </row>
    <row r="740" ht="14.25" customHeight="1">
      <c r="A740" s="52"/>
      <c r="B740" s="52"/>
      <c r="C740" s="53"/>
      <c r="D740" s="53"/>
      <c r="E740" s="53"/>
      <c r="F740" s="53"/>
      <c r="G740" s="1"/>
    </row>
    <row r="741" ht="14.25" customHeight="1">
      <c r="A741" s="52"/>
      <c r="B741" s="52"/>
      <c r="C741" s="53"/>
      <c r="D741" s="53"/>
      <c r="E741" s="53"/>
      <c r="F741" s="53"/>
      <c r="G741" s="1"/>
    </row>
    <row r="742" ht="14.25" customHeight="1">
      <c r="A742" s="52"/>
      <c r="B742" s="52"/>
      <c r="C742" s="53"/>
      <c r="D742" s="53"/>
      <c r="E742" s="53"/>
      <c r="F742" s="53"/>
      <c r="G742" s="1"/>
    </row>
    <row r="743" ht="14.25" customHeight="1">
      <c r="A743" s="52"/>
      <c r="B743" s="52"/>
      <c r="C743" s="53"/>
      <c r="D743" s="53"/>
      <c r="E743" s="53"/>
      <c r="F743" s="53"/>
      <c r="G743" s="1"/>
    </row>
    <row r="744" ht="14.25" customHeight="1">
      <c r="A744" s="52"/>
      <c r="B744" s="52"/>
      <c r="C744" s="53"/>
      <c r="D744" s="53"/>
      <c r="E744" s="53"/>
      <c r="F744" s="53"/>
      <c r="G744" s="1"/>
    </row>
    <row r="745" ht="14.25" customHeight="1">
      <c r="A745" s="52"/>
      <c r="B745" s="52"/>
      <c r="C745" s="53"/>
      <c r="D745" s="53"/>
      <c r="E745" s="53"/>
      <c r="F745" s="53"/>
      <c r="G745" s="1"/>
    </row>
    <row r="746" ht="14.25" customHeight="1">
      <c r="A746" s="52"/>
      <c r="B746" s="52"/>
      <c r="C746" s="53"/>
      <c r="D746" s="53"/>
      <c r="E746" s="53"/>
      <c r="F746" s="53"/>
      <c r="G746" s="1"/>
    </row>
    <row r="747" ht="14.25" customHeight="1">
      <c r="A747" s="52"/>
      <c r="B747" s="52"/>
      <c r="C747" s="53"/>
      <c r="D747" s="53"/>
      <c r="E747" s="53"/>
      <c r="F747" s="53"/>
      <c r="G747" s="1"/>
    </row>
    <row r="748" ht="14.25" customHeight="1">
      <c r="A748" s="52"/>
      <c r="B748" s="52"/>
      <c r="C748" s="53"/>
      <c r="D748" s="53"/>
      <c r="E748" s="53"/>
      <c r="F748" s="53"/>
      <c r="G748" s="1"/>
    </row>
    <row r="749" ht="14.25" customHeight="1">
      <c r="A749" s="52"/>
      <c r="B749" s="52"/>
      <c r="C749" s="53"/>
      <c r="D749" s="53"/>
      <c r="E749" s="53"/>
      <c r="F749" s="53"/>
      <c r="G749" s="1"/>
    </row>
    <row r="750" ht="14.25" customHeight="1">
      <c r="A750" s="52"/>
      <c r="B750" s="52"/>
      <c r="C750" s="53"/>
      <c r="D750" s="53"/>
      <c r="E750" s="53"/>
      <c r="F750" s="53"/>
      <c r="G750" s="1"/>
    </row>
    <row r="751" ht="14.25" customHeight="1">
      <c r="A751" s="52"/>
      <c r="B751" s="52"/>
      <c r="C751" s="53"/>
      <c r="D751" s="53"/>
      <c r="E751" s="53"/>
      <c r="F751" s="53"/>
      <c r="G751" s="1"/>
    </row>
    <row r="752" ht="14.25" customHeight="1">
      <c r="A752" s="52"/>
      <c r="B752" s="52"/>
      <c r="C752" s="53"/>
      <c r="D752" s="53"/>
      <c r="E752" s="53"/>
      <c r="F752" s="53"/>
      <c r="G752" s="1"/>
    </row>
    <row r="753" ht="14.25" customHeight="1">
      <c r="A753" s="52"/>
      <c r="B753" s="52"/>
      <c r="C753" s="53"/>
      <c r="D753" s="53"/>
      <c r="E753" s="53"/>
      <c r="F753" s="53"/>
      <c r="G753" s="1"/>
    </row>
    <row r="754" ht="14.25" customHeight="1">
      <c r="A754" s="52"/>
      <c r="B754" s="52"/>
      <c r="C754" s="53"/>
      <c r="D754" s="53"/>
      <c r="E754" s="53"/>
      <c r="F754" s="53"/>
      <c r="G754" s="1"/>
    </row>
    <row r="755" ht="14.25" customHeight="1">
      <c r="A755" s="52"/>
      <c r="B755" s="52"/>
      <c r="C755" s="53"/>
      <c r="D755" s="53"/>
      <c r="E755" s="53"/>
      <c r="F755" s="53"/>
      <c r="G755" s="1"/>
    </row>
    <row r="756" ht="14.25" customHeight="1">
      <c r="A756" s="52"/>
      <c r="B756" s="52"/>
      <c r="C756" s="53"/>
      <c r="D756" s="53"/>
      <c r="E756" s="53"/>
      <c r="F756" s="53"/>
      <c r="G756" s="1"/>
    </row>
    <row r="757" ht="14.25" customHeight="1">
      <c r="A757" s="52"/>
      <c r="B757" s="52"/>
      <c r="C757" s="53"/>
      <c r="D757" s="53"/>
      <c r="E757" s="53"/>
      <c r="F757" s="53"/>
      <c r="G757" s="1"/>
    </row>
    <row r="758" ht="14.25" customHeight="1">
      <c r="A758" s="52"/>
      <c r="B758" s="52"/>
      <c r="C758" s="53"/>
      <c r="D758" s="53"/>
      <c r="E758" s="53"/>
      <c r="F758" s="53"/>
      <c r="G758" s="1"/>
    </row>
    <row r="759" ht="14.25" customHeight="1">
      <c r="A759" s="52"/>
      <c r="B759" s="52"/>
      <c r="C759" s="53"/>
      <c r="D759" s="53"/>
      <c r="E759" s="53"/>
      <c r="F759" s="53"/>
      <c r="G759" s="1"/>
    </row>
    <row r="760" ht="14.25" customHeight="1">
      <c r="A760" s="52"/>
      <c r="B760" s="52"/>
      <c r="C760" s="53"/>
      <c r="D760" s="53"/>
      <c r="E760" s="53"/>
      <c r="F760" s="53"/>
      <c r="G760" s="1"/>
    </row>
    <row r="761" ht="14.25" customHeight="1">
      <c r="A761" s="52"/>
      <c r="B761" s="52"/>
      <c r="C761" s="53"/>
      <c r="D761" s="53"/>
      <c r="E761" s="53"/>
      <c r="F761" s="53"/>
      <c r="G761" s="1"/>
    </row>
    <row r="762" ht="14.25" customHeight="1">
      <c r="A762" s="52"/>
      <c r="B762" s="52"/>
      <c r="C762" s="53"/>
      <c r="D762" s="53"/>
      <c r="E762" s="53"/>
      <c r="F762" s="53"/>
      <c r="G762" s="1"/>
    </row>
    <row r="763" ht="14.25" customHeight="1">
      <c r="A763" s="52"/>
      <c r="B763" s="52"/>
      <c r="C763" s="53"/>
      <c r="D763" s="53"/>
      <c r="E763" s="53"/>
      <c r="F763" s="53"/>
      <c r="G763" s="1"/>
    </row>
    <row r="764" ht="14.25" customHeight="1">
      <c r="A764" s="52"/>
      <c r="B764" s="52"/>
      <c r="C764" s="53"/>
      <c r="D764" s="53"/>
      <c r="E764" s="53"/>
      <c r="F764" s="53"/>
      <c r="G764" s="1"/>
    </row>
    <row r="765" ht="14.25" customHeight="1">
      <c r="A765" s="52"/>
      <c r="B765" s="52"/>
      <c r="C765" s="53"/>
      <c r="D765" s="53"/>
      <c r="E765" s="53"/>
      <c r="F765" s="53"/>
      <c r="G765" s="1"/>
    </row>
    <row r="766" ht="14.25" customHeight="1">
      <c r="A766" s="52"/>
      <c r="B766" s="52"/>
      <c r="C766" s="53"/>
      <c r="D766" s="53"/>
      <c r="E766" s="53"/>
      <c r="F766" s="53"/>
      <c r="G766" s="1"/>
    </row>
    <row r="767" ht="14.25" customHeight="1">
      <c r="A767" s="52"/>
      <c r="B767" s="52"/>
      <c r="C767" s="53"/>
      <c r="D767" s="53"/>
      <c r="E767" s="53"/>
      <c r="F767" s="53"/>
      <c r="G767" s="1"/>
    </row>
    <row r="768" ht="14.25" customHeight="1">
      <c r="A768" s="52"/>
      <c r="B768" s="52"/>
      <c r="C768" s="53"/>
      <c r="D768" s="53"/>
      <c r="E768" s="53"/>
      <c r="F768" s="53"/>
      <c r="G768" s="1"/>
    </row>
    <row r="769" ht="14.25" customHeight="1">
      <c r="A769" s="52"/>
      <c r="B769" s="52"/>
      <c r="C769" s="53"/>
      <c r="D769" s="53"/>
      <c r="E769" s="53"/>
      <c r="F769" s="53"/>
      <c r="G769" s="1"/>
    </row>
    <row r="770" ht="14.25" customHeight="1">
      <c r="A770" s="52"/>
      <c r="B770" s="52"/>
      <c r="C770" s="53"/>
      <c r="D770" s="53"/>
      <c r="E770" s="53"/>
      <c r="F770" s="53"/>
      <c r="G770" s="1"/>
    </row>
    <row r="771" ht="14.25" customHeight="1">
      <c r="A771" s="52"/>
      <c r="B771" s="52"/>
      <c r="C771" s="53"/>
      <c r="D771" s="53"/>
      <c r="E771" s="53"/>
      <c r="F771" s="53"/>
      <c r="G771" s="1"/>
    </row>
    <row r="772" ht="14.25" customHeight="1">
      <c r="A772" s="52"/>
      <c r="B772" s="52"/>
      <c r="C772" s="53"/>
      <c r="D772" s="53"/>
      <c r="E772" s="53"/>
      <c r="F772" s="53"/>
      <c r="G772" s="1"/>
    </row>
    <row r="773" ht="14.25" customHeight="1">
      <c r="A773" s="52"/>
      <c r="B773" s="52"/>
      <c r="C773" s="53"/>
      <c r="D773" s="53"/>
      <c r="E773" s="53"/>
      <c r="F773" s="53"/>
      <c r="G773" s="1"/>
    </row>
    <row r="774" ht="14.25" customHeight="1">
      <c r="A774" s="52"/>
      <c r="B774" s="52"/>
      <c r="C774" s="53"/>
      <c r="D774" s="53"/>
      <c r="E774" s="53"/>
      <c r="F774" s="53"/>
      <c r="G774" s="1"/>
    </row>
    <row r="775" ht="14.25" customHeight="1">
      <c r="A775" s="52"/>
      <c r="B775" s="52"/>
      <c r="C775" s="53"/>
      <c r="D775" s="53"/>
      <c r="E775" s="53"/>
      <c r="F775" s="53"/>
      <c r="G775" s="1"/>
    </row>
    <row r="776" ht="14.25" customHeight="1">
      <c r="A776" s="52"/>
      <c r="B776" s="52"/>
      <c r="C776" s="53"/>
      <c r="D776" s="53"/>
      <c r="E776" s="53"/>
      <c r="F776" s="53"/>
      <c r="G776" s="1"/>
    </row>
    <row r="777" ht="14.25" customHeight="1">
      <c r="A777" s="52"/>
      <c r="B777" s="52"/>
      <c r="C777" s="53"/>
      <c r="D777" s="53"/>
      <c r="E777" s="53"/>
      <c r="F777" s="53"/>
      <c r="G777" s="1"/>
    </row>
    <row r="778" ht="14.25" customHeight="1">
      <c r="A778" s="52"/>
      <c r="B778" s="52"/>
      <c r="C778" s="53"/>
      <c r="D778" s="53"/>
      <c r="E778" s="53"/>
      <c r="F778" s="53"/>
      <c r="G778" s="1"/>
    </row>
    <row r="779" ht="14.25" customHeight="1">
      <c r="A779" s="52"/>
      <c r="B779" s="52"/>
      <c r="C779" s="53"/>
      <c r="D779" s="53"/>
      <c r="E779" s="53"/>
      <c r="F779" s="53"/>
      <c r="G779" s="1"/>
    </row>
    <row r="780" ht="14.25" customHeight="1">
      <c r="A780" s="52"/>
      <c r="B780" s="52"/>
      <c r="C780" s="53"/>
      <c r="D780" s="53"/>
      <c r="E780" s="53"/>
      <c r="F780" s="53"/>
      <c r="G780" s="1"/>
    </row>
    <row r="781" ht="14.25" customHeight="1">
      <c r="A781" s="52"/>
      <c r="B781" s="52"/>
      <c r="C781" s="53"/>
      <c r="D781" s="53"/>
      <c r="E781" s="53"/>
      <c r="F781" s="53"/>
      <c r="G781" s="1"/>
    </row>
    <row r="782" ht="14.25" customHeight="1">
      <c r="A782" s="52"/>
      <c r="B782" s="52"/>
      <c r="C782" s="53"/>
      <c r="D782" s="53"/>
      <c r="E782" s="53"/>
      <c r="F782" s="53"/>
      <c r="G782" s="1"/>
    </row>
    <row r="783" ht="14.25" customHeight="1">
      <c r="A783" s="52"/>
      <c r="B783" s="52"/>
      <c r="C783" s="53"/>
      <c r="D783" s="53"/>
      <c r="E783" s="53"/>
      <c r="F783" s="53"/>
      <c r="G783" s="1"/>
    </row>
    <row r="784" ht="14.25" customHeight="1">
      <c r="A784" s="52"/>
      <c r="B784" s="52"/>
      <c r="C784" s="53"/>
      <c r="D784" s="53"/>
      <c r="E784" s="53"/>
      <c r="F784" s="53"/>
      <c r="G784" s="1"/>
    </row>
    <row r="785" ht="14.25" customHeight="1">
      <c r="A785" s="52"/>
      <c r="B785" s="52"/>
      <c r="C785" s="53"/>
      <c r="D785" s="53"/>
      <c r="E785" s="53"/>
      <c r="F785" s="53"/>
      <c r="G785" s="1"/>
    </row>
    <row r="786" ht="14.25" customHeight="1">
      <c r="A786" s="52"/>
      <c r="B786" s="52"/>
      <c r="C786" s="53"/>
      <c r="D786" s="53"/>
      <c r="E786" s="53"/>
      <c r="F786" s="53"/>
      <c r="G786" s="1"/>
    </row>
    <row r="787" ht="14.25" customHeight="1">
      <c r="A787" s="52"/>
      <c r="B787" s="52"/>
      <c r="C787" s="53"/>
      <c r="D787" s="53"/>
      <c r="E787" s="53"/>
      <c r="F787" s="53"/>
      <c r="G787" s="1"/>
    </row>
    <row r="788" ht="14.25" customHeight="1">
      <c r="A788" s="52"/>
      <c r="B788" s="52"/>
      <c r="C788" s="53"/>
      <c r="D788" s="53"/>
      <c r="E788" s="53"/>
      <c r="F788" s="53"/>
      <c r="G788" s="1"/>
    </row>
    <row r="789" ht="14.25" customHeight="1">
      <c r="A789" s="52"/>
      <c r="B789" s="52"/>
      <c r="C789" s="53"/>
      <c r="D789" s="53"/>
      <c r="E789" s="53"/>
      <c r="F789" s="53"/>
      <c r="G789" s="1"/>
    </row>
    <row r="790" ht="14.25" customHeight="1">
      <c r="A790" s="52"/>
      <c r="B790" s="52"/>
      <c r="C790" s="53"/>
      <c r="D790" s="53"/>
      <c r="E790" s="53"/>
      <c r="F790" s="53"/>
      <c r="G790" s="1"/>
    </row>
    <row r="791" ht="14.25" customHeight="1">
      <c r="A791" s="52"/>
      <c r="B791" s="52"/>
      <c r="C791" s="53"/>
      <c r="D791" s="53"/>
      <c r="E791" s="53"/>
      <c r="F791" s="53"/>
      <c r="G791" s="1"/>
    </row>
    <row r="792" ht="14.25" customHeight="1">
      <c r="A792" s="52"/>
      <c r="B792" s="52"/>
      <c r="C792" s="53"/>
      <c r="D792" s="53"/>
      <c r="E792" s="53"/>
      <c r="F792" s="53"/>
      <c r="G792" s="1"/>
    </row>
    <row r="793" ht="14.25" customHeight="1">
      <c r="A793" s="52"/>
      <c r="B793" s="52"/>
      <c r="C793" s="53"/>
      <c r="D793" s="53"/>
      <c r="E793" s="53"/>
      <c r="F793" s="53"/>
      <c r="G793" s="1"/>
    </row>
    <row r="794" ht="14.25" customHeight="1">
      <c r="A794" s="52"/>
      <c r="B794" s="52"/>
      <c r="C794" s="53"/>
      <c r="D794" s="53"/>
      <c r="E794" s="53"/>
      <c r="F794" s="53"/>
      <c r="G794" s="1"/>
    </row>
    <row r="795" ht="14.25" customHeight="1">
      <c r="A795" s="52"/>
      <c r="B795" s="52"/>
      <c r="C795" s="53"/>
      <c r="D795" s="53"/>
      <c r="E795" s="53"/>
      <c r="F795" s="53"/>
      <c r="G795" s="1"/>
    </row>
    <row r="796" ht="14.25" customHeight="1">
      <c r="A796" s="52"/>
      <c r="B796" s="52"/>
      <c r="C796" s="53"/>
      <c r="D796" s="53"/>
      <c r="E796" s="53"/>
      <c r="F796" s="53"/>
      <c r="G796" s="1"/>
    </row>
    <row r="797" ht="14.25" customHeight="1">
      <c r="A797" s="52"/>
      <c r="B797" s="52"/>
      <c r="C797" s="53"/>
      <c r="D797" s="53"/>
      <c r="E797" s="53"/>
      <c r="F797" s="53"/>
      <c r="G797" s="1"/>
    </row>
    <row r="798" ht="14.25" customHeight="1">
      <c r="A798" s="52"/>
      <c r="B798" s="52"/>
      <c r="C798" s="53"/>
      <c r="D798" s="53"/>
      <c r="E798" s="53"/>
      <c r="F798" s="53"/>
      <c r="G798" s="1"/>
    </row>
    <row r="799" ht="14.25" customHeight="1">
      <c r="A799" s="52"/>
      <c r="B799" s="52"/>
      <c r="C799" s="53"/>
      <c r="D799" s="53"/>
      <c r="E799" s="53"/>
      <c r="F799" s="53"/>
      <c r="G799" s="1"/>
    </row>
    <row r="800" ht="14.25" customHeight="1">
      <c r="A800" s="52"/>
      <c r="B800" s="52"/>
      <c r="C800" s="53"/>
      <c r="D800" s="53"/>
      <c r="E800" s="53"/>
      <c r="F800" s="53"/>
      <c r="G800" s="1"/>
    </row>
    <row r="801" ht="14.25" customHeight="1">
      <c r="A801" s="52"/>
      <c r="B801" s="52"/>
      <c r="C801" s="53"/>
      <c r="D801" s="53"/>
      <c r="E801" s="53"/>
      <c r="F801" s="53"/>
      <c r="G801" s="1"/>
    </row>
    <row r="802" ht="14.25" customHeight="1">
      <c r="A802" s="52"/>
      <c r="B802" s="52"/>
      <c r="C802" s="53"/>
      <c r="D802" s="53"/>
      <c r="E802" s="53"/>
      <c r="F802" s="53"/>
      <c r="G802" s="1"/>
    </row>
    <row r="803" ht="14.25" customHeight="1">
      <c r="A803" s="52"/>
      <c r="B803" s="52"/>
      <c r="C803" s="53"/>
      <c r="D803" s="53"/>
      <c r="E803" s="53"/>
      <c r="F803" s="53"/>
      <c r="G803" s="1"/>
    </row>
    <row r="804" ht="14.25" customHeight="1">
      <c r="A804" s="52"/>
      <c r="B804" s="52"/>
      <c r="C804" s="53"/>
      <c r="D804" s="53"/>
      <c r="E804" s="53"/>
      <c r="F804" s="53"/>
      <c r="G804" s="1"/>
    </row>
    <row r="805" ht="14.25" customHeight="1">
      <c r="A805" s="52"/>
      <c r="B805" s="52"/>
      <c r="C805" s="53"/>
      <c r="D805" s="53"/>
      <c r="E805" s="53"/>
      <c r="F805" s="53"/>
      <c r="G805" s="1"/>
    </row>
    <row r="806" ht="14.25" customHeight="1">
      <c r="A806" s="52"/>
      <c r="B806" s="52"/>
      <c r="C806" s="53"/>
      <c r="D806" s="53"/>
      <c r="E806" s="53"/>
      <c r="F806" s="53"/>
      <c r="G806" s="1"/>
    </row>
    <row r="807" ht="14.25" customHeight="1">
      <c r="A807" s="52"/>
      <c r="B807" s="52"/>
      <c r="C807" s="53"/>
      <c r="D807" s="53"/>
      <c r="E807" s="53"/>
      <c r="F807" s="53"/>
      <c r="G807" s="1"/>
    </row>
    <row r="808" ht="14.25" customHeight="1">
      <c r="A808" s="52"/>
      <c r="B808" s="52"/>
      <c r="C808" s="53"/>
      <c r="D808" s="53"/>
      <c r="E808" s="53"/>
      <c r="F808" s="53"/>
      <c r="G808" s="1"/>
    </row>
    <row r="809" ht="14.25" customHeight="1">
      <c r="A809" s="52"/>
      <c r="B809" s="52"/>
      <c r="C809" s="53"/>
      <c r="D809" s="53"/>
      <c r="E809" s="53"/>
      <c r="F809" s="53"/>
      <c r="G809" s="1"/>
    </row>
    <row r="810" ht="14.25" customHeight="1">
      <c r="A810" s="52"/>
      <c r="B810" s="52"/>
      <c r="C810" s="53"/>
      <c r="D810" s="53"/>
      <c r="E810" s="53"/>
      <c r="F810" s="53"/>
      <c r="G810" s="1"/>
    </row>
    <row r="811" ht="14.25" customHeight="1">
      <c r="A811" s="52"/>
      <c r="B811" s="52"/>
      <c r="C811" s="53"/>
      <c r="D811" s="53"/>
      <c r="E811" s="53"/>
      <c r="F811" s="53"/>
      <c r="G811" s="1"/>
    </row>
    <row r="812" ht="14.25" customHeight="1">
      <c r="A812" s="52"/>
      <c r="B812" s="52"/>
      <c r="C812" s="53"/>
      <c r="D812" s="53"/>
      <c r="E812" s="53"/>
      <c r="F812" s="53"/>
      <c r="G812" s="1"/>
    </row>
    <row r="813" ht="14.25" customHeight="1">
      <c r="A813" s="52"/>
      <c r="B813" s="52"/>
      <c r="C813" s="53"/>
      <c r="D813" s="53"/>
      <c r="E813" s="53"/>
      <c r="F813" s="53"/>
      <c r="G813" s="1"/>
    </row>
    <row r="814" ht="14.25" customHeight="1">
      <c r="A814" s="52"/>
      <c r="B814" s="52"/>
      <c r="C814" s="53"/>
      <c r="D814" s="53"/>
      <c r="E814" s="53"/>
      <c r="F814" s="53"/>
      <c r="G814" s="1"/>
    </row>
    <row r="815" ht="14.25" customHeight="1">
      <c r="A815" s="52"/>
      <c r="B815" s="52"/>
      <c r="C815" s="53"/>
      <c r="D815" s="53"/>
      <c r="E815" s="53"/>
      <c r="F815" s="53"/>
      <c r="G815" s="1"/>
    </row>
    <row r="816" ht="14.25" customHeight="1">
      <c r="A816" s="52"/>
      <c r="B816" s="52"/>
      <c r="C816" s="53"/>
      <c r="D816" s="53"/>
      <c r="E816" s="53"/>
      <c r="F816" s="53"/>
      <c r="G816" s="1"/>
    </row>
    <row r="817" ht="14.25" customHeight="1">
      <c r="A817" s="52"/>
      <c r="B817" s="52"/>
      <c r="C817" s="53"/>
      <c r="D817" s="53"/>
      <c r="E817" s="53"/>
      <c r="F817" s="53"/>
      <c r="G817" s="1"/>
    </row>
    <row r="818" ht="14.25" customHeight="1">
      <c r="A818" s="52"/>
      <c r="B818" s="52"/>
      <c r="C818" s="53"/>
      <c r="D818" s="53"/>
      <c r="E818" s="53"/>
      <c r="F818" s="53"/>
      <c r="G818" s="1"/>
    </row>
    <row r="819" ht="14.25" customHeight="1">
      <c r="A819" s="52"/>
      <c r="B819" s="52"/>
      <c r="C819" s="53"/>
      <c r="D819" s="53"/>
      <c r="E819" s="53"/>
      <c r="F819" s="53"/>
      <c r="G819" s="1"/>
    </row>
    <row r="820" ht="14.25" customHeight="1">
      <c r="A820" s="52"/>
      <c r="B820" s="52"/>
      <c r="C820" s="53"/>
      <c r="D820" s="53"/>
      <c r="E820" s="53"/>
      <c r="F820" s="53"/>
      <c r="G820" s="1"/>
    </row>
    <row r="821" ht="14.25" customHeight="1">
      <c r="A821" s="52"/>
      <c r="B821" s="52"/>
      <c r="C821" s="53"/>
      <c r="D821" s="53"/>
      <c r="E821" s="53"/>
      <c r="F821" s="53"/>
      <c r="G821" s="1"/>
    </row>
    <row r="822" ht="14.25" customHeight="1">
      <c r="A822" s="52"/>
      <c r="B822" s="52"/>
      <c r="C822" s="53"/>
      <c r="D822" s="53"/>
      <c r="E822" s="53"/>
      <c r="F822" s="53"/>
      <c r="G822" s="1"/>
    </row>
    <row r="823" ht="14.25" customHeight="1">
      <c r="A823" s="52"/>
      <c r="B823" s="52"/>
      <c r="C823" s="53"/>
      <c r="D823" s="53"/>
      <c r="E823" s="53"/>
      <c r="F823" s="53"/>
      <c r="G823" s="1"/>
    </row>
    <row r="824" ht="14.25" customHeight="1">
      <c r="A824" s="52"/>
      <c r="B824" s="52"/>
      <c r="C824" s="53"/>
      <c r="D824" s="53"/>
      <c r="E824" s="53"/>
      <c r="F824" s="53"/>
      <c r="G824" s="1"/>
    </row>
    <row r="825" ht="14.25" customHeight="1">
      <c r="A825" s="52"/>
      <c r="B825" s="52"/>
      <c r="C825" s="53"/>
      <c r="D825" s="53"/>
      <c r="E825" s="53"/>
      <c r="F825" s="53"/>
      <c r="G825" s="1"/>
    </row>
    <row r="826" ht="14.25" customHeight="1">
      <c r="A826" s="52"/>
      <c r="B826" s="52"/>
      <c r="C826" s="53"/>
      <c r="D826" s="53"/>
      <c r="E826" s="53"/>
      <c r="F826" s="53"/>
      <c r="G826" s="1"/>
    </row>
    <row r="827" ht="14.25" customHeight="1">
      <c r="A827" s="52"/>
      <c r="B827" s="52"/>
      <c r="C827" s="53"/>
      <c r="D827" s="53"/>
      <c r="E827" s="53"/>
      <c r="F827" s="53"/>
      <c r="G827" s="1"/>
    </row>
    <row r="828" ht="14.25" customHeight="1">
      <c r="A828" s="52"/>
      <c r="B828" s="52"/>
      <c r="C828" s="53"/>
      <c r="D828" s="53"/>
      <c r="E828" s="53"/>
      <c r="F828" s="53"/>
      <c r="G828" s="1"/>
    </row>
    <row r="829" ht="14.25" customHeight="1">
      <c r="A829" s="52"/>
      <c r="B829" s="52"/>
      <c r="C829" s="53"/>
      <c r="D829" s="53"/>
      <c r="E829" s="53"/>
      <c r="F829" s="53"/>
      <c r="G829" s="1"/>
    </row>
    <row r="830" ht="14.25" customHeight="1">
      <c r="A830" s="52"/>
      <c r="B830" s="52"/>
      <c r="C830" s="53"/>
      <c r="D830" s="53"/>
      <c r="E830" s="53"/>
      <c r="F830" s="53"/>
      <c r="G830" s="1"/>
    </row>
    <row r="831" ht="14.25" customHeight="1">
      <c r="A831" s="52"/>
      <c r="B831" s="52"/>
      <c r="C831" s="53"/>
      <c r="D831" s="53"/>
      <c r="E831" s="53"/>
      <c r="F831" s="53"/>
      <c r="G831" s="1"/>
    </row>
    <row r="832" ht="14.25" customHeight="1">
      <c r="A832" s="52"/>
      <c r="B832" s="52"/>
      <c r="C832" s="53"/>
      <c r="D832" s="53"/>
      <c r="E832" s="53"/>
      <c r="F832" s="53"/>
      <c r="G832" s="1"/>
    </row>
    <row r="833" ht="14.25" customHeight="1">
      <c r="A833" s="52"/>
      <c r="B833" s="52"/>
      <c r="C833" s="53"/>
      <c r="D833" s="53"/>
      <c r="E833" s="53"/>
      <c r="F833" s="53"/>
      <c r="G833" s="1"/>
    </row>
    <row r="834" ht="14.25" customHeight="1">
      <c r="A834" s="52"/>
      <c r="B834" s="52"/>
      <c r="C834" s="53"/>
      <c r="D834" s="53"/>
      <c r="E834" s="53"/>
      <c r="F834" s="53"/>
      <c r="G834" s="1"/>
    </row>
    <row r="835" ht="14.25" customHeight="1">
      <c r="A835" s="52"/>
      <c r="B835" s="52"/>
      <c r="C835" s="53"/>
      <c r="D835" s="53"/>
      <c r="E835" s="53"/>
      <c r="F835" s="53"/>
      <c r="G835" s="1"/>
    </row>
    <row r="836" ht="14.25" customHeight="1">
      <c r="A836" s="52"/>
      <c r="B836" s="52"/>
      <c r="C836" s="53"/>
      <c r="D836" s="53"/>
      <c r="E836" s="53"/>
      <c r="F836" s="53"/>
      <c r="G836" s="1"/>
    </row>
    <row r="837" ht="14.25" customHeight="1">
      <c r="A837" s="52"/>
      <c r="B837" s="52"/>
      <c r="C837" s="53"/>
      <c r="D837" s="53"/>
      <c r="E837" s="53"/>
      <c r="F837" s="53"/>
      <c r="G837" s="1"/>
    </row>
    <row r="838" ht="14.25" customHeight="1">
      <c r="A838" s="52"/>
      <c r="B838" s="52"/>
      <c r="C838" s="53"/>
      <c r="D838" s="53"/>
      <c r="E838" s="53"/>
      <c r="F838" s="53"/>
      <c r="G838" s="1"/>
    </row>
    <row r="839" ht="14.25" customHeight="1">
      <c r="A839" s="52"/>
      <c r="B839" s="52"/>
      <c r="C839" s="53"/>
      <c r="D839" s="53"/>
      <c r="E839" s="53"/>
      <c r="F839" s="53"/>
      <c r="G839" s="1"/>
    </row>
    <row r="840" ht="14.25" customHeight="1">
      <c r="A840" s="52"/>
      <c r="B840" s="52"/>
      <c r="C840" s="53"/>
      <c r="D840" s="53"/>
      <c r="E840" s="53"/>
      <c r="F840" s="53"/>
      <c r="G840" s="1"/>
    </row>
    <row r="841" ht="14.25" customHeight="1">
      <c r="A841" s="52"/>
      <c r="B841" s="52"/>
      <c r="C841" s="53"/>
      <c r="D841" s="53"/>
      <c r="E841" s="53"/>
      <c r="F841" s="53"/>
      <c r="G841" s="1"/>
    </row>
    <row r="842" ht="14.25" customHeight="1">
      <c r="A842" s="52"/>
      <c r="B842" s="52"/>
      <c r="C842" s="53"/>
      <c r="D842" s="53"/>
      <c r="E842" s="53"/>
      <c r="F842" s="53"/>
      <c r="G842" s="1"/>
    </row>
    <row r="843" ht="14.25" customHeight="1">
      <c r="A843" s="52"/>
      <c r="B843" s="52"/>
      <c r="C843" s="53"/>
      <c r="D843" s="53"/>
      <c r="E843" s="53"/>
      <c r="F843" s="53"/>
      <c r="G843" s="1"/>
    </row>
    <row r="844" ht="14.25" customHeight="1">
      <c r="A844" s="52"/>
      <c r="B844" s="52"/>
      <c r="C844" s="53"/>
      <c r="D844" s="53"/>
      <c r="E844" s="53"/>
      <c r="F844" s="53"/>
      <c r="G844" s="1"/>
    </row>
    <row r="845" ht="14.25" customHeight="1">
      <c r="A845" s="52"/>
      <c r="B845" s="52"/>
      <c r="C845" s="53"/>
      <c r="D845" s="53"/>
      <c r="E845" s="53"/>
      <c r="F845" s="53"/>
      <c r="G845" s="1"/>
    </row>
    <row r="846" ht="14.25" customHeight="1">
      <c r="A846" s="52"/>
      <c r="B846" s="52"/>
      <c r="C846" s="53"/>
      <c r="D846" s="53"/>
      <c r="E846" s="53"/>
      <c r="F846" s="53"/>
      <c r="G846" s="1"/>
    </row>
    <row r="847" ht="14.25" customHeight="1">
      <c r="A847" s="52"/>
      <c r="B847" s="52"/>
      <c r="C847" s="53"/>
      <c r="D847" s="53"/>
      <c r="E847" s="53"/>
      <c r="F847" s="53"/>
      <c r="G847" s="1"/>
    </row>
    <row r="848" ht="14.25" customHeight="1">
      <c r="A848" s="52"/>
      <c r="B848" s="52"/>
      <c r="C848" s="53"/>
      <c r="D848" s="53"/>
      <c r="E848" s="53"/>
      <c r="F848" s="53"/>
      <c r="G848" s="1"/>
    </row>
    <row r="849" ht="14.25" customHeight="1">
      <c r="A849" s="52"/>
      <c r="B849" s="52"/>
      <c r="C849" s="53"/>
      <c r="D849" s="53"/>
      <c r="E849" s="53"/>
      <c r="F849" s="53"/>
      <c r="G849" s="1"/>
    </row>
    <row r="850" ht="14.25" customHeight="1">
      <c r="A850" s="52"/>
      <c r="B850" s="52"/>
      <c r="C850" s="53"/>
      <c r="D850" s="53"/>
      <c r="E850" s="53"/>
      <c r="F850" s="53"/>
      <c r="G850" s="1"/>
    </row>
    <row r="851" ht="14.25" customHeight="1">
      <c r="A851" s="52"/>
      <c r="B851" s="52"/>
      <c r="C851" s="53"/>
      <c r="D851" s="53"/>
      <c r="E851" s="53"/>
      <c r="F851" s="53"/>
      <c r="G851" s="1"/>
    </row>
    <row r="852" ht="14.25" customHeight="1">
      <c r="A852" s="52"/>
      <c r="B852" s="52"/>
      <c r="C852" s="53"/>
      <c r="D852" s="53"/>
      <c r="E852" s="53"/>
      <c r="F852" s="53"/>
      <c r="G852" s="1"/>
    </row>
    <row r="853" ht="14.25" customHeight="1">
      <c r="A853" s="52"/>
      <c r="B853" s="52"/>
      <c r="C853" s="53"/>
      <c r="D853" s="53"/>
      <c r="E853" s="53"/>
      <c r="F853" s="53"/>
      <c r="G853" s="1"/>
    </row>
    <row r="854" ht="14.25" customHeight="1">
      <c r="A854" s="52"/>
      <c r="B854" s="52"/>
      <c r="C854" s="53"/>
      <c r="D854" s="53"/>
      <c r="E854" s="53"/>
      <c r="F854" s="53"/>
      <c r="G854" s="1"/>
    </row>
    <row r="855" ht="14.25" customHeight="1">
      <c r="A855" s="52"/>
      <c r="B855" s="52"/>
      <c r="C855" s="53"/>
      <c r="D855" s="53"/>
      <c r="E855" s="53"/>
      <c r="F855" s="53"/>
      <c r="G855" s="1"/>
    </row>
    <row r="856" ht="14.25" customHeight="1">
      <c r="A856" s="52"/>
      <c r="B856" s="52"/>
      <c r="C856" s="53"/>
      <c r="D856" s="53"/>
      <c r="E856" s="53"/>
      <c r="F856" s="53"/>
      <c r="G856" s="1"/>
    </row>
    <row r="857" ht="14.25" customHeight="1">
      <c r="A857" s="52"/>
      <c r="B857" s="52"/>
      <c r="C857" s="53"/>
      <c r="D857" s="53"/>
      <c r="E857" s="53"/>
      <c r="F857" s="53"/>
      <c r="G857" s="1"/>
    </row>
    <row r="858" ht="14.25" customHeight="1">
      <c r="A858" s="52"/>
      <c r="B858" s="52"/>
      <c r="C858" s="53"/>
      <c r="D858" s="53"/>
      <c r="E858" s="53"/>
      <c r="F858" s="53"/>
      <c r="G858" s="1"/>
    </row>
    <row r="859" ht="14.25" customHeight="1">
      <c r="A859" s="52"/>
      <c r="B859" s="52"/>
      <c r="C859" s="53"/>
      <c r="D859" s="53"/>
      <c r="E859" s="53"/>
      <c r="F859" s="53"/>
      <c r="G859" s="1"/>
    </row>
    <row r="860" ht="14.25" customHeight="1">
      <c r="A860" s="52"/>
      <c r="B860" s="52"/>
      <c r="C860" s="53"/>
      <c r="D860" s="53"/>
      <c r="E860" s="53"/>
      <c r="F860" s="53"/>
      <c r="G860" s="1"/>
    </row>
    <row r="861" ht="14.25" customHeight="1">
      <c r="A861" s="52"/>
      <c r="B861" s="52"/>
      <c r="C861" s="53"/>
      <c r="D861" s="53"/>
      <c r="E861" s="53"/>
      <c r="F861" s="53"/>
      <c r="G861" s="1"/>
    </row>
    <row r="862" ht="14.25" customHeight="1">
      <c r="A862" s="52"/>
      <c r="B862" s="52"/>
      <c r="C862" s="53"/>
      <c r="D862" s="53"/>
      <c r="E862" s="53"/>
      <c r="F862" s="53"/>
      <c r="G862" s="1"/>
    </row>
    <row r="863" ht="14.25" customHeight="1">
      <c r="A863" s="52"/>
      <c r="B863" s="52"/>
      <c r="C863" s="53"/>
      <c r="D863" s="53"/>
      <c r="E863" s="53"/>
      <c r="F863" s="53"/>
      <c r="G863" s="1"/>
    </row>
    <row r="864" ht="14.25" customHeight="1">
      <c r="A864" s="52"/>
      <c r="B864" s="52"/>
      <c r="C864" s="53"/>
      <c r="D864" s="53"/>
      <c r="E864" s="53"/>
      <c r="F864" s="53"/>
      <c r="G864" s="1"/>
    </row>
    <row r="865" ht="14.25" customHeight="1">
      <c r="A865" s="52"/>
      <c r="B865" s="52"/>
      <c r="C865" s="53"/>
      <c r="D865" s="53"/>
      <c r="E865" s="53"/>
      <c r="F865" s="53"/>
      <c r="G865" s="1"/>
    </row>
    <row r="866" ht="14.25" customHeight="1">
      <c r="A866" s="52"/>
      <c r="B866" s="52"/>
      <c r="C866" s="53"/>
      <c r="D866" s="53"/>
      <c r="E866" s="53"/>
      <c r="F866" s="53"/>
      <c r="G866" s="1"/>
    </row>
    <row r="867" ht="14.25" customHeight="1">
      <c r="A867" s="52"/>
      <c r="B867" s="52"/>
      <c r="C867" s="53"/>
      <c r="D867" s="53"/>
      <c r="E867" s="53"/>
      <c r="F867" s="53"/>
      <c r="G867" s="1"/>
    </row>
    <row r="868" ht="14.25" customHeight="1">
      <c r="A868" s="52"/>
      <c r="B868" s="52"/>
      <c r="C868" s="53"/>
      <c r="D868" s="53"/>
      <c r="E868" s="53"/>
      <c r="F868" s="53"/>
      <c r="G868" s="1"/>
    </row>
    <row r="869" ht="14.25" customHeight="1">
      <c r="A869" s="52"/>
      <c r="B869" s="52"/>
      <c r="C869" s="53"/>
      <c r="D869" s="53"/>
      <c r="E869" s="53"/>
      <c r="F869" s="53"/>
      <c r="G869" s="1"/>
    </row>
    <row r="870" ht="14.25" customHeight="1">
      <c r="A870" s="52"/>
      <c r="B870" s="52"/>
      <c r="C870" s="53"/>
      <c r="D870" s="53"/>
      <c r="E870" s="53"/>
      <c r="F870" s="53"/>
      <c r="G870" s="1"/>
    </row>
    <row r="871" ht="14.25" customHeight="1">
      <c r="A871" s="52"/>
      <c r="B871" s="52"/>
      <c r="C871" s="53"/>
      <c r="D871" s="53"/>
      <c r="E871" s="53"/>
      <c r="F871" s="53"/>
      <c r="G871" s="1"/>
    </row>
    <row r="872" ht="14.25" customHeight="1">
      <c r="A872" s="52"/>
      <c r="B872" s="52"/>
      <c r="C872" s="53"/>
      <c r="D872" s="53"/>
      <c r="E872" s="53"/>
      <c r="F872" s="53"/>
      <c r="G872" s="1"/>
    </row>
    <row r="873" ht="14.25" customHeight="1">
      <c r="A873" s="52"/>
      <c r="B873" s="52"/>
      <c r="C873" s="53"/>
      <c r="D873" s="53"/>
      <c r="E873" s="53"/>
      <c r="F873" s="53"/>
      <c r="G873" s="1"/>
    </row>
    <row r="874" ht="14.25" customHeight="1">
      <c r="A874" s="52"/>
      <c r="B874" s="52"/>
      <c r="C874" s="53"/>
      <c r="D874" s="53"/>
      <c r="E874" s="53"/>
      <c r="F874" s="53"/>
      <c r="G874" s="1"/>
    </row>
    <row r="875" ht="14.25" customHeight="1">
      <c r="A875" s="52"/>
      <c r="B875" s="52"/>
      <c r="C875" s="53"/>
      <c r="D875" s="53"/>
      <c r="E875" s="53"/>
      <c r="F875" s="53"/>
      <c r="G875" s="1"/>
    </row>
    <row r="876" ht="14.25" customHeight="1">
      <c r="A876" s="52"/>
      <c r="B876" s="52"/>
      <c r="C876" s="53"/>
      <c r="D876" s="53"/>
      <c r="E876" s="53"/>
      <c r="F876" s="53"/>
      <c r="G876" s="1"/>
    </row>
    <row r="877" ht="14.25" customHeight="1">
      <c r="A877" s="52"/>
      <c r="B877" s="52"/>
      <c r="C877" s="53"/>
      <c r="D877" s="53"/>
      <c r="E877" s="53"/>
      <c r="F877" s="53"/>
      <c r="G877" s="1"/>
    </row>
    <row r="878" ht="14.25" customHeight="1">
      <c r="A878" s="52"/>
      <c r="B878" s="52"/>
      <c r="C878" s="53"/>
      <c r="D878" s="53"/>
      <c r="E878" s="53"/>
      <c r="F878" s="53"/>
      <c r="G878" s="1"/>
    </row>
    <row r="879" ht="14.25" customHeight="1">
      <c r="A879" s="52"/>
      <c r="B879" s="52"/>
      <c r="C879" s="53"/>
      <c r="D879" s="53"/>
      <c r="E879" s="53"/>
      <c r="F879" s="53"/>
      <c r="G879" s="1"/>
    </row>
    <row r="880" ht="14.25" customHeight="1">
      <c r="A880" s="52"/>
      <c r="B880" s="52"/>
      <c r="C880" s="53"/>
      <c r="D880" s="53"/>
      <c r="E880" s="53"/>
      <c r="F880" s="53"/>
      <c r="G880" s="1"/>
    </row>
    <row r="881" ht="14.25" customHeight="1">
      <c r="A881" s="52"/>
      <c r="B881" s="52"/>
      <c r="C881" s="53"/>
      <c r="D881" s="53"/>
      <c r="E881" s="53"/>
      <c r="F881" s="53"/>
      <c r="G881" s="1"/>
    </row>
    <row r="882" ht="14.25" customHeight="1">
      <c r="A882" s="52"/>
      <c r="B882" s="52"/>
      <c r="C882" s="53"/>
      <c r="D882" s="53"/>
      <c r="E882" s="53"/>
      <c r="F882" s="53"/>
      <c r="G882" s="1"/>
    </row>
    <row r="883" ht="14.25" customHeight="1">
      <c r="A883" s="52"/>
      <c r="B883" s="52"/>
      <c r="C883" s="53"/>
      <c r="D883" s="53"/>
      <c r="E883" s="53"/>
      <c r="F883" s="53"/>
      <c r="G883" s="1"/>
    </row>
    <row r="884" ht="14.25" customHeight="1">
      <c r="A884" s="52"/>
      <c r="B884" s="52"/>
      <c r="C884" s="53"/>
      <c r="D884" s="53"/>
      <c r="E884" s="53"/>
      <c r="F884" s="53"/>
      <c r="G884" s="1"/>
    </row>
    <row r="885" ht="14.25" customHeight="1">
      <c r="A885" s="52"/>
      <c r="B885" s="52"/>
      <c r="C885" s="53"/>
      <c r="D885" s="53"/>
      <c r="E885" s="53"/>
      <c r="F885" s="53"/>
      <c r="G885" s="1"/>
    </row>
    <row r="886" ht="14.25" customHeight="1">
      <c r="A886" s="52"/>
      <c r="B886" s="52"/>
      <c r="C886" s="53"/>
      <c r="D886" s="53"/>
      <c r="E886" s="53"/>
      <c r="F886" s="53"/>
      <c r="G886" s="1"/>
    </row>
    <row r="887" ht="14.25" customHeight="1">
      <c r="A887" s="52"/>
      <c r="B887" s="52"/>
      <c r="C887" s="53"/>
      <c r="D887" s="53"/>
      <c r="E887" s="53"/>
      <c r="F887" s="53"/>
      <c r="G887" s="1"/>
    </row>
    <row r="888" ht="14.25" customHeight="1">
      <c r="A888" s="52"/>
      <c r="B888" s="52"/>
      <c r="C888" s="53"/>
      <c r="D888" s="53"/>
      <c r="E888" s="53"/>
      <c r="F888" s="53"/>
      <c r="G888" s="1"/>
    </row>
    <row r="889" ht="14.25" customHeight="1">
      <c r="A889" s="52"/>
      <c r="B889" s="52"/>
      <c r="C889" s="53"/>
      <c r="D889" s="53"/>
      <c r="E889" s="53"/>
      <c r="F889" s="53"/>
      <c r="G889" s="1"/>
    </row>
    <row r="890" ht="14.25" customHeight="1">
      <c r="A890" s="52"/>
      <c r="B890" s="52"/>
      <c r="C890" s="53"/>
      <c r="D890" s="53"/>
      <c r="E890" s="53"/>
      <c r="F890" s="53"/>
      <c r="G890" s="1"/>
    </row>
    <row r="891" ht="14.25" customHeight="1">
      <c r="A891" s="52"/>
      <c r="B891" s="52"/>
      <c r="C891" s="53"/>
      <c r="D891" s="53"/>
      <c r="E891" s="53"/>
      <c r="F891" s="53"/>
      <c r="G891" s="1"/>
    </row>
    <row r="892" ht="14.25" customHeight="1">
      <c r="A892" s="52"/>
      <c r="B892" s="52"/>
      <c r="C892" s="53"/>
      <c r="D892" s="53"/>
      <c r="E892" s="53"/>
      <c r="F892" s="53"/>
      <c r="G892" s="1"/>
    </row>
    <row r="893" ht="14.25" customHeight="1">
      <c r="A893" s="52"/>
      <c r="B893" s="52"/>
      <c r="C893" s="53"/>
      <c r="D893" s="53"/>
      <c r="E893" s="53"/>
      <c r="F893" s="53"/>
      <c r="G893" s="1"/>
    </row>
    <row r="894" ht="14.25" customHeight="1">
      <c r="A894" s="52"/>
      <c r="B894" s="52"/>
      <c r="C894" s="53"/>
      <c r="D894" s="53"/>
      <c r="E894" s="53"/>
      <c r="F894" s="53"/>
      <c r="G894" s="1"/>
    </row>
    <row r="895" ht="14.25" customHeight="1">
      <c r="A895" s="52"/>
      <c r="B895" s="52"/>
      <c r="C895" s="53"/>
      <c r="D895" s="53"/>
      <c r="E895" s="53"/>
      <c r="F895" s="53"/>
      <c r="G895" s="1"/>
    </row>
    <row r="896" ht="14.25" customHeight="1">
      <c r="A896" s="52"/>
      <c r="B896" s="52"/>
      <c r="C896" s="53"/>
      <c r="D896" s="53"/>
      <c r="E896" s="53"/>
      <c r="F896" s="53"/>
      <c r="G896" s="1"/>
    </row>
    <row r="897" ht="14.25" customHeight="1">
      <c r="A897" s="52"/>
      <c r="B897" s="52"/>
      <c r="C897" s="53"/>
      <c r="D897" s="53"/>
      <c r="E897" s="53"/>
      <c r="F897" s="53"/>
      <c r="G897" s="1"/>
    </row>
    <row r="898" ht="14.25" customHeight="1">
      <c r="A898" s="52"/>
      <c r="B898" s="52"/>
      <c r="C898" s="53"/>
      <c r="D898" s="53"/>
      <c r="E898" s="53"/>
      <c r="F898" s="53"/>
      <c r="G898" s="1"/>
    </row>
    <row r="899" ht="14.25" customHeight="1">
      <c r="A899" s="52"/>
      <c r="B899" s="52"/>
      <c r="C899" s="53"/>
      <c r="D899" s="53"/>
      <c r="E899" s="53"/>
      <c r="F899" s="53"/>
      <c r="G899" s="1"/>
    </row>
    <row r="900" ht="14.25" customHeight="1">
      <c r="A900" s="52"/>
      <c r="B900" s="52"/>
      <c r="C900" s="53"/>
      <c r="D900" s="53"/>
      <c r="E900" s="53"/>
      <c r="F900" s="53"/>
      <c r="G900" s="1"/>
    </row>
    <row r="901" ht="14.25" customHeight="1">
      <c r="A901" s="52"/>
      <c r="B901" s="52"/>
      <c r="C901" s="53"/>
      <c r="D901" s="53"/>
      <c r="E901" s="53"/>
      <c r="F901" s="53"/>
      <c r="G901" s="1"/>
    </row>
    <row r="902" ht="14.25" customHeight="1">
      <c r="A902" s="52"/>
      <c r="B902" s="52"/>
      <c r="C902" s="53"/>
      <c r="D902" s="53"/>
      <c r="E902" s="53"/>
      <c r="F902" s="53"/>
      <c r="G902" s="1"/>
    </row>
    <row r="903" ht="14.25" customHeight="1">
      <c r="A903" s="52"/>
      <c r="B903" s="52"/>
      <c r="C903" s="53"/>
      <c r="D903" s="53"/>
      <c r="E903" s="53"/>
      <c r="F903" s="53"/>
      <c r="G903" s="1"/>
    </row>
    <row r="904" ht="14.25" customHeight="1">
      <c r="A904" s="52"/>
      <c r="B904" s="52"/>
      <c r="C904" s="53"/>
      <c r="D904" s="53"/>
      <c r="E904" s="53"/>
      <c r="F904" s="53"/>
      <c r="G904" s="1"/>
    </row>
    <row r="905" ht="14.25" customHeight="1">
      <c r="A905" s="52"/>
      <c r="B905" s="52"/>
      <c r="C905" s="53"/>
      <c r="D905" s="53"/>
      <c r="E905" s="53"/>
      <c r="F905" s="53"/>
      <c r="G905" s="1"/>
    </row>
    <row r="906" ht="14.25" customHeight="1">
      <c r="A906" s="52"/>
      <c r="B906" s="52"/>
      <c r="C906" s="53"/>
      <c r="D906" s="53"/>
      <c r="E906" s="53"/>
      <c r="F906" s="53"/>
      <c r="G906" s="1"/>
    </row>
    <row r="907" ht="14.25" customHeight="1">
      <c r="A907" s="52"/>
      <c r="B907" s="52"/>
      <c r="C907" s="53"/>
      <c r="D907" s="53"/>
      <c r="E907" s="53"/>
      <c r="F907" s="53"/>
      <c r="G907" s="1"/>
    </row>
    <row r="908" ht="14.25" customHeight="1">
      <c r="A908" s="52"/>
      <c r="B908" s="52"/>
      <c r="C908" s="53"/>
      <c r="D908" s="53"/>
      <c r="E908" s="53"/>
      <c r="F908" s="53"/>
      <c r="G908" s="1"/>
    </row>
    <row r="909" ht="14.25" customHeight="1">
      <c r="A909" s="52"/>
      <c r="B909" s="52"/>
      <c r="C909" s="53"/>
      <c r="D909" s="53"/>
      <c r="E909" s="53"/>
      <c r="F909" s="53"/>
      <c r="G909" s="1"/>
    </row>
    <row r="910" ht="14.25" customHeight="1">
      <c r="A910" s="52"/>
      <c r="B910" s="52"/>
      <c r="C910" s="53"/>
      <c r="D910" s="53"/>
      <c r="E910" s="53"/>
      <c r="F910" s="53"/>
      <c r="G910" s="1"/>
    </row>
    <row r="911" ht="14.25" customHeight="1">
      <c r="A911" s="52"/>
      <c r="B911" s="52"/>
      <c r="C911" s="53"/>
      <c r="D911" s="53"/>
      <c r="E911" s="53"/>
      <c r="F911" s="53"/>
      <c r="G911" s="1"/>
    </row>
    <row r="912" ht="14.25" customHeight="1">
      <c r="A912" s="52"/>
      <c r="B912" s="52"/>
      <c r="C912" s="53"/>
      <c r="D912" s="53"/>
      <c r="E912" s="53"/>
      <c r="F912" s="53"/>
      <c r="G912" s="1"/>
    </row>
    <row r="913" ht="14.25" customHeight="1">
      <c r="A913" s="52"/>
      <c r="B913" s="52"/>
      <c r="C913" s="53"/>
      <c r="D913" s="53"/>
      <c r="E913" s="53"/>
      <c r="F913" s="53"/>
      <c r="G913" s="1"/>
    </row>
    <row r="914" ht="14.25" customHeight="1">
      <c r="A914" s="52"/>
      <c r="B914" s="52"/>
      <c r="C914" s="53"/>
      <c r="D914" s="53"/>
      <c r="E914" s="53"/>
      <c r="F914" s="53"/>
      <c r="G914" s="1"/>
    </row>
    <row r="915" ht="14.25" customHeight="1">
      <c r="A915" s="52"/>
      <c r="B915" s="52"/>
      <c r="C915" s="53"/>
      <c r="D915" s="53"/>
      <c r="E915" s="53"/>
      <c r="F915" s="53"/>
      <c r="G915" s="1"/>
    </row>
    <row r="916" ht="14.25" customHeight="1">
      <c r="A916" s="52"/>
      <c r="B916" s="52"/>
      <c r="C916" s="53"/>
      <c r="D916" s="53"/>
      <c r="E916" s="53"/>
      <c r="F916" s="53"/>
      <c r="G916" s="1"/>
    </row>
    <row r="917" ht="14.25" customHeight="1">
      <c r="A917" s="52"/>
      <c r="B917" s="52"/>
      <c r="C917" s="53"/>
      <c r="D917" s="53"/>
      <c r="E917" s="53"/>
      <c r="F917" s="53"/>
      <c r="G917" s="1"/>
    </row>
    <row r="918" ht="14.25" customHeight="1">
      <c r="A918" s="52"/>
      <c r="B918" s="52"/>
      <c r="C918" s="53"/>
      <c r="D918" s="53"/>
      <c r="E918" s="53"/>
      <c r="F918" s="53"/>
      <c r="G918" s="1"/>
    </row>
    <row r="919" ht="14.25" customHeight="1">
      <c r="A919" s="52"/>
      <c r="B919" s="52"/>
      <c r="C919" s="53"/>
      <c r="D919" s="53"/>
      <c r="E919" s="53"/>
      <c r="F919" s="53"/>
      <c r="G919" s="1"/>
    </row>
    <row r="920" ht="14.25" customHeight="1">
      <c r="A920" s="52"/>
      <c r="B920" s="52"/>
      <c r="C920" s="53"/>
      <c r="D920" s="53"/>
      <c r="E920" s="53"/>
      <c r="F920" s="53"/>
      <c r="G920" s="1"/>
    </row>
    <row r="921" ht="14.25" customHeight="1">
      <c r="A921" s="52"/>
      <c r="B921" s="52"/>
      <c r="C921" s="53"/>
      <c r="D921" s="53"/>
      <c r="E921" s="53"/>
      <c r="F921" s="53"/>
      <c r="G921" s="1"/>
    </row>
    <row r="922" ht="14.25" customHeight="1">
      <c r="A922" s="52"/>
      <c r="B922" s="52"/>
      <c r="C922" s="53"/>
      <c r="D922" s="53"/>
      <c r="E922" s="53"/>
      <c r="F922" s="53"/>
      <c r="G922" s="1"/>
    </row>
    <row r="923" ht="14.25" customHeight="1">
      <c r="A923" s="52"/>
      <c r="B923" s="52"/>
      <c r="C923" s="53"/>
      <c r="D923" s="53"/>
      <c r="E923" s="53"/>
      <c r="F923" s="53"/>
      <c r="G923" s="1"/>
    </row>
    <row r="924" ht="14.25" customHeight="1">
      <c r="A924" s="52"/>
      <c r="B924" s="52"/>
      <c r="C924" s="53"/>
      <c r="D924" s="53"/>
      <c r="E924" s="53"/>
      <c r="F924" s="53"/>
      <c r="G924" s="1"/>
    </row>
    <row r="925" ht="14.25" customHeight="1">
      <c r="A925" s="52"/>
      <c r="B925" s="52"/>
      <c r="C925" s="53"/>
      <c r="D925" s="53"/>
      <c r="E925" s="53"/>
      <c r="F925" s="53"/>
      <c r="G925" s="1"/>
    </row>
    <row r="926" ht="14.25" customHeight="1">
      <c r="A926" s="52"/>
      <c r="B926" s="52"/>
      <c r="C926" s="53"/>
      <c r="D926" s="53"/>
      <c r="E926" s="53"/>
      <c r="F926" s="53"/>
      <c r="G926" s="1"/>
    </row>
    <row r="927" ht="14.25" customHeight="1">
      <c r="A927" s="52"/>
      <c r="B927" s="52"/>
      <c r="C927" s="53"/>
      <c r="D927" s="53"/>
      <c r="E927" s="53"/>
      <c r="F927" s="53"/>
      <c r="G927" s="1"/>
    </row>
    <row r="928" ht="14.25" customHeight="1">
      <c r="A928" s="52"/>
      <c r="B928" s="52"/>
      <c r="C928" s="53"/>
      <c r="D928" s="53"/>
      <c r="E928" s="53"/>
      <c r="F928" s="53"/>
      <c r="G928" s="1"/>
    </row>
    <row r="929" ht="14.25" customHeight="1">
      <c r="A929" s="52"/>
      <c r="B929" s="52"/>
      <c r="C929" s="53"/>
      <c r="D929" s="53"/>
      <c r="E929" s="53"/>
      <c r="F929" s="53"/>
      <c r="G929" s="1"/>
    </row>
    <row r="930" ht="14.25" customHeight="1">
      <c r="A930" s="52"/>
      <c r="B930" s="52"/>
      <c r="C930" s="53"/>
      <c r="D930" s="53"/>
      <c r="E930" s="53"/>
      <c r="F930" s="53"/>
      <c r="G930" s="1"/>
    </row>
    <row r="931" ht="14.25" customHeight="1">
      <c r="A931" s="52"/>
      <c r="B931" s="52"/>
      <c r="C931" s="53"/>
      <c r="D931" s="53"/>
      <c r="E931" s="53"/>
      <c r="F931" s="53"/>
      <c r="G931" s="1"/>
    </row>
    <row r="932" ht="14.25" customHeight="1">
      <c r="A932" s="52"/>
      <c r="B932" s="52"/>
      <c r="C932" s="53"/>
      <c r="D932" s="53"/>
      <c r="E932" s="53"/>
      <c r="F932" s="53"/>
      <c r="G932" s="1"/>
    </row>
    <row r="933" ht="14.25" customHeight="1">
      <c r="A933" s="52"/>
      <c r="B933" s="52"/>
      <c r="C933" s="53"/>
      <c r="D933" s="53"/>
      <c r="E933" s="53"/>
      <c r="F933" s="53"/>
      <c r="G933" s="1"/>
    </row>
    <row r="934" ht="14.25" customHeight="1">
      <c r="A934" s="52"/>
      <c r="B934" s="52"/>
      <c r="C934" s="53"/>
      <c r="D934" s="53"/>
      <c r="E934" s="53"/>
      <c r="F934" s="53"/>
      <c r="G934" s="1"/>
    </row>
    <row r="935" ht="14.25" customHeight="1">
      <c r="A935" s="52"/>
      <c r="B935" s="52"/>
      <c r="C935" s="53"/>
      <c r="D935" s="53"/>
      <c r="E935" s="53"/>
      <c r="F935" s="53"/>
      <c r="G935" s="1"/>
    </row>
    <row r="936" ht="14.25" customHeight="1">
      <c r="A936" s="52"/>
      <c r="B936" s="52"/>
      <c r="C936" s="53"/>
      <c r="D936" s="53"/>
      <c r="E936" s="53"/>
      <c r="F936" s="53"/>
      <c r="G936" s="1"/>
    </row>
    <row r="937" ht="14.25" customHeight="1">
      <c r="A937" s="52"/>
      <c r="B937" s="52"/>
      <c r="C937" s="53"/>
      <c r="D937" s="53"/>
      <c r="E937" s="53"/>
      <c r="F937" s="53"/>
      <c r="G937" s="1"/>
    </row>
    <row r="938" ht="14.25" customHeight="1">
      <c r="A938" s="52"/>
      <c r="B938" s="52"/>
      <c r="C938" s="53"/>
      <c r="D938" s="53"/>
      <c r="E938" s="53"/>
      <c r="F938" s="53"/>
      <c r="G938" s="1"/>
    </row>
    <row r="939" ht="14.25" customHeight="1">
      <c r="A939" s="52"/>
      <c r="B939" s="52"/>
      <c r="C939" s="53"/>
      <c r="D939" s="53"/>
      <c r="E939" s="53"/>
      <c r="F939" s="53"/>
      <c r="G939" s="1"/>
    </row>
    <row r="940" ht="14.25" customHeight="1">
      <c r="A940" s="52"/>
      <c r="B940" s="52"/>
      <c r="C940" s="53"/>
      <c r="D940" s="53"/>
      <c r="E940" s="53"/>
      <c r="F940" s="53"/>
      <c r="G940" s="1"/>
    </row>
    <row r="941" ht="14.25" customHeight="1">
      <c r="A941" s="52"/>
      <c r="B941" s="52"/>
      <c r="C941" s="53"/>
      <c r="D941" s="53"/>
      <c r="E941" s="53"/>
      <c r="F941" s="53"/>
      <c r="G941" s="1"/>
    </row>
    <row r="942" ht="14.25" customHeight="1">
      <c r="A942" s="52"/>
      <c r="B942" s="52"/>
      <c r="C942" s="53"/>
      <c r="D942" s="53"/>
      <c r="E942" s="53"/>
      <c r="F942" s="53"/>
      <c r="G942" s="1"/>
    </row>
    <row r="943" ht="14.25" customHeight="1">
      <c r="A943" s="52"/>
      <c r="B943" s="52"/>
      <c r="C943" s="53"/>
      <c r="D943" s="53"/>
      <c r="E943" s="53"/>
      <c r="F943" s="53"/>
      <c r="G943" s="1"/>
    </row>
    <row r="944" ht="14.25" customHeight="1">
      <c r="A944" s="52"/>
      <c r="B944" s="52"/>
      <c r="C944" s="53"/>
      <c r="D944" s="53"/>
      <c r="E944" s="53"/>
      <c r="F944" s="53"/>
      <c r="G944" s="1"/>
    </row>
    <row r="945" ht="14.25" customHeight="1">
      <c r="A945" s="52"/>
      <c r="B945" s="52"/>
      <c r="C945" s="53"/>
      <c r="D945" s="53"/>
      <c r="E945" s="53"/>
      <c r="F945" s="53"/>
      <c r="G945" s="1"/>
    </row>
    <row r="946" ht="14.25" customHeight="1">
      <c r="A946" s="52"/>
      <c r="B946" s="52"/>
      <c r="C946" s="53"/>
      <c r="D946" s="53"/>
      <c r="E946" s="53"/>
      <c r="F946" s="53"/>
      <c r="G946" s="1"/>
    </row>
    <row r="947" ht="14.25" customHeight="1">
      <c r="A947" s="52"/>
      <c r="B947" s="52"/>
      <c r="C947" s="53"/>
      <c r="D947" s="53"/>
      <c r="E947" s="53"/>
      <c r="F947" s="53"/>
      <c r="G947" s="1"/>
    </row>
    <row r="948" ht="14.25" customHeight="1">
      <c r="A948" s="52"/>
      <c r="B948" s="52"/>
      <c r="C948" s="53"/>
      <c r="D948" s="53"/>
      <c r="E948" s="53"/>
      <c r="F948" s="53"/>
      <c r="G948" s="1"/>
    </row>
    <row r="949" ht="14.25" customHeight="1">
      <c r="A949" s="52"/>
      <c r="B949" s="52"/>
      <c r="C949" s="53"/>
      <c r="D949" s="53"/>
      <c r="E949" s="53"/>
      <c r="F949" s="53"/>
      <c r="G949" s="1"/>
    </row>
    <row r="950" ht="14.25" customHeight="1">
      <c r="A950" s="52"/>
      <c r="B950" s="52"/>
      <c r="C950" s="53"/>
      <c r="D950" s="53"/>
      <c r="E950" s="53"/>
      <c r="F950" s="53"/>
      <c r="G950" s="1"/>
    </row>
    <row r="951" ht="14.25" customHeight="1">
      <c r="A951" s="52"/>
      <c r="B951" s="52"/>
      <c r="C951" s="53"/>
      <c r="D951" s="53"/>
      <c r="E951" s="53"/>
      <c r="F951" s="53"/>
      <c r="G951" s="1"/>
    </row>
    <row r="952" ht="14.25" customHeight="1">
      <c r="A952" s="52"/>
      <c r="B952" s="52"/>
      <c r="C952" s="53"/>
      <c r="D952" s="53"/>
      <c r="E952" s="53"/>
      <c r="F952" s="53"/>
      <c r="G952" s="1"/>
    </row>
    <row r="953" ht="14.25" customHeight="1">
      <c r="A953" s="52"/>
      <c r="B953" s="52"/>
      <c r="C953" s="53"/>
      <c r="D953" s="53"/>
      <c r="E953" s="53"/>
      <c r="F953" s="53"/>
      <c r="G953" s="1"/>
    </row>
    <row r="954" ht="14.25" customHeight="1">
      <c r="A954" s="52"/>
      <c r="B954" s="52"/>
      <c r="C954" s="53"/>
      <c r="D954" s="53"/>
      <c r="E954" s="53"/>
      <c r="F954" s="53"/>
      <c r="G954" s="1"/>
    </row>
    <row r="955" ht="14.25" customHeight="1">
      <c r="A955" s="52"/>
      <c r="B955" s="52"/>
      <c r="C955" s="53"/>
      <c r="D955" s="53"/>
      <c r="E955" s="53"/>
      <c r="F955" s="53"/>
      <c r="G955" s="1"/>
    </row>
    <row r="956" ht="14.25" customHeight="1">
      <c r="A956" s="52"/>
      <c r="B956" s="52"/>
      <c r="C956" s="53"/>
      <c r="D956" s="53"/>
      <c r="E956" s="53"/>
      <c r="F956" s="53"/>
      <c r="G956" s="1"/>
    </row>
    <row r="957" ht="14.25" customHeight="1">
      <c r="A957" s="52"/>
      <c r="B957" s="52"/>
      <c r="C957" s="53"/>
      <c r="D957" s="53"/>
      <c r="E957" s="53"/>
      <c r="F957" s="53"/>
      <c r="G957" s="1"/>
    </row>
    <row r="958" ht="14.25" customHeight="1">
      <c r="A958" s="52"/>
      <c r="B958" s="52"/>
      <c r="C958" s="53"/>
      <c r="D958" s="53"/>
      <c r="E958" s="53"/>
      <c r="F958" s="53"/>
      <c r="G958" s="1"/>
    </row>
    <row r="959" ht="14.25" customHeight="1">
      <c r="A959" s="52"/>
      <c r="B959" s="52"/>
      <c r="C959" s="53"/>
      <c r="D959" s="53"/>
      <c r="E959" s="53"/>
      <c r="F959" s="53"/>
      <c r="G959" s="1"/>
    </row>
    <row r="960" ht="14.25" customHeight="1">
      <c r="A960" s="52"/>
      <c r="B960" s="52"/>
      <c r="C960" s="53"/>
      <c r="D960" s="53"/>
      <c r="E960" s="53"/>
      <c r="F960" s="53"/>
      <c r="G960" s="1"/>
    </row>
    <row r="961" ht="14.25" customHeight="1">
      <c r="A961" s="52"/>
      <c r="B961" s="52"/>
      <c r="C961" s="53"/>
      <c r="D961" s="53"/>
      <c r="E961" s="53"/>
      <c r="F961" s="53"/>
      <c r="G961" s="1"/>
    </row>
    <row r="962" ht="14.25" customHeight="1">
      <c r="A962" s="52"/>
      <c r="B962" s="52"/>
      <c r="C962" s="53"/>
      <c r="D962" s="53"/>
      <c r="E962" s="53"/>
      <c r="F962" s="53"/>
      <c r="G962" s="1"/>
    </row>
    <row r="963" ht="14.25" customHeight="1">
      <c r="A963" s="52"/>
      <c r="B963" s="52"/>
      <c r="C963" s="53"/>
      <c r="D963" s="53"/>
      <c r="E963" s="53"/>
      <c r="F963" s="53"/>
      <c r="G963" s="1"/>
    </row>
    <row r="964" ht="14.25" customHeight="1">
      <c r="A964" s="52"/>
      <c r="B964" s="52"/>
      <c r="C964" s="53"/>
      <c r="D964" s="53"/>
      <c r="E964" s="53"/>
      <c r="F964" s="53"/>
      <c r="G964" s="1"/>
    </row>
    <row r="965" ht="14.25" customHeight="1">
      <c r="A965" s="52"/>
      <c r="B965" s="52"/>
      <c r="C965" s="53"/>
      <c r="D965" s="53"/>
      <c r="E965" s="53"/>
      <c r="F965" s="53"/>
      <c r="G965" s="1"/>
    </row>
    <row r="966" ht="14.25" customHeight="1">
      <c r="A966" s="52"/>
      <c r="B966" s="52"/>
      <c r="C966" s="53"/>
      <c r="D966" s="53"/>
      <c r="E966" s="53"/>
      <c r="F966" s="53"/>
      <c r="G966" s="1"/>
    </row>
    <row r="967" ht="14.25" customHeight="1">
      <c r="A967" s="52"/>
      <c r="B967" s="52"/>
      <c r="C967" s="53"/>
      <c r="D967" s="53"/>
      <c r="E967" s="53"/>
      <c r="F967" s="53"/>
      <c r="G967" s="1"/>
    </row>
    <row r="968" ht="14.25" customHeight="1">
      <c r="A968" s="52"/>
      <c r="B968" s="52"/>
      <c r="C968" s="53"/>
      <c r="D968" s="53"/>
      <c r="E968" s="53"/>
      <c r="F968" s="53"/>
      <c r="G968" s="1"/>
    </row>
    <row r="969" ht="14.25" customHeight="1">
      <c r="A969" s="52"/>
      <c r="B969" s="52"/>
      <c r="C969" s="53"/>
      <c r="D969" s="53"/>
      <c r="E969" s="53"/>
      <c r="F969" s="53"/>
      <c r="G969" s="1"/>
    </row>
    <row r="970" ht="14.25" customHeight="1">
      <c r="A970" s="52"/>
      <c r="B970" s="52"/>
      <c r="C970" s="53"/>
      <c r="D970" s="53"/>
      <c r="E970" s="53"/>
      <c r="F970" s="53"/>
      <c r="G970" s="1"/>
    </row>
    <row r="971" ht="14.25" customHeight="1">
      <c r="A971" s="52"/>
      <c r="B971" s="52"/>
      <c r="C971" s="53"/>
      <c r="D971" s="53"/>
      <c r="E971" s="53"/>
      <c r="F971" s="53"/>
      <c r="G971" s="1"/>
    </row>
    <row r="972" ht="14.25" customHeight="1">
      <c r="A972" s="52"/>
      <c r="B972" s="52"/>
      <c r="C972" s="53"/>
      <c r="D972" s="53"/>
      <c r="E972" s="53"/>
      <c r="F972" s="53"/>
      <c r="G972" s="1"/>
    </row>
    <row r="973" ht="14.25" customHeight="1">
      <c r="A973" s="52"/>
      <c r="B973" s="52"/>
      <c r="C973" s="53"/>
      <c r="D973" s="53"/>
      <c r="E973" s="53"/>
      <c r="F973" s="53"/>
      <c r="G973" s="1"/>
    </row>
    <row r="974" ht="14.25" customHeight="1">
      <c r="A974" s="52"/>
      <c r="B974" s="52"/>
      <c r="C974" s="53"/>
      <c r="D974" s="53"/>
      <c r="E974" s="53"/>
      <c r="F974" s="53"/>
      <c r="G974" s="1"/>
    </row>
    <row r="975" ht="14.25" customHeight="1">
      <c r="A975" s="52"/>
      <c r="B975" s="52"/>
      <c r="C975" s="53"/>
      <c r="D975" s="53"/>
      <c r="E975" s="53"/>
      <c r="F975" s="53"/>
      <c r="G975" s="1"/>
    </row>
    <row r="976" ht="14.25" customHeight="1">
      <c r="A976" s="52"/>
      <c r="B976" s="52"/>
      <c r="C976" s="53"/>
      <c r="D976" s="53"/>
      <c r="E976" s="53"/>
      <c r="F976" s="53"/>
      <c r="G976" s="1"/>
    </row>
    <row r="977" ht="14.25" customHeight="1">
      <c r="A977" s="52"/>
      <c r="B977" s="52"/>
      <c r="C977" s="53"/>
      <c r="D977" s="53"/>
      <c r="E977" s="53"/>
      <c r="F977" s="53"/>
      <c r="G977" s="1"/>
    </row>
    <row r="978" ht="14.25" customHeight="1">
      <c r="A978" s="52"/>
      <c r="B978" s="52"/>
      <c r="C978" s="53"/>
      <c r="D978" s="53"/>
      <c r="E978" s="53"/>
      <c r="F978" s="53"/>
      <c r="G978" s="1"/>
    </row>
    <row r="979" ht="14.25" customHeight="1">
      <c r="A979" s="52"/>
      <c r="B979" s="52"/>
      <c r="C979" s="53"/>
      <c r="D979" s="53"/>
      <c r="E979" s="53"/>
      <c r="F979" s="53"/>
      <c r="G979" s="1"/>
    </row>
    <row r="980" ht="14.25" customHeight="1">
      <c r="A980" s="52"/>
      <c r="B980" s="52"/>
      <c r="C980" s="53"/>
      <c r="D980" s="53"/>
      <c r="E980" s="53"/>
      <c r="F980" s="53"/>
      <c r="G980" s="1"/>
    </row>
    <row r="981" ht="14.25" customHeight="1">
      <c r="A981" s="52"/>
      <c r="B981" s="52"/>
      <c r="C981" s="53"/>
      <c r="D981" s="53"/>
      <c r="E981" s="53"/>
      <c r="F981" s="53"/>
      <c r="G981" s="1"/>
    </row>
    <row r="982" ht="14.25" customHeight="1">
      <c r="A982" s="52"/>
      <c r="B982" s="52"/>
      <c r="C982" s="53"/>
      <c r="D982" s="53"/>
      <c r="E982" s="53"/>
      <c r="F982" s="53"/>
      <c r="G982" s="1"/>
    </row>
    <row r="983" ht="14.25" customHeight="1">
      <c r="A983" s="52"/>
      <c r="B983" s="52"/>
      <c r="C983" s="53"/>
      <c r="D983" s="53"/>
      <c r="E983" s="53"/>
      <c r="F983" s="53"/>
      <c r="G983" s="1"/>
    </row>
    <row r="984" ht="14.25" customHeight="1">
      <c r="A984" s="52"/>
      <c r="B984" s="52"/>
      <c r="C984" s="53"/>
      <c r="D984" s="53"/>
      <c r="E984" s="53"/>
      <c r="F984" s="53"/>
      <c r="G984" s="1"/>
    </row>
    <row r="985" ht="14.25" customHeight="1">
      <c r="A985" s="52"/>
      <c r="B985" s="52"/>
      <c r="C985" s="53"/>
      <c r="D985" s="53"/>
      <c r="E985" s="53"/>
      <c r="F985" s="53"/>
      <c r="G985" s="1"/>
    </row>
    <row r="986" ht="14.25" customHeight="1">
      <c r="A986" s="52"/>
      <c r="B986" s="52"/>
      <c r="C986" s="53"/>
      <c r="D986" s="53"/>
      <c r="E986" s="53"/>
      <c r="F986" s="53"/>
      <c r="G986" s="1"/>
    </row>
    <row r="987" ht="14.25" customHeight="1">
      <c r="A987" s="52"/>
      <c r="B987" s="52"/>
      <c r="C987" s="53"/>
      <c r="D987" s="53"/>
      <c r="E987" s="53"/>
      <c r="F987" s="53"/>
      <c r="G987" s="1"/>
    </row>
    <row r="988" ht="14.25" customHeight="1">
      <c r="A988" s="52"/>
      <c r="B988" s="52"/>
      <c r="C988" s="53"/>
      <c r="D988" s="53"/>
      <c r="E988" s="53"/>
      <c r="F988" s="53"/>
      <c r="G988" s="1"/>
    </row>
    <row r="989" ht="14.25" customHeight="1">
      <c r="A989" s="52"/>
      <c r="B989" s="52"/>
      <c r="C989" s="53"/>
      <c r="D989" s="53"/>
      <c r="E989" s="53"/>
      <c r="F989" s="53"/>
      <c r="G989" s="1"/>
    </row>
    <row r="990" ht="14.25" customHeight="1">
      <c r="A990" s="52"/>
      <c r="B990" s="52"/>
      <c r="C990" s="53"/>
      <c r="D990" s="53"/>
      <c r="E990" s="53"/>
      <c r="F990" s="53"/>
      <c r="G990" s="1"/>
    </row>
    <row r="991" ht="14.25" customHeight="1">
      <c r="A991" s="52"/>
      <c r="B991" s="52"/>
      <c r="C991" s="53"/>
      <c r="D991" s="53"/>
      <c r="E991" s="53"/>
      <c r="F991" s="53"/>
      <c r="G991" s="1"/>
    </row>
    <row r="992" ht="14.25" customHeight="1">
      <c r="A992" s="52"/>
      <c r="B992" s="52"/>
      <c r="C992" s="53"/>
      <c r="D992" s="53"/>
      <c r="E992" s="53"/>
      <c r="F992" s="53"/>
      <c r="G992" s="1"/>
    </row>
    <row r="993" ht="14.25" customHeight="1">
      <c r="A993" s="52"/>
      <c r="B993" s="52"/>
      <c r="C993" s="53"/>
      <c r="D993" s="53"/>
      <c r="E993" s="53"/>
      <c r="F993" s="53"/>
      <c r="G993" s="1"/>
    </row>
    <row r="994" ht="14.25" customHeight="1">
      <c r="A994" s="52"/>
      <c r="B994" s="52"/>
      <c r="C994" s="53"/>
      <c r="D994" s="53"/>
      <c r="E994" s="53"/>
      <c r="F994" s="53"/>
      <c r="G994" s="1"/>
    </row>
    <row r="995" ht="14.25" customHeight="1">
      <c r="A995" s="52"/>
      <c r="B995" s="52"/>
      <c r="C995" s="53"/>
      <c r="D995" s="53"/>
      <c r="E995" s="53"/>
      <c r="F995" s="53"/>
      <c r="G995" s="1"/>
    </row>
    <row r="996" ht="14.25" customHeight="1">
      <c r="A996" s="52"/>
      <c r="B996" s="52"/>
      <c r="C996" s="53"/>
      <c r="D996" s="53"/>
      <c r="E996" s="53"/>
      <c r="F996" s="53"/>
      <c r="G996" s="1"/>
    </row>
    <row r="997" ht="14.25" customHeight="1">
      <c r="A997" s="52"/>
      <c r="B997" s="52"/>
      <c r="C997" s="53"/>
      <c r="D997" s="53"/>
      <c r="E997" s="53"/>
      <c r="F997" s="53"/>
      <c r="G997" s="1"/>
    </row>
    <row r="998" ht="14.25" customHeight="1">
      <c r="A998" s="52"/>
      <c r="B998" s="52"/>
      <c r="C998" s="53"/>
      <c r="D998" s="53"/>
      <c r="E998" s="53"/>
      <c r="F998" s="53"/>
      <c r="G998" s="1"/>
    </row>
    <row r="999" ht="14.25" customHeight="1">
      <c r="A999" s="52"/>
      <c r="B999" s="52"/>
      <c r="C999" s="53"/>
      <c r="D999" s="53"/>
      <c r="E999" s="53"/>
      <c r="F999" s="53"/>
      <c r="G999" s="1"/>
    </row>
    <row r="1000" ht="14.25" customHeight="1">
      <c r="A1000" s="52"/>
      <c r="B1000" s="52"/>
      <c r="C1000" s="53"/>
      <c r="D1000" s="53"/>
      <c r="E1000" s="53"/>
      <c r="F1000" s="53"/>
      <c r="G1000" s="1"/>
    </row>
  </sheetData>
  <mergeCells count="6">
    <mergeCell ref="A2:G2"/>
    <mergeCell ref="A4:G4"/>
    <mergeCell ref="A5:G5"/>
    <mergeCell ref="A6:G6"/>
    <mergeCell ref="A7:G7"/>
    <mergeCell ref="A151:G151"/>
  </mergeCells>
  <hyperlinks>
    <hyperlink r:id="rId1" ref="D10"/>
    <hyperlink r:id="rId2" ref="D11"/>
    <hyperlink r:id="rId3" ref="D14"/>
    <hyperlink r:id="rId4" ref="D15"/>
    <hyperlink r:id="rId5" ref="D16"/>
    <hyperlink r:id="rId6" ref="D17"/>
    <hyperlink r:id="rId7" ref="D18"/>
    <hyperlink r:id="rId8" ref="D24"/>
    <hyperlink r:id="rId9" ref="D30"/>
    <hyperlink r:id="rId10" ref="D31"/>
    <hyperlink r:id="rId11" ref="D32"/>
    <hyperlink r:id="rId12" ref="D33"/>
    <hyperlink r:id="rId13" ref="D34"/>
    <hyperlink r:id="rId14" ref="D35"/>
    <hyperlink r:id="rId15" ref="D36"/>
    <hyperlink r:id="rId16" ref="D37"/>
    <hyperlink r:id="rId17" ref="D38"/>
    <hyperlink r:id="rId18" ref="D39"/>
    <hyperlink r:id="rId19" ref="D40"/>
    <hyperlink r:id="rId20" ref="D42"/>
    <hyperlink r:id="rId21" ref="D43"/>
    <hyperlink r:id="rId22" ref="D44"/>
    <hyperlink r:id="rId23" ref="D45"/>
    <hyperlink r:id="rId24" ref="D46"/>
    <hyperlink r:id="rId25" ref="D47"/>
    <hyperlink r:id="rId26" ref="D48"/>
    <hyperlink r:id="rId27" ref="D49"/>
    <hyperlink r:id="rId28" ref="D50"/>
    <hyperlink r:id="rId29" ref="D52"/>
    <hyperlink r:id="rId30" ref="D53"/>
    <hyperlink r:id="rId31" ref="D54"/>
    <hyperlink r:id="rId32" ref="D55"/>
    <hyperlink r:id="rId33" ref="D56"/>
    <hyperlink r:id="rId34" ref="D57"/>
    <hyperlink r:id="rId35" ref="D58"/>
    <hyperlink r:id="rId36" ref="D59"/>
    <hyperlink r:id="rId37" ref="D60"/>
    <hyperlink r:id="rId38" ref="D61"/>
    <hyperlink r:id="rId39" ref="D62"/>
    <hyperlink r:id="rId40" ref="D63"/>
    <hyperlink r:id="rId41" ref="D64"/>
    <hyperlink r:id="rId42" ref="D65"/>
    <hyperlink r:id="rId43" ref="D66"/>
    <hyperlink r:id="rId44" ref="D67"/>
    <hyperlink r:id="rId45" ref="D68"/>
    <hyperlink r:id="rId46" ref="D69"/>
    <hyperlink r:id="rId47" ref="D70"/>
    <hyperlink r:id="rId48" ref="D71"/>
    <hyperlink r:id="rId49" ref="D74"/>
    <hyperlink r:id="rId50" ref="D75"/>
    <hyperlink r:id="rId51" ref="D77"/>
    <hyperlink r:id="rId52" ref="D78"/>
    <hyperlink r:id="rId53" ref="D79"/>
    <hyperlink r:id="rId54" ref="D80"/>
    <hyperlink r:id="rId55" ref="D83"/>
    <hyperlink r:id="rId56" ref="D84"/>
  </hyperlinks>
  <printOptions/>
  <pageMargins bottom="0.75" footer="0.0" header="0.0" left="0.7" right="0.7" top="0.75"/>
  <pageSetup orientation="landscape"/>
  <drawing r:id="rId57"/>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0.43"/>
    <col customWidth="1" min="3" max="3" width="23.0"/>
    <col customWidth="1" min="4" max="4" width="17.0"/>
    <col customWidth="1" min="5" max="5" width="16.0"/>
    <col customWidth="1" min="6" max="6" width="15.14"/>
    <col customWidth="1" min="7" max="7" width="9.0"/>
    <col customWidth="1" min="8" max="8" width="10.71"/>
    <col customWidth="1" min="9" max="9" width="10.0"/>
    <col customWidth="1" min="10" max="10" width="20.86"/>
    <col customWidth="1" min="11" max="26" width="10.0"/>
  </cols>
  <sheetData>
    <row r="1" ht="14.25" customHeight="1">
      <c r="A1" s="52"/>
      <c r="B1" s="52"/>
      <c r="C1" s="53"/>
      <c r="D1" s="53"/>
      <c r="E1" s="53"/>
      <c r="F1" s="53"/>
      <c r="G1" s="53"/>
      <c r="H1" s="1"/>
      <c r="I1" s="1"/>
    </row>
    <row r="2" ht="15.0" customHeight="1">
      <c r="A2" s="54" t="s">
        <v>4461</v>
      </c>
      <c r="B2" s="55"/>
      <c r="C2" s="55"/>
      <c r="D2" s="55"/>
      <c r="E2" s="55"/>
      <c r="F2" s="55"/>
      <c r="G2" s="55"/>
      <c r="H2" s="55"/>
      <c r="I2" s="56"/>
    </row>
    <row r="3" ht="15.0" customHeight="1">
      <c r="A3" s="156"/>
      <c r="B3" s="156"/>
      <c r="C3" s="156"/>
      <c r="D3" s="156"/>
      <c r="E3" s="156"/>
      <c r="F3" s="156"/>
      <c r="G3" s="156"/>
      <c r="H3" s="156"/>
      <c r="I3" s="156"/>
    </row>
    <row r="4" ht="14.25" customHeight="1">
      <c r="A4" s="116" t="s">
        <v>4462</v>
      </c>
      <c r="B4" s="55"/>
      <c r="C4" s="55"/>
      <c r="D4" s="55"/>
      <c r="E4" s="55"/>
      <c r="F4" s="55"/>
      <c r="G4" s="55"/>
      <c r="H4" s="55"/>
      <c r="I4" s="56"/>
    </row>
    <row r="5" ht="106.5" customHeight="1">
      <c r="A5" s="116" t="s">
        <v>4463</v>
      </c>
      <c r="B5" s="55"/>
      <c r="C5" s="55"/>
      <c r="D5" s="55"/>
      <c r="E5" s="55"/>
      <c r="F5" s="55"/>
      <c r="G5" s="55"/>
      <c r="H5" s="55"/>
      <c r="I5" s="56"/>
    </row>
    <row r="6" ht="93.75" customHeight="1">
      <c r="A6" s="116" t="s">
        <v>4464</v>
      </c>
      <c r="B6" s="55"/>
      <c r="C6" s="55"/>
      <c r="D6" s="55"/>
      <c r="E6" s="55"/>
      <c r="F6" s="55"/>
      <c r="G6" s="55"/>
      <c r="H6" s="55"/>
      <c r="I6" s="56"/>
    </row>
    <row r="7" ht="14.25" customHeight="1">
      <c r="A7" s="61"/>
      <c r="B7" s="61"/>
      <c r="C7" s="62"/>
      <c r="D7" s="62"/>
      <c r="E7" s="62"/>
      <c r="F7" s="62"/>
      <c r="G7" s="62"/>
      <c r="H7" s="62"/>
      <c r="I7" s="61"/>
    </row>
    <row r="8" ht="82.5" customHeight="1">
      <c r="A8" s="309" t="s">
        <v>8</v>
      </c>
      <c r="B8" s="119" t="s">
        <v>9</v>
      </c>
      <c r="C8" s="309" t="s">
        <v>4465</v>
      </c>
      <c r="D8" s="309" t="s">
        <v>4466</v>
      </c>
      <c r="E8" s="309" t="s">
        <v>4467</v>
      </c>
      <c r="F8" s="309" t="s">
        <v>4468</v>
      </c>
      <c r="G8" s="309" t="s">
        <v>4469</v>
      </c>
      <c r="H8" s="309" t="s">
        <v>208</v>
      </c>
      <c r="I8" s="309" t="s">
        <v>209</v>
      </c>
      <c r="J8" s="65" t="s">
        <v>210</v>
      </c>
    </row>
    <row r="9" ht="110.25" customHeight="1">
      <c r="A9" s="101" t="s">
        <v>3901</v>
      </c>
      <c r="B9" s="101" t="s">
        <v>38</v>
      </c>
      <c r="C9" s="101" t="s">
        <v>4470</v>
      </c>
      <c r="D9" s="101" t="s">
        <v>4471</v>
      </c>
      <c r="E9" s="559" t="s">
        <v>4472</v>
      </c>
      <c r="F9" s="75" t="s">
        <v>4473</v>
      </c>
      <c r="G9" s="75" t="s">
        <v>4474</v>
      </c>
      <c r="H9" s="179">
        <v>25.0</v>
      </c>
      <c r="I9" s="627">
        <v>25.0</v>
      </c>
      <c r="J9" s="77" t="s">
        <v>53</v>
      </c>
    </row>
    <row r="10" ht="72.0" customHeight="1">
      <c r="A10" s="101" t="s">
        <v>4475</v>
      </c>
      <c r="B10" s="101" t="s">
        <v>38</v>
      </c>
      <c r="C10" s="101" t="s">
        <v>4476</v>
      </c>
      <c r="D10" s="101" t="s">
        <v>4471</v>
      </c>
      <c r="E10" s="559" t="s">
        <v>4477</v>
      </c>
      <c r="F10" s="75" t="s">
        <v>4473</v>
      </c>
      <c r="G10" s="75" t="s">
        <v>4478</v>
      </c>
      <c r="H10" s="179">
        <v>25.0</v>
      </c>
      <c r="I10" s="627">
        <v>25.0</v>
      </c>
      <c r="J10" s="77" t="s">
        <v>54</v>
      </c>
    </row>
    <row r="11" ht="54.75" customHeight="1">
      <c r="A11" s="101" t="s">
        <v>740</v>
      </c>
      <c r="B11" s="101" t="s">
        <v>38</v>
      </c>
      <c r="C11" s="101" t="s">
        <v>4479</v>
      </c>
      <c r="D11" s="101" t="s">
        <v>4480</v>
      </c>
      <c r="E11" s="559" t="s">
        <v>4481</v>
      </c>
      <c r="F11" s="75" t="s">
        <v>4482</v>
      </c>
      <c r="G11" s="75" t="s">
        <v>4483</v>
      </c>
      <c r="H11" s="179">
        <v>50.0</v>
      </c>
      <c r="I11" s="627">
        <v>50.0</v>
      </c>
      <c r="J11" s="77" t="s">
        <v>58</v>
      </c>
    </row>
    <row r="12" ht="96.0" customHeight="1">
      <c r="A12" s="101" t="s">
        <v>4211</v>
      </c>
      <c r="B12" s="101" t="s">
        <v>38</v>
      </c>
      <c r="C12" s="101" t="s">
        <v>4484</v>
      </c>
      <c r="D12" s="101" t="s">
        <v>4485</v>
      </c>
      <c r="E12" s="68" t="s">
        <v>4486</v>
      </c>
      <c r="F12" s="75" t="s">
        <v>4473</v>
      </c>
      <c r="G12" s="75" t="s">
        <v>4487</v>
      </c>
      <c r="H12" s="179">
        <v>25.0</v>
      </c>
      <c r="I12" s="627">
        <v>25.0</v>
      </c>
      <c r="J12" s="77" t="s">
        <v>59</v>
      </c>
    </row>
    <row r="13" ht="110.25" customHeight="1">
      <c r="A13" s="101" t="s">
        <v>760</v>
      </c>
      <c r="B13" s="101" t="s">
        <v>38</v>
      </c>
      <c r="C13" s="101" t="s">
        <v>4470</v>
      </c>
      <c r="D13" s="101" t="s">
        <v>4488</v>
      </c>
      <c r="E13" s="559" t="s">
        <v>4489</v>
      </c>
      <c r="F13" s="75" t="s">
        <v>4490</v>
      </c>
      <c r="G13" s="75" t="s">
        <v>4491</v>
      </c>
      <c r="H13" s="179">
        <v>25.0</v>
      </c>
      <c r="I13" s="627">
        <v>50.0</v>
      </c>
      <c r="J13" s="77" t="s">
        <v>61</v>
      </c>
    </row>
    <row r="14" ht="57.0" customHeight="1">
      <c r="A14" s="101" t="s">
        <v>760</v>
      </c>
      <c r="B14" s="75" t="s">
        <v>38</v>
      </c>
      <c r="C14" s="176" t="s">
        <v>4492</v>
      </c>
      <c r="D14" s="176" t="s">
        <v>4488</v>
      </c>
      <c r="E14" s="362" t="s">
        <v>4493</v>
      </c>
      <c r="F14" s="75" t="s">
        <v>4494</v>
      </c>
      <c r="G14" s="75" t="s">
        <v>4495</v>
      </c>
      <c r="H14" s="185">
        <v>25.0</v>
      </c>
      <c r="I14" s="180">
        <v>25.0</v>
      </c>
      <c r="J14" s="77" t="s">
        <v>61</v>
      </c>
    </row>
    <row r="15" ht="41.25" customHeight="1">
      <c r="A15" s="101" t="s">
        <v>528</v>
      </c>
      <c r="B15" s="101" t="s">
        <v>38</v>
      </c>
      <c r="C15" s="101" t="s">
        <v>4227</v>
      </c>
      <c r="D15" s="101" t="s">
        <v>4496</v>
      </c>
      <c r="E15" s="68" t="s">
        <v>4228</v>
      </c>
      <c r="F15" s="75" t="s">
        <v>4497</v>
      </c>
      <c r="G15" s="75" t="s">
        <v>4498</v>
      </c>
      <c r="H15" s="179">
        <v>100.0</v>
      </c>
      <c r="I15" s="627">
        <v>100.0</v>
      </c>
      <c r="J15" s="77" t="s">
        <v>66</v>
      </c>
    </row>
    <row r="16" ht="69.0" customHeight="1">
      <c r="A16" s="99" t="s">
        <v>4499</v>
      </c>
      <c r="B16" s="385" t="s">
        <v>38</v>
      </c>
      <c r="C16" s="219" t="s">
        <v>4492</v>
      </c>
      <c r="D16" s="461" t="s">
        <v>4488</v>
      </c>
      <c r="E16" s="628" t="s">
        <v>4493</v>
      </c>
      <c r="F16" s="385" t="s">
        <v>4500</v>
      </c>
      <c r="G16" s="385" t="s">
        <v>4501</v>
      </c>
      <c r="H16" s="629">
        <v>25.0</v>
      </c>
      <c r="I16" s="552">
        <v>25.0</v>
      </c>
      <c r="J16" s="77" t="s">
        <v>68</v>
      </c>
    </row>
    <row r="17" ht="26.25" customHeight="1">
      <c r="A17" s="170" t="s">
        <v>72</v>
      </c>
      <c r="B17" s="170" t="s">
        <v>651</v>
      </c>
      <c r="C17" s="170" t="s">
        <v>4502</v>
      </c>
      <c r="D17" s="170" t="s">
        <v>4503</v>
      </c>
      <c r="E17" s="146" t="s">
        <v>4504</v>
      </c>
      <c r="F17" s="148" t="s">
        <v>4473</v>
      </c>
      <c r="G17" s="148" t="s">
        <v>4505</v>
      </c>
      <c r="H17" s="169">
        <v>50.0</v>
      </c>
      <c r="I17" s="169">
        <v>50.0</v>
      </c>
      <c r="J17" s="154" t="s">
        <v>72</v>
      </c>
    </row>
    <row r="18" ht="42.75" customHeight="1">
      <c r="A18" s="101" t="s">
        <v>75</v>
      </c>
      <c r="B18" s="101" t="s">
        <v>73</v>
      </c>
      <c r="C18" s="101" t="s">
        <v>4506</v>
      </c>
      <c r="D18" s="101" t="s">
        <v>4496</v>
      </c>
      <c r="E18" s="559" t="s">
        <v>4504</v>
      </c>
      <c r="F18" s="75" t="s">
        <v>4507</v>
      </c>
      <c r="G18" s="75" t="s">
        <v>4508</v>
      </c>
      <c r="H18" s="179">
        <v>50.0</v>
      </c>
      <c r="I18" s="169">
        <v>50.0</v>
      </c>
      <c r="J18" s="77" t="s">
        <v>75</v>
      </c>
    </row>
    <row r="19" ht="123.75" customHeight="1">
      <c r="A19" s="101" t="s">
        <v>75</v>
      </c>
      <c r="B19" s="101" t="s">
        <v>73</v>
      </c>
      <c r="C19" s="176" t="s">
        <v>4509</v>
      </c>
      <c r="D19" s="101" t="s">
        <v>4496</v>
      </c>
      <c r="E19" s="362" t="s">
        <v>4510</v>
      </c>
      <c r="F19" s="75" t="s">
        <v>4507</v>
      </c>
      <c r="G19" s="75" t="s">
        <v>4511</v>
      </c>
      <c r="H19" s="185">
        <v>50.0</v>
      </c>
      <c r="I19" s="180">
        <v>50.0</v>
      </c>
      <c r="J19" s="77" t="s">
        <v>75</v>
      </c>
    </row>
    <row r="20" ht="36.0" customHeight="1">
      <c r="A20" s="170" t="s">
        <v>76</v>
      </c>
      <c r="B20" s="170" t="s">
        <v>73</v>
      </c>
      <c r="C20" s="170" t="s">
        <v>4506</v>
      </c>
      <c r="D20" s="170" t="s">
        <v>4496</v>
      </c>
      <c r="E20" s="167" t="s">
        <v>4504</v>
      </c>
      <c r="F20" s="148" t="s">
        <v>4473</v>
      </c>
      <c r="G20" s="148" t="s">
        <v>4508</v>
      </c>
      <c r="H20" s="169">
        <v>50.0</v>
      </c>
      <c r="I20" s="169">
        <v>50.0</v>
      </c>
      <c r="J20" s="324" t="s">
        <v>76</v>
      </c>
    </row>
    <row r="21" ht="26.25" customHeight="1">
      <c r="A21" s="170" t="s">
        <v>80</v>
      </c>
      <c r="B21" s="148" t="s">
        <v>2211</v>
      </c>
      <c r="C21" s="170" t="s">
        <v>4512</v>
      </c>
      <c r="D21" s="170" t="s">
        <v>4471</v>
      </c>
      <c r="E21" s="146"/>
      <c r="F21" s="148" t="s">
        <v>4513</v>
      </c>
      <c r="G21" s="148" t="s">
        <v>4514</v>
      </c>
      <c r="H21" s="169">
        <v>50.0</v>
      </c>
      <c r="I21" s="169">
        <v>50.0</v>
      </c>
      <c r="J21" s="154" t="s">
        <v>882</v>
      </c>
    </row>
    <row r="22" ht="52.5" customHeight="1">
      <c r="A22" s="170" t="s">
        <v>4515</v>
      </c>
      <c r="B22" s="148" t="s">
        <v>73</v>
      </c>
      <c r="C22" s="170" t="s">
        <v>4516</v>
      </c>
      <c r="D22" s="170" t="s">
        <v>4517</v>
      </c>
      <c r="E22" s="630" t="s">
        <v>4518</v>
      </c>
      <c r="F22" s="148" t="s">
        <v>4519</v>
      </c>
      <c r="G22" s="148" t="s">
        <v>3920</v>
      </c>
      <c r="H22" s="169">
        <v>25.0</v>
      </c>
      <c r="I22" s="169">
        <v>25.0</v>
      </c>
      <c r="J22" s="154" t="s">
        <v>4520</v>
      </c>
    </row>
    <row r="23" ht="52.5" customHeight="1">
      <c r="A23" s="170" t="s">
        <v>4521</v>
      </c>
      <c r="B23" s="148" t="s">
        <v>73</v>
      </c>
      <c r="C23" s="162" t="s">
        <v>4522</v>
      </c>
      <c r="D23" s="162" t="s">
        <v>4523</v>
      </c>
      <c r="E23" s="264" t="s">
        <v>4524</v>
      </c>
      <c r="F23" s="148" t="s">
        <v>4525</v>
      </c>
      <c r="G23" s="148" t="s">
        <v>4450</v>
      </c>
      <c r="H23" s="364">
        <v>25.0</v>
      </c>
      <c r="I23" s="574">
        <v>25.0</v>
      </c>
      <c r="J23" s="154" t="s">
        <v>4520</v>
      </c>
    </row>
    <row r="24" ht="52.5" customHeight="1">
      <c r="A24" s="170" t="s">
        <v>4521</v>
      </c>
      <c r="B24" s="148" t="s">
        <v>73</v>
      </c>
      <c r="C24" s="162" t="s">
        <v>4526</v>
      </c>
      <c r="D24" s="162" t="s">
        <v>4523</v>
      </c>
      <c r="E24" s="264" t="s">
        <v>4527</v>
      </c>
      <c r="F24" s="148" t="s">
        <v>4519</v>
      </c>
      <c r="G24" s="148" t="s">
        <v>4528</v>
      </c>
      <c r="H24" s="364">
        <v>25.0</v>
      </c>
      <c r="I24" s="574">
        <v>50.0</v>
      </c>
      <c r="J24" s="154" t="s">
        <v>4520</v>
      </c>
    </row>
    <row r="25" ht="52.5" customHeight="1">
      <c r="A25" s="170" t="s">
        <v>87</v>
      </c>
      <c r="B25" s="170" t="s">
        <v>73</v>
      </c>
      <c r="C25" s="162" t="s">
        <v>4529</v>
      </c>
      <c r="D25" s="162" t="s">
        <v>4530</v>
      </c>
      <c r="E25" s="368" t="s">
        <v>4527</v>
      </c>
      <c r="F25" s="148" t="s">
        <v>4531</v>
      </c>
      <c r="G25" s="324" t="s">
        <v>4532</v>
      </c>
      <c r="H25" s="364">
        <v>25.0</v>
      </c>
      <c r="I25" s="574">
        <v>25.0</v>
      </c>
      <c r="J25" s="154" t="s">
        <v>2273</v>
      </c>
    </row>
    <row r="26" ht="39.0" customHeight="1">
      <c r="A26" s="170" t="s">
        <v>4533</v>
      </c>
      <c r="B26" s="170" t="s">
        <v>73</v>
      </c>
      <c r="C26" s="170" t="s">
        <v>4506</v>
      </c>
      <c r="D26" s="170" t="s">
        <v>4534</v>
      </c>
      <c r="E26" s="631" t="s">
        <v>4504</v>
      </c>
      <c r="F26" s="148" t="s">
        <v>4473</v>
      </c>
      <c r="G26" s="148" t="s">
        <v>4535</v>
      </c>
      <c r="H26" s="169">
        <v>50.0</v>
      </c>
      <c r="I26" s="479">
        <v>50.0</v>
      </c>
      <c r="J26" s="154" t="s">
        <v>89</v>
      </c>
    </row>
    <row r="27" ht="39.0" customHeight="1">
      <c r="A27" s="170" t="s">
        <v>4533</v>
      </c>
      <c r="B27" s="148" t="s">
        <v>73</v>
      </c>
      <c r="C27" s="162" t="s">
        <v>4536</v>
      </c>
      <c r="D27" s="162" t="s">
        <v>4530</v>
      </c>
      <c r="E27" s="368" t="s">
        <v>4537</v>
      </c>
      <c r="F27" s="148" t="s">
        <v>4473</v>
      </c>
      <c r="G27" s="148" t="s">
        <v>4528</v>
      </c>
      <c r="H27" s="364">
        <v>25.0</v>
      </c>
      <c r="I27" s="574">
        <v>25.0</v>
      </c>
      <c r="J27" s="154" t="s">
        <v>89</v>
      </c>
    </row>
    <row r="28" ht="26.25" customHeight="1">
      <c r="A28" s="170" t="s">
        <v>90</v>
      </c>
      <c r="B28" s="170" t="s">
        <v>2211</v>
      </c>
      <c r="C28" s="148" t="s">
        <v>4538</v>
      </c>
      <c r="D28" s="170" t="s">
        <v>4530</v>
      </c>
      <c r="E28" s="632" t="s">
        <v>4527</v>
      </c>
      <c r="F28" s="148" t="s">
        <v>4473</v>
      </c>
      <c r="G28" s="148" t="s">
        <v>4539</v>
      </c>
      <c r="H28" s="169">
        <v>25.0</v>
      </c>
      <c r="I28" s="479">
        <v>25.0</v>
      </c>
      <c r="J28" s="154" t="s">
        <v>90</v>
      </c>
    </row>
    <row r="29" ht="48.0" customHeight="1">
      <c r="A29" s="170" t="s">
        <v>94</v>
      </c>
      <c r="B29" s="148"/>
      <c r="C29" s="170" t="s">
        <v>4540</v>
      </c>
      <c r="D29" s="602" t="s">
        <v>4488</v>
      </c>
      <c r="E29" s="149" t="s">
        <v>4541</v>
      </c>
      <c r="F29" s="148" t="s">
        <v>4542</v>
      </c>
      <c r="G29" s="148" t="s">
        <v>4543</v>
      </c>
      <c r="H29" s="169">
        <v>25.0</v>
      </c>
      <c r="I29" s="479">
        <v>25.0</v>
      </c>
      <c r="J29" s="154" t="s">
        <v>94</v>
      </c>
    </row>
    <row r="30" ht="66.0" customHeight="1">
      <c r="A30" s="170" t="s">
        <v>934</v>
      </c>
      <c r="B30" s="170" t="s">
        <v>73</v>
      </c>
      <c r="C30" s="170" t="s">
        <v>4544</v>
      </c>
      <c r="D30" s="170" t="s">
        <v>4471</v>
      </c>
      <c r="E30" s="167" t="s">
        <v>4537</v>
      </c>
      <c r="F30" s="148" t="s">
        <v>4473</v>
      </c>
      <c r="G30" s="148" t="s">
        <v>4532</v>
      </c>
      <c r="H30" s="169">
        <v>25.0</v>
      </c>
      <c r="I30" s="479">
        <v>25.0</v>
      </c>
      <c r="J30" s="154" t="s">
        <v>98</v>
      </c>
    </row>
    <row r="31" ht="26.25" customHeight="1">
      <c r="A31" s="87" t="s">
        <v>4545</v>
      </c>
      <c r="B31" s="87" t="s">
        <v>4546</v>
      </c>
      <c r="C31" s="87" t="s">
        <v>4547</v>
      </c>
      <c r="D31" s="87" t="s">
        <v>4548</v>
      </c>
      <c r="E31" s="633" t="s">
        <v>4549</v>
      </c>
      <c r="F31" s="90" t="s">
        <v>4542</v>
      </c>
      <c r="G31" s="90" t="s">
        <v>4550</v>
      </c>
      <c r="H31" s="634">
        <v>50.0</v>
      </c>
      <c r="I31" s="635">
        <v>50.0</v>
      </c>
      <c r="J31" s="87" t="s">
        <v>4545</v>
      </c>
    </row>
    <row r="32" ht="96.0" customHeight="1">
      <c r="A32" s="90" t="s">
        <v>4551</v>
      </c>
      <c r="B32" s="90" t="s">
        <v>100</v>
      </c>
      <c r="C32" s="87" t="s">
        <v>4552</v>
      </c>
      <c r="D32" s="87" t="s">
        <v>4553</v>
      </c>
      <c r="E32" s="636" t="s">
        <v>4554</v>
      </c>
      <c r="F32" s="90" t="s">
        <v>4497</v>
      </c>
      <c r="G32" s="491" t="s">
        <v>4555</v>
      </c>
      <c r="H32" s="634">
        <v>50.0</v>
      </c>
      <c r="I32" s="637">
        <v>50.0</v>
      </c>
      <c r="J32" s="90" t="s">
        <v>4551</v>
      </c>
    </row>
    <row r="33" ht="66.0" customHeight="1">
      <c r="A33" s="90" t="s">
        <v>4556</v>
      </c>
      <c r="B33" s="90" t="s">
        <v>100</v>
      </c>
      <c r="C33" s="87" t="s">
        <v>4323</v>
      </c>
      <c r="D33" s="90" t="s">
        <v>4480</v>
      </c>
      <c r="E33" s="636" t="s">
        <v>4557</v>
      </c>
      <c r="F33" s="90" t="s">
        <v>4558</v>
      </c>
      <c r="G33" s="90" t="s">
        <v>4559</v>
      </c>
      <c r="H33" s="634">
        <v>50.0</v>
      </c>
      <c r="I33" s="634">
        <v>50.0</v>
      </c>
      <c r="J33" s="345" t="s">
        <v>4556</v>
      </c>
    </row>
    <row r="34" ht="78.75" customHeight="1">
      <c r="A34" s="90" t="s">
        <v>1653</v>
      </c>
      <c r="B34" s="90" t="s">
        <v>100</v>
      </c>
      <c r="C34" s="87" t="s">
        <v>4329</v>
      </c>
      <c r="D34" s="90" t="s">
        <v>4496</v>
      </c>
      <c r="E34" s="636" t="s">
        <v>1656</v>
      </c>
      <c r="F34" s="90" t="s">
        <v>4497</v>
      </c>
      <c r="G34" s="90" t="s">
        <v>4560</v>
      </c>
      <c r="H34" s="634">
        <v>100.0</v>
      </c>
      <c r="I34" s="634">
        <v>100.0</v>
      </c>
      <c r="J34" s="345" t="s">
        <v>1653</v>
      </c>
    </row>
    <row r="35" ht="66.0" customHeight="1">
      <c r="A35" s="90" t="s">
        <v>108</v>
      </c>
      <c r="B35" s="90" t="s">
        <v>100</v>
      </c>
      <c r="C35" s="638" t="s">
        <v>4323</v>
      </c>
      <c r="D35" s="90" t="s">
        <v>4561</v>
      </c>
      <c r="E35" s="270" t="s">
        <v>4562</v>
      </c>
      <c r="F35" s="90" t="s">
        <v>4542</v>
      </c>
      <c r="G35" s="90" t="s">
        <v>4559</v>
      </c>
      <c r="H35" s="634">
        <v>50.0</v>
      </c>
      <c r="I35" s="635">
        <v>50.0</v>
      </c>
      <c r="J35" s="92" t="s">
        <v>108</v>
      </c>
    </row>
    <row r="36" ht="78.75" customHeight="1">
      <c r="A36" s="90" t="s">
        <v>4563</v>
      </c>
      <c r="B36" s="90" t="s">
        <v>100</v>
      </c>
      <c r="C36" s="90" t="s">
        <v>4564</v>
      </c>
      <c r="D36" s="90" t="s">
        <v>4480</v>
      </c>
      <c r="E36" s="636" t="s">
        <v>4565</v>
      </c>
      <c r="F36" s="90" t="s">
        <v>4566</v>
      </c>
      <c r="G36" s="90" t="s">
        <v>4567</v>
      </c>
      <c r="H36" s="634">
        <v>50.0</v>
      </c>
      <c r="I36" s="634">
        <v>50.0</v>
      </c>
      <c r="J36" s="92" t="s">
        <v>4568</v>
      </c>
    </row>
    <row r="37" ht="52.5" customHeight="1">
      <c r="A37" s="90" t="s">
        <v>4563</v>
      </c>
      <c r="B37" s="90" t="s">
        <v>100</v>
      </c>
      <c r="C37" s="483" t="s">
        <v>4569</v>
      </c>
      <c r="D37" s="90" t="s">
        <v>4480</v>
      </c>
      <c r="E37" s="639" t="s">
        <v>4324</v>
      </c>
      <c r="F37" s="90" t="s">
        <v>4566</v>
      </c>
      <c r="G37" s="90" t="s">
        <v>4570</v>
      </c>
      <c r="H37" s="634">
        <v>50.0</v>
      </c>
      <c r="I37" s="634">
        <v>50.0</v>
      </c>
      <c r="J37" s="92" t="s">
        <v>4568</v>
      </c>
    </row>
    <row r="38" ht="41.25" customHeight="1">
      <c r="A38" s="90" t="s">
        <v>4340</v>
      </c>
      <c r="B38" s="87" t="s">
        <v>100</v>
      </c>
      <c r="C38" s="90" t="s">
        <v>4341</v>
      </c>
      <c r="D38" s="90" t="s">
        <v>4534</v>
      </c>
      <c r="E38" s="611" t="s">
        <v>1656</v>
      </c>
      <c r="F38" s="90" t="s">
        <v>4473</v>
      </c>
      <c r="G38" s="90" t="s">
        <v>4571</v>
      </c>
      <c r="H38" s="634">
        <v>50.0</v>
      </c>
      <c r="I38" s="634">
        <v>50.0</v>
      </c>
      <c r="J38" s="345" t="s">
        <v>4340</v>
      </c>
    </row>
    <row r="39" ht="96.0" customHeight="1">
      <c r="A39" s="90" t="s">
        <v>4340</v>
      </c>
      <c r="B39" s="87" t="s">
        <v>100</v>
      </c>
      <c r="C39" s="90" t="s">
        <v>4572</v>
      </c>
      <c r="D39" s="90" t="s">
        <v>4534</v>
      </c>
      <c r="E39" s="636" t="s">
        <v>4573</v>
      </c>
      <c r="F39" s="90" t="s">
        <v>4473</v>
      </c>
      <c r="G39" s="90" t="s">
        <v>4574</v>
      </c>
      <c r="H39" s="634">
        <v>50.0</v>
      </c>
      <c r="I39" s="634">
        <v>50.0</v>
      </c>
      <c r="J39" s="345" t="s">
        <v>4340</v>
      </c>
    </row>
    <row r="40" ht="83.25" customHeight="1">
      <c r="A40" s="87" t="s">
        <v>4342</v>
      </c>
      <c r="B40" s="87" t="s">
        <v>100</v>
      </c>
      <c r="C40" s="518" t="s">
        <v>4575</v>
      </c>
      <c r="D40" s="87" t="s">
        <v>4576</v>
      </c>
      <c r="E40" s="640" t="s">
        <v>4557</v>
      </c>
      <c r="F40" s="90" t="s">
        <v>4542</v>
      </c>
      <c r="G40" s="90" t="s">
        <v>4577</v>
      </c>
      <c r="H40" s="634">
        <v>50.0</v>
      </c>
      <c r="I40" s="634">
        <v>50.0</v>
      </c>
      <c r="J40" s="92" t="s">
        <v>4578</v>
      </c>
    </row>
    <row r="41" ht="54.75" customHeight="1">
      <c r="A41" s="87" t="s">
        <v>4579</v>
      </c>
      <c r="B41" s="87" t="s">
        <v>100</v>
      </c>
      <c r="C41" s="87" t="s">
        <v>4580</v>
      </c>
      <c r="D41" s="87" t="s">
        <v>4530</v>
      </c>
      <c r="E41" s="636" t="s">
        <v>4493</v>
      </c>
      <c r="F41" s="90" t="s">
        <v>4581</v>
      </c>
      <c r="G41" s="90" t="s">
        <v>4238</v>
      </c>
      <c r="H41" s="634">
        <v>25.0</v>
      </c>
      <c r="I41" s="635">
        <v>25.0</v>
      </c>
      <c r="J41" s="92" t="s">
        <v>120</v>
      </c>
    </row>
    <row r="42" ht="14.25" customHeight="1">
      <c r="A42" s="347" t="s">
        <v>4582</v>
      </c>
      <c r="B42" s="641" t="s">
        <v>100</v>
      </c>
      <c r="C42" s="641" t="s">
        <v>4583</v>
      </c>
      <c r="D42" s="613" t="s">
        <v>4534</v>
      </c>
      <c r="E42" s="521" t="s">
        <v>4324</v>
      </c>
      <c r="F42" s="348" t="s">
        <v>4473</v>
      </c>
      <c r="G42" s="613" t="s">
        <v>4584</v>
      </c>
      <c r="H42" s="642">
        <v>50.0</v>
      </c>
      <c r="I42" s="643">
        <v>50.0</v>
      </c>
      <c r="J42" s="92" t="s">
        <v>113</v>
      </c>
    </row>
    <row r="43" ht="14.25" customHeight="1">
      <c r="A43" s="347" t="s">
        <v>4582</v>
      </c>
      <c r="B43" s="641" t="s">
        <v>100</v>
      </c>
      <c r="C43" s="641" t="s">
        <v>4585</v>
      </c>
      <c r="D43" s="613" t="s">
        <v>4534</v>
      </c>
      <c r="E43" s="644" t="s">
        <v>4344</v>
      </c>
      <c r="F43" s="613" t="s">
        <v>4473</v>
      </c>
      <c r="G43" s="613" t="s">
        <v>4586</v>
      </c>
      <c r="H43" s="642">
        <v>50.0</v>
      </c>
      <c r="I43" s="643">
        <v>50.0</v>
      </c>
      <c r="J43" s="92" t="s">
        <v>113</v>
      </c>
    </row>
    <row r="44" ht="69.0" customHeight="1">
      <c r="A44" s="283" t="s">
        <v>2601</v>
      </c>
      <c r="B44" s="283" t="s">
        <v>100</v>
      </c>
      <c r="C44" s="283" t="s">
        <v>4587</v>
      </c>
      <c r="D44" s="283" t="s">
        <v>4588</v>
      </c>
      <c r="E44" s="484" t="s">
        <v>4589</v>
      </c>
      <c r="F44" s="278" t="s">
        <v>4590</v>
      </c>
      <c r="G44" s="278" t="s">
        <v>4591</v>
      </c>
      <c r="H44" s="645">
        <v>50.0</v>
      </c>
      <c r="I44" s="646">
        <v>25.0</v>
      </c>
      <c r="J44" s="92" t="s">
        <v>4592</v>
      </c>
    </row>
    <row r="45" ht="82.5" customHeight="1">
      <c r="A45" s="492" t="s">
        <v>4068</v>
      </c>
      <c r="B45" s="283" t="s">
        <v>100</v>
      </c>
      <c r="C45" s="283" t="s">
        <v>4593</v>
      </c>
      <c r="D45" s="283" t="s">
        <v>4496</v>
      </c>
      <c r="E45" s="647" t="s">
        <v>4594</v>
      </c>
      <c r="F45" s="278" t="s">
        <v>4473</v>
      </c>
      <c r="G45" s="278" t="s">
        <v>4595</v>
      </c>
      <c r="H45" s="645">
        <v>50.0</v>
      </c>
      <c r="I45" s="646">
        <v>50.0</v>
      </c>
      <c r="J45" s="92" t="s">
        <v>4072</v>
      </c>
    </row>
    <row r="46" ht="41.25" customHeight="1">
      <c r="A46" s="492" t="s">
        <v>2601</v>
      </c>
      <c r="B46" s="283" t="s">
        <v>100</v>
      </c>
      <c r="C46" s="283" t="s">
        <v>4596</v>
      </c>
      <c r="D46" s="283" t="s">
        <v>4597</v>
      </c>
      <c r="E46" s="648" t="s">
        <v>4598</v>
      </c>
      <c r="F46" s="278" t="s">
        <v>4599</v>
      </c>
      <c r="G46" s="278" t="s">
        <v>4600</v>
      </c>
      <c r="H46" s="589">
        <v>50.0</v>
      </c>
      <c r="I46" s="646">
        <v>50.0</v>
      </c>
      <c r="J46" s="92" t="s">
        <v>4592</v>
      </c>
    </row>
    <row r="47" ht="55.5" customHeight="1">
      <c r="A47" s="649" t="s">
        <v>1497</v>
      </c>
      <c r="B47" s="650" t="s">
        <v>100</v>
      </c>
      <c r="C47" s="650" t="s">
        <v>4601</v>
      </c>
      <c r="D47" s="492" t="s">
        <v>4496</v>
      </c>
      <c r="E47" s="279" t="s">
        <v>4562</v>
      </c>
      <c r="F47" s="278" t="s">
        <v>4473</v>
      </c>
      <c r="G47" s="349" t="s">
        <v>4602</v>
      </c>
      <c r="H47" s="645">
        <v>50.0</v>
      </c>
      <c r="I47" s="646">
        <v>50.0</v>
      </c>
      <c r="J47" s="92" t="s">
        <v>1497</v>
      </c>
    </row>
    <row r="48" ht="110.25" customHeight="1">
      <c r="A48" s="492" t="s">
        <v>4073</v>
      </c>
      <c r="B48" s="283" t="s">
        <v>100</v>
      </c>
      <c r="C48" s="283" t="s">
        <v>4603</v>
      </c>
      <c r="D48" s="283" t="s">
        <v>4597</v>
      </c>
      <c r="E48" s="648" t="s">
        <v>4604</v>
      </c>
      <c r="F48" s="278" t="s">
        <v>4497</v>
      </c>
      <c r="G48" s="278">
        <v>2020.0</v>
      </c>
      <c r="H48" s="645">
        <v>100.0</v>
      </c>
      <c r="I48" s="646">
        <v>100.0</v>
      </c>
      <c r="J48" s="92" t="s">
        <v>4077</v>
      </c>
    </row>
    <row r="49" ht="82.5" customHeight="1">
      <c r="A49" s="492" t="s">
        <v>971</v>
      </c>
      <c r="B49" s="283" t="s">
        <v>100</v>
      </c>
      <c r="C49" s="283" t="s">
        <v>4323</v>
      </c>
      <c r="D49" s="283" t="s">
        <v>4605</v>
      </c>
      <c r="E49" s="648" t="s">
        <v>4557</v>
      </c>
      <c r="F49" s="278" t="s">
        <v>4606</v>
      </c>
      <c r="G49" s="278" t="s">
        <v>4570</v>
      </c>
      <c r="H49" s="645">
        <v>50.0</v>
      </c>
      <c r="I49" s="646">
        <v>50.0</v>
      </c>
      <c r="J49" s="92" t="s">
        <v>2661</v>
      </c>
    </row>
    <row r="50" ht="82.5" customHeight="1">
      <c r="A50" s="101" t="s">
        <v>4607</v>
      </c>
      <c r="B50" s="101" t="s">
        <v>123</v>
      </c>
      <c r="C50" s="101" t="s">
        <v>4608</v>
      </c>
      <c r="D50" s="101" t="s">
        <v>4576</v>
      </c>
      <c r="E50" s="68" t="s">
        <v>4609</v>
      </c>
      <c r="F50" s="75" t="s">
        <v>4610</v>
      </c>
      <c r="G50" s="75">
        <v>44179.0</v>
      </c>
      <c r="H50" s="179">
        <v>50.0</v>
      </c>
      <c r="I50" s="651">
        <v>50.0</v>
      </c>
      <c r="J50" s="77" t="s">
        <v>134</v>
      </c>
    </row>
    <row r="51" ht="110.25" customHeight="1">
      <c r="A51" s="101" t="s">
        <v>1061</v>
      </c>
      <c r="B51" s="101" t="s">
        <v>123</v>
      </c>
      <c r="C51" s="101" t="s">
        <v>4611</v>
      </c>
      <c r="D51" s="101" t="s">
        <v>4480</v>
      </c>
      <c r="E51" s="68" t="s">
        <v>4612</v>
      </c>
      <c r="F51" s="75" t="s">
        <v>4613</v>
      </c>
      <c r="G51" s="75" t="s">
        <v>4614</v>
      </c>
      <c r="H51" s="179">
        <v>50.0</v>
      </c>
      <c r="I51" s="651">
        <v>50.0</v>
      </c>
      <c r="J51" s="77" t="s">
        <v>135</v>
      </c>
    </row>
    <row r="52" ht="82.5" customHeight="1">
      <c r="A52" s="101" t="s">
        <v>138</v>
      </c>
      <c r="B52" s="101" t="s">
        <v>123</v>
      </c>
      <c r="C52" s="101" t="s">
        <v>4615</v>
      </c>
      <c r="D52" s="101" t="s">
        <v>4496</v>
      </c>
      <c r="E52" s="68" t="s">
        <v>4609</v>
      </c>
      <c r="F52" s="75" t="s">
        <v>4490</v>
      </c>
      <c r="G52" s="75">
        <v>44179.0</v>
      </c>
      <c r="H52" s="179">
        <v>100.0</v>
      </c>
      <c r="I52" s="651">
        <v>100.0</v>
      </c>
      <c r="J52" s="77" t="s">
        <v>138</v>
      </c>
    </row>
    <row r="53" ht="41.25" customHeight="1">
      <c r="A53" s="101" t="s">
        <v>146</v>
      </c>
      <c r="B53" s="101" t="s">
        <v>142</v>
      </c>
      <c r="C53" s="101" t="s">
        <v>4616</v>
      </c>
      <c r="D53" s="101" t="s">
        <v>4496</v>
      </c>
      <c r="E53" s="68" t="s">
        <v>4557</v>
      </c>
      <c r="F53" s="75" t="s">
        <v>4507</v>
      </c>
      <c r="G53" s="75" t="s">
        <v>4617</v>
      </c>
      <c r="H53" s="179">
        <v>50.0</v>
      </c>
      <c r="I53" s="651">
        <v>50.0</v>
      </c>
      <c r="J53" s="77" t="s">
        <v>146</v>
      </c>
    </row>
    <row r="54" ht="54.75" customHeight="1">
      <c r="A54" s="101" t="s">
        <v>147</v>
      </c>
      <c r="B54" s="101" t="s">
        <v>142</v>
      </c>
      <c r="C54" s="101" t="s">
        <v>4618</v>
      </c>
      <c r="D54" s="101" t="s">
        <v>4488</v>
      </c>
      <c r="E54" s="68" t="s">
        <v>4493</v>
      </c>
      <c r="F54" s="75" t="s">
        <v>4542</v>
      </c>
      <c r="G54" s="75" t="s">
        <v>4501</v>
      </c>
      <c r="H54" s="179">
        <v>25.0</v>
      </c>
      <c r="I54" s="651">
        <v>25.0</v>
      </c>
      <c r="J54" s="77" t="s">
        <v>147</v>
      </c>
    </row>
    <row r="55" ht="54.75" customHeight="1">
      <c r="A55" s="101" t="s">
        <v>149</v>
      </c>
      <c r="B55" s="101" t="s">
        <v>1109</v>
      </c>
      <c r="C55" s="101" t="s">
        <v>4323</v>
      </c>
      <c r="D55" s="101" t="s">
        <v>4480</v>
      </c>
      <c r="E55" s="68" t="s">
        <v>4557</v>
      </c>
      <c r="F55" s="75" t="s">
        <v>4542</v>
      </c>
      <c r="G55" s="75" t="s">
        <v>4559</v>
      </c>
      <c r="H55" s="179">
        <v>50.0</v>
      </c>
      <c r="I55" s="651">
        <v>50.0</v>
      </c>
      <c r="J55" s="77" t="s">
        <v>149</v>
      </c>
    </row>
    <row r="56" ht="82.5" customHeight="1">
      <c r="A56" s="101" t="s">
        <v>150</v>
      </c>
      <c r="B56" s="101" t="s">
        <v>142</v>
      </c>
      <c r="C56" s="101" t="s">
        <v>4619</v>
      </c>
      <c r="D56" s="101" t="s">
        <v>4620</v>
      </c>
      <c r="E56" s="68" t="s">
        <v>4621</v>
      </c>
      <c r="F56" s="75" t="s">
        <v>4622</v>
      </c>
      <c r="G56" s="75" t="s">
        <v>4623</v>
      </c>
      <c r="H56" s="179">
        <v>50.0</v>
      </c>
      <c r="I56" s="651">
        <v>50.0</v>
      </c>
      <c r="J56" s="77" t="s">
        <v>150</v>
      </c>
    </row>
    <row r="57" ht="82.5" customHeight="1">
      <c r="A57" s="101" t="s">
        <v>150</v>
      </c>
      <c r="B57" s="101" t="s">
        <v>142</v>
      </c>
      <c r="C57" s="101" t="s">
        <v>4624</v>
      </c>
      <c r="D57" s="101" t="s">
        <v>4620</v>
      </c>
      <c r="E57" s="68" t="s">
        <v>4625</v>
      </c>
      <c r="F57" s="75" t="s">
        <v>4622</v>
      </c>
      <c r="G57" s="75" t="s">
        <v>4626</v>
      </c>
      <c r="H57" s="179">
        <v>50.0</v>
      </c>
      <c r="I57" s="651">
        <v>50.0</v>
      </c>
      <c r="J57" s="77" t="s">
        <v>150</v>
      </c>
    </row>
    <row r="58" ht="41.25" customHeight="1">
      <c r="A58" s="101" t="s">
        <v>151</v>
      </c>
      <c r="B58" s="101" t="s">
        <v>142</v>
      </c>
      <c r="C58" s="101" t="s">
        <v>4627</v>
      </c>
      <c r="D58" s="101" t="s">
        <v>4534</v>
      </c>
      <c r="E58" s="68" t="s">
        <v>4628</v>
      </c>
      <c r="F58" s="75" t="s">
        <v>4473</v>
      </c>
      <c r="G58" s="75" t="s">
        <v>4629</v>
      </c>
      <c r="H58" s="179">
        <v>50.0</v>
      </c>
      <c r="I58" s="651">
        <v>50.0</v>
      </c>
      <c r="J58" s="77" t="s">
        <v>151</v>
      </c>
    </row>
    <row r="59" ht="54.75" customHeight="1">
      <c r="A59" s="101" t="s">
        <v>151</v>
      </c>
      <c r="B59" s="101" t="s">
        <v>142</v>
      </c>
      <c r="C59" s="101" t="s">
        <v>4630</v>
      </c>
      <c r="D59" s="101" t="s">
        <v>4631</v>
      </c>
      <c r="E59" s="68" t="s">
        <v>4493</v>
      </c>
      <c r="F59" s="75" t="s">
        <v>4542</v>
      </c>
      <c r="G59" s="604">
        <v>43987.0</v>
      </c>
      <c r="H59" s="179">
        <v>25.0</v>
      </c>
      <c r="I59" s="651">
        <v>25.0</v>
      </c>
      <c r="J59" s="77" t="s">
        <v>151</v>
      </c>
    </row>
    <row r="60" ht="54.75" customHeight="1">
      <c r="A60" s="101" t="s">
        <v>151</v>
      </c>
      <c r="B60" s="101" t="s">
        <v>142</v>
      </c>
      <c r="C60" s="101" t="s">
        <v>4632</v>
      </c>
      <c r="D60" s="101" t="s">
        <v>4480</v>
      </c>
      <c r="E60" s="68" t="s">
        <v>4524</v>
      </c>
      <c r="F60" s="75" t="s">
        <v>4542</v>
      </c>
      <c r="G60" s="604">
        <v>44105.0</v>
      </c>
      <c r="H60" s="179">
        <v>25.0</v>
      </c>
      <c r="I60" s="651">
        <v>25.0</v>
      </c>
      <c r="J60" s="77" t="s">
        <v>151</v>
      </c>
    </row>
    <row r="61" ht="110.25" customHeight="1">
      <c r="A61" s="101" t="s">
        <v>159</v>
      </c>
      <c r="B61" s="101" t="s">
        <v>142</v>
      </c>
      <c r="C61" s="101" t="s">
        <v>4633</v>
      </c>
      <c r="D61" s="101" t="s">
        <v>4496</v>
      </c>
      <c r="E61" s="68" t="s">
        <v>4524</v>
      </c>
      <c r="F61" s="75" t="s">
        <v>4634</v>
      </c>
      <c r="G61" s="325">
        <v>44075.0</v>
      </c>
      <c r="H61" s="179">
        <v>50.0</v>
      </c>
      <c r="I61" s="651">
        <v>50.0</v>
      </c>
      <c r="J61" s="77" t="s">
        <v>159</v>
      </c>
    </row>
    <row r="62" ht="41.25" customHeight="1">
      <c r="A62" s="101" t="s">
        <v>4635</v>
      </c>
      <c r="B62" s="101" t="s">
        <v>142</v>
      </c>
      <c r="C62" s="101" t="s">
        <v>4636</v>
      </c>
      <c r="D62" s="101" t="s">
        <v>4496</v>
      </c>
      <c r="E62" s="68" t="s">
        <v>4324</v>
      </c>
      <c r="F62" s="75" t="s">
        <v>4473</v>
      </c>
      <c r="G62" s="75" t="s">
        <v>4637</v>
      </c>
      <c r="H62" s="179">
        <v>50.0</v>
      </c>
      <c r="I62" s="651">
        <v>50.0</v>
      </c>
      <c r="J62" s="77" t="s">
        <v>164</v>
      </c>
    </row>
    <row r="63" ht="69.0" customHeight="1">
      <c r="A63" s="101" t="s">
        <v>170</v>
      </c>
      <c r="B63" s="101" t="s">
        <v>142</v>
      </c>
      <c r="C63" s="101" t="s">
        <v>4638</v>
      </c>
      <c r="D63" s="101" t="s">
        <v>4471</v>
      </c>
      <c r="E63" s="68" t="s">
        <v>4493</v>
      </c>
      <c r="F63" s="75" t="s">
        <v>4473</v>
      </c>
      <c r="G63" s="75" t="s">
        <v>4290</v>
      </c>
      <c r="H63" s="179">
        <v>25.0</v>
      </c>
      <c r="I63" s="651">
        <v>0.0</v>
      </c>
      <c r="J63" s="77" t="s">
        <v>170</v>
      </c>
    </row>
    <row r="64" ht="82.5" customHeight="1">
      <c r="A64" s="101" t="s">
        <v>170</v>
      </c>
      <c r="B64" s="101" t="s">
        <v>142</v>
      </c>
      <c r="C64" s="101" t="s">
        <v>4639</v>
      </c>
      <c r="D64" s="101" t="s">
        <v>4471</v>
      </c>
      <c r="E64" s="68" t="s">
        <v>4640</v>
      </c>
      <c r="F64" s="75" t="s">
        <v>4497</v>
      </c>
      <c r="G64" s="75" t="s">
        <v>4641</v>
      </c>
      <c r="H64" s="179">
        <v>50.0</v>
      </c>
      <c r="I64" s="651">
        <v>0.0</v>
      </c>
      <c r="J64" s="77" t="s">
        <v>170</v>
      </c>
    </row>
    <row r="65" ht="96.0" customHeight="1">
      <c r="A65" s="101" t="s">
        <v>170</v>
      </c>
      <c r="B65" s="101" t="s">
        <v>142</v>
      </c>
      <c r="C65" s="101" t="s">
        <v>4642</v>
      </c>
      <c r="D65" s="101" t="s">
        <v>4496</v>
      </c>
      <c r="E65" s="68" t="s">
        <v>4573</v>
      </c>
      <c r="F65" s="75" t="s">
        <v>4473</v>
      </c>
      <c r="G65" s="75" t="s">
        <v>4570</v>
      </c>
      <c r="H65" s="179">
        <v>50.0</v>
      </c>
      <c r="I65" s="651">
        <v>0.0</v>
      </c>
      <c r="J65" s="77" t="s">
        <v>170</v>
      </c>
    </row>
    <row r="66" ht="41.25" customHeight="1">
      <c r="A66" s="101" t="s">
        <v>170</v>
      </c>
      <c r="B66" s="101" t="s">
        <v>142</v>
      </c>
      <c r="C66" s="101" t="s">
        <v>4643</v>
      </c>
      <c r="D66" s="101" t="s">
        <v>4496</v>
      </c>
      <c r="E66" s="68" t="s">
        <v>4644</v>
      </c>
      <c r="F66" s="75" t="s">
        <v>4497</v>
      </c>
      <c r="G66" s="75" t="s">
        <v>4645</v>
      </c>
      <c r="H66" s="179">
        <v>100.0</v>
      </c>
      <c r="I66" s="651">
        <v>100.0</v>
      </c>
      <c r="J66" s="77" t="s">
        <v>170</v>
      </c>
    </row>
    <row r="67" ht="54.75" customHeight="1">
      <c r="A67" s="101" t="s">
        <v>1265</v>
      </c>
      <c r="B67" s="101" t="s">
        <v>142</v>
      </c>
      <c r="C67" s="101" t="s">
        <v>4646</v>
      </c>
      <c r="D67" s="101" t="s">
        <v>4496</v>
      </c>
      <c r="E67" s="68" t="s">
        <v>4647</v>
      </c>
      <c r="F67" s="75" t="s">
        <v>4473</v>
      </c>
      <c r="G67" s="75" t="s">
        <v>4648</v>
      </c>
      <c r="H67" s="179">
        <v>50.0</v>
      </c>
      <c r="I67" s="651">
        <v>50.0</v>
      </c>
      <c r="J67" s="77" t="s">
        <v>177</v>
      </c>
    </row>
    <row r="68" ht="14.25" customHeight="1">
      <c r="A68" s="101"/>
      <c r="B68" s="101"/>
      <c r="C68" s="101"/>
      <c r="D68" s="101"/>
      <c r="E68" s="68"/>
      <c r="F68" s="75"/>
      <c r="G68" s="75"/>
      <c r="H68" s="179"/>
      <c r="I68" s="651"/>
      <c r="J68" s="77"/>
    </row>
    <row r="69" ht="14.25" customHeight="1">
      <c r="A69" s="101"/>
      <c r="B69" s="75"/>
      <c r="C69" s="176"/>
      <c r="D69" s="176"/>
      <c r="E69" s="652"/>
      <c r="F69" s="75"/>
      <c r="G69" s="75"/>
      <c r="H69" s="185"/>
      <c r="I69" s="180"/>
      <c r="J69" s="77"/>
    </row>
    <row r="70" ht="14.25" customHeight="1">
      <c r="A70" s="101"/>
      <c r="B70" s="75"/>
      <c r="C70" s="176"/>
      <c r="D70" s="176"/>
      <c r="E70" s="75"/>
      <c r="F70" s="75"/>
      <c r="G70" s="75"/>
      <c r="H70" s="185"/>
      <c r="I70" s="180"/>
      <c r="J70" s="77"/>
    </row>
    <row r="71" ht="14.25" customHeight="1">
      <c r="A71" s="101"/>
      <c r="B71" s="75"/>
      <c r="C71" s="176"/>
      <c r="D71" s="176"/>
      <c r="E71" s="75"/>
      <c r="F71" s="75"/>
      <c r="G71" s="75"/>
      <c r="H71" s="185"/>
      <c r="I71" s="180"/>
      <c r="J71" s="77"/>
    </row>
    <row r="72" ht="14.25" customHeight="1">
      <c r="A72" s="104" t="s">
        <v>180</v>
      </c>
      <c r="B72" s="104"/>
      <c r="C72" s="53"/>
      <c r="D72" s="53"/>
      <c r="E72" s="53"/>
      <c r="F72" s="53"/>
      <c r="G72" s="53"/>
      <c r="H72" s="57"/>
      <c r="I72" s="533">
        <f>SUM(I9:I71)</f>
        <v>2625</v>
      </c>
    </row>
    <row r="73" ht="14.25" customHeight="1">
      <c r="A73" s="52"/>
      <c r="B73" s="52"/>
      <c r="C73" s="53"/>
      <c r="D73" s="53"/>
      <c r="E73" s="53"/>
      <c r="F73" s="53"/>
      <c r="G73" s="53"/>
      <c r="H73" s="1"/>
      <c r="I73" s="1"/>
    </row>
    <row r="74" ht="14.25" customHeight="1">
      <c r="A74" s="52"/>
      <c r="B74" s="53"/>
      <c r="C74" s="53"/>
      <c r="D74" s="53"/>
      <c r="E74" s="53"/>
      <c r="F74" s="53"/>
      <c r="G74" s="1"/>
    </row>
    <row r="75" ht="15.0" customHeight="1">
      <c r="A75" s="534" t="s">
        <v>330</v>
      </c>
      <c r="B75" s="107"/>
      <c r="C75" s="107"/>
      <c r="D75" s="107"/>
      <c r="E75" s="107"/>
      <c r="F75" s="107"/>
      <c r="G75" s="107"/>
      <c r="H75" s="107"/>
      <c r="I75" s="108"/>
    </row>
    <row r="76" ht="14.25" customHeight="1">
      <c r="A76" s="52"/>
      <c r="B76" s="52"/>
      <c r="C76" s="53"/>
      <c r="D76" s="53"/>
      <c r="E76" s="53"/>
      <c r="F76" s="53"/>
      <c r="G76" s="53"/>
      <c r="H76" s="1"/>
      <c r="I76" s="1"/>
    </row>
    <row r="77" ht="14.25" customHeight="1">
      <c r="A77" s="52"/>
      <c r="B77" s="52"/>
      <c r="C77" s="53"/>
      <c r="D77" s="53"/>
      <c r="E77" s="53"/>
      <c r="F77" s="53"/>
      <c r="G77" s="53"/>
      <c r="H77" s="1"/>
      <c r="I77" s="1"/>
    </row>
    <row r="78" ht="14.25" customHeight="1">
      <c r="A78" s="52"/>
      <c r="B78" s="52"/>
      <c r="C78" s="53"/>
      <c r="D78" s="53"/>
      <c r="E78" s="53"/>
      <c r="F78" s="53"/>
      <c r="G78" s="53"/>
      <c r="H78" s="1"/>
      <c r="I78" s="1"/>
    </row>
    <row r="79" ht="14.25" customHeight="1">
      <c r="A79" s="52"/>
      <c r="B79" s="52"/>
      <c r="C79" s="53"/>
      <c r="D79" s="53"/>
      <c r="E79" s="53"/>
      <c r="F79" s="53"/>
      <c r="G79" s="53"/>
      <c r="H79" s="1"/>
      <c r="I79" s="1"/>
    </row>
    <row r="80" ht="14.25" customHeight="1">
      <c r="A80" s="52"/>
      <c r="B80" s="52"/>
      <c r="C80" s="53"/>
      <c r="D80" s="53"/>
      <c r="E80" s="53"/>
      <c r="F80" s="53"/>
      <c r="G80" s="53"/>
      <c r="H80" s="1"/>
      <c r="I80" s="1"/>
    </row>
    <row r="81" ht="14.25" customHeight="1">
      <c r="A81" s="52"/>
      <c r="B81" s="52"/>
      <c r="C81" s="53"/>
      <c r="D81" s="53"/>
      <c r="E81" s="53"/>
      <c r="F81" s="53"/>
      <c r="G81" s="53"/>
      <c r="H81" s="1"/>
      <c r="I81" s="1"/>
    </row>
    <row r="82" ht="14.25" customHeight="1">
      <c r="A82" s="52"/>
      <c r="B82" s="52"/>
      <c r="C82" s="53"/>
      <c r="D82" s="53"/>
      <c r="E82" s="53"/>
      <c r="F82" s="53"/>
      <c r="G82" s="53"/>
      <c r="H82" s="1"/>
      <c r="I82" s="1"/>
    </row>
    <row r="83" ht="14.25" customHeight="1">
      <c r="A83" s="52"/>
      <c r="B83" s="52"/>
      <c r="C83" s="53"/>
      <c r="D83" s="53"/>
      <c r="E83" s="53"/>
      <c r="F83" s="53"/>
      <c r="G83" s="53"/>
      <c r="H83" s="1"/>
      <c r="I83" s="1"/>
    </row>
    <row r="84" ht="14.25" customHeight="1">
      <c r="A84" s="52"/>
      <c r="B84" s="52"/>
      <c r="C84" s="53"/>
      <c r="D84" s="53"/>
      <c r="E84" s="53"/>
      <c r="F84" s="53"/>
      <c r="G84" s="53"/>
      <c r="H84" s="1"/>
      <c r="I84" s="1"/>
    </row>
    <row r="85" ht="14.25" customHeight="1">
      <c r="A85" s="52"/>
      <c r="B85" s="52"/>
      <c r="C85" s="53"/>
      <c r="D85" s="53"/>
      <c r="E85" s="53"/>
      <c r="F85" s="53"/>
      <c r="G85" s="53"/>
      <c r="H85" s="1"/>
      <c r="I85" s="1"/>
    </row>
    <row r="86" ht="14.25" customHeight="1">
      <c r="A86" s="52"/>
      <c r="B86" s="52"/>
      <c r="C86" s="53"/>
      <c r="D86" s="53"/>
      <c r="E86" s="53"/>
      <c r="F86" s="53"/>
      <c r="G86" s="53"/>
      <c r="H86" s="1"/>
      <c r="I86" s="1"/>
    </row>
    <row r="87" ht="14.25" customHeight="1">
      <c r="A87" s="52"/>
      <c r="B87" s="52"/>
      <c r="C87" s="53"/>
      <c r="D87" s="53"/>
      <c r="E87" s="53"/>
      <c r="F87" s="53"/>
      <c r="G87" s="53"/>
      <c r="H87" s="1"/>
      <c r="I87" s="1"/>
    </row>
    <row r="88" ht="14.25" customHeight="1">
      <c r="A88" s="52"/>
      <c r="B88" s="52"/>
      <c r="C88" s="53"/>
      <c r="D88" s="53"/>
      <c r="E88" s="53"/>
      <c r="F88" s="53"/>
      <c r="G88" s="53"/>
      <c r="H88" s="1"/>
      <c r="I88" s="1"/>
    </row>
    <row r="89" ht="14.25" customHeight="1">
      <c r="A89" s="52"/>
      <c r="B89" s="52"/>
      <c r="C89" s="53"/>
      <c r="D89" s="53"/>
      <c r="E89" s="53"/>
      <c r="F89" s="53"/>
      <c r="G89" s="53"/>
      <c r="H89" s="1"/>
      <c r="I89" s="1"/>
    </row>
    <row r="90" ht="14.25" customHeight="1">
      <c r="A90" s="52"/>
      <c r="B90" s="52"/>
      <c r="C90" s="53"/>
      <c r="D90" s="53"/>
      <c r="E90" s="53"/>
      <c r="F90" s="53"/>
      <c r="G90" s="53"/>
      <c r="H90" s="1"/>
      <c r="I90" s="1"/>
    </row>
    <row r="91" ht="14.25" customHeight="1">
      <c r="A91" s="52"/>
      <c r="B91" s="52"/>
      <c r="C91" s="53"/>
      <c r="D91" s="53"/>
      <c r="E91" s="53"/>
      <c r="F91" s="53"/>
      <c r="G91" s="53"/>
      <c r="H91" s="1"/>
      <c r="I91" s="1"/>
    </row>
    <row r="92" ht="14.25" customHeight="1">
      <c r="A92" s="52"/>
      <c r="B92" s="52"/>
      <c r="C92" s="53"/>
      <c r="D92" s="53"/>
      <c r="E92" s="53"/>
      <c r="F92" s="53"/>
      <c r="G92" s="53"/>
      <c r="H92" s="1"/>
      <c r="I92" s="1"/>
    </row>
    <row r="93" ht="14.25" customHeight="1">
      <c r="A93" s="52"/>
      <c r="B93" s="52"/>
      <c r="C93" s="53"/>
      <c r="D93" s="53"/>
      <c r="E93" s="53"/>
      <c r="F93" s="53"/>
      <c r="G93" s="53"/>
      <c r="H93" s="1"/>
      <c r="I93" s="1"/>
    </row>
    <row r="94" ht="14.25" customHeight="1">
      <c r="A94" s="52"/>
      <c r="B94" s="52"/>
      <c r="C94" s="53"/>
      <c r="D94" s="53"/>
      <c r="E94" s="53"/>
      <c r="F94" s="53"/>
      <c r="G94" s="53"/>
      <c r="H94" s="1"/>
      <c r="I94" s="1"/>
    </row>
    <row r="95" ht="14.25" customHeight="1">
      <c r="A95" s="52"/>
      <c r="B95" s="52"/>
      <c r="C95" s="53"/>
      <c r="D95" s="53"/>
      <c r="E95" s="53"/>
      <c r="F95" s="53"/>
      <c r="G95" s="53"/>
      <c r="H95" s="1"/>
      <c r="I95" s="1"/>
    </row>
    <row r="96" ht="14.25" customHeight="1">
      <c r="A96" s="52"/>
      <c r="B96" s="52"/>
      <c r="C96" s="53"/>
      <c r="D96" s="53"/>
      <c r="E96" s="53"/>
      <c r="F96" s="53"/>
      <c r="G96" s="53"/>
      <c r="H96" s="1"/>
      <c r="I96" s="1"/>
    </row>
    <row r="97" ht="14.25" customHeight="1">
      <c r="A97" s="52"/>
      <c r="B97" s="52"/>
      <c r="C97" s="53"/>
      <c r="D97" s="53"/>
      <c r="E97" s="53"/>
      <c r="F97" s="53"/>
      <c r="G97" s="53"/>
      <c r="H97" s="1"/>
      <c r="I97" s="1"/>
    </row>
    <row r="98" ht="14.25" customHeight="1">
      <c r="A98" s="52"/>
      <c r="B98" s="52"/>
      <c r="C98" s="53"/>
      <c r="D98" s="53"/>
      <c r="E98" s="53"/>
      <c r="F98" s="53"/>
      <c r="G98" s="53"/>
      <c r="H98" s="1"/>
      <c r="I98" s="1"/>
    </row>
    <row r="99" ht="14.25" customHeight="1">
      <c r="A99" s="52"/>
      <c r="B99" s="52"/>
      <c r="C99" s="53"/>
      <c r="D99" s="53"/>
      <c r="E99" s="53"/>
      <c r="F99" s="53"/>
      <c r="G99" s="53"/>
      <c r="H99" s="1"/>
      <c r="I99" s="1"/>
    </row>
    <row r="100" ht="14.25" customHeight="1">
      <c r="A100" s="52"/>
      <c r="B100" s="52"/>
      <c r="C100" s="53"/>
      <c r="D100" s="53"/>
      <c r="E100" s="53"/>
      <c r="F100" s="53"/>
      <c r="G100" s="53"/>
      <c r="H100" s="1"/>
      <c r="I100" s="1"/>
    </row>
    <row r="101" ht="14.25" customHeight="1">
      <c r="A101" s="52"/>
      <c r="B101" s="52"/>
      <c r="C101" s="53"/>
      <c r="D101" s="53"/>
      <c r="E101" s="53"/>
      <c r="F101" s="53"/>
      <c r="G101" s="53"/>
      <c r="H101" s="1"/>
      <c r="I101" s="1"/>
    </row>
    <row r="102" ht="14.25" customHeight="1">
      <c r="A102" s="52"/>
      <c r="B102" s="52"/>
      <c r="C102" s="53"/>
      <c r="D102" s="53"/>
      <c r="E102" s="53"/>
      <c r="F102" s="53"/>
      <c r="G102" s="53"/>
      <c r="H102" s="1"/>
      <c r="I102" s="1"/>
    </row>
    <row r="103" ht="14.25" customHeight="1">
      <c r="A103" s="52"/>
      <c r="B103" s="52"/>
      <c r="C103" s="53"/>
      <c r="D103" s="53"/>
      <c r="E103" s="53"/>
      <c r="F103" s="53"/>
      <c r="G103" s="53"/>
      <c r="H103" s="1"/>
      <c r="I103" s="1"/>
    </row>
    <row r="104" ht="14.25" customHeight="1">
      <c r="A104" s="52"/>
      <c r="B104" s="52"/>
      <c r="C104" s="53"/>
      <c r="D104" s="53"/>
      <c r="E104" s="53"/>
      <c r="F104" s="53"/>
      <c r="G104" s="53"/>
      <c r="H104" s="1"/>
      <c r="I104" s="1"/>
    </row>
    <row r="105" ht="14.25" customHeight="1">
      <c r="A105" s="52"/>
      <c r="B105" s="52"/>
      <c r="C105" s="53"/>
      <c r="D105" s="53"/>
      <c r="E105" s="53"/>
      <c r="F105" s="53"/>
      <c r="G105" s="53"/>
      <c r="H105" s="1"/>
      <c r="I105" s="1"/>
    </row>
    <row r="106" ht="14.25" customHeight="1">
      <c r="A106" s="52"/>
      <c r="B106" s="52"/>
      <c r="C106" s="53"/>
      <c r="D106" s="53"/>
      <c r="E106" s="53"/>
      <c r="F106" s="53"/>
      <c r="G106" s="53"/>
      <c r="H106" s="1"/>
      <c r="I106" s="1"/>
    </row>
    <row r="107" ht="14.25" customHeight="1">
      <c r="A107" s="52"/>
      <c r="B107" s="52"/>
      <c r="C107" s="53"/>
      <c r="D107" s="53"/>
      <c r="E107" s="53"/>
      <c r="F107" s="53"/>
      <c r="G107" s="53"/>
      <c r="H107" s="1"/>
      <c r="I107" s="1"/>
    </row>
    <row r="108" ht="14.25" customHeight="1">
      <c r="A108" s="52"/>
      <c r="B108" s="52"/>
      <c r="C108" s="53"/>
      <c r="D108" s="53"/>
      <c r="E108" s="53"/>
      <c r="F108" s="53"/>
      <c r="G108" s="53"/>
      <c r="H108" s="1"/>
      <c r="I108" s="1"/>
    </row>
    <row r="109" ht="14.25" customHeight="1">
      <c r="A109" s="52"/>
      <c r="B109" s="52"/>
      <c r="C109" s="53"/>
      <c r="D109" s="53"/>
      <c r="E109" s="53"/>
      <c r="F109" s="53"/>
      <c r="G109" s="53"/>
      <c r="H109" s="1"/>
      <c r="I109" s="1"/>
    </row>
    <row r="110" ht="14.25" customHeight="1">
      <c r="A110" s="52"/>
      <c r="B110" s="52"/>
      <c r="C110" s="53"/>
      <c r="D110" s="53"/>
      <c r="E110" s="53"/>
      <c r="F110" s="53"/>
      <c r="G110" s="53"/>
      <c r="H110" s="1"/>
      <c r="I110" s="1"/>
    </row>
    <row r="111" ht="14.25" customHeight="1">
      <c r="A111" s="52"/>
      <c r="B111" s="52"/>
      <c r="C111" s="53"/>
      <c r="D111" s="53"/>
      <c r="E111" s="53"/>
      <c r="F111" s="53"/>
      <c r="G111" s="53"/>
      <c r="H111" s="1"/>
      <c r="I111" s="1"/>
    </row>
    <row r="112" ht="14.25" customHeight="1">
      <c r="A112" s="52"/>
      <c r="B112" s="52"/>
      <c r="C112" s="53"/>
      <c r="D112" s="53"/>
      <c r="E112" s="53"/>
      <c r="F112" s="53"/>
      <c r="G112" s="53"/>
      <c r="H112" s="1"/>
      <c r="I112" s="1"/>
    </row>
    <row r="113" ht="14.25" customHeight="1">
      <c r="A113" s="52"/>
      <c r="B113" s="52"/>
      <c r="C113" s="53"/>
      <c r="D113" s="53"/>
      <c r="E113" s="53"/>
      <c r="F113" s="53"/>
      <c r="G113" s="53"/>
      <c r="H113" s="1"/>
      <c r="I113" s="1"/>
    </row>
    <row r="114" ht="14.25" customHeight="1">
      <c r="A114" s="52"/>
      <c r="B114" s="52"/>
      <c r="C114" s="53"/>
      <c r="D114" s="53"/>
      <c r="E114" s="53"/>
      <c r="F114" s="53"/>
      <c r="G114" s="53"/>
      <c r="H114" s="1"/>
      <c r="I114" s="1"/>
    </row>
    <row r="115" ht="14.25" customHeight="1">
      <c r="A115" s="52"/>
      <c r="B115" s="52"/>
      <c r="C115" s="53"/>
      <c r="D115" s="53"/>
      <c r="E115" s="53"/>
      <c r="F115" s="53"/>
      <c r="G115" s="53"/>
      <c r="H115" s="1"/>
      <c r="I115" s="1"/>
    </row>
    <row r="116" ht="14.25" customHeight="1">
      <c r="A116" s="52"/>
      <c r="B116" s="52"/>
      <c r="C116" s="53"/>
      <c r="D116" s="53"/>
      <c r="E116" s="53"/>
      <c r="F116" s="53"/>
      <c r="G116" s="53"/>
      <c r="H116" s="1"/>
      <c r="I116" s="1"/>
    </row>
    <row r="117" ht="14.25" customHeight="1">
      <c r="A117" s="52"/>
      <c r="B117" s="52"/>
      <c r="C117" s="53"/>
      <c r="D117" s="53"/>
      <c r="E117" s="53"/>
      <c r="F117" s="53"/>
      <c r="G117" s="53"/>
      <c r="H117" s="1"/>
      <c r="I117" s="1"/>
    </row>
    <row r="118" ht="14.25" customHeight="1">
      <c r="A118" s="52"/>
      <c r="B118" s="52"/>
      <c r="C118" s="53"/>
      <c r="D118" s="53"/>
      <c r="E118" s="53"/>
      <c r="F118" s="53"/>
      <c r="G118" s="53"/>
      <c r="H118" s="1"/>
      <c r="I118" s="1"/>
    </row>
    <row r="119" ht="14.25" customHeight="1">
      <c r="A119" s="52"/>
      <c r="B119" s="52"/>
      <c r="C119" s="53"/>
      <c r="D119" s="53"/>
      <c r="E119" s="53"/>
      <c r="F119" s="53"/>
      <c r="G119" s="53"/>
      <c r="H119" s="1"/>
      <c r="I119" s="1"/>
    </row>
    <row r="120" ht="14.25" customHeight="1">
      <c r="A120" s="52"/>
      <c r="B120" s="52"/>
      <c r="C120" s="53"/>
      <c r="D120" s="53"/>
      <c r="E120" s="53"/>
      <c r="F120" s="53"/>
      <c r="G120" s="53"/>
      <c r="H120" s="1"/>
      <c r="I120" s="1"/>
    </row>
    <row r="121" ht="14.25" customHeight="1">
      <c r="A121" s="52"/>
      <c r="B121" s="52"/>
      <c r="C121" s="53"/>
      <c r="D121" s="53"/>
      <c r="E121" s="53"/>
      <c r="F121" s="53"/>
      <c r="G121" s="53"/>
      <c r="H121" s="1"/>
      <c r="I121" s="1"/>
    </row>
    <row r="122" ht="14.25" customHeight="1">
      <c r="A122" s="52"/>
      <c r="B122" s="52"/>
      <c r="C122" s="53"/>
      <c r="D122" s="53"/>
      <c r="E122" s="53"/>
      <c r="F122" s="53"/>
      <c r="G122" s="53"/>
      <c r="H122" s="1"/>
      <c r="I122" s="1"/>
    </row>
    <row r="123" ht="14.25" customHeight="1">
      <c r="A123" s="52"/>
      <c r="B123" s="52"/>
      <c r="C123" s="53"/>
      <c r="D123" s="53"/>
      <c r="E123" s="53"/>
      <c r="F123" s="53"/>
      <c r="G123" s="53"/>
      <c r="H123" s="1"/>
      <c r="I123" s="1"/>
    </row>
    <row r="124" ht="14.25" customHeight="1">
      <c r="A124" s="52"/>
      <c r="B124" s="52"/>
      <c r="C124" s="53"/>
      <c r="D124" s="53"/>
      <c r="E124" s="53"/>
      <c r="F124" s="53"/>
      <c r="G124" s="53"/>
      <c r="H124" s="1"/>
      <c r="I124" s="1"/>
    </row>
    <row r="125" ht="14.25" customHeight="1">
      <c r="A125" s="52"/>
      <c r="B125" s="52"/>
      <c r="C125" s="53"/>
      <c r="D125" s="53"/>
      <c r="E125" s="53"/>
      <c r="F125" s="53"/>
      <c r="G125" s="53"/>
      <c r="H125" s="1"/>
      <c r="I125" s="1"/>
    </row>
    <row r="126" ht="14.25" customHeight="1">
      <c r="A126" s="52"/>
      <c r="B126" s="52"/>
      <c r="C126" s="53"/>
      <c r="D126" s="53"/>
      <c r="E126" s="53"/>
      <c r="F126" s="53"/>
      <c r="G126" s="53"/>
      <c r="H126" s="1"/>
      <c r="I126" s="1"/>
    </row>
    <row r="127" ht="14.25" customHeight="1">
      <c r="A127" s="52"/>
      <c r="B127" s="52"/>
      <c r="C127" s="53"/>
      <c r="D127" s="53"/>
      <c r="E127" s="53"/>
      <c r="F127" s="53"/>
      <c r="G127" s="53"/>
      <c r="H127" s="1"/>
      <c r="I127" s="1"/>
    </row>
    <row r="128" ht="14.25" customHeight="1">
      <c r="A128" s="52"/>
      <c r="B128" s="52"/>
      <c r="C128" s="53"/>
      <c r="D128" s="53"/>
      <c r="E128" s="53"/>
      <c r="F128" s="53"/>
      <c r="G128" s="53"/>
      <c r="H128" s="1"/>
      <c r="I128" s="1"/>
    </row>
    <row r="129" ht="14.25" customHeight="1">
      <c r="A129" s="52"/>
      <c r="B129" s="52"/>
      <c r="C129" s="53"/>
      <c r="D129" s="53"/>
      <c r="E129" s="53"/>
      <c r="F129" s="53"/>
      <c r="G129" s="53"/>
      <c r="H129" s="1"/>
      <c r="I129" s="1"/>
    </row>
    <row r="130" ht="14.25" customHeight="1">
      <c r="A130" s="52"/>
      <c r="B130" s="52"/>
      <c r="C130" s="53"/>
      <c r="D130" s="53"/>
      <c r="E130" s="53"/>
      <c r="F130" s="53"/>
      <c r="G130" s="53"/>
      <c r="H130" s="1"/>
      <c r="I130" s="1"/>
    </row>
    <row r="131" ht="14.25" customHeight="1">
      <c r="A131" s="52"/>
      <c r="B131" s="52"/>
      <c r="C131" s="53"/>
      <c r="D131" s="53"/>
      <c r="E131" s="53"/>
      <c r="F131" s="53"/>
      <c r="G131" s="53"/>
      <c r="H131" s="1"/>
      <c r="I131" s="1"/>
    </row>
    <row r="132" ht="14.25" customHeight="1">
      <c r="A132" s="52"/>
      <c r="B132" s="52"/>
      <c r="C132" s="53"/>
      <c r="D132" s="53"/>
      <c r="E132" s="53"/>
      <c r="F132" s="53"/>
      <c r="G132" s="53"/>
      <c r="H132" s="1"/>
      <c r="I132" s="1"/>
    </row>
    <row r="133" ht="14.25" customHeight="1">
      <c r="A133" s="52"/>
      <c r="B133" s="52"/>
      <c r="C133" s="53"/>
      <c r="D133" s="53"/>
      <c r="E133" s="53"/>
      <c r="F133" s="53"/>
      <c r="G133" s="53"/>
      <c r="H133" s="1"/>
      <c r="I133" s="1"/>
    </row>
    <row r="134" ht="14.25" customHeight="1">
      <c r="A134" s="52"/>
      <c r="B134" s="52"/>
      <c r="C134" s="53"/>
      <c r="D134" s="53"/>
      <c r="E134" s="53"/>
      <c r="F134" s="53"/>
      <c r="G134" s="53"/>
      <c r="H134" s="1"/>
      <c r="I134" s="1"/>
    </row>
    <row r="135" ht="14.25" customHeight="1">
      <c r="A135" s="52"/>
      <c r="B135" s="52"/>
      <c r="C135" s="53"/>
      <c r="D135" s="53"/>
      <c r="E135" s="53"/>
      <c r="F135" s="53"/>
      <c r="G135" s="53"/>
      <c r="H135" s="1"/>
      <c r="I135" s="1"/>
    </row>
    <row r="136" ht="14.25" customHeight="1">
      <c r="A136" s="52"/>
      <c r="B136" s="52"/>
      <c r="C136" s="53"/>
      <c r="D136" s="53"/>
      <c r="E136" s="53"/>
      <c r="F136" s="53"/>
      <c r="G136" s="53"/>
      <c r="H136" s="1"/>
      <c r="I136" s="1"/>
    </row>
    <row r="137" ht="14.25" customHeight="1">
      <c r="A137" s="52"/>
      <c r="B137" s="52"/>
      <c r="C137" s="53"/>
      <c r="D137" s="53"/>
      <c r="E137" s="53"/>
      <c r="F137" s="53"/>
      <c r="G137" s="53"/>
      <c r="H137" s="1"/>
      <c r="I137" s="1"/>
    </row>
    <row r="138" ht="14.25" customHeight="1">
      <c r="A138" s="52"/>
      <c r="B138" s="52"/>
      <c r="C138" s="53"/>
      <c r="D138" s="53"/>
      <c r="E138" s="53"/>
      <c r="F138" s="53"/>
      <c r="G138" s="53"/>
      <c r="H138" s="1"/>
      <c r="I138" s="1"/>
    </row>
    <row r="139" ht="14.25" customHeight="1">
      <c r="A139" s="52"/>
      <c r="B139" s="52"/>
      <c r="C139" s="53"/>
      <c r="D139" s="53"/>
      <c r="E139" s="53"/>
      <c r="F139" s="53"/>
      <c r="G139" s="53"/>
      <c r="H139" s="1"/>
      <c r="I139" s="1"/>
    </row>
    <row r="140" ht="14.25" customHeight="1">
      <c r="A140" s="52"/>
      <c r="B140" s="52"/>
      <c r="C140" s="53"/>
      <c r="D140" s="53"/>
      <c r="E140" s="53"/>
      <c r="F140" s="53"/>
      <c r="G140" s="53"/>
      <c r="H140" s="1"/>
      <c r="I140" s="1"/>
    </row>
    <row r="141" ht="14.25" customHeight="1">
      <c r="A141" s="52"/>
      <c r="B141" s="52"/>
      <c r="C141" s="53"/>
      <c r="D141" s="53"/>
      <c r="E141" s="53"/>
      <c r="F141" s="53"/>
      <c r="G141" s="53"/>
      <c r="H141" s="1"/>
      <c r="I141" s="1"/>
    </row>
    <row r="142" ht="14.25" customHeight="1">
      <c r="A142" s="52"/>
      <c r="B142" s="52"/>
      <c r="C142" s="53"/>
      <c r="D142" s="53"/>
      <c r="E142" s="53"/>
      <c r="F142" s="53"/>
      <c r="G142" s="53"/>
      <c r="H142" s="1"/>
      <c r="I142" s="1"/>
    </row>
    <row r="143" ht="14.25" customHeight="1">
      <c r="A143" s="52"/>
      <c r="B143" s="52"/>
      <c r="C143" s="53"/>
      <c r="D143" s="53"/>
      <c r="E143" s="53"/>
      <c r="F143" s="53"/>
      <c r="G143" s="53"/>
      <c r="H143" s="1"/>
      <c r="I143" s="1"/>
    </row>
    <row r="144" ht="14.25" customHeight="1">
      <c r="A144" s="52"/>
      <c r="B144" s="52"/>
      <c r="C144" s="53"/>
      <c r="D144" s="53"/>
      <c r="E144" s="53"/>
      <c r="F144" s="53"/>
      <c r="G144" s="53"/>
      <c r="H144" s="1"/>
      <c r="I144" s="1"/>
    </row>
    <row r="145" ht="14.25" customHeight="1">
      <c r="A145" s="52"/>
      <c r="B145" s="52"/>
      <c r="C145" s="53"/>
      <c r="D145" s="53"/>
      <c r="E145" s="53"/>
      <c r="F145" s="53"/>
      <c r="G145" s="53"/>
      <c r="H145" s="1"/>
      <c r="I145" s="1"/>
    </row>
    <row r="146" ht="14.25" customHeight="1">
      <c r="A146" s="52"/>
      <c r="B146" s="52"/>
      <c r="C146" s="53"/>
      <c r="D146" s="53"/>
      <c r="E146" s="53"/>
      <c r="F146" s="53"/>
      <c r="G146" s="53"/>
      <c r="H146" s="1"/>
      <c r="I146" s="1"/>
    </row>
    <row r="147" ht="14.25" customHeight="1">
      <c r="A147" s="52"/>
      <c r="B147" s="52"/>
      <c r="C147" s="53"/>
      <c r="D147" s="53"/>
      <c r="E147" s="53"/>
      <c r="F147" s="53"/>
      <c r="G147" s="53"/>
      <c r="H147" s="1"/>
      <c r="I147" s="1"/>
    </row>
    <row r="148" ht="14.25" customHeight="1">
      <c r="A148" s="52"/>
      <c r="B148" s="52"/>
      <c r="C148" s="53"/>
      <c r="D148" s="53"/>
      <c r="E148" s="53"/>
      <c r="F148" s="53"/>
      <c r="G148" s="53"/>
      <c r="H148" s="1"/>
      <c r="I148" s="1"/>
    </row>
    <row r="149" ht="14.25" customHeight="1">
      <c r="A149" s="52"/>
      <c r="B149" s="52"/>
      <c r="C149" s="53"/>
      <c r="D149" s="53"/>
      <c r="E149" s="53"/>
      <c r="F149" s="53"/>
      <c r="G149" s="53"/>
      <c r="H149" s="1"/>
      <c r="I149" s="1"/>
    </row>
    <row r="150" ht="14.25" customHeight="1">
      <c r="A150" s="52"/>
      <c r="B150" s="52"/>
      <c r="C150" s="53"/>
      <c r="D150" s="53"/>
      <c r="E150" s="53"/>
      <c r="F150" s="53"/>
      <c r="G150" s="53"/>
      <c r="H150" s="1"/>
      <c r="I150" s="1"/>
    </row>
    <row r="151" ht="14.25" customHeight="1">
      <c r="A151" s="52"/>
      <c r="B151" s="52"/>
      <c r="C151" s="53"/>
      <c r="D151" s="53"/>
      <c r="E151" s="53"/>
      <c r="F151" s="53"/>
      <c r="G151" s="53"/>
      <c r="H151" s="1"/>
      <c r="I151" s="1"/>
    </row>
    <row r="152" ht="14.25" customHeight="1">
      <c r="A152" s="52"/>
      <c r="B152" s="52"/>
      <c r="C152" s="53"/>
      <c r="D152" s="53"/>
      <c r="E152" s="53"/>
      <c r="F152" s="53"/>
      <c r="G152" s="53"/>
      <c r="H152" s="1"/>
      <c r="I152" s="1"/>
    </row>
    <row r="153" ht="14.25" customHeight="1">
      <c r="A153" s="52"/>
      <c r="B153" s="52"/>
      <c r="C153" s="53"/>
      <c r="D153" s="53"/>
      <c r="E153" s="53"/>
      <c r="F153" s="53"/>
      <c r="G153" s="53"/>
      <c r="H153" s="1"/>
      <c r="I153" s="1"/>
    </row>
    <row r="154" ht="14.25" customHeight="1">
      <c r="A154" s="52"/>
      <c r="B154" s="52"/>
      <c r="C154" s="53"/>
      <c r="D154" s="53"/>
      <c r="E154" s="53"/>
      <c r="F154" s="53"/>
      <c r="G154" s="53"/>
      <c r="H154" s="1"/>
      <c r="I154" s="1"/>
    </row>
    <row r="155" ht="14.25" customHeight="1">
      <c r="A155" s="52"/>
      <c r="B155" s="52"/>
      <c r="C155" s="53"/>
      <c r="D155" s="53"/>
      <c r="E155" s="53"/>
      <c r="F155" s="53"/>
      <c r="G155" s="53"/>
      <c r="H155" s="1"/>
      <c r="I155" s="1"/>
    </row>
    <row r="156" ht="14.25" customHeight="1">
      <c r="A156" s="52"/>
      <c r="B156" s="52"/>
      <c r="C156" s="53"/>
      <c r="D156" s="53"/>
      <c r="E156" s="53"/>
      <c r="F156" s="53"/>
      <c r="G156" s="53"/>
      <c r="H156" s="1"/>
      <c r="I156" s="1"/>
    </row>
    <row r="157" ht="14.25" customHeight="1">
      <c r="A157" s="52"/>
      <c r="B157" s="52"/>
      <c r="C157" s="53"/>
      <c r="D157" s="53"/>
      <c r="E157" s="53"/>
      <c r="F157" s="53"/>
      <c r="G157" s="53"/>
      <c r="H157" s="1"/>
      <c r="I157" s="1"/>
    </row>
    <row r="158" ht="14.25" customHeight="1">
      <c r="A158" s="52"/>
      <c r="B158" s="52"/>
      <c r="C158" s="53"/>
      <c r="D158" s="53"/>
      <c r="E158" s="53"/>
      <c r="F158" s="53"/>
      <c r="G158" s="53"/>
      <c r="H158" s="1"/>
      <c r="I158" s="1"/>
    </row>
    <row r="159" ht="14.25" customHeight="1">
      <c r="A159" s="52"/>
      <c r="B159" s="52"/>
      <c r="C159" s="53"/>
      <c r="D159" s="53"/>
      <c r="E159" s="53"/>
      <c r="F159" s="53"/>
      <c r="G159" s="53"/>
      <c r="H159" s="1"/>
      <c r="I159" s="1"/>
    </row>
    <row r="160" ht="14.25" customHeight="1">
      <c r="A160" s="52"/>
      <c r="B160" s="52"/>
      <c r="C160" s="53"/>
      <c r="D160" s="53"/>
      <c r="E160" s="53"/>
      <c r="F160" s="53"/>
      <c r="G160" s="53"/>
      <c r="H160" s="1"/>
      <c r="I160" s="1"/>
    </row>
    <row r="161" ht="14.25" customHeight="1">
      <c r="A161" s="52"/>
      <c r="B161" s="52"/>
      <c r="C161" s="53"/>
      <c r="D161" s="53"/>
      <c r="E161" s="53"/>
      <c r="F161" s="53"/>
      <c r="G161" s="53"/>
      <c r="H161" s="1"/>
      <c r="I161" s="1"/>
    </row>
    <row r="162" ht="14.25" customHeight="1">
      <c r="A162" s="52"/>
      <c r="B162" s="52"/>
      <c r="C162" s="53"/>
      <c r="D162" s="53"/>
      <c r="E162" s="53"/>
      <c r="F162" s="53"/>
      <c r="G162" s="53"/>
      <c r="H162" s="1"/>
      <c r="I162" s="1"/>
    </row>
    <row r="163" ht="14.25" customHeight="1">
      <c r="A163" s="52"/>
      <c r="B163" s="52"/>
      <c r="C163" s="53"/>
      <c r="D163" s="53"/>
      <c r="E163" s="53"/>
      <c r="F163" s="53"/>
      <c r="G163" s="53"/>
      <c r="H163" s="1"/>
      <c r="I163" s="1"/>
    </row>
    <row r="164" ht="14.25" customHeight="1">
      <c r="A164" s="52"/>
      <c r="B164" s="52"/>
      <c r="C164" s="53"/>
      <c r="D164" s="53"/>
      <c r="E164" s="53"/>
      <c r="F164" s="53"/>
      <c r="G164" s="53"/>
      <c r="H164" s="1"/>
      <c r="I164" s="1"/>
    </row>
    <row r="165" ht="14.25" customHeight="1">
      <c r="A165" s="52"/>
      <c r="B165" s="52"/>
      <c r="C165" s="53"/>
      <c r="D165" s="53"/>
      <c r="E165" s="53"/>
      <c r="F165" s="53"/>
      <c r="G165" s="53"/>
      <c r="H165" s="1"/>
      <c r="I165" s="1"/>
    </row>
    <row r="166" ht="14.25" customHeight="1">
      <c r="A166" s="52"/>
      <c r="B166" s="52"/>
      <c r="C166" s="53"/>
      <c r="D166" s="53"/>
      <c r="E166" s="53"/>
      <c r="F166" s="53"/>
      <c r="G166" s="53"/>
      <c r="H166" s="1"/>
      <c r="I166" s="1"/>
    </row>
    <row r="167" ht="14.25" customHeight="1">
      <c r="A167" s="52"/>
      <c r="B167" s="52"/>
      <c r="C167" s="53"/>
      <c r="D167" s="53"/>
      <c r="E167" s="53"/>
      <c r="F167" s="53"/>
      <c r="G167" s="53"/>
      <c r="H167" s="1"/>
      <c r="I167" s="1"/>
    </row>
    <row r="168" ht="14.25" customHeight="1">
      <c r="A168" s="52"/>
      <c r="B168" s="52"/>
      <c r="C168" s="53"/>
      <c r="D168" s="53"/>
      <c r="E168" s="53"/>
      <c r="F168" s="53"/>
      <c r="G168" s="53"/>
      <c r="H168" s="1"/>
      <c r="I168" s="1"/>
    </row>
    <row r="169" ht="14.25" customHeight="1">
      <c r="A169" s="52"/>
      <c r="B169" s="52"/>
      <c r="C169" s="53"/>
      <c r="D169" s="53"/>
      <c r="E169" s="53"/>
      <c r="F169" s="53"/>
      <c r="G169" s="53"/>
      <c r="H169" s="1"/>
      <c r="I169" s="1"/>
    </row>
    <row r="170" ht="14.25" customHeight="1">
      <c r="A170" s="52"/>
      <c r="B170" s="52"/>
      <c r="C170" s="53"/>
      <c r="D170" s="53"/>
      <c r="E170" s="53"/>
      <c r="F170" s="53"/>
      <c r="G170" s="53"/>
      <c r="H170" s="1"/>
      <c r="I170" s="1"/>
    </row>
    <row r="171" ht="14.25" customHeight="1">
      <c r="A171" s="52"/>
      <c r="B171" s="52"/>
      <c r="C171" s="53"/>
      <c r="D171" s="53"/>
      <c r="E171" s="53"/>
      <c r="F171" s="53"/>
      <c r="G171" s="53"/>
      <c r="H171" s="1"/>
      <c r="I171" s="1"/>
    </row>
    <row r="172" ht="14.25" customHeight="1">
      <c r="A172" s="52"/>
      <c r="B172" s="52"/>
      <c r="C172" s="53"/>
      <c r="D172" s="53"/>
      <c r="E172" s="53"/>
      <c r="F172" s="53"/>
      <c r="G172" s="53"/>
      <c r="H172" s="1"/>
      <c r="I172" s="1"/>
    </row>
    <row r="173" ht="14.25" customHeight="1">
      <c r="A173" s="52"/>
      <c r="B173" s="52"/>
      <c r="C173" s="53"/>
      <c r="D173" s="53"/>
      <c r="E173" s="53"/>
      <c r="F173" s="53"/>
      <c r="G173" s="53"/>
      <c r="H173" s="1"/>
      <c r="I173" s="1"/>
    </row>
    <row r="174" ht="14.25" customHeight="1">
      <c r="A174" s="52"/>
      <c r="B174" s="52"/>
      <c r="C174" s="53"/>
      <c r="D174" s="53"/>
      <c r="E174" s="53"/>
      <c r="F174" s="53"/>
      <c r="G174" s="53"/>
      <c r="H174" s="1"/>
      <c r="I174" s="1"/>
    </row>
    <row r="175" ht="14.25" customHeight="1">
      <c r="A175" s="52"/>
      <c r="B175" s="52"/>
      <c r="C175" s="53"/>
      <c r="D175" s="53"/>
      <c r="E175" s="53"/>
      <c r="F175" s="53"/>
      <c r="G175" s="53"/>
      <c r="H175" s="1"/>
      <c r="I175" s="1"/>
    </row>
    <row r="176" ht="14.25" customHeight="1">
      <c r="A176" s="52"/>
      <c r="B176" s="52"/>
      <c r="C176" s="53"/>
      <c r="D176" s="53"/>
      <c r="E176" s="53"/>
      <c r="F176" s="53"/>
      <c r="G176" s="53"/>
      <c r="H176" s="1"/>
      <c r="I176" s="1"/>
    </row>
    <row r="177" ht="14.25" customHeight="1">
      <c r="A177" s="52"/>
      <c r="B177" s="52"/>
      <c r="C177" s="53"/>
      <c r="D177" s="53"/>
      <c r="E177" s="53"/>
      <c r="F177" s="53"/>
      <c r="G177" s="53"/>
      <c r="H177" s="1"/>
      <c r="I177" s="1"/>
    </row>
    <row r="178" ht="14.25" customHeight="1">
      <c r="A178" s="52"/>
      <c r="B178" s="52"/>
      <c r="C178" s="53"/>
      <c r="D178" s="53"/>
      <c r="E178" s="53"/>
      <c r="F178" s="53"/>
      <c r="G178" s="53"/>
      <c r="H178" s="1"/>
      <c r="I178" s="1"/>
    </row>
    <row r="179" ht="14.25" customHeight="1">
      <c r="A179" s="52"/>
      <c r="B179" s="52"/>
      <c r="C179" s="53"/>
      <c r="D179" s="53"/>
      <c r="E179" s="53"/>
      <c r="F179" s="53"/>
      <c r="G179" s="53"/>
      <c r="H179" s="1"/>
      <c r="I179" s="1"/>
    </row>
    <row r="180" ht="14.25" customHeight="1">
      <c r="A180" s="52"/>
      <c r="B180" s="52"/>
      <c r="C180" s="53"/>
      <c r="D180" s="53"/>
      <c r="E180" s="53"/>
      <c r="F180" s="53"/>
      <c r="G180" s="53"/>
      <c r="H180" s="1"/>
      <c r="I180" s="1"/>
    </row>
    <row r="181" ht="14.25" customHeight="1">
      <c r="A181" s="52"/>
      <c r="B181" s="52"/>
      <c r="C181" s="53"/>
      <c r="D181" s="53"/>
      <c r="E181" s="53"/>
      <c r="F181" s="53"/>
      <c r="G181" s="53"/>
      <c r="H181" s="1"/>
      <c r="I181" s="1"/>
    </row>
    <row r="182" ht="14.25" customHeight="1">
      <c r="A182" s="52"/>
      <c r="B182" s="52"/>
      <c r="C182" s="53"/>
      <c r="D182" s="53"/>
      <c r="E182" s="53"/>
      <c r="F182" s="53"/>
      <c r="G182" s="53"/>
      <c r="H182" s="1"/>
      <c r="I182" s="1"/>
    </row>
    <row r="183" ht="14.25" customHeight="1">
      <c r="A183" s="52"/>
      <c r="B183" s="52"/>
      <c r="C183" s="53"/>
      <c r="D183" s="53"/>
      <c r="E183" s="53"/>
      <c r="F183" s="53"/>
      <c r="G183" s="53"/>
      <c r="H183" s="1"/>
      <c r="I183" s="1"/>
    </row>
    <row r="184" ht="14.25" customHeight="1">
      <c r="A184" s="52"/>
      <c r="B184" s="52"/>
      <c r="C184" s="53"/>
      <c r="D184" s="53"/>
      <c r="E184" s="53"/>
      <c r="F184" s="53"/>
      <c r="G184" s="53"/>
      <c r="H184" s="1"/>
      <c r="I184" s="1"/>
    </row>
    <row r="185" ht="14.25" customHeight="1">
      <c r="A185" s="52"/>
      <c r="B185" s="52"/>
      <c r="C185" s="53"/>
      <c r="D185" s="53"/>
      <c r="E185" s="53"/>
      <c r="F185" s="53"/>
      <c r="G185" s="53"/>
      <c r="H185" s="1"/>
      <c r="I185" s="1"/>
    </row>
    <row r="186" ht="14.25" customHeight="1">
      <c r="A186" s="52"/>
      <c r="B186" s="52"/>
      <c r="C186" s="53"/>
      <c r="D186" s="53"/>
      <c r="E186" s="53"/>
      <c r="F186" s="53"/>
      <c r="G186" s="53"/>
      <c r="H186" s="1"/>
      <c r="I186" s="1"/>
    </row>
    <row r="187" ht="14.25" customHeight="1">
      <c r="A187" s="52"/>
      <c r="B187" s="52"/>
      <c r="C187" s="53"/>
      <c r="D187" s="53"/>
      <c r="E187" s="53"/>
      <c r="F187" s="53"/>
      <c r="G187" s="53"/>
      <c r="H187" s="1"/>
      <c r="I187" s="1"/>
    </row>
    <row r="188" ht="14.25" customHeight="1">
      <c r="A188" s="52"/>
      <c r="B188" s="52"/>
      <c r="C188" s="53"/>
      <c r="D188" s="53"/>
      <c r="E188" s="53"/>
      <c r="F188" s="53"/>
      <c r="G188" s="53"/>
      <c r="H188" s="1"/>
      <c r="I188" s="1"/>
    </row>
    <row r="189" ht="14.25" customHeight="1">
      <c r="A189" s="52"/>
      <c r="B189" s="52"/>
      <c r="C189" s="53"/>
      <c r="D189" s="53"/>
      <c r="E189" s="53"/>
      <c r="F189" s="53"/>
      <c r="G189" s="53"/>
      <c r="H189" s="1"/>
      <c r="I189" s="1"/>
    </row>
    <row r="190" ht="14.25" customHeight="1">
      <c r="A190" s="52"/>
      <c r="B190" s="52"/>
      <c r="C190" s="53"/>
      <c r="D190" s="53"/>
      <c r="E190" s="53"/>
      <c r="F190" s="53"/>
      <c r="G190" s="53"/>
      <c r="H190" s="1"/>
      <c r="I190" s="1"/>
    </row>
    <row r="191" ht="14.25" customHeight="1">
      <c r="A191" s="52"/>
      <c r="B191" s="52"/>
      <c r="C191" s="53"/>
      <c r="D191" s="53"/>
      <c r="E191" s="53"/>
      <c r="F191" s="53"/>
      <c r="G191" s="53"/>
      <c r="H191" s="1"/>
      <c r="I191" s="1"/>
    </row>
    <row r="192" ht="14.25" customHeight="1">
      <c r="A192" s="52"/>
      <c r="B192" s="52"/>
      <c r="C192" s="53"/>
      <c r="D192" s="53"/>
      <c r="E192" s="53"/>
      <c r="F192" s="53"/>
      <c r="G192" s="53"/>
      <c r="H192" s="1"/>
      <c r="I192" s="1"/>
    </row>
    <row r="193" ht="14.25" customHeight="1">
      <c r="A193" s="52"/>
      <c r="B193" s="52"/>
      <c r="C193" s="53"/>
      <c r="D193" s="53"/>
      <c r="E193" s="53"/>
      <c r="F193" s="53"/>
      <c r="G193" s="53"/>
      <c r="H193" s="1"/>
      <c r="I193" s="1"/>
    </row>
    <row r="194" ht="14.25" customHeight="1">
      <c r="A194" s="52"/>
      <c r="B194" s="52"/>
      <c r="C194" s="53"/>
      <c r="D194" s="53"/>
      <c r="E194" s="53"/>
      <c r="F194" s="53"/>
      <c r="G194" s="53"/>
      <c r="H194" s="1"/>
      <c r="I194" s="1"/>
    </row>
    <row r="195" ht="14.25" customHeight="1">
      <c r="A195" s="52"/>
      <c r="B195" s="52"/>
      <c r="C195" s="53"/>
      <c r="D195" s="53"/>
      <c r="E195" s="53"/>
      <c r="F195" s="53"/>
      <c r="G195" s="53"/>
      <c r="H195" s="1"/>
      <c r="I195" s="1"/>
    </row>
    <row r="196" ht="14.25" customHeight="1">
      <c r="A196" s="52"/>
      <c r="B196" s="52"/>
      <c r="C196" s="53"/>
      <c r="D196" s="53"/>
      <c r="E196" s="53"/>
      <c r="F196" s="53"/>
      <c r="G196" s="53"/>
      <c r="H196" s="1"/>
      <c r="I196" s="1"/>
    </row>
    <row r="197" ht="14.25" customHeight="1">
      <c r="A197" s="52"/>
      <c r="B197" s="52"/>
      <c r="C197" s="53"/>
      <c r="D197" s="53"/>
      <c r="E197" s="53"/>
      <c r="F197" s="53"/>
      <c r="G197" s="53"/>
      <c r="H197" s="1"/>
      <c r="I197" s="1"/>
    </row>
    <row r="198" ht="14.25" customHeight="1">
      <c r="A198" s="52"/>
      <c r="B198" s="52"/>
      <c r="C198" s="53"/>
      <c r="D198" s="53"/>
      <c r="E198" s="53"/>
      <c r="F198" s="53"/>
      <c r="G198" s="53"/>
      <c r="H198" s="1"/>
      <c r="I198" s="1"/>
    </row>
    <row r="199" ht="14.25" customHeight="1">
      <c r="A199" s="52"/>
      <c r="B199" s="52"/>
      <c r="C199" s="53"/>
      <c r="D199" s="53"/>
      <c r="E199" s="53"/>
      <c r="F199" s="53"/>
      <c r="G199" s="53"/>
      <c r="H199" s="1"/>
      <c r="I199" s="1"/>
    </row>
    <row r="200" ht="14.25" customHeight="1">
      <c r="A200" s="52"/>
      <c r="B200" s="52"/>
      <c r="C200" s="53"/>
      <c r="D200" s="53"/>
      <c r="E200" s="53"/>
      <c r="F200" s="53"/>
      <c r="G200" s="53"/>
      <c r="H200" s="1"/>
      <c r="I200" s="1"/>
    </row>
    <row r="201" ht="14.25" customHeight="1">
      <c r="A201" s="52"/>
      <c r="B201" s="52"/>
      <c r="C201" s="53"/>
      <c r="D201" s="53"/>
      <c r="E201" s="53"/>
      <c r="F201" s="53"/>
      <c r="G201" s="53"/>
      <c r="H201" s="1"/>
      <c r="I201" s="1"/>
    </row>
    <row r="202" ht="14.25" customHeight="1">
      <c r="A202" s="52"/>
      <c r="B202" s="52"/>
      <c r="C202" s="53"/>
      <c r="D202" s="53"/>
      <c r="E202" s="53"/>
      <c r="F202" s="53"/>
      <c r="G202" s="53"/>
      <c r="H202" s="1"/>
      <c r="I202" s="1"/>
    </row>
    <row r="203" ht="14.25" customHeight="1">
      <c r="A203" s="52"/>
      <c r="B203" s="52"/>
      <c r="C203" s="53"/>
      <c r="D203" s="53"/>
      <c r="E203" s="53"/>
      <c r="F203" s="53"/>
      <c r="G203" s="53"/>
      <c r="H203" s="1"/>
      <c r="I203" s="1"/>
    </row>
    <row r="204" ht="14.25" customHeight="1">
      <c r="A204" s="52"/>
      <c r="B204" s="52"/>
      <c r="C204" s="53"/>
      <c r="D204" s="53"/>
      <c r="E204" s="53"/>
      <c r="F204" s="53"/>
      <c r="G204" s="53"/>
      <c r="H204" s="1"/>
      <c r="I204" s="1"/>
    </row>
    <row r="205" ht="14.25" customHeight="1">
      <c r="A205" s="52"/>
      <c r="B205" s="52"/>
      <c r="C205" s="53"/>
      <c r="D205" s="53"/>
      <c r="E205" s="53"/>
      <c r="F205" s="53"/>
      <c r="G205" s="53"/>
      <c r="H205" s="1"/>
      <c r="I205" s="1"/>
    </row>
    <row r="206" ht="14.25" customHeight="1">
      <c r="A206" s="52"/>
      <c r="B206" s="52"/>
      <c r="C206" s="53"/>
      <c r="D206" s="53"/>
      <c r="E206" s="53"/>
      <c r="F206" s="53"/>
      <c r="G206" s="53"/>
      <c r="H206" s="1"/>
      <c r="I206" s="1"/>
    </row>
    <row r="207" ht="14.25" customHeight="1">
      <c r="A207" s="52"/>
      <c r="B207" s="52"/>
      <c r="C207" s="53"/>
      <c r="D207" s="53"/>
      <c r="E207" s="53"/>
      <c r="F207" s="53"/>
      <c r="G207" s="53"/>
      <c r="H207" s="1"/>
      <c r="I207" s="1"/>
    </row>
    <row r="208" ht="14.25" customHeight="1">
      <c r="A208" s="52"/>
      <c r="B208" s="52"/>
      <c r="C208" s="53"/>
      <c r="D208" s="53"/>
      <c r="E208" s="53"/>
      <c r="F208" s="53"/>
      <c r="G208" s="53"/>
      <c r="H208" s="1"/>
      <c r="I208" s="1"/>
    </row>
    <row r="209" ht="14.25" customHeight="1">
      <c r="A209" s="52"/>
      <c r="B209" s="52"/>
      <c r="C209" s="53"/>
      <c r="D209" s="53"/>
      <c r="E209" s="53"/>
      <c r="F209" s="53"/>
      <c r="G209" s="53"/>
      <c r="H209" s="1"/>
      <c r="I209" s="1"/>
    </row>
    <row r="210" ht="14.25" customHeight="1">
      <c r="A210" s="52"/>
      <c r="B210" s="52"/>
      <c r="C210" s="53"/>
      <c r="D210" s="53"/>
      <c r="E210" s="53"/>
      <c r="F210" s="53"/>
      <c r="G210" s="53"/>
      <c r="H210" s="1"/>
      <c r="I210" s="1"/>
    </row>
    <row r="211" ht="14.25" customHeight="1">
      <c r="A211" s="52"/>
      <c r="B211" s="52"/>
      <c r="C211" s="53"/>
      <c r="D211" s="53"/>
      <c r="E211" s="53"/>
      <c r="F211" s="53"/>
      <c r="G211" s="53"/>
      <c r="H211" s="1"/>
      <c r="I211" s="1"/>
    </row>
    <row r="212" ht="14.25" customHeight="1">
      <c r="A212" s="52"/>
      <c r="B212" s="52"/>
      <c r="C212" s="53"/>
      <c r="D212" s="53"/>
      <c r="E212" s="53"/>
      <c r="F212" s="53"/>
      <c r="G212" s="53"/>
      <c r="H212" s="1"/>
      <c r="I212" s="1"/>
    </row>
    <row r="213" ht="14.25" customHeight="1">
      <c r="A213" s="52"/>
      <c r="B213" s="52"/>
      <c r="C213" s="53"/>
      <c r="D213" s="53"/>
      <c r="E213" s="53"/>
      <c r="F213" s="53"/>
      <c r="G213" s="53"/>
      <c r="H213" s="1"/>
      <c r="I213" s="1"/>
    </row>
    <row r="214" ht="14.25" customHeight="1">
      <c r="A214" s="52"/>
      <c r="B214" s="52"/>
      <c r="C214" s="53"/>
      <c r="D214" s="53"/>
      <c r="E214" s="53"/>
      <c r="F214" s="53"/>
      <c r="G214" s="53"/>
      <c r="H214" s="1"/>
      <c r="I214" s="1"/>
    </row>
    <row r="215" ht="14.25" customHeight="1">
      <c r="A215" s="52"/>
      <c r="B215" s="52"/>
      <c r="C215" s="53"/>
      <c r="D215" s="53"/>
      <c r="E215" s="53"/>
      <c r="F215" s="53"/>
      <c r="G215" s="53"/>
      <c r="H215" s="1"/>
      <c r="I215" s="1"/>
    </row>
    <row r="216" ht="14.25" customHeight="1">
      <c r="A216" s="52"/>
      <c r="B216" s="52"/>
      <c r="C216" s="53"/>
      <c r="D216" s="53"/>
      <c r="E216" s="53"/>
      <c r="F216" s="53"/>
      <c r="G216" s="53"/>
      <c r="H216" s="1"/>
      <c r="I216" s="1"/>
    </row>
    <row r="217" ht="14.25" customHeight="1">
      <c r="A217" s="52"/>
      <c r="B217" s="52"/>
      <c r="C217" s="53"/>
      <c r="D217" s="53"/>
      <c r="E217" s="53"/>
      <c r="F217" s="53"/>
      <c r="G217" s="53"/>
      <c r="H217" s="1"/>
      <c r="I217" s="1"/>
    </row>
    <row r="218" ht="14.25" customHeight="1">
      <c r="A218" s="52"/>
      <c r="B218" s="52"/>
      <c r="C218" s="53"/>
      <c r="D218" s="53"/>
      <c r="E218" s="53"/>
      <c r="F218" s="53"/>
      <c r="G218" s="53"/>
      <c r="H218" s="1"/>
      <c r="I218" s="1"/>
    </row>
    <row r="219" ht="14.25" customHeight="1">
      <c r="A219" s="52"/>
      <c r="B219" s="52"/>
      <c r="C219" s="53"/>
      <c r="D219" s="53"/>
      <c r="E219" s="53"/>
      <c r="F219" s="53"/>
      <c r="G219" s="53"/>
      <c r="H219" s="1"/>
      <c r="I219" s="1"/>
    </row>
    <row r="220" ht="14.25" customHeight="1">
      <c r="A220" s="52"/>
      <c r="B220" s="52"/>
      <c r="C220" s="53"/>
      <c r="D220" s="53"/>
      <c r="E220" s="53"/>
      <c r="F220" s="53"/>
      <c r="G220" s="53"/>
      <c r="H220" s="1"/>
      <c r="I220" s="1"/>
    </row>
    <row r="221" ht="14.25" customHeight="1">
      <c r="A221" s="52"/>
      <c r="B221" s="52"/>
      <c r="C221" s="53"/>
      <c r="D221" s="53"/>
      <c r="E221" s="53"/>
      <c r="F221" s="53"/>
      <c r="G221" s="53"/>
      <c r="H221" s="1"/>
      <c r="I221" s="1"/>
    </row>
    <row r="222" ht="14.25" customHeight="1">
      <c r="A222" s="52"/>
      <c r="B222" s="52"/>
      <c r="C222" s="53"/>
      <c r="D222" s="53"/>
      <c r="E222" s="53"/>
      <c r="F222" s="53"/>
      <c r="G222" s="53"/>
      <c r="H222" s="1"/>
      <c r="I222" s="1"/>
    </row>
    <row r="223" ht="14.25" customHeight="1">
      <c r="A223" s="52"/>
      <c r="B223" s="52"/>
      <c r="C223" s="53"/>
      <c r="D223" s="53"/>
      <c r="E223" s="53"/>
      <c r="F223" s="53"/>
      <c r="G223" s="53"/>
      <c r="H223" s="1"/>
      <c r="I223" s="1"/>
    </row>
    <row r="224" ht="14.25" customHeight="1">
      <c r="A224" s="52"/>
      <c r="B224" s="52"/>
      <c r="C224" s="53"/>
      <c r="D224" s="53"/>
      <c r="E224" s="53"/>
      <c r="F224" s="53"/>
      <c r="G224" s="53"/>
      <c r="H224" s="1"/>
      <c r="I224" s="1"/>
    </row>
    <row r="225" ht="14.25" customHeight="1">
      <c r="A225" s="52"/>
      <c r="B225" s="52"/>
      <c r="C225" s="53"/>
      <c r="D225" s="53"/>
      <c r="E225" s="53"/>
      <c r="F225" s="53"/>
      <c r="G225" s="53"/>
      <c r="H225" s="1"/>
      <c r="I225" s="1"/>
    </row>
    <row r="226" ht="14.25" customHeight="1">
      <c r="A226" s="52"/>
      <c r="B226" s="52"/>
      <c r="C226" s="53"/>
      <c r="D226" s="53"/>
      <c r="E226" s="53"/>
      <c r="F226" s="53"/>
      <c r="G226" s="53"/>
      <c r="H226" s="1"/>
      <c r="I226" s="1"/>
    </row>
    <row r="227" ht="14.25" customHeight="1">
      <c r="A227" s="52"/>
      <c r="B227" s="52"/>
      <c r="C227" s="53"/>
      <c r="D227" s="53"/>
      <c r="E227" s="53"/>
      <c r="F227" s="53"/>
      <c r="G227" s="53"/>
      <c r="H227" s="1"/>
      <c r="I227" s="1"/>
    </row>
    <row r="228" ht="14.25" customHeight="1">
      <c r="A228" s="52"/>
      <c r="B228" s="52"/>
      <c r="C228" s="53"/>
      <c r="D228" s="53"/>
      <c r="E228" s="53"/>
      <c r="F228" s="53"/>
      <c r="G228" s="53"/>
      <c r="H228" s="1"/>
      <c r="I228" s="1"/>
    </row>
    <row r="229" ht="14.25" customHeight="1">
      <c r="A229" s="52"/>
      <c r="B229" s="52"/>
      <c r="C229" s="53"/>
      <c r="D229" s="53"/>
      <c r="E229" s="53"/>
      <c r="F229" s="53"/>
      <c r="G229" s="53"/>
      <c r="H229" s="1"/>
      <c r="I229" s="1"/>
    </row>
    <row r="230" ht="14.25" customHeight="1">
      <c r="A230" s="52"/>
      <c r="B230" s="52"/>
      <c r="C230" s="53"/>
      <c r="D230" s="53"/>
      <c r="E230" s="53"/>
      <c r="F230" s="53"/>
      <c r="G230" s="53"/>
      <c r="H230" s="1"/>
      <c r="I230" s="1"/>
    </row>
    <row r="231" ht="14.25" customHeight="1">
      <c r="A231" s="52"/>
      <c r="B231" s="52"/>
      <c r="C231" s="53"/>
      <c r="D231" s="53"/>
      <c r="E231" s="53"/>
      <c r="F231" s="53"/>
      <c r="G231" s="53"/>
      <c r="H231" s="1"/>
      <c r="I231" s="1"/>
    </row>
    <row r="232" ht="14.25" customHeight="1">
      <c r="A232" s="52"/>
      <c r="B232" s="52"/>
      <c r="C232" s="53"/>
      <c r="D232" s="53"/>
      <c r="E232" s="53"/>
      <c r="F232" s="53"/>
      <c r="G232" s="53"/>
      <c r="H232" s="1"/>
      <c r="I232" s="1"/>
    </row>
    <row r="233" ht="14.25" customHeight="1">
      <c r="A233" s="52"/>
      <c r="B233" s="52"/>
      <c r="C233" s="53"/>
      <c r="D233" s="53"/>
      <c r="E233" s="53"/>
      <c r="F233" s="53"/>
      <c r="G233" s="53"/>
      <c r="H233" s="1"/>
      <c r="I233" s="1"/>
    </row>
    <row r="234" ht="14.25" customHeight="1">
      <c r="A234" s="52"/>
      <c r="B234" s="52"/>
      <c r="C234" s="53"/>
      <c r="D234" s="53"/>
      <c r="E234" s="53"/>
      <c r="F234" s="53"/>
      <c r="G234" s="53"/>
      <c r="H234" s="1"/>
      <c r="I234" s="1"/>
    </row>
    <row r="235" ht="14.25" customHeight="1">
      <c r="A235" s="52"/>
      <c r="B235" s="52"/>
      <c r="C235" s="53"/>
      <c r="D235" s="53"/>
      <c r="E235" s="53"/>
      <c r="F235" s="53"/>
      <c r="G235" s="53"/>
      <c r="H235" s="1"/>
      <c r="I235" s="1"/>
    </row>
    <row r="236" ht="14.25" customHeight="1">
      <c r="A236" s="52"/>
      <c r="B236" s="52"/>
      <c r="C236" s="53"/>
      <c r="D236" s="53"/>
      <c r="E236" s="53"/>
      <c r="F236" s="53"/>
      <c r="G236" s="53"/>
      <c r="H236" s="1"/>
      <c r="I236" s="1"/>
    </row>
    <row r="237" ht="14.25" customHeight="1">
      <c r="A237" s="52"/>
      <c r="B237" s="52"/>
      <c r="C237" s="53"/>
      <c r="D237" s="53"/>
      <c r="E237" s="53"/>
      <c r="F237" s="53"/>
      <c r="G237" s="53"/>
      <c r="H237" s="1"/>
      <c r="I237" s="1"/>
    </row>
    <row r="238" ht="14.25" customHeight="1">
      <c r="A238" s="52"/>
      <c r="B238" s="52"/>
      <c r="C238" s="53"/>
      <c r="D238" s="53"/>
      <c r="E238" s="53"/>
      <c r="F238" s="53"/>
      <c r="G238" s="53"/>
      <c r="H238" s="1"/>
      <c r="I238" s="1"/>
    </row>
    <row r="239" ht="14.25" customHeight="1">
      <c r="A239" s="52"/>
      <c r="B239" s="52"/>
      <c r="C239" s="53"/>
      <c r="D239" s="53"/>
      <c r="E239" s="53"/>
      <c r="F239" s="53"/>
      <c r="G239" s="53"/>
      <c r="H239" s="1"/>
      <c r="I239" s="1"/>
    </row>
    <row r="240" ht="14.25" customHeight="1">
      <c r="A240" s="52"/>
      <c r="B240" s="52"/>
      <c r="C240" s="53"/>
      <c r="D240" s="53"/>
      <c r="E240" s="53"/>
      <c r="F240" s="53"/>
      <c r="G240" s="53"/>
      <c r="H240" s="1"/>
      <c r="I240" s="1"/>
    </row>
    <row r="241" ht="14.25" customHeight="1">
      <c r="A241" s="52"/>
      <c r="B241" s="52"/>
      <c r="C241" s="53"/>
      <c r="D241" s="53"/>
      <c r="E241" s="53"/>
      <c r="F241" s="53"/>
      <c r="G241" s="53"/>
      <c r="H241" s="1"/>
      <c r="I241" s="1"/>
    </row>
    <row r="242" ht="14.25" customHeight="1">
      <c r="A242" s="52"/>
      <c r="B242" s="52"/>
      <c r="C242" s="53"/>
      <c r="D242" s="53"/>
      <c r="E242" s="53"/>
      <c r="F242" s="53"/>
      <c r="G242" s="53"/>
      <c r="H242" s="1"/>
      <c r="I242" s="1"/>
    </row>
    <row r="243" ht="14.25" customHeight="1">
      <c r="A243" s="52"/>
      <c r="B243" s="52"/>
      <c r="C243" s="53"/>
      <c r="D243" s="53"/>
      <c r="E243" s="53"/>
      <c r="F243" s="53"/>
      <c r="G243" s="53"/>
      <c r="H243" s="1"/>
      <c r="I243" s="1"/>
    </row>
    <row r="244" ht="14.25" customHeight="1">
      <c r="A244" s="52"/>
      <c r="B244" s="52"/>
      <c r="C244" s="53"/>
      <c r="D244" s="53"/>
      <c r="E244" s="53"/>
      <c r="F244" s="53"/>
      <c r="G244" s="53"/>
      <c r="H244" s="1"/>
      <c r="I244" s="1"/>
    </row>
    <row r="245" ht="14.25" customHeight="1">
      <c r="A245" s="52"/>
      <c r="B245" s="52"/>
      <c r="C245" s="53"/>
      <c r="D245" s="53"/>
      <c r="E245" s="53"/>
      <c r="F245" s="53"/>
      <c r="G245" s="53"/>
      <c r="H245" s="1"/>
      <c r="I245" s="1"/>
    </row>
    <row r="246" ht="14.25" customHeight="1">
      <c r="A246" s="52"/>
      <c r="B246" s="52"/>
      <c r="C246" s="53"/>
      <c r="D246" s="53"/>
      <c r="E246" s="53"/>
      <c r="F246" s="53"/>
      <c r="G246" s="53"/>
      <c r="H246" s="1"/>
      <c r="I246" s="1"/>
    </row>
    <row r="247" ht="14.25" customHeight="1">
      <c r="A247" s="52"/>
      <c r="B247" s="52"/>
      <c r="C247" s="53"/>
      <c r="D247" s="53"/>
      <c r="E247" s="53"/>
      <c r="F247" s="53"/>
      <c r="G247" s="53"/>
      <c r="H247" s="1"/>
      <c r="I247" s="1"/>
    </row>
    <row r="248" ht="14.25" customHeight="1">
      <c r="A248" s="52"/>
      <c r="B248" s="52"/>
      <c r="C248" s="53"/>
      <c r="D248" s="53"/>
      <c r="E248" s="53"/>
      <c r="F248" s="53"/>
      <c r="G248" s="53"/>
      <c r="H248" s="1"/>
      <c r="I248" s="1"/>
    </row>
    <row r="249" ht="14.25" customHeight="1">
      <c r="A249" s="52"/>
      <c r="B249" s="52"/>
      <c r="C249" s="53"/>
      <c r="D249" s="53"/>
      <c r="E249" s="53"/>
      <c r="F249" s="53"/>
      <c r="G249" s="53"/>
      <c r="H249" s="1"/>
      <c r="I249" s="1"/>
    </row>
    <row r="250" ht="14.25" customHeight="1">
      <c r="A250" s="52"/>
      <c r="B250" s="52"/>
      <c r="C250" s="53"/>
      <c r="D250" s="53"/>
      <c r="E250" s="53"/>
      <c r="F250" s="53"/>
      <c r="G250" s="53"/>
      <c r="H250" s="1"/>
      <c r="I250" s="1"/>
    </row>
    <row r="251" ht="14.25" customHeight="1">
      <c r="A251" s="52"/>
      <c r="B251" s="52"/>
      <c r="C251" s="53"/>
      <c r="D251" s="53"/>
      <c r="E251" s="53"/>
      <c r="F251" s="53"/>
      <c r="G251" s="53"/>
      <c r="H251" s="1"/>
      <c r="I251" s="1"/>
    </row>
    <row r="252" ht="14.25" customHeight="1">
      <c r="A252" s="52"/>
      <c r="B252" s="52"/>
      <c r="C252" s="53"/>
      <c r="D252" s="53"/>
      <c r="E252" s="53"/>
      <c r="F252" s="53"/>
      <c r="G252" s="53"/>
      <c r="H252" s="1"/>
      <c r="I252" s="1"/>
    </row>
    <row r="253" ht="14.25" customHeight="1">
      <c r="A253" s="52"/>
      <c r="B253" s="52"/>
      <c r="C253" s="53"/>
      <c r="D253" s="53"/>
      <c r="E253" s="53"/>
      <c r="F253" s="53"/>
      <c r="G253" s="53"/>
      <c r="H253" s="1"/>
      <c r="I253" s="1"/>
    </row>
    <row r="254" ht="14.25" customHeight="1">
      <c r="A254" s="52"/>
      <c r="B254" s="52"/>
      <c r="C254" s="53"/>
      <c r="D254" s="53"/>
      <c r="E254" s="53"/>
      <c r="F254" s="53"/>
      <c r="G254" s="53"/>
      <c r="H254" s="1"/>
      <c r="I254" s="1"/>
    </row>
    <row r="255" ht="14.25" customHeight="1">
      <c r="A255" s="52"/>
      <c r="B255" s="52"/>
      <c r="C255" s="53"/>
      <c r="D255" s="53"/>
      <c r="E255" s="53"/>
      <c r="F255" s="53"/>
      <c r="G255" s="53"/>
      <c r="H255" s="1"/>
      <c r="I255" s="1"/>
    </row>
    <row r="256" ht="14.25" customHeight="1">
      <c r="A256" s="52"/>
      <c r="B256" s="52"/>
      <c r="C256" s="53"/>
      <c r="D256" s="53"/>
      <c r="E256" s="53"/>
      <c r="F256" s="53"/>
      <c r="G256" s="53"/>
      <c r="H256" s="1"/>
      <c r="I256" s="1"/>
    </row>
    <row r="257" ht="14.25" customHeight="1">
      <c r="A257" s="52"/>
      <c r="B257" s="52"/>
      <c r="C257" s="53"/>
      <c r="D257" s="53"/>
      <c r="E257" s="53"/>
      <c r="F257" s="53"/>
      <c r="G257" s="53"/>
      <c r="H257" s="1"/>
      <c r="I257" s="1"/>
    </row>
    <row r="258" ht="14.25" customHeight="1">
      <c r="A258" s="52"/>
      <c r="B258" s="52"/>
      <c r="C258" s="53"/>
      <c r="D258" s="53"/>
      <c r="E258" s="53"/>
      <c r="F258" s="53"/>
      <c r="G258" s="53"/>
      <c r="H258" s="1"/>
      <c r="I258" s="1"/>
    </row>
    <row r="259" ht="14.25" customHeight="1">
      <c r="A259" s="52"/>
      <c r="B259" s="52"/>
      <c r="C259" s="53"/>
      <c r="D259" s="53"/>
      <c r="E259" s="53"/>
      <c r="F259" s="53"/>
      <c r="G259" s="53"/>
      <c r="H259" s="1"/>
      <c r="I259" s="1"/>
    </row>
    <row r="260" ht="14.25" customHeight="1">
      <c r="A260" s="52"/>
      <c r="B260" s="52"/>
      <c r="C260" s="53"/>
      <c r="D260" s="53"/>
      <c r="E260" s="53"/>
      <c r="F260" s="53"/>
      <c r="G260" s="53"/>
      <c r="H260" s="1"/>
      <c r="I260" s="1"/>
    </row>
    <row r="261" ht="14.25" customHeight="1">
      <c r="A261" s="52"/>
      <c r="B261" s="52"/>
      <c r="C261" s="53"/>
      <c r="D261" s="53"/>
      <c r="E261" s="53"/>
      <c r="F261" s="53"/>
      <c r="G261" s="53"/>
      <c r="H261" s="1"/>
      <c r="I261" s="1"/>
    </row>
    <row r="262" ht="14.25" customHeight="1">
      <c r="A262" s="52"/>
      <c r="B262" s="52"/>
      <c r="C262" s="53"/>
      <c r="D262" s="53"/>
      <c r="E262" s="53"/>
      <c r="F262" s="53"/>
      <c r="G262" s="53"/>
      <c r="H262" s="1"/>
      <c r="I262" s="1"/>
    </row>
    <row r="263" ht="14.25" customHeight="1">
      <c r="A263" s="52"/>
      <c r="B263" s="52"/>
      <c r="C263" s="53"/>
      <c r="D263" s="53"/>
      <c r="E263" s="53"/>
      <c r="F263" s="53"/>
      <c r="G263" s="53"/>
      <c r="H263" s="1"/>
      <c r="I263" s="1"/>
    </row>
    <row r="264" ht="14.25" customHeight="1">
      <c r="A264" s="52"/>
      <c r="B264" s="52"/>
      <c r="C264" s="53"/>
      <c r="D264" s="53"/>
      <c r="E264" s="53"/>
      <c r="F264" s="53"/>
      <c r="G264" s="53"/>
      <c r="H264" s="1"/>
      <c r="I264" s="1"/>
    </row>
    <row r="265" ht="14.25" customHeight="1">
      <c r="A265" s="52"/>
      <c r="B265" s="52"/>
      <c r="C265" s="53"/>
      <c r="D265" s="53"/>
      <c r="E265" s="53"/>
      <c r="F265" s="53"/>
      <c r="G265" s="53"/>
      <c r="H265" s="1"/>
      <c r="I265" s="1"/>
    </row>
    <row r="266" ht="14.25" customHeight="1">
      <c r="A266" s="52"/>
      <c r="B266" s="52"/>
      <c r="C266" s="53"/>
      <c r="D266" s="53"/>
      <c r="E266" s="53"/>
      <c r="F266" s="53"/>
      <c r="G266" s="53"/>
      <c r="H266" s="1"/>
      <c r="I266" s="1"/>
    </row>
    <row r="267" ht="14.25" customHeight="1">
      <c r="A267" s="52"/>
      <c r="B267" s="52"/>
      <c r="C267" s="53"/>
      <c r="D267" s="53"/>
      <c r="E267" s="53"/>
      <c r="F267" s="53"/>
      <c r="G267" s="53"/>
      <c r="H267" s="1"/>
      <c r="I267" s="1"/>
    </row>
    <row r="268" ht="14.25" customHeight="1">
      <c r="A268" s="52"/>
      <c r="B268" s="52"/>
      <c r="C268" s="53"/>
      <c r="D268" s="53"/>
      <c r="E268" s="53"/>
      <c r="F268" s="53"/>
      <c r="G268" s="53"/>
      <c r="H268" s="1"/>
      <c r="I268" s="1"/>
    </row>
    <row r="269" ht="14.25" customHeight="1">
      <c r="A269" s="52"/>
      <c r="B269" s="52"/>
      <c r="C269" s="53"/>
      <c r="D269" s="53"/>
      <c r="E269" s="53"/>
      <c r="F269" s="53"/>
      <c r="G269" s="53"/>
      <c r="H269" s="1"/>
      <c r="I269" s="1"/>
    </row>
    <row r="270" ht="14.25" customHeight="1">
      <c r="A270" s="52"/>
      <c r="B270" s="52"/>
      <c r="C270" s="53"/>
      <c r="D270" s="53"/>
      <c r="E270" s="53"/>
      <c r="F270" s="53"/>
      <c r="G270" s="53"/>
      <c r="H270" s="1"/>
      <c r="I270" s="1"/>
    </row>
    <row r="271" ht="14.25" customHeight="1">
      <c r="A271" s="52"/>
      <c r="B271" s="52"/>
      <c r="C271" s="53"/>
      <c r="D271" s="53"/>
      <c r="E271" s="53"/>
      <c r="F271" s="53"/>
      <c r="G271" s="53"/>
      <c r="H271" s="1"/>
      <c r="I271" s="1"/>
    </row>
    <row r="272" ht="14.25" customHeight="1">
      <c r="A272" s="52"/>
      <c r="B272" s="52"/>
      <c r="C272" s="53"/>
      <c r="D272" s="53"/>
      <c r="E272" s="53"/>
      <c r="F272" s="53"/>
      <c r="G272" s="53"/>
      <c r="H272" s="1"/>
      <c r="I272" s="1"/>
    </row>
    <row r="273" ht="14.25" customHeight="1">
      <c r="A273" s="52"/>
      <c r="B273" s="52"/>
      <c r="C273" s="53"/>
      <c r="D273" s="53"/>
      <c r="E273" s="53"/>
      <c r="F273" s="53"/>
      <c r="G273" s="53"/>
      <c r="H273" s="1"/>
      <c r="I273" s="1"/>
    </row>
    <row r="274" ht="14.25" customHeight="1">
      <c r="A274" s="52"/>
      <c r="B274" s="52"/>
      <c r="C274" s="53"/>
      <c r="D274" s="53"/>
      <c r="E274" s="53"/>
      <c r="F274" s="53"/>
      <c r="G274" s="53"/>
      <c r="H274" s="1"/>
      <c r="I274" s="1"/>
    </row>
    <row r="275" ht="14.25" customHeight="1">
      <c r="A275" s="52"/>
      <c r="B275" s="52"/>
      <c r="C275" s="53"/>
      <c r="D275" s="53"/>
      <c r="E275" s="53"/>
      <c r="F275" s="53"/>
      <c r="G275" s="53"/>
      <c r="H275" s="1"/>
      <c r="I275" s="1"/>
    </row>
    <row r="276" ht="14.25" customHeight="1">
      <c r="A276" s="52"/>
      <c r="B276" s="52"/>
      <c r="C276" s="53"/>
      <c r="D276" s="53"/>
      <c r="E276" s="53"/>
      <c r="F276" s="53"/>
      <c r="G276" s="53"/>
      <c r="H276" s="1"/>
      <c r="I276" s="1"/>
    </row>
    <row r="277" ht="14.25" customHeight="1">
      <c r="A277" s="52"/>
      <c r="B277" s="52"/>
      <c r="C277" s="53"/>
      <c r="D277" s="53"/>
      <c r="E277" s="53"/>
      <c r="F277" s="53"/>
      <c r="G277" s="53"/>
      <c r="H277" s="1"/>
      <c r="I277" s="1"/>
    </row>
    <row r="278" ht="14.25" customHeight="1">
      <c r="A278" s="52"/>
      <c r="B278" s="52"/>
      <c r="C278" s="53"/>
      <c r="D278" s="53"/>
      <c r="E278" s="53"/>
      <c r="F278" s="53"/>
      <c r="G278" s="53"/>
      <c r="H278" s="1"/>
      <c r="I278" s="1"/>
    </row>
    <row r="279" ht="14.25" customHeight="1">
      <c r="A279" s="52"/>
      <c r="B279" s="52"/>
      <c r="C279" s="53"/>
      <c r="D279" s="53"/>
      <c r="E279" s="53"/>
      <c r="F279" s="53"/>
      <c r="G279" s="53"/>
      <c r="H279" s="1"/>
      <c r="I279" s="1"/>
    </row>
    <row r="280" ht="14.25" customHeight="1">
      <c r="A280" s="52"/>
      <c r="B280" s="52"/>
      <c r="C280" s="53"/>
      <c r="D280" s="53"/>
      <c r="E280" s="53"/>
      <c r="F280" s="53"/>
      <c r="G280" s="53"/>
      <c r="H280" s="1"/>
      <c r="I280" s="1"/>
    </row>
    <row r="281" ht="14.25" customHeight="1">
      <c r="A281" s="52"/>
      <c r="B281" s="52"/>
      <c r="C281" s="53"/>
      <c r="D281" s="53"/>
      <c r="E281" s="53"/>
      <c r="F281" s="53"/>
      <c r="G281" s="53"/>
      <c r="H281" s="1"/>
      <c r="I281" s="1"/>
    </row>
    <row r="282" ht="14.25" customHeight="1">
      <c r="A282" s="52"/>
      <c r="B282" s="52"/>
      <c r="C282" s="53"/>
      <c r="D282" s="53"/>
      <c r="E282" s="53"/>
      <c r="F282" s="53"/>
      <c r="G282" s="53"/>
      <c r="H282" s="1"/>
      <c r="I282" s="1"/>
    </row>
    <row r="283" ht="14.25" customHeight="1">
      <c r="A283" s="52"/>
      <c r="B283" s="52"/>
      <c r="C283" s="53"/>
      <c r="D283" s="53"/>
      <c r="E283" s="53"/>
      <c r="F283" s="53"/>
      <c r="G283" s="53"/>
      <c r="H283" s="1"/>
      <c r="I283" s="1"/>
    </row>
    <row r="284" ht="14.25" customHeight="1">
      <c r="A284" s="52"/>
      <c r="B284" s="52"/>
      <c r="C284" s="53"/>
      <c r="D284" s="53"/>
      <c r="E284" s="53"/>
      <c r="F284" s="53"/>
      <c r="G284" s="53"/>
      <c r="H284" s="1"/>
      <c r="I284" s="1"/>
    </row>
    <row r="285" ht="14.25" customHeight="1">
      <c r="A285" s="52"/>
      <c r="B285" s="52"/>
      <c r="C285" s="53"/>
      <c r="D285" s="53"/>
      <c r="E285" s="53"/>
      <c r="F285" s="53"/>
      <c r="G285" s="53"/>
      <c r="H285" s="1"/>
      <c r="I285" s="1"/>
    </row>
    <row r="286" ht="14.25" customHeight="1">
      <c r="A286" s="52"/>
      <c r="B286" s="52"/>
      <c r="C286" s="53"/>
      <c r="D286" s="53"/>
      <c r="E286" s="53"/>
      <c r="F286" s="53"/>
      <c r="G286" s="53"/>
      <c r="H286" s="1"/>
      <c r="I286" s="1"/>
    </row>
    <row r="287" ht="14.25" customHeight="1">
      <c r="A287" s="52"/>
      <c r="B287" s="52"/>
      <c r="C287" s="53"/>
      <c r="D287" s="53"/>
      <c r="E287" s="53"/>
      <c r="F287" s="53"/>
      <c r="G287" s="53"/>
      <c r="H287" s="1"/>
      <c r="I287" s="1"/>
    </row>
    <row r="288" ht="14.25" customHeight="1">
      <c r="A288" s="52"/>
      <c r="B288" s="52"/>
      <c r="C288" s="53"/>
      <c r="D288" s="53"/>
      <c r="E288" s="53"/>
      <c r="F288" s="53"/>
      <c r="G288" s="53"/>
      <c r="H288" s="1"/>
      <c r="I288" s="1"/>
    </row>
    <row r="289" ht="14.25" customHeight="1">
      <c r="A289" s="52"/>
      <c r="B289" s="52"/>
      <c r="C289" s="53"/>
      <c r="D289" s="53"/>
      <c r="E289" s="53"/>
      <c r="F289" s="53"/>
      <c r="G289" s="53"/>
      <c r="H289" s="1"/>
      <c r="I289" s="1"/>
    </row>
    <row r="290" ht="14.25" customHeight="1">
      <c r="A290" s="52"/>
      <c r="B290" s="52"/>
      <c r="C290" s="53"/>
      <c r="D290" s="53"/>
      <c r="E290" s="53"/>
      <c r="F290" s="53"/>
      <c r="G290" s="53"/>
      <c r="H290" s="1"/>
      <c r="I290" s="1"/>
    </row>
    <row r="291" ht="14.25" customHeight="1">
      <c r="A291" s="52"/>
      <c r="B291" s="52"/>
      <c r="C291" s="53"/>
      <c r="D291" s="53"/>
      <c r="E291" s="53"/>
      <c r="F291" s="53"/>
      <c r="G291" s="53"/>
      <c r="H291" s="1"/>
      <c r="I291" s="1"/>
    </row>
    <row r="292" ht="14.25" customHeight="1">
      <c r="A292" s="52"/>
      <c r="B292" s="52"/>
      <c r="C292" s="53"/>
      <c r="D292" s="53"/>
      <c r="E292" s="53"/>
      <c r="F292" s="53"/>
      <c r="G292" s="53"/>
      <c r="H292" s="1"/>
      <c r="I292" s="1"/>
    </row>
    <row r="293" ht="14.25" customHeight="1">
      <c r="A293" s="52"/>
      <c r="B293" s="52"/>
      <c r="C293" s="53"/>
      <c r="D293" s="53"/>
      <c r="E293" s="53"/>
      <c r="F293" s="53"/>
      <c r="G293" s="53"/>
      <c r="H293" s="1"/>
      <c r="I293" s="1"/>
    </row>
    <row r="294" ht="14.25" customHeight="1">
      <c r="A294" s="52"/>
      <c r="B294" s="52"/>
      <c r="C294" s="53"/>
      <c r="D294" s="53"/>
      <c r="E294" s="53"/>
      <c r="F294" s="53"/>
      <c r="G294" s="53"/>
      <c r="H294" s="1"/>
      <c r="I294" s="1"/>
    </row>
    <row r="295" ht="14.25" customHeight="1">
      <c r="A295" s="52"/>
      <c r="B295" s="52"/>
      <c r="C295" s="53"/>
      <c r="D295" s="53"/>
      <c r="E295" s="53"/>
      <c r="F295" s="53"/>
      <c r="G295" s="53"/>
      <c r="H295" s="1"/>
      <c r="I295" s="1"/>
    </row>
    <row r="296" ht="14.25" customHeight="1">
      <c r="A296" s="52"/>
      <c r="B296" s="52"/>
      <c r="C296" s="53"/>
      <c r="D296" s="53"/>
      <c r="E296" s="53"/>
      <c r="F296" s="53"/>
      <c r="G296" s="53"/>
      <c r="H296" s="1"/>
      <c r="I296" s="1"/>
    </row>
    <row r="297" ht="14.25" customHeight="1">
      <c r="A297" s="52"/>
      <c r="B297" s="52"/>
      <c r="C297" s="53"/>
      <c r="D297" s="53"/>
      <c r="E297" s="53"/>
      <c r="F297" s="53"/>
      <c r="G297" s="53"/>
      <c r="H297" s="1"/>
      <c r="I297" s="1"/>
    </row>
    <row r="298" ht="14.25" customHeight="1">
      <c r="A298" s="52"/>
      <c r="B298" s="52"/>
      <c r="C298" s="53"/>
      <c r="D298" s="53"/>
      <c r="E298" s="53"/>
      <c r="F298" s="53"/>
      <c r="G298" s="53"/>
      <c r="H298" s="1"/>
      <c r="I298" s="1"/>
    </row>
    <row r="299" ht="14.25" customHeight="1">
      <c r="A299" s="52"/>
      <c r="B299" s="52"/>
      <c r="C299" s="53"/>
      <c r="D299" s="53"/>
      <c r="E299" s="53"/>
      <c r="F299" s="53"/>
      <c r="G299" s="53"/>
      <c r="H299" s="1"/>
      <c r="I299" s="1"/>
    </row>
    <row r="300" ht="14.25" customHeight="1">
      <c r="A300" s="52"/>
      <c r="B300" s="52"/>
      <c r="C300" s="53"/>
      <c r="D300" s="53"/>
      <c r="E300" s="53"/>
      <c r="F300" s="53"/>
      <c r="G300" s="53"/>
      <c r="H300" s="1"/>
      <c r="I300" s="1"/>
    </row>
    <row r="301" ht="14.25" customHeight="1">
      <c r="A301" s="52"/>
      <c r="B301" s="52"/>
      <c r="C301" s="53"/>
      <c r="D301" s="53"/>
      <c r="E301" s="53"/>
      <c r="F301" s="53"/>
      <c r="G301" s="53"/>
      <c r="H301" s="1"/>
      <c r="I301" s="1"/>
    </row>
    <row r="302" ht="14.25" customHeight="1">
      <c r="A302" s="52"/>
      <c r="B302" s="52"/>
      <c r="C302" s="53"/>
      <c r="D302" s="53"/>
      <c r="E302" s="53"/>
      <c r="F302" s="53"/>
      <c r="G302" s="53"/>
      <c r="H302" s="1"/>
      <c r="I302" s="1"/>
    </row>
    <row r="303" ht="14.25" customHeight="1">
      <c r="A303" s="52"/>
      <c r="B303" s="52"/>
      <c r="C303" s="53"/>
      <c r="D303" s="53"/>
      <c r="E303" s="53"/>
      <c r="F303" s="53"/>
      <c r="G303" s="53"/>
      <c r="H303" s="1"/>
      <c r="I303" s="1"/>
    </row>
    <row r="304" ht="14.25" customHeight="1">
      <c r="A304" s="52"/>
      <c r="B304" s="52"/>
      <c r="C304" s="53"/>
      <c r="D304" s="53"/>
      <c r="E304" s="53"/>
      <c r="F304" s="53"/>
      <c r="G304" s="53"/>
      <c r="H304" s="1"/>
      <c r="I304" s="1"/>
    </row>
    <row r="305" ht="14.25" customHeight="1">
      <c r="A305" s="52"/>
      <c r="B305" s="52"/>
      <c r="C305" s="53"/>
      <c r="D305" s="53"/>
      <c r="E305" s="53"/>
      <c r="F305" s="53"/>
      <c r="G305" s="53"/>
      <c r="H305" s="1"/>
      <c r="I305" s="1"/>
    </row>
    <row r="306" ht="14.25" customHeight="1">
      <c r="A306" s="52"/>
      <c r="B306" s="52"/>
      <c r="C306" s="53"/>
      <c r="D306" s="53"/>
      <c r="E306" s="53"/>
      <c r="F306" s="53"/>
      <c r="G306" s="53"/>
      <c r="H306" s="1"/>
      <c r="I306" s="1"/>
    </row>
    <row r="307" ht="14.25" customHeight="1">
      <c r="A307" s="52"/>
      <c r="B307" s="52"/>
      <c r="C307" s="53"/>
      <c r="D307" s="53"/>
      <c r="E307" s="53"/>
      <c r="F307" s="53"/>
      <c r="G307" s="53"/>
      <c r="H307" s="1"/>
      <c r="I307" s="1"/>
    </row>
    <row r="308" ht="14.25" customHeight="1">
      <c r="A308" s="52"/>
      <c r="B308" s="52"/>
      <c r="C308" s="53"/>
      <c r="D308" s="53"/>
      <c r="E308" s="53"/>
      <c r="F308" s="53"/>
      <c r="G308" s="53"/>
      <c r="H308" s="1"/>
      <c r="I308" s="1"/>
    </row>
    <row r="309" ht="14.25" customHeight="1">
      <c r="A309" s="52"/>
      <c r="B309" s="52"/>
      <c r="C309" s="53"/>
      <c r="D309" s="53"/>
      <c r="E309" s="53"/>
      <c r="F309" s="53"/>
      <c r="G309" s="53"/>
      <c r="H309" s="1"/>
      <c r="I309" s="1"/>
    </row>
    <row r="310" ht="14.25" customHeight="1">
      <c r="A310" s="52"/>
      <c r="B310" s="52"/>
      <c r="C310" s="53"/>
      <c r="D310" s="53"/>
      <c r="E310" s="53"/>
      <c r="F310" s="53"/>
      <c r="G310" s="53"/>
      <c r="H310" s="1"/>
      <c r="I310" s="1"/>
    </row>
    <row r="311" ht="14.25" customHeight="1">
      <c r="A311" s="52"/>
      <c r="B311" s="52"/>
      <c r="C311" s="53"/>
      <c r="D311" s="53"/>
      <c r="E311" s="53"/>
      <c r="F311" s="53"/>
      <c r="G311" s="53"/>
      <c r="H311" s="1"/>
      <c r="I311" s="1"/>
    </row>
    <row r="312" ht="14.25" customHeight="1">
      <c r="A312" s="52"/>
      <c r="B312" s="52"/>
      <c r="C312" s="53"/>
      <c r="D312" s="53"/>
      <c r="E312" s="53"/>
      <c r="F312" s="53"/>
      <c r="G312" s="53"/>
      <c r="H312" s="1"/>
      <c r="I312" s="1"/>
    </row>
    <row r="313" ht="14.25" customHeight="1">
      <c r="A313" s="52"/>
      <c r="B313" s="52"/>
      <c r="C313" s="53"/>
      <c r="D313" s="53"/>
      <c r="E313" s="53"/>
      <c r="F313" s="53"/>
      <c r="G313" s="53"/>
      <c r="H313" s="1"/>
      <c r="I313" s="1"/>
    </row>
    <row r="314" ht="14.25" customHeight="1">
      <c r="A314" s="52"/>
      <c r="B314" s="52"/>
      <c r="C314" s="53"/>
      <c r="D314" s="53"/>
      <c r="E314" s="53"/>
      <c r="F314" s="53"/>
      <c r="G314" s="53"/>
      <c r="H314" s="1"/>
      <c r="I314" s="1"/>
    </row>
    <row r="315" ht="14.25" customHeight="1">
      <c r="A315" s="52"/>
      <c r="B315" s="52"/>
      <c r="C315" s="53"/>
      <c r="D315" s="53"/>
      <c r="E315" s="53"/>
      <c r="F315" s="53"/>
      <c r="G315" s="53"/>
      <c r="H315" s="1"/>
      <c r="I315" s="1"/>
    </row>
    <row r="316" ht="14.25" customHeight="1">
      <c r="A316" s="52"/>
      <c r="B316" s="52"/>
      <c r="C316" s="53"/>
      <c r="D316" s="53"/>
      <c r="E316" s="53"/>
      <c r="F316" s="53"/>
      <c r="G316" s="53"/>
      <c r="H316" s="1"/>
      <c r="I316" s="1"/>
    </row>
    <row r="317" ht="14.25" customHeight="1">
      <c r="A317" s="52"/>
      <c r="B317" s="52"/>
      <c r="C317" s="53"/>
      <c r="D317" s="53"/>
      <c r="E317" s="53"/>
      <c r="F317" s="53"/>
      <c r="G317" s="53"/>
      <c r="H317" s="1"/>
      <c r="I317" s="1"/>
    </row>
    <row r="318" ht="14.25" customHeight="1">
      <c r="A318" s="52"/>
      <c r="B318" s="52"/>
      <c r="C318" s="53"/>
      <c r="D318" s="53"/>
      <c r="E318" s="53"/>
      <c r="F318" s="53"/>
      <c r="G318" s="53"/>
      <c r="H318" s="1"/>
      <c r="I318" s="1"/>
    </row>
    <row r="319" ht="14.25" customHeight="1">
      <c r="A319" s="52"/>
      <c r="B319" s="52"/>
      <c r="C319" s="53"/>
      <c r="D319" s="53"/>
      <c r="E319" s="53"/>
      <c r="F319" s="53"/>
      <c r="G319" s="53"/>
      <c r="H319" s="1"/>
      <c r="I319" s="1"/>
    </row>
    <row r="320" ht="14.25" customHeight="1">
      <c r="A320" s="52"/>
      <c r="B320" s="52"/>
      <c r="C320" s="53"/>
      <c r="D320" s="53"/>
      <c r="E320" s="53"/>
      <c r="F320" s="53"/>
      <c r="G320" s="53"/>
      <c r="H320" s="1"/>
      <c r="I320" s="1"/>
    </row>
    <row r="321" ht="14.25" customHeight="1">
      <c r="A321" s="52"/>
      <c r="B321" s="52"/>
      <c r="C321" s="53"/>
      <c r="D321" s="53"/>
      <c r="E321" s="53"/>
      <c r="F321" s="53"/>
      <c r="G321" s="53"/>
      <c r="H321" s="1"/>
      <c r="I321" s="1"/>
    </row>
    <row r="322" ht="14.25" customHeight="1">
      <c r="A322" s="52"/>
      <c r="B322" s="52"/>
      <c r="C322" s="53"/>
      <c r="D322" s="53"/>
      <c r="E322" s="53"/>
      <c r="F322" s="53"/>
      <c r="G322" s="53"/>
      <c r="H322" s="1"/>
      <c r="I322" s="1"/>
    </row>
    <row r="323" ht="14.25" customHeight="1">
      <c r="A323" s="52"/>
      <c r="B323" s="52"/>
      <c r="C323" s="53"/>
      <c r="D323" s="53"/>
      <c r="E323" s="53"/>
      <c r="F323" s="53"/>
      <c r="G323" s="53"/>
      <c r="H323" s="1"/>
      <c r="I323" s="1"/>
    </row>
    <row r="324" ht="14.25" customHeight="1">
      <c r="A324" s="52"/>
      <c r="B324" s="52"/>
      <c r="C324" s="53"/>
      <c r="D324" s="53"/>
      <c r="E324" s="53"/>
      <c r="F324" s="53"/>
      <c r="G324" s="53"/>
      <c r="H324" s="1"/>
      <c r="I324" s="1"/>
    </row>
    <row r="325" ht="14.25" customHeight="1">
      <c r="A325" s="52"/>
      <c r="B325" s="52"/>
      <c r="C325" s="53"/>
      <c r="D325" s="53"/>
      <c r="E325" s="53"/>
      <c r="F325" s="53"/>
      <c r="G325" s="53"/>
      <c r="H325" s="1"/>
      <c r="I325" s="1"/>
    </row>
    <row r="326" ht="14.25" customHeight="1">
      <c r="A326" s="52"/>
      <c r="B326" s="52"/>
      <c r="C326" s="53"/>
      <c r="D326" s="53"/>
      <c r="E326" s="53"/>
      <c r="F326" s="53"/>
      <c r="G326" s="53"/>
      <c r="H326" s="1"/>
      <c r="I326" s="1"/>
    </row>
    <row r="327" ht="14.25" customHeight="1">
      <c r="A327" s="52"/>
      <c r="B327" s="52"/>
      <c r="C327" s="53"/>
      <c r="D327" s="53"/>
      <c r="E327" s="53"/>
      <c r="F327" s="53"/>
      <c r="G327" s="53"/>
      <c r="H327" s="1"/>
      <c r="I327" s="1"/>
    </row>
    <row r="328" ht="14.25" customHeight="1">
      <c r="A328" s="52"/>
      <c r="B328" s="52"/>
      <c r="C328" s="53"/>
      <c r="D328" s="53"/>
      <c r="E328" s="53"/>
      <c r="F328" s="53"/>
      <c r="G328" s="53"/>
      <c r="H328" s="1"/>
      <c r="I328" s="1"/>
    </row>
    <row r="329" ht="14.25" customHeight="1">
      <c r="A329" s="52"/>
      <c r="B329" s="52"/>
      <c r="C329" s="53"/>
      <c r="D329" s="53"/>
      <c r="E329" s="53"/>
      <c r="F329" s="53"/>
      <c r="G329" s="53"/>
      <c r="H329" s="1"/>
      <c r="I329" s="1"/>
    </row>
    <row r="330" ht="14.25" customHeight="1">
      <c r="A330" s="52"/>
      <c r="B330" s="52"/>
      <c r="C330" s="53"/>
      <c r="D330" s="53"/>
      <c r="E330" s="53"/>
      <c r="F330" s="53"/>
      <c r="G330" s="53"/>
      <c r="H330" s="1"/>
      <c r="I330" s="1"/>
    </row>
    <row r="331" ht="14.25" customHeight="1">
      <c r="A331" s="52"/>
      <c r="B331" s="52"/>
      <c r="C331" s="53"/>
      <c r="D331" s="53"/>
      <c r="E331" s="53"/>
      <c r="F331" s="53"/>
      <c r="G331" s="53"/>
      <c r="H331" s="1"/>
      <c r="I331" s="1"/>
    </row>
    <row r="332" ht="14.25" customHeight="1">
      <c r="A332" s="52"/>
      <c r="B332" s="52"/>
      <c r="C332" s="53"/>
      <c r="D332" s="53"/>
      <c r="E332" s="53"/>
      <c r="F332" s="53"/>
      <c r="G332" s="53"/>
      <c r="H332" s="1"/>
      <c r="I332" s="1"/>
    </row>
    <row r="333" ht="14.25" customHeight="1">
      <c r="A333" s="52"/>
      <c r="B333" s="52"/>
      <c r="C333" s="53"/>
      <c r="D333" s="53"/>
      <c r="E333" s="53"/>
      <c r="F333" s="53"/>
      <c r="G333" s="53"/>
      <c r="H333" s="1"/>
      <c r="I333" s="1"/>
    </row>
    <row r="334" ht="14.25" customHeight="1">
      <c r="A334" s="52"/>
      <c r="B334" s="52"/>
      <c r="C334" s="53"/>
      <c r="D334" s="53"/>
      <c r="E334" s="53"/>
      <c r="F334" s="53"/>
      <c r="G334" s="53"/>
      <c r="H334" s="1"/>
      <c r="I334" s="1"/>
    </row>
    <row r="335" ht="14.25" customHeight="1">
      <c r="A335" s="52"/>
      <c r="B335" s="52"/>
      <c r="C335" s="53"/>
      <c r="D335" s="53"/>
      <c r="E335" s="53"/>
      <c r="F335" s="53"/>
      <c r="G335" s="53"/>
      <c r="H335" s="1"/>
      <c r="I335" s="1"/>
    </row>
    <row r="336" ht="14.25" customHeight="1">
      <c r="A336" s="52"/>
      <c r="B336" s="52"/>
      <c r="C336" s="53"/>
      <c r="D336" s="53"/>
      <c r="E336" s="53"/>
      <c r="F336" s="53"/>
      <c r="G336" s="53"/>
      <c r="H336" s="1"/>
      <c r="I336" s="1"/>
    </row>
    <row r="337" ht="14.25" customHeight="1">
      <c r="A337" s="52"/>
      <c r="B337" s="52"/>
      <c r="C337" s="53"/>
      <c r="D337" s="53"/>
      <c r="E337" s="53"/>
      <c r="F337" s="53"/>
      <c r="G337" s="53"/>
      <c r="H337" s="1"/>
      <c r="I337" s="1"/>
    </row>
    <row r="338" ht="14.25" customHeight="1">
      <c r="A338" s="52"/>
      <c r="B338" s="52"/>
      <c r="C338" s="53"/>
      <c r="D338" s="53"/>
      <c r="E338" s="53"/>
      <c r="F338" s="53"/>
      <c r="G338" s="53"/>
      <c r="H338" s="1"/>
      <c r="I338" s="1"/>
    </row>
    <row r="339" ht="14.25" customHeight="1">
      <c r="A339" s="52"/>
      <c r="B339" s="52"/>
      <c r="C339" s="53"/>
      <c r="D339" s="53"/>
      <c r="E339" s="53"/>
      <c r="F339" s="53"/>
      <c r="G339" s="53"/>
      <c r="H339" s="1"/>
      <c r="I339" s="1"/>
    </row>
    <row r="340" ht="14.25" customHeight="1">
      <c r="A340" s="52"/>
      <c r="B340" s="52"/>
      <c r="C340" s="53"/>
      <c r="D340" s="53"/>
      <c r="E340" s="53"/>
      <c r="F340" s="53"/>
      <c r="G340" s="53"/>
      <c r="H340" s="1"/>
      <c r="I340" s="1"/>
    </row>
    <row r="341" ht="14.25" customHeight="1">
      <c r="A341" s="52"/>
      <c r="B341" s="52"/>
      <c r="C341" s="53"/>
      <c r="D341" s="53"/>
      <c r="E341" s="53"/>
      <c r="F341" s="53"/>
      <c r="G341" s="53"/>
      <c r="H341" s="1"/>
      <c r="I341" s="1"/>
    </row>
    <row r="342" ht="14.25" customHeight="1">
      <c r="A342" s="52"/>
      <c r="B342" s="52"/>
      <c r="C342" s="53"/>
      <c r="D342" s="53"/>
      <c r="E342" s="53"/>
      <c r="F342" s="53"/>
      <c r="G342" s="53"/>
      <c r="H342" s="1"/>
      <c r="I342" s="1"/>
    </row>
    <row r="343" ht="14.25" customHeight="1">
      <c r="A343" s="52"/>
      <c r="B343" s="52"/>
      <c r="C343" s="53"/>
      <c r="D343" s="53"/>
      <c r="E343" s="53"/>
      <c r="F343" s="53"/>
      <c r="G343" s="53"/>
      <c r="H343" s="1"/>
      <c r="I343" s="1"/>
    </row>
    <row r="344" ht="14.25" customHeight="1">
      <c r="A344" s="52"/>
      <c r="B344" s="52"/>
      <c r="C344" s="53"/>
      <c r="D344" s="53"/>
      <c r="E344" s="53"/>
      <c r="F344" s="53"/>
      <c r="G344" s="53"/>
      <c r="H344" s="1"/>
      <c r="I344" s="1"/>
    </row>
    <row r="345" ht="14.25" customHeight="1">
      <c r="A345" s="52"/>
      <c r="B345" s="52"/>
      <c r="C345" s="53"/>
      <c r="D345" s="53"/>
      <c r="E345" s="53"/>
      <c r="F345" s="53"/>
      <c r="G345" s="53"/>
      <c r="H345" s="1"/>
      <c r="I345" s="1"/>
    </row>
    <row r="346" ht="14.25" customHeight="1">
      <c r="A346" s="52"/>
      <c r="B346" s="52"/>
      <c r="C346" s="53"/>
      <c r="D346" s="53"/>
      <c r="E346" s="53"/>
      <c r="F346" s="53"/>
      <c r="G346" s="53"/>
      <c r="H346" s="1"/>
      <c r="I346" s="1"/>
    </row>
    <row r="347" ht="14.25" customHeight="1">
      <c r="A347" s="52"/>
      <c r="B347" s="52"/>
      <c r="C347" s="53"/>
      <c r="D347" s="53"/>
      <c r="E347" s="53"/>
      <c r="F347" s="53"/>
      <c r="G347" s="53"/>
      <c r="H347" s="1"/>
      <c r="I347" s="1"/>
    </row>
    <row r="348" ht="14.25" customHeight="1">
      <c r="A348" s="52"/>
      <c r="B348" s="52"/>
      <c r="C348" s="53"/>
      <c r="D348" s="53"/>
      <c r="E348" s="53"/>
      <c r="F348" s="53"/>
      <c r="G348" s="53"/>
      <c r="H348" s="1"/>
      <c r="I348" s="1"/>
    </row>
    <row r="349" ht="14.25" customHeight="1">
      <c r="A349" s="52"/>
      <c r="B349" s="52"/>
      <c r="C349" s="53"/>
      <c r="D349" s="53"/>
      <c r="E349" s="53"/>
      <c r="F349" s="53"/>
      <c r="G349" s="53"/>
      <c r="H349" s="1"/>
      <c r="I349" s="1"/>
    </row>
    <row r="350" ht="14.25" customHeight="1">
      <c r="A350" s="52"/>
      <c r="B350" s="52"/>
      <c r="C350" s="53"/>
      <c r="D350" s="53"/>
      <c r="E350" s="53"/>
      <c r="F350" s="53"/>
      <c r="G350" s="53"/>
      <c r="H350" s="1"/>
      <c r="I350" s="1"/>
    </row>
    <row r="351" ht="14.25" customHeight="1">
      <c r="A351" s="52"/>
      <c r="B351" s="52"/>
      <c r="C351" s="53"/>
      <c r="D351" s="53"/>
      <c r="E351" s="53"/>
      <c r="F351" s="53"/>
      <c r="G351" s="53"/>
      <c r="H351" s="1"/>
      <c r="I351" s="1"/>
    </row>
    <row r="352" ht="14.25" customHeight="1">
      <c r="A352" s="52"/>
      <c r="B352" s="52"/>
      <c r="C352" s="53"/>
      <c r="D352" s="53"/>
      <c r="E352" s="53"/>
      <c r="F352" s="53"/>
      <c r="G352" s="53"/>
      <c r="H352" s="1"/>
      <c r="I352" s="1"/>
    </row>
    <row r="353" ht="14.25" customHeight="1">
      <c r="A353" s="52"/>
      <c r="B353" s="52"/>
      <c r="C353" s="53"/>
      <c r="D353" s="53"/>
      <c r="E353" s="53"/>
      <c r="F353" s="53"/>
      <c r="G353" s="53"/>
      <c r="H353" s="1"/>
      <c r="I353" s="1"/>
    </row>
    <row r="354" ht="14.25" customHeight="1">
      <c r="A354" s="52"/>
      <c r="B354" s="52"/>
      <c r="C354" s="53"/>
      <c r="D354" s="53"/>
      <c r="E354" s="53"/>
      <c r="F354" s="53"/>
      <c r="G354" s="53"/>
      <c r="H354" s="1"/>
      <c r="I354" s="1"/>
    </row>
    <row r="355" ht="14.25" customHeight="1">
      <c r="A355" s="52"/>
      <c r="B355" s="52"/>
      <c r="C355" s="53"/>
      <c r="D355" s="53"/>
      <c r="E355" s="53"/>
      <c r="F355" s="53"/>
      <c r="G355" s="53"/>
      <c r="H355" s="1"/>
      <c r="I355" s="1"/>
    </row>
    <row r="356" ht="14.25" customHeight="1">
      <c r="A356" s="52"/>
      <c r="B356" s="52"/>
      <c r="C356" s="53"/>
      <c r="D356" s="53"/>
      <c r="E356" s="53"/>
      <c r="F356" s="53"/>
      <c r="G356" s="53"/>
      <c r="H356" s="1"/>
      <c r="I356" s="1"/>
    </row>
    <row r="357" ht="14.25" customHeight="1">
      <c r="A357" s="52"/>
      <c r="B357" s="52"/>
      <c r="C357" s="53"/>
      <c r="D357" s="53"/>
      <c r="E357" s="53"/>
      <c r="F357" s="53"/>
      <c r="G357" s="53"/>
      <c r="H357" s="1"/>
      <c r="I357" s="1"/>
    </row>
    <row r="358" ht="14.25" customHeight="1">
      <c r="A358" s="52"/>
      <c r="B358" s="52"/>
      <c r="C358" s="53"/>
      <c r="D358" s="53"/>
      <c r="E358" s="53"/>
      <c r="F358" s="53"/>
      <c r="G358" s="53"/>
      <c r="H358" s="1"/>
      <c r="I358" s="1"/>
    </row>
    <row r="359" ht="14.25" customHeight="1">
      <c r="A359" s="52"/>
      <c r="B359" s="52"/>
      <c r="C359" s="53"/>
      <c r="D359" s="53"/>
      <c r="E359" s="53"/>
      <c r="F359" s="53"/>
      <c r="G359" s="53"/>
      <c r="H359" s="1"/>
      <c r="I359" s="1"/>
    </row>
    <row r="360" ht="14.25" customHeight="1">
      <c r="A360" s="52"/>
      <c r="B360" s="52"/>
      <c r="C360" s="53"/>
      <c r="D360" s="53"/>
      <c r="E360" s="53"/>
      <c r="F360" s="53"/>
      <c r="G360" s="53"/>
      <c r="H360" s="1"/>
      <c r="I360" s="1"/>
    </row>
    <row r="361" ht="14.25" customHeight="1">
      <c r="A361" s="52"/>
      <c r="B361" s="52"/>
      <c r="C361" s="53"/>
      <c r="D361" s="53"/>
      <c r="E361" s="53"/>
      <c r="F361" s="53"/>
      <c r="G361" s="53"/>
      <c r="H361" s="1"/>
      <c r="I361" s="1"/>
    </row>
    <row r="362" ht="14.25" customHeight="1">
      <c r="A362" s="52"/>
      <c r="B362" s="52"/>
      <c r="C362" s="53"/>
      <c r="D362" s="53"/>
      <c r="E362" s="53"/>
      <c r="F362" s="53"/>
      <c r="G362" s="53"/>
      <c r="H362" s="1"/>
      <c r="I362" s="1"/>
    </row>
    <row r="363" ht="14.25" customHeight="1">
      <c r="A363" s="52"/>
      <c r="B363" s="52"/>
      <c r="C363" s="53"/>
      <c r="D363" s="53"/>
      <c r="E363" s="53"/>
      <c r="F363" s="53"/>
      <c r="G363" s="53"/>
      <c r="H363" s="1"/>
      <c r="I363" s="1"/>
    </row>
    <row r="364" ht="14.25" customHeight="1">
      <c r="A364" s="52"/>
      <c r="B364" s="52"/>
      <c r="C364" s="53"/>
      <c r="D364" s="53"/>
      <c r="E364" s="53"/>
      <c r="F364" s="53"/>
      <c r="G364" s="53"/>
      <c r="H364" s="1"/>
      <c r="I364" s="1"/>
    </row>
    <row r="365" ht="14.25" customHeight="1">
      <c r="A365" s="52"/>
      <c r="B365" s="52"/>
      <c r="C365" s="53"/>
      <c r="D365" s="53"/>
      <c r="E365" s="53"/>
      <c r="F365" s="53"/>
      <c r="G365" s="53"/>
      <c r="H365" s="1"/>
      <c r="I365" s="1"/>
    </row>
    <row r="366" ht="14.25" customHeight="1">
      <c r="A366" s="52"/>
      <c r="B366" s="52"/>
      <c r="C366" s="53"/>
      <c r="D366" s="53"/>
      <c r="E366" s="53"/>
      <c r="F366" s="53"/>
      <c r="G366" s="53"/>
      <c r="H366" s="1"/>
      <c r="I366" s="1"/>
    </row>
    <row r="367" ht="14.25" customHeight="1">
      <c r="A367" s="52"/>
      <c r="B367" s="52"/>
      <c r="C367" s="53"/>
      <c r="D367" s="53"/>
      <c r="E367" s="53"/>
      <c r="F367" s="53"/>
      <c r="G367" s="53"/>
      <c r="H367" s="1"/>
      <c r="I367" s="1"/>
    </row>
    <row r="368" ht="14.25" customHeight="1">
      <c r="A368" s="52"/>
      <c r="B368" s="52"/>
      <c r="C368" s="53"/>
      <c r="D368" s="53"/>
      <c r="E368" s="53"/>
      <c r="F368" s="53"/>
      <c r="G368" s="53"/>
      <c r="H368" s="1"/>
      <c r="I368" s="1"/>
    </row>
    <row r="369" ht="14.25" customHeight="1">
      <c r="A369" s="52"/>
      <c r="B369" s="52"/>
      <c r="C369" s="53"/>
      <c r="D369" s="53"/>
      <c r="E369" s="53"/>
      <c r="F369" s="53"/>
      <c r="G369" s="53"/>
      <c r="H369" s="1"/>
      <c r="I369" s="1"/>
    </row>
    <row r="370" ht="14.25" customHeight="1">
      <c r="A370" s="52"/>
      <c r="B370" s="52"/>
      <c r="C370" s="53"/>
      <c r="D370" s="53"/>
      <c r="E370" s="53"/>
      <c r="F370" s="53"/>
      <c r="G370" s="53"/>
      <c r="H370" s="1"/>
      <c r="I370" s="1"/>
    </row>
    <row r="371" ht="14.25" customHeight="1">
      <c r="A371" s="52"/>
      <c r="B371" s="52"/>
      <c r="C371" s="53"/>
      <c r="D371" s="53"/>
      <c r="E371" s="53"/>
      <c r="F371" s="53"/>
      <c r="G371" s="53"/>
      <c r="H371" s="1"/>
      <c r="I371" s="1"/>
    </row>
    <row r="372" ht="14.25" customHeight="1">
      <c r="A372" s="52"/>
      <c r="B372" s="52"/>
      <c r="C372" s="53"/>
      <c r="D372" s="53"/>
      <c r="E372" s="53"/>
      <c r="F372" s="53"/>
      <c r="G372" s="53"/>
      <c r="H372" s="1"/>
      <c r="I372" s="1"/>
    </row>
    <row r="373" ht="14.25" customHeight="1">
      <c r="A373" s="52"/>
      <c r="B373" s="52"/>
      <c r="C373" s="53"/>
      <c r="D373" s="53"/>
      <c r="E373" s="53"/>
      <c r="F373" s="53"/>
      <c r="G373" s="53"/>
      <c r="H373" s="1"/>
      <c r="I373" s="1"/>
    </row>
    <row r="374" ht="14.25" customHeight="1">
      <c r="A374" s="52"/>
      <c r="B374" s="52"/>
      <c r="C374" s="53"/>
      <c r="D374" s="53"/>
      <c r="E374" s="53"/>
      <c r="F374" s="53"/>
      <c r="G374" s="53"/>
      <c r="H374" s="1"/>
      <c r="I374" s="1"/>
    </row>
    <row r="375" ht="14.25" customHeight="1">
      <c r="A375" s="52"/>
      <c r="B375" s="52"/>
      <c r="C375" s="53"/>
      <c r="D375" s="53"/>
      <c r="E375" s="53"/>
      <c r="F375" s="53"/>
      <c r="G375" s="53"/>
      <c r="H375" s="1"/>
      <c r="I375" s="1"/>
    </row>
    <row r="376" ht="14.25" customHeight="1">
      <c r="A376" s="52"/>
      <c r="B376" s="52"/>
      <c r="C376" s="53"/>
      <c r="D376" s="53"/>
      <c r="E376" s="53"/>
      <c r="F376" s="53"/>
      <c r="G376" s="53"/>
      <c r="H376" s="1"/>
      <c r="I376" s="1"/>
    </row>
    <row r="377" ht="14.25" customHeight="1">
      <c r="A377" s="52"/>
      <c r="B377" s="52"/>
      <c r="C377" s="53"/>
      <c r="D377" s="53"/>
      <c r="E377" s="53"/>
      <c r="F377" s="53"/>
      <c r="G377" s="53"/>
      <c r="H377" s="1"/>
      <c r="I377" s="1"/>
    </row>
    <row r="378" ht="14.25" customHeight="1">
      <c r="A378" s="52"/>
      <c r="B378" s="52"/>
      <c r="C378" s="53"/>
      <c r="D378" s="53"/>
      <c r="E378" s="53"/>
      <c r="F378" s="53"/>
      <c r="G378" s="53"/>
      <c r="H378" s="1"/>
      <c r="I378" s="1"/>
    </row>
    <row r="379" ht="14.25" customHeight="1">
      <c r="A379" s="52"/>
      <c r="B379" s="52"/>
      <c r="C379" s="53"/>
      <c r="D379" s="53"/>
      <c r="E379" s="53"/>
      <c r="F379" s="53"/>
      <c r="G379" s="53"/>
      <c r="H379" s="1"/>
      <c r="I379" s="1"/>
    </row>
    <row r="380" ht="14.25" customHeight="1">
      <c r="A380" s="52"/>
      <c r="B380" s="52"/>
      <c r="C380" s="53"/>
      <c r="D380" s="53"/>
      <c r="E380" s="53"/>
      <c r="F380" s="53"/>
      <c r="G380" s="53"/>
      <c r="H380" s="1"/>
      <c r="I380" s="1"/>
    </row>
    <row r="381" ht="14.25" customHeight="1">
      <c r="A381" s="52"/>
      <c r="B381" s="52"/>
      <c r="C381" s="53"/>
      <c r="D381" s="53"/>
      <c r="E381" s="53"/>
      <c r="F381" s="53"/>
      <c r="G381" s="53"/>
      <c r="H381" s="1"/>
      <c r="I381" s="1"/>
    </row>
    <row r="382" ht="14.25" customHeight="1">
      <c r="A382" s="52"/>
      <c r="B382" s="52"/>
      <c r="C382" s="53"/>
      <c r="D382" s="53"/>
      <c r="E382" s="53"/>
      <c r="F382" s="53"/>
      <c r="G382" s="53"/>
      <c r="H382" s="1"/>
      <c r="I382" s="1"/>
    </row>
    <row r="383" ht="14.25" customHeight="1">
      <c r="A383" s="52"/>
      <c r="B383" s="52"/>
      <c r="C383" s="53"/>
      <c r="D383" s="53"/>
      <c r="E383" s="53"/>
      <c r="F383" s="53"/>
      <c r="G383" s="53"/>
      <c r="H383" s="1"/>
      <c r="I383" s="1"/>
    </row>
    <row r="384" ht="14.25" customHeight="1">
      <c r="A384" s="52"/>
      <c r="B384" s="52"/>
      <c r="C384" s="53"/>
      <c r="D384" s="53"/>
      <c r="E384" s="53"/>
      <c r="F384" s="53"/>
      <c r="G384" s="53"/>
      <c r="H384" s="1"/>
      <c r="I384" s="1"/>
    </row>
    <row r="385" ht="14.25" customHeight="1">
      <c r="A385" s="52"/>
      <c r="B385" s="52"/>
      <c r="C385" s="53"/>
      <c r="D385" s="53"/>
      <c r="E385" s="53"/>
      <c r="F385" s="53"/>
      <c r="G385" s="53"/>
      <c r="H385" s="1"/>
      <c r="I385" s="1"/>
    </row>
    <row r="386" ht="14.25" customHeight="1">
      <c r="A386" s="52"/>
      <c r="B386" s="52"/>
      <c r="C386" s="53"/>
      <c r="D386" s="53"/>
      <c r="E386" s="53"/>
      <c r="F386" s="53"/>
      <c r="G386" s="53"/>
      <c r="H386" s="1"/>
      <c r="I386" s="1"/>
    </row>
    <row r="387" ht="14.25" customHeight="1">
      <c r="A387" s="52"/>
      <c r="B387" s="52"/>
      <c r="C387" s="53"/>
      <c r="D387" s="53"/>
      <c r="E387" s="53"/>
      <c r="F387" s="53"/>
      <c r="G387" s="53"/>
      <c r="H387" s="1"/>
      <c r="I387" s="1"/>
    </row>
    <row r="388" ht="14.25" customHeight="1">
      <c r="A388" s="52"/>
      <c r="B388" s="52"/>
      <c r="C388" s="53"/>
      <c r="D388" s="53"/>
      <c r="E388" s="53"/>
      <c r="F388" s="53"/>
      <c r="G388" s="53"/>
      <c r="H388" s="1"/>
      <c r="I388" s="1"/>
    </row>
    <row r="389" ht="14.25" customHeight="1">
      <c r="A389" s="52"/>
      <c r="B389" s="52"/>
      <c r="C389" s="53"/>
      <c r="D389" s="53"/>
      <c r="E389" s="53"/>
      <c r="F389" s="53"/>
      <c r="G389" s="53"/>
      <c r="H389" s="1"/>
      <c r="I389" s="1"/>
    </row>
    <row r="390" ht="14.25" customHeight="1">
      <c r="A390" s="52"/>
      <c r="B390" s="52"/>
      <c r="C390" s="53"/>
      <c r="D390" s="53"/>
      <c r="E390" s="53"/>
      <c r="F390" s="53"/>
      <c r="G390" s="53"/>
      <c r="H390" s="1"/>
      <c r="I390" s="1"/>
    </row>
    <row r="391" ht="14.25" customHeight="1">
      <c r="A391" s="52"/>
      <c r="B391" s="52"/>
      <c r="C391" s="53"/>
      <c r="D391" s="53"/>
      <c r="E391" s="53"/>
      <c r="F391" s="53"/>
      <c r="G391" s="53"/>
      <c r="H391" s="1"/>
      <c r="I391" s="1"/>
    </row>
    <row r="392" ht="14.25" customHeight="1">
      <c r="A392" s="52"/>
      <c r="B392" s="52"/>
      <c r="C392" s="53"/>
      <c r="D392" s="53"/>
      <c r="E392" s="53"/>
      <c r="F392" s="53"/>
      <c r="G392" s="53"/>
      <c r="H392" s="1"/>
      <c r="I392" s="1"/>
    </row>
    <row r="393" ht="14.25" customHeight="1">
      <c r="A393" s="52"/>
      <c r="B393" s="52"/>
      <c r="C393" s="53"/>
      <c r="D393" s="53"/>
      <c r="E393" s="53"/>
      <c r="F393" s="53"/>
      <c r="G393" s="53"/>
      <c r="H393" s="1"/>
      <c r="I393" s="1"/>
    </row>
    <row r="394" ht="14.25" customHeight="1">
      <c r="A394" s="52"/>
      <c r="B394" s="52"/>
      <c r="C394" s="53"/>
      <c r="D394" s="53"/>
      <c r="E394" s="53"/>
      <c r="F394" s="53"/>
      <c r="G394" s="53"/>
      <c r="H394" s="1"/>
      <c r="I394" s="1"/>
    </row>
    <row r="395" ht="14.25" customHeight="1">
      <c r="A395" s="52"/>
      <c r="B395" s="52"/>
      <c r="C395" s="53"/>
      <c r="D395" s="53"/>
      <c r="E395" s="53"/>
      <c r="F395" s="53"/>
      <c r="G395" s="53"/>
      <c r="H395" s="1"/>
      <c r="I395" s="1"/>
    </row>
    <row r="396" ht="14.25" customHeight="1">
      <c r="A396" s="52"/>
      <c r="B396" s="52"/>
      <c r="C396" s="53"/>
      <c r="D396" s="53"/>
      <c r="E396" s="53"/>
      <c r="F396" s="53"/>
      <c r="G396" s="53"/>
      <c r="H396" s="1"/>
      <c r="I396" s="1"/>
    </row>
    <row r="397" ht="14.25" customHeight="1">
      <c r="A397" s="52"/>
      <c r="B397" s="52"/>
      <c r="C397" s="53"/>
      <c r="D397" s="53"/>
      <c r="E397" s="53"/>
      <c r="F397" s="53"/>
      <c r="G397" s="53"/>
      <c r="H397" s="1"/>
      <c r="I397" s="1"/>
    </row>
    <row r="398" ht="14.25" customHeight="1">
      <c r="A398" s="52"/>
      <c r="B398" s="52"/>
      <c r="C398" s="53"/>
      <c r="D398" s="53"/>
      <c r="E398" s="53"/>
      <c r="F398" s="53"/>
      <c r="G398" s="53"/>
      <c r="H398" s="1"/>
      <c r="I398" s="1"/>
    </row>
    <row r="399" ht="14.25" customHeight="1">
      <c r="A399" s="52"/>
      <c r="B399" s="52"/>
      <c r="C399" s="53"/>
      <c r="D399" s="53"/>
      <c r="E399" s="53"/>
      <c r="F399" s="53"/>
      <c r="G399" s="53"/>
      <c r="H399" s="1"/>
      <c r="I399" s="1"/>
    </row>
    <row r="400" ht="14.25" customHeight="1">
      <c r="A400" s="52"/>
      <c r="B400" s="52"/>
      <c r="C400" s="53"/>
      <c r="D400" s="53"/>
      <c r="E400" s="53"/>
      <c r="F400" s="53"/>
      <c r="G400" s="53"/>
      <c r="H400" s="1"/>
      <c r="I400" s="1"/>
    </row>
    <row r="401" ht="14.25" customHeight="1">
      <c r="A401" s="52"/>
      <c r="B401" s="52"/>
      <c r="C401" s="53"/>
      <c r="D401" s="53"/>
      <c r="E401" s="53"/>
      <c r="F401" s="53"/>
      <c r="G401" s="53"/>
      <c r="H401" s="1"/>
      <c r="I401" s="1"/>
    </row>
    <row r="402" ht="14.25" customHeight="1">
      <c r="A402" s="52"/>
      <c r="B402" s="52"/>
      <c r="C402" s="53"/>
      <c r="D402" s="53"/>
      <c r="E402" s="53"/>
      <c r="F402" s="53"/>
      <c r="G402" s="53"/>
      <c r="H402" s="1"/>
      <c r="I402" s="1"/>
    </row>
    <row r="403" ht="14.25" customHeight="1">
      <c r="A403" s="52"/>
      <c r="B403" s="52"/>
      <c r="C403" s="53"/>
      <c r="D403" s="53"/>
      <c r="E403" s="53"/>
      <c r="F403" s="53"/>
      <c r="G403" s="53"/>
      <c r="H403" s="1"/>
      <c r="I403" s="1"/>
    </row>
    <row r="404" ht="14.25" customHeight="1">
      <c r="A404" s="52"/>
      <c r="B404" s="52"/>
      <c r="C404" s="53"/>
      <c r="D404" s="53"/>
      <c r="E404" s="53"/>
      <c r="F404" s="53"/>
      <c r="G404" s="53"/>
      <c r="H404" s="1"/>
      <c r="I404" s="1"/>
    </row>
    <row r="405" ht="14.25" customHeight="1">
      <c r="A405" s="52"/>
      <c r="B405" s="52"/>
      <c r="C405" s="53"/>
      <c r="D405" s="53"/>
      <c r="E405" s="53"/>
      <c r="F405" s="53"/>
      <c r="G405" s="53"/>
      <c r="H405" s="1"/>
      <c r="I405" s="1"/>
    </row>
    <row r="406" ht="14.25" customHeight="1">
      <c r="A406" s="52"/>
      <c r="B406" s="52"/>
      <c r="C406" s="53"/>
      <c r="D406" s="53"/>
      <c r="E406" s="53"/>
      <c r="F406" s="53"/>
      <c r="G406" s="53"/>
      <c r="H406" s="1"/>
      <c r="I406" s="1"/>
    </row>
    <row r="407" ht="14.25" customHeight="1">
      <c r="A407" s="52"/>
      <c r="B407" s="52"/>
      <c r="C407" s="53"/>
      <c r="D407" s="53"/>
      <c r="E407" s="53"/>
      <c r="F407" s="53"/>
      <c r="G407" s="53"/>
      <c r="H407" s="1"/>
      <c r="I407" s="1"/>
    </row>
    <row r="408" ht="14.25" customHeight="1">
      <c r="A408" s="52"/>
      <c r="B408" s="52"/>
      <c r="C408" s="53"/>
      <c r="D408" s="53"/>
      <c r="E408" s="53"/>
      <c r="F408" s="53"/>
      <c r="G408" s="53"/>
      <c r="H408" s="1"/>
      <c r="I408" s="1"/>
    </row>
    <row r="409" ht="14.25" customHeight="1">
      <c r="A409" s="52"/>
      <c r="B409" s="52"/>
      <c r="C409" s="53"/>
      <c r="D409" s="53"/>
      <c r="E409" s="53"/>
      <c r="F409" s="53"/>
      <c r="G409" s="53"/>
      <c r="H409" s="1"/>
      <c r="I409" s="1"/>
    </row>
    <row r="410" ht="14.25" customHeight="1">
      <c r="A410" s="52"/>
      <c r="B410" s="52"/>
      <c r="C410" s="53"/>
      <c r="D410" s="53"/>
      <c r="E410" s="53"/>
      <c r="F410" s="53"/>
      <c r="G410" s="53"/>
      <c r="H410" s="1"/>
      <c r="I410" s="1"/>
    </row>
    <row r="411" ht="14.25" customHeight="1">
      <c r="A411" s="52"/>
      <c r="B411" s="52"/>
      <c r="C411" s="53"/>
      <c r="D411" s="53"/>
      <c r="E411" s="53"/>
      <c r="F411" s="53"/>
      <c r="G411" s="53"/>
      <c r="H411" s="1"/>
      <c r="I411" s="1"/>
    </row>
    <row r="412" ht="14.25" customHeight="1">
      <c r="A412" s="52"/>
      <c r="B412" s="52"/>
      <c r="C412" s="53"/>
      <c r="D412" s="53"/>
      <c r="E412" s="53"/>
      <c r="F412" s="53"/>
      <c r="G412" s="53"/>
      <c r="H412" s="1"/>
      <c r="I412" s="1"/>
    </row>
    <row r="413" ht="14.25" customHeight="1">
      <c r="A413" s="52"/>
      <c r="B413" s="52"/>
      <c r="C413" s="53"/>
      <c r="D413" s="53"/>
      <c r="E413" s="53"/>
      <c r="F413" s="53"/>
      <c r="G413" s="53"/>
      <c r="H413" s="1"/>
      <c r="I413" s="1"/>
    </row>
    <row r="414" ht="14.25" customHeight="1">
      <c r="A414" s="52"/>
      <c r="B414" s="52"/>
      <c r="C414" s="53"/>
      <c r="D414" s="53"/>
      <c r="E414" s="53"/>
      <c r="F414" s="53"/>
      <c r="G414" s="53"/>
      <c r="H414" s="1"/>
      <c r="I414" s="1"/>
    </row>
    <row r="415" ht="14.25" customHeight="1">
      <c r="A415" s="52"/>
      <c r="B415" s="52"/>
      <c r="C415" s="53"/>
      <c r="D415" s="53"/>
      <c r="E415" s="53"/>
      <c r="F415" s="53"/>
      <c r="G415" s="53"/>
      <c r="H415" s="1"/>
      <c r="I415" s="1"/>
    </row>
    <row r="416" ht="14.25" customHeight="1">
      <c r="A416" s="52"/>
      <c r="B416" s="52"/>
      <c r="C416" s="53"/>
      <c r="D416" s="53"/>
      <c r="E416" s="53"/>
      <c r="F416" s="53"/>
      <c r="G416" s="53"/>
      <c r="H416" s="1"/>
      <c r="I416" s="1"/>
    </row>
    <row r="417" ht="14.25" customHeight="1">
      <c r="A417" s="52"/>
      <c r="B417" s="52"/>
      <c r="C417" s="53"/>
      <c r="D417" s="53"/>
      <c r="E417" s="53"/>
      <c r="F417" s="53"/>
      <c r="G417" s="53"/>
      <c r="H417" s="1"/>
      <c r="I417" s="1"/>
    </row>
    <row r="418" ht="14.25" customHeight="1">
      <c r="A418" s="52"/>
      <c r="B418" s="52"/>
      <c r="C418" s="53"/>
      <c r="D418" s="53"/>
      <c r="E418" s="53"/>
      <c r="F418" s="53"/>
      <c r="G418" s="53"/>
      <c r="H418" s="1"/>
      <c r="I418" s="1"/>
    </row>
    <row r="419" ht="14.25" customHeight="1">
      <c r="A419" s="52"/>
      <c r="B419" s="52"/>
      <c r="C419" s="53"/>
      <c r="D419" s="53"/>
      <c r="E419" s="53"/>
      <c r="F419" s="53"/>
      <c r="G419" s="53"/>
      <c r="H419" s="1"/>
      <c r="I419" s="1"/>
    </row>
    <row r="420" ht="14.25" customHeight="1">
      <c r="A420" s="52"/>
      <c r="B420" s="52"/>
      <c r="C420" s="53"/>
      <c r="D420" s="53"/>
      <c r="E420" s="53"/>
      <c r="F420" s="53"/>
      <c r="G420" s="53"/>
      <c r="H420" s="1"/>
      <c r="I420" s="1"/>
    </row>
    <row r="421" ht="14.25" customHeight="1">
      <c r="A421" s="52"/>
      <c r="B421" s="52"/>
      <c r="C421" s="53"/>
      <c r="D421" s="53"/>
      <c r="E421" s="53"/>
      <c r="F421" s="53"/>
      <c r="G421" s="53"/>
      <c r="H421" s="1"/>
      <c r="I421" s="1"/>
    </row>
    <row r="422" ht="14.25" customHeight="1">
      <c r="A422" s="52"/>
      <c r="B422" s="52"/>
      <c r="C422" s="53"/>
      <c r="D422" s="53"/>
      <c r="E422" s="53"/>
      <c r="F422" s="53"/>
      <c r="G422" s="53"/>
      <c r="H422" s="1"/>
      <c r="I422" s="1"/>
    </row>
    <row r="423" ht="14.25" customHeight="1">
      <c r="A423" s="52"/>
      <c r="B423" s="52"/>
      <c r="C423" s="53"/>
      <c r="D423" s="53"/>
      <c r="E423" s="53"/>
      <c r="F423" s="53"/>
      <c r="G423" s="53"/>
      <c r="H423" s="1"/>
      <c r="I423" s="1"/>
    </row>
    <row r="424" ht="14.25" customHeight="1">
      <c r="A424" s="52"/>
      <c r="B424" s="52"/>
      <c r="C424" s="53"/>
      <c r="D424" s="53"/>
      <c r="E424" s="53"/>
      <c r="F424" s="53"/>
      <c r="G424" s="53"/>
      <c r="H424" s="1"/>
      <c r="I424" s="1"/>
    </row>
    <row r="425" ht="14.25" customHeight="1">
      <c r="A425" s="52"/>
      <c r="B425" s="52"/>
      <c r="C425" s="53"/>
      <c r="D425" s="53"/>
      <c r="E425" s="53"/>
      <c r="F425" s="53"/>
      <c r="G425" s="53"/>
      <c r="H425" s="1"/>
      <c r="I425" s="1"/>
    </row>
    <row r="426" ht="14.25" customHeight="1">
      <c r="A426" s="52"/>
      <c r="B426" s="52"/>
      <c r="C426" s="53"/>
      <c r="D426" s="53"/>
      <c r="E426" s="53"/>
      <c r="F426" s="53"/>
      <c r="G426" s="53"/>
      <c r="H426" s="1"/>
      <c r="I426" s="1"/>
    </row>
    <row r="427" ht="14.25" customHeight="1">
      <c r="A427" s="52"/>
      <c r="B427" s="52"/>
      <c r="C427" s="53"/>
      <c r="D427" s="53"/>
      <c r="E427" s="53"/>
      <c r="F427" s="53"/>
      <c r="G427" s="53"/>
      <c r="H427" s="1"/>
      <c r="I427" s="1"/>
    </row>
    <row r="428" ht="14.25" customHeight="1">
      <c r="A428" s="52"/>
      <c r="B428" s="52"/>
      <c r="C428" s="53"/>
      <c r="D428" s="53"/>
      <c r="E428" s="53"/>
      <c r="F428" s="53"/>
      <c r="G428" s="53"/>
      <c r="H428" s="1"/>
      <c r="I428" s="1"/>
    </row>
    <row r="429" ht="14.25" customHeight="1">
      <c r="A429" s="52"/>
      <c r="B429" s="52"/>
      <c r="C429" s="53"/>
      <c r="D429" s="53"/>
      <c r="E429" s="53"/>
      <c r="F429" s="53"/>
      <c r="G429" s="53"/>
      <c r="H429" s="1"/>
      <c r="I429" s="1"/>
    </row>
    <row r="430" ht="14.25" customHeight="1">
      <c r="A430" s="52"/>
      <c r="B430" s="52"/>
      <c r="C430" s="53"/>
      <c r="D430" s="53"/>
      <c r="E430" s="53"/>
      <c r="F430" s="53"/>
      <c r="G430" s="53"/>
      <c r="H430" s="1"/>
      <c r="I430" s="1"/>
    </row>
    <row r="431" ht="14.25" customHeight="1">
      <c r="A431" s="52"/>
      <c r="B431" s="52"/>
      <c r="C431" s="53"/>
      <c r="D431" s="53"/>
      <c r="E431" s="53"/>
      <c r="F431" s="53"/>
      <c r="G431" s="53"/>
      <c r="H431" s="1"/>
      <c r="I431" s="1"/>
    </row>
    <row r="432" ht="14.25" customHeight="1">
      <c r="A432" s="52"/>
      <c r="B432" s="52"/>
      <c r="C432" s="53"/>
      <c r="D432" s="53"/>
      <c r="E432" s="53"/>
      <c r="F432" s="53"/>
      <c r="G432" s="53"/>
      <c r="H432" s="1"/>
      <c r="I432" s="1"/>
    </row>
    <row r="433" ht="14.25" customHeight="1">
      <c r="A433" s="52"/>
      <c r="B433" s="52"/>
      <c r="C433" s="53"/>
      <c r="D433" s="53"/>
      <c r="E433" s="53"/>
      <c r="F433" s="53"/>
      <c r="G433" s="53"/>
      <c r="H433" s="1"/>
      <c r="I433" s="1"/>
    </row>
    <row r="434" ht="14.25" customHeight="1">
      <c r="A434" s="52"/>
      <c r="B434" s="52"/>
      <c r="C434" s="53"/>
      <c r="D434" s="53"/>
      <c r="E434" s="53"/>
      <c r="F434" s="53"/>
      <c r="G434" s="53"/>
      <c r="H434" s="1"/>
      <c r="I434" s="1"/>
    </row>
    <row r="435" ht="14.25" customHeight="1">
      <c r="A435" s="52"/>
      <c r="B435" s="52"/>
      <c r="C435" s="53"/>
      <c r="D435" s="53"/>
      <c r="E435" s="53"/>
      <c r="F435" s="53"/>
      <c r="G435" s="53"/>
      <c r="H435" s="1"/>
      <c r="I435" s="1"/>
    </row>
    <row r="436" ht="14.25" customHeight="1">
      <c r="A436" s="52"/>
      <c r="B436" s="52"/>
      <c r="C436" s="53"/>
      <c r="D436" s="53"/>
      <c r="E436" s="53"/>
      <c r="F436" s="53"/>
      <c r="G436" s="53"/>
      <c r="H436" s="1"/>
      <c r="I436" s="1"/>
    </row>
    <row r="437" ht="14.25" customHeight="1">
      <c r="A437" s="52"/>
      <c r="B437" s="52"/>
      <c r="C437" s="53"/>
      <c r="D437" s="53"/>
      <c r="E437" s="53"/>
      <c r="F437" s="53"/>
      <c r="G437" s="53"/>
      <c r="H437" s="1"/>
      <c r="I437" s="1"/>
    </row>
    <row r="438" ht="14.25" customHeight="1">
      <c r="A438" s="52"/>
      <c r="B438" s="52"/>
      <c r="C438" s="53"/>
      <c r="D438" s="53"/>
      <c r="E438" s="53"/>
      <c r="F438" s="53"/>
      <c r="G438" s="53"/>
      <c r="H438" s="1"/>
      <c r="I438" s="1"/>
    </row>
    <row r="439" ht="14.25" customHeight="1">
      <c r="A439" s="52"/>
      <c r="B439" s="52"/>
      <c r="C439" s="53"/>
      <c r="D439" s="53"/>
      <c r="E439" s="53"/>
      <c r="F439" s="53"/>
      <c r="G439" s="53"/>
      <c r="H439" s="1"/>
      <c r="I439" s="1"/>
    </row>
    <row r="440" ht="14.25" customHeight="1">
      <c r="A440" s="52"/>
      <c r="B440" s="52"/>
      <c r="C440" s="53"/>
      <c r="D440" s="53"/>
      <c r="E440" s="53"/>
      <c r="F440" s="53"/>
      <c r="G440" s="53"/>
      <c r="H440" s="1"/>
      <c r="I440" s="1"/>
    </row>
    <row r="441" ht="14.25" customHeight="1">
      <c r="A441" s="52"/>
      <c r="B441" s="52"/>
      <c r="C441" s="53"/>
      <c r="D441" s="53"/>
      <c r="E441" s="53"/>
      <c r="F441" s="53"/>
      <c r="G441" s="53"/>
      <c r="H441" s="1"/>
      <c r="I441" s="1"/>
    </row>
    <row r="442" ht="14.25" customHeight="1">
      <c r="A442" s="52"/>
      <c r="B442" s="52"/>
      <c r="C442" s="53"/>
      <c r="D442" s="53"/>
      <c r="E442" s="53"/>
      <c r="F442" s="53"/>
      <c r="G442" s="53"/>
      <c r="H442" s="1"/>
      <c r="I442" s="1"/>
    </row>
    <row r="443" ht="14.25" customHeight="1">
      <c r="A443" s="52"/>
      <c r="B443" s="52"/>
      <c r="C443" s="53"/>
      <c r="D443" s="53"/>
      <c r="E443" s="53"/>
      <c r="F443" s="53"/>
      <c r="G443" s="53"/>
      <c r="H443" s="1"/>
      <c r="I443" s="1"/>
    </row>
    <row r="444" ht="14.25" customHeight="1">
      <c r="A444" s="52"/>
      <c r="B444" s="52"/>
      <c r="C444" s="53"/>
      <c r="D444" s="53"/>
      <c r="E444" s="53"/>
      <c r="F444" s="53"/>
      <c r="G444" s="53"/>
      <c r="H444" s="1"/>
      <c r="I444" s="1"/>
    </row>
    <row r="445" ht="14.25" customHeight="1">
      <c r="A445" s="52"/>
      <c r="B445" s="52"/>
      <c r="C445" s="53"/>
      <c r="D445" s="53"/>
      <c r="E445" s="53"/>
      <c r="F445" s="53"/>
      <c r="G445" s="53"/>
      <c r="H445" s="1"/>
      <c r="I445" s="1"/>
    </row>
    <row r="446" ht="14.25" customHeight="1">
      <c r="A446" s="52"/>
      <c r="B446" s="52"/>
      <c r="C446" s="53"/>
      <c r="D446" s="53"/>
      <c r="E446" s="53"/>
      <c r="F446" s="53"/>
      <c r="G446" s="53"/>
      <c r="H446" s="1"/>
      <c r="I446" s="1"/>
    </row>
    <row r="447" ht="14.25" customHeight="1">
      <c r="A447" s="52"/>
      <c r="B447" s="52"/>
      <c r="C447" s="53"/>
      <c r="D447" s="53"/>
      <c r="E447" s="53"/>
      <c r="F447" s="53"/>
      <c r="G447" s="53"/>
      <c r="H447" s="1"/>
      <c r="I447" s="1"/>
    </row>
    <row r="448" ht="14.25" customHeight="1">
      <c r="A448" s="52"/>
      <c r="B448" s="52"/>
      <c r="C448" s="53"/>
      <c r="D448" s="53"/>
      <c r="E448" s="53"/>
      <c r="F448" s="53"/>
      <c r="G448" s="53"/>
      <c r="H448" s="1"/>
      <c r="I448" s="1"/>
    </row>
    <row r="449" ht="14.25" customHeight="1">
      <c r="A449" s="52"/>
      <c r="B449" s="52"/>
      <c r="C449" s="53"/>
      <c r="D449" s="53"/>
      <c r="E449" s="53"/>
      <c r="F449" s="53"/>
      <c r="G449" s="53"/>
      <c r="H449" s="1"/>
      <c r="I449" s="1"/>
    </row>
    <row r="450" ht="14.25" customHeight="1">
      <c r="A450" s="52"/>
      <c r="B450" s="52"/>
      <c r="C450" s="53"/>
      <c r="D450" s="53"/>
      <c r="E450" s="53"/>
      <c r="F450" s="53"/>
      <c r="G450" s="53"/>
      <c r="H450" s="1"/>
      <c r="I450" s="1"/>
    </row>
    <row r="451" ht="14.25" customHeight="1">
      <c r="A451" s="52"/>
      <c r="B451" s="52"/>
      <c r="C451" s="53"/>
      <c r="D451" s="53"/>
      <c r="E451" s="53"/>
      <c r="F451" s="53"/>
      <c r="G451" s="53"/>
      <c r="H451" s="1"/>
      <c r="I451" s="1"/>
    </row>
    <row r="452" ht="14.25" customHeight="1">
      <c r="A452" s="52"/>
      <c r="B452" s="52"/>
      <c r="C452" s="53"/>
      <c r="D452" s="53"/>
      <c r="E452" s="53"/>
      <c r="F452" s="53"/>
      <c r="G452" s="53"/>
      <c r="H452" s="1"/>
      <c r="I452" s="1"/>
    </row>
    <row r="453" ht="14.25" customHeight="1">
      <c r="A453" s="52"/>
      <c r="B453" s="52"/>
      <c r="C453" s="53"/>
      <c r="D453" s="53"/>
      <c r="E453" s="53"/>
      <c r="F453" s="53"/>
      <c r="G453" s="53"/>
      <c r="H453" s="1"/>
      <c r="I453" s="1"/>
    </row>
    <row r="454" ht="14.25" customHeight="1">
      <c r="A454" s="52"/>
      <c r="B454" s="52"/>
      <c r="C454" s="53"/>
      <c r="D454" s="53"/>
      <c r="E454" s="53"/>
      <c r="F454" s="53"/>
      <c r="G454" s="53"/>
      <c r="H454" s="1"/>
      <c r="I454" s="1"/>
    </row>
    <row r="455" ht="14.25" customHeight="1">
      <c r="A455" s="52"/>
      <c r="B455" s="52"/>
      <c r="C455" s="53"/>
      <c r="D455" s="53"/>
      <c r="E455" s="53"/>
      <c r="F455" s="53"/>
      <c r="G455" s="53"/>
      <c r="H455" s="1"/>
      <c r="I455" s="1"/>
    </row>
    <row r="456" ht="14.25" customHeight="1">
      <c r="A456" s="52"/>
      <c r="B456" s="52"/>
      <c r="C456" s="53"/>
      <c r="D456" s="53"/>
      <c r="E456" s="53"/>
      <c r="F456" s="53"/>
      <c r="G456" s="53"/>
      <c r="H456" s="1"/>
      <c r="I456" s="1"/>
    </row>
    <row r="457" ht="14.25" customHeight="1">
      <c r="A457" s="52"/>
      <c r="B457" s="52"/>
      <c r="C457" s="53"/>
      <c r="D457" s="53"/>
      <c r="E457" s="53"/>
      <c r="F457" s="53"/>
      <c r="G457" s="53"/>
      <c r="H457" s="1"/>
      <c r="I457" s="1"/>
    </row>
    <row r="458" ht="14.25" customHeight="1">
      <c r="A458" s="52"/>
      <c r="B458" s="52"/>
      <c r="C458" s="53"/>
      <c r="D458" s="53"/>
      <c r="E458" s="53"/>
      <c r="F458" s="53"/>
      <c r="G458" s="53"/>
      <c r="H458" s="1"/>
      <c r="I458" s="1"/>
    </row>
    <row r="459" ht="14.25" customHeight="1">
      <c r="A459" s="52"/>
      <c r="B459" s="52"/>
      <c r="C459" s="53"/>
      <c r="D459" s="53"/>
      <c r="E459" s="53"/>
      <c r="F459" s="53"/>
      <c r="G459" s="53"/>
      <c r="H459" s="1"/>
      <c r="I459" s="1"/>
    </row>
    <row r="460" ht="14.25" customHeight="1">
      <c r="A460" s="52"/>
      <c r="B460" s="52"/>
      <c r="C460" s="53"/>
      <c r="D460" s="53"/>
      <c r="E460" s="53"/>
      <c r="F460" s="53"/>
      <c r="G460" s="53"/>
      <c r="H460" s="1"/>
      <c r="I460" s="1"/>
    </row>
    <row r="461" ht="14.25" customHeight="1">
      <c r="A461" s="52"/>
      <c r="B461" s="52"/>
      <c r="C461" s="53"/>
      <c r="D461" s="53"/>
      <c r="E461" s="53"/>
      <c r="F461" s="53"/>
      <c r="G461" s="53"/>
      <c r="H461" s="1"/>
      <c r="I461" s="1"/>
    </row>
    <row r="462" ht="14.25" customHeight="1">
      <c r="A462" s="52"/>
      <c r="B462" s="52"/>
      <c r="C462" s="53"/>
      <c r="D462" s="53"/>
      <c r="E462" s="53"/>
      <c r="F462" s="53"/>
      <c r="G462" s="53"/>
      <c r="H462" s="1"/>
      <c r="I462" s="1"/>
    </row>
    <row r="463" ht="14.25" customHeight="1">
      <c r="A463" s="52"/>
      <c r="B463" s="52"/>
      <c r="C463" s="53"/>
      <c r="D463" s="53"/>
      <c r="E463" s="53"/>
      <c r="F463" s="53"/>
      <c r="G463" s="53"/>
      <c r="H463" s="1"/>
      <c r="I463" s="1"/>
    </row>
    <row r="464" ht="14.25" customHeight="1">
      <c r="A464" s="52"/>
      <c r="B464" s="52"/>
      <c r="C464" s="53"/>
      <c r="D464" s="53"/>
      <c r="E464" s="53"/>
      <c r="F464" s="53"/>
      <c r="G464" s="53"/>
      <c r="H464" s="1"/>
      <c r="I464" s="1"/>
    </row>
    <row r="465" ht="14.25" customHeight="1">
      <c r="A465" s="52"/>
      <c r="B465" s="52"/>
      <c r="C465" s="53"/>
      <c r="D465" s="53"/>
      <c r="E465" s="53"/>
      <c r="F465" s="53"/>
      <c r="G465" s="53"/>
      <c r="H465" s="1"/>
      <c r="I465" s="1"/>
    </row>
    <row r="466" ht="14.25" customHeight="1">
      <c r="A466" s="52"/>
      <c r="B466" s="52"/>
      <c r="C466" s="53"/>
      <c r="D466" s="53"/>
      <c r="E466" s="53"/>
      <c r="F466" s="53"/>
      <c r="G466" s="53"/>
      <c r="H466" s="1"/>
      <c r="I466" s="1"/>
    </row>
    <row r="467" ht="14.25" customHeight="1">
      <c r="A467" s="52"/>
      <c r="B467" s="52"/>
      <c r="C467" s="53"/>
      <c r="D467" s="53"/>
      <c r="E467" s="53"/>
      <c r="F467" s="53"/>
      <c r="G467" s="53"/>
      <c r="H467" s="1"/>
      <c r="I467" s="1"/>
    </row>
    <row r="468" ht="14.25" customHeight="1">
      <c r="A468" s="52"/>
      <c r="B468" s="52"/>
      <c r="C468" s="53"/>
      <c r="D468" s="53"/>
      <c r="E468" s="53"/>
      <c r="F468" s="53"/>
      <c r="G468" s="53"/>
      <c r="H468" s="1"/>
      <c r="I468" s="1"/>
    </row>
    <row r="469" ht="14.25" customHeight="1">
      <c r="A469" s="52"/>
      <c r="B469" s="52"/>
      <c r="C469" s="53"/>
      <c r="D469" s="53"/>
      <c r="E469" s="53"/>
      <c r="F469" s="53"/>
      <c r="G469" s="53"/>
      <c r="H469" s="1"/>
      <c r="I469" s="1"/>
    </row>
    <row r="470" ht="14.25" customHeight="1">
      <c r="A470" s="52"/>
      <c r="B470" s="52"/>
      <c r="C470" s="53"/>
      <c r="D470" s="53"/>
      <c r="E470" s="53"/>
      <c r="F470" s="53"/>
      <c r="G470" s="53"/>
      <c r="H470" s="1"/>
      <c r="I470" s="1"/>
    </row>
    <row r="471" ht="14.25" customHeight="1">
      <c r="A471" s="52"/>
      <c r="B471" s="52"/>
      <c r="C471" s="53"/>
      <c r="D471" s="53"/>
      <c r="E471" s="53"/>
      <c r="F471" s="53"/>
      <c r="G471" s="53"/>
      <c r="H471" s="1"/>
      <c r="I471" s="1"/>
    </row>
    <row r="472" ht="14.25" customHeight="1">
      <c r="A472" s="52"/>
      <c r="B472" s="52"/>
      <c r="C472" s="53"/>
      <c r="D472" s="53"/>
      <c r="E472" s="53"/>
      <c r="F472" s="53"/>
      <c r="G472" s="53"/>
      <c r="H472" s="1"/>
      <c r="I472" s="1"/>
    </row>
    <row r="473" ht="14.25" customHeight="1">
      <c r="A473" s="52"/>
      <c r="B473" s="52"/>
      <c r="C473" s="53"/>
      <c r="D473" s="53"/>
      <c r="E473" s="53"/>
      <c r="F473" s="53"/>
      <c r="G473" s="53"/>
      <c r="H473" s="1"/>
      <c r="I473" s="1"/>
    </row>
    <row r="474" ht="14.25" customHeight="1">
      <c r="A474" s="52"/>
      <c r="B474" s="52"/>
      <c r="C474" s="53"/>
      <c r="D474" s="53"/>
      <c r="E474" s="53"/>
      <c r="F474" s="53"/>
      <c r="G474" s="53"/>
      <c r="H474" s="1"/>
      <c r="I474" s="1"/>
    </row>
    <row r="475" ht="14.25" customHeight="1">
      <c r="A475" s="52"/>
      <c r="B475" s="52"/>
      <c r="C475" s="53"/>
      <c r="D475" s="53"/>
      <c r="E475" s="53"/>
      <c r="F475" s="53"/>
      <c r="G475" s="53"/>
      <c r="H475" s="1"/>
      <c r="I475" s="1"/>
    </row>
    <row r="476" ht="14.25" customHeight="1">
      <c r="A476" s="52"/>
      <c r="B476" s="52"/>
      <c r="C476" s="53"/>
      <c r="D476" s="53"/>
      <c r="E476" s="53"/>
      <c r="F476" s="53"/>
      <c r="G476" s="53"/>
      <c r="H476" s="1"/>
      <c r="I476" s="1"/>
    </row>
    <row r="477" ht="14.25" customHeight="1">
      <c r="A477" s="52"/>
      <c r="B477" s="52"/>
      <c r="C477" s="53"/>
      <c r="D477" s="53"/>
      <c r="E477" s="53"/>
      <c r="F477" s="53"/>
      <c r="G477" s="53"/>
      <c r="H477" s="1"/>
      <c r="I477" s="1"/>
    </row>
    <row r="478" ht="14.25" customHeight="1">
      <c r="A478" s="52"/>
      <c r="B478" s="52"/>
      <c r="C478" s="53"/>
      <c r="D478" s="53"/>
      <c r="E478" s="53"/>
      <c r="F478" s="53"/>
      <c r="G478" s="53"/>
      <c r="H478" s="1"/>
      <c r="I478" s="1"/>
    </row>
    <row r="479" ht="14.25" customHeight="1">
      <c r="A479" s="52"/>
      <c r="B479" s="52"/>
      <c r="C479" s="53"/>
      <c r="D479" s="53"/>
      <c r="E479" s="53"/>
      <c r="F479" s="53"/>
      <c r="G479" s="53"/>
      <c r="H479" s="1"/>
      <c r="I479" s="1"/>
    </row>
    <row r="480" ht="14.25" customHeight="1">
      <c r="A480" s="52"/>
      <c r="B480" s="52"/>
      <c r="C480" s="53"/>
      <c r="D480" s="53"/>
      <c r="E480" s="53"/>
      <c r="F480" s="53"/>
      <c r="G480" s="53"/>
      <c r="H480" s="1"/>
      <c r="I480" s="1"/>
    </row>
    <row r="481" ht="14.25" customHeight="1">
      <c r="A481" s="52"/>
      <c r="B481" s="52"/>
      <c r="C481" s="53"/>
      <c r="D481" s="53"/>
      <c r="E481" s="53"/>
      <c r="F481" s="53"/>
      <c r="G481" s="53"/>
      <c r="H481" s="1"/>
      <c r="I481" s="1"/>
    </row>
    <row r="482" ht="14.25" customHeight="1">
      <c r="A482" s="52"/>
      <c r="B482" s="52"/>
      <c r="C482" s="53"/>
      <c r="D482" s="53"/>
      <c r="E482" s="53"/>
      <c r="F482" s="53"/>
      <c r="G482" s="53"/>
      <c r="H482" s="1"/>
      <c r="I482" s="1"/>
    </row>
    <row r="483" ht="14.25" customHeight="1">
      <c r="A483" s="52"/>
      <c r="B483" s="52"/>
      <c r="C483" s="53"/>
      <c r="D483" s="53"/>
      <c r="E483" s="53"/>
      <c r="F483" s="53"/>
      <c r="G483" s="53"/>
      <c r="H483" s="1"/>
      <c r="I483" s="1"/>
    </row>
    <row r="484" ht="14.25" customHeight="1">
      <c r="A484" s="52"/>
      <c r="B484" s="52"/>
      <c r="C484" s="53"/>
      <c r="D484" s="53"/>
      <c r="E484" s="53"/>
      <c r="F484" s="53"/>
      <c r="G484" s="53"/>
      <c r="H484" s="1"/>
      <c r="I484" s="1"/>
    </row>
    <row r="485" ht="14.25" customHeight="1">
      <c r="A485" s="52"/>
      <c r="B485" s="52"/>
      <c r="C485" s="53"/>
      <c r="D485" s="53"/>
      <c r="E485" s="53"/>
      <c r="F485" s="53"/>
      <c r="G485" s="53"/>
      <c r="H485" s="1"/>
      <c r="I485" s="1"/>
    </row>
    <row r="486" ht="14.25" customHeight="1">
      <c r="A486" s="52"/>
      <c r="B486" s="52"/>
      <c r="C486" s="53"/>
      <c r="D486" s="53"/>
      <c r="E486" s="53"/>
      <c r="F486" s="53"/>
      <c r="G486" s="53"/>
      <c r="H486" s="1"/>
      <c r="I486" s="1"/>
    </row>
    <row r="487" ht="14.25" customHeight="1">
      <c r="A487" s="52"/>
      <c r="B487" s="52"/>
      <c r="C487" s="53"/>
      <c r="D487" s="53"/>
      <c r="E487" s="53"/>
      <c r="F487" s="53"/>
      <c r="G487" s="53"/>
      <c r="H487" s="1"/>
      <c r="I487" s="1"/>
    </row>
    <row r="488" ht="14.25" customHeight="1">
      <c r="A488" s="52"/>
      <c r="B488" s="52"/>
      <c r="C488" s="53"/>
      <c r="D488" s="53"/>
      <c r="E488" s="53"/>
      <c r="F488" s="53"/>
      <c r="G488" s="53"/>
      <c r="H488" s="1"/>
      <c r="I488" s="1"/>
    </row>
    <row r="489" ht="14.25" customHeight="1">
      <c r="A489" s="52"/>
      <c r="B489" s="52"/>
      <c r="C489" s="53"/>
      <c r="D489" s="53"/>
      <c r="E489" s="53"/>
      <c r="F489" s="53"/>
      <c r="G489" s="53"/>
      <c r="H489" s="1"/>
      <c r="I489" s="1"/>
    </row>
    <row r="490" ht="14.25" customHeight="1">
      <c r="A490" s="52"/>
      <c r="B490" s="52"/>
      <c r="C490" s="53"/>
      <c r="D490" s="53"/>
      <c r="E490" s="53"/>
      <c r="F490" s="53"/>
      <c r="G490" s="53"/>
      <c r="H490" s="1"/>
      <c r="I490" s="1"/>
    </row>
    <row r="491" ht="14.25" customHeight="1">
      <c r="A491" s="52"/>
      <c r="B491" s="52"/>
      <c r="C491" s="53"/>
      <c r="D491" s="53"/>
      <c r="E491" s="53"/>
      <c r="F491" s="53"/>
      <c r="G491" s="53"/>
      <c r="H491" s="1"/>
      <c r="I491" s="1"/>
    </row>
    <row r="492" ht="14.25" customHeight="1">
      <c r="A492" s="52"/>
      <c r="B492" s="52"/>
      <c r="C492" s="53"/>
      <c r="D492" s="53"/>
      <c r="E492" s="53"/>
      <c r="F492" s="53"/>
      <c r="G492" s="53"/>
      <c r="H492" s="1"/>
      <c r="I492" s="1"/>
    </row>
    <row r="493" ht="14.25" customHeight="1">
      <c r="A493" s="52"/>
      <c r="B493" s="52"/>
      <c r="C493" s="53"/>
      <c r="D493" s="53"/>
      <c r="E493" s="53"/>
      <c r="F493" s="53"/>
      <c r="G493" s="53"/>
      <c r="H493" s="1"/>
      <c r="I493" s="1"/>
    </row>
    <row r="494" ht="14.25" customHeight="1">
      <c r="A494" s="52"/>
      <c r="B494" s="52"/>
      <c r="C494" s="53"/>
      <c r="D494" s="53"/>
      <c r="E494" s="53"/>
      <c r="F494" s="53"/>
      <c r="G494" s="53"/>
      <c r="H494" s="1"/>
      <c r="I494" s="1"/>
    </row>
    <row r="495" ht="14.25" customHeight="1">
      <c r="A495" s="52"/>
      <c r="B495" s="52"/>
      <c r="C495" s="53"/>
      <c r="D495" s="53"/>
      <c r="E495" s="53"/>
      <c r="F495" s="53"/>
      <c r="G495" s="53"/>
      <c r="H495" s="1"/>
      <c r="I495" s="1"/>
    </row>
    <row r="496" ht="14.25" customHeight="1">
      <c r="A496" s="52"/>
      <c r="B496" s="52"/>
      <c r="C496" s="53"/>
      <c r="D496" s="53"/>
      <c r="E496" s="53"/>
      <c r="F496" s="53"/>
      <c r="G496" s="53"/>
      <c r="H496" s="1"/>
      <c r="I496" s="1"/>
    </row>
    <row r="497" ht="14.25" customHeight="1">
      <c r="A497" s="52"/>
      <c r="B497" s="52"/>
      <c r="C497" s="53"/>
      <c r="D497" s="53"/>
      <c r="E497" s="53"/>
      <c r="F497" s="53"/>
      <c r="G497" s="53"/>
      <c r="H497" s="1"/>
      <c r="I497" s="1"/>
    </row>
    <row r="498" ht="14.25" customHeight="1">
      <c r="A498" s="52"/>
      <c r="B498" s="52"/>
      <c r="C498" s="53"/>
      <c r="D498" s="53"/>
      <c r="E498" s="53"/>
      <c r="F498" s="53"/>
      <c r="G498" s="53"/>
      <c r="H498" s="1"/>
      <c r="I498" s="1"/>
    </row>
    <row r="499" ht="14.25" customHeight="1">
      <c r="A499" s="52"/>
      <c r="B499" s="52"/>
      <c r="C499" s="53"/>
      <c r="D499" s="53"/>
      <c r="E499" s="53"/>
      <c r="F499" s="53"/>
      <c r="G499" s="53"/>
      <c r="H499" s="1"/>
      <c r="I499" s="1"/>
    </row>
    <row r="500" ht="14.25" customHeight="1">
      <c r="A500" s="52"/>
      <c r="B500" s="52"/>
      <c r="C500" s="53"/>
      <c r="D500" s="53"/>
      <c r="E500" s="53"/>
      <c r="F500" s="53"/>
      <c r="G500" s="53"/>
      <c r="H500" s="1"/>
      <c r="I500" s="1"/>
    </row>
    <row r="501" ht="14.25" customHeight="1">
      <c r="A501" s="52"/>
      <c r="B501" s="52"/>
      <c r="C501" s="53"/>
      <c r="D501" s="53"/>
      <c r="E501" s="53"/>
      <c r="F501" s="53"/>
      <c r="G501" s="53"/>
      <c r="H501" s="1"/>
      <c r="I501" s="1"/>
    </row>
    <row r="502" ht="14.25" customHeight="1">
      <c r="A502" s="52"/>
      <c r="B502" s="52"/>
      <c r="C502" s="53"/>
      <c r="D502" s="53"/>
      <c r="E502" s="53"/>
      <c r="F502" s="53"/>
      <c r="G502" s="53"/>
      <c r="H502" s="1"/>
      <c r="I502" s="1"/>
    </row>
    <row r="503" ht="14.25" customHeight="1">
      <c r="A503" s="52"/>
      <c r="B503" s="52"/>
      <c r="C503" s="53"/>
      <c r="D503" s="53"/>
      <c r="E503" s="53"/>
      <c r="F503" s="53"/>
      <c r="G503" s="53"/>
      <c r="H503" s="1"/>
      <c r="I503" s="1"/>
    </row>
    <row r="504" ht="14.25" customHeight="1">
      <c r="A504" s="52"/>
      <c r="B504" s="52"/>
      <c r="C504" s="53"/>
      <c r="D504" s="53"/>
      <c r="E504" s="53"/>
      <c r="F504" s="53"/>
      <c r="G504" s="53"/>
      <c r="H504" s="1"/>
      <c r="I504" s="1"/>
    </row>
    <row r="505" ht="14.25" customHeight="1">
      <c r="A505" s="52"/>
      <c r="B505" s="52"/>
      <c r="C505" s="53"/>
      <c r="D505" s="53"/>
      <c r="E505" s="53"/>
      <c r="F505" s="53"/>
      <c r="G505" s="53"/>
      <c r="H505" s="1"/>
      <c r="I505" s="1"/>
    </row>
    <row r="506" ht="14.25" customHeight="1">
      <c r="A506" s="52"/>
      <c r="B506" s="52"/>
      <c r="C506" s="53"/>
      <c r="D506" s="53"/>
      <c r="E506" s="53"/>
      <c r="F506" s="53"/>
      <c r="G506" s="53"/>
      <c r="H506" s="1"/>
      <c r="I506" s="1"/>
    </row>
    <row r="507" ht="14.25" customHeight="1">
      <c r="A507" s="52"/>
      <c r="B507" s="52"/>
      <c r="C507" s="53"/>
      <c r="D507" s="53"/>
      <c r="E507" s="53"/>
      <c r="F507" s="53"/>
      <c r="G507" s="53"/>
      <c r="H507" s="1"/>
      <c r="I507" s="1"/>
    </row>
    <row r="508" ht="14.25" customHeight="1">
      <c r="A508" s="52"/>
      <c r="B508" s="52"/>
      <c r="C508" s="53"/>
      <c r="D508" s="53"/>
      <c r="E508" s="53"/>
      <c r="F508" s="53"/>
      <c r="G508" s="53"/>
      <c r="H508" s="1"/>
      <c r="I508" s="1"/>
    </row>
    <row r="509" ht="14.25" customHeight="1">
      <c r="A509" s="52"/>
      <c r="B509" s="52"/>
      <c r="C509" s="53"/>
      <c r="D509" s="53"/>
      <c r="E509" s="53"/>
      <c r="F509" s="53"/>
      <c r="G509" s="53"/>
      <c r="H509" s="1"/>
      <c r="I509" s="1"/>
    </row>
    <row r="510" ht="14.25" customHeight="1">
      <c r="A510" s="52"/>
      <c r="B510" s="52"/>
      <c r="C510" s="53"/>
      <c r="D510" s="53"/>
      <c r="E510" s="53"/>
      <c r="F510" s="53"/>
      <c r="G510" s="53"/>
      <c r="H510" s="1"/>
      <c r="I510" s="1"/>
    </row>
    <row r="511" ht="14.25" customHeight="1">
      <c r="A511" s="52"/>
      <c r="B511" s="52"/>
      <c r="C511" s="53"/>
      <c r="D511" s="53"/>
      <c r="E511" s="53"/>
      <c r="F511" s="53"/>
      <c r="G511" s="53"/>
      <c r="H511" s="1"/>
      <c r="I511" s="1"/>
    </row>
    <row r="512" ht="14.25" customHeight="1">
      <c r="A512" s="52"/>
      <c r="B512" s="52"/>
      <c r="C512" s="53"/>
      <c r="D512" s="53"/>
      <c r="E512" s="53"/>
      <c r="F512" s="53"/>
      <c r="G512" s="53"/>
      <c r="H512" s="1"/>
      <c r="I512" s="1"/>
    </row>
    <row r="513" ht="14.25" customHeight="1">
      <c r="A513" s="52"/>
      <c r="B513" s="52"/>
      <c r="C513" s="53"/>
      <c r="D513" s="53"/>
      <c r="E513" s="53"/>
      <c r="F513" s="53"/>
      <c r="G513" s="53"/>
      <c r="H513" s="1"/>
      <c r="I513" s="1"/>
    </row>
    <row r="514" ht="14.25" customHeight="1">
      <c r="A514" s="52"/>
      <c r="B514" s="52"/>
      <c r="C514" s="53"/>
      <c r="D514" s="53"/>
      <c r="E514" s="53"/>
      <c r="F514" s="53"/>
      <c r="G514" s="53"/>
      <c r="H514" s="1"/>
      <c r="I514" s="1"/>
    </row>
    <row r="515" ht="14.25" customHeight="1">
      <c r="A515" s="52"/>
      <c r="B515" s="52"/>
      <c r="C515" s="53"/>
      <c r="D515" s="53"/>
      <c r="E515" s="53"/>
      <c r="F515" s="53"/>
      <c r="G515" s="53"/>
      <c r="H515" s="1"/>
      <c r="I515" s="1"/>
    </row>
    <row r="516" ht="14.25" customHeight="1">
      <c r="A516" s="52"/>
      <c r="B516" s="52"/>
      <c r="C516" s="53"/>
      <c r="D516" s="53"/>
      <c r="E516" s="53"/>
      <c r="F516" s="53"/>
      <c r="G516" s="53"/>
      <c r="H516" s="1"/>
      <c r="I516" s="1"/>
    </row>
    <row r="517" ht="14.25" customHeight="1">
      <c r="A517" s="52"/>
      <c r="B517" s="52"/>
      <c r="C517" s="53"/>
      <c r="D517" s="53"/>
      <c r="E517" s="53"/>
      <c r="F517" s="53"/>
      <c r="G517" s="53"/>
      <c r="H517" s="1"/>
      <c r="I517" s="1"/>
    </row>
    <row r="518" ht="14.25" customHeight="1">
      <c r="A518" s="52"/>
      <c r="B518" s="52"/>
      <c r="C518" s="53"/>
      <c r="D518" s="53"/>
      <c r="E518" s="53"/>
      <c r="F518" s="53"/>
      <c r="G518" s="53"/>
      <c r="H518" s="1"/>
      <c r="I518" s="1"/>
    </row>
    <row r="519" ht="14.25" customHeight="1">
      <c r="A519" s="52"/>
      <c r="B519" s="52"/>
      <c r="C519" s="53"/>
      <c r="D519" s="53"/>
      <c r="E519" s="53"/>
      <c r="F519" s="53"/>
      <c r="G519" s="53"/>
      <c r="H519" s="1"/>
      <c r="I519" s="1"/>
    </row>
    <row r="520" ht="14.25" customHeight="1">
      <c r="A520" s="52"/>
      <c r="B520" s="52"/>
      <c r="C520" s="53"/>
      <c r="D520" s="53"/>
      <c r="E520" s="53"/>
      <c r="F520" s="53"/>
      <c r="G520" s="53"/>
      <c r="H520" s="1"/>
      <c r="I520" s="1"/>
    </row>
    <row r="521" ht="14.25" customHeight="1">
      <c r="A521" s="52"/>
      <c r="B521" s="52"/>
      <c r="C521" s="53"/>
      <c r="D521" s="53"/>
      <c r="E521" s="53"/>
      <c r="F521" s="53"/>
      <c r="G521" s="53"/>
      <c r="H521" s="1"/>
      <c r="I521" s="1"/>
    </row>
    <row r="522" ht="14.25" customHeight="1">
      <c r="A522" s="52"/>
      <c r="B522" s="52"/>
      <c r="C522" s="53"/>
      <c r="D522" s="53"/>
      <c r="E522" s="53"/>
      <c r="F522" s="53"/>
      <c r="G522" s="53"/>
      <c r="H522" s="1"/>
      <c r="I522" s="1"/>
    </row>
    <row r="523" ht="14.25" customHeight="1">
      <c r="A523" s="52"/>
      <c r="B523" s="52"/>
      <c r="C523" s="53"/>
      <c r="D523" s="53"/>
      <c r="E523" s="53"/>
      <c r="F523" s="53"/>
      <c r="G523" s="53"/>
      <c r="H523" s="1"/>
      <c r="I523" s="1"/>
    </row>
    <row r="524" ht="14.25" customHeight="1">
      <c r="A524" s="52"/>
      <c r="B524" s="52"/>
      <c r="C524" s="53"/>
      <c r="D524" s="53"/>
      <c r="E524" s="53"/>
      <c r="F524" s="53"/>
      <c r="G524" s="53"/>
      <c r="H524" s="1"/>
      <c r="I524" s="1"/>
    </row>
    <row r="525" ht="14.25" customHeight="1">
      <c r="A525" s="52"/>
      <c r="B525" s="52"/>
      <c r="C525" s="53"/>
      <c r="D525" s="53"/>
      <c r="E525" s="53"/>
      <c r="F525" s="53"/>
      <c r="G525" s="53"/>
      <c r="H525" s="1"/>
      <c r="I525" s="1"/>
    </row>
    <row r="526" ht="14.25" customHeight="1">
      <c r="A526" s="52"/>
      <c r="B526" s="52"/>
      <c r="C526" s="53"/>
      <c r="D526" s="53"/>
      <c r="E526" s="53"/>
      <c r="F526" s="53"/>
      <c r="G526" s="53"/>
      <c r="H526" s="1"/>
      <c r="I526" s="1"/>
    </row>
    <row r="527" ht="14.25" customHeight="1">
      <c r="A527" s="52"/>
      <c r="B527" s="52"/>
      <c r="C527" s="53"/>
      <c r="D527" s="53"/>
      <c r="E527" s="53"/>
      <c r="F527" s="53"/>
      <c r="G527" s="53"/>
      <c r="H527" s="1"/>
      <c r="I527" s="1"/>
    </row>
    <row r="528" ht="14.25" customHeight="1">
      <c r="A528" s="52"/>
      <c r="B528" s="52"/>
      <c r="C528" s="53"/>
      <c r="D528" s="53"/>
      <c r="E528" s="53"/>
      <c r="F528" s="53"/>
      <c r="G528" s="53"/>
      <c r="H528" s="1"/>
      <c r="I528" s="1"/>
    </row>
    <row r="529" ht="14.25" customHeight="1">
      <c r="A529" s="52"/>
      <c r="B529" s="52"/>
      <c r="C529" s="53"/>
      <c r="D529" s="53"/>
      <c r="E529" s="53"/>
      <c r="F529" s="53"/>
      <c r="G529" s="53"/>
      <c r="H529" s="1"/>
      <c r="I529" s="1"/>
    </row>
    <row r="530" ht="14.25" customHeight="1">
      <c r="A530" s="52"/>
      <c r="B530" s="52"/>
      <c r="C530" s="53"/>
      <c r="D530" s="53"/>
      <c r="E530" s="53"/>
      <c r="F530" s="53"/>
      <c r="G530" s="53"/>
      <c r="H530" s="1"/>
      <c r="I530" s="1"/>
    </row>
    <row r="531" ht="14.25" customHeight="1">
      <c r="A531" s="52"/>
      <c r="B531" s="52"/>
      <c r="C531" s="53"/>
      <c r="D531" s="53"/>
      <c r="E531" s="53"/>
      <c r="F531" s="53"/>
      <c r="G531" s="53"/>
      <c r="H531" s="1"/>
      <c r="I531" s="1"/>
    </row>
    <row r="532" ht="14.25" customHeight="1">
      <c r="A532" s="52"/>
      <c r="B532" s="52"/>
      <c r="C532" s="53"/>
      <c r="D532" s="53"/>
      <c r="E532" s="53"/>
      <c r="F532" s="53"/>
      <c r="G532" s="53"/>
      <c r="H532" s="1"/>
      <c r="I532" s="1"/>
    </row>
    <row r="533" ht="14.25" customHeight="1">
      <c r="A533" s="52"/>
      <c r="B533" s="52"/>
      <c r="C533" s="53"/>
      <c r="D533" s="53"/>
      <c r="E533" s="53"/>
      <c r="F533" s="53"/>
      <c r="G533" s="53"/>
      <c r="H533" s="1"/>
      <c r="I533" s="1"/>
    </row>
    <row r="534" ht="14.25" customHeight="1">
      <c r="A534" s="52"/>
      <c r="B534" s="52"/>
      <c r="C534" s="53"/>
      <c r="D534" s="53"/>
      <c r="E534" s="53"/>
      <c r="F534" s="53"/>
      <c r="G534" s="53"/>
      <c r="H534" s="1"/>
      <c r="I534" s="1"/>
    </row>
    <row r="535" ht="14.25" customHeight="1">
      <c r="A535" s="52"/>
      <c r="B535" s="52"/>
      <c r="C535" s="53"/>
      <c r="D535" s="53"/>
      <c r="E535" s="53"/>
      <c r="F535" s="53"/>
      <c r="G535" s="53"/>
      <c r="H535" s="1"/>
      <c r="I535" s="1"/>
    </row>
    <row r="536" ht="14.25" customHeight="1">
      <c r="A536" s="52"/>
      <c r="B536" s="52"/>
      <c r="C536" s="53"/>
      <c r="D536" s="53"/>
      <c r="E536" s="53"/>
      <c r="F536" s="53"/>
      <c r="G536" s="53"/>
      <c r="H536" s="1"/>
      <c r="I536" s="1"/>
    </row>
    <row r="537" ht="14.25" customHeight="1">
      <c r="A537" s="52"/>
      <c r="B537" s="52"/>
      <c r="C537" s="53"/>
      <c r="D537" s="53"/>
      <c r="E537" s="53"/>
      <c r="F537" s="53"/>
      <c r="G537" s="53"/>
      <c r="H537" s="1"/>
      <c r="I537" s="1"/>
    </row>
    <row r="538" ht="14.25" customHeight="1">
      <c r="A538" s="52"/>
      <c r="B538" s="52"/>
      <c r="C538" s="53"/>
      <c r="D538" s="53"/>
      <c r="E538" s="53"/>
      <c r="F538" s="53"/>
      <c r="G538" s="53"/>
      <c r="H538" s="1"/>
      <c r="I538" s="1"/>
    </row>
    <row r="539" ht="14.25" customHeight="1">
      <c r="A539" s="52"/>
      <c r="B539" s="52"/>
      <c r="C539" s="53"/>
      <c r="D539" s="53"/>
      <c r="E539" s="53"/>
      <c r="F539" s="53"/>
      <c r="G539" s="53"/>
      <c r="H539" s="1"/>
      <c r="I539" s="1"/>
    </row>
    <row r="540" ht="14.25" customHeight="1">
      <c r="A540" s="52"/>
      <c r="B540" s="52"/>
      <c r="C540" s="53"/>
      <c r="D540" s="53"/>
      <c r="E540" s="53"/>
      <c r="F540" s="53"/>
      <c r="G540" s="53"/>
      <c r="H540" s="1"/>
      <c r="I540" s="1"/>
    </row>
    <row r="541" ht="14.25" customHeight="1">
      <c r="A541" s="52"/>
      <c r="B541" s="52"/>
      <c r="C541" s="53"/>
      <c r="D541" s="53"/>
      <c r="E541" s="53"/>
      <c r="F541" s="53"/>
      <c r="G541" s="53"/>
      <c r="H541" s="1"/>
      <c r="I541" s="1"/>
    </row>
    <row r="542" ht="14.25" customHeight="1">
      <c r="A542" s="52"/>
      <c r="B542" s="52"/>
      <c r="C542" s="53"/>
      <c r="D542" s="53"/>
      <c r="E542" s="53"/>
      <c r="F542" s="53"/>
      <c r="G542" s="53"/>
      <c r="H542" s="1"/>
      <c r="I542" s="1"/>
    </row>
    <row r="543" ht="14.25" customHeight="1">
      <c r="A543" s="52"/>
      <c r="B543" s="52"/>
      <c r="C543" s="53"/>
      <c r="D543" s="53"/>
      <c r="E543" s="53"/>
      <c r="F543" s="53"/>
      <c r="G543" s="53"/>
      <c r="H543" s="1"/>
      <c r="I543" s="1"/>
    </row>
    <row r="544" ht="14.25" customHeight="1">
      <c r="A544" s="52"/>
      <c r="B544" s="52"/>
      <c r="C544" s="53"/>
      <c r="D544" s="53"/>
      <c r="E544" s="53"/>
      <c r="F544" s="53"/>
      <c r="G544" s="53"/>
      <c r="H544" s="1"/>
      <c r="I544" s="1"/>
    </row>
    <row r="545" ht="14.25" customHeight="1">
      <c r="A545" s="52"/>
      <c r="B545" s="52"/>
      <c r="C545" s="53"/>
      <c r="D545" s="53"/>
      <c r="E545" s="53"/>
      <c r="F545" s="53"/>
      <c r="G545" s="53"/>
      <c r="H545" s="1"/>
      <c r="I545" s="1"/>
    </row>
    <row r="546" ht="14.25" customHeight="1">
      <c r="A546" s="52"/>
      <c r="B546" s="52"/>
      <c r="C546" s="53"/>
      <c r="D546" s="53"/>
      <c r="E546" s="53"/>
      <c r="F546" s="53"/>
      <c r="G546" s="53"/>
      <c r="H546" s="1"/>
      <c r="I546" s="1"/>
    </row>
    <row r="547" ht="14.25" customHeight="1">
      <c r="A547" s="52"/>
      <c r="B547" s="52"/>
      <c r="C547" s="53"/>
      <c r="D547" s="53"/>
      <c r="E547" s="53"/>
      <c r="F547" s="53"/>
      <c r="G547" s="53"/>
      <c r="H547" s="1"/>
      <c r="I547" s="1"/>
    </row>
    <row r="548" ht="14.25" customHeight="1">
      <c r="A548" s="52"/>
      <c r="B548" s="52"/>
      <c r="C548" s="53"/>
      <c r="D548" s="53"/>
      <c r="E548" s="53"/>
      <c r="F548" s="53"/>
      <c r="G548" s="53"/>
      <c r="H548" s="1"/>
      <c r="I548" s="1"/>
    </row>
    <row r="549" ht="14.25" customHeight="1">
      <c r="A549" s="52"/>
      <c r="B549" s="52"/>
      <c r="C549" s="53"/>
      <c r="D549" s="53"/>
      <c r="E549" s="53"/>
      <c r="F549" s="53"/>
      <c r="G549" s="53"/>
      <c r="H549" s="1"/>
      <c r="I549" s="1"/>
    </row>
    <row r="550" ht="14.25" customHeight="1">
      <c r="A550" s="52"/>
      <c r="B550" s="52"/>
      <c r="C550" s="53"/>
      <c r="D550" s="53"/>
      <c r="E550" s="53"/>
      <c r="F550" s="53"/>
      <c r="G550" s="53"/>
      <c r="H550" s="1"/>
      <c r="I550" s="1"/>
    </row>
    <row r="551" ht="14.25" customHeight="1">
      <c r="A551" s="52"/>
      <c r="B551" s="52"/>
      <c r="C551" s="53"/>
      <c r="D551" s="53"/>
      <c r="E551" s="53"/>
      <c r="F551" s="53"/>
      <c r="G551" s="53"/>
      <c r="H551" s="1"/>
      <c r="I551" s="1"/>
    </row>
    <row r="552" ht="14.25" customHeight="1">
      <c r="A552" s="52"/>
      <c r="B552" s="52"/>
      <c r="C552" s="53"/>
      <c r="D552" s="53"/>
      <c r="E552" s="53"/>
      <c r="F552" s="53"/>
      <c r="G552" s="53"/>
      <c r="H552" s="1"/>
      <c r="I552" s="1"/>
    </row>
    <row r="553" ht="14.25" customHeight="1">
      <c r="A553" s="52"/>
      <c r="B553" s="52"/>
      <c r="C553" s="53"/>
      <c r="D553" s="53"/>
      <c r="E553" s="53"/>
      <c r="F553" s="53"/>
      <c r="G553" s="53"/>
      <c r="H553" s="1"/>
      <c r="I553" s="1"/>
    </row>
    <row r="554" ht="14.25" customHeight="1">
      <c r="A554" s="52"/>
      <c r="B554" s="52"/>
      <c r="C554" s="53"/>
      <c r="D554" s="53"/>
      <c r="E554" s="53"/>
      <c r="F554" s="53"/>
      <c r="G554" s="53"/>
      <c r="H554" s="1"/>
      <c r="I554" s="1"/>
    </row>
    <row r="555" ht="14.25" customHeight="1">
      <c r="A555" s="52"/>
      <c r="B555" s="52"/>
      <c r="C555" s="53"/>
      <c r="D555" s="53"/>
      <c r="E555" s="53"/>
      <c r="F555" s="53"/>
      <c r="G555" s="53"/>
      <c r="H555" s="1"/>
      <c r="I555" s="1"/>
    </row>
    <row r="556" ht="14.25" customHeight="1">
      <c r="A556" s="52"/>
      <c r="B556" s="52"/>
      <c r="C556" s="53"/>
      <c r="D556" s="53"/>
      <c r="E556" s="53"/>
      <c r="F556" s="53"/>
      <c r="G556" s="53"/>
      <c r="H556" s="1"/>
      <c r="I556" s="1"/>
    </row>
    <row r="557" ht="14.25" customHeight="1">
      <c r="A557" s="52"/>
      <c r="B557" s="52"/>
      <c r="C557" s="53"/>
      <c r="D557" s="53"/>
      <c r="E557" s="53"/>
      <c r="F557" s="53"/>
      <c r="G557" s="53"/>
      <c r="H557" s="1"/>
      <c r="I557" s="1"/>
    </row>
    <row r="558" ht="14.25" customHeight="1">
      <c r="A558" s="52"/>
      <c r="B558" s="52"/>
      <c r="C558" s="53"/>
      <c r="D558" s="53"/>
      <c r="E558" s="53"/>
      <c r="F558" s="53"/>
      <c r="G558" s="53"/>
      <c r="H558" s="1"/>
      <c r="I558" s="1"/>
    </row>
    <row r="559" ht="14.25" customHeight="1">
      <c r="A559" s="52"/>
      <c r="B559" s="52"/>
      <c r="C559" s="53"/>
      <c r="D559" s="53"/>
      <c r="E559" s="53"/>
      <c r="F559" s="53"/>
      <c r="G559" s="53"/>
      <c r="H559" s="1"/>
      <c r="I559" s="1"/>
    </row>
    <row r="560" ht="14.25" customHeight="1">
      <c r="A560" s="52"/>
      <c r="B560" s="52"/>
      <c r="C560" s="53"/>
      <c r="D560" s="53"/>
      <c r="E560" s="53"/>
      <c r="F560" s="53"/>
      <c r="G560" s="53"/>
      <c r="H560" s="1"/>
      <c r="I560" s="1"/>
    </row>
    <row r="561" ht="14.25" customHeight="1">
      <c r="A561" s="52"/>
      <c r="B561" s="52"/>
      <c r="C561" s="53"/>
      <c r="D561" s="53"/>
      <c r="E561" s="53"/>
      <c r="F561" s="53"/>
      <c r="G561" s="53"/>
      <c r="H561" s="1"/>
      <c r="I561" s="1"/>
    </row>
    <row r="562" ht="14.25" customHeight="1">
      <c r="A562" s="52"/>
      <c r="B562" s="52"/>
      <c r="C562" s="53"/>
      <c r="D562" s="53"/>
      <c r="E562" s="53"/>
      <c r="F562" s="53"/>
      <c r="G562" s="53"/>
      <c r="H562" s="1"/>
      <c r="I562" s="1"/>
    </row>
    <row r="563" ht="14.25" customHeight="1">
      <c r="A563" s="52"/>
      <c r="B563" s="52"/>
      <c r="C563" s="53"/>
      <c r="D563" s="53"/>
      <c r="E563" s="53"/>
      <c r="F563" s="53"/>
      <c r="G563" s="53"/>
      <c r="H563" s="1"/>
      <c r="I563" s="1"/>
    </row>
    <row r="564" ht="14.25" customHeight="1">
      <c r="A564" s="52"/>
      <c r="B564" s="52"/>
      <c r="C564" s="53"/>
      <c r="D564" s="53"/>
      <c r="E564" s="53"/>
      <c r="F564" s="53"/>
      <c r="G564" s="53"/>
      <c r="H564" s="1"/>
      <c r="I564" s="1"/>
    </row>
    <row r="565" ht="14.25" customHeight="1">
      <c r="A565" s="52"/>
      <c r="B565" s="52"/>
      <c r="C565" s="53"/>
      <c r="D565" s="53"/>
      <c r="E565" s="53"/>
      <c r="F565" s="53"/>
      <c r="G565" s="53"/>
      <c r="H565" s="1"/>
      <c r="I565" s="1"/>
    </row>
    <row r="566" ht="14.25" customHeight="1">
      <c r="A566" s="52"/>
      <c r="B566" s="52"/>
      <c r="C566" s="53"/>
      <c r="D566" s="53"/>
      <c r="E566" s="53"/>
      <c r="F566" s="53"/>
      <c r="G566" s="53"/>
      <c r="H566" s="1"/>
      <c r="I566" s="1"/>
    </row>
    <row r="567" ht="14.25" customHeight="1">
      <c r="A567" s="52"/>
      <c r="B567" s="52"/>
      <c r="C567" s="53"/>
      <c r="D567" s="53"/>
      <c r="E567" s="53"/>
      <c r="F567" s="53"/>
      <c r="G567" s="53"/>
      <c r="H567" s="1"/>
      <c r="I567" s="1"/>
    </row>
    <row r="568" ht="14.25" customHeight="1">
      <c r="A568" s="52"/>
      <c r="B568" s="52"/>
      <c r="C568" s="53"/>
      <c r="D568" s="53"/>
      <c r="E568" s="53"/>
      <c r="F568" s="53"/>
      <c r="G568" s="53"/>
      <c r="H568" s="1"/>
      <c r="I568" s="1"/>
    </row>
    <row r="569" ht="14.25" customHeight="1">
      <c r="A569" s="52"/>
      <c r="B569" s="52"/>
      <c r="C569" s="53"/>
      <c r="D569" s="53"/>
      <c r="E569" s="53"/>
      <c r="F569" s="53"/>
      <c r="G569" s="53"/>
      <c r="H569" s="1"/>
      <c r="I569" s="1"/>
    </row>
    <row r="570" ht="14.25" customHeight="1">
      <c r="A570" s="52"/>
      <c r="B570" s="52"/>
      <c r="C570" s="53"/>
      <c r="D570" s="53"/>
      <c r="E570" s="53"/>
      <c r="F570" s="53"/>
      <c r="G570" s="53"/>
      <c r="H570" s="1"/>
      <c r="I570" s="1"/>
    </row>
    <row r="571" ht="14.25" customHeight="1">
      <c r="A571" s="52"/>
      <c r="B571" s="52"/>
      <c r="C571" s="53"/>
      <c r="D571" s="53"/>
      <c r="E571" s="53"/>
      <c r="F571" s="53"/>
      <c r="G571" s="53"/>
      <c r="H571" s="1"/>
      <c r="I571" s="1"/>
    </row>
    <row r="572" ht="14.25" customHeight="1">
      <c r="A572" s="52"/>
      <c r="B572" s="52"/>
      <c r="C572" s="53"/>
      <c r="D572" s="53"/>
      <c r="E572" s="53"/>
      <c r="F572" s="53"/>
      <c r="G572" s="53"/>
      <c r="H572" s="1"/>
      <c r="I572" s="1"/>
    </row>
    <row r="573" ht="14.25" customHeight="1">
      <c r="A573" s="52"/>
      <c r="B573" s="52"/>
      <c r="C573" s="53"/>
      <c r="D573" s="53"/>
      <c r="E573" s="53"/>
      <c r="F573" s="53"/>
      <c r="G573" s="53"/>
      <c r="H573" s="1"/>
      <c r="I573" s="1"/>
    </row>
    <row r="574" ht="14.25" customHeight="1">
      <c r="A574" s="52"/>
      <c r="B574" s="52"/>
      <c r="C574" s="53"/>
      <c r="D574" s="53"/>
      <c r="E574" s="53"/>
      <c r="F574" s="53"/>
      <c r="G574" s="53"/>
      <c r="H574" s="1"/>
      <c r="I574" s="1"/>
    </row>
    <row r="575" ht="14.25" customHeight="1">
      <c r="A575" s="52"/>
      <c r="B575" s="52"/>
      <c r="C575" s="53"/>
      <c r="D575" s="53"/>
      <c r="E575" s="53"/>
      <c r="F575" s="53"/>
      <c r="G575" s="53"/>
      <c r="H575" s="1"/>
      <c r="I575" s="1"/>
    </row>
    <row r="576" ht="14.25" customHeight="1">
      <c r="A576" s="52"/>
      <c r="B576" s="52"/>
      <c r="C576" s="53"/>
      <c r="D576" s="53"/>
      <c r="E576" s="53"/>
      <c r="F576" s="53"/>
      <c r="G576" s="53"/>
      <c r="H576" s="1"/>
      <c r="I576" s="1"/>
    </row>
    <row r="577" ht="14.25" customHeight="1">
      <c r="A577" s="52"/>
      <c r="B577" s="52"/>
      <c r="C577" s="53"/>
      <c r="D577" s="53"/>
      <c r="E577" s="53"/>
      <c r="F577" s="53"/>
      <c r="G577" s="53"/>
      <c r="H577" s="1"/>
      <c r="I577" s="1"/>
    </row>
    <row r="578" ht="14.25" customHeight="1">
      <c r="A578" s="52"/>
      <c r="B578" s="52"/>
      <c r="C578" s="53"/>
      <c r="D578" s="53"/>
      <c r="E578" s="53"/>
      <c r="F578" s="53"/>
      <c r="G578" s="53"/>
      <c r="H578" s="1"/>
      <c r="I578" s="1"/>
    </row>
    <row r="579" ht="14.25" customHeight="1">
      <c r="A579" s="52"/>
      <c r="B579" s="52"/>
      <c r="C579" s="53"/>
      <c r="D579" s="53"/>
      <c r="E579" s="53"/>
      <c r="F579" s="53"/>
      <c r="G579" s="53"/>
      <c r="H579" s="1"/>
      <c r="I579" s="1"/>
    </row>
    <row r="580" ht="14.25" customHeight="1">
      <c r="A580" s="52"/>
      <c r="B580" s="52"/>
      <c r="C580" s="53"/>
      <c r="D580" s="53"/>
      <c r="E580" s="53"/>
      <c r="F580" s="53"/>
      <c r="G580" s="53"/>
      <c r="H580" s="1"/>
      <c r="I580" s="1"/>
    </row>
    <row r="581" ht="14.25" customHeight="1">
      <c r="A581" s="52"/>
      <c r="B581" s="52"/>
      <c r="C581" s="53"/>
      <c r="D581" s="53"/>
      <c r="E581" s="53"/>
      <c r="F581" s="53"/>
      <c r="G581" s="53"/>
      <c r="H581" s="1"/>
      <c r="I581" s="1"/>
    </row>
    <row r="582" ht="14.25" customHeight="1">
      <c r="A582" s="52"/>
      <c r="B582" s="52"/>
      <c r="C582" s="53"/>
      <c r="D582" s="53"/>
      <c r="E582" s="53"/>
      <c r="F582" s="53"/>
      <c r="G582" s="53"/>
      <c r="H582" s="1"/>
      <c r="I582" s="1"/>
    </row>
    <row r="583" ht="14.25" customHeight="1">
      <c r="A583" s="52"/>
      <c r="B583" s="52"/>
      <c r="C583" s="53"/>
      <c r="D583" s="53"/>
      <c r="E583" s="53"/>
      <c r="F583" s="53"/>
      <c r="G583" s="53"/>
      <c r="H583" s="1"/>
      <c r="I583" s="1"/>
    </row>
    <row r="584" ht="14.25" customHeight="1">
      <c r="A584" s="52"/>
      <c r="B584" s="52"/>
      <c r="C584" s="53"/>
      <c r="D584" s="53"/>
      <c r="E584" s="53"/>
      <c r="F584" s="53"/>
      <c r="G584" s="53"/>
      <c r="H584" s="1"/>
      <c r="I584" s="1"/>
    </row>
    <row r="585" ht="14.25" customHeight="1">
      <c r="A585" s="52"/>
      <c r="B585" s="52"/>
      <c r="C585" s="53"/>
      <c r="D585" s="53"/>
      <c r="E585" s="53"/>
      <c r="F585" s="53"/>
      <c r="G585" s="53"/>
      <c r="H585" s="1"/>
      <c r="I585" s="1"/>
    </row>
    <row r="586" ht="14.25" customHeight="1">
      <c r="A586" s="52"/>
      <c r="B586" s="52"/>
      <c r="C586" s="53"/>
      <c r="D586" s="53"/>
      <c r="E586" s="53"/>
      <c r="F586" s="53"/>
      <c r="G586" s="53"/>
      <c r="H586" s="1"/>
      <c r="I586" s="1"/>
    </row>
    <row r="587" ht="14.25" customHeight="1">
      <c r="A587" s="52"/>
      <c r="B587" s="52"/>
      <c r="C587" s="53"/>
      <c r="D587" s="53"/>
      <c r="E587" s="53"/>
      <c r="F587" s="53"/>
      <c r="G587" s="53"/>
      <c r="H587" s="1"/>
      <c r="I587" s="1"/>
    </row>
    <row r="588" ht="14.25" customHeight="1">
      <c r="A588" s="52"/>
      <c r="B588" s="52"/>
      <c r="C588" s="53"/>
      <c r="D588" s="53"/>
      <c r="E588" s="53"/>
      <c r="F588" s="53"/>
      <c r="G588" s="53"/>
      <c r="H588" s="1"/>
      <c r="I588" s="1"/>
    </row>
    <row r="589" ht="14.25" customHeight="1">
      <c r="A589" s="52"/>
      <c r="B589" s="52"/>
      <c r="C589" s="53"/>
      <c r="D589" s="53"/>
      <c r="E589" s="53"/>
      <c r="F589" s="53"/>
      <c r="G589" s="53"/>
      <c r="H589" s="1"/>
      <c r="I589" s="1"/>
    </row>
    <row r="590" ht="14.25" customHeight="1">
      <c r="A590" s="52"/>
      <c r="B590" s="52"/>
      <c r="C590" s="53"/>
      <c r="D590" s="53"/>
      <c r="E590" s="53"/>
      <c r="F590" s="53"/>
      <c r="G590" s="53"/>
      <c r="H590" s="1"/>
      <c r="I590" s="1"/>
    </row>
    <row r="591" ht="14.25" customHeight="1">
      <c r="A591" s="52"/>
      <c r="B591" s="52"/>
      <c r="C591" s="53"/>
      <c r="D591" s="53"/>
      <c r="E591" s="53"/>
      <c r="F591" s="53"/>
      <c r="G591" s="53"/>
      <c r="H591" s="1"/>
      <c r="I591" s="1"/>
    </row>
    <row r="592" ht="14.25" customHeight="1">
      <c r="A592" s="52"/>
      <c r="B592" s="52"/>
      <c r="C592" s="53"/>
      <c r="D592" s="53"/>
      <c r="E592" s="53"/>
      <c r="F592" s="53"/>
      <c r="G592" s="53"/>
      <c r="H592" s="1"/>
      <c r="I592" s="1"/>
    </row>
    <row r="593" ht="14.25" customHeight="1">
      <c r="A593" s="52"/>
      <c r="B593" s="52"/>
      <c r="C593" s="53"/>
      <c r="D593" s="53"/>
      <c r="E593" s="53"/>
      <c r="F593" s="53"/>
      <c r="G593" s="53"/>
      <c r="H593" s="1"/>
      <c r="I593" s="1"/>
    </row>
    <row r="594" ht="14.25" customHeight="1">
      <c r="A594" s="52"/>
      <c r="B594" s="52"/>
      <c r="C594" s="53"/>
      <c r="D594" s="53"/>
      <c r="E594" s="53"/>
      <c r="F594" s="53"/>
      <c r="G594" s="53"/>
      <c r="H594" s="1"/>
      <c r="I594" s="1"/>
    </row>
    <row r="595" ht="14.25" customHeight="1">
      <c r="A595" s="52"/>
      <c r="B595" s="52"/>
      <c r="C595" s="53"/>
      <c r="D595" s="53"/>
      <c r="E595" s="53"/>
      <c r="F595" s="53"/>
      <c r="G595" s="53"/>
      <c r="H595" s="1"/>
      <c r="I595" s="1"/>
    </row>
    <row r="596" ht="14.25" customHeight="1">
      <c r="A596" s="52"/>
      <c r="B596" s="52"/>
      <c r="C596" s="53"/>
      <c r="D596" s="53"/>
      <c r="E596" s="53"/>
      <c r="F596" s="53"/>
      <c r="G596" s="53"/>
      <c r="H596" s="1"/>
      <c r="I596" s="1"/>
    </row>
    <row r="597" ht="14.25" customHeight="1">
      <c r="A597" s="52"/>
      <c r="B597" s="52"/>
      <c r="C597" s="53"/>
      <c r="D597" s="53"/>
      <c r="E597" s="53"/>
      <c r="F597" s="53"/>
      <c r="G597" s="53"/>
      <c r="H597" s="1"/>
      <c r="I597" s="1"/>
    </row>
    <row r="598" ht="14.25" customHeight="1">
      <c r="A598" s="52"/>
      <c r="B598" s="52"/>
      <c r="C598" s="53"/>
      <c r="D598" s="53"/>
      <c r="E598" s="53"/>
      <c r="F598" s="53"/>
      <c r="G598" s="53"/>
      <c r="H598" s="1"/>
      <c r="I598" s="1"/>
    </row>
    <row r="599" ht="14.25" customHeight="1">
      <c r="A599" s="52"/>
      <c r="B599" s="52"/>
      <c r="C599" s="53"/>
      <c r="D599" s="53"/>
      <c r="E599" s="53"/>
      <c r="F599" s="53"/>
      <c r="G599" s="53"/>
      <c r="H599" s="1"/>
      <c r="I599" s="1"/>
    </row>
    <row r="600" ht="14.25" customHeight="1">
      <c r="A600" s="52"/>
      <c r="B600" s="52"/>
      <c r="C600" s="53"/>
      <c r="D600" s="53"/>
      <c r="E600" s="53"/>
      <c r="F600" s="53"/>
      <c r="G600" s="53"/>
      <c r="H600" s="1"/>
      <c r="I600" s="1"/>
    </row>
    <row r="601" ht="14.25" customHeight="1">
      <c r="A601" s="52"/>
      <c r="B601" s="52"/>
      <c r="C601" s="53"/>
      <c r="D601" s="53"/>
      <c r="E601" s="53"/>
      <c r="F601" s="53"/>
      <c r="G601" s="53"/>
      <c r="H601" s="1"/>
      <c r="I601" s="1"/>
    </row>
    <row r="602" ht="14.25" customHeight="1">
      <c r="A602" s="52"/>
      <c r="B602" s="52"/>
      <c r="C602" s="53"/>
      <c r="D602" s="53"/>
      <c r="E602" s="53"/>
      <c r="F602" s="53"/>
      <c r="G602" s="53"/>
      <c r="H602" s="1"/>
      <c r="I602" s="1"/>
    </row>
    <row r="603" ht="14.25" customHeight="1">
      <c r="A603" s="52"/>
      <c r="B603" s="52"/>
      <c r="C603" s="53"/>
      <c r="D603" s="53"/>
      <c r="E603" s="53"/>
      <c r="F603" s="53"/>
      <c r="G603" s="53"/>
      <c r="H603" s="1"/>
      <c r="I603" s="1"/>
    </row>
    <row r="604" ht="14.25" customHeight="1">
      <c r="A604" s="52"/>
      <c r="B604" s="52"/>
      <c r="C604" s="53"/>
      <c r="D604" s="53"/>
      <c r="E604" s="53"/>
      <c r="F604" s="53"/>
      <c r="G604" s="53"/>
      <c r="H604" s="1"/>
      <c r="I604" s="1"/>
    </row>
    <row r="605" ht="14.25" customHeight="1">
      <c r="A605" s="52"/>
      <c r="B605" s="52"/>
      <c r="C605" s="53"/>
      <c r="D605" s="53"/>
      <c r="E605" s="53"/>
      <c r="F605" s="53"/>
      <c r="G605" s="53"/>
      <c r="H605" s="1"/>
      <c r="I605" s="1"/>
    </row>
    <row r="606" ht="14.25" customHeight="1">
      <c r="A606" s="52"/>
      <c r="B606" s="52"/>
      <c r="C606" s="53"/>
      <c r="D606" s="53"/>
      <c r="E606" s="53"/>
      <c r="F606" s="53"/>
      <c r="G606" s="53"/>
      <c r="H606" s="1"/>
      <c r="I606" s="1"/>
    </row>
    <row r="607" ht="14.25" customHeight="1">
      <c r="A607" s="52"/>
      <c r="B607" s="52"/>
      <c r="C607" s="53"/>
      <c r="D607" s="53"/>
      <c r="E607" s="53"/>
      <c r="F607" s="53"/>
      <c r="G607" s="53"/>
      <c r="H607" s="1"/>
      <c r="I607" s="1"/>
    </row>
    <row r="608" ht="14.25" customHeight="1">
      <c r="A608" s="52"/>
      <c r="B608" s="52"/>
      <c r="C608" s="53"/>
      <c r="D608" s="53"/>
      <c r="E608" s="53"/>
      <c r="F608" s="53"/>
      <c r="G608" s="53"/>
      <c r="H608" s="1"/>
      <c r="I608" s="1"/>
    </row>
    <row r="609" ht="14.25" customHeight="1">
      <c r="A609" s="52"/>
      <c r="B609" s="52"/>
      <c r="C609" s="53"/>
      <c r="D609" s="53"/>
      <c r="E609" s="53"/>
      <c r="F609" s="53"/>
      <c r="G609" s="53"/>
      <c r="H609" s="1"/>
      <c r="I609" s="1"/>
    </row>
    <row r="610" ht="14.25" customHeight="1">
      <c r="A610" s="52"/>
      <c r="B610" s="52"/>
      <c r="C610" s="53"/>
      <c r="D610" s="53"/>
      <c r="E610" s="53"/>
      <c r="F610" s="53"/>
      <c r="G610" s="53"/>
      <c r="H610" s="1"/>
      <c r="I610" s="1"/>
    </row>
    <row r="611" ht="14.25" customHeight="1">
      <c r="A611" s="52"/>
      <c r="B611" s="52"/>
      <c r="C611" s="53"/>
      <c r="D611" s="53"/>
      <c r="E611" s="53"/>
      <c r="F611" s="53"/>
      <c r="G611" s="53"/>
      <c r="H611" s="1"/>
      <c r="I611" s="1"/>
    </row>
    <row r="612" ht="14.25" customHeight="1">
      <c r="A612" s="52"/>
      <c r="B612" s="52"/>
      <c r="C612" s="53"/>
      <c r="D612" s="53"/>
      <c r="E612" s="53"/>
      <c r="F612" s="53"/>
      <c r="G612" s="53"/>
      <c r="H612" s="1"/>
      <c r="I612" s="1"/>
    </row>
    <row r="613" ht="14.25" customHeight="1">
      <c r="A613" s="52"/>
      <c r="B613" s="52"/>
      <c r="C613" s="53"/>
      <c r="D613" s="53"/>
      <c r="E613" s="53"/>
      <c r="F613" s="53"/>
      <c r="G613" s="53"/>
      <c r="H613" s="1"/>
      <c r="I613" s="1"/>
    </row>
    <row r="614" ht="14.25" customHeight="1">
      <c r="A614" s="52"/>
      <c r="B614" s="52"/>
      <c r="C614" s="53"/>
      <c r="D614" s="53"/>
      <c r="E614" s="53"/>
      <c r="F614" s="53"/>
      <c r="G614" s="53"/>
      <c r="H614" s="1"/>
      <c r="I614" s="1"/>
    </row>
    <row r="615" ht="14.25" customHeight="1">
      <c r="A615" s="52"/>
      <c r="B615" s="52"/>
      <c r="C615" s="53"/>
      <c r="D615" s="53"/>
      <c r="E615" s="53"/>
      <c r="F615" s="53"/>
      <c r="G615" s="53"/>
      <c r="H615" s="1"/>
      <c r="I615" s="1"/>
    </row>
    <row r="616" ht="14.25" customHeight="1">
      <c r="A616" s="52"/>
      <c r="B616" s="52"/>
      <c r="C616" s="53"/>
      <c r="D616" s="53"/>
      <c r="E616" s="53"/>
      <c r="F616" s="53"/>
      <c r="G616" s="53"/>
      <c r="H616" s="1"/>
      <c r="I616" s="1"/>
    </row>
    <row r="617" ht="14.25" customHeight="1">
      <c r="A617" s="52"/>
      <c r="B617" s="52"/>
      <c r="C617" s="53"/>
      <c r="D617" s="53"/>
      <c r="E617" s="53"/>
      <c r="F617" s="53"/>
      <c r="G617" s="53"/>
      <c r="H617" s="1"/>
      <c r="I617" s="1"/>
    </row>
    <row r="618" ht="14.25" customHeight="1">
      <c r="A618" s="52"/>
      <c r="B618" s="52"/>
      <c r="C618" s="53"/>
      <c r="D618" s="53"/>
      <c r="E618" s="53"/>
      <c r="F618" s="53"/>
      <c r="G618" s="53"/>
      <c r="H618" s="1"/>
      <c r="I618" s="1"/>
    </row>
    <row r="619" ht="14.25" customHeight="1">
      <c r="A619" s="52"/>
      <c r="B619" s="52"/>
      <c r="C619" s="53"/>
      <c r="D619" s="53"/>
      <c r="E619" s="53"/>
      <c r="F619" s="53"/>
      <c r="G619" s="53"/>
      <c r="H619" s="1"/>
      <c r="I619" s="1"/>
    </row>
    <row r="620" ht="14.25" customHeight="1">
      <c r="A620" s="52"/>
      <c r="B620" s="52"/>
      <c r="C620" s="53"/>
      <c r="D620" s="53"/>
      <c r="E620" s="53"/>
      <c r="F620" s="53"/>
      <c r="G620" s="53"/>
      <c r="H620" s="1"/>
      <c r="I620" s="1"/>
    </row>
    <row r="621" ht="14.25" customHeight="1">
      <c r="A621" s="52"/>
      <c r="B621" s="52"/>
      <c r="C621" s="53"/>
      <c r="D621" s="53"/>
      <c r="E621" s="53"/>
      <c r="F621" s="53"/>
      <c r="G621" s="53"/>
      <c r="H621" s="1"/>
      <c r="I621" s="1"/>
    </row>
    <row r="622" ht="14.25" customHeight="1">
      <c r="A622" s="52"/>
      <c r="B622" s="52"/>
      <c r="C622" s="53"/>
      <c r="D622" s="53"/>
      <c r="E622" s="53"/>
      <c r="F622" s="53"/>
      <c r="G622" s="53"/>
      <c r="H622" s="1"/>
      <c r="I622" s="1"/>
    </row>
    <row r="623" ht="14.25" customHeight="1">
      <c r="A623" s="52"/>
      <c r="B623" s="52"/>
      <c r="C623" s="53"/>
      <c r="D623" s="53"/>
      <c r="E623" s="53"/>
      <c r="F623" s="53"/>
      <c r="G623" s="53"/>
      <c r="H623" s="1"/>
      <c r="I623" s="1"/>
    </row>
    <row r="624" ht="14.25" customHeight="1">
      <c r="A624" s="52"/>
      <c r="B624" s="52"/>
      <c r="C624" s="53"/>
      <c r="D624" s="53"/>
      <c r="E624" s="53"/>
      <c r="F624" s="53"/>
      <c r="G624" s="53"/>
      <c r="H624" s="1"/>
      <c r="I624" s="1"/>
    </row>
    <row r="625" ht="14.25" customHeight="1">
      <c r="A625" s="52"/>
      <c r="B625" s="52"/>
      <c r="C625" s="53"/>
      <c r="D625" s="53"/>
      <c r="E625" s="53"/>
      <c r="F625" s="53"/>
      <c r="G625" s="53"/>
      <c r="H625" s="1"/>
      <c r="I625" s="1"/>
    </row>
    <row r="626" ht="14.25" customHeight="1">
      <c r="A626" s="52"/>
      <c r="B626" s="52"/>
      <c r="C626" s="53"/>
      <c r="D626" s="53"/>
      <c r="E626" s="53"/>
      <c r="F626" s="53"/>
      <c r="G626" s="53"/>
      <c r="H626" s="1"/>
      <c r="I626" s="1"/>
    </row>
    <row r="627" ht="14.25" customHeight="1">
      <c r="A627" s="52"/>
      <c r="B627" s="52"/>
      <c r="C627" s="53"/>
      <c r="D627" s="53"/>
      <c r="E627" s="53"/>
      <c r="F627" s="53"/>
      <c r="G627" s="53"/>
      <c r="H627" s="1"/>
      <c r="I627" s="1"/>
    </row>
    <row r="628" ht="14.25" customHeight="1">
      <c r="A628" s="52"/>
      <c r="B628" s="52"/>
      <c r="C628" s="53"/>
      <c r="D628" s="53"/>
      <c r="E628" s="53"/>
      <c r="F628" s="53"/>
      <c r="G628" s="53"/>
      <c r="H628" s="1"/>
      <c r="I628" s="1"/>
    </row>
    <row r="629" ht="14.25" customHeight="1">
      <c r="A629" s="52"/>
      <c r="B629" s="52"/>
      <c r="C629" s="53"/>
      <c r="D629" s="53"/>
      <c r="E629" s="53"/>
      <c r="F629" s="53"/>
      <c r="G629" s="53"/>
      <c r="H629" s="1"/>
      <c r="I629" s="1"/>
    </row>
    <row r="630" ht="14.25" customHeight="1">
      <c r="A630" s="52"/>
      <c r="B630" s="52"/>
      <c r="C630" s="53"/>
      <c r="D630" s="53"/>
      <c r="E630" s="53"/>
      <c r="F630" s="53"/>
      <c r="G630" s="53"/>
      <c r="H630" s="1"/>
      <c r="I630" s="1"/>
    </row>
    <row r="631" ht="14.25" customHeight="1">
      <c r="A631" s="52"/>
      <c r="B631" s="52"/>
      <c r="C631" s="53"/>
      <c r="D631" s="53"/>
      <c r="E631" s="53"/>
      <c r="F631" s="53"/>
      <c r="G631" s="53"/>
      <c r="H631" s="1"/>
      <c r="I631" s="1"/>
    </row>
    <row r="632" ht="14.25" customHeight="1">
      <c r="A632" s="52"/>
      <c r="B632" s="52"/>
      <c r="C632" s="53"/>
      <c r="D632" s="53"/>
      <c r="E632" s="53"/>
      <c r="F632" s="53"/>
      <c r="G632" s="53"/>
      <c r="H632" s="1"/>
      <c r="I632" s="1"/>
    </row>
    <row r="633" ht="14.25" customHeight="1">
      <c r="A633" s="52"/>
      <c r="B633" s="52"/>
      <c r="C633" s="53"/>
      <c r="D633" s="53"/>
      <c r="E633" s="53"/>
      <c r="F633" s="53"/>
      <c r="G633" s="53"/>
      <c r="H633" s="1"/>
      <c r="I633" s="1"/>
    </row>
    <row r="634" ht="14.25" customHeight="1">
      <c r="A634" s="52"/>
      <c r="B634" s="52"/>
      <c r="C634" s="53"/>
      <c r="D634" s="53"/>
      <c r="E634" s="53"/>
      <c r="F634" s="53"/>
      <c r="G634" s="53"/>
      <c r="H634" s="1"/>
      <c r="I634" s="1"/>
    </row>
    <row r="635" ht="14.25" customHeight="1">
      <c r="A635" s="52"/>
      <c r="B635" s="52"/>
      <c r="C635" s="53"/>
      <c r="D635" s="53"/>
      <c r="E635" s="53"/>
      <c r="F635" s="53"/>
      <c r="G635" s="53"/>
      <c r="H635" s="1"/>
      <c r="I635" s="1"/>
    </row>
    <row r="636" ht="14.25" customHeight="1">
      <c r="A636" s="52"/>
      <c r="B636" s="52"/>
      <c r="C636" s="53"/>
      <c r="D636" s="53"/>
      <c r="E636" s="53"/>
      <c r="F636" s="53"/>
      <c r="G636" s="53"/>
      <c r="H636" s="1"/>
      <c r="I636" s="1"/>
    </row>
    <row r="637" ht="14.25" customHeight="1">
      <c r="A637" s="52"/>
      <c r="B637" s="52"/>
      <c r="C637" s="53"/>
      <c r="D637" s="53"/>
      <c r="E637" s="53"/>
      <c r="F637" s="53"/>
      <c r="G637" s="53"/>
      <c r="H637" s="1"/>
      <c r="I637" s="1"/>
    </row>
    <row r="638" ht="14.25" customHeight="1">
      <c r="A638" s="52"/>
      <c r="B638" s="52"/>
      <c r="C638" s="53"/>
      <c r="D638" s="53"/>
      <c r="E638" s="53"/>
      <c r="F638" s="53"/>
      <c r="G638" s="53"/>
      <c r="H638" s="1"/>
      <c r="I638" s="1"/>
    </row>
    <row r="639" ht="14.25" customHeight="1">
      <c r="A639" s="52"/>
      <c r="B639" s="52"/>
      <c r="C639" s="53"/>
      <c r="D639" s="53"/>
      <c r="E639" s="53"/>
      <c r="F639" s="53"/>
      <c r="G639" s="53"/>
      <c r="H639" s="1"/>
      <c r="I639" s="1"/>
    </row>
    <row r="640" ht="14.25" customHeight="1">
      <c r="A640" s="52"/>
      <c r="B640" s="52"/>
      <c r="C640" s="53"/>
      <c r="D640" s="53"/>
      <c r="E640" s="53"/>
      <c r="F640" s="53"/>
      <c r="G640" s="53"/>
      <c r="H640" s="1"/>
      <c r="I640" s="1"/>
    </row>
    <row r="641" ht="14.25" customHeight="1">
      <c r="A641" s="52"/>
      <c r="B641" s="52"/>
      <c r="C641" s="53"/>
      <c r="D641" s="53"/>
      <c r="E641" s="53"/>
      <c r="F641" s="53"/>
      <c r="G641" s="53"/>
      <c r="H641" s="1"/>
      <c r="I641" s="1"/>
    </row>
    <row r="642" ht="14.25" customHeight="1">
      <c r="A642" s="52"/>
      <c r="B642" s="52"/>
      <c r="C642" s="53"/>
      <c r="D642" s="53"/>
      <c r="E642" s="53"/>
      <c r="F642" s="53"/>
      <c r="G642" s="53"/>
      <c r="H642" s="1"/>
      <c r="I642" s="1"/>
    </row>
    <row r="643" ht="14.25" customHeight="1">
      <c r="A643" s="52"/>
      <c r="B643" s="52"/>
      <c r="C643" s="53"/>
      <c r="D643" s="53"/>
      <c r="E643" s="53"/>
      <c r="F643" s="53"/>
      <c r="G643" s="53"/>
      <c r="H643" s="1"/>
      <c r="I643" s="1"/>
    </row>
    <row r="644" ht="14.25" customHeight="1">
      <c r="A644" s="52"/>
      <c r="B644" s="52"/>
      <c r="C644" s="53"/>
      <c r="D644" s="53"/>
      <c r="E644" s="53"/>
      <c r="F644" s="53"/>
      <c r="G644" s="53"/>
      <c r="H644" s="1"/>
      <c r="I644" s="1"/>
    </row>
    <row r="645" ht="14.25" customHeight="1">
      <c r="A645" s="52"/>
      <c r="B645" s="52"/>
      <c r="C645" s="53"/>
      <c r="D645" s="53"/>
      <c r="E645" s="53"/>
      <c r="F645" s="53"/>
      <c r="G645" s="53"/>
      <c r="H645" s="1"/>
      <c r="I645" s="1"/>
    </row>
    <row r="646" ht="14.25" customHeight="1">
      <c r="A646" s="52"/>
      <c r="B646" s="52"/>
      <c r="C646" s="53"/>
      <c r="D646" s="53"/>
      <c r="E646" s="53"/>
      <c r="F646" s="53"/>
      <c r="G646" s="53"/>
      <c r="H646" s="1"/>
      <c r="I646" s="1"/>
    </row>
    <row r="647" ht="14.25" customHeight="1">
      <c r="A647" s="52"/>
      <c r="B647" s="52"/>
      <c r="C647" s="53"/>
      <c r="D647" s="53"/>
      <c r="E647" s="53"/>
      <c r="F647" s="53"/>
      <c r="G647" s="53"/>
      <c r="H647" s="1"/>
      <c r="I647" s="1"/>
    </row>
    <row r="648" ht="14.25" customHeight="1">
      <c r="A648" s="52"/>
      <c r="B648" s="52"/>
      <c r="C648" s="53"/>
      <c r="D648" s="53"/>
      <c r="E648" s="53"/>
      <c r="F648" s="53"/>
      <c r="G648" s="53"/>
      <c r="H648" s="1"/>
      <c r="I648" s="1"/>
    </row>
    <row r="649" ht="14.25" customHeight="1">
      <c r="A649" s="52"/>
      <c r="B649" s="52"/>
      <c r="C649" s="53"/>
      <c r="D649" s="53"/>
      <c r="E649" s="53"/>
      <c r="F649" s="53"/>
      <c r="G649" s="53"/>
      <c r="H649" s="1"/>
      <c r="I649" s="1"/>
    </row>
    <row r="650" ht="14.25" customHeight="1">
      <c r="A650" s="52"/>
      <c r="B650" s="52"/>
      <c r="C650" s="53"/>
      <c r="D650" s="53"/>
      <c r="E650" s="53"/>
      <c r="F650" s="53"/>
      <c r="G650" s="53"/>
      <c r="H650" s="1"/>
      <c r="I650" s="1"/>
    </row>
    <row r="651" ht="14.25" customHeight="1">
      <c r="A651" s="52"/>
      <c r="B651" s="52"/>
      <c r="C651" s="53"/>
      <c r="D651" s="53"/>
      <c r="E651" s="53"/>
      <c r="F651" s="53"/>
      <c r="G651" s="53"/>
      <c r="H651" s="1"/>
      <c r="I651" s="1"/>
    </row>
    <row r="652" ht="14.25" customHeight="1">
      <c r="A652" s="52"/>
      <c r="B652" s="52"/>
      <c r="C652" s="53"/>
      <c r="D652" s="53"/>
      <c r="E652" s="53"/>
      <c r="F652" s="53"/>
      <c r="G652" s="53"/>
      <c r="H652" s="1"/>
      <c r="I652" s="1"/>
    </row>
    <row r="653" ht="14.25" customHeight="1">
      <c r="A653" s="52"/>
      <c r="B653" s="52"/>
      <c r="C653" s="53"/>
      <c r="D653" s="53"/>
      <c r="E653" s="53"/>
      <c r="F653" s="53"/>
      <c r="G653" s="53"/>
      <c r="H653" s="1"/>
      <c r="I653" s="1"/>
    </row>
    <row r="654" ht="14.25" customHeight="1">
      <c r="A654" s="52"/>
      <c r="B654" s="52"/>
      <c r="C654" s="53"/>
      <c r="D654" s="53"/>
      <c r="E654" s="53"/>
      <c r="F654" s="53"/>
      <c r="G654" s="53"/>
      <c r="H654" s="1"/>
      <c r="I654" s="1"/>
    </row>
    <row r="655" ht="14.25" customHeight="1">
      <c r="A655" s="52"/>
      <c r="B655" s="52"/>
      <c r="C655" s="53"/>
      <c r="D655" s="53"/>
      <c r="E655" s="53"/>
      <c r="F655" s="53"/>
      <c r="G655" s="53"/>
      <c r="H655" s="1"/>
      <c r="I655" s="1"/>
    </row>
    <row r="656" ht="14.25" customHeight="1">
      <c r="A656" s="52"/>
      <c r="B656" s="52"/>
      <c r="C656" s="53"/>
      <c r="D656" s="53"/>
      <c r="E656" s="53"/>
      <c r="F656" s="53"/>
      <c r="G656" s="53"/>
      <c r="H656" s="1"/>
      <c r="I656" s="1"/>
    </row>
    <row r="657" ht="14.25" customHeight="1">
      <c r="A657" s="52"/>
      <c r="B657" s="52"/>
      <c r="C657" s="53"/>
      <c r="D657" s="53"/>
      <c r="E657" s="53"/>
      <c r="F657" s="53"/>
      <c r="G657" s="53"/>
      <c r="H657" s="1"/>
      <c r="I657" s="1"/>
    </row>
    <row r="658" ht="14.25" customHeight="1">
      <c r="A658" s="52"/>
      <c r="B658" s="52"/>
      <c r="C658" s="53"/>
      <c r="D658" s="53"/>
      <c r="E658" s="53"/>
      <c r="F658" s="53"/>
      <c r="G658" s="53"/>
      <c r="H658" s="1"/>
      <c r="I658" s="1"/>
    </row>
    <row r="659" ht="14.25" customHeight="1">
      <c r="A659" s="52"/>
      <c r="B659" s="52"/>
      <c r="C659" s="53"/>
      <c r="D659" s="53"/>
      <c r="E659" s="53"/>
      <c r="F659" s="53"/>
      <c r="G659" s="53"/>
      <c r="H659" s="1"/>
      <c r="I659" s="1"/>
    </row>
    <row r="660" ht="14.25" customHeight="1">
      <c r="A660" s="52"/>
      <c r="B660" s="52"/>
      <c r="C660" s="53"/>
      <c r="D660" s="53"/>
      <c r="E660" s="53"/>
      <c r="F660" s="53"/>
      <c r="G660" s="53"/>
      <c r="H660" s="1"/>
      <c r="I660" s="1"/>
    </row>
    <row r="661" ht="14.25" customHeight="1">
      <c r="A661" s="52"/>
      <c r="B661" s="52"/>
      <c r="C661" s="53"/>
      <c r="D661" s="53"/>
      <c r="E661" s="53"/>
      <c r="F661" s="53"/>
      <c r="G661" s="53"/>
      <c r="H661" s="1"/>
      <c r="I661" s="1"/>
    </row>
    <row r="662" ht="14.25" customHeight="1">
      <c r="A662" s="52"/>
      <c r="B662" s="52"/>
      <c r="C662" s="53"/>
      <c r="D662" s="53"/>
      <c r="E662" s="53"/>
      <c r="F662" s="53"/>
      <c r="G662" s="53"/>
      <c r="H662" s="1"/>
      <c r="I662" s="1"/>
    </row>
    <row r="663" ht="14.25" customHeight="1">
      <c r="A663" s="52"/>
      <c r="B663" s="52"/>
      <c r="C663" s="53"/>
      <c r="D663" s="53"/>
      <c r="E663" s="53"/>
      <c r="F663" s="53"/>
      <c r="G663" s="53"/>
      <c r="H663" s="1"/>
      <c r="I663" s="1"/>
    </row>
    <row r="664" ht="14.25" customHeight="1">
      <c r="A664" s="52"/>
      <c r="B664" s="52"/>
      <c r="C664" s="53"/>
      <c r="D664" s="53"/>
      <c r="E664" s="53"/>
      <c r="F664" s="53"/>
      <c r="G664" s="53"/>
      <c r="H664" s="1"/>
      <c r="I664" s="1"/>
    </row>
    <row r="665" ht="14.25" customHeight="1">
      <c r="A665" s="52"/>
      <c r="B665" s="52"/>
      <c r="C665" s="53"/>
      <c r="D665" s="53"/>
      <c r="E665" s="53"/>
      <c r="F665" s="53"/>
      <c r="G665" s="53"/>
      <c r="H665" s="1"/>
      <c r="I665" s="1"/>
    </row>
    <row r="666" ht="14.25" customHeight="1">
      <c r="A666" s="52"/>
      <c r="B666" s="52"/>
      <c r="C666" s="53"/>
      <c r="D666" s="53"/>
      <c r="E666" s="53"/>
      <c r="F666" s="53"/>
      <c r="G666" s="53"/>
      <c r="H666" s="1"/>
      <c r="I666" s="1"/>
    </row>
    <row r="667" ht="14.25" customHeight="1">
      <c r="A667" s="52"/>
      <c r="B667" s="52"/>
      <c r="C667" s="53"/>
      <c r="D667" s="53"/>
      <c r="E667" s="53"/>
      <c r="F667" s="53"/>
      <c r="G667" s="53"/>
      <c r="H667" s="1"/>
      <c r="I667" s="1"/>
    </row>
    <row r="668" ht="14.25" customHeight="1">
      <c r="A668" s="52"/>
      <c r="B668" s="52"/>
      <c r="C668" s="53"/>
      <c r="D668" s="53"/>
      <c r="E668" s="53"/>
      <c r="F668" s="53"/>
      <c r="G668" s="53"/>
      <c r="H668" s="1"/>
      <c r="I668" s="1"/>
    </row>
    <row r="669" ht="14.25" customHeight="1">
      <c r="A669" s="52"/>
      <c r="B669" s="52"/>
      <c r="C669" s="53"/>
      <c r="D669" s="53"/>
      <c r="E669" s="53"/>
      <c r="F669" s="53"/>
      <c r="G669" s="53"/>
      <c r="H669" s="1"/>
      <c r="I669" s="1"/>
    </row>
    <row r="670" ht="14.25" customHeight="1">
      <c r="A670" s="52"/>
      <c r="B670" s="52"/>
      <c r="C670" s="53"/>
      <c r="D670" s="53"/>
      <c r="E670" s="53"/>
      <c r="F670" s="53"/>
      <c r="G670" s="53"/>
      <c r="H670" s="1"/>
      <c r="I670" s="1"/>
    </row>
    <row r="671" ht="14.25" customHeight="1">
      <c r="A671" s="52"/>
      <c r="B671" s="52"/>
      <c r="C671" s="53"/>
      <c r="D671" s="53"/>
      <c r="E671" s="53"/>
      <c r="F671" s="53"/>
      <c r="G671" s="53"/>
      <c r="H671" s="1"/>
      <c r="I671" s="1"/>
    </row>
    <row r="672" ht="14.25" customHeight="1">
      <c r="A672" s="52"/>
      <c r="B672" s="52"/>
      <c r="C672" s="53"/>
      <c r="D672" s="53"/>
      <c r="E672" s="53"/>
      <c r="F672" s="53"/>
      <c r="G672" s="53"/>
      <c r="H672" s="1"/>
      <c r="I672" s="1"/>
    </row>
    <row r="673" ht="14.25" customHeight="1">
      <c r="A673" s="52"/>
      <c r="B673" s="52"/>
      <c r="C673" s="53"/>
      <c r="D673" s="53"/>
      <c r="E673" s="53"/>
      <c r="F673" s="53"/>
      <c r="G673" s="53"/>
      <c r="H673" s="1"/>
      <c r="I673" s="1"/>
    </row>
    <row r="674" ht="14.25" customHeight="1">
      <c r="A674" s="52"/>
      <c r="B674" s="52"/>
      <c r="C674" s="53"/>
      <c r="D674" s="53"/>
      <c r="E674" s="53"/>
      <c r="F674" s="53"/>
      <c r="G674" s="53"/>
      <c r="H674" s="1"/>
      <c r="I674" s="1"/>
    </row>
    <row r="675" ht="14.25" customHeight="1">
      <c r="A675" s="52"/>
      <c r="B675" s="52"/>
      <c r="C675" s="53"/>
      <c r="D675" s="53"/>
      <c r="E675" s="53"/>
      <c r="F675" s="53"/>
      <c r="G675" s="53"/>
      <c r="H675" s="1"/>
      <c r="I675" s="1"/>
    </row>
    <row r="676" ht="14.25" customHeight="1">
      <c r="A676" s="52"/>
      <c r="B676" s="52"/>
      <c r="C676" s="53"/>
      <c r="D676" s="53"/>
      <c r="E676" s="53"/>
      <c r="F676" s="53"/>
      <c r="G676" s="53"/>
      <c r="H676" s="1"/>
      <c r="I676" s="1"/>
    </row>
    <row r="677" ht="14.25" customHeight="1">
      <c r="A677" s="52"/>
      <c r="B677" s="52"/>
      <c r="C677" s="53"/>
      <c r="D677" s="53"/>
      <c r="E677" s="53"/>
      <c r="F677" s="53"/>
      <c r="G677" s="53"/>
      <c r="H677" s="1"/>
      <c r="I677" s="1"/>
    </row>
    <row r="678" ht="14.25" customHeight="1">
      <c r="A678" s="52"/>
      <c r="B678" s="52"/>
      <c r="C678" s="53"/>
      <c r="D678" s="53"/>
      <c r="E678" s="53"/>
      <c r="F678" s="53"/>
      <c r="G678" s="53"/>
      <c r="H678" s="1"/>
      <c r="I678" s="1"/>
    </row>
    <row r="679" ht="14.25" customHeight="1">
      <c r="A679" s="52"/>
      <c r="B679" s="52"/>
      <c r="C679" s="53"/>
      <c r="D679" s="53"/>
      <c r="E679" s="53"/>
      <c r="F679" s="53"/>
      <c r="G679" s="53"/>
      <c r="H679" s="1"/>
      <c r="I679" s="1"/>
    </row>
    <row r="680" ht="14.25" customHeight="1">
      <c r="A680" s="52"/>
      <c r="B680" s="52"/>
      <c r="C680" s="53"/>
      <c r="D680" s="53"/>
      <c r="E680" s="53"/>
      <c r="F680" s="53"/>
      <c r="G680" s="53"/>
      <c r="H680" s="1"/>
      <c r="I680" s="1"/>
    </row>
    <row r="681" ht="14.25" customHeight="1">
      <c r="A681" s="52"/>
      <c r="B681" s="52"/>
      <c r="C681" s="53"/>
      <c r="D681" s="53"/>
      <c r="E681" s="53"/>
      <c r="F681" s="53"/>
      <c r="G681" s="53"/>
      <c r="H681" s="1"/>
      <c r="I681" s="1"/>
    </row>
    <row r="682" ht="14.25" customHeight="1">
      <c r="A682" s="52"/>
      <c r="B682" s="52"/>
      <c r="C682" s="53"/>
      <c r="D682" s="53"/>
      <c r="E682" s="53"/>
      <c r="F682" s="53"/>
      <c r="G682" s="53"/>
      <c r="H682" s="1"/>
      <c r="I682" s="1"/>
    </row>
    <row r="683" ht="14.25" customHeight="1">
      <c r="A683" s="52"/>
      <c r="B683" s="52"/>
      <c r="C683" s="53"/>
      <c r="D683" s="53"/>
      <c r="E683" s="53"/>
      <c r="F683" s="53"/>
      <c r="G683" s="53"/>
      <c r="H683" s="1"/>
      <c r="I683" s="1"/>
    </row>
    <row r="684" ht="14.25" customHeight="1">
      <c r="A684" s="52"/>
      <c r="B684" s="52"/>
      <c r="C684" s="53"/>
      <c r="D684" s="53"/>
      <c r="E684" s="53"/>
      <c r="F684" s="53"/>
      <c r="G684" s="53"/>
      <c r="H684" s="1"/>
      <c r="I684" s="1"/>
    </row>
    <row r="685" ht="14.25" customHeight="1">
      <c r="A685" s="52"/>
      <c r="B685" s="52"/>
      <c r="C685" s="53"/>
      <c r="D685" s="53"/>
      <c r="E685" s="53"/>
      <c r="F685" s="53"/>
      <c r="G685" s="53"/>
      <c r="H685" s="1"/>
      <c r="I685" s="1"/>
    </row>
    <row r="686" ht="14.25" customHeight="1">
      <c r="A686" s="52"/>
      <c r="B686" s="52"/>
      <c r="C686" s="53"/>
      <c r="D686" s="53"/>
      <c r="E686" s="53"/>
      <c r="F686" s="53"/>
      <c r="G686" s="53"/>
      <c r="H686" s="1"/>
      <c r="I686" s="1"/>
    </row>
    <row r="687" ht="14.25" customHeight="1">
      <c r="A687" s="52"/>
      <c r="B687" s="52"/>
      <c r="C687" s="53"/>
      <c r="D687" s="53"/>
      <c r="E687" s="53"/>
      <c r="F687" s="53"/>
      <c r="G687" s="53"/>
      <c r="H687" s="1"/>
      <c r="I687" s="1"/>
    </row>
    <row r="688" ht="14.25" customHeight="1">
      <c r="A688" s="52"/>
      <c r="B688" s="52"/>
      <c r="C688" s="53"/>
      <c r="D688" s="53"/>
      <c r="E688" s="53"/>
      <c r="F688" s="53"/>
      <c r="G688" s="53"/>
      <c r="H688" s="1"/>
      <c r="I688" s="1"/>
    </row>
    <row r="689" ht="14.25" customHeight="1">
      <c r="A689" s="52"/>
      <c r="B689" s="52"/>
      <c r="C689" s="53"/>
      <c r="D689" s="53"/>
      <c r="E689" s="53"/>
      <c r="F689" s="53"/>
      <c r="G689" s="53"/>
      <c r="H689" s="1"/>
      <c r="I689" s="1"/>
    </row>
    <row r="690" ht="14.25" customHeight="1">
      <c r="A690" s="52"/>
      <c r="B690" s="52"/>
      <c r="C690" s="53"/>
      <c r="D690" s="53"/>
      <c r="E690" s="53"/>
      <c r="F690" s="53"/>
      <c r="G690" s="53"/>
      <c r="H690" s="1"/>
      <c r="I690" s="1"/>
    </row>
    <row r="691" ht="14.25" customHeight="1">
      <c r="A691" s="52"/>
      <c r="B691" s="52"/>
      <c r="C691" s="53"/>
      <c r="D691" s="53"/>
      <c r="E691" s="53"/>
      <c r="F691" s="53"/>
      <c r="G691" s="53"/>
      <c r="H691" s="1"/>
      <c r="I691" s="1"/>
    </row>
    <row r="692" ht="14.25" customHeight="1">
      <c r="A692" s="52"/>
      <c r="B692" s="52"/>
      <c r="C692" s="53"/>
      <c r="D692" s="53"/>
      <c r="E692" s="53"/>
      <c r="F692" s="53"/>
      <c r="G692" s="53"/>
      <c r="H692" s="1"/>
      <c r="I692" s="1"/>
    </row>
    <row r="693" ht="14.25" customHeight="1">
      <c r="A693" s="52"/>
      <c r="B693" s="52"/>
      <c r="C693" s="53"/>
      <c r="D693" s="53"/>
      <c r="E693" s="53"/>
      <c r="F693" s="53"/>
      <c r="G693" s="53"/>
      <c r="H693" s="1"/>
      <c r="I693" s="1"/>
    </row>
    <row r="694" ht="14.25" customHeight="1">
      <c r="A694" s="52"/>
      <c r="B694" s="52"/>
      <c r="C694" s="53"/>
      <c r="D694" s="53"/>
      <c r="E694" s="53"/>
      <c r="F694" s="53"/>
      <c r="G694" s="53"/>
      <c r="H694" s="1"/>
      <c r="I694" s="1"/>
    </row>
    <row r="695" ht="14.25" customHeight="1">
      <c r="A695" s="52"/>
      <c r="B695" s="52"/>
      <c r="C695" s="53"/>
      <c r="D695" s="53"/>
      <c r="E695" s="53"/>
      <c r="F695" s="53"/>
      <c r="G695" s="53"/>
      <c r="H695" s="1"/>
      <c r="I695" s="1"/>
    </row>
    <row r="696" ht="14.25" customHeight="1">
      <c r="A696" s="52"/>
      <c r="B696" s="52"/>
      <c r="C696" s="53"/>
      <c r="D696" s="53"/>
      <c r="E696" s="53"/>
      <c r="F696" s="53"/>
      <c r="G696" s="53"/>
      <c r="H696" s="1"/>
      <c r="I696" s="1"/>
    </row>
    <row r="697" ht="14.25" customHeight="1">
      <c r="A697" s="52"/>
      <c r="B697" s="52"/>
      <c r="C697" s="53"/>
      <c r="D697" s="53"/>
      <c r="E697" s="53"/>
      <c r="F697" s="53"/>
      <c r="G697" s="53"/>
      <c r="H697" s="1"/>
      <c r="I697" s="1"/>
    </row>
    <row r="698" ht="14.25" customHeight="1">
      <c r="A698" s="52"/>
      <c r="B698" s="52"/>
      <c r="C698" s="53"/>
      <c r="D698" s="53"/>
      <c r="E698" s="53"/>
      <c r="F698" s="53"/>
      <c r="G698" s="53"/>
      <c r="H698" s="1"/>
      <c r="I698" s="1"/>
    </row>
    <row r="699" ht="14.25" customHeight="1">
      <c r="A699" s="52"/>
      <c r="B699" s="52"/>
      <c r="C699" s="53"/>
      <c r="D699" s="53"/>
      <c r="E699" s="53"/>
      <c r="F699" s="53"/>
      <c r="G699" s="53"/>
      <c r="H699" s="1"/>
      <c r="I699" s="1"/>
    </row>
    <row r="700" ht="14.25" customHeight="1">
      <c r="A700" s="52"/>
      <c r="B700" s="52"/>
      <c r="C700" s="53"/>
      <c r="D700" s="53"/>
      <c r="E700" s="53"/>
      <c r="F700" s="53"/>
      <c r="G700" s="53"/>
      <c r="H700" s="1"/>
      <c r="I700" s="1"/>
    </row>
    <row r="701" ht="14.25" customHeight="1">
      <c r="A701" s="52"/>
      <c r="B701" s="52"/>
      <c r="C701" s="53"/>
      <c r="D701" s="53"/>
      <c r="E701" s="53"/>
      <c r="F701" s="53"/>
      <c r="G701" s="53"/>
      <c r="H701" s="1"/>
      <c r="I701" s="1"/>
    </row>
    <row r="702" ht="14.25" customHeight="1">
      <c r="A702" s="52"/>
      <c r="B702" s="52"/>
      <c r="C702" s="53"/>
      <c r="D702" s="53"/>
      <c r="E702" s="53"/>
      <c r="F702" s="53"/>
      <c r="G702" s="53"/>
      <c r="H702" s="1"/>
      <c r="I702" s="1"/>
    </row>
    <row r="703" ht="14.25" customHeight="1">
      <c r="A703" s="52"/>
      <c r="B703" s="52"/>
      <c r="C703" s="53"/>
      <c r="D703" s="53"/>
      <c r="E703" s="53"/>
      <c r="F703" s="53"/>
      <c r="G703" s="53"/>
      <c r="H703" s="1"/>
      <c r="I703" s="1"/>
    </row>
    <row r="704" ht="14.25" customHeight="1">
      <c r="A704" s="52"/>
      <c r="B704" s="52"/>
      <c r="C704" s="53"/>
      <c r="D704" s="53"/>
      <c r="E704" s="53"/>
      <c r="F704" s="53"/>
      <c r="G704" s="53"/>
      <c r="H704" s="1"/>
      <c r="I704" s="1"/>
    </row>
    <row r="705" ht="14.25" customHeight="1">
      <c r="A705" s="52"/>
      <c r="B705" s="52"/>
      <c r="C705" s="53"/>
      <c r="D705" s="53"/>
      <c r="E705" s="53"/>
      <c r="F705" s="53"/>
      <c r="G705" s="53"/>
      <c r="H705" s="1"/>
      <c r="I705" s="1"/>
    </row>
    <row r="706" ht="14.25" customHeight="1">
      <c r="A706" s="52"/>
      <c r="B706" s="52"/>
      <c r="C706" s="53"/>
      <c r="D706" s="53"/>
      <c r="E706" s="53"/>
      <c r="F706" s="53"/>
      <c r="G706" s="53"/>
      <c r="H706" s="1"/>
      <c r="I706" s="1"/>
    </row>
    <row r="707" ht="14.25" customHeight="1">
      <c r="A707" s="52"/>
      <c r="B707" s="52"/>
      <c r="C707" s="53"/>
      <c r="D707" s="53"/>
      <c r="E707" s="53"/>
      <c r="F707" s="53"/>
      <c r="G707" s="53"/>
      <c r="H707" s="1"/>
      <c r="I707" s="1"/>
    </row>
    <row r="708" ht="14.25" customHeight="1">
      <c r="A708" s="52"/>
      <c r="B708" s="52"/>
      <c r="C708" s="53"/>
      <c r="D708" s="53"/>
      <c r="E708" s="53"/>
      <c r="F708" s="53"/>
      <c r="G708" s="53"/>
      <c r="H708" s="1"/>
      <c r="I708" s="1"/>
    </row>
    <row r="709" ht="14.25" customHeight="1">
      <c r="A709" s="52"/>
      <c r="B709" s="52"/>
      <c r="C709" s="53"/>
      <c r="D709" s="53"/>
      <c r="E709" s="53"/>
      <c r="F709" s="53"/>
      <c r="G709" s="53"/>
      <c r="H709" s="1"/>
      <c r="I709" s="1"/>
    </row>
    <row r="710" ht="14.25" customHeight="1">
      <c r="A710" s="52"/>
      <c r="B710" s="52"/>
      <c r="C710" s="53"/>
      <c r="D710" s="53"/>
      <c r="E710" s="53"/>
      <c r="F710" s="53"/>
      <c r="G710" s="53"/>
      <c r="H710" s="1"/>
      <c r="I710" s="1"/>
    </row>
    <row r="711" ht="14.25" customHeight="1">
      <c r="A711" s="52"/>
      <c r="B711" s="52"/>
      <c r="C711" s="53"/>
      <c r="D711" s="53"/>
      <c r="E711" s="53"/>
      <c r="F711" s="53"/>
      <c r="G711" s="53"/>
      <c r="H711" s="1"/>
      <c r="I711" s="1"/>
    </row>
    <row r="712" ht="14.25" customHeight="1">
      <c r="A712" s="52"/>
      <c r="B712" s="52"/>
      <c r="C712" s="53"/>
      <c r="D712" s="53"/>
      <c r="E712" s="53"/>
      <c r="F712" s="53"/>
      <c r="G712" s="53"/>
      <c r="H712" s="1"/>
      <c r="I712" s="1"/>
    </row>
    <row r="713" ht="14.25" customHeight="1">
      <c r="A713" s="52"/>
      <c r="B713" s="52"/>
      <c r="C713" s="53"/>
      <c r="D713" s="53"/>
      <c r="E713" s="53"/>
      <c r="F713" s="53"/>
      <c r="G713" s="53"/>
      <c r="H713" s="1"/>
      <c r="I713" s="1"/>
    </row>
    <row r="714" ht="14.25" customHeight="1">
      <c r="A714" s="52"/>
      <c r="B714" s="52"/>
      <c r="C714" s="53"/>
      <c r="D714" s="53"/>
      <c r="E714" s="53"/>
      <c r="F714" s="53"/>
      <c r="G714" s="53"/>
      <c r="H714" s="1"/>
      <c r="I714" s="1"/>
    </row>
    <row r="715" ht="14.25" customHeight="1">
      <c r="A715" s="52"/>
      <c r="B715" s="52"/>
      <c r="C715" s="53"/>
      <c r="D715" s="53"/>
      <c r="E715" s="53"/>
      <c r="F715" s="53"/>
      <c r="G715" s="53"/>
      <c r="H715" s="1"/>
      <c r="I715" s="1"/>
    </row>
    <row r="716" ht="14.25" customHeight="1">
      <c r="A716" s="52"/>
      <c r="B716" s="52"/>
      <c r="C716" s="53"/>
      <c r="D716" s="53"/>
      <c r="E716" s="53"/>
      <c r="F716" s="53"/>
      <c r="G716" s="53"/>
      <c r="H716" s="1"/>
      <c r="I716" s="1"/>
    </row>
    <row r="717" ht="14.25" customHeight="1">
      <c r="A717" s="52"/>
      <c r="B717" s="52"/>
      <c r="C717" s="53"/>
      <c r="D717" s="53"/>
      <c r="E717" s="53"/>
      <c r="F717" s="53"/>
      <c r="G717" s="53"/>
      <c r="H717" s="1"/>
      <c r="I717" s="1"/>
    </row>
    <row r="718" ht="14.25" customHeight="1">
      <c r="A718" s="52"/>
      <c r="B718" s="52"/>
      <c r="C718" s="53"/>
      <c r="D718" s="53"/>
      <c r="E718" s="53"/>
      <c r="F718" s="53"/>
      <c r="G718" s="53"/>
      <c r="H718" s="1"/>
      <c r="I718" s="1"/>
    </row>
    <row r="719" ht="14.25" customHeight="1">
      <c r="A719" s="52"/>
      <c r="B719" s="52"/>
      <c r="C719" s="53"/>
      <c r="D719" s="53"/>
      <c r="E719" s="53"/>
      <c r="F719" s="53"/>
      <c r="G719" s="53"/>
      <c r="H719" s="1"/>
      <c r="I719" s="1"/>
    </row>
    <row r="720" ht="14.25" customHeight="1">
      <c r="A720" s="52"/>
      <c r="B720" s="52"/>
      <c r="C720" s="53"/>
      <c r="D720" s="53"/>
      <c r="E720" s="53"/>
      <c r="F720" s="53"/>
      <c r="G720" s="53"/>
      <c r="H720" s="1"/>
      <c r="I720" s="1"/>
    </row>
    <row r="721" ht="14.25" customHeight="1">
      <c r="A721" s="52"/>
      <c r="B721" s="52"/>
      <c r="C721" s="53"/>
      <c r="D721" s="53"/>
      <c r="E721" s="53"/>
      <c r="F721" s="53"/>
      <c r="G721" s="53"/>
      <c r="H721" s="1"/>
      <c r="I721" s="1"/>
    </row>
    <row r="722" ht="14.25" customHeight="1">
      <c r="A722" s="52"/>
      <c r="B722" s="52"/>
      <c r="C722" s="53"/>
      <c r="D722" s="53"/>
      <c r="E722" s="53"/>
      <c r="F722" s="53"/>
      <c r="G722" s="53"/>
      <c r="H722" s="1"/>
      <c r="I722" s="1"/>
    </row>
    <row r="723" ht="14.25" customHeight="1">
      <c r="A723" s="52"/>
      <c r="B723" s="52"/>
      <c r="C723" s="53"/>
      <c r="D723" s="53"/>
      <c r="E723" s="53"/>
      <c r="F723" s="53"/>
      <c r="G723" s="53"/>
      <c r="H723" s="1"/>
      <c r="I723" s="1"/>
    </row>
    <row r="724" ht="14.25" customHeight="1">
      <c r="A724" s="52"/>
      <c r="B724" s="52"/>
      <c r="C724" s="53"/>
      <c r="D724" s="53"/>
      <c r="E724" s="53"/>
      <c r="F724" s="53"/>
      <c r="G724" s="53"/>
      <c r="H724" s="1"/>
      <c r="I724" s="1"/>
    </row>
    <row r="725" ht="14.25" customHeight="1">
      <c r="A725" s="52"/>
      <c r="B725" s="52"/>
      <c r="C725" s="53"/>
      <c r="D725" s="53"/>
      <c r="E725" s="53"/>
      <c r="F725" s="53"/>
      <c r="G725" s="53"/>
      <c r="H725" s="1"/>
      <c r="I725" s="1"/>
    </row>
    <row r="726" ht="14.25" customHeight="1">
      <c r="A726" s="52"/>
      <c r="B726" s="52"/>
      <c r="C726" s="53"/>
      <c r="D726" s="53"/>
      <c r="E726" s="53"/>
      <c r="F726" s="53"/>
      <c r="G726" s="53"/>
      <c r="H726" s="1"/>
      <c r="I726" s="1"/>
    </row>
    <row r="727" ht="14.25" customHeight="1">
      <c r="A727" s="52"/>
      <c r="B727" s="52"/>
      <c r="C727" s="53"/>
      <c r="D727" s="53"/>
      <c r="E727" s="53"/>
      <c r="F727" s="53"/>
      <c r="G727" s="53"/>
      <c r="H727" s="1"/>
      <c r="I727" s="1"/>
    </row>
    <row r="728" ht="14.25" customHeight="1">
      <c r="A728" s="52"/>
      <c r="B728" s="52"/>
      <c r="C728" s="53"/>
      <c r="D728" s="53"/>
      <c r="E728" s="53"/>
      <c r="F728" s="53"/>
      <c r="G728" s="53"/>
      <c r="H728" s="1"/>
      <c r="I728" s="1"/>
    </row>
    <row r="729" ht="14.25" customHeight="1">
      <c r="A729" s="52"/>
      <c r="B729" s="52"/>
      <c r="C729" s="53"/>
      <c r="D729" s="53"/>
      <c r="E729" s="53"/>
      <c r="F729" s="53"/>
      <c r="G729" s="53"/>
      <c r="H729" s="1"/>
      <c r="I729" s="1"/>
    </row>
    <row r="730" ht="14.25" customHeight="1">
      <c r="A730" s="52"/>
      <c r="B730" s="52"/>
      <c r="C730" s="53"/>
      <c r="D730" s="53"/>
      <c r="E730" s="53"/>
      <c r="F730" s="53"/>
      <c r="G730" s="53"/>
      <c r="H730" s="1"/>
      <c r="I730" s="1"/>
    </row>
    <row r="731" ht="14.25" customHeight="1">
      <c r="A731" s="52"/>
      <c r="B731" s="52"/>
      <c r="C731" s="53"/>
      <c r="D731" s="53"/>
      <c r="E731" s="53"/>
      <c r="F731" s="53"/>
      <c r="G731" s="53"/>
      <c r="H731" s="1"/>
      <c r="I731" s="1"/>
    </row>
    <row r="732" ht="14.25" customHeight="1">
      <c r="A732" s="52"/>
      <c r="B732" s="52"/>
      <c r="C732" s="53"/>
      <c r="D732" s="53"/>
      <c r="E732" s="53"/>
      <c r="F732" s="53"/>
      <c r="G732" s="53"/>
      <c r="H732" s="1"/>
      <c r="I732" s="1"/>
    </row>
    <row r="733" ht="14.25" customHeight="1">
      <c r="A733" s="52"/>
      <c r="B733" s="52"/>
      <c r="C733" s="53"/>
      <c r="D733" s="53"/>
      <c r="E733" s="53"/>
      <c r="F733" s="53"/>
      <c r="G733" s="53"/>
      <c r="H733" s="1"/>
      <c r="I733" s="1"/>
    </row>
    <row r="734" ht="14.25" customHeight="1">
      <c r="A734" s="52"/>
      <c r="B734" s="52"/>
      <c r="C734" s="53"/>
      <c r="D734" s="53"/>
      <c r="E734" s="53"/>
      <c r="F734" s="53"/>
      <c r="G734" s="53"/>
      <c r="H734" s="1"/>
      <c r="I734" s="1"/>
    </row>
    <row r="735" ht="14.25" customHeight="1">
      <c r="A735" s="52"/>
      <c r="B735" s="52"/>
      <c r="C735" s="53"/>
      <c r="D735" s="53"/>
      <c r="E735" s="53"/>
      <c r="F735" s="53"/>
      <c r="G735" s="53"/>
      <c r="H735" s="1"/>
      <c r="I735" s="1"/>
    </row>
    <row r="736" ht="14.25" customHeight="1">
      <c r="A736" s="52"/>
      <c r="B736" s="52"/>
      <c r="C736" s="53"/>
      <c r="D736" s="53"/>
      <c r="E736" s="53"/>
      <c r="F736" s="53"/>
      <c r="G736" s="53"/>
      <c r="H736" s="1"/>
      <c r="I736" s="1"/>
    </row>
    <row r="737" ht="14.25" customHeight="1">
      <c r="A737" s="52"/>
      <c r="B737" s="52"/>
      <c r="C737" s="53"/>
      <c r="D737" s="53"/>
      <c r="E737" s="53"/>
      <c r="F737" s="53"/>
      <c r="G737" s="53"/>
      <c r="H737" s="1"/>
      <c r="I737" s="1"/>
    </row>
    <row r="738" ht="14.25" customHeight="1">
      <c r="A738" s="52"/>
      <c r="B738" s="52"/>
      <c r="C738" s="53"/>
      <c r="D738" s="53"/>
      <c r="E738" s="53"/>
      <c r="F738" s="53"/>
      <c r="G738" s="53"/>
      <c r="H738" s="1"/>
      <c r="I738" s="1"/>
    </row>
    <row r="739" ht="14.25" customHeight="1">
      <c r="A739" s="52"/>
      <c r="B739" s="52"/>
      <c r="C739" s="53"/>
      <c r="D739" s="53"/>
      <c r="E739" s="53"/>
      <c r="F739" s="53"/>
      <c r="G739" s="53"/>
      <c r="H739" s="1"/>
      <c r="I739" s="1"/>
    </row>
    <row r="740" ht="14.25" customHeight="1">
      <c r="A740" s="52"/>
      <c r="B740" s="52"/>
      <c r="C740" s="53"/>
      <c r="D740" s="53"/>
      <c r="E740" s="53"/>
      <c r="F740" s="53"/>
      <c r="G740" s="53"/>
      <c r="H740" s="1"/>
      <c r="I740" s="1"/>
    </row>
    <row r="741" ht="14.25" customHeight="1">
      <c r="A741" s="52"/>
      <c r="B741" s="52"/>
      <c r="C741" s="53"/>
      <c r="D741" s="53"/>
      <c r="E741" s="53"/>
      <c r="F741" s="53"/>
      <c r="G741" s="53"/>
      <c r="H741" s="1"/>
      <c r="I741" s="1"/>
    </row>
    <row r="742" ht="14.25" customHeight="1">
      <c r="A742" s="52"/>
      <c r="B742" s="52"/>
      <c r="C742" s="53"/>
      <c r="D742" s="53"/>
      <c r="E742" s="53"/>
      <c r="F742" s="53"/>
      <c r="G742" s="53"/>
      <c r="H742" s="1"/>
      <c r="I742" s="1"/>
    </row>
    <row r="743" ht="14.25" customHeight="1">
      <c r="A743" s="52"/>
      <c r="B743" s="52"/>
      <c r="C743" s="53"/>
      <c r="D743" s="53"/>
      <c r="E743" s="53"/>
      <c r="F743" s="53"/>
      <c r="G743" s="53"/>
      <c r="H743" s="1"/>
      <c r="I743" s="1"/>
    </row>
    <row r="744" ht="14.25" customHeight="1">
      <c r="A744" s="52"/>
      <c r="B744" s="52"/>
      <c r="C744" s="53"/>
      <c r="D744" s="53"/>
      <c r="E744" s="53"/>
      <c r="F744" s="53"/>
      <c r="G744" s="53"/>
      <c r="H744" s="1"/>
      <c r="I744" s="1"/>
    </row>
    <row r="745" ht="14.25" customHeight="1">
      <c r="A745" s="52"/>
      <c r="B745" s="52"/>
      <c r="C745" s="53"/>
      <c r="D745" s="53"/>
      <c r="E745" s="53"/>
      <c r="F745" s="53"/>
      <c r="G745" s="53"/>
      <c r="H745" s="1"/>
      <c r="I745" s="1"/>
    </row>
    <row r="746" ht="14.25" customHeight="1">
      <c r="A746" s="52"/>
      <c r="B746" s="52"/>
      <c r="C746" s="53"/>
      <c r="D746" s="53"/>
      <c r="E746" s="53"/>
      <c r="F746" s="53"/>
      <c r="G746" s="53"/>
      <c r="H746" s="1"/>
      <c r="I746" s="1"/>
    </row>
    <row r="747" ht="14.25" customHeight="1">
      <c r="A747" s="52"/>
      <c r="B747" s="52"/>
      <c r="C747" s="53"/>
      <c r="D747" s="53"/>
      <c r="E747" s="53"/>
      <c r="F747" s="53"/>
      <c r="G747" s="53"/>
      <c r="H747" s="1"/>
      <c r="I747" s="1"/>
    </row>
    <row r="748" ht="14.25" customHeight="1">
      <c r="A748" s="52"/>
      <c r="B748" s="52"/>
      <c r="C748" s="53"/>
      <c r="D748" s="53"/>
      <c r="E748" s="53"/>
      <c r="F748" s="53"/>
      <c r="G748" s="53"/>
      <c r="H748" s="1"/>
      <c r="I748" s="1"/>
    </row>
    <row r="749" ht="14.25" customHeight="1">
      <c r="A749" s="52"/>
      <c r="B749" s="52"/>
      <c r="C749" s="53"/>
      <c r="D749" s="53"/>
      <c r="E749" s="53"/>
      <c r="F749" s="53"/>
      <c r="G749" s="53"/>
      <c r="H749" s="1"/>
      <c r="I749" s="1"/>
    </row>
    <row r="750" ht="14.25" customHeight="1">
      <c r="A750" s="52"/>
      <c r="B750" s="52"/>
      <c r="C750" s="53"/>
      <c r="D750" s="53"/>
      <c r="E750" s="53"/>
      <c r="F750" s="53"/>
      <c r="G750" s="53"/>
      <c r="H750" s="1"/>
      <c r="I750" s="1"/>
    </row>
    <row r="751" ht="14.25" customHeight="1">
      <c r="A751" s="52"/>
      <c r="B751" s="52"/>
      <c r="C751" s="53"/>
      <c r="D751" s="53"/>
      <c r="E751" s="53"/>
      <c r="F751" s="53"/>
      <c r="G751" s="53"/>
      <c r="H751" s="1"/>
      <c r="I751" s="1"/>
    </row>
    <row r="752" ht="14.25" customHeight="1">
      <c r="A752" s="52"/>
      <c r="B752" s="52"/>
      <c r="C752" s="53"/>
      <c r="D752" s="53"/>
      <c r="E752" s="53"/>
      <c r="F752" s="53"/>
      <c r="G752" s="53"/>
      <c r="H752" s="1"/>
      <c r="I752" s="1"/>
    </row>
    <row r="753" ht="14.25" customHeight="1">
      <c r="A753" s="52"/>
      <c r="B753" s="52"/>
      <c r="C753" s="53"/>
      <c r="D753" s="53"/>
      <c r="E753" s="53"/>
      <c r="F753" s="53"/>
      <c r="G753" s="53"/>
      <c r="H753" s="1"/>
      <c r="I753" s="1"/>
    </row>
    <row r="754" ht="14.25" customHeight="1">
      <c r="A754" s="52"/>
      <c r="B754" s="52"/>
      <c r="C754" s="53"/>
      <c r="D754" s="53"/>
      <c r="E754" s="53"/>
      <c r="F754" s="53"/>
      <c r="G754" s="53"/>
      <c r="H754" s="1"/>
      <c r="I754" s="1"/>
    </row>
    <row r="755" ht="14.25" customHeight="1">
      <c r="A755" s="52"/>
      <c r="B755" s="52"/>
      <c r="C755" s="53"/>
      <c r="D755" s="53"/>
      <c r="E755" s="53"/>
      <c r="F755" s="53"/>
      <c r="G755" s="53"/>
      <c r="H755" s="1"/>
      <c r="I755" s="1"/>
    </row>
    <row r="756" ht="14.25" customHeight="1">
      <c r="A756" s="52"/>
      <c r="B756" s="52"/>
      <c r="C756" s="53"/>
      <c r="D756" s="53"/>
      <c r="E756" s="53"/>
      <c r="F756" s="53"/>
      <c r="G756" s="53"/>
      <c r="H756" s="1"/>
      <c r="I756" s="1"/>
    </row>
    <row r="757" ht="14.25" customHeight="1">
      <c r="A757" s="52"/>
      <c r="B757" s="52"/>
      <c r="C757" s="53"/>
      <c r="D757" s="53"/>
      <c r="E757" s="53"/>
      <c r="F757" s="53"/>
      <c r="G757" s="53"/>
      <c r="H757" s="1"/>
      <c r="I757" s="1"/>
    </row>
    <row r="758" ht="14.25" customHeight="1">
      <c r="A758" s="52"/>
      <c r="B758" s="52"/>
      <c r="C758" s="53"/>
      <c r="D758" s="53"/>
      <c r="E758" s="53"/>
      <c r="F758" s="53"/>
      <c r="G758" s="53"/>
      <c r="H758" s="1"/>
      <c r="I758" s="1"/>
    </row>
    <row r="759" ht="14.25" customHeight="1">
      <c r="A759" s="52"/>
      <c r="B759" s="52"/>
      <c r="C759" s="53"/>
      <c r="D759" s="53"/>
      <c r="E759" s="53"/>
      <c r="F759" s="53"/>
      <c r="G759" s="53"/>
      <c r="H759" s="1"/>
      <c r="I759" s="1"/>
    </row>
    <row r="760" ht="14.25" customHeight="1">
      <c r="A760" s="52"/>
      <c r="B760" s="52"/>
      <c r="C760" s="53"/>
      <c r="D760" s="53"/>
      <c r="E760" s="53"/>
      <c r="F760" s="53"/>
      <c r="G760" s="53"/>
      <c r="H760" s="1"/>
      <c r="I760" s="1"/>
    </row>
    <row r="761" ht="14.25" customHeight="1">
      <c r="A761" s="52"/>
      <c r="B761" s="52"/>
      <c r="C761" s="53"/>
      <c r="D761" s="53"/>
      <c r="E761" s="53"/>
      <c r="F761" s="53"/>
      <c r="G761" s="53"/>
      <c r="H761" s="1"/>
      <c r="I761" s="1"/>
    </row>
    <row r="762" ht="14.25" customHeight="1">
      <c r="A762" s="52"/>
      <c r="B762" s="52"/>
      <c r="C762" s="53"/>
      <c r="D762" s="53"/>
      <c r="E762" s="53"/>
      <c r="F762" s="53"/>
      <c r="G762" s="53"/>
      <c r="H762" s="1"/>
      <c r="I762" s="1"/>
    </row>
    <row r="763" ht="14.25" customHeight="1">
      <c r="A763" s="52"/>
      <c r="B763" s="52"/>
      <c r="C763" s="53"/>
      <c r="D763" s="53"/>
      <c r="E763" s="53"/>
      <c r="F763" s="53"/>
      <c r="G763" s="53"/>
      <c r="H763" s="1"/>
      <c r="I763" s="1"/>
    </row>
    <row r="764" ht="14.25" customHeight="1">
      <c r="A764" s="52"/>
      <c r="B764" s="52"/>
      <c r="C764" s="53"/>
      <c r="D764" s="53"/>
      <c r="E764" s="53"/>
      <c r="F764" s="53"/>
      <c r="G764" s="53"/>
      <c r="H764" s="1"/>
      <c r="I764" s="1"/>
    </row>
    <row r="765" ht="14.25" customHeight="1">
      <c r="A765" s="52"/>
      <c r="B765" s="52"/>
      <c r="C765" s="53"/>
      <c r="D765" s="53"/>
      <c r="E765" s="53"/>
      <c r="F765" s="53"/>
      <c r="G765" s="53"/>
      <c r="H765" s="1"/>
      <c r="I765" s="1"/>
    </row>
    <row r="766" ht="14.25" customHeight="1">
      <c r="A766" s="52"/>
      <c r="B766" s="52"/>
      <c r="C766" s="53"/>
      <c r="D766" s="53"/>
      <c r="E766" s="53"/>
      <c r="F766" s="53"/>
      <c r="G766" s="53"/>
      <c r="H766" s="1"/>
      <c r="I766" s="1"/>
    </row>
    <row r="767" ht="14.25" customHeight="1">
      <c r="A767" s="52"/>
      <c r="B767" s="52"/>
      <c r="C767" s="53"/>
      <c r="D767" s="53"/>
      <c r="E767" s="53"/>
      <c r="F767" s="53"/>
      <c r="G767" s="53"/>
      <c r="H767" s="1"/>
      <c r="I767" s="1"/>
    </row>
    <row r="768" ht="14.25" customHeight="1">
      <c r="A768" s="52"/>
      <c r="B768" s="52"/>
      <c r="C768" s="53"/>
      <c r="D768" s="53"/>
      <c r="E768" s="53"/>
      <c r="F768" s="53"/>
      <c r="G768" s="53"/>
      <c r="H768" s="1"/>
      <c r="I768" s="1"/>
    </row>
    <row r="769" ht="14.25" customHeight="1">
      <c r="A769" s="52"/>
      <c r="B769" s="52"/>
      <c r="C769" s="53"/>
      <c r="D769" s="53"/>
      <c r="E769" s="53"/>
      <c r="F769" s="53"/>
      <c r="G769" s="53"/>
      <c r="H769" s="1"/>
      <c r="I769" s="1"/>
    </row>
    <row r="770" ht="14.25" customHeight="1">
      <c r="A770" s="52"/>
      <c r="B770" s="52"/>
      <c r="C770" s="53"/>
      <c r="D770" s="53"/>
      <c r="E770" s="53"/>
      <c r="F770" s="53"/>
      <c r="G770" s="53"/>
      <c r="H770" s="1"/>
      <c r="I770" s="1"/>
    </row>
    <row r="771" ht="14.25" customHeight="1">
      <c r="A771" s="52"/>
      <c r="B771" s="52"/>
      <c r="C771" s="53"/>
      <c r="D771" s="53"/>
      <c r="E771" s="53"/>
      <c r="F771" s="53"/>
      <c r="G771" s="53"/>
      <c r="H771" s="1"/>
      <c r="I771" s="1"/>
    </row>
    <row r="772" ht="14.25" customHeight="1">
      <c r="A772" s="52"/>
      <c r="B772" s="52"/>
      <c r="C772" s="53"/>
      <c r="D772" s="53"/>
      <c r="E772" s="53"/>
      <c r="F772" s="53"/>
      <c r="G772" s="53"/>
      <c r="H772" s="1"/>
      <c r="I772" s="1"/>
    </row>
    <row r="773" ht="14.25" customHeight="1">
      <c r="A773" s="52"/>
      <c r="B773" s="52"/>
      <c r="C773" s="53"/>
      <c r="D773" s="53"/>
      <c r="E773" s="53"/>
      <c r="F773" s="53"/>
      <c r="G773" s="53"/>
      <c r="H773" s="1"/>
      <c r="I773" s="1"/>
    </row>
    <row r="774" ht="14.25" customHeight="1">
      <c r="A774" s="52"/>
      <c r="B774" s="52"/>
      <c r="C774" s="53"/>
      <c r="D774" s="53"/>
      <c r="E774" s="53"/>
      <c r="F774" s="53"/>
      <c r="G774" s="53"/>
      <c r="H774" s="1"/>
      <c r="I774" s="1"/>
    </row>
    <row r="775" ht="14.25" customHeight="1">
      <c r="A775" s="52"/>
      <c r="B775" s="52"/>
      <c r="C775" s="53"/>
      <c r="D775" s="53"/>
      <c r="E775" s="53"/>
      <c r="F775" s="53"/>
      <c r="G775" s="53"/>
      <c r="H775" s="1"/>
      <c r="I775" s="1"/>
    </row>
    <row r="776" ht="14.25" customHeight="1">
      <c r="A776" s="52"/>
      <c r="B776" s="52"/>
      <c r="C776" s="53"/>
      <c r="D776" s="53"/>
      <c r="E776" s="53"/>
      <c r="F776" s="53"/>
      <c r="G776" s="53"/>
      <c r="H776" s="1"/>
      <c r="I776" s="1"/>
    </row>
    <row r="777" ht="14.25" customHeight="1">
      <c r="A777" s="52"/>
      <c r="B777" s="52"/>
      <c r="C777" s="53"/>
      <c r="D777" s="53"/>
      <c r="E777" s="53"/>
      <c r="F777" s="53"/>
      <c r="G777" s="53"/>
      <c r="H777" s="1"/>
      <c r="I777" s="1"/>
    </row>
    <row r="778" ht="14.25" customHeight="1">
      <c r="A778" s="52"/>
      <c r="B778" s="52"/>
      <c r="C778" s="53"/>
      <c r="D778" s="53"/>
      <c r="E778" s="53"/>
      <c r="F778" s="53"/>
      <c r="G778" s="53"/>
      <c r="H778" s="1"/>
      <c r="I778" s="1"/>
    </row>
    <row r="779" ht="14.25" customHeight="1">
      <c r="A779" s="52"/>
      <c r="B779" s="52"/>
      <c r="C779" s="53"/>
      <c r="D779" s="53"/>
      <c r="E779" s="53"/>
      <c r="F779" s="53"/>
      <c r="G779" s="53"/>
      <c r="H779" s="1"/>
      <c r="I779" s="1"/>
    </row>
    <row r="780" ht="14.25" customHeight="1">
      <c r="A780" s="52"/>
      <c r="B780" s="52"/>
      <c r="C780" s="53"/>
      <c r="D780" s="53"/>
      <c r="E780" s="53"/>
      <c r="F780" s="53"/>
      <c r="G780" s="53"/>
      <c r="H780" s="1"/>
      <c r="I780" s="1"/>
    </row>
    <row r="781" ht="14.25" customHeight="1">
      <c r="A781" s="52"/>
      <c r="B781" s="52"/>
      <c r="C781" s="53"/>
      <c r="D781" s="53"/>
      <c r="E781" s="53"/>
      <c r="F781" s="53"/>
      <c r="G781" s="53"/>
      <c r="H781" s="1"/>
      <c r="I781" s="1"/>
    </row>
    <row r="782" ht="14.25" customHeight="1">
      <c r="A782" s="52"/>
      <c r="B782" s="52"/>
      <c r="C782" s="53"/>
      <c r="D782" s="53"/>
      <c r="E782" s="53"/>
      <c r="F782" s="53"/>
      <c r="G782" s="53"/>
      <c r="H782" s="1"/>
      <c r="I782" s="1"/>
    </row>
    <row r="783" ht="14.25" customHeight="1">
      <c r="A783" s="52"/>
      <c r="B783" s="52"/>
      <c r="C783" s="53"/>
      <c r="D783" s="53"/>
      <c r="E783" s="53"/>
      <c r="F783" s="53"/>
      <c r="G783" s="53"/>
      <c r="H783" s="1"/>
      <c r="I783" s="1"/>
    </row>
    <row r="784" ht="14.25" customHeight="1">
      <c r="A784" s="52"/>
      <c r="B784" s="52"/>
      <c r="C784" s="53"/>
      <c r="D784" s="53"/>
      <c r="E784" s="53"/>
      <c r="F784" s="53"/>
      <c r="G784" s="53"/>
      <c r="H784" s="1"/>
      <c r="I784" s="1"/>
    </row>
    <row r="785" ht="14.25" customHeight="1">
      <c r="A785" s="52"/>
      <c r="B785" s="52"/>
      <c r="C785" s="53"/>
      <c r="D785" s="53"/>
      <c r="E785" s="53"/>
      <c r="F785" s="53"/>
      <c r="G785" s="53"/>
      <c r="H785" s="1"/>
      <c r="I785" s="1"/>
    </row>
    <row r="786" ht="14.25" customHeight="1">
      <c r="A786" s="52"/>
      <c r="B786" s="52"/>
      <c r="C786" s="53"/>
      <c r="D786" s="53"/>
      <c r="E786" s="53"/>
      <c r="F786" s="53"/>
      <c r="G786" s="53"/>
      <c r="H786" s="1"/>
      <c r="I786" s="1"/>
    </row>
    <row r="787" ht="14.25" customHeight="1">
      <c r="A787" s="52"/>
      <c r="B787" s="52"/>
      <c r="C787" s="53"/>
      <c r="D787" s="53"/>
      <c r="E787" s="53"/>
      <c r="F787" s="53"/>
      <c r="G787" s="53"/>
      <c r="H787" s="1"/>
      <c r="I787" s="1"/>
    </row>
    <row r="788" ht="14.25" customHeight="1">
      <c r="A788" s="52"/>
      <c r="B788" s="52"/>
      <c r="C788" s="53"/>
      <c r="D788" s="53"/>
      <c r="E788" s="53"/>
      <c r="F788" s="53"/>
      <c r="G788" s="53"/>
      <c r="H788" s="1"/>
      <c r="I788" s="1"/>
    </row>
    <row r="789" ht="14.25" customHeight="1">
      <c r="A789" s="52"/>
      <c r="B789" s="52"/>
      <c r="C789" s="53"/>
      <c r="D789" s="53"/>
      <c r="E789" s="53"/>
      <c r="F789" s="53"/>
      <c r="G789" s="53"/>
      <c r="H789" s="1"/>
      <c r="I789" s="1"/>
    </row>
    <row r="790" ht="14.25" customHeight="1">
      <c r="A790" s="52"/>
      <c r="B790" s="52"/>
      <c r="C790" s="53"/>
      <c r="D790" s="53"/>
      <c r="E790" s="53"/>
      <c r="F790" s="53"/>
      <c r="G790" s="53"/>
      <c r="H790" s="1"/>
      <c r="I790" s="1"/>
    </row>
    <row r="791" ht="14.25" customHeight="1">
      <c r="A791" s="52"/>
      <c r="B791" s="52"/>
      <c r="C791" s="53"/>
      <c r="D791" s="53"/>
      <c r="E791" s="53"/>
      <c r="F791" s="53"/>
      <c r="G791" s="53"/>
      <c r="H791" s="1"/>
      <c r="I791" s="1"/>
    </row>
    <row r="792" ht="14.25" customHeight="1">
      <c r="A792" s="52"/>
      <c r="B792" s="52"/>
      <c r="C792" s="53"/>
      <c r="D792" s="53"/>
      <c r="E792" s="53"/>
      <c r="F792" s="53"/>
      <c r="G792" s="53"/>
      <c r="H792" s="1"/>
      <c r="I792" s="1"/>
    </row>
    <row r="793" ht="14.25" customHeight="1">
      <c r="A793" s="52"/>
      <c r="B793" s="52"/>
      <c r="C793" s="53"/>
      <c r="D793" s="53"/>
      <c r="E793" s="53"/>
      <c r="F793" s="53"/>
      <c r="G793" s="53"/>
      <c r="H793" s="1"/>
      <c r="I793" s="1"/>
    </row>
    <row r="794" ht="14.25" customHeight="1">
      <c r="A794" s="52"/>
      <c r="B794" s="52"/>
      <c r="C794" s="53"/>
      <c r="D794" s="53"/>
      <c r="E794" s="53"/>
      <c r="F794" s="53"/>
      <c r="G794" s="53"/>
      <c r="H794" s="1"/>
      <c r="I794" s="1"/>
    </row>
    <row r="795" ht="14.25" customHeight="1">
      <c r="A795" s="52"/>
      <c r="B795" s="52"/>
      <c r="C795" s="53"/>
      <c r="D795" s="53"/>
      <c r="E795" s="53"/>
      <c r="F795" s="53"/>
      <c r="G795" s="53"/>
      <c r="H795" s="1"/>
      <c r="I795" s="1"/>
    </row>
    <row r="796" ht="14.25" customHeight="1">
      <c r="A796" s="52"/>
      <c r="B796" s="52"/>
      <c r="C796" s="53"/>
      <c r="D796" s="53"/>
      <c r="E796" s="53"/>
      <c r="F796" s="53"/>
      <c r="G796" s="53"/>
      <c r="H796" s="1"/>
      <c r="I796" s="1"/>
    </row>
    <row r="797" ht="14.25" customHeight="1">
      <c r="A797" s="52"/>
      <c r="B797" s="52"/>
      <c r="C797" s="53"/>
      <c r="D797" s="53"/>
      <c r="E797" s="53"/>
      <c r="F797" s="53"/>
      <c r="G797" s="53"/>
      <c r="H797" s="1"/>
      <c r="I797" s="1"/>
    </row>
    <row r="798" ht="14.25" customHeight="1">
      <c r="A798" s="52"/>
      <c r="B798" s="52"/>
      <c r="C798" s="53"/>
      <c r="D798" s="53"/>
      <c r="E798" s="53"/>
      <c r="F798" s="53"/>
      <c r="G798" s="53"/>
      <c r="H798" s="1"/>
      <c r="I798" s="1"/>
    </row>
    <row r="799" ht="14.25" customHeight="1">
      <c r="A799" s="52"/>
      <c r="B799" s="52"/>
      <c r="C799" s="53"/>
      <c r="D799" s="53"/>
      <c r="E799" s="53"/>
      <c r="F799" s="53"/>
      <c r="G799" s="53"/>
      <c r="H799" s="1"/>
      <c r="I799" s="1"/>
    </row>
    <row r="800" ht="14.25" customHeight="1">
      <c r="A800" s="52"/>
      <c r="B800" s="52"/>
      <c r="C800" s="53"/>
      <c r="D800" s="53"/>
      <c r="E800" s="53"/>
      <c r="F800" s="53"/>
      <c r="G800" s="53"/>
      <c r="H800" s="1"/>
      <c r="I800" s="1"/>
    </row>
    <row r="801" ht="14.25" customHeight="1">
      <c r="A801" s="52"/>
      <c r="B801" s="52"/>
      <c r="C801" s="53"/>
      <c r="D801" s="53"/>
      <c r="E801" s="53"/>
      <c r="F801" s="53"/>
      <c r="G801" s="53"/>
      <c r="H801" s="1"/>
      <c r="I801" s="1"/>
    </row>
    <row r="802" ht="14.25" customHeight="1">
      <c r="A802" s="52"/>
      <c r="B802" s="52"/>
      <c r="C802" s="53"/>
      <c r="D802" s="53"/>
      <c r="E802" s="53"/>
      <c r="F802" s="53"/>
      <c r="G802" s="53"/>
      <c r="H802" s="1"/>
      <c r="I802" s="1"/>
    </row>
    <row r="803" ht="14.25" customHeight="1">
      <c r="A803" s="52"/>
      <c r="B803" s="52"/>
      <c r="C803" s="53"/>
      <c r="D803" s="53"/>
      <c r="E803" s="53"/>
      <c r="F803" s="53"/>
      <c r="G803" s="53"/>
      <c r="H803" s="1"/>
      <c r="I803" s="1"/>
    </row>
    <row r="804" ht="14.25" customHeight="1">
      <c r="A804" s="52"/>
      <c r="B804" s="52"/>
      <c r="C804" s="53"/>
      <c r="D804" s="53"/>
      <c r="E804" s="53"/>
      <c r="F804" s="53"/>
      <c r="G804" s="53"/>
      <c r="H804" s="1"/>
      <c r="I804" s="1"/>
    </row>
    <row r="805" ht="14.25" customHeight="1">
      <c r="A805" s="52"/>
      <c r="B805" s="52"/>
      <c r="C805" s="53"/>
      <c r="D805" s="53"/>
      <c r="E805" s="53"/>
      <c r="F805" s="53"/>
      <c r="G805" s="53"/>
      <c r="H805" s="1"/>
      <c r="I805" s="1"/>
    </row>
    <row r="806" ht="14.25" customHeight="1">
      <c r="A806" s="52"/>
      <c r="B806" s="52"/>
      <c r="C806" s="53"/>
      <c r="D806" s="53"/>
      <c r="E806" s="53"/>
      <c r="F806" s="53"/>
      <c r="G806" s="53"/>
      <c r="H806" s="1"/>
      <c r="I806" s="1"/>
    </row>
    <row r="807" ht="14.25" customHeight="1">
      <c r="A807" s="52"/>
      <c r="B807" s="52"/>
      <c r="C807" s="53"/>
      <c r="D807" s="53"/>
      <c r="E807" s="53"/>
      <c r="F807" s="53"/>
      <c r="G807" s="53"/>
      <c r="H807" s="1"/>
      <c r="I807" s="1"/>
    </row>
    <row r="808" ht="14.25" customHeight="1">
      <c r="A808" s="52"/>
      <c r="B808" s="52"/>
      <c r="C808" s="53"/>
      <c r="D808" s="53"/>
      <c r="E808" s="53"/>
      <c r="F808" s="53"/>
      <c r="G808" s="53"/>
      <c r="H808" s="1"/>
      <c r="I808" s="1"/>
    </row>
    <row r="809" ht="14.25" customHeight="1">
      <c r="A809" s="52"/>
      <c r="B809" s="52"/>
      <c r="C809" s="53"/>
      <c r="D809" s="53"/>
      <c r="E809" s="53"/>
      <c r="F809" s="53"/>
      <c r="G809" s="53"/>
      <c r="H809" s="1"/>
      <c r="I809" s="1"/>
    </row>
    <row r="810" ht="14.25" customHeight="1">
      <c r="A810" s="52"/>
      <c r="B810" s="52"/>
      <c r="C810" s="53"/>
      <c r="D810" s="53"/>
      <c r="E810" s="53"/>
      <c r="F810" s="53"/>
      <c r="G810" s="53"/>
      <c r="H810" s="1"/>
      <c r="I810" s="1"/>
    </row>
    <row r="811" ht="14.25" customHeight="1">
      <c r="A811" s="52"/>
      <c r="B811" s="52"/>
      <c r="C811" s="53"/>
      <c r="D811" s="53"/>
      <c r="E811" s="53"/>
      <c r="F811" s="53"/>
      <c r="G811" s="53"/>
      <c r="H811" s="1"/>
      <c r="I811" s="1"/>
    </row>
    <row r="812" ht="14.25" customHeight="1">
      <c r="A812" s="52"/>
      <c r="B812" s="52"/>
      <c r="C812" s="53"/>
      <c r="D812" s="53"/>
      <c r="E812" s="53"/>
      <c r="F812" s="53"/>
      <c r="G812" s="53"/>
      <c r="H812" s="1"/>
      <c r="I812" s="1"/>
    </row>
    <row r="813" ht="14.25" customHeight="1">
      <c r="A813" s="52"/>
      <c r="B813" s="52"/>
      <c r="C813" s="53"/>
      <c r="D813" s="53"/>
      <c r="E813" s="53"/>
      <c r="F813" s="53"/>
      <c r="G813" s="53"/>
      <c r="H813" s="1"/>
      <c r="I813" s="1"/>
    </row>
    <row r="814" ht="14.25" customHeight="1">
      <c r="A814" s="52"/>
      <c r="B814" s="52"/>
      <c r="C814" s="53"/>
      <c r="D814" s="53"/>
      <c r="E814" s="53"/>
      <c r="F814" s="53"/>
      <c r="G814" s="53"/>
      <c r="H814" s="1"/>
      <c r="I814" s="1"/>
    </row>
    <row r="815" ht="14.25" customHeight="1">
      <c r="A815" s="52"/>
      <c r="B815" s="52"/>
      <c r="C815" s="53"/>
      <c r="D815" s="53"/>
      <c r="E815" s="53"/>
      <c r="F815" s="53"/>
      <c r="G815" s="53"/>
      <c r="H815" s="1"/>
      <c r="I815" s="1"/>
    </row>
    <row r="816" ht="14.25" customHeight="1">
      <c r="A816" s="52"/>
      <c r="B816" s="52"/>
      <c r="C816" s="53"/>
      <c r="D816" s="53"/>
      <c r="E816" s="53"/>
      <c r="F816" s="53"/>
      <c r="G816" s="53"/>
      <c r="H816" s="1"/>
      <c r="I816" s="1"/>
    </row>
    <row r="817" ht="14.25" customHeight="1">
      <c r="A817" s="52"/>
      <c r="B817" s="52"/>
      <c r="C817" s="53"/>
      <c r="D817" s="53"/>
      <c r="E817" s="53"/>
      <c r="F817" s="53"/>
      <c r="G817" s="53"/>
      <c r="H817" s="1"/>
      <c r="I817" s="1"/>
    </row>
    <row r="818" ht="14.25" customHeight="1">
      <c r="A818" s="52"/>
      <c r="B818" s="52"/>
      <c r="C818" s="53"/>
      <c r="D818" s="53"/>
      <c r="E818" s="53"/>
      <c r="F818" s="53"/>
      <c r="G818" s="53"/>
      <c r="H818" s="1"/>
      <c r="I818" s="1"/>
    </row>
    <row r="819" ht="14.25" customHeight="1">
      <c r="A819" s="52"/>
      <c r="B819" s="52"/>
      <c r="C819" s="53"/>
      <c r="D819" s="53"/>
      <c r="E819" s="53"/>
      <c r="F819" s="53"/>
      <c r="G819" s="53"/>
      <c r="H819" s="1"/>
      <c r="I819" s="1"/>
    </row>
    <row r="820" ht="14.25" customHeight="1">
      <c r="A820" s="52"/>
      <c r="B820" s="52"/>
      <c r="C820" s="53"/>
      <c r="D820" s="53"/>
      <c r="E820" s="53"/>
      <c r="F820" s="53"/>
      <c r="G820" s="53"/>
      <c r="H820" s="1"/>
      <c r="I820" s="1"/>
    </row>
    <row r="821" ht="14.25" customHeight="1">
      <c r="A821" s="52"/>
      <c r="B821" s="52"/>
      <c r="C821" s="53"/>
      <c r="D821" s="53"/>
      <c r="E821" s="53"/>
      <c r="F821" s="53"/>
      <c r="G821" s="53"/>
      <c r="H821" s="1"/>
      <c r="I821" s="1"/>
    </row>
    <row r="822" ht="14.25" customHeight="1">
      <c r="A822" s="52"/>
      <c r="B822" s="52"/>
      <c r="C822" s="53"/>
      <c r="D822" s="53"/>
      <c r="E822" s="53"/>
      <c r="F822" s="53"/>
      <c r="G822" s="53"/>
      <c r="H822" s="1"/>
      <c r="I822" s="1"/>
    </row>
    <row r="823" ht="14.25" customHeight="1">
      <c r="A823" s="52"/>
      <c r="B823" s="52"/>
      <c r="C823" s="53"/>
      <c r="D823" s="53"/>
      <c r="E823" s="53"/>
      <c r="F823" s="53"/>
      <c r="G823" s="53"/>
      <c r="H823" s="1"/>
      <c r="I823" s="1"/>
    </row>
    <row r="824" ht="14.25" customHeight="1">
      <c r="A824" s="52"/>
      <c r="B824" s="52"/>
      <c r="C824" s="53"/>
      <c r="D824" s="53"/>
      <c r="E824" s="53"/>
      <c r="F824" s="53"/>
      <c r="G824" s="53"/>
      <c r="H824" s="1"/>
      <c r="I824" s="1"/>
    </row>
    <row r="825" ht="14.25" customHeight="1">
      <c r="A825" s="52"/>
      <c r="B825" s="52"/>
      <c r="C825" s="53"/>
      <c r="D825" s="53"/>
      <c r="E825" s="53"/>
      <c r="F825" s="53"/>
      <c r="G825" s="53"/>
      <c r="H825" s="1"/>
      <c r="I825" s="1"/>
    </row>
    <row r="826" ht="14.25" customHeight="1">
      <c r="A826" s="52"/>
      <c r="B826" s="52"/>
      <c r="C826" s="53"/>
      <c r="D826" s="53"/>
      <c r="E826" s="53"/>
      <c r="F826" s="53"/>
      <c r="G826" s="53"/>
      <c r="H826" s="1"/>
      <c r="I826" s="1"/>
    </row>
    <row r="827" ht="14.25" customHeight="1">
      <c r="A827" s="52"/>
      <c r="B827" s="52"/>
      <c r="C827" s="53"/>
      <c r="D827" s="53"/>
      <c r="E827" s="53"/>
      <c r="F827" s="53"/>
      <c r="G827" s="53"/>
      <c r="H827" s="1"/>
      <c r="I827" s="1"/>
    </row>
    <row r="828" ht="14.25" customHeight="1">
      <c r="A828" s="52"/>
      <c r="B828" s="52"/>
      <c r="C828" s="53"/>
      <c r="D828" s="53"/>
      <c r="E828" s="53"/>
      <c r="F828" s="53"/>
      <c r="G828" s="53"/>
      <c r="H828" s="1"/>
      <c r="I828" s="1"/>
    </row>
    <row r="829" ht="14.25" customHeight="1">
      <c r="A829" s="52"/>
      <c r="B829" s="52"/>
      <c r="C829" s="53"/>
      <c r="D829" s="53"/>
      <c r="E829" s="53"/>
      <c r="F829" s="53"/>
      <c r="G829" s="53"/>
      <c r="H829" s="1"/>
      <c r="I829" s="1"/>
    </row>
    <row r="830" ht="14.25" customHeight="1">
      <c r="A830" s="52"/>
      <c r="B830" s="52"/>
      <c r="C830" s="53"/>
      <c r="D830" s="53"/>
      <c r="E830" s="53"/>
      <c r="F830" s="53"/>
      <c r="G830" s="53"/>
      <c r="H830" s="1"/>
      <c r="I830" s="1"/>
    </row>
    <row r="831" ht="14.25" customHeight="1">
      <c r="A831" s="52"/>
      <c r="B831" s="52"/>
      <c r="C831" s="53"/>
      <c r="D831" s="53"/>
      <c r="E831" s="53"/>
      <c r="F831" s="53"/>
      <c r="G831" s="53"/>
      <c r="H831" s="1"/>
      <c r="I831" s="1"/>
    </row>
    <row r="832" ht="14.25" customHeight="1">
      <c r="A832" s="52"/>
      <c r="B832" s="52"/>
      <c r="C832" s="53"/>
      <c r="D832" s="53"/>
      <c r="E832" s="53"/>
      <c r="F832" s="53"/>
      <c r="G832" s="53"/>
      <c r="H832" s="1"/>
      <c r="I832" s="1"/>
    </row>
    <row r="833" ht="14.25" customHeight="1">
      <c r="A833" s="52"/>
      <c r="B833" s="52"/>
      <c r="C833" s="53"/>
      <c r="D833" s="53"/>
      <c r="E833" s="53"/>
      <c r="F833" s="53"/>
      <c r="G833" s="53"/>
      <c r="H833" s="1"/>
      <c r="I833" s="1"/>
    </row>
    <row r="834" ht="14.25" customHeight="1">
      <c r="A834" s="52"/>
      <c r="B834" s="52"/>
      <c r="C834" s="53"/>
      <c r="D834" s="53"/>
      <c r="E834" s="53"/>
      <c r="F834" s="53"/>
      <c r="G834" s="53"/>
      <c r="H834" s="1"/>
      <c r="I834" s="1"/>
    </row>
    <row r="835" ht="14.25" customHeight="1">
      <c r="A835" s="52"/>
      <c r="B835" s="52"/>
      <c r="C835" s="53"/>
      <c r="D835" s="53"/>
      <c r="E835" s="53"/>
      <c r="F835" s="53"/>
      <c r="G835" s="53"/>
      <c r="H835" s="1"/>
      <c r="I835" s="1"/>
    </row>
    <row r="836" ht="14.25" customHeight="1">
      <c r="A836" s="52"/>
      <c r="B836" s="52"/>
      <c r="C836" s="53"/>
      <c r="D836" s="53"/>
      <c r="E836" s="53"/>
      <c r="F836" s="53"/>
      <c r="G836" s="53"/>
      <c r="H836" s="1"/>
      <c r="I836" s="1"/>
    </row>
    <row r="837" ht="14.25" customHeight="1">
      <c r="A837" s="52"/>
      <c r="B837" s="52"/>
      <c r="C837" s="53"/>
      <c r="D837" s="53"/>
      <c r="E837" s="53"/>
      <c r="F837" s="53"/>
      <c r="G837" s="53"/>
      <c r="H837" s="1"/>
      <c r="I837" s="1"/>
    </row>
    <row r="838" ht="14.25" customHeight="1">
      <c r="A838" s="52"/>
      <c r="B838" s="52"/>
      <c r="C838" s="53"/>
      <c r="D838" s="53"/>
      <c r="E838" s="53"/>
      <c r="F838" s="53"/>
      <c r="G838" s="53"/>
      <c r="H838" s="1"/>
      <c r="I838" s="1"/>
    </row>
    <row r="839" ht="14.25" customHeight="1">
      <c r="A839" s="52"/>
      <c r="B839" s="52"/>
      <c r="C839" s="53"/>
      <c r="D839" s="53"/>
      <c r="E839" s="53"/>
      <c r="F839" s="53"/>
      <c r="G839" s="53"/>
      <c r="H839" s="1"/>
      <c r="I839" s="1"/>
    </row>
    <row r="840" ht="14.25" customHeight="1">
      <c r="A840" s="52"/>
      <c r="B840" s="52"/>
      <c r="C840" s="53"/>
      <c r="D840" s="53"/>
      <c r="E840" s="53"/>
      <c r="F840" s="53"/>
      <c r="G840" s="53"/>
      <c r="H840" s="1"/>
      <c r="I840" s="1"/>
    </row>
    <row r="841" ht="14.25" customHeight="1">
      <c r="A841" s="52"/>
      <c r="B841" s="52"/>
      <c r="C841" s="53"/>
      <c r="D841" s="53"/>
      <c r="E841" s="53"/>
      <c r="F841" s="53"/>
      <c r="G841" s="53"/>
      <c r="H841" s="1"/>
      <c r="I841" s="1"/>
    </row>
    <row r="842" ht="14.25" customHeight="1">
      <c r="A842" s="52"/>
      <c r="B842" s="52"/>
      <c r="C842" s="53"/>
      <c r="D842" s="53"/>
      <c r="E842" s="53"/>
      <c r="F842" s="53"/>
      <c r="G842" s="53"/>
      <c r="H842" s="1"/>
      <c r="I842" s="1"/>
    </row>
    <row r="843" ht="14.25" customHeight="1">
      <c r="A843" s="52"/>
      <c r="B843" s="52"/>
      <c r="C843" s="53"/>
      <c r="D843" s="53"/>
      <c r="E843" s="53"/>
      <c r="F843" s="53"/>
      <c r="G843" s="53"/>
      <c r="H843" s="1"/>
      <c r="I843" s="1"/>
    </row>
    <row r="844" ht="14.25" customHeight="1">
      <c r="A844" s="52"/>
      <c r="B844" s="52"/>
      <c r="C844" s="53"/>
      <c r="D844" s="53"/>
      <c r="E844" s="53"/>
      <c r="F844" s="53"/>
      <c r="G844" s="53"/>
      <c r="H844" s="1"/>
      <c r="I844" s="1"/>
    </row>
    <row r="845" ht="14.25" customHeight="1">
      <c r="A845" s="52"/>
      <c r="B845" s="52"/>
      <c r="C845" s="53"/>
      <c r="D845" s="53"/>
      <c r="E845" s="53"/>
      <c r="F845" s="53"/>
      <c r="G845" s="53"/>
      <c r="H845" s="1"/>
      <c r="I845" s="1"/>
    </row>
    <row r="846" ht="14.25" customHeight="1">
      <c r="A846" s="52"/>
      <c r="B846" s="52"/>
      <c r="C846" s="53"/>
      <c r="D846" s="53"/>
      <c r="E846" s="53"/>
      <c r="F846" s="53"/>
      <c r="G846" s="53"/>
      <c r="H846" s="1"/>
      <c r="I846" s="1"/>
    </row>
    <row r="847" ht="14.25" customHeight="1">
      <c r="A847" s="52"/>
      <c r="B847" s="52"/>
      <c r="C847" s="53"/>
      <c r="D847" s="53"/>
      <c r="E847" s="53"/>
      <c r="F847" s="53"/>
      <c r="G847" s="53"/>
      <c r="H847" s="1"/>
      <c r="I847" s="1"/>
    </row>
    <row r="848" ht="14.25" customHeight="1">
      <c r="A848" s="52"/>
      <c r="B848" s="52"/>
      <c r="C848" s="53"/>
      <c r="D848" s="53"/>
      <c r="E848" s="53"/>
      <c r="F848" s="53"/>
      <c r="G848" s="53"/>
      <c r="H848" s="1"/>
      <c r="I848" s="1"/>
    </row>
    <row r="849" ht="14.25" customHeight="1">
      <c r="A849" s="52"/>
      <c r="B849" s="52"/>
      <c r="C849" s="53"/>
      <c r="D849" s="53"/>
      <c r="E849" s="53"/>
      <c r="F849" s="53"/>
      <c r="G849" s="53"/>
      <c r="H849" s="1"/>
      <c r="I849" s="1"/>
    </row>
    <row r="850" ht="14.25" customHeight="1">
      <c r="A850" s="52"/>
      <c r="B850" s="52"/>
      <c r="C850" s="53"/>
      <c r="D850" s="53"/>
      <c r="E850" s="53"/>
      <c r="F850" s="53"/>
      <c r="G850" s="53"/>
      <c r="H850" s="1"/>
      <c r="I850" s="1"/>
    </row>
    <row r="851" ht="14.25" customHeight="1">
      <c r="A851" s="52"/>
      <c r="B851" s="52"/>
      <c r="C851" s="53"/>
      <c r="D851" s="53"/>
      <c r="E851" s="53"/>
      <c r="F851" s="53"/>
      <c r="G851" s="53"/>
      <c r="H851" s="1"/>
      <c r="I851" s="1"/>
    </row>
    <row r="852" ht="14.25" customHeight="1">
      <c r="A852" s="52"/>
      <c r="B852" s="52"/>
      <c r="C852" s="53"/>
      <c r="D852" s="53"/>
      <c r="E852" s="53"/>
      <c r="F852" s="53"/>
      <c r="G852" s="53"/>
      <c r="H852" s="1"/>
      <c r="I852" s="1"/>
    </row>
    <row r="853" ht="14.25" customHeight="1">
      <c r="A853" s="52"/>
      <c r="B853" s="52"/>
      <c r="C853" s="53"/>
      <c r="D853" s="53"/>
      <c r="E853" s="53"/>
      <c r="F853" s="53"/>
      <c r="G853" s="53"/>
      <c r="H853" s="1"/>
      <c r="I853" s="1"/>
    </row>
    <row r="854" ht="14.25" customHeight="1">
      <c r="A854" s="52"/>
      <c r="B854" s="52"/>
      <c r="C854" s="53"/>
      <c r="D854" s="53"/>
      <c r="E854" s="53"/>
      <c r="F854" s="53"/>
      <c r="G854" s="53"/>
      <c r="H854" s="1"/>
      <c r="I854" s="1"/>
    </row>
    <row r="855" ht="14.25" customHeight="1">
      <c r="A855" s="52"/>
      <c r="B855" s="52"/>
      <c r="C855" s="53"/>
      <c r="D855" s="53"/>
      <c r="E855" s="53"/>
      <c r="F855" s="53"/>
      <c r="G855" s="53"/>
      <c r="H855" s="1"/>
      <c r="I855" s="1"/>
    </row>
    <row r="856" ht="14.25" customHeight="1">
      <c r="A856" s="52"/>
      <c r="B856" s="52"/>
      <c r="C856" s="53"/>
      <c r="D856" s="53"/>
      <c r="E856" s="53"/>
      <c r="F856" s="53"/>
      <c r="G856" s="53"/>
      <c r="H856" s="1"/>
      <c r="I856" s="1"/>
    </row>
    <row r="857" ht="14.25" customHeight="1">
      <c r="A857" s="52"/>
      <c r="B857" s="52"/>
      <c r="C857" s="53"/>
      <c r="D857" s="53"/>
      <c r="E857" s="53"/>
      <c r="F857" s="53"/>
      <c r="G857" s="53"/>
      <c r="H857" s="1"/>
      <c r="I857" s="1"/>
    </row>
    <row r="858" ht="14.25" customHeight="1">
      <c r="A858" s="52"/>
      <c r="B858" s="52"/>
      <c r="C858" s="53"/>
      <c r="D858" s="53"/>
      <c r="E858" s="53"/>
      <c r="F858" s="53"/>
      <c r="G858" s="53"/>
      <c r="H858" s="1"/>
      <c r="I858" s="1"/>
    </row>
    <row r="859" ht="14.25" customHeight="1">
      <c r="A859" s="52"/>
      <c r="B859" s="52"/>
      <c r="C859" s="53"/>
      <c r="D859" s="53"/>
      <c r="E859" s="53"/>
      <c r="F859" s="53"/>
      <c r="G859" s="53"/>
      <c r="H859" s="1"/>
      <c r="I859" s="1"/>
    </row>
    <row r="860" ht="14.25" customHeight="1">
      <c r="A860" s="52"/>
      <c r="B860" s="52"/>
      <c r="C860" s="53"/>
      <c r="D860" s="53"/>
      <c r="E860" s="53"/>
      <c r="F860" s="53"/>
      <c r="G860" s="53"/>
      <c r="H860" s="1"/>
      <c r="I860" s="1"/>
    </row>
    <row r="861" ht="14.25" customHeight="1">
      <c r="A861" s="52"/>
      <c r="B861" s="52"/>
      <c r="C861" s="53"/>
      <c r="D861" s="53"/>
      <c r="E861" s="53"/>
      <c r="F861" s="53"/>
      <c r="G861" s="53"/>
      <c r="H861" s="1"/>
      <c r="I861" s="1"/>
    </row>
    <row r="862" ht="14.25" customHeight="1">
      <c r="A862" s="52"/>
      <c r="B862" s="52"/>
      <c r="C862" s="53"/>
      <c r="D862" s="53"/>
      <c r="E862" s="53"/>
      <c r="F862" s="53"/>
      <c r="G862" s="53"/>
      <c r="H862" s="1"/>
      <c r="I862" s="1"/>
    </row>
    <row r="863" ht="14.25" customHeight="1">
      <c r="A863" s="52"/>
      <c r="B863" s="52"/>
      <c r="C863" s="53"/>
      <c r="D863" s="53"/>
      <c r="E863" s="53"/>
      <c r="F863" s="53"/>
      <c r="G863" s="53"/>
      <c r="H863" s="1"/>
      <c r="I863" s="1"/>
    </row>
    <row r="864" ht="14.25" customHeight="1">
      <c r="A864" s="52"/>
      <c r="B864" s="52"/>
      <c r="C864" s="53"/>
      <c r="D864" s="53"/>
      <c r="E864" s="53"/>
      <c r="F864" s="53"/>
      <c r="G864" s="53"/>
      <c r="H864" s="1"/>
      <c r="I864" s="1"/>
    </row>
    <row r="865" ht="14.25" customHeight="1">
      <c r="A865" s="52"/>
      <c r="B865" s="52"/>
      <c r="C865" s="53"/>
      <c r="D865" s="53"/>
      <c r="E865" s="53"/>
      <c r="F865" s="53"/>
      <c r="G865" s="53"/>
      <c r="H865" s="1"/>
      <c r="I865" s="1"/>
    </row>
    <row r="866" ht="14.25" customHeight="1">
      <c r="A866" s="52"/>
      <c r="B866" s="52"/>
      <c r="C866" s="53"/>
      <c r="D866" s="53"/>
      <c r="E866" s="53"/>
      <c r="F866" s="53"/>
      <c r="G866" s="53"/>
      <c r="H866" s="1"/>
      <c r="I866" s="1"/>
    </row>
    <row r="867" ht="14.25" customHeight="1">
      <c r="A867" s="52"/>
      <c r="B867" s="52"/>
      <c r="C867" s="53"/>
      <c r="D867" s="53"/>
      <c r="E867" s="53"/>
      <c r="F867" s="53"/>
      <c r="G867" s="53"/>
      <c r="H867" s="1"/>
      <c r="I867" s="1"/>
    </row>
    <row r="868" ht="14.25" customHeight="1">
      <c r="A868" s="52"/>
      <c r="B868" s="52"/>
      <c r="C868" s="53"/>
      <c r="D868" s="53"/>
      <c r="E868" s="53"/>
      <c r="F868" s="53"/>
      <c r="G868" s="53"/>
      <c r="H868" s="1"/>
      <c r="I868" s="1"/>
    </row>
    <row r="869" ht="14.25" customHeight="1">
      <c r="A869" s="52"/>
      <c r="B869" s="52"/>
      <c r="C869" s="53"/>
      <c r="D869" s="53"/>
      <c r="E869" s="53"/>
      <c r="F869" s="53"/>
      <c r="G869" s="53"/>
      <c r="H869" s="1"/>
      <c r="I869" s="1"/>
    </row>
    <row r="870" ht="14.25" customHeight="1">
      <c r="A870" s="52"/>
      <c r="B870" s="52"/>
      <c r="C870" s="53"/>
      <c r="D870" s="53"/>
      <c r="E870" s="53"/>
      <c r="F870" s="53"/>
      <c r="G870" s="53"/>
      <c r="H870" s="1"/>
      <c r="I870" s="1"/>
    </row>
    <row r="871" ht="14.25" customHeight="1">
      <c r="A871" s="52"/>
      <c r="B871" s="52"/>
      <c r="C871" s="53"/>
      <c r="D871" s="53"/>
      <c r="E871" s="53"/>
      <c r="F871" s="53"/>
      <c r="G871" s="53"/>
      <c r="H871" s="1"/>
      <c r="I871" s="1"/>
    </row>
    <row r="872" ht="14.25" customHeight="1">
      <c r="A872" s="52"/>
      <c r="B872" s="52"/>
      <c r="C872" s="53"/>
      <c r="D872" s="53"/>
      <c r="E872" s="53"/>
      <c r="F872" s="53"/>
      <c r="G872" s="53"/>
      <c r="H872" s="1"/>
      <c r="I872" s="1"/>
    </row>
    <row r="873" ht="14.25" customHeight="1">
      <c r="A873" s="52"/>
      <c r="B873" s="52"/>
      <c r="C873" s="53"/>
      <c r="D873" s="53"/>
      <c r="E873" s="53"/>
      <c r="F873" s="53"/>
      <c r="G873" s="53"/>
      <c r="H873" s="1"/>
      <c r="I873" s="1"/>
    </row>
    <row r="874" ht="14.25" customHeight="1">
      <c r="A874" s="52"/>
      <c r="B874" s="52"/>
      <c r="C874" s="53"/>
      <c r="D874" s="53"/>
      <c r="E874" s="53"/>
      <c r="F874" s="53"/>
      <c r="G874" s="53"/>
      <c r="H874" s="1"/>
      <c r="I874" s="1"/>
    </row>
    <row r="875" ht="14.25" customHeight="1">
      <c r="A875" s="52"/>
      <c r="B875" s="52"/>
      <c r="C875" s="53"/>
      <c r="D875" s="53"/>
      <c r="E875" s="53"/>
      <c r="F875" s="53"/>
      <c r="G875" s="53"/>
      <c r="H875" s="1"/>
      <c r="I875" s="1"/>
    </row>
    <row r="876" ht="14.25" customHeight="1">
      <c r="A876" s="52"/>
      <c r="B876" s="52"/>
      <c r="C876" s="53"/>
      <c r="D876" s="53"/>
      <c r="E876" s="53"/>
      <c r="F876" s="53"/>
      <c r="G876" s="53"/>
      <c r="H876" s="1"/>
      <c r="I876" s="1"/>
    </row>
    <row r="877" ht="14.25" customHeight="1">
      <c r="A877" s="52"/>
      <c r="B877" s="52"/>
      <c r="C877" s="53"/>
      <c r="D877" s="53"/>
      <c r="E877" s="53"/>
      <c r="F877" s="53"/>
      <c r="G877" s="53"/>
      <c r="H877" s="1"/>
      <c r="I877" s="1"/>
    </row>
    <row r="878" ht="14.25" customHeight="1">
      <c r="A878" s="52"/>
      <c r="B878" s="52"/>
      <c r="C878" s="53"/>
      <c r="D878" s="53"/>
      <c r="E878" s="53"/>
      <c r="F878" s="53"/>
      <c r="G878" s="53"/>
      <c r="H878" s="1"/>
      <c r="I878" s="1"/>
    </row>
    <row r="879" ht="14.25" customHeight="1">
      <c r="A879" s="52"/>
      <c r="B879" s="52"/>
      <c r="C879" s="53"/>
      <c r="D879" s="53"/>
      <c r="E879" s="53"/>
      <c r="F879" s="53"/>
      <c r="G879" s="53"/>
      <c r="H879" s="1"/>
      <c r="I879" s="1"/>
    </row>
    <row r="880" ht="14.25" customHeight="1">
      <c r="A880" s="52"/>
      <c r="B880" s="52"/>
      <c r="C880" s="53"/>
      <c r="D880" s="53"/>
      <c r="E880" s="53"/>
      <c r="F880" s="53"/>
      <c r="G880" s="53"/>
      <c r="H880" s="1"/>
      <c r="I880" s="1"/>
    </row>
    <row r="881" ht="14.25" customHeight="1">
      <c r="A881" s="52"/>
      <c r="B881" s="52"/>
      <c r="C881" s="53"/>
      <c r="D881" s="53"/>
      <c r="E881" s="53"/>
      <c r="F881" s="53"/>
      <c r="G881" s="53"/>
      <c r="H881" s="1"/>
      <c r="I881" s="1"/>
    </row>
    <row r="882" ht="14.25" customHeight="1">
      <c r="A882" s="52"/>
      <c r="B882" s="52"/>
      <c r="C882" s="53"/>
      <c r="D882" s="53"/>
      <c r="E882" s="53"/>
      <c r="F882" s="53"/>
      <c r="G882" s="53"/>
      <c r="H882" s="1"/>
      <c r="I882" s="1"/>
    </row>
    <row r="883" ht="14.25" customHeight="1">
      <c r="A883" s="52"/>
      <c r="B883" s="52"/>
      <c r="C883" s="53"/>
      <c r="D883" s="53"/>
      <c r="E883" s="53"/>
      <c r="F883" s="53"/>
      <c r="G883" s="53"/>
      <c r="H883" s="1"/>
      <c r="I883" s="1"/>
    </row>
    <row r="884" ht="14.25" customHeight="1">
      <c r="A884" s="52"/>
      <c r="B884" s="52"/>
      <c r="C884" s="53"/>
      <c r="D884" s="53"/>
      <c r="E884" s="53"/>
      <c r="F884" s="53"/>
      <c r="G884" s="53"/>
      <c r="H884" s="1"/>
      <c r="I884" s="1"/>
    </row>
    <row r="885" ht="14.25" customHeight="1">
      <c r="A885" s="52"/>
      <c r="B885" s="52"/>
      <c r="C885" s="53"/>
      <c r="D885" s="53"/>
      <c r="E885" s="53"/>
      <c r="F885" s="53"/>
      <c r="G885" s="53"/>
      <c r="H885" s="1"/>
      <c r="I885" s="1"/>
    </row>
    <row r="886" ht="14.25" customHeight="1">
      <c r="A886" s="52"/>
      <c r="B886" s="52"/>
      <c r="C886" s="53"/>
      <c r="D886" s="53"/>
      <c r="E886" s="53"/>
      <c r="F886" s="53"/>
      <c r="G886" s="53"/>
      <c r="H886" s="1"/>
      <c r="I886" s="1"/>
    </row>
    <row r="887" ht="14.25" customHeight="1">
      <c r="A887" s="52"/>
      <c r="B887" s="52"/>
      <c r="C887" s="53"/>
      <c r="D887" s="53"/>
      <c r="E887" s="53"/>
      <c r="F887" s="53"/>
      <c r="G887" s="53"/>
      <c r="H887" s="1"/>
      <c r="I887" s="1"/>
    </row>
    <row r="888" ht="14.25" customHeight="1">
      <c r="A888" s="52"/>
      <c r="B888" s="52"/>
      <c r="C888" s="53"/>
      <c r="D888" s="53"/>
      <c r="E888" s="53"/>
      <c r="F888" s="53"/>
      <c r="G888" s="53"/>
      <c r="H888" s="1"/>
      <c r="I888" s="1"/>
    </row>
    <row r="889" ht="14.25" customHeight="1">
      <c r="A889" s="52"/>
      <c r="B889" s="52"/>
      <c r="C889" s="53"/>
      <c r="D889" s="53"/>
      <c r="E889" s="53"/>
      <c r="F889" s="53"/>
      <c r="G889" s="53"/>
      <c r="H889" s="1"/>
      <c r="I889" s="1"/>
    </row>
    <row r="890" ht="14.25" customHeight="1">
      <c r="A890" s="52"/>
      <c r="B890" s="52"/>
      <c r="C890" s="53"/>
      <c r="D890" s="53"/>
      <c r="E890" s="53"/>
      <c r="F890" s="53"/>
      <c r="G890" s="53"/>
      <c r="H890" s="1"/>
      <c r="I890" s="1"/>
    </row>
    <row r="891" ht="14.25" customHeight="1">
      <c r="A891" s="52"/>
      <c r="B891" s="52"/>
      <c r="C891" s="53"/>
      <c r="D891" s="53"/>
      <c r="E891" s="53"/>
      <c r="F891" s="53"/>
      <c r="G891" s="53"/>
      <c r="H891" s="1"/>
      <c r="I891" s="1"/>
    </row>
    <row r="892" ht="14.25" customHeight="1">
      <c r="A892" s="52"/>
      <c r="B892" s="52"/>
      <c r="C892" s="53"/>
      <c r="D892" s="53"/>
      <c r="E892" s="53"/>
      <c r="F892" s="53"/>
      <c r="G892" s="53"/>
      <c r="H892" s="1"/>
      <c r="I892" s="1"/>
    </row>
    <row r="893" ht="14.25" customHeight="1">
      <c r="A893" s="52"/>
      <c r="B893" s="52"/>
      <c r="C893" s="53"/>
      <c r="D893" s="53"/>
      <c r="E893" s="53"/>
      <c r="F893" s="53"/>
      <c r="G893" s="53"/>
      <c r="H893" s="1"/>
      <c r="I893" s="1"/>
    </row>
    <row r="894" ht="14.25" customHeight="1">
      <c r="A894" s="52"/>
      <c r="B894" s="52"/>
      <c r="C894" s="53"/>
      <c r="D894" s="53"/>
      <c r="E894" s="53"/>
      <c r="F894" s="53"/>
      <c r="G894" s="53"/>
      <c r="H894" s="1"/>
      <c r="I894" s="1"/>
    </row>
    <row r="895" ht="14.25" customHeight="1">
      <c r="A895" s="52"/>
      <c r="B895" s="52"/>
      <c r="C895" s="53"/>
      <c r="D895" s="53"/>
      <c r="E895" s="53"/>
      <c r="F895" s="53"/>
      <c r="G895" s="53"/>
      <c r="H895" s="1"/>
      <c r="I895" s="1"/>
    </row>
    <row r="896" ht="14.25" customHeight="1">
      <c r="A896" s="52"/>
      <c r="B896" s="52"/>
      <c r="C896" s="53"/>
      <c r="D896" s="53"/>
      <c r="E896" s="53"/>
      <c r="F896" s="53"/>
      <c r="G896" s="53"/>
      <c r="H896" s="1"/>
      <c r="I896" s="1"/>
    </row>
    <row r="897" ht="14.25" customHeight="1">
      <c r="A897" s="52"/>
      <c r="B897" s="52"/>
      <c r="C897" s="53"/>
      <c r="D897" s="53"/>
      <c r="E897" s="53"/>
      <c r="F897" s="53"/>
      <c r="G897" s="53"/>
      <c r="H897" s="1"/>
      <c r="I897" s="1"/>
    </row>
    <row r="898" ht="14.25" customHeight="1">
      <c r="A898" s="52"/>
      <c r="B898" s="52"/>
      <c r="C898" s="53"/>
      <c r="D898" s="53"/>
      <c r="E898" s="53"/>
      <c r="F898" s="53"/>
      <c r="G898" s="53"/>
      <c r="H898" s="1"/>
      <c r="I898" s="1"/>
    </row>
    <row r="899" ht="14.25" customHeight="1">
      <c r="A899" s="52"/>
      <c r="B899" s="52"/>
      <c r="C899" s="53"/>
      <c r="D899" s="53"/>
      <c r="E899" s="53"/>
      <c r="F899" s="53"/>
      <c r="G899" s="53"/>
      <c r="H899" s="1"/>
      <c r="I899" s="1"/>
    </row>
    <row r="900" ht="14.25" customHeight="1">
      <c r="A900" s="52"/>
      <c r="B900" s="52"/>
      <c r="C900" s="53"/>
      <c r="D900" s="53"/>
      <c r="E900" s="53"/>
      <c r="F900" s="53"/>
      <c r="G900" s="53"/>
      <c r="H900" s="1"/>
      <c r="I900" s="1"/>
    </row>
    <row r="901" ht="14.25" customHeight="1">
      <c r="A901" s="52"/>
      <c r="B901" s="52"/>
      <c r="C901" s="53"/>
      <c r="D901" s="53"/>
      <c r="E901" s="53"/>
      <c r="F901" s="53"/>
      <c r="G901" s="53"/>
      <c r="H901" s="1"/>
      <c r="I901" s="1"/>
    </row>
    <row r="902" ht="14.25" customHeight="1">
      <c r="A902" s="52"/>
      <c r="B902" s="52"/>
      <c r="C902" s="53"/>
      <c r="D902" s="53"/>
      <c r="E902" s="53"/>
      <c r="F902" s="53"/>
      <c r="G902" s="53"/>
      <c r="H902" s="1"/>
      <c r="I902" s="1"/>
    </row>
    <row r="903" ht="14.25" customHeight="1">
      <c r="A903" s="52"/>
      <c r="B903" s="52"/>
      <c r="C903" s="53"/>
      <c r="D903" s="53"/>
      <c r="E903" s="53"/>
      <c r="F903" s="53"/>
      <c r="G903" s="53"/>
      <c r="H903" s="1"/>
      <c r="I903" s="1"/>
    </row>
    <row r="904" ht="14.25" customHeight="1">
      <c r="A904" s="52"/>
      <c r="B904" s="52"/>
      <c r="C904" s="53"/>
      <c r="D904" s="53"/>
      <c r="E904" s="53"/>
      <c r="F904" s="53"/>
      <c r="G904" s="53"/>
      <c r="H904" s="1"/>
      <c r="I904" s="1"/>
    </row>
    <row r="905" ht="14.25" customHeight="1">
      <c r="A905" s="52"/>
      <c r="B905" s="52"/>
      <c r="C905" s="53"/>
      <c r="D905" s="53"/>
      <c r="E905" s="53"/>
      <c r="F905" s="53"/>
      <c r="G905" s="53"/>
      <c r="H905" s="1"/>
      <c r="I905" s="1"/>
    </row>
    <row r="906" ht="14.25" customHeight="1">
      <c r="A906" s="52"/>
      <c r="B906" s="52"/>
      <c r="C906" s="53"/>
      <c r="D906" s="53"/>
      <c r="E906" s="53"/>
      <c r="F906" s="53"/>
      <c r="G906" s="53"/>
      <c r="H906" s="1"/>
      <c r="I906" s="1"/>
    </row>
    <row r="907" ht="14.25" customHeight="1">
      <c r="A907" s="52"/>
      <c r="B907" s="52"/>
      <c r="C907" s="53"/>
      <c r="D907" s="53"/>
      <c r="E907" s="53"/>
      <c r="F907" s="53"/>
      <c r="G907" s="53"/>
      <c r="H907" s="1"/>
      <c r="I907" s="1"/>
    </row>
    <row r="908" ht="14.25" customHeight="1">
      <c r="A908" s="52"/>
      <c r="B908" s="52"/>
      <c r="C908" s="53"/>
      <c r="D908" s="53"/>
      <c r="E908" s="53"/>
      <c r="F908" s="53"/>
      <c r="G908" s="53"/>
      <c r="H908" s="1"/>
      <c r="I908" s="1"/>
    </row>
    <row r="909" ht="14.25" customHeight="1">
      <c r="A909" s="52"/>
      <c r="B909" s="52"/>
      <c r="C909" s="53"/>
      <c r="D909" s="53"/>
      <c r="E909" s="53"/>
      <c r="F909" s="53"/>
      <c r="G909" s="53"/>
      <c r="H909" s="1"/>
      <c r="I909" s="1"/>
    </row>
    <row r="910" ht="14.25" customHeight="1">
      <c r="A910" s="52"/>
      <c r="B910" s="52"/>
      <c r="C910" s="53"/>
      <c r="D910" s="53"/>
      <c r="E910" s="53"/>
      <c r="F910" s="53"/>
      <c r="G910" s="53"/>
      <c r="H910" s="1"/>
      <c r="I910" s="1"/>
    </row>
    <row r="911" ht="14.25" customHeight="1">
      <c r="A911" s="52"/>
      <c r="B911" s="52"/>
      <c r="C911" s="53"/>
      <c r="D911" s="53"/>
      <c r="E911" s="53"/>
      <c r="F911" s="53"/>
      <c r="G911" s="53"/>
      <c r="H911" s="1"/>
      <c r="I911" s="1"/>
    </row>
    <row r="912" ht="14.25" customHeight="1">
      <c r="A912" s="52"/>
      <c r="B912" s="52"/>
      <c r="C912" s="53"/>
      <c r="D912" s="53"/>
      <c r="E912" s="53"/>
      <c r="F912" s="53"/>
      <c r="G912" s="53"/>
      <c r="H912" s="1"/>
      <c r="I912" s="1"/>
    </row>
    <row r="913" ht="14.25" customHeight="1">
      <c r="A913" s="52"/>
      <c r="B913" s="52"/>
      <c r="C913" s="53"/>
      <c r="D913" s="53"/>
      <c r="E913" s="53"/>
      <c r="F913" s="53"/>
      <c r="G913" s="53"/>
      <c r="H913" s="1"/>
      <c r="I913" s="1"/>
    </row>
    <row r="914" ht="14.25" customHeight="1">
      <c r="A914" s="52"/>
      <c r="B914" s="52"/>
      <c r="C914" s="53"/>
      <c r="D914" s="53"/>
      <c r="E914" s="53"/>
      <c r="F914" s="53"/>
      <c r="G914" s="53"/>
      <c r="H914" s="1"/>
      <c r="I914" s="1"/>
    </row>
    <row r="915" ht="14.25" customHeight="1">
      <c r="A915" s="52"/>
      <c r="B915" s="52"/>
      <c r="C915" s="53"/>
      <c r="D915" s="53"/>
      <c r="E915" s="53"/>
      <c r="F915" s="53"/>
      <c r="G915" s="53"/>
      <c r="H915" s="1"/>
      <c r="I915" s="1"/>
    </row>
    <row r="916" ht="14.25" customHeight="1">
      <c r="A916" s="52"/>
      <c r="B916" s="52"/>
      <c r="C916" s="53"/>
      <c r="D916" s="53"/>
      <c r="E916" s="53"/>
      <c r="F916" s="53"/>
      <c r="G916" s="53"/>
      <c r="H916" s="1"/>
      <c r="I916" s="1"/>
    </row>
    <row r="917" ht="14.25" customHeight="1">
      <c r="A917" s="52"/>
      <c r="B917" s="52"/>
      <c r="C917" s="53"/>
      <c r="D917" s="53"/>
      <c r="E917" s="53"/>
      <c r="F917" s="53"/>
      <c r="G917" s="53"/>
      <c r="H917" s="1"/>
      <c r="I917" s="1"/>
    </row>
    <row r="918" ht="14.25" customHeight="1">
      <c r="A918" s="52"/>
      <c r="B918" s="52"/>
      <c r="C918" s="53"/>
      <c r="D918" s="53"/>
      <c r="E918" s="53"/>
      <c r="F918" s="53"/>
      <c r="G918" s="53"/>
      <c r="H918" s="1"/>
      <c r="I918" s="1"/>
    </row>
    <row r="919" ht="14.25" customHeight="1">
      <c r="A919" s="52"/>
      <c r="B919" s="52"/>
      <c r="C919" s="53"/>
      <c r="D919" s="53"/>
      <c r="E919" s="53"/>
      <c r="F919" s="53"/>
      <c r="G919" s="53"/>
      <c r="H919" s="1"/>
      <c r="I919" s="1"/>
    </row>
    <row r="920" ht="14.25" customHeight="1">
      <c r="A920" s="52"/>
      <c r="B920" s="52"/>
      <c r="C920" s="53"/>
      <c r="D920" s="53"/>
      <c r="E920" s="53"/>
      <c r="F920" s="53"/>
      <c r="G920" s="53"/>
      <c r="H920" s="1"/>
      <c r="I920" s="1"/>
    </row>
    <row r="921" ht="14.25" customHeight="1">
      <c r="A921" s="52"/>
      <c r="B921" s="52"/>
      <c r="C921" s="53"/>
      <c r="D921" s="53"/>
      <c r="E921" s="53"/>
      <c r="F921" s="53"/>
      <c r="G921" s="53"/>
      <c r="H921" s="1"/>
      <c r="I921" s="1"/>
    </row>
    <row r="922" ht="14.25" customHeight="1">
      <c r="A922" s="52"/>
      <c r="B922" s="52"/>
      <c r="C922" s="53"/>
      <c r="D922" s="53"/>
      <c r="E922" s="53"/>
      <c r="F922" s="53"/>
      <c r="G922" s="53"/>
      <c r="H922" s="1"/>
      <c r="I922" s="1"/>
    </row>
    <row r="923" ht="14.25" customHeight="1">
      <c r="A923" s="52"/>
      <c r="B923" s="52"/>
      <c r="C923" s="53"/>
      <c r="D923" s="53"/>
      <c r="E923" s="53"/>
      <c r="F923" s="53"/>
      <c r="G923" s="53"/>
      <c r="H923" s="1"/>
      <c r="I923" s="1"/>
    </row>
    <row r="924" ht="14.25" customHeight="1">
      <c r="A924" s="52"/>
      <c r="B924" s="52"/>
      <c r="C924" s="53"/>
      <c r="D924" s="53"/>
      <c r="E924" s="53"/>
      <c r="F924" s="53"/>
      <c r="G924" s="53"/>
      <c r="H924" s="1"/>
      <c r="I924" s="1"/>
    </row>
    <row r="925" ht="14.25" customHeight="1">
      <c r="A925" s="52"/>
      <c r="B925" s="52"/>
      <c r="C925" s="53"/>
      <c r="D925" s="53"/>
      <c r="E925" s="53"/>
      <c r="F925" s="53"/>
      <c r="G925" s="53"/>
      <c r="H925" s="1"/>
      <c r="I925" s="1"/>
    </row>
    <row r="926" ht="14.25" customHeight="1">
      <c r="A926" s="52"/>
      <c r="B926" s="52"/>
      <c r="C926" s="53"/>
      <c r="D926" s="53"/>
      <c r="E926" s="53"/>
      <c r="F926" s="53"/>
      <c r="G926" s="53"/>
      <c r="H926" s="1"/>
      <c r="I926" s="1"/>
    </row>
    <row r="927" ht="14.25" customHeight="1">
      <c r="A927" s="52"/>
      <c r="B927" s="52"/>
      <c r="C927" s="53"/>
      <c r="D927" s="53"/>
      <c r="E927" s="53"/>
      <c r="F927" s="53"/>
      <c r="G927" s="53"/>
      <c r="H927" s="1"/>
      <c r="I927" s="1"/>
    </row>
    <row r="928" ht="14.25" customHeight="1">
      <c r="A928" s="52"/>
      <c r="B928" s="52"/>
      <c r="C928" s="53"/>
      <c r="D928" s="53"/>
      <c r="E928" s="53"/>
      <c r="F928" s="53"/>
      <c r="G928" s="53"/>
      <c r="H928" s="1"/>
      <c r="I928" s="1"/>
    </row>
    <row r="929" ht="14.25" customHeight="1">
      <c r="A929" s="52"/>
      <c r="B929" s="52"/>
      <c r="C929" s="53"/>
      <c r="D929" s="53"/>
      <c r="E929" s="53"/>
      <c r="F929" s="53"/>
      <c r="G929" s="53"/>
      <c r="H929" s="1"/>
      <c r="I929" s="1"/>
    </row>
    <row r="930" ht="14.25" customHeight="1">
      <c r="A930" s="52"/>
      <c r="B930" s="52"/>
      <c r="C930" s="53"/>
      <c r="D930" s="53"/>
      <c r="E930" s="53"/>
      <c r="F930" s="53"/>
      <c r="G930" s="53"/>
      <c r="H930" s="1"/>
      <c r="I930" s="1"/>
    </row>
    <row r="931" ht="14.25" customHeight="1">
      <c r="A931" s="52"/>
      <c r="B931" s="52"/>
      <c r="C931" s="53"/>
      <c r="D931" s="53"/>
      <c r="E931" s="53"/>
      <c r="F931" s="53"/>
      <c r="G931" s="53"/>
      <c r="H931" s="1"/>
      <c r="I931" s="1"/>
    </row>
    <row r="932" ht="14.25" customHeight="1">
      <c r="A932" s="52"/>
      <c r="B932" s="52"/>
      <c r="C932" s="53"/>
      <c r="D932" s="53"/>
      <c r="E932" s="53"/>
      <c r="F932" s="53"/>
      <c r="G932" s="53"/>
      <c r="H932" s="1"/>
      <c r="I932" s="1"/>
    </row>
    <row r="933" ht="14.25" customHeight="1">
      <c r="A933" s="52"/>
      <c r="B933" s="52"/>
      <c r="C933" s="53"/>
      <c r="D933" s="53"/>
      <c r="E933" s="53"/>
      <c r="F933" s="53"/>
      <c r="G933" s="53"/>
      <c r="H933" s="1"/>
      <c r="I933" s="1"/>
    </row>
    <row r="934" ht="14.25" customHeight="1">
      <c r="A934" s="52"/>
      <c r="B934" s="52"/>
      <c r="C934" s="53"/>
      <c r="D934" s="53"/>
      <c r="E934" s="53"/>
      <c r="F934" s="53"/>
      <c r="G934" s="53"/>
      <c r="H934" s="1"/>
      <c r="I934" s="1"/>
    </row>
    <row r="935" ht="14.25" customHeight="1">
      <c r="A935" s="52"/>
      <c r="B935" s="52"/>
      <c r="C935" s="53"/>
      <c r="D935" s="53"/>
      <c r="E935" s="53"/>
      <c r="F935" s="53"/>
      <c r="G935" s="53"/>
      <c r="H935" s="1"/>
      <c r="I935" s="1"/>
    </row>
    <row r="936" ht="14.25" customHeight="1">
      <c r="A936" s="52"/>
      <c r="B936" s="52"/>
      <c r="C936" s="53"/>
      <c r="D936" s="53"/>
      <c r="E936" s="53"/>
      <c r="F936" s="53"/>
      <c r="G936" s="53"/>
      <c r="H936" s="1"/>
      <c r="I936" s="1"/>
    </row>
    <row r="937" ht="14.25" customHeight="1">
      <c r="A937" s="52"/>
      <c r="B937" s="52"/>
      <c r="C937" s="53"/>
      <c r="D937" s="53"/>
      <c r="E937" s="53"/>
      <c r="F937" s="53"/>
      <c r="G937" s="53"/>
      <c r="H937" s="1"/>
      <c r="I937" s="1"/>
    </row>
    <row r="938" ht="14.25" customHeight="1">
      <c r="A938" s="52"/>
      <c r="B938" s="52"/>
      <c r="C938" s="53"/>
      <c r="D938" s="53"/>
      <c r="E938" s="53"/>
      <c r="F938" s="53"/>
      <c r="G938" s="53"/>
      <c r="H938" s="1"/>
      <c r="I938" s="1"/>
    </row>
    <row r="939" ht="14.25" customHeight="1">
      <c r="A939" s="52"/>
      <c r="B939" s="52"/>
      <c r="C939" s="53"/>
      <c r="D939" s="53"/>
      <c r="E939" s="53"/>
      <c r="F939" s="53"/>
      <c r="G939" s="53"/>
      <c r="H939" s="1"/>
      <c r="I939" s="1"/>
    </row>
    <row r="940" ht="14.25" customHeight="1">
      <c r="A940" s="52"/>
      <c r="B940" s="52"/>
      <c r="C940" s="53"/>
      <c r="D940" s="53"/>
      <c r="E940" s="53"/>
      <c r="F940" s="53"/>
      <c r="G940" s="53"/>
      <c r="H940" s="1"/>
      <c r="I940" s="1"/>
    </row>
    <row r="941" ht="14.25" customHeight="1">
      <c r="A941" s="52"/>
      <c r="B941" s="52"/>
      <c r="C941" s="53"/>
      <c r="D941" s="53"/>
      <c r="E941" s="53"/>
      <c r="F941" s="53"/>
      <c r="G941" s="53"/>
      <c r="H941" s="1"/>
      <c r="I941" s="1"/>
    </row>
    <row r="942" ht="14.25" customHeight="1">
      <c r="A942" s="52"/>
      <c r="B942" s="52"/>
      <c r="C942" s="53"/>
      <c r="D942" s="53"/>
      <c r="E942" s="53"/>
      <c r="F942" s="53"/>
      <c r="G942" s="53"/>
      <c r="H942" s="1"/>
      <c r="I942" s="1"/>
    </row>
    <row r="943" ht="14.25" customHeight="1">
      <c r="A943" s="52"/>
      <c r="B943" s="52"/>
      <c r="C943" s="53"/>
      <c r="D943" s="53"/>
      <c r="E943" s="53"/>
      <c r="F943" s="53"/>
      <c r="G943" s="53"/>
      <c r="H943" s="1"/>
      <c r="I943" s="1"/>
    </row>
    <row r="944" ht="14.25" customHeight="1">
      <c r="A944" s="52"/>
      <c r="B944" s="52"/>
      <c r="C944" s="53"/>
      <c r="D944" s="53"/>
      <c r="E944" s="53"/>
      <c r="F944" s="53"/>
      <c r="G944" s="53"/>
      <c r="H944" s="1"/>
      <c r="I944" s="1"/>
    </row>
    <row r="945" ht="14.25" customHeight="1">
      <c r="A945" s="52"/>
      <c r="B945" s="52"/>
      <c r="C945" s="53"/>
      <c r="D945" s="53"/>
      <c r="E945" s="53"/>
      <c r="F945" s="53"/>
      <c r="G945" s="53"/>
      <c r="H945" s="1"/>
      <c r="I945" s="1"/>
    </row>
    <row r="946" ht="14.25" customHeight="1">
      <c r="A946" s="52"/>
      <c r="B946" s="52"/>
      <c r="C946" s="53"/>
      <c r="D946" s="53"/>
      <c r="E946" s="53"/>
      <c r="F946" s="53"/>
      <c r="G946" s="53"/>
      <c r="H946" s="1"/>
      <c r="I946" s="1"/>
    </row>
    <row r="947" ht="14.25" customHeight="1">
      <c r="A947" s="52"/>
      <c r="B947" s="52"/>
      <c r="C947" s="53"/>
      <c r="D947" s="53"/>
      <c r="E947" s="53"/>
      <c r="F947" s="53"/>
      <c r="G947" s="53"/>
      <c r="H947" s="1"/>
      <c r="I947" s="1"/>
    </row>
    <row r="948" ht="14.25" customHeight="1">
      <c r="A948" s="52"/>
      <c r="B948" s="52"/>
      <c r="C948" s="53"/>
      <c r="D948" s="53"/>
      <c r="E948" s="53"/>
      <c r="F948" s="53"/>
      <c r="G948" s="53"/>
      <c r="H948" s="1"/>
      <c r="I948" s="1"/>
    </row>
    <row r="949" ht="14.25" customHeight="1">
      <c r="A949" s="52"/>
      <c r="B949" s="52"/>
      <c r="C949" s="53"/>
      <c r="D949" s="53"/>
      <c r="E949" s="53"/>
      <c r="F949" s="53"/>
      <c r="G949" s="53"/>
      <c r="H949" s="1"/>
      <c r="I949" s="1"/>
    </row>
    <row r="950" ht="14.25" customHeight="1">
      <c r="A950" s="52"/>
      <c r="B950" s="52"/>
      <c r="C950" s="53"/>
      <c r="D950" s="53"/>
      <c r="E950" s="53"/>
      <c r="F950" s="53"/>
      <c r="G950" s="53"/>
      <c r="H950" s="1"/>
      <c r="I950" s="1"/>
    </row>
    <row r="951" ht="14.25" customHeight="1">
      <c r="A951" s="52"/>
      <c r="B951" s="52"/>
      <c r="C951" s="53"/>
      <c r="D951" s="53"/>
      <c r="E951" s="53"/>
      <c r="F951" s="53"/>
      <c r="G951" s="53"/>
      <c r="H951" s="1"/>
      <c r="I951" s="1"/>
    </row>
    <row r="952" ht="14.25" customHeight="1">
      <c r="A952" s="52"/>
      <c r="B952" s="52"/>
      <c r="C952" s="53"/>
      <c r="D952" s="53"/>
      <c r="E952" s="53"/>
      <c r="F952" s="53"/>
      <c r="G952" s="53"/>
      <c r="H952" s="1"/>
      <c r="I952" s="1"/>
    </row>
    <row r="953" ht="14.25" customHeight="1">
      <c r="A953" s="52"/>
      <c r="B953" s="52"/>
      <c r="C953" s="53"/>
      <c r="D953" s="53"/>
      <c r="E953" s="53"/>
      <c r="F953" s="53"/>
      <c r="G953" s="53"/>
      <c r="H953" s="1"/>
      <c r="I953" s="1"/>
    </row>
    <row r="954" ht="14.25" customHeight="1">
      <c r="A954" s="52"/>
      <c r="B954" s="52"/>
      <c r="C954" s="53"/>
      <c r="D954" s="53"/>
      <c r="E954" s="53"/>
      <c r="F954" s="53"/>
      <c r="G954" s="53"/>
      <c r="H954" s="1"/>
      <c r="I954" s="1"/>
    </row>
    <row r="955" ht="14.25" customHeight="1">
      <c r="A955" s="52"/>
      <c r="B955" s="52"/>
      <c r="C955" s="53"/>
      <c r="D955" s="53"/>
      <c r="E955" s="53"/>
      <c r="F955" s="53"/>
      <c r="G955" s="53"/>
      <c r="H955" s="1"/>
      <c r="I955" s="1"/>
    </row>
    <row r="956" ht="14.25" customHeight="1">
      <c r="A956" s="52"/>
      <c r="B956" s="52"/>
      <c r="C956" s="53"/>
      <c r="D956" s="53"/>
      <c r="E956" s="53"/>
      <c r="F956" s="53"/>
      <c r="G956" s="53"/>
      <c r="H956" s="1"/>
      <c r="I956" s="1"/>
    </row>
    <row r="957" ht="14.25" customHeight="1">
      <c r="A957" s="52"/>
      <c r="B957" s="52"/>
      <c r="C957" s="53"/>
      <c r="D957" s="53"/>
      <c r="E957" s="53"/>
      <c r="F957" s="53"/>
      <c r="G957" s="53"/>
      <c r="H957" s="1"/>
      <c r="I957" s="1"/>
    </row>
    <row r="958" ht="14.25" customHeight="1">
      <c r="A958" s="52"/>
      <c r="B958" s="52"/>
      <c r="C958" s="53"/>
      <c r="D958" s="53"/>
      <c r="E958" s="53"/>
      <c r="F958" s="53"/>
      <c r="G958" s="53"/>
      <c r="H958" s="1"/>
      <c r="I958" s="1"/>
    </row>
    <row r="959" ht="14.25" customHeight="1">
      <c r="A959" s="52"/>
      <c r="B959" s="52"/>
      <c r="C959" s="53"/>
      <c r="D959" s="53"/>
      <c r="E959" s="53"/>
      <c r="F959" s="53"/>
      <c r="G959" s="53"/>
      <c r="H959" s="1"/>
      <c r="I959" s="1"/>
    </row>
    <row r="960" ht="14.25" customHeight="1">
      <c r="A960" s="52"/>
      <c r="B960" s="52"/>
      <c r="C960" s="53"/>
      <c r="D960" s="53"/>
      <c r="E960" s="53"/>
      <c r="F960" s="53"/>
      <c r="G960" s="53"/>
      <c r="H960" s="1"/>
      <c r="I960" s="1"/>
    </row>
    <row r="961" ht="14.25" customHeight="1">
      <c r="A961" s="52"/>
      <c r="B961" s="52"/>
      <c r="C961" s="53"/>
      <c r="D961" s="53"/>
      <c r="E961" s="53"/>
      <c r="F961" s="53"/>
      <c r="G961" s="53"/>
      <c r="H961" s="1"/>
      <c r="I961" s="1"/>
    </row>
    <row r="962" ht="14.25" customHeight="1">
      <c r="A962" s="52"/>
      <c r="B962" s="52"/>
      <c r="C962" s="53"/>
      <c r="D962" s="53"/>
      <c r="E962" s="53"/>
      <c r="F962" s="53"/>
      <c r="G962" s="53"/>
      <c r="H962" s="1"/>
      <c r="I962" s="1"/>
    </row>
    <row r="963" ht="14.25" customHeight="1">
      <c r="A963" s="52"/>
      <c r="B963" s="52"/>
      <c r="C963" s="53"/>
      <c r="D963" s="53"/>
      <c r="E963" s="53"/>
      <c r="F963" s="53"/>
      <c r="G963" s="53"/>
      <c r="H963" s="1"/>
      <c r="I963" s="1"/>
    </row>
    <row r="964" ht="14.25" customHeight="1">
      <c r="A964" s="52"/>
      <c r="B964" s="52"/>
      <c r="C964" s="53"/>
      <c r="D964" s="53"/>
      <c r="E964" s="53"/>
      <c r="F964" s="53"/>
      <c r="G964" s="53"/>
      <c r="H964" s="1"/>
      <c r="I964" s="1"/>
    </row>
    <row r="965" ht="14.25" customHeight="1">
      <c r="A965" s="52"/>
      <c r="B965" s="52"/>
      <c r="C965" s="53"/>
      <c r="D965" s="53"/>
      <c r="E965" s="53"/>
      <c r="F965" s="53"/>
      <c r="G965" s="53"/>
      <c r="H965" s="1"/>
      <c r="I965" s="1"/>
    </row>
    <row r="966" ht="14.25" customHeight="1">
      <c r="A966" s="52"/>
      <c r="B966" s="52"/>
      <c r="C966" s="53"/>
      <c r="D966" s="53"/>
      <c r="E966" s="53"/>
      <c r="F966" s="53"/>
      <c r="G966" s="53"/>
      <c r="H966" s="1"/>
      <c r="I966" s="1"/>
    </row>
    <row r="967" ht="14.25" customHeight="1">
      <c r="A967" s="52"/>
      <c r="B967" s="52"/>
      <c r="C967" s="53"/>
      <c r="D967" s="53"/>
      <c r="E967" s="53"/>
      <c r="F967" s="53"/>
      <c r="G967" s="53"/>
      <c r="H967" s="1"/>
      <c r="I967" s="1"/>
    </row>
    <row r="968" ht="14.25" customHeight="1">
      <c r="A968" s="52"/>
      <c r="B968" s="52"/>
      <c r="C968" s="53"/>
      <c r="D968" s="53"/>
      <c r="E968" s="53"/>
      <c r="F968" s="53"/>
      <c r="G968" s="53"/>
      <c r="H968" s="1"/>
      <c r="I968" s="1"/>
    </row>
    <row r="969" ht="14.25" customHeight="1">
      <c r="A969" s="52"/>
      <c r="B969" s="52"/>
      <c r="C969" s="53"/>
      <c r="D969" s="53"/>
      <c r="E969" s="53"/>
      <c r="F969" s="53"/>
      <c r="G969" s="53"/>
      <c r="H969" s="1"/>
      <c r="I969" s="1"/>
    </row>
    <row r="970" ht="14.25" customHeight="1">
      <c r="A970" s="52"/>
      <c r="B970" s="52"/>
      <c r="C970" s="53"/>
      <c r="D970" s="53"/>
      <c r="E970" s="53"/>
      <c r="F970" s="53"/>
      <c r="G970" s="53"/>
      <c r="H970" s="1"/>
      <c r="I970" s="1"/>
    </row>
    <row r="971" ht="14.25" customHeight="1">
      <c r="A971" s="52"/>
      <c r="B971" s="52"/>
      <c r="C971" s="53"/>
      <c r="D971" s="53"/>
      <c r="E971" s="53"/>
      <c r="F971" s="53"/>
      <c r="G971" s="53"/>
      <c r="H971" s="1"/>
      <c r="I971" s="1"/>
    </row>
    <row r="972" ht="14.25" customHeight="1">
      <c r="A972" s="52"/>
      <c r="B972" s="52"/>
      <c r="C972" s="53"/>
      <c r="D972" s="53"/>
      <c r="E972" s="53"/>
      <c r="F972" s="53"/>
      <c r="G972" s="53"/>
      <c r="H972" s="1"/>
      <c r="I972" s="1"/>
    </row>
    <row r="973" ht="14.25" customHeight="1">
      <c r="A973" s="52"/>
      <c r="B973" s="52"/>
      <c r="C973" s="53"/>
      <c r="D973" s="53"/>
      <c r="E973" s="53"/>
      <c r="F973" s="53"/>
      <c r="G973" s="53"/>
      <c r="H973" s="1"/>
      <c r="I973" s="1"/>
    </row>
    <row r="974" ht="14.25" customHeight="1">
      <c r="A974" s="52"/>
      <c r="B974" s="52"/>
      <c r="C974" s="53"/>
      <c r="D974" s="53"/>
      <c r="E974" s="53"/>
      <c r="F974" s="53"/>
      <c r="G974" s="53"/>
      <c r="H974" s="1"/>
      <c r="I974" s="1"/>
    </row>
    <row r="975" ht="14.25" customHeight="1">
      <c r="A975" s="52"/>
      <c r="B975" s="52"/>
      <c r="C975" s="53"/>
      <c r="D975" s="53"/>
      <c r="E975" s="53"/>
      <c r="F975" s="53"/>
      <c r="G975" s="53"/>
      <c r="H975" s="1"/>
      <c r="I975" s="1"/>
    </row>
    <row r="976" ht="14.25" customHeight="1">
      <c r="A976" s="52"/>
      <c r="B976" s="52"/>
      <c r="C976" s="53"/>
      <c r="D976" s="53"/>
      <c r="E976" s="53"/>
      <c r="F976" s="53"/>
      <c r="G976" s="53"/>
      <c r="H976" s="1"/>
      <c r="I976" s="1"/>
    </row>
    <row r="977" ht="14.25" customHeight="1">
      <c r="A977" s="52"/>
      <c r="B977" s="52"/>
      <c r="C977" s="53"/>
      <c r="D977" s="53"/>
      <c r="E977" s="53"/>
      <c r="F977" s="53"/>
      <c r="G977" s="53"/>
      <c r="H977" s="1"/>
      <c r="I977" s="1"/>
    </row>
    <row r="978" ht="14.25" customHeight="1">
      <c r="A978" s="52"/>
      <c r="B978" s="52"/>
      <c r="C978" s="53"/>
      <c r="D978" s="53"/>
      <c r="E978" s="53"/>
      <c r="F978" s="53"/>
      <c r="G978" s="53"/>
      <c r="H978" s="1"/>
      <c r="I978" s="1"/>
    </row>
    <row r="979" ht="14.25" customHeight="1">
      <c r="A979" s="52"/>
      <c r="B979" s="52"/>
      <c r="C979" s="53"/>
      <c r="D979" s="53"/>
      <c r="E979" s="53"/>
      <c r="F979" s="53"/>
      <c r="G979" s="53"/>
      <c r="H979" s="1"/>
      <c r="I979" s="1"/>
    </row>
    <row r="980" ht="14.25" customHeight="1">
      <c r="A980" s="52"/>
      <c r="B980" s="52"/>
      <c r="C980" s="53"/>
      <c r="D980" s="53"/>
      <c r="E980" s="53"/>
      <c r="F980" s="53"/>
      <c r="G980" s="53"/>
      <c r="H980" s="1"/>
      <c r="I980" s="1"/>
    </row>
    <row r="981" ht="14.25" customHeight="1">
      <c r="A981" s="52"/>
      <c r="B981" s="52"/>
      <c r="C981" s="53"/>
      <c r="D981" s="53"/>
      <c r="E981" s="53"/>
      <c r="F981" s="53"/>
      <c r="G981" s="53"/>
      <c r="H981" s="1"/>
      <c r="I981" s="1"/>
    </row>
    <row r="982" ht="14.25" customHeight="1">
      <c r="A982" s="52"/>
      <c r="B982" s="52"/>
      <c r="C982" s="53"/>
      <c r="D982" s="53"/>
      <c r="E982" s="53"/>
      <c r="F982" s="53"/>
      <c r="G982" s="53"/>
      <c r="H982" s="1"/>
      <c r="I982" s="1"/>
    </row>
    <row r="983" ht="14.25" customHeight="1">
      <c r="A983" s="52"/>
      <c r="B983" s="52"/>
      <c r="C983" s="53"/>
      <c r="D983" s="53"/>
      <c r="E983" s="53"/>
      <c r="F983" s="53"/>
      <c r="G983" s="53"/>
      <c r="H983" s="1"/>
      <c r="I983" s="1"/>
    </row>
    <row r="984" ht="14.25" customHeight="1">
      <c r="A984" s="52"/>
      <c r="B984" s="52"/>
      <c r="C984" s="53"/>
      <c r="D984" s="53"/>
      <c r="E984" s="53"/>
      <c r="F984" s="53"/>
      <c r="G984" s="53"/>
      <c r="H984" s="1"/>
      <c r="I984" s="1"/>
    </row>
    <row r="985" ht="14.25" customHeight="1">
      <c r="A985" s="52"/>
      <c r="B985" s="52"/>
      <c r="C985" s="53"/>
      <c r="D985" s="53"/>
      <c r="E985" s="53"/>
      <c r="F985" s="53"/>
      <c r="G985" s="53"/>
      <c r="H985" s="1"/>
      <c r="I985" s="1"/>
    </row>
    <row r="986" ht="14.25" customHeight="1">
      <c r="A986" s="52"/>
      <c r="B986" s="52"/>
      <c r="C986" s="53"/>
      <c r="D986" s="53"/>
      <c r="E986" s="53"/>
      <c r="F986" s="53"/>
      <c r="G986" s="53"/>
      <c r="H986" s="1"/>
      <c r="I986" s="1"/>
    </row>
    <row r="987" ht="14.25" customHeight="1">
      <c r="A987" s="52"/>
      <c r="B987" s="52"/>
      <c r="C987" s="53"/>
      <c r="D987" s="53"/>
      <c r="E987" s="53"/>
      <c r="F987" s="53"/>
      <c r="G987" s="53"/>
      <c r="H987" s="1"/>
      <c r="I987" s="1"/>
    </row>
    <row r="988" ht="14.25" customHeight="1">
      <c r="A988" s="52"/>
      <c r="B988" s="52"/>
      <c r="C988" s="53"/>
      <c r="D988" s="53"/>
      <c r="E988" s="53"/>
      <c r="F988" s="53"/>
      <c r="G988" s="53"/>
      <c r="H988" s="1"/>
      <c r="I988" s="1"/>
    </row>
    <row r="989" ht="14.25" customHeight="1">
      <c r="A989" s="52"/>
      <c r="B989" s="52"/>
      <c r="C989" s="53"/>
      <c r="D989" s="53"/>
      <c r="E989" s="53"/>
      <c r="F989" s="53"/>
      <c r="G989" s="53"/>
      <c r="H989" s="1"/>
      <c r="I989" s="1"/>
    </row>
    <row r="990" ht="14.25" customHeight="1">
      <c r="A990" s="52"/>
      <c r="B990" s="52"/>
      <c r="C990" s="53"/>
      <c r="D990" s="53"/>
      <c r="E990" s="53"/>
      <c r="F990" s="53"/>
      <c r="G990" s="53"/>
      <c r="H990" s="1"/>
      <c r="I990" s="1"/>
    </row>
    <row r="991" ht="14.25" customHeight="1">
      <c r="A991" s="52"/>
      <c r="B991" s="52"/>
      <c r="C991" s="53"/>
      <c r="D991" s="53"/>
      <c r="E991" s="53"/>
      <c r="F991" s="53"/>
      <c r="G991" s="53"/>
      <c r="H991" s="1"/>
      <c r="I991" s="1"/>
    </row>
    <row r="992" ht="14.25" customHeight="1">
      <c r="A992" s="52"/>
      <c r="B992" s="52"/>
      <c r="C992" s="53"/>
      <c r="D992" s="53"/>
      <c r="E992" s="53"/>
      <c r="F992" s="53"/>
      <c r="G992" s="53"/>
      <c r="H992" s="1"/>
      <c r="I992" s="1"/>
    </row>
    <row r="993" ht="14.25" customHeight="1">
      <c r="A993" s="52"/>
      <c r="B993" s="52"/>
      <c r="C993" s="53"/>
      <c r="D993" s="53"/>
      <c r="E993" s="53"/>
      <c r="F993" s="53"/>
      <c r="G993" s="53"/>
      <c r="H993" s="1"/>
      <c r="I993" s="1"/>
    </row>
    <row r="994" ht="14.25" customHeight="1">
      <c r="A994" s="52"/>
      <c r="B994" s="52"/>
      <c r="C994" s="53"/>
      <c r="D994" s="53"/>
      <c r="E994" s="53"/>
      <c r="F994" s="53"/>
      <c r="G994" s="53"/>
      <c r="H994" s="1"/>
      <c r="I994" s="1"/>
    </row>
    <row r="995" ht="14.25" customHeight="1">
      <c r="A995" s="52"/>
      <c r="B995" s="52"/>
      <c r="C995" s="53"/>
      <c r="D995" s="53"/>
      <c r="E995" s="53"/>
      <c r="F995" s="53"/>
      <c r="G995" s="53"/>
      <c r="H995" s="1"/>
      <c r="I995" s="1"/>
    </row>
    <row r="996" ht="14.25" customHeight="1">
      <c r="A996" s="52"/>
      <c r="B996" s="52"/>
      <c r="C996" s="53"/>
      <c r="D996" s="53"/>
      <c r="E996" s="53"/>
      <c r="F996" s="53"/>
      <c r="G996" s="53"/>
      <c r="H996" s="1"/>
      <c r="I996" s="1"/>
    </row>
    <row r="997" ht="14.25" customHeight="1">
      <c r="A997" s="52"/>
      <c r="B997" s="52"/>
      <c r="C997" s="53"/>
      <c r="D997" s="53"/>
      <c r="E997" s="53"/>
      <c r="F997" s="53"/>
      <c r="G997" s="53"/>
      <c r="H997" s="1"/>
      <c r="I997" s="1"/>
    </row>
    <row r="998" ht="14.25" customHeight="1">
      <c r="A998" s="52"/>
      <c r="B998" s="52"/>
      <c r="C998" s="53"/>
      <c r="D998" s="53"/>
      <c r="E998" s="53"/>
      <c r="F998" s="53"/>
      <c r="G998" s="53"/>
      <c r="H998" s="1"/>
      <c r="I998" s="1"/>
    </row>
    <row r="999" ht="14.25" customHeight="1">
      <c r="A999" s="52"/>
      <c r="B999" s="52"/>
      <c r="C999" s="53"/>
      <c r="D999" s="53"/>
      <c r="E999" s="53"/>
      <c r="F999" s="53"/>
      <c r="G999" s="53"/>
      <c r="H999" s="1"/>
      <c r="I999" s="1"/>
    </row>
    <row r="1000" ht="14.25" customHeight="1">
      <c r="A1000" s="52"/>
      <c r="B1000" s="52"/>
      <c r="C1000" s="53"/>
      <c r="D1000" s="53"/>
      <c r="E1000" s="53"/>
      <c r="F1000" s="53"/>
      <c r="G1000" s="53"/>
      <c r="H1000" s="1"/>
      <c r="I1000" s="1"/>
    </row>
  </sheetData>
  <mergeCells count="5">
    <mergeCell ref="A2:I2"/>
    <mergeCell ref="A4:I4"/>
    <mergeCell ref="A5:I5"/>
    <mergeCell ref="A6:I6"/>
    <mergeCell ref="A75:I75"/>
  </mergeCells>
  <hyperlinks>
    <hyperlink r:id="rId1" ref="E9"/>
    <hyperlink r:id="rId2" ref="E10"/>
    <hyperlink r:id="rId3" ref="E11"/>
    <hyperlink r:id="rId4" ref="E13"/>
    <hyperlink r:id="rId5" ref="E14"/>
    <hyperlink r:id="rId6" ref="E18"/>
    <hyperlink r:id="rId7" ref="E19"/>
    <hyperlink r:id="rId8" ref="E20"/>
    <hyperlink r:id="rId9" ref="E22"/>
    <hyperlink r:id="rId10" ref="E23"/>
    <hyperlink r:id="rId11" ref="E24"/>
    <hyperlink r:id="rId12" ref="E25"/>
    <hyperlink r:id="rId13" ref="E26"/>
    <hyperlink r:id="rId14" ref="E27"/>
    <hyperlink r:id="rId15" ref="E29"/>
    <hyperlink r:id="rId16" ref="E30"/>
    <hyperlink r:id="rId17" ref="E31"/>
    <hyperlink r:id="rId18" ref="E32"/>
    <hyperlink r:id="rId19" ref="E33"/>
    <hyperlink r:id="rId20" ref="E34"/>
    <hyperlink r:id="rId21" ref="E35"/>
    <hyperlink r:id="rId22" ref="E36"/>
    <hyperlink r:id="rId23" ref="E38"/>
    <hyperlink r:id="rId24" ref="E39"/>
    <hyperlink r:id="rId25" ref="E40"/>
    <hyperlink r:id="rId26" ref="E41"/>
    <hyperlink r:id="rId27" ref="E42"/>
    <hyperlink r:id="rId28" ref="E43"/>
    <hyperlink r:id="rId29" ref="E44"/>
    <hyperlink r:id="rId30" ref="E45"/>
    <hyperlink r:id="rId31" ref="E46"/>
    <hyperlink r:id="rId32" ref="E49"/>
  </hyperlinks>
  <printOptions/>
  <pageMargins bottom="0.75" footer="0.0" header="0.0" left="0.7" right="0.7" top="0.75"/>
  <pageSetup orientation="landscape"/>
  <drawing r:id="rId3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15.43"/>
    <col customWidth="1" min="3" max="3" width="12.43"/>
    <col customWidth="1" min="4" max="4" width="16.86"/>
    <col customWidth="1" min="5" max="5" width="12.43"/>
    <col customWidth="1" min="6" max="6" width="16.0"/>
    <col customWidth="1" min="7" max="7" width="12.14"/>
    <col customWidth="1" min="8" max="8" width="13.71"/>
    <col customWidth="1" min="9" max="9" width="10.71"/>
    <col customWidth="1" min="10" max="10" width="7.43"/>
    <col customWidth="1" min="11" max="11" width="20.86"/>
    <col customWidth="1" min="12" max="26" width="10.0"/>
  </cols>
  <sheetData>
    <row r="1" ht="14.25" customHeight="1">
      <c r="A1" s="52"/>
      <c r="B1" s="52"/>
      <c r="C1" s="52"/>
      <c r="D1" s="52"/>
      <c r="E1" s="53"/>
      <c r="F1" s="53"/>
      <c r="G1" s="53"/>
      <c r="H1" s="53"/>
      <c r="I1" s="53"/>
      <c r="J1" s="1"/>
    </row>
    <row r="2" ht="15.0" customHeight="1">
      <c r="A2" s="54" t="s">
        <v>4649</v>
      </c>
      <c r="B2" s="55"/>
      <c r="C2" s="55"/>
      <c r="D2" s="55"/>
      <c r="E2" s="55"/>
      <c r="F2" s="55"/>
      <c r="G2" s="55"/>
      <c r="H2" s="55"/>
      <c r="I2" s="55"/>
      <c r="J2" s="56"/>
    </row>
    <row r="3" ht="15.0" customHeight="1">
      <c r="A3" s="115"/>
      <c r="B3" s="115"/>
      <c r="C3" s="115"/>
      <c r="D3" s="115"/>
      <c r="E3" s="115"/>
      <c r="F3" s="115"/>
      <c r="G3" s="115"/>
      <c r="H3" s="115"/>
      <c r="I3" s="115"/>
      <c r="J3" s="115"/>
    </row>
    <row r="4" ht="15.0" customHeight="1">
      <c r="A4" s="116" t="s">
        <v>4650</v>
      </c>
      <c r="B4" s="55"/>
      <c r="C4" s="55"/>
      <c r="D4" s="55"/>
      <c r="E4" s="55"/>
      <c r="F4" s="55"/>
      <c r="G4" s="55"/>
      <c r="H4" s="55"/>
      <c r="I4" s="55"/>
      <c r="J4" s="56"/>
    </row>
    <row r="5" ht="15.0" customHeight="1">
      <c r="A5" s="116" t="s">
        <v>4651</v>
      </c>
      <c r="B5" s="55"/>
      <c r="C5" s="55"/>
      <c r="D5" s="55"/>
      <c r="E5" s="55"/>
      <c r="F5" s="55"/>
      <c r="G5" s="55"/>
      <c r="H5" s="55"/>
      <c r="I5" s="55"/>
      <c r="J5" s="56"/>
    </row>
    <row r="6" ht="70.5" customHeight="1">
      <c r="A6" s="59" t="s">
        <v>4652</v>
      </c>
      <c r="B6" s="55"/>
      <c r="C6" s="55"/>
      <c r="D6" s="55"/>
      <c r="E6" s="55"/>
      <c r="F6" s="55"/>
      <c r="G6" s="55"/>
      <c r="H6" s="55"/>
      <c r="I6" s="55"/>
      <c r="J6" s="56"/>
      <c r="K6" s="517"/>
      <c r="L6" s="517"/>
      <c r="M6" s="517"/>
      <c r="N6" s="517"/>
      <c r="O6" s="517"/>
      <c r="P6" s="517"/>
      <c r="Q6" s="517"/>
      <c r="R6" s="517"/>
      <c r="S6" s="517"/>
      <c r="T6" s="517"/>
      <c r="U6" s="517"/>
      <c r="V6" s="517"/>
      <c r="W6" s="517"/>
      <c r="X6" s="517"/>
      <c r="Y6" s="517"/>
      <c r="Z6" s="517"/>
    </row>
    <row r="7" ht="14.25" customHeight="1">
      <c r="A7" s="59" t="s">
        <v>4653</v>
      </c>
      <c r="B7" s="55"/>
      <c r="C7" s="55"/>
      <c r="D7" s="55"/>
      <c r="E7" s="55"/>
      <c r="F7" s="55"/>
      <c r="G7" s="55"/>
      <c r="H7" s="55"/>
      <c r="I7" s="55"/>
      <c r="J7" s="56"/>
      <c r="K7" s="517"/>
      <c r="L7" s="517"/>
      <c r="M7" s="517"/>
      <c r="N7" s="517"/>
      <c r="O7" s="517"/>
      <c r="P7" s="517"/>
      <c r="Q7" s="517"/>
      <c r="R7" s="517"/>
      <c r="S7" s="517"/>
      <c r="T7" s="517"/>
      <c r="U7" s="517"/>
      <c r="V7" s="517"/>
      <c r="W7" s="517"/>
      <c r="X7" s="517"/>
      <c r="Y7" s="517"/>
      <c r="Z7" s="517"/>
    </row>
    <row r="8" ht="14.25" customHeight="1">
      <c r="A8" s="59" t="s">
        <v>4654</v>
      </c>
      <c r="B8" s="55"/>
      <c r="C8" s="55"/>
      <c r="D8" s="55"/>
      <c r="E8" s="55"/>
      <c r="F8" s="55"/>
      <c r="G8" s="55"/>
      <c r="H8" s="55"/>
      <c r="I8" s="55"/>
      <c r="J8" s="56"/>
      <c r="K8" s="517"/>
      <c r="L8" s="517"/>
      <c r="M8" s="517"/>
      <c r="N8" s="517"/>
      <c r="O8" s="517"/>
      <c r="P8" s="517"/>
      <c r="Q8" s="517"/>
      <c r="R8" s="517"/>
      <c r="S8" s="517"/>
      <c r="T8" s="517"/>
      <c r="U8" s="517"/>
      <c r="V8" s="517"/>
      <c r="W8" s="517"/>
      <c r="X8" s="517"/>
      <c r="Y8" s="517"/>
      <c r="Z8" s="517"/>
    </row>
    <row r="9" ht="28.5" customHeight="1">
      <c r="A9" s="59" t="s">
        <v>4655</v>
      </c>
      <c r="B9" s="55"/>
      <c r="C9" s="55"/>
      <c r="D9" s="55"/>
      <c r="E9" s="55"/>
      <c r="F9" s="55"/>
      <c r="G9" s="55"/>
      <c r="H9" s="55"/>
      <c r="I9" s="55"/>
      <c r="J9" s="56"/>
      <c r="K9" s="517"/>
      <c r="L9" s="517"/>
      <c r="M9" s="517"/>
      <c r="N9" s="517"/>
      <c r="O9" s="517"/>
      <c r="P9" s="517"/>
      <c r="Q9" s="517"/>
      <c r="R9" s="517"/>
      <c r="S9" s="517"/>
      <c r="T9" s="517"/>
      <c r="U9" s="517"/>
      <c r="V9" s="517"/>
      <c r="W9" s="517"/>
      <c r="X9" s="517"/>
      <c r="Y9" s="517"/>
      <c r="Z9" s="517"/>
    </row>
    <row r="10" ht="14.25" customHeight="1">
      <c r="A10" s="59" t="s">
        <v>4656</v>
      </c>
      <c r="B10" s="55"/>
      <c r="C10" s="55"/>
      <c r="D10" s="55"/>
      <c r="E10" s="55"/>
      <c r="F10" s="55"/>
      <c r="G10" s="55"/>
      <c r="H10" s="55"/>
      <c r="I10" s="55"/>
      <c r="J10" s="56"/>
      <c r="K10" s="517"/>
      <c r="L10" s="517"/>
      <c r="M10" s="517"/>
      <c r="N10" s="517"/>
      <c r="O10" s="517"/>
      <c r="P10" s="517"/>
      <c r="Q10" s="517"/>
      <c r="R10" s="517"/>
      <c r="S10" s="517"/>
      <c r="T10" s="517"/>
      <c r="U10" s="517"/>
      <c r="V10" s="517"/>
      <c r="W10" s="517"/>
      <c r="X10" s="517"/>
      <c r="Y10" s="517"/>
      <c r="Z10" s="517"/>
    </row>
    <row r="11" ht="14.25" customHeight="1">
      <c r="A11" s="52"/>
      <c r="B11" s="52"/>
      <c r="C11" s="52"/>
      <c r="D11" s="52"/>
      <c r="E11" s="53"/>
      <c r="F11" s="53"/>
      <c r="G11" s="53"/>
      <c r="H11" s="53"/>
      <c r="I11" s="53"/>
      <c r="J11" s="1"/>
    </row>
    <row r="12" ht="41.25" customHeight="1">
      <c r="A12" s="309" t="s">
        <v>8</v>
      </c>
      <c r="B12" s="204" t="s">
        <v>4657</v>
      </c>
      <c r="C12" s="204" t="s">
        <v>4658</v>
      </c>
      <c r="D12" s="204" t="s">
        <v>4659</v>
      </c>
      <c r="E12" s="119" t="s">
        <v>9</v>
      </c>
      <c r="F12" s="204" t="s">
        <v>4660</v>
      </c>
      <c r="G12" s="63" t="s">
        <v>4661</v>
      </c>
      <c r="H12" s="63" t="s">
        <v>4662</v>
      </c>
      <c r="I12" s="63" t="s">
        <v>4663</v>
      </c>
      <c r="J12" s="63" t="s">
        <v>209</v>
      </c>
      <c r="K12" s="65" t="s">
        <v>210</v>
      </c>
    </row>
    <row r="13" ht="138.0" customHeight="1">
      <c r="A13" s="525" t="s">
        <v>491</v>
      </c>
      <c r="B13" s="101" t="s">
        <v>4664</v>
      </c>
      <c r="C13" s="101" t="s">
        <v>4665</v>
      </c>
      <c r="D13" s="101" t="s">
        <v>491</v>
      </c>
      <c r="E13" s="101" t="s">
        <v>38</v>
      </c>
      <c r="F13" s="101" t="s">
        <v>4666</v>
      </c>
      <c r="G13" s="101">
        <v>45.251</v>
      </c>
      <c r="H13" s="101">
        <v>45.251</v>
      </c>
      <c r="I13" s="101">
        <v>450.0</v>
      </c>
      <c r="J13" s="312">
        <v>450.0</v>
      </c>
      <c r="K13" s="77" t="s">
        <v>498</v>
      </c>
    </row>
    <row r="14" ht="41.25" customHeight="1">
      <c r="A14" s="653" t="s">
        <v>528</v>
      </c>
      <c r="B14" s="654" t="s">
        <v>4667</v>
      </c>
      <c r="C14" s="75" t="s">
        <v>4668</v>
      </c>
      <c r="D14" s="75" t="s">
        <v>528</v>
      </c>
      <c r="E14" s="75" t="s">
        <v>38</v>
      </c>
      <c r="F14" s="75" t="s">
        <v>4669</v>
      </c>
      <c r="G14" s="80">
        <v>19000.0</v>
      </c>
      <c r="H14" s="75"/>
      <c r="I14" s="75">
        <v>190.0</v>
      </c>
      <c r="J14" s="312">
        <v>100.0</v>
      </c>
      <c r="K14" s="77" t="s">
        <v>66</v>
      </c>
    </row>
    <row r="15" ht="82.5" customHeight="1">
      <c r="A15" s="501" t="s">
        <v>163</v>
      </c>
      <c r="B15" s="101" t="s">
        <v>4670</v>
      </c>
      <c r="C15" s="101" t="s">
        <v>4671</v>
      </c>
      <c r="D15" s="101" t="s">
        <v>4672</v>
      </c>
      <c r="E15" s="101" t="s">
        <v>142</v>
      </c>
      <c r="F15" s="101" t="s">
        <v>4673</v>
      </c>
      <c r="G15" s="101" t="s">
        <v>4674</v>
      </c>
      <c r="H15" s="101" t="s">
        <v>4674</v>
      </c>
      <c r="I15" s="101">
        <v>450.0</v>
      </c>
      <c r="J15" s="180">
        <v>0.0</v>
      </c>
      <c r="K15" s="77" t="s">
        <v>163</v>
      </c>
    </row>
    <row r="16" ht="82.5" customHeight="1">
      <c r="A16" s="501" t="s">
        <v>4675</v>
      </c>
      <c r="B16" s="101" t="s">
        <v>4676</v>
      </c>
      <c r="C16" s="101" t="s">
        <v>4677</v>
      </c>
      <c r="D16" s="101" t="s">
        <v>4678</v>
      </c>
      <c r="E16" s="101" t="s">
        <v>142</v>
      </c>
      <c r="F16" s="101" t="s">
        <v>4673</v>
      </c>
      <c r="G16" s="101" t="s">
        <v>4674</v>
      </c>
      <c r="H16" s="101" t="s">
        <v>4674</v>
      </c>
      <c r="I16" s="101">
        <v>450.0</v>
      </c>
      <c r="J16" s="180">
        <v>0.0</v>
      </c>
      <c r="K16" s="77" t="s">
        <v>164</v>
      </c>
    </row>
    <row r="17" ht="82.5" customHeight="1">
      <c r="A17" s="501" t="s">
        <v>170</v>
      </c>
      <c r="B17" s="101" t="s">
        <v>4679</v>
      </c>
      <c r="C17" s="101" t="s">
        <v>4677</v>
      </c>
      <c r="D17" s="101" t="s">
        <v>164</v>
      </c>
      <c r="E17" s="101" t="s">
        <v>142</v>
      </c>
      <c r="F17" s="101" t="s">
        <v>4673</v>
      </c>
      <c r="G17" s="101" t="s">
        <v>4674</v>
      </c>
      <c r="H17" s="101">
        <v>310000.0</v>
      </c>
      <c r="I17" s="101">
        <v>450.0</v>
      </c>
      <c r="J17" s="180">
        <v>0.0</v>
      </c>
      <c r="K17" s="77" t="s">
        <v>170</v>
      </c>
    </row>
    <row r="18" ht="14.25" customHeight="1">
      <c r="A18" s="501"/>
      <c r="B18" s="101"/>
      <c r="C18" s="101"/>
      <c r="D18" s="101"/>
      <c r="E18" s="101"/>
      <c r="F18" s="101"/>
      <c r="G18" s="101"/>
      <c r="H18" s="101"/>
      <c r="I18" s="101"/>
      <c r="J18" s="180"/>
      <c r="K18" s="77"/>
    </row>
    <row r="19" ht="14.25" customHeight="1">
      <c r="A19" s="501"/>
      <c r="B19" s="101"/>
      <c r="C19" s="101"/>
      <c r="D19" s="101"/>
      <c r="E19" s="75"/>
      <c r="F19" s="102"/>
      <c r="G19" s="102"/>
      <c r="H19" s="102"/>
      <c r="I19" s="102"/>
      <c r="J19" s="180"/>
      <c r="K19" s="77"/>
    </row>
    <row r="20" ht="14.25" customHeight="1">
      <c r="A20" s="501"/>
      <c r="B20" s="101"/>
      <c r="C20" s="101"/>
      <c r="D20" s="101"/>
      <c r="E20" s="75"/>
      <c r="F20" s="102"/>
      <c r="G20" s="102"/>
      <c r="H20" s="102"/>
      <c r="I20" s="102"/>
      <c r="J20" s="180"/>
      <c r="K20" s="77"/>
    </row>
    <row r="21" ht="14.25" customHeight="1">
      <c r="A21" s="104" t="s">
        <v>180</v>
      </c>
      <c r="B21" s="52"/>
      <c r="C21" s="52"/>
      <c r="D21" s="52"/>
      <c r="E21" s="53"/>
      <c r="F21" s="53"/>
      <c r="G21" s="1"/>
      <c r="H21" s="1"/>
      <c r="I21" s="1"/>
      <c r="J21" s="533">
        <f>SUM(J13:J20)</f>
        <v>550</v>
      </c>
    </row>
    <row r="22" ht="14.25" customHeight="1">
      <c r="A22" s="52"/>
      <c r="B22" s="52"/>
      <c r="C22" s="52"/>
      <c r="D22" s="52"/>
      <c r="E22" s="53"/>
      <c r="F22" s="53"/>
      <c r="G22" s="53"/>
      <c r="H22" s="53"/>
      <c r="I22" s="53"/>
      <c r="J22" s="1"/>
    </row>
    <row r="23" ht="14.25" customHeight="1">
      <c r="A23" s="52"/>
      <c r="B23" s="53"/>
      <c r="C23" s="53"/>
      <c r="D23" s="53"/>
      <c r="E23" s="53"/>
      <c r="F23" s="53"/>
      <c r="G23" s="1"/>
    </row>
    <row r="24" ht="15.0" customHeight="1">
      <c r="A24" s="534" t="s">
        <v>330</v>
      </c>
      <c r="B24" s="107"/>
      <c r="C24" s="107"/>
      <c r="D24" s="107"/>
      <c r="E24" s="107"/>
      <c r="F24" s="107"/>
      <c r="G24" s="107"/>
      <c r="H24" s="107"/>
      <c r="I24" s="107"/>
      <c r="J24" s="108"/>
    </row>
    <row r="25" ht="14.25" customHeight="1">
      <c r="A25" s="52"/>
      <c r="B25" s="52"/>
      <c r="C25" s="52"/>
      <c r="D25" s="52"/>
      <c r="E25" s="53"/>
      <c r="F25" s="53"/>
      <c r="G25" s="53"/>
      <c r="H25" s="53"/>
      <c r="I25" s="53"/>
      <c r="J25" s="1"/>
    </row>
    <row r="26" ht="14.25" customHeight="1">
      <c r="A26" s="52"/>
      <c r="B26" s="52"/>
      <c r="C26" s="52"/>
      <c r="D26" s="52"/>
      <c r="E26" s="53"/>
      <c r="F26" s="53"/>
      <c r="G26" s="53"/>
      <c r="H26" s="53"/>
      <c r="I26" s="53"/>
      <c r="J26" s="1"/>
    </row>
    <row r="27" ht="14.25" customHeight="1">
      <c r="A27" s="52"/>
      <c r="B27" s="52"/>
      <c r="C27" s="52"/>
      <c r="D27" s="52"/>
      <c r="E27" s="53"/>
      <c r="F27" s="53"/>
      <c r="G27" s="53"/>
      <c r="H27" s="53"/>
      <c r="I27" s="53"/>
      <c r="J27" s="1"/>
    </row>
    <row r="28" ht="14.25" customHeight="1">
      <c r="A28" s="52"/>
      <c r="B28" s="52"/>
      <c r="C28" s="52"/>
      <c r="D28" s="52"/>
      <c r="E28" s="53"/>
      <c r="F28" s="53"/>
      <c r="G28" s="53"/>
      <c r="H28" s="53"/>
      <c r="I28" s="53"/>
      <c r="J28" s="1"/>
    </row>
    <row r="29" ht="14.25" customHeight="1">
      <c r="A29" s="52"/>
      <c r="B29" s="52"/>
      <c r="C29" s="52"/>
      <c r="D29" s="52"/>
      <c r="E29" s="53"/>
      <c r="F29" s="53"/>
      <c r="G29" s="53"/>
      <c r="H29" s="53"/>
      <c r="I29" s="53"/>
      <c r="J29" s="1"/>
    </row>
    <row r="30" ht="14.25" customHeight="1">
      <c r="A30" s="52"/>
      <c r="B30" s="52"/>
      <c r="C30" s="52"/>
      <c r="D30" s="52"/>
      <c r="E30" s="53"/>
      <c r="F30" s="53"/>
      <c r="G30" s="53"/>
      <c r="H30" s="53"/>
      <c r="I30" s="53"/>
      <c r="J30" s="1"/>
    </row>
    <row r="31" ht="14.25" customHeight="1">
      <c r="A31" s="52"/>
      <c r="B31" s="52"/>
      <c r="C31" s="52"/>
      <c r="D31" s="52"/>
      <c r="E31" s="53"/>
      <c r="F31" s="53"/>
      <c r="G31" s="53"/>
      <c r="H31" s="53"/>
      <c r="I31" s="53"/>
      <c r="J31" s="1"/>
    </row>
    <row r="32" ht="14.25" customHeight="1">
      <c r="A32" s="52"/>
      <c r="B32" s="52"/>
      <c r="C32" s="52"/>
      <c r="D32" s="52"/>
      <c r="E32" s="53"/>
      <c r="F32" s="53"/>
      <c r="G32" s="53"/>
      <c r="H32" s="53"/>
      <c r="I32" s="53"/>
      <c r="J32" s="1"/>
    </row>
    <row r="33" ht="14.25" customHeight="1">
      <c r="A33" s="52"/>
      <c r="B33" s="52"/>
      <c r="C33" s="52"/>
      <c r="D33" s="52"/>
      <c r="E33" s="53"/>
      <c r="F33" s="53"/>
      <c r="G33" s="53"/>
      <c r="H33" s="53"/>
      <c r="I33" s="53"/>
      <c r="J33" s="1"/>
    </row>
    <row r="34" ht="14.25" customHeight="1">
      <c r="A34" s="52"/>
      <c r="B34" s="52"/>
      <c r="C34" s="52"/>
      <c r="D34" s="52"/>
      <c r="E34" s="53"/>
      <c r="F34" s="53"/>
      <c r="G34" s="53"/>
      <c r="H34" s="53"/>
      <c r="I34" s="53"/>
      <c r="J34" s="1"/>
    </row>
    <row r="35" ht="14.25" customHeight="1">
      <c r="A35" s="52"/>
      <c r="B35" s="52"/>
      <c r="C35" s="52"/>
      <c r="D35" s="52"/>
      <c r="E35" s="53"/>
      <c r="F35" s="53"/>
      <c r="G35" s="53"/>
      <c r="H35" s="53"/>
      <c r="I35" s="53"/>
      <c r="J35" s="1"/>
    </row>
    <row r="36" ht="14.25" customHeight="1">
      <c r="A36" s="52"/>
      <c r="B36" s="52"/>
      <c r="C36" s="52"/>
      <c r="D36" s="52"/>
      <c r="E36" s="53"/>
      <c r="F36" s="53"/>
      <c r="G36" s="53"/>
      <c r="H36" s="53"/>
      <c r="I36" s="53"/>
      <c r="J36" s="1"/>
    </row>
    <row r="37" ht="14.25" customHeight="1">
      <c r="A37" s="52"/>
      <c r="B37" s="52"/>
      <c r="C37" s="52"/>
      <c r="D37" s="52"/>
      <c r="E37" s="53"/>
      <c r="F37" s="53"/>
      <c r="G37" s="53"/>
      <c r="H37" s="53"/>
      <c r="I37" s="53"/>
      <c r="J37" s="1"/>
    </row>
    <row r="38" ht="14.25" customHeight="1">
      <c r="A38" s="52"/>
      <c r="B38" s="52"/>
      <c r="C38" s="52"/>
      <c r="D38" s="52"/>
      <c r="E38" s="53"/>
      <c r="F38" s="53"/>
      <c r="G38" s="53"/>
      <c r="H38" s="53"/>
      <c r="I38" s="53"/>
      <c r="J38" s="1"/>
    </row>
    <row r="39" ht="14.25" customHeight="1">
      <c r="A39" s="52"/>
      <c r="B39" s="52"/>
      <c r="C39" s="52"/>
      <c r="D39" s="52"/>
      <c r="E39" s="53"/>
      <c r="F39" s="53"/>
      <c r="G39" s="53"/>
      <c r="H39" s="53"/>
      <c r="I39" s="53"/>
      <c r="J39" s="1"/>
    </row>
    <row r="40" ht="14.25" customHeight="1">
      <c r="A40" s="52"/>
      <c r="B40" s="52"/>
      <c r="C40" s="52"/>
      <c r="D40" s="52"/>
      <c r="E40" s="53"/>
      <c r="F40" s="53"/>
      <c r="G40" s="53"/>
      <c r="H40" s="53"/>
      <c r="I40" s="53"/>
      <c r="J40" s="1"/>
    </row>
    <row r="41" ht="14.25" customHeight="1">
      <c r="A41" s="52"/>
      <c r="B41" s="52"/>
      <c r="C41" s="52"/>
      <c r="D41" s="52"/>
      <c r="E41" s="53"/>
      <c r="F41" s="53"/>
      <c r="G41" s="53"/>
      <c r="H41" s="53"/>
      <c r="I41" s="53"/>
      <c r="J41" s="1"/>
    </row>
    <row r="42" ht="14.25" customHeight="1">
      <c r="A42" s="52"/>
      <c r="B42" s="52"/>
      <c r="C42" s="52"/>
      <c r="D42" s="52"/>
      <c r="E42" s="53"/>
      <c r="F42" s="53"/>
      <c r="G42" s="53"/>
      <c r="H42" s="53"/>
      <c r="I42" s="53"/>
      <c r="J42" s="1"/>
    </row>
    <row r="43" ht="14.25" customHeight="1">
      <c r="A43" s="52"/>
      <c r="B43" s="52"/>
      <c r="C43" s="52"/>
      <c r="D43" s="52"/>
      <c r="E43" s="53"/>
      <c r="F43" s="53"/>
      <c r="G43" s="53"/>
      <c r="H43" s="53"/>
      <c r="I43" s="53"/>
      <c r="J43" s="1"/>
    </row>
    <row r="44" ht="14.25" customHeight="1">
      <c r="A44" s="52"/>
      <c r="B44" s="52"/>
      <c r="C44" s="52"/>
      <c r="D44" s="52"/>
      <c r="E44" s="53"/>
      <c r="F44" s="53"/>
      <c r="G44" s="53"/>
      <c r="H44" s="53"/>
      <c r="I44" s="53"/>
      <c r="J44" s="1"/>
    </row>
    <row r="45" ht="14.25" customHeight="1">
      <c r="A45" s="52"/>
      <c r="B45" s="52"/>
      <c r="C45" s="52"/>
      <c r="D45" s="52"/>
      <c r="E45" s="53"/>
      <c r="F45" s="53"/>
      <c r="G45" s="53"/>
      <c r="H45" s="53"/>
      <c r="I45" s="53"/>
      <c r="J45" s="1"/>
    </row>
    <row r="46" ht="14.25" customHeight="1">
      <c r="A46" s="52"/>
      <c r="B46" s="52"/>
      <c r="C46" s="52"/>
      <c r="D46" s="52"/>
      <c r="E46" s="53"/>
      <c r="F46" s="53"/>
      <c r="G46" s="53"/>
      <c r="H46" s="53"/>
      <c r="I46" s="53"/>
      <c r="J46" s="1"/>
    </row>
    <row r="47" ht="14.25" customHeight="1">
      <c r="A47" s="52"/>
      <c r="B47" s="52"/>
      <c r="C47" s="52"/>
      <c r="D47" s="52"/>
      <c r="E47" s="53"/>
      <c r="F47" s="53"/>
      <c r="G47" s="53"/>
      <c r="H47" s="53"/>
      <c r="I47" s="53"/>
      <c r="J47" s="1"/>
    </row>
    <row r="48" ht="14.25" customHeight="1">
      <c r="A48" s="52"/>
      <c r="B48" s="52"/>
      <c r="C48" s="52"/>
      <c r="D48" s="52"/>
      <c r="E48" s="53"/>
      <c r="F48" s="53"/>
      <c r="G48" s="53"/>
      <c r="H48" s="53"/>
      <c r="I48" s="53"/>
      <c r="J48" s="1"/>
    </row>
    <row r="49" ht="14.25" customHeight="1">
      <c r="A49" s="52"/>
      <c r="B49" s="52"/>
      <c r="C49" s="52"/>
      <c r="D49" s="52"/>
      <c r="E49" s="53"/>
      <c r="F49" s="53"/>
      <c r="G49" s="53"/>
      <c r="H49" s="53"/>
      <c r="I49" s="53"/>
      <c r="J49" s="1"/>
    </row>
    <row r="50" ht="14.25" customHeight="1">
      <c r="A50" s="52"/>
      <c r="B50" s="52"/>
      <c r="C50" s="52"/>
      <c r="D50" s="52"/>
      <c r="E50" s="53"/>
      <c r="F50" s="53"/>
      <c r="G50" s="53"/>
      <c r="H50" s="53"/>
      <c r="I50" s="53"/>
      <c r="J50" s="1"/>
    </row>
    <row r="51" ht="14.25" customHeight="1">
      <c r="A51" s="52"/>
      <c r="B51" s="52"/>
      <c r="C51" s="52"/>
      <c r="D51" s="52"/>
      <c r="E51" s="53"/>
      <c r="F51" s="53"/>
      <c r="G51" s="53"/>
      <c r="H51" s="53"/>
      <c r="I51" s="53"/>
      <c r="J51" s="1"/>
    </row>
    <row r="52" ht="14.25" customHeight="1">
      <c r="A52" s="52"/>
      <c r="B52" s="52"/>
      <c r="C52" s="52"/>
      <c r="D52" s="52"/>
      <c r="E52" s="53"/>
      <c r="F52" s="53"/>
      <c r="G52" s="53"/>
      <c r="H52" s="53"/>
      <c r="I52" s="53"/>
      <c r="J52" s="1"/>
    </row>
    <row r="53" ht="14.25" customHeight="1">
      <c r="A53" s="52"/>
      <c r="B53" s="52"/>
      <c r="C53" s="52"/>
      <c r="D53" s="52"/>
      <c r="E53" s="53"/>
      <c r="F53" s="53"/>
      <c r="G53" s="53"/>
      <c r="H53" s="53"/>
      <c r="I53" s="53"/>
      <c r="J53" s="1"/>
    </row>
    <row r="54" ht="14.25" customHeight="1">
      <c r="A54" s="52"/>
      <c r="B54" s="52"/>
      <c r="C54" s="52"/>
      <c r="D54" s="52"/>
      <c r="E54" s="53"/>
      <c r="F54" s="53"/>
      <c r="G54" s="53"/>
      <c r="H54" s="53"/>
      <c r="I54" s="53"/>
      <c r="J54" s="1"/>
    </row>
    <row r="55" ht="14.25" customHeight="1">
      <c r="A55" s="52"/>
      <c r="B55" s="52"/>
      <c r="C55" s="52"/>
      <c r="D55" s="52"/>
      <c r="E55" s="53"/>
      <c r="F55" s="53"/>
      <c r="G55" s="53"/>
      <c r="H55" s="53"/>
      <c r="I55" s="53"/>
      <c r="J55" s="1"/>
    </row>
    <row r="56" ht="14.25" customHeight="1">
      <c r="A56" s="52"/>
      <c r="B56" s="52"/>
      <c r="C56" s="52"/>
      <c r="D56" s="52"/>
      <c r="E56" s="53"/>
      <c r="F56" s="53"/>
      <c r="G56" s="53"/>
      <c r="H56" s="53"/>
      <c r="I56" s="53"/>
      <c r="J56" s="1"/>
    </row>
    <row r="57" ht="14.25" customHeight="1">
      <c r="A57" s="52"/>
      <c r="B57" s="52"/>
      <c r="C57" s="52"/>
      <c r="D57" s="52"/>
      <c r="E57" s="53"/>
      <c r="F57" s="53"/>
      <c r="G57" s="53"/>
      <c r="H57" s="53"/>
      <c r="I57" s="53"/>
      <c r="J57" s="1"/>
    </row>
    <row r="58" ht="14.25" customHeight="1">
      <c r="A58" s="52"/>
      <c r="B58" s="52"/>
      <c r="C58" s="52"/>
      <c r="D58" s="52"/>
      <c r="E58" s="53"/>
      <c r="F58" s="53"/>
      <c r="G58" s="53"/>
      <c r="H58" s="53"/>
      <c r="I58" s="53"/>
      <c r="J58" s="1"/>
    </row>
    <row r="59" ht="14.25" customHeight="1">
      <c r="A59" s="52"/>
      <c r="B59" s="52"/>
      <c r="C59" s="52"/>
      <c r="D59" s="52"/>
      <c r="E59" s="53"/>
      <c r="F59" s="53"/>
      <c r="G59" s="53"/>
      <c r="H59" s="53"/>
      <c r="I59" s="53"/>
      <c r="J59" s="1"/>
    </row>
    <row r="60" ht="14.25" customHeight="1">
      <c r="A60" s="52"/>
      <c r="B60" s="52"/>
      <c r="C60" s="52"/>
      <c r="D60" s="52"/>
      <c r="E60" s="53"/>
      <c r="F60" s="53"/>
      <c r="G60" s="53"/>
      <c r="H60" s="53"/>
      <c r="I60" s="53"/>
      <c r="J60" s="1"/>
    </row>
    <row r="61" ht="14.25" customHeight="1">
      <c r="A61" s="52"/>
      <c r="B61" s="52"/>
      <c r="C61" s="52"/>
      <c r="D61" s="52"/>
      <c r="E61" s="53"/>
      <c r="F61" s="53"/>
      <c r="G61" s="53"/>
      <c r="H61" s="53"/>
      <c r="I61" s="53"/>
      <c r="J61" s="1"/>
    </row>
    <row r="62" ht="14.25" customHeight="1">
      <c r="A62" s="52"/>
      <c r="B62" s="52"/>
      <c r="C62" s="52"/>
      <c r="D62" s="52"/>
      <c r="E62" s="53"/>
      <c r="F62" s="53"/>
      <c r="G62" s="53"/>
      <c r="H62" s="53"/>
      <c r="I62" s="53"/>
      <c r="J62" s="1"/>
    </row>
    <row r="63" ht="14.25" customHeight="1">
      <c r="A63" s="52"/>
      <c r="B63" s="52"/>
      <c r="C63" s="52"/>
      <c r="D63" s="52"/>
      <c r="E63" s="53"/>
      <c r="F63" s="53"/>
      <c r="G63" s="53"/>
      <c r="H63" s="53"/>
      <c r="I63" s="53"/>
      <c r="J63" s="1"/>
    </row>
    <row r="64" ht="14.25" customHeight="1">
      <c r="A64" s="52"/>
      <c r="B64" s="52"/>
      <c r="C64" s="52"/>
      <c r="D64" s="52"/>
      <c r="E64" s="53"/>
      <c r="F64" s="53"/>
      <c r="G64" s="53"/>
      <c r="H64" s="53"/>
      <c r="I64" s="53"/>
      <c r="J64" s="1"/>
    </row>
    <row r="65" ht="14.25" customHeight="1">
      <c r="A65" s="52"/>
      <c r="B65" s="52"/>
      <c r="C65" s="52"/>
      <c r="D65" s="52"/>
      <c r="E65" s="53"/>
      <c r="F65" s="53"/>
      <c r="G65" s="53"/>
      <c r="H65" s="53"/>
      <c r="I65" s="53"/>
      <c r="J65" s="1"/>
    </row>
    <row r="66" ht="14.25" customHeight="1">
      <c r="A66" s="52"/>
      <c r="B66" s="52"/>
      <c r="C66" s="52"/>
      <c r="D66" s="52"/>
      <c r="E66" s="53"/>
      <c r="F66" s="53"/>
      <c r="G66" s="53"/>
      <c r="H66" s="53"/>
      <c r="I66" s="53"/>
      <c r="J66" s="1"/>
    </row>
    <row r="67" ht="14.25" customHeight="1">
      <c r="A67" s="52"/>
      <c r="B67" s="52"/>
      <c r="C67" s="52"/>
      <c r="D67" s="52"/>
      <c r="E67" s="53"/>
      <c r="F67" s="53"/>
      <c r="G67" s="53"/>
      <c r="H67" s="53"/>
      <c r="I67" s="53"/>
      <c r="J67" s="1"/>
    </row>
    <row r="68" ht="14.25" customHeight="1">
      <c r="A68" s="52"/>
      <c r="B68" s="52"/>
      <c r="C68" s="52"/>
      <c r="D68" s="52"/>
      <c r="E68" s="53"/>
      <c r="F68" s="53"/>
      <c r="G68" s="53"/>
      <c r="H68" s="53"/>
      <c r="I68" s="53"/>
      <c r="J68" s="1"/>
    </row>
    <row r="69" ht="14.25" customHeight="1">
      <c r="A69" s="52"/>
      <c r="B69" s="52"/>
      <c r="C69" s="52"/>
      <c r="D69" s="52"/>
      <c r="E69" s="53"/>
      <c r="F69" s="53"/>
      <c r="G69" s="53"/>
      <c r="H69" s="53"/>
      <c r="I69" s="53"/>
      <c r="J69" s="1"/>
    </row>
    <row r="70" ht="14.25" customHeight="1">
      <c r="A70" s="52"/>
      <c r="B70" s="52"/>
      <c r="C70" s="52"/>
      <c r="D70" s="52"/>
      <c r="E70" s="53"/>
      <c r="F70" s="53"/>
      <c r="G70" s="53"/>
      <c r="H70" s="53"/>
      <c r="I70" s="53"/>
      <c r="J70" s="1"/>
    </row>
    <row r="71" ht="14.25" customHeight="1">
      <c r="A71" s="52"/>
      <c r="B71" s="52"/>
      <c r="C71" s="52"/>
      <c r="D71" s="52"/>
      <c r="E71" s="53"/>
      <c r="F71" s="53"/>
      <c r="G71" s="53"/>
      <c r="H71" s="53"/>
      <c r="I71" s="53"/>
      <c r="J71" s="1"/>
    </row>
    <row r="72" ht="14.25" customHeight="1">
      <c r="A72" s="52"/>
      <c r="B72" s="52"/>
      <c r="C72" s="52"/>
      <c r="D72" s="52"/>
      <c r="E72" s="53"/>
      <c r="F72" s="53"/>
      <c r="G72" s="53"/>
      <c r="H72" s="53"/>
      <c r="I72" s="53"/>
      <c r="J72" s="1"/>
    </row>
    <row r="73" ht="14.25" customHeight="1">
      <c r="A73" s="52"/>
      <c r="B73" s="52"/>
      <c r="C73" s="52"/>
      <c r="D73" s="52"/>
      <c r="E73" s="53"/>
      <c r="F73" s="53"/>
      <c r="G73" s="53"/>
      <c r="H73" s="53"/>
      <c r="I73" s="53"/>
      <c r="J73" s="1"/>
    </row>
    <row r="74" ht="14.25" customHeight="1">
      <c r="A74" s="52"/>
      <c r="B74" s="52"/>
      <c r="C74" s="52"/>
      <c r="D74" s="52"/>
      <c r="E74" s="53"/>
      <c r="F74" s="53"/>
      <c r="G74" s="53"/>
      <c r="H74" s="53"/>
      <c r="I74" s="53"/>
      <c r="J74" s="1"/>
    </row>
    <row r="75" ht="14.25" customHeight="1">
      <c r="A75" s="52"/>
      <c r="B75" s="52"/>
      <c r="C75" s="52"/>
      <c r="D75" s="52"/>
      <c r="E75" s="53"/>
      <c r="F75" s="53"/>
      <c r="G75" s="53"/>
      <c r="H75" s="53"/>
      <c r="I75" s="53"/>
      <c r="J75" s="1"/>
    </row>
    <row r="76" ht="14.25" customHeight="1">
      <c r="A76" s="52"/>
      <c r="B76" s="52"/>
      <c r="C76" s="52"/>
      <c r="D76" s="52"/>
      <c r="E76" s="53"/>
      <c r="F76" s="53"/>
      <c r="G76" s="53"/>
      <c r="H76" s="53"/>
      <c r="I76" s="53"/>
      <c r="J76" s="1"/>
    </row>
    <row r="77" ht="14.25" customHeight="1">
      <c r="A77" s="52"/>
      <c r="B77" s="52"/>
      <c r="C77" s="52"/>
      <c r="D77" s="52"/>
      <c r="E77" s="53"/>
      <c r="F77" s="53"/>
      <c r="G77" s="53"/>
      <c r="H77" s="53"/>
      <c r="I77" s="53"/>
      <c r="J77" s="1"/>
    </row>
    <row r="78" ht="14.25" customHeight="1">
      <c r="A78" s="52"/>
      <c r="B78" s="52"/>
      <c r="C78" s="52"/>
      <c r="D78" s="52"/>
      <c r="E78" s="53"/>
      <c r="F78" s="53"/>
      <c r="G78" s="53"/>
      <c r="H78" s="53"/>
      <c r="I78" s="53"/>
      <c r="J78" s="1"/>
    </row>
    <row r="79" ht="14.25" customHeight="1">
      <c r="A79" s="52"/>
      <c r="B79" s="52"/>
      <c r="C79" s="52"/>
      <c r="D79" s="52"/>
      <c r="E79" s="53"/>
      <c r="F79" s="53"/>
      <c r="G79" s="53"/>
      <c r="H79" s="53"/>
      <c r="I79" s="53"/>
      <c r="J79" s="1"/>
    </row>
    <row r="80" ht="14.25" customHeight="1">
      <c r="A80" s="52"/>
      <c r="B80" s="52"/>
      <c r="C80" s="52"/>
      <c r="D80" s="52"/>
      <c r="E80" s="53"/>
      <c r="F80" s="53"/>
      <c r="G80" s="53"/>
      <c r="H80" s="53"/>
      <c r="I80" s="53"/>
      <c r="J80" s="1"/>
    </row>
    <row r="81" ht="14.25" customHeight="1">
      <c r="A81" s="52"/>
      <c r="B81" s="52"/>
      <c r="C81" s="52"/>
      <c r="D81" s="52"/>
      <c r="E81" s="53"/>
      <c r="F81" s="53"/>
      <c r="G81" s="53"/>
      <c r="H81" s="53"/>
      <c r="I81" s="53"/>
      <c r="J81" s="1"/>
    </row>
    <row r="82" ht="14.25" customHeight="1">
      <c r="A82" s="52"/>
      <c r="B82" s="52"/>
      <c r="C82" s="52"/>
      <c r="D82" s="52"/>
      <c r="E82" s="53"/>
      <c r="F82" s="53"/>
      <c r="G82" s="53"/>
      <c r="H82" s="53"/>
      <c r="I82" s="53"/>
      <c r="J82" s="1"/>
    </row>
    <row r="83" ht="14.25" customHeight="1">
      <c r="A83" s="52"/>
      <c r="B83" s="52"/>
      <c r="C83" s="52"/>
      <c r="D83" s="52"/>
      <c r="E83" s="53"/>
      <c r="F83" s="53"/>
      <c r="G83" s="53"/>
      <c r="H83" s="53"/>
      <c r="I83" s="53"/>
      <c r="J83" s="1"/>
    </row>
    <row r="84" ht="14.25" customHeight="1">
      <c r="A84" s="52"/>
      <c r="B84" s="52"/>
      <c r="C84" s="52"/>
      <c r="D84" s="52"/>
      <c r="E84" s="53"/>
      <c r="F84" s="53"/>
      <c r="G84" s="53"/>
      <c r="H84" s="53"/>
      <c r="I84" s="53"/>
      <c r="J84" s="1"/>
    </row>
    <row r="85" ht="14.25" customHeight="1">
      <c r="A85" s="52"/>
      <c r="B85" s="52"/>
      <c r="C85" s="52"/>
      <c r="D85" s="52"/>
      <c r="E85" s="53"/>
      <c r="F85" s="53"/>
      <c r="G85" s="53"/>
      <c r="H85" s="53"/>
      <c r="I85" s="53"/>
      <c r="J85" s="1"/>
    </row>
    <row r="86" ht="14.25" customHeight="1">
      <c r="A86" s="52"/>
      <c r="B86" s="52"/>
      <c r="C86" s="52"/>
      <c r="D86" s="52"/>
      <c r="E86" s="53"/>
      <c r="F86" s="53"/>
      <c r="G86" s="53"/>
      <c r="H86" s="53"/>
      <c r="I86" s="53"/>
      <c r="J86" s="1"/>
    </row>
    <row r="87" ht="14.25" customHeight="1">
      <c r="A87" s="52"/>
      <c r="B87" s="52"/>
      <c r="C87" s="52"/>
      <c r="D87" s="52"/>
      <c r="E87" s="53"/>
      <c r="F87" s="53"/>
      <c r="G87" s="53"/>
      <c r="H87" s="53"/>
      <c r="I87" s="53"/>
      <c r="J87" s="1"/>
    </row>
    <row r="88" ht="14.25" customHeight="1">
      <c r="A88" s="52"/>
      <c r="B88" s="52"/>
      <c r="C88" s="52"/>
      <c r="D88" s="52"/>
      <c r="E88" s="53"/>
      <c r="F88" s="53"/>
      <c r="G88" s="53"/>
      <c r="H88" s="53"/>
      <c r="I88" s="53"/>
      <c r="J88" s="1"/>
    </row>
    <row r="89" ht="14.25" customHeight="1">
      <c r="A89" s="52"/>
      <c r="B89" s="52"/>
      <c r="C89" s="52"/>
      <c r="D89" s="52"/>
      <c r="E89" s="53"/>
      <c r="F89" s="53"/>
      <c r="G89" s="53"/>
      <c r="H89" s="53"/>
      <c r="I89" s="53"/>
      <c r="J89" s="1"/>
    </row>
    <row r="90" ht="14.25" customHeight="1">
      <c r="A90" s="52"/>
      <c r="B90" s="52"/>
      <c r="C90" s="52"/>
      <c r="D90" s="52"/>
      <c r="E90" s="53"/>
      <c r="F90" s="53"/>
      <c r="G90" s="53"/>
      <c r="H90" s="53"/>
      <c r="I90" s="53"/>
      <c r="J90" s="1"/>
    </row>
    <row r="91" ht="14.25" customHeight="1">
      <c r="A91" s="52"/>
      <c r="B91" s="52"/>
      <c r="C91" s="52"/>
      <c r="D91" s="52"/>
      <c r="E91" s="53"/>
      <c r="F91" s="53"/>
      <c r="G91" s="53"/>
      <c r="H91" s="53"/>
      <c r="I91" s="53"/>
      <c r="J91" s="1"/>
    </row>
    <row r="92" ht="14.25" customHeight="1">
      <c r="A92" s="52"/>
      <c r="B92" s="52"/>
      <c r="C92" s="52"/>
      <c r="D92" s="52"/>
      <c r="E92" s="53"/>
      <c r="F92" s="53"/>
      <c r="G92" s="53"/>
      <c r="H92" s="53"/>
      <c r="I92" s="53"/>
      <c r="J92" s="1"/>
    </row>
    <row r="93" ht="14.25" customHeight="1">
      <c r="A93" s="52"/>
      <c r="B93" s="52"/>
      <c r="C93" s="52"/>
      <c r="D93" s="52"/>
      <c r="E93" s="53"/>
      <c r="F93" s="53"/>
      <c r="G93" s="53"/>
      <c r="H93" s="53"/>
      <c r="I93" s="53"/>
      <c r="J93" s="1"/>
    </row>
    <row r="94" ht="14.25" customHeight="1">
      <c r="A94" s="52"/>
      <c r="B94" s="52"/>
      <c r="C94" s="52"/>
      <c r="D94" s="52"/>
      <c r="E94" s="53"/>
      <c r="F94" s="53"/>
      <c r="G94" s="53"/>
      <c r="H94" s="53"/>
      <c r="I94" s="53"/>
      <c r="J94" s="1"/>
    </row>
    <row r="95" ht="14.25" customHeight="1">
      <c r="A95" s="52"/>
      <c r="B95" s="52"/>
      <c r="C95" s="52"/>
      <c r="D95" s="52"/>
      <c r="E95" s="53"/>
      <c r="F95" s="53"/>
      <c r="G95" s="53"/>
      <c r="H95" s="53"/>
      <c r="I95" s="53"/>
      <c r="J95" s="1"/>
    </row>
    <row r="96" ht="14.25" customHeight="1">
      <c r="A96" s="52"/>
      <c r="B96" s="52"/>
      <c r="C96" s="52"/>
      <c r="D96" s="52"/>
      <c r="E96" s="53"/>
      <c r="F96" s="53"/>
      <c r="G96" s="53"/>
      <c r="H96" s="53"/>
      <c r="I96" s="53"/>
      <c r="J96" s="1"/>
    </row>
    <row r="97" ht="14.25" customHeight="1">
      <c r="A97" s="52"/>
      <c r="B97" s="52"/>
      <c r="C97" s="52"/>
      <c r="D97" s="52"/>
      <c r="E97" s="53"/>
      <c r="F97" s="53"/>
      <c r="G97" s="53"/>
      <c r="H97" s="53"/>
      <c r="I97" s="53"/>
      <c r="J97" s="1"/>
    </row>
    <row r="98" ht="14.25" customHeight="1">
      <c r="A98" s="52"/>
      <c r="B98" s="52"/>
      <c r="C98" s="52"/>
      <c r="D98" s="52"/>
      <c r="E98" s="53"/>
      <c r="F98" s="53"/>
      <c r="G98" s="53"/>
      <c r="H98" s="53"/>
      <c r="I98" s="53"/>
      <c r="J98" s="1"/>
    </row>
    <row r="99" ht="14.25" customHeight="1">
      <c r="A99" s="52"/>
      <c r="B99" s="52"/>
      <c r="C99" s="52"/>
      <c r="D99" s="52"/>
      <c r="E99" s="53"/>
      <c r="F99" s="53"/>
      <c r="G99" s="53"/>
      <c r="H99" s="53"/>
      <c r="I99" s="53"/>
      <c r="J99" s="1"/>
    </row>
    <row r="100" ht="14.25" customHeight="1">
      <c r="A100" s="52"/>
      <c r="B100" s="52"/>
      <c r="C100" s="52"/>
      <c r="D100" s="52"/>
      <c r="E100" s="53"/>
      <c r="F100" s="53"/>
      <c r="G100" s="53"/>
      <c r="H100" s="53"/>
      <c r="I100" s="53"/>
      <c r="J100" s="1"/>
    </row>
    <row r="101" ht="14.25" customHeight="1">
      <c r="A101" s="52"/>
      <c r="B101" s="52"/>
      <c r="C101" s="52"/>
      <c r="D101" s="52"/>
      <c r="E101" s="53"/>
      <c r="F101" s="53"/>
      <c r="G101" s="53"/>
      <c r="H101" s="53"/>
      <c r="I101" s="53"/>
      <c r="J101" s="1"/>
    </row>
    <row r="102" ht="14.25" customHeight="1">
      <c r="A102" s="52"/>
      <c r="B102" s="52"/>
      <c r="C102" s="52"/>
      <c r="D102" s="52"/>
      <c r="E102" s="53"/>
      <c r="F102" s="53"/>
      <c r="G102" s="53"/>
      <c r="H102" s="53"/>
      <c r="I102" s="53"/>
      <c r="J102" s="1"/>
    </row>
    <row r="103" ht="14.25" customHeight="1">
      <c r="A103" s="52"/>
      <c r="B103" s="52"/>
      <c r="C103" s="52"/>
      <c r="D103" s="52"/>
      <c r="E103" s="53"/>
      <c r="F103" s="53"/>
      <c r="G103" s="53"/>
      <c r="H103" s="53"/>
      <c r="I103" s="53"/>
      <c r="J103" s="1"/>
    </row>
    <row r="104" ht="14.25" customHeight="1">
      <c r="A104" s="52"/>
      <c r="B104" s="52"/>
      <c r="C104" s="52"/>
      <c r="D104" s="52"/>
      <c r="E104" s="53"/>
      <c r="F104" s="53"/>
      <c r="G104" s="53"/>
      <c r="H104" s="53"/>
      <c r="I104" s="53"/>
      <c r="J104" s="1"/>
    </row>
    <row r="105" ht="14.25" customHeight="1">
      <c r="A105" s="52"/>
      <c r="B105" s="52"/>
      <c r="C105" s="52"/>
      <c r="D105" s="52"/>
      <c r="E105" s="53"/>
      <c r="F105" s="53"/>
      <c r="G105" s="53"/>
      <c r="H105" s="53"/>
      <c r="I105" s="53"/>
      <c r="J105" s="1"/>
    </row>
    <row r="106" ht="14.25" customHeight="1">
      <c r="A106" s="52"/>
      <c r="B106" s="52"/>
      <c r="C106" s="52"/>
      <c r="D106" s="52"/>
      <c r="E106" s="53"/>
      <c r="F106" s="53"/>
      <c r="G106" s="53"/>
      <c r="H106" s="53"/>
      <c r="I106" s="53"/>
      <c r="J106" s="1"/>
    </row>
    <row r="107" ht="14.25" customHeight="1">
      <c r="A107" s="52"/>
      <c r="B107" s="52"/>
      <c r="C107" s="52"/>
      <c r="D107" s="52"/>
      <c r="E107" s="53"/>
      <c r="F107" s="53"/>
      <c r="G107" s="53"/>
      <c r="H107" s="53"/>
      <c r="I107" s="53"/>
      <c r="J107" s="1"/>
    </row>
    <row r="108" ht="14.25" customHeight="1">
      <c r="A108" s="52"/>
      <c r="B108" s="52"/>
      <c r="C108" s="52"/>
      <c r="D108" s="52"/>
      <c r="E108" s="53"/>
      <c r="F108" s="53"/>
      <c r="G108" s="53"/>
      <c r="H108" s="53"/>
      <c r="I108" s="53"/>
      <c r="J108" s="1"/>
    </row>
    <row r="109" ht="14.25" customHeight="1">
      <c r="A109" s="52"/>
      <c r="B109" s="52"/>
      <c r="C109" s="52"/>
      <c r="D109" s="52"/>
      <c r="E109" s="53"/>
      <c r="F109" s="53"/>
      <c r="G109" s="53"/>
      <c r="H109" s="53"/>
      <c r="I109" s="53"/>
      <c r="J109" s="1"/>
    </row>
    <row r="110" ht="14.25" customHeight="1">
      <c r="A110" s="52"/>
      <c r="B110" s="52"/>
      <c r="C110" s="52"/>
      <c r="D110" s="52"/>
      <c r="E110" s="53"/>
      <c r="F110" s="53"/>
      <c r="G110" s="53"/>
      <c r="H110" s="53"/>
      <c r="I110" s="53"/>
      <c r="J110" s="1"/>
    </row>
    <row r="111" ht="14.25" customHeight="1">
      <c r="A111" s="52"/>
      <c r="B111" s="52"/>
      <c r="C111" s="52"/>
      <c r="D111" s="52"/>
      <c r="E111" s="53"/>
      <c r="F111" s="53"/>
      <c r="G111" s="53"/>
      <c r="H111" s="53"/>
      <c r="I111" s="53"/>
      <c r="J111" s="1"/>
    </row>
    <row r="112" ht="14.25" customHeight="1">
      <c r="A112" s="52"/>
      <c r="B112" s="52"/>
      <c r="C112" s="52"/>
      <c r="D112" s="52"/>
      <c r="E112" s="53"/>
      <c r="F112" s="53"/>
      <c r="G112" s="53"/>
      <c r="H112" s="53"/>
      <c r="I112" s="53"/>
      <c r="J112" s="1"/>
    </row>
    <row r="113" ht="14.25" customHeight="1">
      <c r="A113" s="52"/>
      <c r="B113" s="52"/>
      <c r="C113" s="52"/>
      <c r="D113" s="52"/>
      <c r="E113" s="53"/>
      <c r="F113" s="53"/>
      <c r="G113" s="53"/>
      <c r="H113" s="53"/>
      <c r="I113" s="53"/>
      <c r="J113" s="1"/>
    </row>
    <row r="114" ht="14.25" customHeight="1">
      <c r="A114" s="52"/>
      <c r="B114" s="52"/>
      <c r="C114" s="52"/>
      <c r="D114" s="52"/>
      <c r="E114" s="53"/>
      <c r="F114" s="53"/>
      <c r="G114" s="53"/>
      <c r="H114" s="53"/>
      <c r="I114" s="53"/>
      <c r="J114" s="1"/>
    </row>
    <row r="115" ht="14.25" customHeight="1">
      <c r="A115" s="52"/>
      <c r="B115" s="52"/>
      <c r="C115" s="52"/>
      <c r="D115" s="52"/>
      <c r="E115" s="53"/>
      <c r="F115" s="53"/>
      <c r="G115" s="53"/>
      <c r="H115" s="53"/>
      <c r="I115" s="53"/>
      <c r="J115" s="1"/>
    </row>
    <row r="116" ht="14.25" customHeight="1">
      <c r="A116" s="52"/>
      <c r="B116" s="52"/>
      <c r="C116" s="52"/>
      <c r="D116" s="52"/>
      <c r="E116" s="53"/>
      <c r="F116" s="53"/>
      <c r="G116" s="53"/>
      <c r="H116" s="53"/>
      <c r="I116" s="53"/>
      <c r="J116" s="1"/>
    </row>
    <row r="117" ht="14.25" customHeight="1">
      <c r="A117" s="52"/>
      <c r="B117" s="52"/>
      <c r="C117" s="52"/>
      <c r="D117" s="52"/>
      <c r="E117" s="53"/>
      <c r="F117" s="53"/>
      <c r="G117" s="53"/>
      <c r="H117" s="53"/>
      <c r="I117" s="53"/>
      <c r="J117" s="1"/>
    </row>
    <row r="118" ht="14.25" customHeight="1">
      <c r="A118" s="52"/>
      <c r="B118" s="52"/>
      <c r="C118" s="52"/>
      <c r="D118" s="52"/>
      <c r="E118" s="53"/>
      <c r="F118" s="53"/>
      <c r="G118" s="53"/>
      <c r="H118" s="53"/>
      <c r="I118" s="53"/>
      <c r="J118" s="1"/>
    </row>
    <row r="119" ht="14.25" customHeight="1">
      <c r="A119" s="52"/>
      <c r="B119" s="52"/>
      <c r="C119" s="52"/>
      <c r="D119" s="52"/>
      <c r="E119" s="53"/>
      <c r="F119" s="53"/>
      <c r="G119" s="53"/>
      <c r="H119" s="53"/>
      <c r="I119" s="53"/>
      <c r="J119" s="1"/>
    </row>
    <row r="120" ht="14.25" customHeight="1">
      <c r="A120" s="52"/>
      <c r="B120" s="52"/>
      <c r="C120" s="52"/>
      <c r="D120" s="52"/>
      <c r="E120" s="53"/>
      <c r="F120" s="53"/>
      <c r="G120" s="53"/>
      <c r="H120" s="53"/>
      <c r="I120" s="53"/>
      <c r="J120" s="1"/>
    </row>
    <row r="121" ht="14.25" customHeight="1">
      <c r="A121" s="52"/>
      <c r="B121" s="52"/>
      <c r="C121" s="52"/>
      <c r="D121" s="52"/>
      <c r="E121" s="53"/>
      <c r="F121" s="53"/>
      <c r="G121" s="53"/>
      <c r="H121" s="53"/>
      <c r="I121" s="53"/>
      <c r="J121" s="1"/>
    </row>
    <row r="122" ht="14.25" customHeight="1">
      <c r="A122" s="52"/>
      <c r="B122" s="52"/>
      <c r="C122" s="52"/>
      <c r="D122" s="52"/>
      <c r="E122" s="53"/>
      <c r="F122" s="53"/>
      <c r="G122" s="53"/>
      <c r="H122" s="53"/>
      <c r="I122" s="53"/>
      <c r="J122" s="1"/>
    </row>
    <row r="123" ht="14.25" customHeight="1">
      <c r="A123" s="52"/>
      <c r="B123" s="52"/>
      <c r="C123" s="52"/>
      <c r="D123" s="52"/>
      <c r="E123" s="53"/>
      <c r="F123" s="53"/>
      <c r="G123" s="53"/>
      <c r="H123" s="53"/>
      <c r="I123" s="53"/>
      <c r="J123" s="1"/>
    </row>
    <row r="124" ht="14.25" customHeight="1">
      <c r="A124" s="52"/>
      <c r="B124" s="52"/>
      <c r="C124" s="52"/>
      <c r="D124" s="52"/>
      <c r="E124" s="53"/>
      <c r="F124" s="53"/>
      <c r="G124" s="53"/>
      <c r="H124" s="53"/>
      <c r="I124" s="53"/>
      <c r="J124" s="1"/>
    </row>
    <row r="125" ht="14.25" customHeight="1">
      <c r="A125" s="52"/>
      <c r="B125" s="52"/>
      <c r="C125" s="52"/>
      <c r="D125" s="52"/>
      <c r="E125" s="53"/>
      <c r="F125" s="53"/>
      <c r="G125" s="53"/>
      <c r="H125" s="53"/>
      <c r="I125" s="53"/>
      <c r="J125" s="1"/>
    </row>
    <row r="126" ht="14.25" customHeight="1">
      <c r="A126" s="52"/>
      <c r="B126" s="52"/>
      <c r="C126" s="52"/>
      <c r="D126" s="52"/>
      <c r="E126" s="53"/>
      <c r="F126" s="53"/>
      <c r="G126" s="53"/>
      <c r="H126" s="53"/>
      <c r="I126" s="53"/>
      <c r="J126" s="1"/>
    </row>
    <row r="127" ht="14.25" customHeight="1">
      <c r="A127" s="52"/>
      <c r="B127" s="52"/>
      <c r="C127" s="52"/>
      <c r="D127" s="52"/>
      <c r="E127" s="53"/>
      <c r="F127" s="53"/>
      <c r="G127" s="53"/>
      <c r="H127" s="53"/>
      <c r="I127" s="53"/>
      <c r="J127" s="1"/>
    </row>
    <row r="128" ht="14.25" customHeight="1">
      <c r="A128" s="52"/>
      <c r="B128" s="52"/>
      <c r="C128" s="52"/>
      <c r="D128" s="52"/>
      <c r="E128" s="53"/>
      <c r="F128" s="53"/>
      <c r="G128" s="53"/>
      <c r="H128" s="53"/>
      <c r="I128" s="53"/>
      <c r="J128" s="1"/>
    </row>
    <row r="129" ht="14.25" customHeight="1">
      <c r="A129" s="52"/>
      <c r="B129" s="52"/>
      <c r="C129" s="52"/>
      <c r="D129" s="52"/>
      <c r="E129" s="53"/>
      <c r="F129" s="53"/>
      <c r="G129" s="53"/>
      <c r="H129" s="53"/>
      <c r="I129" s="53"/>
      <c r="J129" s="1"/>
    </row>
    <row r="130" ht="14.25" customHeight="1">
      <c r="A130" s="52"/>
      <c r="B130" s="52"/>
      <c r="C130" s="52"/>
      <c r="D130" s="52"/>
      <c r="E130" s="53"/>
      <c r="F130" s="53"/>
      <c r="G130" s="53"/>
      <c r="H130" s="53"/>
      <c r="I130" s="53"/>
      <c r="J130" s="1"/>
    </row>
    <row r="131" ht="14.25" customHeight="1">
      <c r="A131" s="52"/>
      <c r="B131" s="52"/>
      <c r="C131" s="52"/>
      <c r="D131" s="52"/>
      <c r="E131" s="53"/>
      <c r="F131" s="53"/>
      <c r="G131" s="53"/>
      <c r="H131" s="53"/>
      <c r="I131" s="53"/>
      <c r="J131" s="1"/>
    </row>
    <row r="132" ht="14.25" customHeight="1">
      <c r="A132" s="52"/>
      <c r="B132" s="52"/>
      <c r="C132" s="52"/>
      <c r="D132" s="52"/>
      <c r="E132" s="53"/>
      <c r="F132" s="53"/>
      <c r="G132" s="53"/>
      <c r="H132" s="53"/>
      <c r="I132" s="53"/>
      <c r="J132" s="1"/>
    </row>
    <row r="133" ht="14.25" customHeight="1">
      <c r="A133" s="52"/>
      <c r="B133" s="52"/>
      <c r="C133" s="52"/>
      <c r="D133" s="52"/>
      <c r="E133" s="53"/>
      <c r="F133" s="53"/>
      <c r="G133" s="53"/>
      <c r="H133" s="53"/>
      <c r="I133" s="53"/>
      <c r="J133" s="1"/>
    </row>
    <row r="134" ht="14.25" customHeight="1">
      <c r="A134" s="52"/>
      <c r="B134" s="52"/>
      <c r="C134" s="52"/>
      <c r="D134" s="52"/>
      <c r="E134" s="53"/>
      <c r="F134" s="53"/>
      <c r="G134" s="53"/>
      <c r="H134" s="53"/>
      <c r="I134" s="53"/>
      <c r="J134" s="1"/>
    </row>
    <row r="135" ht="14.25" customHeight="1">
      <c r="A135" s="52"/>
      <c r="B135" s="52"/>
      <c r="C135" s="52"/>
      <c r="D135" s="52"/>
      <c r="E135" s="53"/>
      <c r="F135" s="53"/>
      <c r="G135" s="53"/>
      <c r="H135" s="53"/>
      <c r="I135" s="53"/>
      <c r="J135" s="1"/>
    </row>
    <row r="136" ht="14.25" customHeight="1">
      <c r="A136" s="52"/>
      <c r="B136" s="52"/>
      <c r="C136" s="52"/>
      <c r="D136" s="52"/>
      <c r="E136" s="53"/>
      <c r="F136" s="53"/>
      <c r="G136" s="53"/>
      <c r="H136" s="53"/>
      <c r="I136" s="53"/>
      <c r="J136" s="1"/>
    </row>
    <row r="137" ht="14.25" customHeight="1">
      <c r="A137" s="52"/>
      <c r="B137" s="52"/>
      <c r="C137" s="52"/>
      <c r="D137" s="52"/>
      <c r="E137" s="53"/>
      <c r="F137" s="53"/>
      <c r="G137" s="53"/>
      <c r="H137" s="53"/>
      <c r="I137" s="53"/>
      <c r="J137" s="1"/>
    </row>
    <row r="138" ht="14.25" customHeight="1">
      <c r="A138" s="52"/>
      <c r="B138" s="52"/>
      <c r="C138" s="52"/>
      <c r="D138" s="52"/>
      <c r="E138" s="53"/>
      <c r="F138" s="53"/>
      <c r="G138" s="53"/>
      <c r="H138" s="53"/>
      <c r="I138" s="53"/>
      <c r="J138" s="1"/>
    </row>
    <row r="139" ht="14.25" customHeight="1">
      <c r="A139" s="52"/>
      <c r="B139" s="52"/>
      <c r="C139" s="52"/>
      <c r="D139" s="52"/>
      <c r="E139" s="53"/>
      <c r="F139" s="53"/>
      <c r="G139" s="53"/>
      <c r="H139" s="53"/>
      <c r="I139" s="53"/>
      <c r="J139" s="1"/>
    </row>
    <row r="140" ht="14.25" customHeight="1">
      <c r="A140" s="52"/>
      <c r="B140" s="52"/>
      <c r="C140" s="52"/>
      <c r="D140" s="52"/>
      <c r="E140" s="53"/>
      <c r="F140" s="53"/>
      <c r="G140" s="53"/>
      <c r="H140" s="53"/>
      <c r="I140" s="53"/>
      <c r="J140" s="1"/>
    </row>
    <row r="141" ht="14.25" customHeight="1">
      <c r="A141" s="52"/>
      <c r="B141" s="52"/>
      <c r="C141" s="52"/>
      <c r="D141" s="52"/>
      <c r="E141" s="53"/>
      <c r="F141" s="53"/>
      <c r="G141" s="53"/>
      <c r="H141" s="53"/>
      <c r="I141" s="53"/>
      <c r="J141" s="1"/>
    </row>
    <row r="142" ht="14.25" customHeight="1">
      <c r="A142" s="52"/>
      <c r="B142" s="52"/>
      <c r="C142" s="52"/>
      <c r="D142" s="52"/>
      <c r="E142" s="53"/>
      <c r="F142" s="53"/>
      <c r="G142" s="53"/>
      <c r="H142" s="53"/>
      <c r="I142" s="53"/>
      <c r="J142" s="1"/>
    </row>
    <row r="143" ht="14.25" customHeight="1">
      <c r="A143" s="52"/>
      <c r="B143" s="52"/>
      <c r="C143" s="52"/>
      <c r="D143" s="52"/>
      <c r="E143" s="53"/>
      <c r="F143" s="53"/>
      <c r="G143" s="53"/>
      <c r="H143" s="53"/>
      <c r="I143" s="53"/>
      <c r="J143" s="1"/>
    </row>
    <row r="144" ht="14.25" customHeight="1">
      <c r="A144" s="52"/>
      <c r="B144" s="52"/>
      <c r="C144" s="52"/>
      <c r="D144" s="52"/>
      <c r="E144" s="53"/>
      <c r="F144" s="53"/>
      <c r="G144" s="53"/>
      <c r="H144" s="53"/>
      <c r="I144" s="53"/>
      <c r="J144" s="1"/>
    </row>
    <row r="145" ht="14.25" customHeight="1">
      <c r="A145" s="52"/>
      <c r="B145" s="52"/>
      <c r="C145" s="52"/>
      <c r="D145" s="52"/>
      <c r="E145" s="53"/>
      <c r="F145" s="53"/>
      <c r="G145" s="53"/>
      <c r="H145" s="53"/>
      <c r="I145" s="53"/>
      <c r="J145" s="1"/>
    </row>
    <row r="146" ht="14.25" customHeight="1">
      <c r="A146" s="52"/>
      <c r="B146" s="52"/>
      <c r="C146" s="52"/>
      <c r="D146" s="52"/>
      <c r="E146" s="53"/>
      <c r="F146" s="53"/>
      <c r="G146" s="53"/>
      <c r="H146" s="53"/>
      <c r="I146" s="53"/>
      <c r="J146" s="1"/>
    </row>
    <row r="147" ht="14.25" customHeight="1">
      <c r="A147" s="52"/>
      <c r="B147" s="52"/>
      <c r="C147" s="52"/>
      <c r="D147" s="52"/>
      <c r="E147" s="53"/>
      <c r="F147" s="53"/>
      <c r="G147" s="53"/>
      <c r="H147" s="53"/>
      <c r="I147" s="53"/>
      <c r="J147" s="1"/>
    </row>
    <row r="148" ht="14.25" customHeight="1">
      <c r="A148" s="52"/>
      <c r="B148" s="52"/>
      <c r="C148" s="52"/>
      <c r="D148" s="52"/>
      <c r="E148" s="53"/>
      <c r="F148" s="53"/>
      <c r="G148" s="53"/>
      <c r="H148" s="53"/>
      <c r="I148" s="53"/>
      <c r="J148" s="1"/>
    </row>
    <row r="149" ht="14.25" customHeight="1">
      <c r="A149" s="52"/>
      <c r="B149" s="52"/>
      <c r="C149" s="52"/>
      <c r="D149" s="52"/>
      <c r="E149" s="53"/>
      <c r="F149" s="53"/>
      <c r="G149" s="53"/>
      <c r="H149" s="53"/>
      <c r="I149" s="53"/>
      <c r="J149" s="1"/>
    </row>
    <row r="150" ht="14.25" customHeight="1">
      <c r="A150" s="52"/>
      <c r="B150" s="52"/>
      <c r="C150" s="52"/>
      <c r="D150" s="52"/>
      <c r="E150" s="53"/>
      <c r="F150" s="53"/>
      <c r="G150" s="53"/>
      <c r="H150" s="53"/>
      <c r="I150" s="53"/>
      <c r="J150" s="1"/>
    </row>
    <row r="151" ht="14.25" customHeight="1">
      <c r="A151" s="52"/>
      <c r="B151" s="52"/>
      <c r="C151" s="52"/>
      <c r="D151" s="52"/>
      <c r="E151" s="53"/>
      <c r="F151" s="53"/>
      <c r="G151" s="53"/>
      <c r="H151" s="53"/>
      <c r="I151" s="53"/>
      <c r="J151" s="1"/>
    </row>
    <row r="152" ht="14.25" customHeight="1">
      <c r="A152" s="52"/>
      <c r="B152" s="52"/>
      <c r="C152" s="52"/>
      <c r="D152" s="52"/>
      <c r="E152" s="53"/>
      <c r="F152" s="53"/>
      <c r="G152" s="53"/>
      <c r="H152" s="53"/>
      <c r="I152" s="53"/>
      <c r="J152" s="1"/>
    </row>
    <row r="153" ht="14.25" customHeight="1">
      <c r="A153" s="52"/>
      <c r="B153" s="52"/>
      <c r="C153" s="52"/>
      <c r="D153" s="52"/>
      <c r="E153" s="53"/>
      <c r="F153" s="53"/>
      <c r="G153" s="53"/>
      <c r="H153" s="53"/>
      <c r="I153" s="53"/>
      <c r="J153" s="1"/>
    </row>
    <row r="154" ht="14.25" customHeight="1">
      <c r="A154" s="52"/>
      <c r="B154" s="52"/>
      <c r="C154" s="52"/>
      <c r="D154" s="52"/>
      <c r="E154" s="53"/>
      <c r="F154" s="53"/>
      <c r="G154" s="53"/>
      <c r="H154" s="53"/>
      <c r="I154" s="53"/>
      <c r="J154" s="1"/>
    </row>
    <row r="155" ht="14.25" customHeight="1">
      <c r="A155" s="52"/>
      <c r="B155" s="52"/>
      <c r="C155" s="52"/>
      <c r="D155" s="52"/>
      <c r="E155" s="53"/>
      <c r="F155" s="53"/>
      <c r="G155" s="53"/>
      <c r="H155" s="53"/>
      <c r="I155" s="53"/>
      <c r="J155" s="1"/>
    </row>
    <row r="156" ht="14.25" customHeight="1">
      <c r="A156" s="52"/>
      <c r="B156" s="52"/>
      <c r="C156" s="52"/>
      <c r="D156" s="52"/>
      <c r="E156" s="53"/>
      <c r="F156" s="53"/>
      <c r="G156" s="53"/>
      <c r="H156" s="53"/>
      <c r="I156" s="53"/>
      <c r="J156" s="1"/>
    </row>
    <row r="157" ht="14.25" customHeight="1">
      <c r="A157" s="52"/>
      <c r="B157" s="52"/>
      <c r="C157" s="52"/>
      <c r="D157" s="52"/>
      <c r="E157" s="53"/>
      <c r="F157" s="53"/>
      <c r="G157" s="53"/>
      <c r="H157" s="53"/>
      <c r="I157" s="53"/>
      <c r="J157" s="1"/>
    </row>
    <row r="158" ht="14.25" customHeight="1">
      <c r="A158" s="52"/>
      <c r="B158" s="52"/>
      <c r="C158" s="52"/>
      <c r="D158" s="52"/>
      <c r="E158" s="53"/>
      <c r="F158" s="53"/>
      <c r="G158" s="53"/>
      <c r="H158" s="53"/>
      <c r="I158" s="53"/>
      <c r="J158" s="1"/>
    </row>
    <row r="159" ht="14.25" customHeight="1">
      <c r="A159" s="52"/>
      <c r="B159" s="52"/>
      <c r="C159" s="52"/>
      <c r="D159" s="52"/>
      <c r="E159" s="53"/>
      <c r="F159" s="53"/>
      <c r="G159" s="53"/>
      <c r="H159" s="53"/>
      <c r="I159" s="53"/>
      <c r="J159" s="1"/>
    </row>
    <row r="160" ht="14.25" customHeight="1">
      <c r="A160" s="52"/>
      <c r="B160" s="52"/>
      <c r="C160" s="52"/>
      <c r="D160" s="52"/>
      <c r="E160" s="53"/>
      <c r="F160" s="53"/>
      <c r="G160" s="53"/>
      <c r="H160" s="53"/>
      <c r="I160" s="53"/>
      <c r="J160" s="1"/>
    </row>
    <row r="161" ht="14.25" customHeight="1">
      <c r="A161" s="52"/>
      <c r="B161" s="52"/>
      <c r="C161" s="52"/>
      <c r="D161" s="52"/>
      <c r="E161" s="53"/>
      <c r="F161" s="53"/>
      <c r="G161" s="53"/>
      <c r="H161" s="53"/>
      <c r="I161" s="53"/>
      <c r="J161" s="1"/>
    </row>
    <row r="162" ht="14.25" customHeight="1">
      <c r="A162" s="52"/>
      <c r="B162" s="52"/>
      <c r="C162" s="52"/>
      <c r="D162" s="52"/>
      <c r="E162" s="53"/>
      <c r="F162" s="53"/>
      <c r="G162" s="53"/>
      <c r="H162" s="53"/>
      <c r="I162" s="53"/>
      <c r="J162" s="1"/>
    </row>
    <row r="163" ht="14.25" customHeight="1">
      <c r="A163" s="52"/>
      <c r="B163" s="52"/>
      <c r="C163" s="52"/>
      <c r="D163" s="52"/>
      <c r="E163" s="53"/>
      <c r="F163" s="53"/>
      <c r="G163" s="53"/>
      <c r="H163" s="53"/>
      <c r="I163" s="53"/>
      <c r="J163" s="1"/>
    </row>
    <row r="164" ht="14.25" customHeight="1">
      <c r="A164" s="52"/>
      <c r="B164" s="52"/>
      <c r="C164" s="52"/>
      <c r="D164" s="52"/>
      <c r="E164" s="53"/>
      <c r="F164" s="53"/>
      <c r="G164" s="53"/>
      <c r="H164" s="53"/>
      <c r="I164" s="53"/>
      <c r="J164" s="1"/>
    </row>
    <row r="165" ht="14.25" customHeight="1">
      <c r="A165" s="52"/>
      <c r="B165" s="52"/>
      <c r="C165" s="52"/>
      <c r="D165" s="52"/>
      <c r="E165" s="53"/>
      <c r="F165" s="53"/>
      <c r="G165" s="53"/>
      <c r="H165" s="53"/>
      <c r="I165" s="53"/>
      <c r="J165" s="1"/>
    </row>
    <row r="166" ht="14.25" customHeight="1">
      <c r="A166" s="52"/>
      <c r="B166" s="52"/>
      <c r="C166" s="52"/>
      <c r="D166" s="52"/>
      <c r="E166" s="53"/>
      <c r="F166" s="53"/>
      <c r="G166" s="53"/>
      <c r="H166" s="53"/>
      <c r="I166" s="53"/>
      <c r="J166" s="1"/>
    </row>
    <row r="167" ht="14.25" customHeight="1">
      <c r="A167" s="52"/>
      <c r="B167" s="52"/>
      <c r="C167" s="52"/>
      <c r="D167" s="52"/>
      <c r="E167" s="53"/>
      <c r="F167" s="53"/>
      <c r="G167" s="53"/>
      <c r="H167" s="53"/>
      <c r="I167" s="53"/>
      <c r="J167" s="1"/>
    </row>
    <row r="168" ht="14.25" customHeight="1">
      <c r="A168" s="52"/>
      <c r="B168" s="52"/>
      <c r="C168" s="52"/>
      <c r="D168" s="52"/>
      <c r="E168" s="53"/>
      <c r="F168" s="53"/>
      <c r="G168" s="53"/>
      <c r="H168" s="53"/>
      <c r="I168" s="53"/>
      <c r="J168" s="1"/>
    </row>
    <row r="169" ht="14.25" customHeight="1">
      <c r="A169" s="52"/>
      <c r="B169" s="52"/>
      <c r="C169" s="52"/>
      <c r="D169" s="52"/>
      <c r="E169" s="53"/>
      <c r="F169" s="53"/>
      <c r="G169" s="53"/>
      <c r="H169" s="53"/>
      <c r="I169" s="53"/>
      <c r="J169" s="1"/>
    </row>
    <row r="170" ht="14.25" customHeight="1">
      <c r="A170" s="52"/>
      <c r="B170" s="52"/>
      <c r="C170" s="52"/>
      <c r="D170" s="52"/>
      <c r="E170" s="53"/>
      <c r="F170" s="53"/>
      <c r="G170" s="53"/>
      <c r="H170" s="53"/>
      <c r="I170" s="53"/>
      <c r="J170" s="1"/>
    </row>
    <row r="171" ht="14.25" customHeight="1">
      <c r="A171" s="52"/>
      <c r="B171" s="52"/>
      <c r="C171" s="52"/>
      <c r="D171" s="52"/>
      <c r="E171" s="53"/>
      <c r="F171" s="53"/>
      <c r="G171" s="53"/>
      <c r="H171" s="53"/>
      <c r="I171" s="53"/>
      <c r="J171" s="1"/>
    </row>
    <row r="172" ht="14.25" customHeight="1">
      <c r="A172" s="52"/>
      <c r="B172" s="52"/>
      <c r="C172" s="52"/>
      <c r="D172" s="52"/>
      <c r="E172" s="53"/>
      <c r="F172" s="53"/>
      <c r="G172" s="53"/>
      <c r="H172" s="53"/>
      <c r="I172" s="53"/>
      <c r="J172" s="1"/>
    </row>
    <row r="173" ht="14.25" customHeight="1">
      <c r="A173" s="52"/>
      <c r="B173" s="52"/>
      <c r="C173" s="52"/>
      <c r="D173" s="52"/>
      <c r="E173" s="53"/>
      <c r="F173" s="53"/>
      <c r="G173" s="53"/>
      <c r="H173" s="53"/>
      <c r="I173" s="53"/>
      <c r="J173" s="1"/>
    </row>
    <row r="174" ht="14.25" customHeight="1">
      <c r="A174" s="52"/>
      <c r="B174" s="52"/>
      <c r="C174" s="52"/>
      <c r="D174" s="52"/>
      <c r="E174" s="53"/>
      <c r="F174" s="53"/>
      <c r="G174" s="53"/>
      <c r="H174" s="53"/>
      <c r="I174" s="53"/>
      <c r="J174" s="1"/>
    </row>
    <row r="175" ht="14.25" customHeight="1">
      <c r="A175" s="52"/>
      <c r="B175" s="52"/>
      <c r="C175" s="52"/>
      <c r="D175" s="52"/>
      <c r="E175" s="53"/>
      <c r="F175" s="53"/>
      <c r="G175" s="53"/>
      <c r="H175" s="53"/>
      <c r="I175" s="53"/>
      <c r="J175" s="1"/>
    </row>
    <row r="176" ht="14.25" customHeight="1">
      <c r="A176" s="52"/>
      <c r="B176" s="52"/>
      <c r="C176" s="52"/>
      <c r="D176" s="52"/>
      <c r="E176" s="53"/>
      <c r="F176" s="53"/>
      <c r="G176" s="53"/>
      <c r="H176" s="53"/>
      <c r="I176" s="53"/>
      <c r="J176" s="1"/>
    </row>
    <row r="177" ht="14.25" customHeight="1">
      <c r="A177" s="52"/>
      <c r="B177" s="52"/>
      <c r="C177" s="52"/>
      <c r="D177" s="52"/>
      <c r="E177" s="53"/>
      <c r="F177" s="53"/>
      <c r="G177" s="53"/>
      <c r="H177" s="53"/>
      <c r="I177" s="53"/>
      <c r="J177" s="1"/>
    </row>
    <row r="178" ht="14.25" customHeight="1">
      <c r="A178" s="52"/>
      <c r="B178" s="52"/>
      <c r="C178" s="52"/>
      <c r="D178" s="52"/>
      <c r="E178" s="53"/>
      <c r="F178" s="53"/>
      <c r="G178" s="53"/>
      <c r="H178" s="53"/>
      <c r="I178" s="53"/>
      <c r="J178" s="1"/>
    </row>
    <row r="179" ht="14.25" customHeight="1">
      <c r="A179" s="52"/>
      <c r="B179" s="52"/>
      <c r="C179" s="52"/>
      <c r="D179" s="52"/>
      <c r="E179" s="53"/>
      <c r="F179" s="53"/>
      <c r="G179" s="53"/>
      <c r="H179" s="53"/>
      <c r="I179" s="53"/>
      <c r="J179" s="1"/>
    </row>
    <row r="180" ht="14.25" customHeight="1">
      <c r="A180" s="52"/>
      <c r="B180" s="52"/>
      <c r="C180" s="52"/>
      <c r="D180" s="52"/>
      <c r="E180" s="53"/>
      <c r="F180" s="53"/>
      <c r="G180" s="53"/>
      <c r="H180" s="53"/>
      <c r="I180" s="53"/>
      <c r="J180" s="1"/>
    </row>
    <row r="181" ht="14.25" customHeight="1">
      <c r="A181" s="52"/>
      <c r="B181" s="52"/>
      <c r="C181" s="52"/>
      <c r="D181" s="52"/>
      <c r="E181" s="53"/>
      <c r="F181" s="53"/>
      <c r="G181" s="53"/>
      <c r="H181" s="53"/>
      <c r="I181" s="53"/>
      <c r="J181" s="1"/>
    </row>
    <row r="182" ht="14.25" customHeight="1">
      <c r="A182" s="52"/>
      <c r="B182" s="52"/>
      <c r="C182" s="52"/>
      <c r="D182" s="52"/>
      <c r="E182" s="53"/>
      <c r="F182" s="53"/>
      <c r="G182" s="53"/>
      <c r="H182" s="53"/>
      <c r="I182" s="53"/>
      <c r="J182" s="1"/>
    </row>
    <row r="183" ht="14.25" customHeight="1">
      <c r="A183" s="52"/>
      <c r="B183" s="52"/>
      <c r="C183" s="52"/>
      <c r="D183" s="52"/>
      <c r="E183" s="53"/>
      <c r="F183" s="53"/>
      <c r="G183" s="53"/>
      <c r="H183" s="53"/>
      <c r="I183" s="53"/>
      <c r="J183" s="1"/>
    </row>
    <row r="184" ht="14.25" customHeight="1">
      <c r="A184" s="52"/>
      <c r="B184" s="52"/>
      <c r="C184" s="52"/>
      <c r="D184" s="52"/>
      <c r="E184" s="53"/>
      <c r="F184" s="53"/>
      <c r="G184" s="53"/>
      <c r="H184" s="53"/>
      <c r="I184" s="53"/>
      <c r="J184" s="1"/>
    </row>
    <row r="185" ht="14.25" customHeight="1">
      <c r="A185" s="52"/>
      <c r="B185" s="52"/>
      <c r="C185" s="52"/>
      <c r="D185" s="52"/>
      <c r="E185" s="53"/>
      <c r="F185" s="53"/>
      <c r="G185" s="53"/>
      <c r="H185" s="53"/>
      <c r="I185" s="53"/>
      <c r="J185" s="1"/>
    </row>
    <row r="186" ht="14.25" customHeight="1">
      <c r="A186" s="52"/>
      <c r="B186" s="52"/>
      <c r="C186" s="52"/>
      <c r="D186" s="52"/>
      <c r="E186" s="53"/>
      <c r="F186" s="53"/>
      <c r="G186" s="53"/>
      <c r="H186" s="53"/>
      <c r="I186" s="53"/>
      <c r="J186" s="1"/>
    </row>
    <row r="187" ht="14.25" customHeight="1">
      <c r="A187" s="52"/>
      <c r="B187" s="52"/>
      <c r="C187" s="52"/>
      <c r="D187" s="52"/>
      <c r="E187" s="53"/>
      <c r="F187" s="53"/>
      <c r="G187" s="53"/>
      <c r="H187" s="53"/>
      <c r="I187" s="53"/>
      <c r="J187" s="1"/>
    </row>
    <row r="188" ht="14.25" customHeight="1">
      <c r="A188" s="52"/>
      <c r="B188" s="52"/>
      <c r="C188" s="52"/>
      <c r="D188" s="52"/>
      <c r="E188" s="53"/>
      <c r="F188" s="53"/>
      <c r="G188" s="53"/>
      <c r="H188" s="53"/>
      <c r="I188" s="53"/>
      <c r="J188" s="1"/>
    </row>
    <row r="189" ht="14.25" customHeight="1">
      <c r="A189" s="52"/>
      <c r="B189" s="52"/>
      <c r="C189" s="52"/>
      <c r="D189" s="52"/>
      <c r="E189" s="53"/>
      <c r="F189" s="53"/>
      <c r="G189" s="53"/>
      <c r="H189" s="53"/>
      <c r="I189" s="53"/>
      <c r="J189" s="1"/>
    </row>
    <row r="190" ht="14.25" customHeight="1">
      <c r="A190" s="52"/>
      <c r="B190" s="52"/>
      <c r="C190" s="52"/>
      <c r="D190" s="52"/>
      <c r="E190" s="53"/>
      <c r="F190" s="53"/>
      <c r="G190" s="53"/>
      <c r="H190" s="53"/>
      <c r="I190" s="53"/>
      <c r="J190" s="1"/>
    </row>
    <row r="191" ht="14.25" customHeight="1">
      <c r="A191" s="52"/>
      <c r="B191" s="52"/>
      <c r="C191" s="52"/>
      <c r="D191" s="52"/>
      <c r="E191" s="53"/>
      <c r="F191" s="53"/>
      <c r="G191" s="53"/>
      <c r="H191" s="53"/>
      <c r="I191" s="53"/>
      <c r="J191" s="1"/>
    </row>
    <row r="192" ht="14.25" customHeight="1">
      <c r="A192" s="52"/>
      <c r="B192" s="52"/>
      <c r="C192" s="52"/>
      <c r="D192" s="52"/>
      <c r="E192" s="53"/>
      <c r="F192" s="53"/>
      <c r="G192" s="53"/>
      <c r="H192" s="53"/>
      <c r="I192" s="53"/>
      <c r="J192" s="1"/>
    </row>
    <row r="193" ht="14.25" customHeight="1">
      <c r="A193" s="52"/>
      <c r="B193" s="52"/>
      <c r="C193" s="52"/>
      <c r="D193" s="52"/>
      <c r="E193" s="53"/>
      <c r="F193" s="53"/>
      <c r="G193" s="53"/>
      <c r="H193" s="53"/>
      <c r="I193" s="53"/>
      <c r="J193" s="1"/>
    </row>
    <row r="194" ht="14.25" customHeight="1">
      <c r="A194" s="52"/>
      <c r="B194" s="52"/>
      <c r="C194" s="52"/>
      <c r="D194" s="52"/>
      <c r="E194" s="53"/>
      <c r="F194" s="53"/>
      <c r="G194" s="53"/>
      <c r="H194" s="53"/>
      <c r="I194" s="53"/>
      <c r="J194" s="1"/>
    </row>
    <row r="195" ht="14.25" customHeight="1">
      <c r="A195" s="52"/>
      <c r="B195" s="52"/>
      <c r="C195" s="52"/>
      <c r="D195" s="52"/>
      <c r="E195" s="53"/>
      <c r="F195" s="53"/>
      <c r="G195" s="53"/>
      <c r="H195" s="53"/>
      <c r="I195" s="53"/>
      <c r="J195" s="1"/>
    </row>
    <row r="196" ht="14.25" customHeight="1">
      <c r="A196" s="52"/>
      <c r="B196" s="52"/>
      <c r="C196" s="52"/>
      <c r="D196" s="52"/>
      <c r="E196" s="53"/>
      <c r="F196" s="53"/>
      <c r="G196" s="53"/>
      <c r="H196" s="53"/>
      <c r="I196" s="53"/>
      <c r="J196" s="1"/>
    </row>
    <row r="197" ht="14.25" customHeight="1">
      <c r="A197" s="52"/>
      <c r="B197" s="52"/>
      <c r="C197" s="52"/>
      <c r="D197" s="52"/>
      <c r="E197" s="53"/>
      <c r="F197" s="53"/>
      <c r="G197" s="53"/>
      <c r="H197" s="53"/>
      <c r="I197" s="53"/>
      <c r="J197" s="1"/>
    </row>
    <row r="198" ht="14.25" customHeight="1">
      <c r="A198" s="52"/>
      <c r="B198" s="52"/>
      <c r="C198" s="52"/>
      <c r="D198" s="52"/>
      <c r="E198" s="53"/>
      <c r="F198" s="53"/>
      <c r="G198" s="53"/>
      <c r="H198" s="53"/>
      <c r="I198" s="53"/>
      <c r="J198" s="1"/>
    </row>
    <row r="199" ht="14.25" customHeight="1">
      <c r="A199" s="52"/>
      <c r="B199" s="52"/>
      <c r="C199" s="52"/>
      <c r="D199" s="52"/>
      <c r="E199" s="53"/>
      <c r="F199" s="53"/>
      <c r="G199" s="53"/>
      <c r="H199" s="53"/>
      <c r="I199" s="53"/>
      <c r="J199" s="1"/>
    </row>
    <row r="200" ht="14.25" customHeight="1">
      <c r="A200" s="52"/>
      <c r="B200" s="52"/>
      <c r="C200" s="52"/>
      <c r="D200" s="52"/>
      <c r="E200" s="53"/>
      <c r="F200" s="53"/>
      <c r="G200" s="53"/>
      <c r="H200" s="53"/>
      <c r="I200" s="53"/>
      <c r="J200" s="1"/>
    </row>
    <row r="201" ht="14.25" customHeight="1">
      <c r="A201" s="52"/>
      <c r="B201" s="52"/>
      <c r="C201" s="52"/>
      <c r="D201" s="52"/>
      <c r="E201" s="53"/>
      <c r="F201" s="53"/>
      <c r="G201" s="53"/>
      <c r="H201" s="53"/>
      <c r="I201" s="53"/>
      <c r="J201" s="1"/>
    </row>
    <row r="202" ht="14.25" customHeight="1">
      <c r="A202" s="52"/>
      <c r="B202" s="52"/>
      <c r="C202" s="52"/>
      <c r="D202" s="52"/>
      <c r="E202" s="53"/>
      <c r="F202" s="53"/>
      <c r="G202" s="53"/>
      <c r="H202" s="53"/>
      <c r="I202" s="53"/>
      <c r="J202" s="1"/>
    </row>
    <row r="203" ht="14.25" customHeight="1">
      <c r="A203" s="52"/>
      <c r="B203" s="52"/>
      <c r="C203" s="52"/>
      <c r="D203" s="52"/>
      <c r="E203" s="53"/>
      <c r="F203" s="53"/>
      <c r="G203" s="53"/>
      <c r="H203" s="53"/>
      <c r="I203" s="53"/>
      <c r="J203" s="1"/>
    </row>
    <row r="204" ht="14.25" customHeight="1">
      <c r="A204" s="52"/>
      <c r="B204" s="52"/>
      <c r="C204" s="52"/>
      <c r="D204" s="52"/>
      <c r="E204" s="53"/>
      <c r="F204" s="53"/>
      <c r="G204" s="53"/>
      <c r="H204" s="53"/>
      <c r="I204" s="53"/>
      <c r="J204" s="1"/>
    </row>
    <row r="205" ht="14.25" customHeight="1">
      <c r="A205" s="52"/>
      <c r="B205" s="52"/>
      <c r="C205" s="52"/>
      <c r="D205" s="52"/>
      <c r="E205" s="53"/>
      <c r="F205" s="53"/>
      <c r="G205" s="53"/>
      <c r="H205" s="53"/>
      <c r="I205" s="53"/>
      <c r="J205" s="1"/>
    </row>
    <row r="206" ht="14.25" customHeight="1">
      <c r="A206" s="52"/>
      <c r="B206" s="52"/>
      <c r="C206" s="52"/>
      <c r="D206" s="52"/>
      <c r="E206" s="53"/>
      <c r="F206" s="53"/>
      <c r="G206" s="53"/>
      <c r="H206" s="53"/>
      <c r="I206" s="53"/>
      <c r="J206" s="1"/>
    </row>
    <row r="207" ht="14.25" customHeight="1">
      <c r="A207" s="52"/>
      <c r="B207" s="52"/>
      <c r="C207" s="52"/>
      <c r="D207" s="52"/>
      <c r="E207" s="53"/>
      <c r="F207" s="53"/>
      <c r="G207" s="53"/>
      <c r="H207" s="53"/>
      <c r="I207" s="53"/>
      <c r="J207" s="1"/>
    </row>
    <row r="208" ht="14.25" customHeight="1">
      <c r="A208" s="52"/>
      <c r="B208" s="52"/>
      <c r="C208" s="52"/>
      <c r="D208" s="52"/>
      <c r="E208" s="53"/>
      <c r="F208" s="53"/>
      <c r="G208" s="53"/>
      <c r="H208" s="53"/>
      <c r="I208" s="53"/>
      <c r="J208" s="1"/>
    </row>
    <row r="209" ht="14.25" customHeight="1">
      <c r="A209" s="52"/>
      <c r="B209" s="52"/>
      <c r="C209" s="52"/>
      <c r="D209" s="52"/>
      <c r="E209" s="53"/>
      <c r="F209" s="53"/>
      <c r="G209" s="53"/>
      <c r="H209" s="53"/>
      <c r="I209" s="53"/>
      <c r="J209" s="1"/>
    </row>
    <row r="210" ht="14.25" customHeight="1">
      <c r="A210" s="52"/>
      <c r="B210" s="52"/>
      <c r="C210" s="52"/>
      <c r="D210" s="52"/>
      <c r="E210" s="53"/>
      <c r="F210" s="53"/>
      <c r="G210" s="53"/>
      <c r="H210" s="53"/>
      <c r="I210" s="53"/>
      <c r="J210" s="1"/>
    </row>
    <row r="211" ht="14.25" customHeight="1">
      <c r="A211" s="52"/>
      <c r="B211" s="52"/>
      <c r="C211" s="52"/>
      <c r="D211" s="52"/>
      <c r="E211" s="53"/>
      <c r="F211" s="53"/>
      <c r="G211" s="53"/>
      <c r="H211" s="53"/>
      <c r="I211" s="53"/>
      <c r="J211" s="1"/>
    </row>
    <row r="212" ht="14.25" customHeight="1">
      <c r="A212" s="52"/>
      <c r="B212" s="52"/>
      <c r="C212" s="52"/>
      <c r="D212" s="52"/>
      <c r="E212" s="53"/>
      <c r="F212" s="53"/>
      <c r="G212" s="53"/>
      <c r="H212" s="53"/>
      <c r="I212" s="53"/>
      <c r="J212" s="1"/>
    </row>
    <row r="213" ht="14.25" customHeight="1">
      <c r="A213" s="52"/>
      <c r="B213" s="52"/>
      <c r="C213" s="52"/>
      <c r="D213" s="52"/>
      <c r="E213" s="53"/>
      <c r="F213" s="53"/>
      <c r="G213" s="53"/>
      <c r="H213" s="53"/>
      <c r="I213" s="53"/>
      <c r="J213" s="1"/>
    </row>
    <row r="214" ht="14.25" customHeight="1">
      <c r="A214" s="52"/>
      <c r="B214" s="52"/>
      <c r="C214" s="52"/>
      <c r="D214" s="52"/>
      <c r="E214" s="53"/>
      <c r="F214" s="53"/>
      <c r="G214" s="53"/>
      <c r="H214" s="53"/>
      <c r="I214" s="53"/>
      <c r="J214" s="1"/>
    </row>
    <row r="215" ht="14.25" customHeight="1">
      <c r="A215" s="52"/>
      <c r="B215" s="52"/>
      <c r="C215" s="52"/>
      <c r="D215" s="52"/>
      <c r="E215" s="53"/>
      <c r="F215" s="53"/>
      <c r="G215" s="53"/>
      <c r="H215" s="53"/>
      <c r="I215" s="53"/>
      <c r="J215" s="1"/>
    </row>
    <row r="216" ht="14.25" customHeight="1">
      <c r="A216" s="52"/>
      <c r="B216" s="52"/>
      <c r="C216" s="52"/>
      <c r="D216" s="52"/>
      <c r="E216" s="53"/>
      <c r="F216" s="53"/>
      <c r="G216" s="53"/>
      <c r="H216" s="53"/>
      <c r="I216" s="53"/>
      <c r="J216" s="1"/>
    </row>
    <row r="217" ht="14.25" customHeight="1">
      <c r="A217" s="52"/>
      <c r="B217" s="52"/>
      <c r="C217" s="52"/>
      <c r="D217" s="52"/>
      <c r="E217" s="53"/>
      <c r="F217" s="53"/>
      <c r="G217" s="53"/>
      <c r="H217" s="53"/>
      <c r="I217" s="53"/>
      <c r="J217" s="1"/>
    </row>
    <row r="218" ht="14.25" customHeight="1">
      <c r="A218" s="52"/>
      <c r="B218" s="52"/>
      <c r="C218" s="52"/>
      <c r="D218" s="52"/>
      <c r="E218" s="53"/>
      <c r="F218" s="53"/>
      <c r="G218" s="53"/>
      <c r="H218" s="53"/>
      <c r="I218" s="53"/>
      <c r="J218" s="1"/>
    </row>
    <row r="219" ht="14.25" customHeight="1">
      <c r="A219" s="52"/>
      <c r="B219" s="52"/>
      <c r="C219" s="52"/>
      <c r="D219" s="52"/>
      <c r="E219" s="53"/>
      <c r="F219" s="53"/>
      <c r="G219" s="53"/>
      <c r="H219" s="53"/>
      <c r="I219" s="53"/>
      <c r="J219" s="1"/>
    </row>
    <row r="220" ht="14.25" customHeight="1">
      <c r="A220" s="52"/>
      <c r="B220" s="52"/>
      <c r="C220" s="52"/>
      <c r="D220" s="52"/>
      <c r="E220" s="53"/>
      <c r="F220" s="53"/>
      <c r="G220" s="53"/>
      <c r="H220" s="53"/>
      <c r="I220" s="53"/>
      <c r="J220" s="1"/>
    </row>
    <row r="221" ht="14.25" customHeight="1">
      <c r="A221" s="52"/>
      <c r="B221" s="52"/>
      <c r="C221" s="52"/>
      <c r="D221" s="52"/>
      <c r="E221" s="53"/>
      <c r="F221" s="53"/>
      <c r="G221" s="53"/>
      <c r="H221" s="53"/>
      <c r="I221" s="53"/>
      <c r="J221" s="1"/>
    </row>
    <row r="222" ht="14.25" customHeight="1">
      <c r="A222" s="52"/>
      <c r="B222" s="52"/>
      <c r="C222" s="52"/>
      <c r="D222" s="52"/>
      <c r="E222" s="53"/>
      <c r="F222" s="53"/>
      <c r="G222" s="53"/>
      <c r="H222" s="53"/>
      <c r="I222" s="53"/>
      <c r="J222" s="1"/>
    </row>
    <row r="223" ht="14.25" customHeight="1">
      <c r="A223" s="52"/>
      <c r="B223" s="52"/>
      <c r="C223" s="52"/>
      <c r="D223" s="52"/>
      <c r="E223" s="53"/>
      <c r="F223" s="53"/>
      <c r="G223" s="53"/>
      <c r="H223" s="53"/>
      <c r="I223" s="53"/>
      <c r="J223" s="1"/>
    </row>
    <row r="224" ht="14.25" customHeight="1">
      <c r="A224" s="52"/>
      <c r="B224" s="52"/>
      <c r="C224" s="52"/>
      <c r="D224" s="52"/>
      <c r="E224" s="53"/>
      <c r="F224" s="53"/>
      <c r="G224" s="53"/>
      <c r="H224" s="53"/>
      <c r="I224" s="53"/>
      <c r="J224" s="1"/>
    </row>
    <row r="225" ht="14.25" customHeight="1">
      <c r="A225" s="52"/>
      <c r="B225" s="52"/>
      <c r="C225" s="52"/>
      <c r="D225" s="52"/>
      <c r="E225" s="53"/>
      <c r="F225" s="53"/>
      <c r="G225" s="53"/>
      <c r="H225" s="53"/>
      <c r="I225" s="53"/>
      <c r="J225" s="1"/>
    </row>
    <row r="226" ht="14.25" customHeight="1">
      <c r="A226" s="52"/>
      <c r="B226" s="52"/>
      <c r="C226" s="52"/>
      <c r="D226" s="52"/>
      <c r="E226" s="53"/>
      <c r="F226" s="53"/>
      <c r="G226" s="53"/>
      <c r="H226" s="53"/>
      <c r="I226" s="53"/>
      <c r="J226" s="1"/>
    </row>
    <row r="227" ht="14.25" customHeight="1">
      <c r="A227" s="52"/>
      <c r="B227" s="52"/>
      <c r="C227" s="52"/>
      <c r="D227" s="52"/>
      <c r="E227" s="53"/>
      <c r="F227" s="53"/>
      <c r="G227" s="53"/>
      <c r="H227" s="53"/>
      <c r="I227" s="53"/>
      <c r="J227" s="1"/>
    </row>
    <row r="228" ht="14.25" customHeight="1">
      <c r="A228" s="52"/>
      <c r="B228" s="52"/>
      <c r="C228" s="52"/>
      <c r="D228" s="52"/>
      <c r="E228" s="53"/>
      <c r="F228" s="53"/>
      <c r="G228" s="53"/>
      <c r="H228" s="53"/>
      <c r="I228" s="53"/>
      <c r="J228" s="1"/>
    </row>
    <row r="229" ht="14.25" customHeight="1">
      <c r="A229" s="52"/>
      <c r="B229" s="52"/>
      <c r="C229" s="52"/>
      <c r="D229" s="52"/>
      <c r="E229" s="53"/>
      <c r="F229" s="53"/>
      <c r="G229" s="53"/>
      <c r="H229" s="53"/>
      <c r="I229" s="53"/>
      <c r="J229" s="1"/>
    </row>
    <row r="230" ht="14.25" customHeight="1">
      <c r="A230" s="52"/>
      <c r="B230" s="52"/>
      <c r="C230" s="52"/>
      <c r="D230" s="52"/>
      <c r="E230" s="53"/>
      <c r="F230" s="53"/>
      <c r="G230" s="53"/>
      <c r="H230" s="53"/>
      <c r="I230" s="53"/>
      <c r="J230" s="1"/>
    </row>
    <row r="231" ht="14.25" customHeight="1">
      <c r="A231" s="52"/>
      <c r="B231" s="52"/>
      <c r="C231" s="52"/>
      <c r="D231" s="52"/>
      <c r="E231" s="53"/>
      <c r="F231" s="53"/>
      <c r="G231" s="53"/>
      <c r="H231" s="53"/>
      <c r="I231" s="53"/>
      <c r="J231" s="1"/>
    </row>
    <row r="232" ht="14.25" customHeight="1">
      <c r="A232" s="52"/>
      <c r="B232" s="52"/>
      <c r="C232" s="52"/>
      <c r="D232" s="52"/>
      <c r="E232" s="53"/>
      <c r="F232" s="53"/>
      <c r="G232" s="53"/>
      <c r="H232" s="53"/>
      <c r="I232" s="53"/>
      <c r="J232" s="1"/>
    </row>
    <row r="233" ht="14.25" customHeight="1">
      <c r="A233" s="52"/>
      <c r="B233" s="52"/>
      <c r="C233" s="52"/>
      <c r="D233" s="52"/>
      <c r="E233" s="53"/>
      <c r="F233" s="53"/>
      <c r="G233" s="53"/>
      <c r="H233" s="53"/>
      <c r="I233" s="53"/>
      <c r="J233" s="1"/>
    </row>
    <row r="234" ht="14.25" customHeight="1">
      <c r="A234" s="52"/>
      <c r="B234" s="52"/>
      <c r="C234" s="52"/>
      <c r="D234" s="52"/>
      <c r="E234" s="53"/>
      <c r="F234" s="53"/>
      <c r="G234" s="53"/>
      <c r="H234" s="53"/>
      <c r="I234" s="53"/>
      <c r="J234" s="1"/>
    </row>
    <row r="235" ht="14.25" customHeight="1">
      <c r="A235" s="52"/>
      <c r="B235" s="52"/>
      <c r="C235" s="52"/>
      <c r="D235" s="52"/>
      <c r="E235" s="53"/>
      <c r="F235" s="53"/>
      <c r="G235" s="53"/>
      <c r="H235" s="53"/>
      <c r="I235" s="53"/>
      <c r="J235" s="1"/>
    </row>
    <row r="236" ht="14.25" customHeight="1">
      <c r="A236" s="52"/>
      <c r="B236" s="52"/>
      <c r="C236" s="52"/>
      <c r="D236" s="52"/>
      <c r="E236" s="53"/>
      <c r="F236" s="53"/>
      <c r="G236" s="53"/>
      <c r="H236" s="53"/>
      <c r="I236" s="53"/>
      <c r="J236" s="1"/>
    </row>
    <row r="237" ht="14.25" customHeight="1">
      <c r="A237" s="52"/>
      <c r="B237" s="52"/>
      <c r="C237" s="52"/>
      <c r="D237" s="52"/>
      <c r="E237" s="53"/>
      <c r="F237" s="53"/>
      <c r="G237" s="53"/>
      <c r="H237" s="53"/>
      <c r="I237" s="53"/>
      <c r="J237" s="1"/>
    </row>
    <row r="238" ht="14.25" customHeight="1">
      <c r="A238" s="52"/>
      <c r="B238" s="52"/>
      <c r="C238" s="52"/>
      <c r="D238" s="52"/>
      <c r="E238" s="53"/>
      <c r="F238" s="53"/>
      <c r="G238" s="53"/>
      <c r="H238" s="53"/>
      <c r="I238" s="53"/>
      <c r="J238" s="1"/>
    </row>
    <row r="239" ht="14.25" customHeight="1">
      <c r="A239" s="52"/>
      <c r="B239" s="52"/>
      <c r="C239" s="52"/>
      <c r="D239" s="52"/>
      <c r="E239" s="53"/>
      <c r="F239" s="53"/>
      <c r="G239" s="53"/>
      <c r="H239" s="53"/>
      <c r="I239" s="53"/>
      <c r="J239" s="1"/>
    </row>
    <row r="240" ht="14.25" customHeight="1">
      <c r="A240" s="52"/>
      <c r="B240" s="52"/>
      <c r="C240" s="52"/>
      <c r="D240" s="52"/>
      <c r="E240" s="53"/>
      <c r="F240" s="53"/>
      <c r="G240" s="53"/>
      <c r="H240" s="53"/>
      <c r="I240" s="53"/>
      <c r="J240" s="1"/>
    </row>
    <row r="241" ht="14.25" customHeight="1">
      <c r="A241" s="52"/>
      <c r="B241" s="52"/>
      <c r="C241" s="52"/>
      <c r="D241" s="52"/>
      <c r="E241" s="53"/>
      <c r="F241" s="53"/>
      <c r="G241" s="53"/>
      <c r="H241" s="53"/>
      <c r="I241" s="53"/>
      <c r="J241" s="1"/>
    </row>
    <row r="242" ht="14.25" customHeight="1">
      <c r="A242" s="52"/>
      <c r="B242" s="52"/>
      <c r="C242" s="52"/>
      <c r="D242" s="52"/>
      <c r="E242" s="53"/>
      <c r="F242" s="53"/>
      <c r="G242" s="53"/>
      <c r="H242" s="53"/>
      <c r="I242" s="53"/>
      <c r="J242" s="1"/>
    </row>
    <row r="243" ht="14.25" customHeight="1">
      <c r="A243" s="52"/>
      <c r="B243" s="52"/>
      <c r="C243" s="52"/>
      <c r="D243" s="52"/>
      <c r="E243" s="53"/>
      <c r="F243" s="53"/>
      <c r="G243" s="53"/>
      <c r="H243" s="53"/>
      <c r="I243" s="53"/>
      <c r="J243" s="1"/>
    </row>
    <row r="244" ht="14.25" customHeight="1">
      <c r="A244" s="52"/>
      <c r="B244" s="52"/>
      <c r="C244" s="52"/>
      <c r="D244" s="52"/>
      <c r="E244" s="53"/>
      <c r="F244" s="53"/>
      <c r="G244" s="53"/>
      <c r="H244" s="53"/>
      <c r="I244" s="53"/>
      <c r="J244" s="1"/>
    </row>
    <row r="245" ht="14.25" customHeight="1">
      <c r="A245" s="52"/>
      <c r="B245" s="52"/>
      <c r="C245" s="52"/>
      <c r="D245" s="52"/>
      <c r="E245" s="53"/>
      <c r="F245" s="53"/>
      <c r="G245" s="53"/>
      <c r="H245" s="53"/>
      <c r="I245" s="53"/>
      <c r="J245" s="1"/>
    </row>
    <row r="246" ht="14.25" customHeight="1">
      <c r="A246" s="52"/>
      <c r="B246" s="52"/>
      <c r="C246" s="52"/>
      <c r="D246" s="52"/>
      <c r="E246" s="53"/>
      <c r="F246" s="53"/>
      <c r="G246" s="53"/>
      <c r="H246" s="53"/>
      <c r="I246" s="53"/>
      <c r="J246" s="1"/>
    </row>
    <row r="247" ht="14.25" customHeight="1">
      <c r="A247" s="52"/>
      <c r="B247" s="52"/>
      <c r="C247" s="52"/>
      <c r="D247" s="52"/>
      <c r="E247" s="53"/>
      <c r="F247" s="53"/>
      <c r="G247" s="53"/>
      <c r="H247" s="53"/>
      <c r="I247" s="53"/>
      <c r="J247" s="1"/>
    </row>
    <row r="248" ht="14.25" customHeight="1">
      <c r="A248" s="52"/>
      <c r="B248" s="52"/>
      <c r="C248" s="52"/>
      <c r="D248" s="52"/>
      <c r="E248" s="53"/>
      <c r="F248" s="53"/>
      <c r="G248" s="53"/>
      <c r="H248" s="53"/>
      <c r="I248" s="53"/>
      <c r="J248" s="1"/>
    </row>
    <row r="249" ht="14.25" customHeight="1">
      <c r="A249" s="52"/>
      <c r="B249" s="52"/>
      <c r="C249" s="52"/>
      <c r="D249" s="52"/>
      <c r="E249" s="53"/>
      <c r="F249" s="53"/>
      <c r="G249" s="53"/>
      <c r="H249" s="53"/>
      <c r="I249" s="53"/>
      <c r="J249" s="1"/>
    </row>
    <row r="250" ht="14.25" customHeight="1">
      <c r="A250" s="52"/>
      <c r="B250" s="52"/>
      <c r="C250" s="52"/>
      <c r="D250" s="52"/>
      <c r="E250" s="53"/>
      <c r="F250" s="53"/>
      <c r="G250" s="53"/>
      <c r="H250" s="53"/>
      <c r="I250" s="53"/>
      <c r="J250" s="1"/>
    </row>
    <row r="251" ht="14.25" customHeight="1">
      <c r="A251" s="52"/>
      <c r="B251" s="52"/>
      <c r="C251" s="52"/>
      <c r="D251" s="52"/>
      <c r="E251" s="53"/>
      <c r="F251" s="53"/>
      <c r="G251" s="53"/>
      <c r="H251" s="53"/>
      <c r="I251" s="53"/>
      <c r="J251" s="1"/>
    </row>
    <row r="252" ht="14.25" customHeight="1">
      <c r="A252" s="52"/>
      <c r="B252" s="52"/>
      <c r="C252" s="52"/>
      <c r="D252" s="52"/>
      <c r="E252" s="53"/>
      <c r="F252" s="53"/>
      <c r="G252" s="53"/>
      <c r="H252" s="53"/>
      <c r="I252" s="53"/>
      <c r="J252" s="1"/>
    </row>
    <row r="253" ht="14.25" customHeight="1">
      <c r="A253" s="52"/>
      <c r="B253" s="52"/>
      <c r="C253" s="52"/>
      <c r="D253" s="52"/>
      <c r="E253" s="53"/>
      <c r="F253" s="53"/>
      <c r="G253" s="53"/>
      <c r="H253" s="53"/>
      <c r="I253" s="53"/>
      <c r="J253" s="1"/>
    </row>
    <row r="254" ht="14.25" customHeight="1">
      <c r="A254" s="52"/>
      <c r="B254" s="52"/>
      <c r="C254" s="52"/>
      <c r="D254" s="52"/>
      <c r="E254" s="53"/>
      <c r="F254" s="53"/>
      <c r="G254" s="53"/>
      <c r="H254" s="53"/>
      <c r="I254" s="53"/>
      <c r="J254" s="1"/>
    </row>
    <row r="255" ht="14.25" customHeight="1">
      <c r="A255" s="52"/>
      <c r="B255" s="52"/>
      <c r="C255" s="52"/>
      <c r="D255" s="52"/>
      <c r="E255" s="53"/>
      <c r="F255" s="53"/>
      <c r="G255" s="53"/>
      <c r="H255" s="53"/>
      <c r="I255" s="53"/>
      <c r="J255" s="1"/>
    </row>
    <row r="256" ht="14.25" customHeight="1">
      <c r="A256" s="52"/>
      <c r="B256" s="52"/>
      <c r="C256" s="52"/>
      <c r="D256" s="52"/>
      <c r="E256" s="53"/>
      <c r="F256" s="53"/>
      <c r="G256" s="53"/>
      <c r="H256" s="53"/>
      <c r="I256" s="53"/>
      <c r="J256" s="1"/>
    </row>
    <row r="257" ht="14.25" customHeight="1">
      <c r="A257" s="52"/>
      <c r="B257" s="52"/>
      <c r="C257" s="52"/>
      <c r="D257" s="52"/>
      <c r="E257" s="53"/>
      <c r="F257" s="53"/>
      <c r="G257" s="53"/>
      <c r="H257" s="53"/>
      <c r="I257" s="53"/>
      <c r="J257" s="1"/>
    </row>
    <row r="258" ht="14.25" customHeight="1">
      <c r="A258" s="52"/>
      <c r="B258" s="52"/>
      <c r="C258" s="52"/>
      <c r="D258" s="52"/>
      <c r="E258" s="53"/>
      <c r="F258" s="53"/>
      <c r="G258" s="53"/>
      <c r="H258" s="53"/>
      <c r="I258" s="53"/>
      <c r="J258" s="1"/>
    </row>
    <row r="259" ht="14.25" customHeight="1">
      <c r="A259" s="52"/>
      <c r="B259" s="52"/>
      <c r="C259" s="52"/>
      <c r="D259" s="52"/>
      <c r="E259" s="53"/>
      <c r="F259" s="53"/>
      <c r="G259" s="53"/>
      <c r="H259" s="53"/>
      <c r="I259" s="53"/>
      <c r="J259" s="1"/>
    </row>
    <row r="260" ht="14.25" customHeight="1">
      <c r="A260" s="52"/>
      <c r="B260" s="52"/>
      <c r="C260" s="52"/>
      <c r="D260" s="52"/>
      <c r="E260" s="53"/>
      <c r="F260" s="53"/>
      <c r="G260" s="53"/>
      <c r="H260" s="53"/>
      <c r="I260" s="53"/>
      <c r="J260" s="1"/>
    </row>
    <row r="261" ht="14.25" customHeight="1">
      <c r="A261" s="52"/>
      <c r="B261" s="52"/>
      <c r="C261" s="52"/>
      <c r="D261" s="52"/>
      <c r="E261" s="53"/>
      <c r="F261" s="53"/>
      <c r="G261" s="53"/>
      <c r="H261" s="53"/>
      <c r="I261" s="53"/>
      <c r="J261" s="1"/>
    </row>
    <row r="262" ht="14.25" customHeight="1">
      <c r="A262" s="52"/>
      <c r="B262" s="52"/>
      <c r="C262" s="52"/>
      <c r="D262" s="52"/>
      <c r="E262" s="53"/>
      <c r="F262" s="53"/>
      <c r="G262" s="53"/>
      <c r="H262" s="53"/>
      <c r="I262" s="53"/>
      <c r="J262" s="1"/>
    </row>
    <row r="263" ht="14.25" customHeight="1">
      <c r="A263" s="52"/>
      <c r="B263" s="52"/>
      <c r="C263" s="52"/>
      <c r="D263" s="52"/>
      <c r="E263" s="53"/>
      <c r="F263" s="53"/>
      <c r="G263" s="53"/>
      <c r="H263" s="53"/>
      <c r="I263" s="53"/>
      <c r="J263" s="1"/>
    </row>
    <row r="264" ht="14.25" customHeight="1">
      <c r="A264" s="52"/>
      <c r="B264" s="52"/>
      <c r="C264" s="52"/>
      <c r="D264" s="52"/>
      <c r="E264" s="53"/>
      <c r="F264" s="53"/>
      <c r="G264" s="53"/>
      <c r="H264" s="53"/>
      <c r="I264" s="53"/>
      <c r="J264" s="1"/>
    </row>
    <row r="265" ht="14.25" customHeight="1">
      <c r="A265" s="52"/>
      <c r="B265" s="52"/>
      <c r="C265" s="52"/>
      <c r="D265" s="52"/>
      <c r="E265" s="53"/>
      <c r="F265" s="53"/>
      <c r="G265" s="53"/>
      <c r="H265" s="53"/>
      <c r="I265" s="53"/>
      <c r="J265" s="1"/>
    </row>
    <row r="266" ht="14.25" customHeight="1">
      <c r="A266" s="52"/>
      <c r="B266" s="52"/>
      <c r="C266" s="52"/>
      <c r="D266" s="52"/>
      <c r="E266" s="53"/>
      <c r="F266" s="53"/>
      <c r="G266" s="53"/>
      <c r="H266" s="53"/>
      <c r="I266" s="53"/>
      <c r="J266" s="1"/>
    </row>
    <row r="267" ht="14.25" customHeight="1">
      <c r="A267" s="52"/>
      <c r="B267" s="52"/>
      <c r="C267" s="52"/>
      <c r="D267" s="52"/>
      <c r="E267" s="53"/>
      <c r="F267" s="53"/>
      <c r="G267" s="53"/>
      <c r="H267" s="53"/>
      <c r="I267" s="53"/>
      <c r="J267" s="1"/>
    </row>
    <row r="268" ht="14.25" customHeight="1">
      <c r="A268" s="52"/>
      <c r="B268" s="52"/>
      <c r="C268" s="52"/>
      <c r="D268" s="52"/>
      <c r="E268" s="53"/>
      <c r="F268" s="53"/>
      <c r="G268" s="53"/>
      <c r="H268" s="53"/>
      <c r="I268" s="53"/>
      <c r="J268" s="1"/>
    </row>
    <row r="269" ht="14.25" customHeight="1">
      <c r="A269" s="52"/>
      <c r="B269" s="52"/>
      <c r="C269" s="52"/>
      <c r="D269" s="52"/>
      <c r="E269" s="53"/>
      <c r="F269" s="53"/>
      <c r="G269" s="53"/>
      <c r="H269" s="53"/>
      <c r="I269" s="53"/>
      <c r="J269" s="1"/>
    </row>
    <row r="270" ht="14.25" customHeight="1">
      <c r="A270" s="52"/>
      <c r="B270" s="52"/>
      <c r="C270" s="52"/>
      <c r="D270" s="52"/>
      <c r="E270" s="53"/>
      <c r="F270" s="53"/>
      <c r="G270" s="53"/>
      <c r="H270" s="53"/>
      <c r="I270" s="53"/>
      <c r="J270" s="1"/>
    </row>
    <row r="271" ht="14.25" customHeight="1">
      <c r="A271" s="52"/>
      <c r="B271" s="52"/>
      <c r="C271" s="52"/>
      <c r="D271" s="52"/>
      <c r="E271" s="53"/>
      <c r="F271" s="53"/>
      <c r="G271" s="53"/>
      <c r="H271" s="53"/>
      <c r="I271" s="53"/>
      <c r="J271" s="1"/>
    </row>
    <row r="272" ht="14.25" customHeight="1">
      <c r="A272" s="52"/>
      <c r="B272" s="52"/>
      <c r="C272" s="52"/>
      <c r="D272" s="52"/>
      <c r="E272" s="53"/>
      <c r="F272" s="53"/>
      <c r="G272" s="53"/>
      <c r="H272" s="53"/>
      <c r="I272" s="53"/>
      <c r="J272" s="1"/>
    </row>
    <row r="273" ht="14.25" customHeight="1">
      <c r="A273" s="52"/>
      <c r="B273" s="52"/>
      <c r="C273" s="52"/>
      <c r="D273" s="52"/>
      <c r="E273" s="53"/>
      <c r="F273" s="53"/>
      <c r="G273" s="53"/>
      <c r="H273" s="53"/>
      <c r="I273" s="53"/>
      <c r="J273" s="1"/>
    </row>
    <row r="274" ht="14.25" customHeight="1">
      <c r="A274" s="52"/>
      <c r="B274" s="52"/>
      <c r="C274" s="52"/>
      <c r="D274" s="52"/>
      <c r="E274" s="53"/>
      <c r="F274" s="53"/>
      <c r="G274" s="53"/>
      <c r="H274" s="53"/>
      <c r="I274" s="53"/>
      <c r="J274" s="1"/>
    </row>
    <row r="275" ht="14.25" customHeight="1">
      <c r="A275" s="52"/>
      <c r="B275" s="52"/>
      <c r="C275" s="52"/>
      <c r="D275" s="52"/>
      <c r="E275" s="53"/>
      <c r="F275" s="53"/>
      <c r="G275" s="53"/>
      <c r="H275" s="53"/>
      <c r="I275" s="53"/>
      <c r="J275" s="1"/>
    </row>
    <row r="276" ht="14.25" customHeight="1">
      <c r="A276" s="52"/>
      <c r="B276" s="52"/>
      <c r="C276" s="52"/>
      <c r="D276" s="52"/>
      <c r="E276" s="53"/>
      <c r="F276" s="53"/>
      <c r="G276" s="53"/>
      <c r="H276" s="53"/>
      <c r="I276" s="53"/>
      <c r="J276" s="1"/>
    </row>
    <row r="277" ht="14.25" customHeight="1">
      <c r="A277" s="52"/>
      <c r="B277" s="52"/>
      <c r="C277" s="52"/>
      <c r="D277" s="52"/>
      <c r="E277" s="53"/>
      <c r="F277" s="53"/>
      <c r="G277" s="53"/>
      <c r="H277" s="53"/>
      <c r="I277" s="53"/>
      <c r="J277" s="1"/>
    </row>
    <row r="278" ht="14.25" customHeight="1">
      <c r="A278" s="52"/>
      <c r="B278" s="52"/>
      <c r="C278" s="52"/>
      <c r="D278" s="52"/>
      <c r="E278" s="53"/>
      <c r="F278" s="53"/>
      <c r="G278" s="53"/>
      <c r="H278" s="53"/>
      <c r="I278" s="53"/>
      <c r="J278" s="1"/>
    </row>
    <row r="279" ht="14.25" customHeight="1">
      <c r="A279" s="52"/>
      <c r="B279" s="52"/>
      <c r="C279" s="52"/>
      <c r="D279" s="52"/>
      <c r="E279" s="53"/>
      <c r="F279" s="53"/>
      <c r="G279" s="53"/>
      <c r="H279" s="53"/>
      <c r="I279" s="53"/>
      <c r="J279" s="1"/>
    </row>
    <row r="280" ht="14.25" customHeight="1">
      <c r="A280" s="52"/>
      <c r="B280" s="52"/>
      <c r="C280" s="52"/>
      <c r="D280" s="52"/>
      <c r="E280" s="53"/>
      <c r="F280" s="53"/>
      <c r="G280" s="53"/>
      <c r="H280" s="53"/>
      <c r="I280" s="53"/>
      <c r="J280" s="1"/>
    </row>
    <row r="281" ht="14.25" customHeight="1">
      <c r="A281" s="52"/>
      <c r="B281" s="52"/>
      <c r="C281" s="52"/>
      <c r="D281" s="52"/>
      <c r="E281" s="53"/>
      <c r="F281" s="53"/>
      <c r="G281" s="53"/>
      <c r="H281" s="53"/>
      <c r="I281" s="53"/>
      <c r="J281" s="1"/>
    </row>
    <row r="282" ht="14.25" customHeight="1">
      <c r="A282" s="52"/>
      <c r="B282" s="52"/>
      <c r="C282" s="52"/>
      <c r="D282" s="52"/>
      <c r="E282" s="53"/>
      <c r="F282" s="53"/>
      <c r="G282" s="53"/>
      <c r="H282" s="53"/>
      <c r="I282" s="53"/>
      <c r="J282" s="1"/>
    </row>
    <row r="283" ht="14.25" customHeight="1">
      <c r="A283" s="52"/>
      <c r="B283" s="52"/>
      <c r="C283" s="52"/>
      <c r="D283" s="52"/>
      <c r="E283" s="53"/>
      <c r="F283" s="53"/>
      <c r="G283" s="53"/>
      <c r="H283" s="53"/>
      <c r="I283" s="53"/>
      <c r="J283" s="1"/>
    </row>
    <row r="284" ht="14.25" customHeight="1">
      <c r="A284" s="52"/>
      <c r="B284" s="52"/>
      <c r="C284" s="52"/>
      <c r="D284" s="52"/>
      <c r="E284" s="53"/>
      <c r="F284" s="53"/>
      <c r="G284" s="53"/>
      <c r="H284" s="53"/>
      <c r="I284" s="53"/>
      <c r="J284" s="1"/>
    </row>
    <row r="285" ht="14.25" customHeight="1">
      <c r="A285" s="52"/>
      <c r="B285" s="52"/>
      <c r="C285" s="52"/>
      <c r="D285" s="52"/>
      <c r="E285" s="53"/>
      <c r="F285" s="53"/>
      <c r="G285" s="53"/>
      <c r="H285" s="53"/>
      <c r="I285" s="53"/>
      <c r="J285" s="1"/>
    </row>
    <row r="286" ht="14.25" customHeight="1">
      <c r="A286" s="52"/>
      <c r="B286" s="52"/>
      <c r="C286" s="52"/>
      <c r="D286" s="52"/>
      <c r="E286" s="53"/>
      <c r="F286" s="53"/>
      <c r="G286" s="53"/>
      <c r="H286" s="53"/>
      <c r="I286" s="53"/>
      <c r="J286" s="1"/>
    </row>
    <row r="287" ht="14.25" customHeight="1">
      <c r="A287" s="52"/>
      <c r="B287" s="52"/>
      <c r="C287" s="52"/>
      <c r="D287" s="52"/>
      <c r="E287" s="53"/>
      <c r="F287" s="53"/>
      <c r="G287" s="53"/>
      <c r="H287" s="53"/>
      <c r="I287" s="53"/>
      <c r="J287" s="1"/>
    </row>
    <row r="288" ht="14.25" customHeight="1">
      <c r="A288" s="52"/>
      <c r="B288" s="52"/>
      <c r="C288" s="52"/>
      <c r="D288" s="52"/>
      <c r="E288" s="53"/>
      <c r="F288" s="53"/>
      <c r="G288" s="53"/>
      <c r="H288" s="53"/>
      <c r="I288" s="53"/>
      <c r="J288" s="1"/>
    </row>
    <row r="289" ht="14.25" customHeight="1">
      <c r="A289" s="52"/>
      <c r="B289" s="52"/>
      <c r="C289" s="52"/>
      <c r="D289" s="52"/>
      <c r="E289" s="53"/>
      <c r="F289" s="53"/>
      <c r="G289" s="53"/>
      <c r="H289" s="53"/>
      <c r="I289" s="53"/>
      <c r="J289" s="1"/>
    </row>
    <row r="290" ht="14.25" customHeight="1">
      <c r="A290" s="52"/>
      <c r="B290" s="52"/>
      <c r="C290" s="52"/>
      <c r="D290" s="52"/>
      <c r="E290" s="53"/>
      <c r="F290" s="53"/>
      <c r="G290" s="53"/>
      <c r="H290" s="53"/>
      <c r="I290" s="53"/>
      <c r="J290" s="1"/>
    </row>
    <row r="291" ht="14.25" customHeight="1">
      <c r="A291" s="52"/>
      <c r="B291" s="52"/>
      <c r="C291" s="52"/>
      <c r="D291" s="52"/>
      <c r="E291" s="53"/>
      <c r="F291" s="53"/>
      <c r="G291" s="53"/>
      <c r="H291" s="53"/>
      <c r="I291" s="53"/>
      <c r="J291" s="1"/>
    </row>
    <row r="292" ht="14.25" customHeight="1">
      <c r="A292" s="52"/>
      <c r="B292" s="52"/>
      <c r="C292" s="52"/>
      <c r="D292" s="52"/>
      <c r="E292" s="53"/>
      <c r="F292" s="53"/>
      <c r="G292" s="53"/>
      <c r="H292" s="53"/>
      <c r="I292" s="53"/>
      <c r="J292" s="1"/>
    </row>
    <row r="293" ht="14.25" customHeight="1">
      <c r="A293" s="52"/>
      <c r="B293" s="52"/>
      <c r="C293" s="52"/>
      <c r="D293" s="52"/>
      <c r="E293" s="53"/>
      <c r="F293" s="53"/>
      <c r="G293" s="53"/>
      <c r="H293" s="53"/>
      <c r="I293" s="53"/>
      <c r="J293" s="1"/>
    </row>
    <row r="294" ht="14.25" customHeight="1">
      <c r="A294" s="52"/>
      <c r="B294" s="52"/>
      <c r="C294" s="52"/>
      <c r="D294" s="52"/>
      <c r="E294" s="53"/>
      <c r="F294" s="53"/>
      <c r="G294" s="53"/>
      <c r="H294" s="53"/>
      <c r="I294" s="53"/>
      <c r="J294" s="1"/>
    </row>
    <row r="295" ht="14.25" customHeight="1">
      <c r="A295" s="52"/>
      <c r="B295" s="52"/>
      <c r="C295" s="52"/>
      <c r="D295" s="52"/>
      <c r="E295" s="53"/>
      <c r="F295" s="53"/>
      <c r="G295" s="53"/>
      <c r="H295" s="53"/>
      <c r="I295" s="53"/>
      <c r="J295" s="1"/>
    </row>
    <row r="296" ht="14.25" customHeight="1">
      <c r="A296" s="52"/>
      <c r="B296" s="52"/>
      <c r="C296" s="52"/>
      <c r="D296" s="52"/>
      <c r="E296" s="53"/>
      <c r="F296" s="53"/>
      <c r="G296" s="53"/>
      <c r="H296" s="53"/>
      <c r="I296" s="53"/>
      <c r="J296" s="1"/>
    </row>
    <row r="297" ht="14.25" customHeight="1">
      <c r="A297" s="52"/>
      <c r="B297" s="52"/>
      <c r="C297" s="52"/>
      <c r="D297" s="52"/>
      <c r="E297" s="53"/>
      <c r="F297" s="53"/>
      <c r="G297" s="53"/>
      <c r="H297" s="53"/>
      <c r="I297" s="53"/>
      <c r="J297" s="1"/>
    </row>
    <row r="298" ht="14.25" customHeight="1">
      <c r="A298" s="52"/>
      <c r="B298" s="52"/>
      <c r="C298" s="52"/>
      <c r="D298" s="52"/>
      <c r="E298" s="53"/>
      <c r="F298" s="53"/>
      <c r="G298" s="53"/>
      <c r="H298" s="53"/>
      <c r="I298" s="53"/>
      <c r="J298" s="1"/>
    </row>
    <row r="299" ht="14.25" customHeight="1">
      <c r="A299" s="52"/>
      <c r="B299" s="52"/>
      <c r="C299" s="52"/>
      <c r="D299" s="52"/>
      <c r="E299" s="53"/>
      <c r="F299" s="53"/>
      <c r="G299" s="53"/>
      <c r="H299" s="53"/>
      <c r="I299" s="53"/>
      <c r="J299" s="1"/>
    </row>
    <row r="300" ht="14.25" customHeight="1">
      <c r="A300" s="52"/>
      <c r="B300" s="52"/>
      <c r="C300" s="52"/>
      <c r="D300" s="52"/>
      <c r="E300" s="53"/>
      <c r="F300" s="53"/>
      <c r="G300" s="53"/>
      <c r="H300" s="53"/>
      <c r="I300" s="53"/>
      <c r="J300" s="1"/>
    </row>
    <row r="301" ht="14.25" customHeight="1">
      <c r="A301" s="52"/>
      <c r="B301" s="52"/>
      <c r="C301" s="52"/>
      <c r="D301" s="52"/>
      <c r="E301" s="53"/>
      <c r="F301" s="53"/>
      <c r="G301" s="53"/>
      <c r="H301" s="53"/>
      <c r="I301" s="53"/>
      <c r="J301" s="1"/>
    </row>
    <row r="302" ht="14.25" customHeight="1">
      <c r="A302" s="52"/>
      <c r="B302" s="52"/>
      <c r="C302" s="52"/>
      <c r="D302" s="52"/>
      <c r="E302" s="53"/>
      <c r="F302" s="53"/>
      <c r="G302" s="53"/>
      <c r="H302" s="53"/>
      <c r="I302" s="53"/>
      <c r="J302" s="1"/>
    </row>
    <row r="303" ht="14.25" customHeight="1">
      <c r="A303" s="52"/>
      <c r="B303" s="52"/>
      <c r="C303" s="52"/>
      <c r="D303" s="52"/>
      <c r="E303" s="53"/>
      <c r="F303" s="53"/>
      <c r="G303" s="53"/>
      <c r="H303" s="53"/>
      <c r="I303" s="53"/>
      <c r="J303" s="1"/>
    </row>
    <row r="304" ht="14.25" customHeight="1">
      <c r="A304" s="52"/>
      <c r="B304" s="52"/>
      <c r="C304" s="52"/>
      <c r="D304" s="52"/>
      <c r="E304" s="53"/>
      <c r="F304" s="53"/>
      <c r="G304" s="53"/>
      <c r="H304" s="53"/>
      <c r="I304" s="53"/>
      <c r="J304" s="1"/>
    </row>
    <row r="305" ht="14.25" customHeight="1">
      <c r="A305" s="52"/>
      <c r="B305" s="52"/>
      <c r="C305" s="52"/>
      <c r="D305" s="52"/>
      <c r="E305" s="53"/>
      <c r="F305" s="53"/>
      <c r="G305" s="53"/>
      <c r="H305" s="53"/>
      <c r="I305" s="53"/>
      <c r="J305" s="1"/>
    </row>
    <row r="306" ht="14.25" customHeight="1">
      <c r="A306" s="52"/>
      <c r="B306" s="52"/>
      <c r="C306" s="52"/>
      <c r="D306" s="52"/>
      <c r="E306" s="53"/>
      <c r="F306" s="53"/>
      <c r="G306" s="53"/>
      <c r="H306" s="53"/>
      <c r="I306" s="53"/>
      <c r="J306" s="1"/>
    </row>
    <row r="307" ht="14.25" customHeight="1">
      <c r="A307" s="52"/>
      <c r="B307" s="52"/>
      <c r="C307" s="52"/>
      <c r="D307" s="52"/>
      <c r="E307" s="53"/>
      <c r="F307" s="53"/>
      <c r="G307" s="53"/>
      <c r="H307" s="53"/>
      <c r="I307" s="53"/>
      <c r="J307" s="1"/>
    </row>
    <row r="308" ht="14.25" customHeight="1">
      <c r="A308" s="52"/>
      <c r="B308" s="52"/>
      <c r="C308" s="52"/>
      <c r="D308" s="52"/>
      <c r="E308" s="53"/>
      <c r="F308" s="53"/>
      <c r="G308" s="53"/>
      <c r="H308" s="53"/>
      <c r="I308" s="53"/>
      <c r="J308" s="1"/>
    </row>
    <row r="309" ht="14.25" customHeight="1">
      <c r="A309" s="52"/>
      <c r="B309" s="52"/>
      <c r="C309" s="52"/>
      <c r="D309" s="52"/>
      <c r="E309" s="53"/>
      <c r="F309" s="53"/>
      <c r="G309" s="53"/>
      <c r="H309" s="53"/>
      <c r="I309" s="53"/>
      <c r="J309" s="1"/>
    </row>
    <row r="310" ht="14.25" customHeight="1">
      <c r="A310" s="52"/>
      <c r="B310" s="52"/>
      <c r="C310" s="52"/>
      <c r="D310" s="52"/>
      <c r="E310" s="53"/>
      <c r="F310" s="53"/>
      <c r="G310" s="53"/>
      <c r="H310" s="53"/>
      <c r="I310" s="53"/>
      <c r="J310" s="1"/>
    </row>
    <row r="311" ht="14.25" customHeight="1">
      <c r="A311" s="52"/>
      <c r="B311" s="52"/>
      <c r="C311" s="52"/>
      <c r="D311" s="52"/>
      <c r="E311" s="53"/>
      <c r="F311" s="53"/>
      <c r="G311" s="53"/>
      <c r="H311" s="53"/>
      <c r="I311" s="53"/>
      <c r="J311" s="1"/>
    </row>
    <row r="312" ht="14.25" customHeight="1">
      <c r="A312" s="52"/>
      <c r="B312" s="52"/>
      <c r="C312" s="52"/>
      <c r="D312" s="52"/>
      <c r="E312" s="53"/>
      <c r="F312" s="53"/>
      <c r="G312" s="53"/>
      <c r="H312" s="53"/>
      <c r="I312" s="53"/>
      <c r="J312" s="1"/>
    </row>
    <row r="313" ht="14.25" customHeight="1">
      <c r="A313" s="52"/>
      <c r="B313" s="52"/>
      <c r="C313" s="52"/>
      <c r="D313" s="52"/>
      <c r="E313" s="53"/>
      <c r="F313" s="53"/>
      <c r="G313" s="53"/>
      <c r="H313" s="53"/>
      <c r="I313" s="53"/>
      <c r="J313" s="1"/>
    </row>
    <row r="314" ht="14.25" customHeight="1">
      <c r="A314" s="52"/>
      <c r="B314" s="52"/>
      <c r="C314" s="52"/>
      <c r="D314" s="52"/>
      <c r="E314" s="53"/>
      <c r="F314" s="53"/>
      <c r="G314" s="53"/>
      <c r="H314" s="53"/>
      <c r="I314" s="53"/>
      <c r="J314" s="1"/>
    </row>
    <row r="315" ht="14.25" customHeight="1">
      <c r="A315" s="52"/>
      <c r="B315" s="52"/>
      <c r="C315" s="52"/>
      <c r="D315" s="52"/>
      <c r="E315" s="53"/>
      <c r="F315" s="53"/>
      <c r="G315" s="53"/>
      <c r="H315" s="53"/>
      <c r="I315" s="53"/>
      <c r="J315" s="1"/>
    </row>
    <row r="316" ht="14.25" customHeight="1">
      <c r="A316" s="52"/>
      <c r="B316" s="52"/>
      <c r="C316" s="52"/>
      <c r="D316" s="52"/>
      <c r="E316" s="53"/>
      <c r="F316" s="53"/>
      <c r="G316" s="53"/>
      <c r="H316" s="53"/>
      <c r="I316" s="53"/>
      <c r="J316" s="1"/>
    </row>
    <row r="317" ht="14.25" customHeight="1">
      <c r="A317" s="52"/>
      <c r="B317" s="52"/>
      <c r="C317" s="52"/>
      <c r="D317" s="52"/>
      <c r="E317" s="53"/>
      <c r="F317" s="53"/>
      <c r="G317" s="53"/>
      <c r="H317" s="53"/>
      <c r="I317" s="53"/>
      <c r="J317" s="1"/>
    </row>
    <row r="318" ht="14.25" customHeight="1">
      <c r="A318" s="52"/>
      <c r="B318" s="52"/>
      <c r="C318" s="52"/>
      <c r="D318" s="52"/>
      <c r="E318" s="53"/>
      <c r="F318" s="53"/>
      <c r="G318" s="53"/>
      <c r="H318" s="53"/>
      <c r="I318" s="53"/>
      <c r="J318" s="1"/>
    </row>
    <row r="319" ht="14.25" customHeight="1">
      <c r="A319" s="52"/>
      <c r="B319" s="52"/>
      <c r="C319" s="52"/>
      <c r="D319" s="52"/>
      <c r="E319" s="53"/>
      <c r="F319" s="53"/>
      <c r="G319" s="53"/>
      <c r="H319" s="53"/>
      <c r="I319" s="53"/>
      <c r="J319" s="1"/>
    </row>
    <row r="320" ht="14.25" customHeight="1">
      <c r="A320" s="52"/>
      <c r="B320" s="52"/>
      <c r="C320" s="52"/>
      <c r="D320" s="52"/>
      <c r="E320" s="53"/>
      <c r="F320" s="53"/>
      <c r="G320" s="53"/>
      <c r="H320" s="53"/>
      <c r="I320" s="53"/>
      <c r="J320" s="1"/>
    </row>
    <row r="321" ht="14.25" customHeight="1">
      <c r="A321" s="52"/>
      <c r="B321" s="52"/>
      <c r="C321" s="52"/>
      <c r="D321" s="52"/>
      <c r="E321" s="53"/>
      <c r="F321" s="53"/>
      <c r="G321" s="53"/>
      <c r="H321" s="53"/>
      <c r="I321" s="53"/>
      <c r="J321" s="1"/>
    </row>
    <row r="322" ht="14.25" customHeight="1">
      <c r="A322" s="52"/>
      <c r="B322" s="52"/>
      <c r="C322" s="52"/>
      <c r="D322" s="52"/>
      <c r="E322" s="53"/>
      <c r="F322" s="53"/>
      <c r="G322" s="53"/>
      <c r="H322" s="53"/>
      <c r="I322" s="53"/>
      <c r="J322" s="1"/>
    </row>
    <row r="323" ht="14.25" customHeight="1">
      <c r="A323" s="52"/>
      <c r="B323" s="52"/>
      <c r="C323" s="52"/>
      <c r="D323" s="52"/>
      <c r="E323" s="53"/>
      <c r="F323" s="53"/>
      <c r="G323" s="53"/>
      <c r="H323" s="53"/>
      <c r="I323" s="53"/>
      <c r="J323" s="1"/>
    </row>
    <row r="324" ht="14.25" customHeight="1">
      <c r="A324" s="52"/>
      <c r="B324" s="52"/>
      <c r="C324" s="52"/>
      <c r="D324" s="52"/>
      <c r="E324" s="53"/>
      <c r="F324" s="53"/>
      <c r="G324" s="53"/>
      <c r="H324" s="53"/>
      <c r="I324" s="53"/>
      <c r="J324" s="1"/>
    </row>
    <row r="325" ht="14.25" customHeight="1">
      <c r="A325" s="52"/>
      <c r="B325" s="52"/>
      <c r="C325" s="52"/>
      <c r="D325" s="52"/>
      <c r="E325" s="53"/>
      <c r="F325" s="53"/>
      <c r="G325" s="53"/>
      <c r="H325" s="53"/>
      <c r="I325" s="53"/>
      <c r="J325" s="1"/>
    </row>
    <row r="326" ht="14.25" customHeight="1">
      <c r="A326" s="52"/>
      <c r="B326" s="52"/>
      <c r="C326" s="52"/>
      <c r="D326" s="52"/>
      <c r="E326" s="53"/>
      <c r="F326" s="53"/>
      <c r="G326" s="53"/>
      <c r="H326" s="53"/>
      <c r="I326" s="53"/>
      <c r="J326" s="1"/>
    </row>
    <row r="327" ht="14.25" customHeight="1">
      <c r="A327" s="52"/>
      <c r="B327" s="52"/>
      <c r="C327" s="52"/>
      <c r="D327" s="52"/>
      <c r="E327" s="53"/>
      <c r="F327" s="53"/>
      <c r="G327" s="53"/>
      <c r="H327" s="53"/>
      <c r="I327" s="53"/>
      <c r="J327" s="1"/>
    </row>
    <row r="328" ht="14.25" customHeight="1">
      <c r="A328" s="52"/>
      <c r="B328" s="52"/>
      <c r="C328" s="52"/>
      <c r="D328" s="52"/>
      <c r="E328" s="53"/>
      <c r="F328" s="53"/>
      <c r="G328" s="53"/>
      <c r="H328" s="53"/>
      <c r="I328" s="53"/>
      <c r="J328" s="1"/>
    </row>
    <row r="329" ht="14.25" customHeight="1">
      <c r="A329" s="52"/>
      <c r="B329" s="52"/>
      <c r="C329" s="52"/>
      <c r="D329" s="52"/>
      <c r="E329" s="53"/>
      <c r="F329" s="53"/>
      <c r="G329" s="53"/>
      <c r="H329" s="53"/>
      <c r="I329" s="53"/>
      <c r="J329" s="1"/>
    </row>
    <row r="330" ht="14.25" customHeight="1">
      <c r="A330" s="52"/>
      <c r="B330" s="52"/>
      <c r="C330" s="52"/>
      <c r="D330" s="52"/>
      <c r="E330" s="53"/>
      <c r="F330" s="53"/>
      <c r="G330" s="53"/>
      <c r="H330" s="53"/>
      <c r="I330" s="53"/>
      <c r="J330" s="1"/>
    </row>
    <row r="331" ht="14.25" customHeight="1">
      <c r="A331" s="52"/>
      <c r="B331" s="52"/>
      <c r="C331" s="52"/>
      <c r="D331" s="52"/>
      <c r="E331" s="53"/>
      <c r="F331" s="53"/>
      <c r="G331" s="53"/>
      <c r="H331" s="53"/>
      <c r="I331" s="53"/>
      <c r="J331" s="1"/>
    </row>
    <row r="332" ht="14.25" customHeight="1">
      <c r="A332" s="52"/>
      <c r="B332" s="52"/>
      <c r="C332" s="52"/>
      <c r="D332" s="52"/>
      <c r="E332" s="53"/>
      <c r="F332" s="53"/>
      <c r="G332" s="53"/>
      <c r="H332" s="53"/>
      <c r="I332" s="53"/>
      <c r="J332" s="1"/>
    </row>
    <row r="333" ht="14.25" customHeight="1">
      <c r="A333" s="52"/>
      <c r="B333" s="52"/>
      <c r="C333" s="52"/>
      <c r="D333" s="52"/>
      <c r="E333" s="53"/>
      <c r="F333" s="53"/>
      <c r="G333" s="53"/>
      <c r="H333" s="53"/>
      <c r="I333" s="53"/>
      <c r="J333" s="1"/>
    </row>
    <row r="334" ht="14.25" customHeight="1">
      <c r="A334" s="52"/>
      <c r="B334" s="52"/>
      <c r="C334" s="52"/>
      <c r="D334" s="52"/>
      <c r="E334" s="53"/>
      <c r="F334" s="53"/>
      <c r="G334" s="53"/>
      <c r="H334" s="53"/>
      <c r="I334" s="53"/>
      <c r="J334" s="1"/>
    </row>
    <row r="335" ht="14.25" customHeight="1">
      <c r="A335" s="52"/>
      <c r="B335" s="52"/>
      <c r="C335" s="52"/>
      <c r="D335" s="52"/>
      <c r="E335" s="53"/>
      <c r="F335" s="53"/>
      <c r="G335" s="53"/>
      <c r="H335" s="53"/>
      <c r="I335" s="53"/>
      <c r="J335" s="1"/>
    </row>
    <row r="336" ht="14.25" customHeight="1">
      <c r="A336" s="52"/>
      <c r="B336" s="52"/>
      <c r="C336" s="52"/>
      <c r="D336" s="52"/>
      <c r="E336" s="53"/>
      <c r="F336" s="53"/>
      <c r="G336" s="53"/>
      <c r="H336" s="53"/>
      <c r="I336" s="53"/>
      <c r="J336" s="1"/>
    </row>
    <row r="337" ht="14.25" customHeight="1">
      <c r="A337" s="52"/>
      <c r="B337" s="52"/>
      <c r="C337" s="52"/>
      <c r="D337" s="52"/>
      <c r="E337" s="53"/>
      <c r="F337" s="53"/>
      <c r="G337" s="53"/>
      <c r="H337" s="53"/>
      <c r="I337" s="53"/>
      <c r="J337" s="1"/>
    </row>
    <row r="338" ht="14.25" customHeight="1">
      <c r="A338" s="52"/>
      <c r="B338" s="52"/>
      <c r="C338" s="52"/>
      <c r="D338" s="52"/>
      <c r="E338" s="53"/>
      <c r="F338" s="53"/>
      <c r="G338" s="53"/>
      <c r="H338" s="53"/>
      <c r="I338" s="53"/>
      <c r="J338" s="1"/>
    </row>
    <row r="339" ht="14.25" customHeight="1">
      <c r="A339" s="52"/>
      <c r="B339" s="52"/>
      <c r="C339" s="52"/>
      <c r="D339" s="52"/>
      <c r="E339" s="53"/>
      <c r="F339" s="53"/>
      <c r="G339" s="53"/>
      <c r="H339" s="53"/>
      <c r="I339" s="53"/>
      <c r="J339" s="1"/>
    </row>
    <row r="340" ht="14.25" customHeight="1">
      <c r="A340" s="52"/>
      <c r="B340" s="52"/>
      <c r="C340" s="52"/>
      <c r="D340" s="52"/>
      <c r="E340" s="53"/>
      <c r="F340" s="53"/>
      <c r="G340" s="53"/>
      <c r="H340" s="53"/>
      <c r="I340" s="53"/>
      <c r="J340" s="1"/>
    </row>
    <row r="341" ht="14.25" customHeight="1">
      <c r="A341" s="52"/>
      <c r="B341" s="52"/>
      <c r="C341" s="52"/>
      <c r="D341" s="52"/>
      <c r="E341" s="53"/>
      <c r="F341" s="53"/>
      <c r="G341" s="53"/>
      <c r="H341" s="53"/>
      <c r="I341" s="53"/>
      <c r="J341" s="1"/>
    </row>
    <row r="342" ht="14.25" customHeight="1">
      <c r="A342" s="52"/>
      <c r="B342" s="52"/>
      <c r="C342" s="52"/>
      <c r="D342" s="52"/>
      <c r="E342" s="53"/>
      <c r="F342" s="53"/>
      <c r="G342" s="53"/>
      <c r="H342" s="53"/>
      <c r="I342" s="53"/>
      <c r="J342" s="1"/>
    </row>
    <row r="343" ht="14.25" customHeight="1">
      <c r="A343" s="52"/>
      <c r="B343" s="52"/>
      <c r="C343" s="52"/>
      <c r="D343" s="52"/>
      <c r="E343" s="53"/>
      <c r="F343" s="53"/>
      <c r="G343" s="53"/>
      <c r="H343" s="53"/>
      <c r="I343" s="53"/>
      <c r="J343" s="1"/>
    </row>
    <row r="344" ht="14.25" customHeight="1">
      <c r="A344" s="52"/>
      <c r="B344" s="52"/>
      <c r="C344" s="52"/>
      <c r="D344" s="52"/>
      <c r="E344" s="53"/>
      <c r="F344" s="53"/>
      <c r="G344" s="53"/>
      <c r="H344" s="53"/>
      <c r="I344" s="53"/>
      <c r="J344" s="1"/>
    </row>
    <row r="345" ht="14.25" customHeight="1">
      <c r="A345" s="52"/>
      <c r="B345" s="52"/>
      <c r="C345" s="52"/>
      <c r="D345" s="52"/>
      <c r="E345" s="53"/>
      <c r="F345" s="53"/>
      <c r="G345" s="53"/>
      <c r="H345" s="53"/>
      <c r="I345" s="53"/>
      <c r="J345" s="1"/>
    </row>
    <row r="346" ht="14.25" customHeight="1">
      <c r="A346" s="52"/>
      <c r="B346" s="52"/>
      <c r="C346" s="52"/>
      <c r="D346" s="52"/>
      <c r="E346" s="53"/>
      <c r="F346" s="53"/>
      <c r="G346" s="53"/>
      <c r="H346" s="53"/>
      <c r="I346" s="53"/>
      <c r="J346" s="1"/>
    </row>
    <row r="347" ht="14.25" customHeight="1">
      <c r="A347" s="52"/>
      <c r="B347" s="52"/>
      <c r="C347" s="52"/>
      <c r="D347" s="52"/>
      <c r="E347" s="53"/>
      <c r="F347" s="53"/>
      <c r="G347" s="53"/>
      <c r="H347" s="53"/>
      <c r="I347" s="53"/>
      <c r="J347" s="1"/>
    </row>
    <row r="348" ht="14.25" customHeight="1">
      <c r="A348" s="52"/>
      <c r="B348" s="52"/>
      <c r="C348" s="52"/>
      <c r="D348" s="52"/>
      <c r="E348" s="53"/>
      <c r="F348" s="53"/>
      <c r="G348" s="53"/>
      <c r="H348" s="53"/>
      <c r="I348" s="53"/>
      <c r="J348" s="1"/>
    </row>
    <row r="349" ht="14.25" customHeight="1">
      <c r="A349" s="52"/>
      <c r="B349" s="52"/>
      <c r="C349" s="52"/>
      <c r="D349" s="52"/>
      <c r="E349" s="53"/>
      <c r="F349" s="53"/>
      <c r="G349" s="53"/>
      <c r="H349" s="53"/>
      <c r="I349" s="53"/>
      <c r="J349" s="1"/>
    </row>
    <row r="350" ht="14.25" customHeight="1">
      <c r="A350" s="52"/>
      <c r="B350" s="52"/>
      <c r="C350" s="52"/>
      <c r="D350" s="52"/>
      <c r="E350" s="53"/>
      <c r="F350" s="53"/>
      <c r="G350" s="53"/>
      <c r="H350" s="53"/>
      <c r="I350" s="53"/>
      <c r="J350" s="1"/>
    </row>
    <row r="351" ht="14.25" customHeight="1">
      <c r="A351" s="52"/>
      <c r="B351" s="52"/>
      <c r="C351" s="52"/>
      <c r="D351" s="52"/>
      <c r="E351" s="53"/>
      <c r="F351" s="53"/>
      <c r="G351" s="53"/>
      <c r="H351" s="53"/>
      <c r="I351" s="53"/>
      <c r="J351" s="1"/>
    </row>
    <row r="352" ht="14.25" customHeight="1">
      <c r="A352" s="52"/>
      <c r="B352" s="52"/>
      <c r="C352" s="52"/>
      <c r="D352" s="52"/>
      <c r="E352" s="53"/>
      <c r="F352" s="53"/>
      <c r="G352" s="53"/>
      <c r="H352" s="53"/>
      <c r="I352" s="53"/>
      <c r="J352" s="1"/>
    </row>
    <row r="353" ht="14.25" customHeight="1">
      <c r="A353" s="52"/>
      <c r="B353" s="52"/>
      <c r="C353" s="52"/>
      <c r="D353" s="52"/>
      <c r="E353" s="53"/>
      <c r="F353" s="53"/>
      <c r="G353" s="53"/>
      <c r="H353" s="53"/>
      <c r="I353" s="53"/>
      <c r="J353" s="1"/>
    </row>
    <row r="354" ht="14.25" customHeight="1">
      <c r="A354" s="52"/>
      <c r="B354" s="52"/>
      <c r="C354" s="52"/>
      <c r="D354" s="52"/>
      <c r="E354" s="53"/>
      <c r="F354" s="53"/>
      <c r="G354" s="53"/>
      <c r="H354" s="53"/>
      <c r="I354" s="53"/>
      <c r="J354" s="1"/>
    </row>
    <row r="355" ht="14.25" customHeight="1">
      <c r="A355" s="52"/>
      <c r="B355" s="52"/>
      <c r="C355" s="52"/>
      <c r="D355" s="52"/>
      <c r="E355" s="53"/>
      <c r="F355" s="53"/>
      <c r="G355" s="53"/>
      <c r="H355" s="53"/>
      <c r="I355" s="53"/>
      <c r="J355" s="1"/>
    </row>
    <row r="356" ht="14.25" customHeight="1">
      <c r="A356" s="52"/>
      <c r="B356" s="52"/>
      <c r="C356" s="52"/>
      <c r="D356" s="52"/>
      <c r="E356" s="53"/>
      <c r="F356" s="53"/>
      <c r="G356" s="53"/>
      <c r="H356" s="53"/>
      <c r="I356" s="53"/>
      <c r="J356" s="1"/>
    </row>
    <row r="357" ht="14.25" customHeight="1">
      <c r="A357" s="52"/>
      <c r="B357" s="52"/>
      <c r="C357" s="52"/>
      <c r="D357" s="52"/>
      <c r="E357" s="53"/>
      <c r="F357" s="53"/>
      <c r="G357" s="53"/>
      <c r="H357" s="53"/>
      <c r="I357" s="53"/>
      <c r="J357" s="1"/>
    </row>
    <row r="358" ht="14.25" customHeight="1">
      <c r="A358" s="52"/>
      <c r="B358" s="52"/>
      <c r="C358" s="52"/>
      <c r="D358" s="52"/>
      <c r="E358" s="53"/>
      <c r="F358" s="53"/>
      <c r="G358" s="53"/>
      <c r="H358" s="53"/>
      <c r="I358" s="53"/>
      <c r="J358" s="1"/>
    </row>
    <row r="359" ht="14.25" customHeight="1">
      <c r="A359" s="52"/>
      <c r="B359" s="52"/>
      <c r="C359" s="52"/>
      <c r="D359" s="52"/>
      <c r="E359" s="53"/>
      <c r="F359" s="53"/>
      <c r="G359" s="53"/>
      <c r="H359" s="53"/>
      <c r="I359" s="53"/>
      <c r="J359" s="1"/>
    </row>
    <row r="360" ht="14.25" customHeight="1">
      <c r="A360" s="52"/>
      <c r="B360" s="52"/>
      <c r="C360" s="52"/>
      <c r="D360" s="52"/>
      <c r="E360" s="53"/>
      <c r="F360" s="53"/>
      <c r="G360" s="53"/>
      <c r="H360" s="53"/>
      <c r="I360" s="53"/>
      <c r="J360" s="1"/>
    </row>
    <row r="361" ht="14.25" customHeight="1">
      <c r="A361" s="52"/>
      <c r="B361" s="52"/>
      <c r="C361" s="52"/>
      <c r="D361" s="52"/>
      <c r="E361" s="53"/>
      <c r="F361" s="53"/>
      <c r="G361" s="53"/>
      <c r="H361" s="53"/>
      <c r="I361" s="53"/>
      <c r="J361" s="1"/>
    </row>
    <row r="362" ht="14.25" customHeight="1">
      <c r="A362" s="52"/>
      <c r="B362" s="52"/>
      <c r="C362" s="52"/>
      <c r="D362" s="52"/>
      <c r="E362" s="53"/>
      <c r="F362" s="53"/>
      <c r="G362" s="53"/>
      <c r="H362" s="53"/>
      <c r="I362" s="53"/>
      <c r="J362" s="1"/>
    </row>
    <row r="363" ht="14.25" customHeight="1">
      <c r="A363" s="52"/>
      <c r="B363" s="52"/>
      <c r="C363" s="52"/>
      <c r="D363" s="52"/>
      <c r="E363" s="53"/>
      <c r="F363" s="53"/>
      <c r="G363" s="53"/>
      <c r="H363" s="53"/>
      <c r="I363" s="53"/>
      <c r="J363" s="1"/>
    </row>
    <row r="364" ht="14.25" customHeight="1">
      <c r="A364" s="52"/>
      <c r="B364" s="52"/>
      <c r="C364" s="52"/>
      <c r="D364" s="52"/>
      <c r="E364" s="53"/>
      <c r="F364" s="53"/>
      <c r="G364" s="53"/>
      <c r="H364" s="53"/>
      <c r="I364" s="53"/>
      <c r="J364" s="1"/>
    </row>
    <row r="365" ht="14.25" customHeight="1">
      <c r="A365" s="52"/>
      <c r="B365" s="52"/>
      <c r="C365" s="52"/>
      <c r="D365" s="52"/>
      <c r="E365" s="53"/>
      <c r="F365" s="53"/>
      <c r="G365" s="53"/>
      <c r="H365" s="53"/>
      <c r="I365" s="53"/>
      <c r="J365" s="1"/>
    </row>
    <row r="366" ht="14.25" customHeight="1">
      <c r="A366" s="52"/>
      <c r="B366" s="52"/>
      <c r="C366" s="52"/>
      <c r="D366" s="52"/>
      <c r="E366" s="53"/>
      <c r="F366" s="53"/>
      <c r="G366" s="53"/>
      <c r="H366" s="53"/>
      <c r="I366" s="53"/>
      <c r="J366" s="1"/>
    </row>
    <row r="367" ht="14.25" customHeight="1">
      <c r="A367" s="52"/>
      <c r="B367" s="52"/>
      <c r="C367" s="52"/>
      <c r="D367" s="52"/>
      <c r="E367" s="53"/>
      <c r="F367" s="53"/>
      <c r="G367" s="53"/>
      <c r="H367" s="53"/>
      <c r="I367" s="53"/>
      <c r="J367" s="1"/>
    </row>
    <row r="368" ht="14.25" customHeight="1">
      <c r="A368" s="52"/>
      <c r="B368" s="52"/>
      <c r="C368" s="52"/>
      <c r="D368" s="52"/>
      <c r="E368" s="53"/>
      <c r="F368" s="53"/>
      <c r="G368" s="53"/>
      <c r="H368" s="53"/>
      <c r="I368" s="53"/>
      <c r="J368" s="1"/>
    </row>
    <row r="369" ht="14.25" customHeight="1">
      <c r="A369" s="52"/>
      <c r="B369" s="52"/>
      <c r="C369" s="52"/>
      <c r="D369" s="52"/>
      <c r="E369" s="53"/>
      <c r="F369" s="53"/>
      <c r="G369" s="53"/>
      <c r="H369" s="53"/>
      <c r="I369" s="53"/>
      <c r="J369" s="1"/>
    </row>
    <row r="370" ht="14.25" customHeight="1">
      <c r="A370" s="52"/>
      <c r="B370" s="52"/>
      <c r="C370" s="52"/>
      <c r="D370" s="52"/>
      <c r="E370" s="53"/>
      <c r="F370" s="53"/>
      <c r="G370" s="53"/>
      <c r="H370" s="53"/>
      <c r="I370" s="53"/>
      <c r="J370" s="1"/>
    </row>
    <row r="371" ht="14.25" customHeight="1">
      <c r="A371" s="52"/>
      <c r="B371" s="52"/>
      <c r="C371" s="52"/>
      <c r="D371" s="52"/>
      <c r="E371" s="53"/>
      <c r="F371" s="53"/>
      <c r="G371" s="53"/>
      <c r="H371" s="53"/>
      <c r="I371" s="53"/>
      <c r="J371" s="1"/>
    </row>
    <row r="372" ht="14.25" customHeight="1">
      <c r="A372" s="52"/>
      <c r="B372" s="52"/>
      <c r="C372" s="52"/>
      <c r="D372" s="52"/>
      <c r="E372" s="53"/>
      <c r="F372" s="53"/>
      <c r="G372" s="53"/>
      <c r="H372" s="53"/>
      <c r="I372" s="53"/>
      <c r="J372" s="1"/>
    </row>
    <row r="373" ht="14.25" customHeight="1">
      <c r="A373" s="52"/>
      <c r="B373" s="52"/>
      <c r="C373" s="52"/>
      <c r="D373" s="52"/>
      <c r="E373" s="53"/>
      <c r="F373" s="53"/>
      <c r="G373" s="53"/>
      <c r="H373" s="53"/>
      <c r="I373" s="53"/>
      <c r="J373" s="1"/>
    </row>
    <row r="374" ht="14.25" customHeight="1">
      <c r="A374" s="52"/>
      <c r="B374" s="52"/>
      <c r="C374" s="52"/>
      <c r="D374" s="52"/>
      <c r="E374" s="53"/>
      <c r="F374" s="53"/>
      <c r="G374" s="53"/>
      <c r="H374" s="53"/>
      <c r="I374" s="53"/>
      <c r="J374" s="1"/>
    </row>
    <row r="375" ht="14.25" customHeight="1">
      <c r="A375" s="52"/>
      <c r="B375" s="52"/>
      <c r="C375" s="52"/>
      <c r="D375" s="52"/>
      <c r="E375" s="53"/>
      <c r="F375" s="53"/>
      <c r="G375" s="53"/>
      <c r="H375" s="53"/>
      <c r="I375" s="53"/>
      <c r="J375" s="1"/>
    </row>
    <row r="376" ht="14.25" customHeight="1">
      <c r="A376" s="52"/>
      <c r="B376" s="52"/>
      <c r="C376" s="52"/>
      <c r="D376" s="52"/>
      <c r="E376" s="53"/>
      <c r="F376" s="53"/>
      <c r="G376" s="53"/>
      <c r="H376" s="53"/>
      <c r="I376" s="53"/>
      <c r="J376" s="1"/>
    </row>
    <row r="377" ht="14.25" customHeight="1">
      <c r="A377" s="52"/>
      <c r="B377" s="52"/>
      <c r="C377" s="52"/>
      <c r="D377" s="52"/>
      <c r="E377" s="53"/>
      <c r="F377" s="53"/>
      <c r="G377" s="53"/>
      <c r="H377" s="53"/>
      <c r="I377" s="53"/>
      <c r="J377" s="1"/>
    </row>
    <row r="378" ht="14.25" customHeight="1">
      <c r="A378" s="52"/>
      <c r="B378" s="52"/>
      <c r="C378" s="52"/>
      <c r="D378" s="52"/>
      <c r="E378" s="53"/>
      <c r="F378" s="53"/>
      <c r="G378" s="53"/>
      <c r="H378" s="53"/>
      <c r="I378" s="53"/>
      <c r="J378" s="1"/>
    </row>
    <row r="379" ht="14.25" customHeight="1">
      <c r="A379" s="52"/>
      <c r="B379" s="52"/>
      <c r="C379" s="52"/>
      <c r="D379" s="52"/>
      <c r="E379" s="53"/>
      <c r="F379" s="53"/>
      <c r="G379" s="53"/>
      <c r="H379" s="53"/>
      <c r="I379" s="53"/>
      <c r="J379" s="1"/>
    </row>
    <row r="380" ht="14.25" customHeight="1">
      <c r="A380" s="52"/>
      <c r="B380" s="52"/>
      <c r="C380" s="52"/>
      <c r="D380" s="52"/>
      <c r="E380" s="53"/>
      <c r="F380" s="53"/>
      <c r="G380" s="53"/>
      <c r="H380" s="53"/>
      <c r="I380" s="53"/>
      <c r="J380" s="1"/>
    </row>
    <row r="381" ht="14.25" customHeight="1">
      <c r="A381" s="52"/>
      <c r="B381" s="52"/>
      <c r="C381" s="52"/>
      <c r="D381" s="52"/>
      <c r="E381" s="53"/>
      <c r="F381" s="53"/>
      <c r="G381" s="53"/>
      <c r="H381" s="53"/>
      <c r="I381" s="53"/>
      <c r="J381" s="1"/>
    </row>
    <row r="382" ht="14.25" customHeight="1">
      <c r="A382" s="52"/>
      <c r="B382" s="52"/>
      <c r="C382" s="52"/>
      <c r="D382" s="52"/>
      <c r="E382" s="53"/>
      <c r="F382" s="53"/>
      <c r="G382" s="53"/>
      <c r="H382" s="53"/>
      <c r="I382" s="53"/>
      <c r="J382" s="1"/>
    </row>
    <row r="383" ht="14.25" customHeight="1">
      <c r="A383" s="52"/>
      <c r="B383" s="52"/>
      <c r="C383" s="52"/>
      <c r="D383" s="52"/>
      <c r="E383" s="53"/>
      <c r="F383" s="53"/>
      <c r="G383" s="53"/>
      <c r="H383" s="53"/>
      <c r="I383" s="53"/>
      <c r="J383" s="1"/>
    </row>
    <row r="384" ht="14.25" customHeight="1">
      <c r="A384" s="52"/>
      <c r="B384" s="52"/>
      <c r="C384" s="52"/>
      <c r="D384" s="52"/>
      <c r="E384" s="53"/>
      <c r="F384" s="53"/>
      <c r="G384" s="53"/>
      <c r="H384" s="53"/>
      <c r="I384" s="53"/>
      <c r="J384" s="1"/>
    </row>
    <row r="385" ht="14.25" customHeight="1">
      <c r="A385" s="52"/>
      <c r="B385" s="52"/>
      <c r="C385" s="52"/>
      <c r="D385" s="52"/>
      <c r="E385" s="53"/>
      <c r="F385" s="53"/>
      <c r="G385" s="53"/>
      <c r="H385" s="53"/>
      <c r="I385" s="53"/>
      <c r="J385" s="1"/>
    </row>
    <row r="386" ht="14.25" customHeight="1">
      <c r="A386" s="52"/>
      <c r="B386" s="52"/>
      <c r="C386" s="52"/>
      <c r="D386" s="52"/>
      <c r="E386" s="53"/>
      <c r="F386" s="53"/>
      <c r="G386" s="53"/>
      <c r="H386" s="53"/>
      <c r="I386" s="53"/>
      <c r="J386" s="1"/>
    </row>
    <row r="387" ht="14.25" customHeight="1">
      <c r="A387" s="52"/>
      <c r="B387" s="52"/>
      <c r="C387" s="52"/>
      <c r="D387" s="52"/>
      <c r="E387" s="53"/>
      <c r="F387" s="53"/>
      <c r="G387" s="53"/>
      <c r="H387" s="53"/>
      <c r="I387" s="53"/>
      <c r="J387" s="1"/>
    </row>
    <row r="388" ht="14.25" customHeight="1">
      <c r="A388" s="52"/>
      <c r="B388" s="52"/>
      <c r="C388" s="52"/>
      <c r="D388" s="52"/>
      <c r="E388" s="53"/>
      <c r="F388" s="53"/>
      <c r="G388" s="53"/>
      <c r="H388" s="53"/>
      <c r="I388" s="53"/>
      <c r="J388" s="1"/>
    </row>
    <row r="389" ht="14.25" customHeight="1">
      <c r="A389" s="52"/>
      <c r="B389" s="52"/>
      <c r="C389" s="52"/>
      <c r="D389" s="52"/>
      <c r="E389" s="53"/>
      <c r="F389" s="53"/>
      <c r="G389" s="53"/>
      <c r="H389" s="53"/>
      <c r="I389" s="53"/>
      <c r="J389" s="1"/>
    </row>
    <row r="390" ht="14.25" customHeight="1">
      <c r="A390" s="52"/>
      <c r="B390" s="52"/>
      <c r="C390" s="52"/>
      <c r="D390" s="52"/>
      <c r="E390" s="53"/>
      <c r="F390" s="53"/>
      <c r="G390" s="53"/>
      <c r="H390" s="53"/>
      <c r="I390" s="53"/>
      <c r="J390" s="1"/>
    </row>
    <row r="391" ht="14.25" customHeight="1">
      <c r="A391" s="52"/>
      <c r="B391" s="52"/>
      <c r="C391" s="52"/>
      <c r="D391" s="52"/>
      <c r="E391" s="53"/>
      <c r="F391" s="53"/>
      <c r="G391" s="53"/>
      <c r="H391" s="53"/>
      <c r="I391" s="53"/>
      <c r="J391" s="1"/>
    </row>
    <row r="392" ht="14.25" customHeight="1">
      <c r="A392" s="52"/>
      <c r="B392" s="52"/>
      <c r="C392" s="52"/>
      <c r="D392" s="52"/>
      <c r="E392" s="53"/>
      <c r="F392" s="53"/>
      <c r="G392" s="53"/>
      <c r="H392" s="53"/>
      <c r="I392" s="53"/>
      <c r="J392" s="1"/>
    </row>
    <row r="393" ht="14.25" customHeight="1">
      <c r="A393" s="52"/>
      <c r="B393" s="52"/>
      <c r="C393" s="52"/>
      <c r="D393" s="52"/>
      <c r="E393" s="53"/>
      <c r="F393" s="53"/>
      <c r="G393" s="53"/>
      <c r="H393" s="53"/>
      <c r="I393" s="53"/>
      <c r="J393" s="1"/>
    </row>
    <row r="394" ht="14.25" customHeight="1">
      <c r="A394" s="52"/>
      <c r="B394" s="52"/>
      <c r="C394" s="52"/>
      <c r="D394" s="52"/>
      <c r="E394" s="53"/>
      <c r="F394" s="53"/>
      <c r="G394" s="53"/>
      <c r="H394" s="53"/>
      <c r="I394" s="53"/>
      <c r="J394" s="1"/>
    </row>
    <row r="395" ht="14.25" customHeight="1">
      <c r="A395" s="52"/>
      <c r="B395" s="52"/>
      <c r="C395" s="52"/>
      <c r="D395" s="52"/>
      <c r="E395" s="53"/>
      <c r="F395" s="53"/>
      <c r="G395" s="53"/>
      <c r="H395" s="53"/>
      <c r="I395" s="53"/>
      <c r="J395" s="1"/>
    </row>
    <row r="396" ht="14.25" customHeight="1">
      <c r="A396" s="52"/>
      <c r="B396" s="52"/>
      <c r="C396" s="52"/>
      <c r="D396" s="52"/>
      <c r="E396" s="53"/>
      <c r="F396" s="53"/>
      <c r="G396" s="53"/>
      <c r="H396" s="53"/>
      <c r="I396" s="53"/>
      <c r="J396" s="1"/>
    </row>
    <row r="397" ht="14.25" customHeight="1">
      <c r="A397" s="52"/>
      <c r="B397" s="52"/>
      <c r="C397" s="52"/>
      <c r="D397" s="52"/>
      <c r="E397" s="53"/>
      <c r="F397" s="53"/>
      <c r="G397" s="53"/>
      <c r="H397" s="53"/>
      <c r="I397" s="53"/>
      <c r="J397" s="1"/>
    </row>
    <row r="398" ht="14.25" customHeight="1">
      <c r="A398" s="52"/>
      <c r="B398" s="52"/>
      <c r="C398" s="52"/>
      <c r="D398" s="52"/>
      <c r="E398" s="53"/>
      <c r="F398" s="53"/>
      <c r="G398" s="53"/>
      <c r="H398" s="53"/>
      <c r="I398" s="53"/>
      <c r="J398" s="1"/>
    </row>
    <row r="399" ht="14.25" customHeight="1">
      <c r="A399" s="52"/>
      <c r="B399" s="52"/>
      <c r="C399" s="52"/>
      <c r="D399" s="52"/>
      <c r="E399" s="53"/>
      <c r="F399" s="53"/>
      <c r="G399" s="53"/>
      <c r="H399" s="53"/>
      <c r="I399" s="53"/>
      <c r="J399" s="1"/>
    </row>
    <row r="400" ht="14.25" customHeight="1">
      <c r="A400" s="52"/>
      <c r="B400" s="52"/>
      <c r="C400" s="52"/>
      <c r="D400" s="52"/>
      <c r="E400" s="53"/>
      <c r="F400" s="53"/>
      <c r="G400" s="53"/>
      <c r="H400" s="53"/>
      <c r="I400" s="53"/>
      <c r="J400" s="1"/>
    </row>
    <row r="401" ht="14.25" customHeight="1">
      <c r="A401" s="52"/>
      <c r="B401" s="52"/>
      <c r="C401" s="52"/>
      <c r="D401" s="52"/>
      <c r="E401" s="53"/>
      <c r="F401" s="53"/>
      <c r="G401" s="53"/>
      <c r="H401" s="53"/>
      <c r="I401" s="53"/>
      <c r="J401" s="1"/>
    </row>
    <row r="402" ht="14.25" customHeight="1">
      <c r="A402" s="52"/>
      <c r="B402" s="52"/>
      <c r="C402" s="52"/>
      <c r="D402" s="52"/>
      <c r="E402" s="53"/>
      <c r="F402" s="53"/>
      <c r="G402" s="53"/>
      <c r="H402" s="53"/>
      <c r="I402" s="53"/>
      <c r="J402" s="1"/>
    </row>
    <row r="403" ht="14.25" customHeight="1">
      <c r="A403" s="52"/>
      <c r="B403" s="52"/>
      <c r="C403" s="52"/>
      <c r="D403" s="52"/>
      <c r="E403" s="53"/>
      <c r="F403" s="53"/>
      <c r="G403" s="53"/>
      <c r="H403" s="53"/>
      <c r="I403" s="53"/>
      <c r="J403" s="1"/>
    </row>
    <row r="404" ht="14.25" customHeight="1">
      <c r="A404" s="52"/>
      <c r="B404" s="52"/>
      <c r="C404" s="52"/>
      <c r="D404" s="52"/>
      <c r="E404" s="53"/>
      <c r="F404" s="53"/>
      <c r="G404" s="53"/>
      <c r="H404" s="53"/>
      <c r="I404" s="53"/>
      <c r="J404" s="1"/>
    </row>
    <row r="405" ht="14.25" customHeight="1">
      <c r="A405" s="52"/>
      <c r="B405" s="52"/>
      <c r="C405" s="52"/>
      <c r="D405" s="52"/>
      <c r="E405" s="53"/>
      <c r="F405" s="53"/>
      <c r="G405" s="53"/>
      <c r="H405" s="53"/>
      <c r="I405" s="53"/>
      <c r="J405" s="1"/>
    </row>
    <row r="406" ht="14.25" customHeight="1">
      <c r="A406" s="52"/>
      <c r="B406" s="52"/>
      <c r="C406" s="52"/>
      <c r="D406" s="52"/>
      <c r="E406" s="53"/>
      <c r="F406" s="53"/>
      <c r="G406" s="53"/>
      <c r="H406" s="53"/>
      <c r="I406" s="53"/>
      <c r="J406" s="1"/>
    </row>
    <row r="407" ht="14.25" customHeight="1">
      <c r="A407" s="52"/>
      <c r="B407" s="52"/>
      <c r="C407" s="52"/>
      <c r="D407" s="52"/>
      <c r="E407" s="53"/>
      <c r="F407" s="53"/>
      <c r="G407" s="53"/>
      <c r="H407" s="53"/>
      <c r="I407" s="53"/>
      <c r="J407" s="1"/>
    </row>
    <row r="408" ht="14.25" customHeight="1">
      <c r="A408" s="52"/>
      <c r="B408" s="52"/>
      <c r="C408" s="52"/>
      <c r="D408" s="52"/>
      <c r="E408" s="53"/>
      <c r="F408" s="53"/>
      <c r="G408" s="53"/>
      <c r="H408" s="53"/>
      <c r="I408" s="53"/>
      <c r="J408" s="1"/>
    </row>
    <row r="409" ht="14.25" customHeight="1">
      <c r="A409" s="52"/>
      <c r="B409" s="52"/>
      <c r="C409" s="52"/>
      <c r="D409" s="52"/>
      <c r="E409" s="53"/>
      <c r="F409" s="53"/>
      <c r="G409" s="53"/>
      <c r="H409" s="53"/>
      <c r="I409" s="53"/>
      <c r="J409" s="1"/>
    </row>
    <row r="410" ht="14.25" customHeight="1">
      <c r="A410" s="52"/>
      <c r="B410" s="52"/>
      <c r="C410" s="52"/>
      <c r="D410" s="52"/>
      <c r="E410" s="53"/>
      <c r="F410" s="53"/>
      <c r="G410" s="53"/>
      <c r="H410" s="53"/>
      <c r="I410" s="53"/>
      <c r="J410" s="1"/>
    </row>
    <row r="411" ht="14.25" customHeight="1">
      <c r="A411" s="52"/>
      <c r="B411" s="52"/>
      <c r="C411" s="52"/>
      <c r="D411" s="52"/>
      <c r="E411" s="53"/>
      <c r="F411" s="53"/>
      <c r="G411" s="53"/>
      <c r="H411" s="53"/>
      <c r="I411" s="53"/>
      <c r="J411" s="1"/>
    </row>
    <row r="412" ht="14.25" customHeight="1">
      <c r="A412" s="52"/>
      <c r="B412" s="52"/>
      <c r="C412" s="52"/>
      <c r="D412" s="52"/>
      <c r="E412" s="53"/>
      <c r="F412" s="53"/>
      <c r="G412" s="53"/>
      <c r="H412" s="53"/>
      <c r="I412" s="53"/>
      <c r="J412" s="1"/>
    </row>
    <row r="413" ht="14.25" customHeight="1">
      <c r="A413" s="52"/>
      <c r="B413" s="52"/>
      <c r="C413" s="52"/>
      <c r="D413" s="52"/>
      <c r="E413" s="53"/>
      <c r="F413" s="53"/>
      <c r="G413" s="53"/>
      <c r="H413" s="53"/>
      <c r="I413" s="53"/>
      <c r="J413" s="1"/>
    </row>
    <row r="414" ht="14.25" customHeight="1">
      <c r="A414" s="52"/>
      <c r="B414" s="52"/>
      <c r="C414" s="52"/>
      <c r="D414" s="52"/>
      <c r="E414" s="53"/>
      <c r="F414" s="53"/>
      <c r="G414" s="53"/>
      <c r="H414" s="53"/>
      <c r="I414" s="53"/>
      <c r="J414" s="1"/>
    </row>
    <row r="415" ht="14.25" customHeight="1">
      <c r="A415" s="52"/>
      <c r="B415" s="52"/>
      <c r="C415" s="52"/>
      <c r="D415" s="52"/>
      <c r="E415" s="53"/>
      <c r="F415" s="53"/>
      <c r="G415" s="53"/>
      <c r="H415" s="53"/>
      <c r="I415" s="53"/>
      <c r="J415" s="1"/>
    </row>
    <row r="416" ht="14.25" customHeight="1">
      <c r="A416" s="52"/>
      <c r="B416" s="52"/>
      <c r="C416" s="52"/>
      <c r="D416" s="52"/>
      <c r="E416" s="53"/>
      <c r="F416" s="53"/>
      <c r="G416" s="53"/>
      <c r="H416" s="53"/>
      <c r="I416" s="53"/>
      <c r="J416" s="1"/>
    </row>
    <row r="417" ht="14.25" customHeight="1">
      <c r="A417" s="52"/>
      <c r="B417" s="52"/>
      <c r="C417" s="52"/>
      <c r="D417" s="52"/>
      <c r="E417" s="53"/>
      <c r="F417" s="53"/>
      <c r="G417" s="53"/>
      <c r="H417" s="53"/>
      <c r="I417" s="53"/>
      <c r="J417" s="1"/>
    </row>
    <row r="418" ht="14.25" customHeight="1">
      <c r="A418" s="52"/>
      <c r="B418" s="52"/>
      <c r="C418" s="52"/>
      <c r="D418" s="52"/>
      <c r="E418" s="53"/>
      <c r="F418" s="53"/>
      <c r="G418" s="53"/>
      <c r="H418" s="53"/>
      <c r="I418" s="53"/>
      <c r="J418" s="1"/>
    </row>
    <row r="419" ht="14.25" customHeight="1">
      <c r="A419" s="52"/>
      <c r="B419" s="52"/>
      <c r="C419" s="52"/>
      <c r="D419" s="52"/>
      <c r="E419" s="53"/>
      <c r="F419" s="53"/>
      <c r="G419" s="53"/>
      <c r="H419" s="53"/>
      <c r="I419" s="53"/>
      <c r="J419" s="1"/>
    </row>
    <row r="420" ht="14.25" customHeight="1">
      <c r="A420" s="52"/>
      <c r="B420" s="52"/>
      <c r="C420" s="52"/>
      <c r="D420" s="52"/>
      <c r="E420" s="53"/>
      <c r="F420" s="53"/>
      <c r="G420" s="53"/>
      <c r="H420" s="53"/>
      <c r="I420" s="53"/>
      <c r="J420" s="1"/>
    </row>
    <row r="421" ht="14.25" customHeight="1">
      <c r="A421" s="52"/>
      <c r="B421" s="52"/>
      <c r="C421" s="52"/>
      <c r="D421" s="52"/>
      <c r="E421" s="53"/>
      <c r="F421" s="53"/>
      <c r="G421" s="53"/>
      <c r="H421" s="53"/>
      <c r="I421" s="53"/>
      <c r="J421" s="1"/>
    </row>
    <row r="422" ht="14.25" customHeight="1">
      <c r="A422" s="52"/>
      <c r="B422" s="52"/>
      <c r="C422" s="52"/>
      <c r="D422" s="52"/>
      <c r="E422" s="53"/>
      <c r="F422" s="53"/>
      <c r="G422" s="53"/>
      <c r="H422" s="53"/>
      <c r="I422" s="53"/>
      <c r="J422" s="1"/>
    </row>
    <row r="423" ht="14.25" customHeight="1">
      <c r="A423" s="52"/>
      <c r="B423" s="52"/>
      <c r="C423" s="52"/>
      <c r="D423" s="52"/>
      <c r="E423" s="53"/>
      <c r="F423" s="53"/>
      <c r="G423" s="53"/>
      <c r="H423" s="53"/>
      <c r="I423" s="53"/>
      <c r="J423" s="1"/>
    </row>
    <row r="424" ht="14.25" customHeight="1">
      <c r="A424" s="52"/>
      <c r="B424" s="52"/>
      <c r="C424" s="52"/>
      <c r="D424" s="52"/>
      <c r="E424" s="53"/>
      <c r="F424" s="53"/>
      <c r="G424" s="53"/>
      <c r="H424" s="53"/>
      <c r="I424" s="53"/>
      <c r="J424" s="1"/>
    </row>
    <row r="425" ht="14.25" customHeight="1">
      <c r="A425" s="52"/>
      <c r="B425" s="52"/>
      <c r="C425" s="52"/>
      <c r="D425" s="52"/>
      <c r="E425" s="53"/>
      <c r="F425" s="53"/>
      <c r="G425" s="53"/>
      <c r="H425" s="53"/>
      <c r="I425" s="53"/>
      <c r="J425" s="1"/>
    </row>
    <row r="426" ht="14.25" customHeight="1">
      <c r="A426" s="52"/>
      <c r="B426" s="52"/>
      <c r="C426" s="52"/>
      <c r="D426" s="52"/>
      <c r="E426" s="53"/>
      <c r="F426" s="53"/>
      <c r="G426" s="53"/>
      <c r="H426" s="53"/>
      <c r="I426" s="53"/>
      <c r="J426" s="1"/>
    </row>
    <row r="427" ht="14.25" customHeight="1">
      <c r="A427" s="52"/>
      <c r="B427" s="52"/>
      <c r="C427" s="52"/>
      <c r="D427" s="52"/>
      <c r="E427" s="53"/>
      <c r="F427" s="53"/>
      <c r="G427" s="53"/>
      <c r="H427" s="53"/>
      <c r="I427" s="53"/>
      <c r="J427" s="1"/>
    </row>
    <row r="428" ht="14.25" customHeight="1">
      <c r="A428" s="52"/>
      <c r="B428" s="52"/>
      <c r="C428" s="52"/>
      <c r="D428" s="52"/>
      <c r="E428" s="53"/>
      <c r="F428" s="53"/>
      <c r="G428" s="53"/>
      <c r="H428" s="53"/>
      <c r="I428" s="53"/>
      <c r="J428" s="1"/>
    </row>
    <row r="429" ht="14.25" customHeight="1">
      <c r="A429" s="52"/>
      <c r="B429" s="52"/>
      <c r="C429" s="52"/>
      <c r="D429" s="52"/>
      <c r="E429" s="53"/>
      <c r="F429" s="53"/>
      <c r="G429" s="53"/>
      <c r="H429" s="53"/>
      <c r="I429" s="53"/>
      <c r="J429" s="1"/>
    </row>
    <row r="430" ht="14.25" customHeight="1">
      <c r="A430" s="52"/>
      <c r="B430" s="52"/>
      <c r="C430" s="52"/>
      <c r="D430" s="52"/>
      <c r="E430" s="53"/>
      <c r="F430" s="53"/>
      <c r="G430" s="53"/>
      <c r="H430" s="53"/>
      <c r="I430" s="53"/>
      <c r="J430" s="1"/>
    </row>
    <row r="431" ht="14.25" customHeight="1">
      <c r="A431" s="52"/>
      <c r="B431" s="52"/>
      <c r="C431" s="52"/>
      <c r="D431" s="52"/>
      <c r="E431" s="53"/>
      <c r="F431" s="53"/>
      <c r="G431" s="53"/>
      <c r="H431" s="53"/>
      <c r="I431" s="53"/>
      <c r="J431" s="1"/>
    </row>
    <row r="432" ht="14.25" customHeight="1">
      <c r="A432" s="52"/>
      <c r="B432" s="52"/>
      <c r="C432" s="52"/>
      <c r="D432" s="52"/>
      <c r="E432" s="53"/>
      <c r="F432" s="53"/>
      <c r="G432" s="53"/>
      <c r="H432" s="53"/>
      <c r="I432" s="53"/>
      <c r="J432" s="1"/>
    </row>
    <row r="433" ht="14.25" customHeight="1">
      <c r="A433" s="52"/>
      <c r="B433" s="52"/>
      <c r="C433" s="52"/>
      <c r="D433" s="52"/>
      <c r="E433" s="53"/>
      <c r="F433" s="53"/>
      <c r="G433" s="53"/>
      <c r="H433" s="53"/>
      <c r="I433" s="53"/>
      <c r="J433" s="1"/>
    </row>
    <row r="434" ht="14.25" customHeight="1">
      <c r="A434" s="52"/>
      <c r="B434" s="52"/>
      <c r="C434" s="52"/>
      <c r="D434" s="52"/>
      <c r="E434" s="53"/>
      <c r="F434" s="53"/>
      <c r="G434" s="53"/>
      <c r="H434" s="53"/>
      <c r="I434" s="53"/>
      <c r="J434" s="1"/>
    </row>
    <row r="435" ht="14.25" customHeight="1">
      <c r="A435" s="52"/>
      <c r="B435" s="52"/>
      <c r="C435" s="52"/>
      <c r="D435" s="52"/>
      <c r="E435" s="53"/>
      <c r="F435" s="53"/>
      <c r="G435" s="53"/>
      <c r="H435" s="53"/>
      <c r="I435" s="53"/>
      <c r="J435" s="1"/>
    </row>
    <row r="436" ht="14.25" customHeight="1">
      <c r="A436" s="52"/>
      <c r="B436" s="52"/>
      <c r="C436" s="52"/>
      <c r="D436" s="52"/>
      <c r="E436" s="53"/>
      <c r="F436" s="53"/>
      <c r="G436" s="53"/>
      <c r="H436" s="53"/>
      <c r="I436" s="53"/>
      <c r="J436" s="1"/>
    </row>
    <row r="437" ht="14.25" customHeight="1">
      <c r="A437" s="52"/>
      <c r="B437" s="52"/>
      <c r="C437" s="52"/>
      <c r="D437" s="52"/>
      <c r="E437" s="53"/>
      <c r="F437" s="53"/>
      <c r="G437" s="53"/>
      <c r="H437" s="53"/>
      <c r="I437" s="53"/>
      <c r="J437" s="1"/>
    </row>
    <row r="438" ht="14.25" customHeight="1">
      <c r="A438" s="52"/>
      <c r="B438" s="52"/>
      <c r="C438" s="52"/>
      <c r="D438" s="52"/>
      <c r="E438" s="53"/>
      <c r="F438" s="53"/>
      <c r="G438" s="53"/>
      <c r="H438" s="53"/>
      <c r="I438" s="53"/>
      <c r="J438" s="1"/>
    </row>
    <row r="439" ht="14.25" customHeight="1">
      <c r="A439" s="52"/>
      <c r="B439" s="52"/>
      <c r="C439" s="52"/>
      <c r="D439" s="52"/>
      <c r="E439" s="53"/>
      <c r="F439" s="53"/>
      <c r="G439" s="53"/>
      <c r="H439" s="53"/>
      <c r="I439" s="53"/>
      <c r="J439" s="1"/>
    </row>
    <row r="440" ht="14.25" customHeight="1">
      <c r="A440" s="52"/>
      <c r="B440" s="52"/>
      <c r="C440" s="52"/>
      <c r="D440" s="52"/>
      <c r="E440" s="53"/>
      <c r="F440" s="53"/>
      <c r="G440" s="53"/>
      <c r="H440" s="53"/>
      <c r="I440" s="53"/>
      <c r="J440" s="1"/>
    </row>
    <row r="441" ht="14.25" customHeight="1">
      <c r="A441" s="52"/>
      <c r="B441" s="52"/>
      <c r="C441" s="52"/>
      <c r="D441" s="52"/>
      <c r="E441" s="53"/>
      <c r="F441" s="53"/>
      <c r="G441" s="53"/>
      <c r="H441" s="53"/>
      <c r="I441" s="53"/>
      <c r="J441" s="1"/>
    </row>
    <row r="442" ht="14.25" customHeight="1">
      <c r="A442" s="52"/>
      <c r="B442" s="52"/>
      <c r="C442" s="52"/>
      <c r="D442" s="52"/>
      <c r="E442" s="53"/>
      <c r="F442" s="53"/>
      <c r="G442" s="53"/>
      <c r="H442" s="53"/>
      <c r="I442" s="53"/>
      <c r="J442" s="1"/>
    </row>
    <row r="443" ht="14.25" customHeight="1">
      <c r="A443" s="52"/>
      <c r="B443" s="52"/>
      <c r="C443" s="52"/>
      <c r="D443" s="52"/>
      <c r="E443" s="53"/>
      <c r="F443" s="53"/>
      <c r="G443" s="53"/>
      <c r="H443" s="53"/>
      <c r="I443" s="53"/>
      <c r="J443" s="1"/>
    </row>
    <row r="444" ht="14.25" customHeight="1">
      <c r="A444" s="52"/>
      <c r="B444" s="52"/>
      <c r="C444" s="52"/>
      <c r="D444" s="52"/>
      <c r="E444" s="53"/>
      <c r="F444" s="53"/>
      <c r="G444" s="53"/>
      <c r="H444" s="53"/>
      <c r="I444" s="53"/>
      <c r="J444" s="1"/>
    </row>
    <row r="445" ht="14.25" customHeight="1">
      <c r="A445" s="52"/>
      <c r="B445" s="52"/>
      <c r="C445" s="52"/>
      <c r="D445" s="52"/>
      <c r="E445" s="53"/>
      <c r="F445" s="53"/>
      <c r="G445" s="53"/>
      <c r="H445" s="53"/>
      <c r="I445" s="53"/>
      <c r="J445" s="1"/>
    </row>
    <row r="446" ht="14.25" customHeight="1">
      <c r="A446" s="52"/>
      <c r="B446" s="52"/>
      <c r="C446" s="52"/>
      <c r="D446" s="52"/>
      <c r="E446" s="53"/>
      <c r="F446" s="53"/>
      <c r="G446" s="53"/>
      <c r="H446" s="53"/>
      <c r="I446" s="53"/>
      <c r="J446" s="1"/>
    </row>
    <row r="447" ht="14.25" customHeight="1">
      <c r="A447" s="52"/>
      <c r="B447" s="52"/>
      <c r="C447" s="52"/>
      <c r="D447" s="52"/>
      <c r="E447" s="53"/>
      <c r="F447" s="53"/>
      <c r="G447" s="53"/>
      <c r="H447" s="53"/>
      <c r="I447" s="53"/>
      <c r="J447" s="1"/>
    </row>
    <row r="448" ht="14.25" customHeight="1">
      <c r="A448" s="52"/>
      <c r="B448" s="52"/>
      <c r="C448" s="52"/>
      <c r="D448" s="52"/>
      <c r="E448" s="53"/>
      <c r="F448" s="53"/>
      <c r="G448" s="53"/>
      <c r="H448" s="53"/>
      <c r="I448" s="53"/>
      <c r="J448" s="1"/>
    </row>
    <row r="449" ht="14.25" customHeight="1">
      <c r="A449" s="52"/>
      <c r="B449" s="52"/>
      <c r="C449" s="52"/>
      <c r="D449" s="52"/>
      <c r="E449" s="53"/>
      <c r="F449" s="53"/>
      <c r="G449" s="53"/>
      <c r="H449" s="53"/>
      <c r="I449" s="53"/>
      <c r="J449" s="1"/>
    </row>
    <row r="450" ht="14.25" customHeight="1">
      <c r="A450" s="52"/>
      <c r="B450" s="52"/>
      <c r="C450" s="52"/>
      <c r="D450" s="52"/>
      <c r="E450" s="53"/>
      <c r="F450" s="53"/>
      <c r="G450" s="53"/>
      <c r="H450" s="53"/>
      <c r="I450" s="53"/>
      <c r="J450" s="1"/>
    </row>
    <row r="451" ht="14.25" customHeight="1">
      <c r="A451" s="52"/>
      <c r="B451" s="52"/>
      <c r="C451" s="52"/>
      <c r="D451" s="52"/>
      <c r="E451" s="53"/>
      <c r="F451" s="53"/>
      <c r="G451" s="53"/>
      <c r="H451" s="53"/>
      <c r="I451" s="53"/>
      <c r="J451" s="1"/>
    </row>
    <row r="452" ht="14.25" customHeight="1">
      <c r="A452" s="52"/>
      <c r="B452" s="52"/>
      <c r="C452" s="52"/>
      <c r="D452" s="52"/>
      <c r="E452" s="53"/>
      <c r="F452" s="53"/>
      <c r="G452" s="53"/>
      <c r="H452" s="53"/>
      <c r="I452" s="53"/>
      <c r="J452" s="1"/>
    </row>
    <row r="453" ht="14.25" customHeight="1">
      <c r="A453" s="52"/>
      <c r="B453" s="52"/>
      <c r="C453" s="52"/>
      <c r="D453" s="52"/>
      <c r="E453" s="53"/>
      <c r="F453" s="53"/>
      <c r="G453" s="53"/>
      <c r="H453" s="53"/>
      <c r="I453" s="53"/>
      <c r="J453" s="1"/>
    </row>
    <row r="454" ht="14.25" customHeight="1">
      <c r="A454" s="52"/>
      <c r="B454" s="52"/>
      <c r="C454" s="52"/>
      <c r="D454" s="52"/>
      <c r="E454" s="53"/>
      <c r="F454" s="53"/>
      <c r="G454" s="53"/>
      <c r="H454" s="53"/>
      <c r="I454" s="53"/>
      <c r="J454" s="1"/>
    </row>
    <row r="455" ht="14.25" customHeight="1">
      <c r="A455" s="52"/>
      <c r="B455" s="52"/>
      <c r="C455" s="52"/>
      <c r="D455" s="52"/>
      <c r="E455" s="53"/>
      <c r="F455" s="53"/>
      <c r="G455" s="53"/>
      <c r="H455" s="53"/>
      <c r="I455" s="53"/>
      <c r="J455" s="1"/>
    </row>
    <row r="456" ht="14.25" customHeight="1">
      <c r="A456" s="52"/>
      <c r="B456" s="52"/>
      <c r="C456" s="52"/>
      <c r="D456" s="52"/>
      <c r="E456" s="53"/>
      <c r="F456" s="53"/>
      <c r="G456" s="53"/>
      <c r="H456" s="53"/>
      <c r="I456" s="53"/>
      <c r="J456" s="1"/>
    </row>
    <row r="457" ht="14.25" customHeight="1">
      <c r="A457" s="52"/>
      <c r="B457" s="52"/>
      <c r="C457" s="52"/>
      <c r="D457" s="52"/>
      <c r="E457" s="53"/>
      <c r="F457" s="53"/>
      <c r="G457" s="53"/>
      <c r="H457" s="53"/>
      <c r="I457" s="53"/>
      <c r="J457" s="1"/>
    </row>
    <row r="458" ht="14.25" customHeight="1">
      <c r="A458" s="52"/>
      <c r="B458" s="52"/>
      <c r="C458" s="52"/>
      <c r="D458" s="52"/>
      <c r="E458" s="53"/>
      <c r="F458" s="53"/>
      <c r="G458" s="53"/>
      <c r="H458" s="53"/>
      <c r="I458" s="53"/>
      <c r="J458" s="1"/>
    </row>
    <row r="459" ht="14.25" customHeight="1">
      <c r="A459" s="52"/>
      <c r="B459" s="52"/>
      <c r="C459" s="52"/>
      <c r="D459" s="52"/>
      <c r="E459" s="53"/>
      <c r="F459" s="53"/>
      <c r="G459" s="53"/>
      <c r="H459" s="53"/>
      <c r="I459" s="53"/>
      <c r="J459" s="1"/>
    </row>
    <row r="460" ht="14.25" customHeight="1">
      <c r="A460" s="52"/>
      <c r="B460" s="52"/>
      <c r="C460" s="52"/>
      <c r="D460" s="52"/>
      <c r="E460" s="53"/>
      <c r="F460" s="53"/>
      <c r="G460" s="53"/>
      <c r="H460" s="53"/>
      <c r="I460" s="53"/>
      <c r="J460" s="1"/>
    </row>
    <row r="461" ht="14.25" customHeight="1">
      <c r="A461" s="52"/>
      <c r="B461" s="52"/>
      <c r="C461" s="52"/>
      <c r="D461" s="52"/>
      <c r="E461" s="53"/>
      <c r="F461" s="53"/>
      <c r="G461" s="53"/>
      <c r="H461" s="53"/>
      <c r="I461" s="53"/>
      <c r="J461" s="1"/>
    </row>
    <row r="462" ht="14.25" customHeight="1">
      <c r="A462" s="52"/>
      <c r="B462" s="52"/>
      <c r="C462" s="52"/>
      <c r="D462" s="52"/>
      <c r="E462" s="53"/>
      <c r="F462" s="53"/>
      <c r="G462" s="53"/>
      <c r="H462" s="53"/>
      <c r="I462" s="53"/>
      <c r="J462" s="1"/>
    </row>
    <row r="463" ht="14.25" customHeight="1">
      <c r="A463" s="52"/>
      <c r="B463" s="52"/>
      <c r="C463" s="52"/>
      <c r="D463" s="52"/>
      <c r="E463" s="53"/>
      <c r="F463" s="53"/>
      <c r="G463" s="53"/>
      <c r="H463" s="53"/>
      <c r="I463" s="53"/>
      <c r="J463" s="1"/>
    </row>
    <row r="464" ht="14.25" customHeight="1">
      <c r="A464" s="52"/>
      <c r="B464" s="52"/>
      <c r="C464" s="52"/>
      <c r="D464" s="52"/>
      <c r="E464" s="53"/>
      <c r="F464" s="53"/>
      <c r="G464" s="53"/>
      <c r="H464" s="53"/>
      <c r="I464" s="53"/>
      <c r="J464" s="1"/>
    </row>
    <row r="465" ht="14.25" customHeight="1">
      <c r="A465" s="52"/>
      <c r="B465" s="52"/>
      <c r="C465" s="52"/>
      <c r="D465" s="52"/>
      <c r="E465" s="53"/>
      <c r="F465" s="53"/>
      <c r="G465" s="53"/>
      <c r="H465" s="53"/>
      <c r="I465" s="53"/>
      <c r="J465" s="1"/>
    </row>
    <row r="466" ht="14.25" customHeight="1">
      <c r="A466" s="52"/>
      <c r="B466" s="52"/>
      <c r="C466" s="52"/>
      <c r="D466" s="52"/>
      <c r="E466" s="53"/>
      <c r="F466" s="53"/>
      <c r="G466" s="53"/>
      <c r="H466" s="53"/>
      <c r="I466" s="53"/>
      <c r="J466" s="1"/>
    </row>
    <row r="467" ht="14.25" customHeight="1">
      <c r="A467" s="52"/>
      <c r="B467" s="52"/>
      <c r="C467" s="52"/>
      <c r="D467" s="52"/>
      <c r="E467" s="53"/>
      <c r="F467" s="53"/>
      <c r="G467" s="53"/>
      <c r="H467" s="53"/>
      <c r="I467" s="53"/>
      <c r="J467" s="1"/>
    </row>
    <row r="468" ht="14.25" customHeight="1">
      <c r="A468" s="52"/>
      <c r="B468" s="52"/>
      <c r="C468" s="52"/>
      <c r="D468" s="52"/>
      <c r="E468" s="53"/>
      <c r="F468" s="53"/>
      <c r="G468" s="53"/>
      <c r="H468" s="53"/>
      <c r="I468" s="53"/>
      <c r="J468" s="1"/>
    </row>
    <row r="469" ht="14.25" customHeight="1">
      <c r="A469" s="52"/>
      <c r="B469" s="52"/>
      <c r="C469" s="52"/>
      <c r="D469" s="52"/>
      <c r="E469" s="53"/>
      <c r="F469" s="53"/>
      <c r="G469" s="53"/>
      <c r="H469" s="53"/>
      <c r="I469" s="53"/>
      <c r="J469" s="1"/>
    </row>
    <row r="470" ht="14.25" customHeight="1">
      <c r="A470" s="52"/>
      <c r="B470" s="52"/>
      <c r="C470" s="52"/>
      <c r="D470" s="52"/>
      <c r="E470" s="53"/>
      <c r="F470" s="53"/>
      <c r="G470" s="53"/>
      <c r="H470" s="53"/>
      <c r="I470" s="53"/>
      <c r="J470" s="1"/>
    </row>
    <row r="471" ht="14.25" customHeight="1">
      <c r="A471" s="52"/>
      <c r="B471" s="52"/>
      <c r="C471" s="52"/>
      <c r="D471" s="52"/>
      <c r="E471" s="53"/>
      <c r="F471" s="53"/>
      <c r="G471" s="53"/>
      <c r="H471" s="53"/>
      <c r="I471" s="53"/>
      <c r="J471" s="1"/>
    </row>
    <row r="472" ht="14.25" customHeight="1">
      <c r="A472" s="52"/>
      <c r="B472" s="52"/>
      <c r="C472" s="52"/>
      <c r="D472" s="52"/>
      <c r="E472" s="53"/>
      <c r="F472" s="53"/>
      <c r="G472" s="53"/>
      <c r="H472" s="53"/>
      <c r="I472" s="53"/>
      <c r="J472" s="1"/>
    </row>
    <row r="473" ht="14.25" customHeight="1">
      <c r="A473" s="52"/>
      <c r="B473" s="52"/>
      <c r="C473" s="52"/>
      <c r="D473" s="52"/>
      <c r="E473" s="53"/>
      <c r="F473" s="53"/>
      <c r="G473" s="53"/>
      <c r="H473" s="53"/>
      <c r="I473" s="53"/>
      <c r="J473" s="1"/>
    </row>
    <row r="474" ht="14.25" customHeight="1">
      <c r="A474" s="52"/>
      <c r="B474" s="52"/>
      <c r="C474" s="52"/>
      <c r="D474" s="52"/>
      <c r="E474" s="53"/>
      <c r="F474" s="53"/>
      <c r="G474" s="53"/>
      <c r="H474" s="53"/>
      <c r="I474" s="53"/>
      <c r="J474" s="1"/>
    </row>
    <row r="475" ht="14.25" customHeight="1">
      <c r="A475" s="52"/>
      <c r="B475" s="52"/>
      <c r="C475" s="52"/>
      <c r="D475" s="52"/>
      <c r="E475" s="53"/>
      <c r="F475" s="53"/>
      <c r="G475" s="53"/>
      <c r="H475" s="53"/>
      <c r="I475" s="53"/>
      <c r="J475" s="1"/>
    </row>
    <row r="476" ht="14.25" customHeight="1">
      <c r="A476" s="52"/>
      <c r="B476" s="52"/>
      <c r="C476" s="52"/>
      <c r="D476" s="52"/>
      <c r="E476" s="53"/>
      <c r="F476" s="53"/>
      <c r="G476" s="53"/>
      <c r="H476" s="53"/>
      <c r="I476" s="53"/>
      <c r="J476" s="1"/>
    </row>
    <row r="477" ht="14.25" customHeight="1">
      <c r="A477" s="52"/>
      <c r="B477" s="52"/>
      <c r="C477" s="52"/>
      <c r="D477" s="52"/>
      <c r="E477" s="53"/>
      <c r="F477" s="53"/>
      <c r="G477" s="53"/>
      <c r="H477" s="53"/>
      <c r="I477" s="53"/>
      <c r="J477" s="1"/>
    </row>
    <row r="478" ht="14.25" customHeight="1">
      <c r="A478" s="52"/>
      <c r="B478" s="52"/>
      <c r="C478" s="52"/>
      <c r="D478" s="52"/>
      <c r="E478" s="53"/>
      <c r="F478" s="53"/>
      <c r="G478" s="53"/>
      <c r="H478" s="53"/>
      <c r="I478" s="53"/>
      <c r="J478" s="1"/>
    </row>
    <row r="479" ht="14.25" customHeight="1">
      <c r="A479" s="52"/>
      <c r="B479" s="52"/>
      <c r="C479" s="52"/>
      <c r="D479" s="52"/>
      <c r="E479" s="53"/>
      <c r="F479" s="53"/>
      <c r="G479" s="53"/>
      <c r="H479" s="53"/>
      <c r="I479" s="53"/>
      <c r="J479" s="1"/>
    </row>
    <row r="480" ht="14.25" customHeight="1">
      <c r="A480" s="52"/>
      <c r="B480" s="52"/>
      <c r="C480" s="52"/>
      <c r="D480" s="52"/>
      <c r="E480" s="53"/>
      <c r="F480" s="53"/>
      <c r="G480" s="53"/>
      <c r="H480" s="53"/>
      <c r="I480" s="53"/>
      <c r="J480" s="1"/>
    </row>
    <row r="481" ht="14.25" customHeight="1">
      <c r="A481" s="52"/>
      <c r="B481" s="52"/>
      <c r="C481" s="52"/>
      <c r="D481" s="52"/>
      <c r="E481" s="53"/>
      <c r="F481" s="53"/>
      <c r="G481" s="53"/>
      <c r="H481" s="53"/>
      <c r="I481" s="53"/>
      <c r="J481" s="1"/>
    </row>
    <row r="482" ht="14.25" customHeight="1">
      <c r="A482" s="52"/>
      <c r="B482" s="52"/>
      <c r="C482" s="52"/>
      <c r="D482" s="52"/>
      <c r="E482" s="53"/>
      <c r="F482" s="53"/>
      <c r="G482" s="53"/>
      <c r="H482" s="53"/>
      <c r="I482" s="53"/>
      <c r="J482" s="1"/>
    </row>
    <row r="483" ht="14.25" customHeight="1">
      <c r="A483" s="52"/>
      <c r="B483" s="52"/>
      <c r="C483" s="52"/>
      <c r="D483" s="52"/>
      <c r="E483" s="53"/>
      <c r="F483" s="53"/>
      <c r="G483" s="53"/>
      <c r="H483" s="53"/>
      <c r="I483" s="53"/>
      <c r="J483" s="1"/>
    </row>
    <row r="484" ht="14.25" customHeight="1">
      <c r="A484" s="52"/>
      <c r="B484" s="52"/>
      <c r="C484" s="52"/>
      <c r="D484" s="52"/>
      <c r="E484" s="53"/>
      <c r="F484" s="53"/>
      <c r="G484" s="53"/>
      <c r="H484" s="53"/>
      <c r="I484" s="53"/>
      <c r="J484" s="1"/>
    </row>
    <row r="485" ht="14.25" customHeight="1">
      <c r="A485" s="52"/>
      <c r="B485" s="52"/>
      <c r="C485" s="52"/>
      <c r="D485" s="52"/>
      <c r="E485" s="53"/>
      <c r="F485" s="53"/>
      <c r="G485" s="53"/>
      <c r="H485" s="53"/>
      <c r="I485" s="53"/>
      <c r="J485" s="1"/>
    </row>
    <row r="486" ht="14.25" customHeight="1">
      <c r="A486" s="52"/>
      <c r="B486" s="52"/>
      <c r="C486" s="52"/>
      <c r="D486" s="52"/>
      <c r="E486" s="53"/>
      <c r="F486" s="53"/>
      <c r="G486" s="53"/>
      <c r="H486" s="53"/>
      <c r="I486" s="53"/>
      <c r="J486" s="1"/>
    </row>
    <row r="487" ht="14.25" customHeight="1">
      <c r="A487" s="52"/>
      <c r="B487" s="52"/>
      <c r="C487" s="52"/>
      <c r="D487" s="52"/>
      <c r="E487" s="53"/>
      <c r="F487" s="53"/>
      <c r="G487" s="53"/>
      <c r="H487" s="53"/>
      <c r="I487" s="53"/>
      <c r="J487" s="1"/>
    </row>
    <row r="488" ht="14.25" customHeight="1">
      <c r="A488" s="52"/>
      <c r="B488" s="52"/>
      <c r="C488" s="52"/>
      <c r="D488" s="52"/>
      <c r="E488" s="53"/>
      <c r="F488" s="53"/>
      <c r="G488" s="53"/>
      <c r="H488" s="53"/>
      <c r="I488" s="53"/>
      <c r="J488" s="1"/>
    </row>
    <row r="489" ht="14.25" customHeight="1">
      <c r="A489" s="52"/>
      <c r="B489" s="52"/>
      <c r="C489" s="52"/>
      <c r="D489" s="52"/>
      <c r="E489" s="53"/>
      <c r="F489" s="53"/>
      <c r="G489" s="53"/>
      <c r="H489" s="53"/>
      <c r="I489" s="53"/>
      <c r="J489" s="1"/>
    </row>
    <row r="490" ht="14.25" customHeight="1">
      <c r="A490" s="52"/>
      <c r="B490" s="52"/>
      <c r="C490" s="52"/>
      <c r="D490" s="52"/>
      <c r="E490" s="53"/>
      <c r="F490" s="53"/>
      <c r="G490" s="53"/>
      <c r="H490" s="53"/>
      <c r="I490" s="53"/>
      <c r="J490" s="1"/>
    </row>
    <row r="491" ht="14.25" customHeight="1">
      <c r="A491" s="52"/>
      <c r="B491" s="52"/>
      <c r="C491" s="52"/>
      <c r="D491" s="52"/>
      <c r="E491" s="53"/>
      <c r="F491" s="53"/>
      <c r="G491" s="53"/>
      <c r="H491" s="53"/>
      <c r="I491" s="53"/>
      <c r="J491" s="1"/>
    </row>
    <row r="492" ht="14.25" customHeight="1">
      <c r="A492" s="52"/>
      <c r="B492" s="52"/>
      <c r="C492" s="52"/>
      <c r="D492" s="52"/>
      <c r="E492" s="53"/>
      <c r="F492" s="53"/>
      <c r="G492" s="53"/>
      <c r="H492" s="53"/>
      <c r="I492" s="53"/>
      <c r="J492" s="1"/>
    </row>
    <row r="493" ht="14.25" customHeight="1">
      <c r="A493" s="52"/>
      <c r="B493" s="52"/>
      <c r="C493" s="52"/>
      <c r="D493" s="52"/>
      <c r="E493" s="53"/>
      <c r="F493" s="53"/>
      <c r="G493" s="53"/>
      <c r="H493" s="53"/>
      <c r="I493" s="53"/>
      <c r="J493" s="1"/>
    </row>
    <row r="494" ht="14.25" customHeight="1">
      <c r="A494" s="52"/>
      <c r="B494" s="52"/>
      <c r="C494" s="52"/>
      <c r="D494" s="52"/>
      <c r="E494" s="53"/>
      <c r="F494" s="53"/>
      <c r="G494" s="53"/>
      <c r="H494" s="53"/>
      <c r="I494" s="53"/>
      <c r="J494" s="1"/>
    </row>
    <row r="495" ht="14.25" customHeight="1">
      <c r="A495" s="52"/>
      <c r="B495" s="52"/>
      <c r="C495" s="52"/>
      <c r="D495" s="52"/>
      <c r="E495" s="53"/>
      <c r="F495" s="53"/>
      <c r="G495" s="53"/>
      <c r="H495" s="53"/>
      <c r="I495" s="53"/>
      <c r="J495" s="1"/>
    </row>
    <row r="496" ht="14.25" customHeight="1">
      <c r="A496" s="52"/>
      <c r="B496" s="52"/>
      <c r="C496" s="52"/>
      <c r="D496" s="52"/>
      <c r="E496" s="53"/>
      <c r="F496" s="53"/>
      <c r="G496" s="53"/>
      <c r="H496" s="53"/>
      <c r="I496" s="53"/>
      <c r="J496" s="1"/>
    </row>
    <row r="497" ht="14.25" customHeight="1">
      <c r="A497" s="52"/>
      <c r="B497" s="52"/>
      <c r="C497" s="52"/>
      <c r="D497" s="52"/>
      <c r="E497" s="53"/>
      <c r="F497" s="53"/>
      <c r="G497" s="53"/>
      <c r="H497" s="53"/>
      <c r="I497" s="53"/>
      <c r="J497" s="1"/>
    </row>
    <row r="498" ht="14.25" customHeight="1">
      <c r="A498" s="52"/>
      <c r="B498" s="52"/>
      <c r="C498" s="52"/>
      <c r="D498" s="52"/>
      <c r="E498" s="53"/>
      <c r="F498" s="53"/>
      <c r="G498" s="53"/>
      <c r="H498" s="53"/>
      <c r="I498" s="53"/>
      <c r="J498" s="1"/>
    </row>
    <row r="499" ht="14.25" customHeight="1">
      <c r="A499" s="52"/>
      <c r="B499" s="52"/>
      <c r="C499" s="52"/>
      <c r="D499" s="52"/>
      <c r="E499" s="53"/>
      <c r="F499" s="53"/>
      <c r="G499" s="53"/>
      <c r="H499" s="53"/>
      <c r="I499" s="53"/>
      <c r="J499" s="1"/>
    </row>
    <row r="500" ht="14.25" customHeight="1">
      <c r="A500" s="52"/>
      <c r="B500" s="52"/>
      <c r="C500" s="52"/>
      <c r="D500" s="52"/>
      <c r="E500" s="53"/>
      <c r="F500" s="53"/>
      <c r="G500" s="53"/>
      <c r="H500" s="53"/>
      <c r="I500" s="53"/>
      <c r="J500" s="1"/>
    </row>
    <row r="501" ht="14.25" customHeight="1">
      <c r="A501" s="52"/>
      <c r="B501" s="52"/>
      <c r="C501" s="52"/>
      <c r="D501" s="52"/>
      <c r="E501" s="53"/>
      <c r="F501" s="53"/>
      <c r="G501" s="53"/>
      <c r="H501" s="53"/>
      <c r="I501" s="53"/>
      <c r="J501" s="1"/>
    </row>
    <row r="502" ht="14.25" customHeight="1">
      <c r="A502" s="52"/>
      <c r="B502" s="52"/>
      <c r="C502" s="52"/>
      <c r="D502" s="52"/>
      <c r="E502" s="53"/>
      <c r="F502" s="53"/>
      <c r="G502" s="53"/>
      <c r="H502" s="53"/>
      <c r="I502" s="53"/>
      <c r="J502" s="1"/>
    </row>
    <row r="503" ht="14.25" customHeight="1">
      <c r="A503" s="52"/>
      <c r="B503" s="52"/>
      <c r="C503" s="52"/>
      <c r="D503" s="52"/>
      <c r="E503" s="53"/>
      <c r="F503" s="53"/>
      <c r="G503" s="53"/>
      <c r="H503" s="53"/>
      <c r="I503" s="53"/>
      <c r="J503" s="1"/>
    </row>
    <row r="504" ht="14.25" customHeight="1">
      <c r="A504" s="52"/>
      <c r="B504" s="52"/>
      <c r="C504" s="52"/>
      <c r="D504" s="52"/>
      <c r="E504" s="53"/>
      <c r="F504" s="53"/>
      <c r="G504" s="53"/>
      <c r="H504" s="53"/>
      <c r="I504" s="53"/>
      <c r="J504" s="1"/>
    </row>
    <row r="505" ht="14.25" customHeight="1">
      <c r="A505" s="52"/>
      <c r="B505" s="52"/>
      <c r="C505" s="52"/>
      <c r="D505" s="52"/>
      <c r="E505" s="53"/>
      <c r="F505" s="53"/>
      <c r="G505" s="53"/>
      <c r="H505" s="53"/>
      <c r="I505" s="53"/>
      <c r="J505" s="1"/>
    </row>
    <row r="506" ht="14.25" customHeight="1">
      <c r="A506" s="52"/>
      <c r="B506" s="52"/>
      <c r="C506" s="52"/>
      <c r="D506" s="52"/>
      <c r="E506" s="53"/>
      <c r="F506" s="53"/>
      <c r="G506" s="53"/>
      <c r="H506" s="53"/>
      <c r="I506" s="53"/>
      <c r="J506" s="1"/>
    </row>
    <row r="507" ht="14.25" customHeight="1">
      <c r="A507" s="52"/>
      <c r="B507" s="52"/>
      <c r="C507" s="52"/>
      <c r="D507" s="52"/>
      <c r="E507" s="53"/>
      <c r="F507" s="53"/>
      <c r="G507" s="53"/>
      <c r="H507" s="53"/>
      <c r="I507" s="53"/>
      <c r="J507" s="1"/>
    </row>
    <row r="508" ht="14.25" customHeight="1">
      <c r="A508" s="52"/>
      <c r="B508" s="52"/>
      <c r="C508" s="52"/>
      <c r="D508" s="52"/>
      <c r="E508" s="53"/>
      <c r="F508" s="53"/>
      <c r="G508" s="53"/>
      <c r="H508" s="53"/>
      <c r="I508" s="53"/>
      <c r="J508" s="1"/>
    </row>
    <row r="509" ht="14.25" customHeight="1">
      <c r="A509" s="52"/>
      <c r="B509" s="52"/>
      <c r="C509" s="52"/>
      <c r="D509" s="52"/>
      <c r="E509" s="53"/>
      <c r="F509" s="53"/>
      <c r="G509" s="53"/>
      <c r="H509" s="53"/>
      <c r="I509" s="53"/>
      <c r="J509" s="1"/>
    </row>
    <row r="510" ht="14.25" customHeight="1">
      <c r="A510" s="52"/>
      <c r="B510" s="52"/>
      <c r="C510" s="52"/>
      <c r="D510" s="52"/>
      <c r="E510" s="53"/>
      <c r="F510" s="53"/>
      <c r="G510" s="53"/>
      <c r="H510" s="53"/>
      <c r="I510" s="53"/>
      <c r="J510" s="1"/>
    </row>
    <row r="511" ht="14.25" customHeight="1">
      <c r="A511" s="52"/>
      <c r="B511" s="52"/>
      <c r="C511" s="52"/>
      <c r="D511" s="52"/>
      <c r="E511" s="53"/>
      <c r="F511" s="53"/>
      <c r="G511" s="53"/>
      <c r="H511" s="53"/>
      <c r="I511" s="53"/>
      <c r="J511" s="1"/>
    </row>
    <row r="512" ht="14.25" customHeight="1">
      <c r="A512" s="52"/>
      <c r="B512" s="52"/>
      <c r="C512" s="52"/>
      <c r="D512" s="52"/>
      <c r="E512" s="53"/>
      <c r="F512" s="53"/>
      <c r="G512" s="53"/>
      <c r="H512" s="53"/>
      <c r="I512" s="53"/>
      <c r="J512" s="1"/>
    </row>
    <row r="513" ht="14.25" customHeight="1">
      <c r="A513" s="52"/>
      <c r="B513" s="52"/>
      <c r="C513" s="52"/>
      <c r="D513" s="52"/>
      <c r="E513" s="53"/>
      <c r="F513" s="53"/>
      <c r="G513" s="53"/>
      <c r="H513" s="53"/>
      <c r="I513" s="53"/>
      <c r="J513" s="1"/>
    </row>
    <row r="514" ht="14.25" customHeight="1">
      <c r="A514" s="52"/>
      <c r="B514" s="52"/>
      <c r="C514" s="52"/>
      <c r="D514" s="52"/>
      <c r="E514" s="53"/>
      <c r="F514" s="53"/>
      <c r="G514" s="53"/>
      <c r="H514" s="53"/>
      <c r="I514" s="53"/>
      <c r="J514" s="1"/>
    </row>
    <row r="515" ht="14.25" customHeight="1">
      <c r="A515" s="52"/>
      <c r="B515" s="52"/>
      <c r="C515" s="52"/>
      <c r="D515" s="52"/>
      <c r="E515" s="53"/>
      <c r="F515" s="53"/>
      <c r="G515" s="53"/>
      <c r="H515" s="53"/>
      <c r="I515" s="53"/>
      <c r="J515" s="1"/>
    </row>
    <row r="516" ht="14.25" customHeight="1">
      <c r="A516" s="52"/>
      <c r="B516" s="52"/>
      <c r="C516" s="52"/>
      <c r="D516" s="52"/>
      <c r="E516" s="53"/>
      <c r="F516" s="53"/>
      <c r="G516" s="53"/>
      <c r="H516" s="53"/>
      <c r="I516" s="53"/>
      <c r="J516" s="1"/>
    </row>
    <row r="517" ht="14.25" customHeight="1">
      <c r="A517" s="52"/>
      <c r="B517" s="52"/>
      <c r="C517" s="52"/>
      <c r="D517" s="52"/>
      <c r="E517" s="53"/>
      <c r="F517" s="53"/>
      <c r="G517" s="53"/>
      <c r="H517" s="53"/>
      <c r="I517" s="53"/>
      <c r="J517" s="1"/>
    </row>
    <row r="518" ht="14.25" customHeight="1">
      <c r="A518" s="52"/>
      <c r="B518" s="52"/>
      <c r="C518" s="52"/>
      <c r="D518" s="52"/>
      <c r="E518" s="53"/>
      <c r="F518" s="53"/>
      <c r="G518" s="53"/>
      <c r="H518" s="53"/>
      <c r="I518" s="53"/>
      <c r="J518" s="1"/>
    </row>
    <row r="519" ht="14.25" customHeight="1">
      <c r="A519" s="52"/>
      <c r="B519" s="52"/>
      <c r="C519" s="52"/>
      <c r="D519" s="52"/>
      <c r="E519" s="53"/>
      <c r="F519" s="53"/>
      <c r="G519" s="53"/>
      <c r="H519" s="53"/>
      <c r="I519" s="53"/>
      <c r="J519" s="1"/>
    </row>
    <row r="520" ht="14.25" customHeight="1">
      <c r="A520" s="52"/>
      <c r="B520" s="52"/>
      <c r="C520" s="52"/>
      <c r="D520" s="52"/>
      <c r="E520" s="53"/>
      <c r="F520" s="53"/>
      <c r="G520" s="53"/>
      <c r="H520" s="53"/>
      <c r="I520" s="53"/>
      <c r="J520" s="1"/>
    </row>
    <row r="521" ht="14.25" customHeight="1">
      <c r="A521" s="52"/>
      <c r="B521" s="52"/>
      <c r="C521" s="52"/>
      <c r="D521" s="52"/>
      <c r="E521" s="53"/>
      <c r="F521" s="53"/>
      <c r="G521" s="53"/>
      <c r="H521" s="53"/>
      <c r="I521" s="53"/>
      <c r="J521" s="1"/>
    </row>
    <row r="522" ht="14.25" customHeight="1">
      <c r="A522" s="52"/>
      <c r="B522" s="52"/>
      <c r="C522" s="52"/>
      <c r="D522" s="52"/>
      <c r="E522" s="53"/>
      <c r="F522" s="53"/>
      <c r="G522" s="53"/>
      <c r="H522" s="53"/>
      <c r="I522" s="53"/>
      <c r="J522" s="1"/>
    </row>
    <row r="523" ht="14.25" customHeight="1">
      <c r="A523" s="52"/>
      <c r="B523" s="52"/>
      <c r="C523" s="52"/>
      <c r="D523" s="52"/>
      <c r="E523" s="53"/>
      <c r="F523" s="53"/>
      <c r="G523" s="53"/>
      <c r="H523" s="53"/>
      <c r="I523" s="53"/>
      <c r="J523" s="1"/>
    </row>
    <row r="524" ht="14.25" customHeight="1">
      <c r="A524" s="52"/>
      <c r="B524" s="52"/>
      <c r="C524" s="52"/>
      <c r="D524" s="52"/>
      <c r="E524" s="53"/>
      <c r="F524" s="53"/>
      <c r="G524" s="53"/>
      <c r="H524" s="53"/>
      <c r="I524" s="53"/>
      <c r="J524" s="1"/>
    </row>
    <row r="525" ht="14.25" customHeight="1">
      <c r="A525" s="52"/>
      <c r="B525" s="52"/>
      <c r="C525" s="52"/>
      <c r="D525" s="52"/>
      <c r="E525" s="53"/>
      <c r="F525" s="53"/>
      <c r="G525" s="53"/>
      <c r="H525" s="53"/>
      <c r="I525" s="53"/>
      <c r="J525" s="1"/>
    </row>
    <row r="526" ht="14.25" customHeight="1">
      <c r="A526" s="52"/>
      <c r="B526" s="52"/>
      <c r="C526" s="52"/>
      <c r="D526" s="52"/>
      <c r="E526" s="53"/>
      <c r="F526" s="53"/>
      <c r="G526" s="53"/>
      <c r="H526" s="53"/>
      <c r="I526" s="53"/>
      <c r="J526" s="1"/>
    </row>
    <row r="527" ht="14.25" customHeight="1">
      <c r="A527" s="52"/>
      <c r="B527" s="52"/>
      <c r="C527" s="52"/>
      <c r="D527" s="52"/>
      <c r="E527" s="53"/>
      <c r="F527" s="53"/>
      <c r="G527" s="53"/>
      <c r="H527" s="53"/>
      <c r="I527" s="53"/>
      <c r="J527" s="1"/>
    </row>
    <row r="528" ht="14.25" customHeight="1">
      <c r="A528" s="52"/>
      <c r="B528" s="52"/>
      <c r="C528" s="52"/>
      <c r="D528" s="52"/>
      <c r="E528" s="53"/>
      <c r="F528" s="53"/>
      <c r="G528" s="53"/>
      <c r="H528" s="53"/>
      <c r="I528" s="53"/>
      <c r="J528" s="1"/>
    </row>
    <row r="529" ht="14.25" customHeight="1">
      <c r="A529" s="52"/>
      <c r="B529" s="52"/>
      <c r="C529" s="52"/>
      <c r="D529" s="52"/>
      <c r="E529" s="53"/>
      <c r="F529" s="53"/>
      <c r="G529" s="53"/>
      <c r="H529" s="53"/>
      <c r="I529" s="53"/>
      <c r="J529" s="1"/>
    </row>
    <row r="530" ht="14.25" customHeight="1">
      <c r="A530" s="52"/>
      <c r="B530" s="52"/>
      <c r="C530" s="52"/>
      <c r="D530" s="52"/>
      <c r="E530" s="53"/>
      <c r="F530" s="53"/>
      <c r="G530" s="53"/>
      <c r="H530" s="53"/>
      <c r="I530" s="53"/>
      <c r="J530" s="1"/>
    </row>
    <row r="531" ht="14.25" customHeight="1">
      <c r="A531" s="52"/>
      <c r="B531" s="52"/>
      <c r="C531" s="52"/>
      <c r="D531" s="52"/>
      <c r="E531" s="53"/>
      <c r="F531" s="53"/>
      <c r="G531" s="53"/>
      <c r="H531" s="53"/>
      <c r="I531" s="53"/>
      <c r="J531" s="1"/>
    </row>
    <row r="532" ht="14.25" customHeight="1">
      <c r="A532" s="52"/>
      <c r="B532" s="52"/>
      <c r="C532" s="52"/>
      <c r="D532" s="52"/>
      <c r="E532" s="53"/>
      <c r="F532" s="53"/>
      <c r="G532" s="53"/>
      <c r="H532" s="53"/>
      <c r="I532" s="53"/>
      <c r="J532" s="1"/>
    </row>
    <row r="533" ht="14.25" customHeight="1">
      <c r="A533" s="52"/>
      <c r="B533" s="52"/>
      <c r="C533" s="52"/>
      <c r="D533" s="52"/>
      <c r="E533" s="53"/>
      <c r="F533" s="53"/>
      <c r="G533" s="53"/>
      <c r="H533" s="53"/>
      <c r="I533" s="53"/>
      <c r="J533" s="1"/>
    </row>
    <row r="534" ht="14.25" customHeight="1">
      <c r="A534" s="52"/>
      <c r="B534" s="52"/>
      <c r="C534" s="52"/>
      <c r="D534" s="52"/>
      <c r="E534" s="53"/>
      <c r="F534" s="53"/>
      <c r="G534" s="53"/>
      <c r="H534" s="53"/>
      <c r="I534" s="53"/>
      <c r="J534" s="1"/>
    </row>
    <row r="535" ht="14.25" customHeight="1">
      <c r="A535" s="52"/>
      <c r="B535" s="52"/>
      <c r="C535" s="52"/>
      <c r="D535" s="52"/>
      <c r="E535" s="53"/>
      <c r="F535" s="53"/>
      <c r="G535" s="53"/>
      <c r="H535" s="53"/>
      <c r="I535" s="53"/>
      <c r="J535" s="1"/>
    </row>
    <row r="536" ht="14.25" customHeight="1">
      <c r="A536" s="52"/>
      <c r="B536" s="52"/>
      <c r="C536" s="52"/>
      <c r="D536" s="52"/>
      <c r="E536" s="53"/>
      <c r="F536" s="53"/>
      <c r="G536" s="53"/>
      <c r="H536" s="53"/>
      <c r="I536" s="53"/>
      <c r="J536" s="1"/>
    </row>
    <row r="537" ht="14.25" customHeight="1">
      <c r="A537" s="52"/>
      <c r="B537" s="52"/>
      <c r="C537" s="52"/>
      <c r="D537" s="52"/>
      <c r="E537" s="53"/>
      <c r="F537" s="53"/>
      <c r="G537" s="53"/>
      <c r="H537" s="53"/>
      <c r="I537" s="53"/>
      <c r="J537" s="1"/>
    </row>
    <row r="538" ht="14.25" customHeight="1">
      <c r="A538" s="52"/>
      <c r="B538" s="52"/>
      <c r="C538" s="52"/>
      <c r="D538" s="52"/>
      <c r="E538" s="53"/>
      <c r="F538" s="53"/>
      <c r="G538" s="53"/>
      <c r="H538" s="53"/>
      <c r="I538" s="53"/>
      <c r="J538" s="1"/>
    </row>
    <row r="539" ht="14.25" customHeight="1">
      <c r="A539" s="52"/>
      <c r="B539" s="52"/>
      <c r="C539" s="52"/>
      <c r="D539" s="52"/>
      <c r="E539" s="53"/>
      <c r="F539" s="53"/>
      <c r="G539" s="53"/>
      <c r="H539" s="53"/>
      <c r="I539" s="53"/>
      <c r="J539" s="1"/>
    </row>
    <row r="540" ht="14.25" customHeight="1">
      <c r="A540" s="52"/>
      <c r="B540" s="52"/>
      <c r="C540" s="52"/>
      <c r="D540" s="52"/>
      <c r="E540" s="53"/>
      <c r="F540" s="53"/>
      <c r="G540" s="53"/>
      <c r="H540" s="53"/>
      <c r="I540" s="53"/>
      <c r="J540" s="1"/>
    </row>
    <row r="541" ht="14.25" customHeight="1">
      <c r="A541" s="52"/>
      <c r="B541" s="52"/>
      <c r="C541" s="52"/>
      <c r="D541" s="52"/>
      <c r="E541" s="53"/>
      <c r="F541" s="53"/>
      <c r="G541" s="53"/>
      <c r="H541" s="53"/>
      <c r="I541" s="53"/>
      <c r="J541" s="1"/>
    </row>
    <row r="542" ht="14.25" customHeight="1">
      <c r="A542" s="52"/>
      <c r="B542" s="52"/>
      <c r="C542" s="52"/>
      <c r="D542" s="52"/>
      <c r="E542" s="53"/>
      <c r="F542" s="53"/>
      <c r="G542" s="53"/>
      <c r="H542" s="53"/>
      <c r="I542" s="53"/>
      <c r="J542" s="1"/>
    </row>
    <row r="543" ht="14.25" customHeight="1">
      <c r="A543" s="52"/>
      <c r="B543" s="52"/>
      <c r="C543" s="52"/>
      <c r="D543" s="52"/>
      <c r="E543" s="53"/>
      <c r="F543" s="53"/>
      <c r="G543" s="53"/>
      <c r="H543" s="53"/>
      <c r="I543" s="53"/>
      <c r="J543" s="1"/>
    </row>
    <row r="544" ht="14.25" customHeight="1">
      <c r="A544" s="52"/>
      <c r="B544" s="52"/>
      <c r="C544" s="52"/>
      <c r="D544" s="52"/>
      <c r="E544" s="53"/>
      <c r="F544" s="53"/>
      <c r="G544" s="53"/>
      <c r="H544" s="53"/>
      <c r="I544" s="53"/>
      <c r="J544" s="1"/>
    </row>
    <row r="545" ht="14.25" customHeight="1">
      <c r="A545" s="52"/>
      <c r="B545" s="52"/>
      <c r="C545" s="52"/>
      <c r="D545" s="52"/>
      <c r="E545" s="53"/>
      <c r="F545" s="53"/>
      <c r="G545" s="53"/>
      <c r="H545" s="53"/>
      <c r="I545" s="53"/>
      <c r="J545" s="1"/>
    </row>
    <row r="546" ht="14.25" customHeight="1">
      <c r="A546" s="52"/>
      <c r="B546" s="52"/>
      <c r="C546" s="52"/>
      <c r="D546" s="52"/>
      <c r="E546" s="53"/>
      <c r="F546" s="53"/>
      <c r="G546" s="53"/>
      <c r="H546" s="53"/>
      <c r="I546" s="53"/>
      <c r="J546" s="1"/>
    </row>
    <row r="547" ht="14.25" customHeight="1">
      <c r="A547" s="52"/>
      <c r="B547" s="52"/>
      <c r="C547" s="52"/>
      <c r="D547" s="52"/>
      <c r="E547" s="53"/>
      <c r="F547" s="53"/>
      <c r="G547" s="53"/>
      <c r="H547" s="53"/>
      <c r="I547" s="53"/>
      <c r="J547" s="1"/>
    </row>
    <row r="548" ht="14.25" customHeight="1">
      <c r="A548" s="52"/>
      <c r="B548" s="52"/>
      <c r="C548" s="52"/>
      <c r="D548" s="52"/>
      <c r="E548" s="53"/>
      <c r="F548" s="53"/>
      <c r="G548" s="53"/>
      <c r="H548" s="53"/>
      <c r="I548" s="53"/>
      <c r="J548" s="1"/>
    </row>
    <row r="549" ht="14.25" customHeight="1">
      <c r="A549" s="52"/>
      <c r="B549" s="52"/>
      <c r="C549" s="52"/>
      <c r="D549" s="52"/>
      <c r="E549" s="53"/>
      <c r="F549" s="53"/>
      <c r="G549" s="53"/>
      <c r="H549" s="53"/>
      <c r="I549" s="53"/>
      <c r="J549" s="1"/>
    </row>
    <row r="550" ht="14.25" customHeight="1">
      <c r="A550" s="52"/>
      <c r="B550" s="52"/>
      <c r="C550" s="52"/>
      <c r="D550" s="52"/>
      <c r="E550" s="53"/>
      <c r="F550" s="53"/>
      <c r="G550" s="53"/>
      <c r="H550" s="53"/>
      <c r="I550" s="53"/>
      <c r="J550" s="1"/>
    </row>
    <row r="551" ht="14.25" customHeight="1">
      <c r="A551" s="52"/>
      <c r="B551" s="52"/>
      <c r="C551" s="52"/>
      <c r="D551" s="52"/>
      <c r="E551" s="53"/>
      <c r="F551" s="53"/>
      <c r="G551" s="53"/>
      <c r="H551" s="53"/>
      <c r="I551" s="53"/>
      <c r="J551" s="1"/>
    </row>
    <row r="552" ht="14.25" customHeight="1">
      <c r="A552" s="52"/>
      <c r="B552" s="52"/>
      <c r="C552" s="52"/>
      <c r="D552" s="52"/>
      <c r="E552" s="53"/>
      <c r="F552" s="53"/>
      <c r="G552" s="53"/>
      <c r="H552" s="53"/>
      <c r="I552" s="53"/>
      <c r="J552" s="1"/>
    </row>
    <row r="553" ht="14.25" customHeight="1">
      <c r="A553" s="52"/>
      <c r="B553" s="52"/>
      <c r="C553" s="52"/>
      <c r="D553" s="52"/>
      <c r="E553" s="53"/>
      <c r="F553" s="53"/>
      <c r="G553" s="53"/>
      <c r="H553" s="53"/>
      <c r="I553" s="53"/>
      <c r="J553" s="1"/>
    </row>
    <row r="554" ht="14.25" customHeight="1">
      <c r="A554" s="52"/>
      <c r="B554" s="52"/>
      <c r="C554" s="52"/>
      <c r="D554" s="52"/>
      <c r="E554" s="53"/>
      <c r="F554" s="53"/>
      <c r="G554" s="53"/>
      <c r="H554" s="53"/>
      <c r="I554" s="53"/>
      <c r="J554" s="1"/>
    </row>
    <row r="555" ht="14.25" customHeight="1">
      <c r="A555" s="52"/>
      <c r="B555" s="52"/>
      <c r="C555" s="52"/>
      <c r="D555" s="52"/>
      <c r="E555" s="53"/>
      <c r="F555" s="53"/>
      <c r="G555" s="53"/>
      <c r="H555" s="53"/>
      <c r="I555" s="53"/>
      <c r="J555" s="1"/>
    </row>
    <row r="556" ht="14.25" customHeight="1">
      <c r="A556" s="52"/>
      <c r="B556" s="52"/>
      <c r="C556" s="52"/>
      <c r="D556" s="52"/>
      <c r="E556" s="53"/>
      <c r="F556" s="53"/>
      <c r="G556" s="53"/>
      <c r="H556" s="53"/>
      <c r="I556" s="53"/>
      <c r="J556" s="1"/>
    </row>
    <row r="557" ht="14.25" customHeight="1">
      <c r="A557" s="52"/>
      <c r="B557" s="52"/>
      <c r="C557" s="52"/>
      <c r="D557" s="52"/>
      <c r="E557" s="53"/>
      <c r="F557" s="53"/>
      <c r="G557" s="53"/>
      <c r="H557" s="53"/>
      <c r="I557" s="53"/>
      <c r="J557" s="1"/>
    </row>
    <row r="558" ht="14.25" customHeight="1">
      <c r="A558" s="52"/>
      <c r="B558" s="52"/>
      <c r="C558" s="52"/>
      <c r="D558" s="52"/>
      <c r="E558" s="53"/>
      <c r="F558" s="53"/>
      <c r="G558" s="53"/>
      <c r="H558" s="53"/>
      <c r="I558" s="53"/>
      <c r="J558" s="1"/>
    </row>
    <row r="559" ht="14.25" customHeight="1">
      <c r="A559" s="52"/>
      <c r="B559" s="52"/>
      <c r="C559" s="52"/>
      <c r="D559" s="52"/>
      <c r="E559" s="53"/>
      <c r="F559" s="53"/>
      <c r="G559" s="53"/>
      <c r="H559" s="53"/>
      <c r="I559" s="53"/>
      <c r="J559" s="1"/>
    </row>
    <row r="560" ht="14.25" customHeight="1">
      <c r="A560" s="52"/>
      <c r="B560" s="52"/>
      <c r="C560" s="52"/>
      <c r="D560" s="52"/>
      <c r="E560" s="53"/>
      <c r="F560" s="53"/>
      <c r="G560" s="53"/>
      <c r="H560" s="53"/>
      <c r="I560" s="53"/>
      <c r="J560" s="1"/>
    </row>
    <row r="561" ht="14.25" customHeight="1">
      <c r="A561" s="52"/>
      <c r="B561" s="52"/>
      <c r="C561" s="52"/>
      <c r="D561" s="52"/>
      <c r="E561" s="53"/>
      <c r="F561" s="53"/>
      <c r="G561" s="53"/>
      <c r="H561" s="53"/>
      <c r="I561" s="53"/>
      <c r="J561" s="1"/>
    </row>
    <row r="562" ht="14.25" customHeight="1">
      <c r="A562" s="52"/>
      <c r="B562" s="52"/>
      <c r="C562" s="52"/>
      <c r="D562" s="52"/>
      <c r="E562" s="53"/>
      <c r="F562" s="53"/>
      <c r="G562" s="53"/>
      <c r="H562" s="53"/>
      <c r="I562" s="53"/>
      <c r="J562" s="1"/>
    </row>
    <row r="563" ht="14.25" customHeight="1">
      <c r="A563" s="52"/>
      <c r="B563" s="52"/>
      <c r="C563" s="52"/>
      <c r="D563" s="52"/>
      <c r="E563" s="53"/>
      <c r="F563" s="53"/>
      <c r="G563" s="53"/>
      <c r="H563" s="53"/>
      <c r="I563" s="53"/>
      <c r="J563" s="1"/>
    </row>
    <row r="564" ht="14.25" customHeight="1">
      <c r="A564" s="52"/>
      <c r="B564" s="52"/>
      <c r="C564" s="52"/>
      <c r="D564" s="52"/>
      <c r="E564" s="53"/>
      <c r="F564" s="53"/>
      <c r="G564" s="53"/>
      <c r="H564" s="53"/>
      <c r="I564" s="53"/>
      <c r="J564" s="1"/>
    </row>
    <row r="565" ht="14.25" customHeight="1">
      <c r="A565" s="52"/>
      <c r="B565" s="52"/>
      <c r="C565" s="52"/>
      <c r="D565" s="52"/>
      <c r="E565" s="53"/>
      <c r="F565" s="53"/>
      <c r="G565" s="53"/>
      <c r="H565" s="53"/>
      <c r="I565" s="53"/>
      <c r="J565" s="1"/>
    </row>
    <row r="566" ht="14.25" customHeight="1">
      <c r="A566" s="52"/>
      <c r="B566" s="52"/>
      <c r="C566" s="52"/>
      <c r="D566" s="52"/>
      <c r="E566" s="53"/>
      <c r="F566" s="53"/>
      <c r="G566" s="53"/>
      <c r="H566" s="53"/>
      <c r="I566" s="53"/>
      <c r="J566" s="1"/>
    </row>
    <row r="567" ht="14.25" customHeight="1">
      <c r="A567" s="52"/>
      <c r="B567" s="52"/>
      <c r="C567" s="52"/>
      <c r="D567" s="52"/>
      <c r="E567" s="53"/>
      <c r="F567" s="53"/>
      <c r="G567" s="53"/>
      <c r="H567" s="53"/>
      <c r="I567" s="53"/>
      <c r="J567" s="1"/>
    </row>
    <row r="568" ht="14.25" customHeight="1">
      <c r="A568" s="52"/>
      <c r="B568" s="52"/>
      <c r="C568" s="52"/>
      <c r="D568" s="52"/>
      <c r="E568" s="53"/>
      <c r="F568" s="53"/>
      <c r="G568" s="53"/>
      <c r="H568" s="53"/>
      <c r="I568" s="53"/>
      <c r="J568" s="1"/>
    </row>
    <row r="569" ht="14.25" customHeight="1">
      <c r="A569" s="52"/>
      <c r="B569" s="52"/>
      <c r="C569" s="52"/>
      <c r="D569" s="52"/>
      <c r="E569" s="53"/>
      <c r="F569" s="53"/>
      <c r="G569" s="53"/>
      <c r="H569" s="53"/>
      <c r="I569" s="53"/>
      <c r="J569" s="1"/>
    </row>
    <row r="570" ht="14.25" customHeight="1">
      <c r="A570" s="52"/>
      <c r="B570" s="52"/>
      <c r="C570" s="52"/>
      <c r="D570" s="52"/>
      <c r="E570" s="53"/>
      <c r="F570" s="53"/>
      <c r="G570" s="53"/>
      <c r="H570" s="53"/>
      <c r="I570" s="53"/>
      <c r="J570" s="1"/>
    </row>
    <row r="571" ht="14.25" customHeight="1">
      <c r="A571" s="52"/>
      <c r="B571" s="52"/>
      <c r="C571" s="52"/>
      <c r="D571" s="52"/>
      <c r="E571" s="53"/>
      <c r="F571" s="53"/>
      <c r="G571" s="53"/>
      <c r="H571" s="53"/>
      <c r="I571" s="53"/>
      <c r="J571" s="1"/>
    </row>
    <row r="572" ht="14.25" customHeight="1">
      <c r="A572" s="52"/>
      <c r="B572" s="52"/>
      <c r="C572" s="52"/>
      <c r="D572" s="52"/>
      <c r="E572" s="53"/>
      <c r="F572" s="53"/>
      <c r="G572" s="53"/>
      <c r="H572" s="53"/>
      <c r="I572" s="53"/>
      <c r="J572" s="1"/>
    </row>
    <row r="573" ht="14.25" customHeight="1">
      <c r="A573" s="52"/>
      <c r="B573" s="52"/>
      <c r="C573" s="52"/>
      <c r="D573" s="52"/>
      <c r="E573" s="53"/>
      <c r="F573" s="53"/>
      <c r="G573" s="53"/>
      <c r="H573" s="53"/>
      <c r="I573" s="53"/>
      <c r="J573" s="1"/>
    </row>
    <row r="574" ht="14.25" customHeight="1">
      <c r="A574" s="52"/>
      <c r="B574" s="52"/>
      <c r="C574" s="52"/>
      <c r="D574" s="52"/>
      <c r="E574" s="53"/>
      <c r="F574" s="53"/>
      <c r="G574" s="53"/>
      <c r="H574" s="53"/>
      <c r="I574" s="53"/>
      <c r="J574" s="1"/>
    </row>
    <row r="575" ht="14.25" customHeight="1">
      <c r="A575" s="52"/>
      <c r="B575" s="52"/>
      <c r="C575" s="52"/>
      <c r="D575" s="52"/>
      <c r="E575" s="53"/>
      <c r="F575" s="53"/>
      <c r="G575" s="53"/>
      <c r="H575" s="53"/>
      <c r="I575" s="53"/>
      <c r="J575" s="1"/>
    </row>
    <row r="576" ht="14.25" customHeight="1">
      <c r="A576" s="52"/>
      <c r="B576" s="52"/>
      <c r="C576" s="52"/>
      <c r="D576" s="52"/>
      <c r="E576" s="53"/>
      <c r="F576" s="53"/>
      <c r="G576" s="53"/>
      <c r="H576" s="53"/>
      <c r="I576" s="53"/>
      <c r="J576" s="1"/>
    </row>
    <row r="577" ht="14.25" customHeight="1">
      <c r="A577" s="52"/>
      <c r="B577" s="52"/>
      <c r="C577" s="52"/>
      <c r="D577" s="52"/>
      <c r="E577" s="53"/>
      <c r="F577" s="53"/>
      <c r="G577" s="53"/>
      <c r="H577" s="53"/>
      <c r="I577" s="53"/>
      <c r="J577" s="1"/>
    </row>
    <row r="578" ht="14.25" customHeight="1">
      <c r="A578" s="52"/>
      <c r="B578" s="52"/>
      <c r="C578" s="52"/>
      <c r="D578" s="52"/>
      <c r="E578" s="53"/>
      <c r="F578" s="53"/>
      <c r="G578" s="53"/>
      <c r="H578" s="53"/>
      <c r="I578" s="53"/>
      <c r="J578" s="1"/>
    </row>
    <row r="579" ht="14.25" customHeight="1">
      <c r="A579" s="52"/>
      <c r="B579" s="52"/>
      <c r="C579" s="52"/>
      <c r="D579" s="52"/>
      <c r="E579" s="53"/>
      <c r="F579" s="53"/>
      <c r="G579" s="53"/>
      <c r="H579" s="53"/>
      <c r="I579" s="53"/>
      <c r="J579" s="1"/>
    </row>
    <row r="580" ht="14.25" customHeight="1">
      <c r="A580" s="52"/>
      <c r="B580" s="52"/>
      <c r="C580" s="52"/>
      <c r="D580" s="52"/>
      <c r="E580" s="53"/>
      <c r="F580" s="53"/>
      <c r="G580" s="53"/>
      <c r="H580" s="53"/>
      <c r="I580" s="53"/>
      <c r="J580" s="1"/>
    </row>
    <row r="581" ht="14.25" customHeight="1">
      <c r="A581" s="52"/>
      <c r="B581" s="52"/>
      <c r="C581" s="52"/>
      <c r="D581" s="52"/>
      <c r="E581" s="53"/>
      <c r="F581" s="53"/>
      <c r="G581" s="53"/>
      <c r="H581" s="53"/>
      <c r="I581" s="53"/>
      <c r="J581" s="1"/>
    </row>
    <row r="582" ht="14.25" customHeight="1">
      <c r="A582" s="52"/>
      <c r="B582" s="52"/>
      <c r="C582" s="52"/>
      <c r="D582" s="52"/>
      <c r="E582" s="53"/>
      <c r="F582" s="53"/>
      <c r="G582" s="53"/>
      <c r="H582" s="53"/>
      <c r="I582" s="53"/>
      <c r="J582" s="1"/>
    </row>
    <row r="583" ht="14.25" customHeight="1">
      <c r="A583" s="52"/>
      <c r="B583" s="52"/>
      <c r="C583" s="52"/>
      <c r="D583" s="52"/>
      <c r="E583" s="53"/>
      <c r="F583" s="53"/>
      <c r="G583" s="53"/>
      <c r="H583" s="53"/>
      <c r="I583" s="53"/>
      <c r="J583" s="1"/>
    </row>
    <row r="584" ht="14.25" customHeight="1">
      <c r="A584" s="52"/>
      <c r="B584" s="52"/>
      <c r="C584" s="52"/>
      <c r="D584" s="52"/>
      <c r="E584" s="53"/>
      <c r="F584" s="53"/>
      <c r="G584" s="53"/>
      <c r="H584" s="53"/>
      <c r="I584" s="53"/>
      <c r="J584" s="1"/>
    </row>
    <row r="585" ht="14.25" customHeight="1">
      <c r="A585" s="52"/>
      <c r="B585" s="52"/>
      <c r="C585" s="52"/>
      <c r="D585" s="52"/>
      <c r="E585" s="53"/>
      <c r="F585" s="53"/>
      <c r="G585" s="53"/>
      <c r="H585" s="53"/>
      <c r="I585" s="53"/>
      <c r="J585" s="1"/>
    </row>
    <row r="586" ht="14.25" customHeight="1">
      <c r="A586" s="52"/>
      <c r="B586" s="52"/>
      <c r="C586" s="52"/>
      <c r="D586" s="52"/>
      <c r="E586" s="53"/>
      <c r="F586" s="53"/>
      <c r="G586" s="53"/>
      <c r="H586" s="53"/>
      <c r="I586" s="53"/>
      <c r="J586" s="1"/>
    </row>
    <row r="587" ht="14.25" customHeight="1">
      <c r="A587" s="52"/>
      <c r="B587" s="52"/>
      <c r="C587" s="52"/>
      <c r="D587" s="52"/>
      <c r="E587" s="53"/>
      <c r="F587" s="53"/>
      <c r="G587" s="53"/>
      <c r="H587" s="53"/>
      <c r="I587" s="53"/>
      <c r="J587" s="1"/>
    </row>
    <row r="588" ht="14.25" customHeight="1">
      <c r="A588" s="52"/>
      <c r="B588" s="52"/>
      <c r="C588" s="52"/>
      <c r="D588" s="52"/>
      <c r="E588" s="53"/>
      <c r="F588" s="53"/>
      <c r="G588" s="53"/>
      <c r="H588" s="53"/>
      <c r="I588" s="53"/>
      <c r="J588" s="1"/>
    </row>
    <row r="589" ht="14.25" customHeight="1">
      <c r="A589" s="52"/>
      <c r="B589" s="52"/>
      <c r="C589" s="52"/>
      <c r="D589" s="52"/>
      <c r="E589" s="53"/>
      <c r="F589" s="53"/>
      <c r="G589" s="53"/>
      <c r="H589" s="53"/>
      <c r="I589" s="53"/>
      <c r="J589" s="1"/>
    </row>
    <row r="590" ht="14.25" customHeight="1">
      <c r="A590" s="52"/>
      <c r="B590" s="52"/>
      <c r="C590" s="52"/>
      <c r="D590" s="52"/>
      <c r="E590" s="53"/>
      <c r="F590" s="53"/>
      <c r="G590" s="53"/>
      <c r="H590" s="53"/>
      <c r="I590" s="53"/>
      <c r="J590" s="1"/>
    </row>
    <row r="591" ht="14.25" customHeight="1">
      <c r="A591" s="52"/>
      <c r="B591" s="52"/>
      <c r="C591" s="52"/>
      <c r="D591" s="52"/>
      <c r="E591" s="53"/>
      <c r="F591" s="53"/>
      <c r="G591" s="53"/>
      <c r="H591" s="53"/>
      <c r="I591" s="53"/>
      <c r="J591" s="1"/>
    </row>
    <row r="592" ht="14.25" customHeight="1">
      <c r="A592" s="52"/>
      <c r="B592" s="52"/>
      <c r="C592" s="52"/>
      <c r="D592" s="52"/>
      <c r="E592" s="53"/>
      <c r="F592" s="53"/>
      <c r="G592" s="53"/>
      <c r="H592" s="53"/>
      <c r="I592" s="53"/>
      <c r="J592" s="1"/>
    </row>
    <row r="593" ht="14.25" customHeight="1">
      <c r="A593" s="52"/>
      <c r="B593" s="52"/>
      <c r="C593" s="52"/>
      <c r="D593" s="52"/>
      <c r="E593" s="53"/>
      <c r="F593" s="53"/>
      <c r="G593" s="53"/>
      <c r="H593" s="53"/>
      <c r="I593" s="53"/>
      <c r="J593" s="1"/>
    </row>
    <row r="594" ht="14.25" customHeight="1">
      <c r="A594" s="52"/>
      <c r="B594" s="52"/>
      <c r="C594" s="52"/>
      <c r="D594" s="52"/>
      <c r="E594" s="53"/>
      <c r="F594" s="53"/>
      <c r="G594" s="53"/>
      <c r="H594" s="53"/>
      <c r="I594" s="53"/>
      <c r="J594" s="1"/>
    </row>
    <row r="595" ht="14.25" customHeight="1">
      <c r="A595" s="52"/>
      <c r="B595" s="52"/>
      <c r="C595" s="52"/>
      <c r="D595" s="52"/>
      <c r="E595" s="53"/>
      <c r="F595" s="53"/>
      <c r="G595" s="53"/>
      <c r="H595" s="53"/>
      <c r="I595" s="53"/>
      <c r="J595" s="1"/>
    </row>
    <row r="596" ht="14.25" customHeight="1">
      <c r="A596" s="52"/>
      <c r="B596" s="52"/>
      <c r="C596" s="52"/>
      <c r="D596" s="52"/>
      <c r="E596" s="53"/>
      <c r="F596" s="53"/>
      <c r="G596" s="53"/>
      <c r="H596" s="53"/>
      <c r="I596" s="53"/>
      <c r="J596" s="1"/>
    </row>
    <row r="597" ht="14.25" customHeight="1">
      <c r="A597" s="52"/>
      <c r="B597" s="52"/>
      <c r="C597" s="52"/>
      <c r="D597" s="52"/>
      <c r="E597" s="53"/>
      <c r="F597" s="53"/>
      <c r="G597" s="53"/>
      <c r="H597" s="53"/>
      <c r="I597" s="53"/>
      <c r="J597" s="1"/>
    </row>
    <row r="598" ht="14.25" customHeight="1">
      <c r="A598" s="52"/>
      <c r="B598" s="52"/>
      <c r="C598" s="52"/>
      <c r="D598" s="52"/>
      <c r="E598" s="53"/>
      <c r="F598" s="53"/>
      <c r="G598" s="53"/>
      <c r="H598" s="53"/>
      <c r="I598" s="53"/>
      <c r="J598" s="1"/>
    </row>
    <row r="599" ht="14.25" customHeight="1">
      <c r="A599" s="52"/>
      <c r="B599" s="52"/>
      <c r="C599" s="52"/>
      <c r="D599" s="52"/>
      <c r="E599" s="53"/>
      <c r="F599" s="53"/>
      <c r="G599" s="53"/>
      <c r="H599" s="53"/>
      <c r="I599" s="53"/>
      <c r="J599" s="1"/>
    </row>
    <row r="600" ht="14.25" customHeight="1">
      <c r="A600" s="52"/>
      <c r="B600" s="52"/>
      <c r="C600" s="52"/>
      <c r="D600" s="52"/>
      <c r="E600" s="53"/>
      <c r="F600" s="53"/>
      <c r="G600" s="53"/>
      <c r="H600" s="53"/>
      <c r="I600" s="53"/>
      <c r="J600" s="1"/>
    </row>
    <row r="601" ht="14.25" customHeight="1">
      <c r="A601" s="52"/>
      <c r="B601" s="52"/>
      <c r="C601" s="52"/>
      <c r="D601" s="52"/>
      <c r="E601" s="53"/>
      <c r="F601" s="53"/>
      <c r="G601" s="53"/>
      <c r="H601" s="53"/>
      <c r="I601" s="53"/>
      <c r="J601" s="1"/>
    </row>
    <row r="602" ht="14.25" customHeight="1">
      <c r="A602" s="52"/>
      <c r="B602" s="52"/>
      <c r="C602" s="52"/>
      <c r="D602" s="52"/>
      <c r="E602" s="53"/>
      <c r="F602" s="53"/>
      <c r="G602" s="53"/>
      <c r="H602" s="53"/>
      <c r="I602" s="53"/>
      <c r="J602" s="1"/>
    </row>
    <row r="603" ht="14.25" customHeight="1">
      <c r="A603" s="52"/>
      <c r="B603" s="52"/>
      <c r="C603" s="52"/>
      <c r="D603" s="52"/>
      <c r="E603" s="53"/>
      <c r="F603" s="53"/>
      <c r="G603" s="53"/>
      <c r="H603" s="53"/>
      <c r="I603" s="53"/>
      <c r="J603" s="1"/>
    </row>
    <row r="604" ht="14.25" customHeight="1">
      <c r="A604" s="52"/>
      <c r="B604" s="52"/>
      <c r="C604" s="52"/>
      <c r="D604" s="52"/>
      <c r="E604" s="53"/>
      <c r="F604" s="53"/>
      <c r="G604" s="53"/>
      <c r="H604" s="53"/>
      <c r="I604" s="53"/>
      <c r="J604" s="1"/>
    </row>
    <row r="605" ht="14.25" customHeight="1">
      <c r="A605" s="52"/>
      <c r="B605" s="52"/>
      <c r="C605" s="52"/>
      <c r="D605" s="52"/>
      <c r="E605" s="53"/>
      <c r="F605" s="53"/>
      <c r="G605" s="53"/>
      <c r="H605" s="53"/>
      <c r="I605" s="53"/>
      <c r="J605" s="1"/>
    </row>
    <row r="606" ht="14.25" customHeight="1">
      <c r="A606" s="52"/>
      <c r="B606" s="52"/>
      <c r="C606" s="52"/>
      <c r="D606" s="52"/>
      <c r="E606" s="53"/>
      <c r="F606" s="53"/>
      <c r="G606" s="53"/>
      <c r="H606" s="53"/>
      <c r="I606" s="53"/>
      <c r="J606" s="1"/>
    </row>
    <row r="607" ht="14.25" customHeight="1">
      <c r="A607" s="52"/>
      <c r="B607" s="52"/>
      <c r="C607" s="52"/>
      <c r="D607" s="52"/>
      <c r="E607" s="53"/>
      <c r="F607" s="53"/>
      <c r="G607" s="53"/>
      <c r="H607" s="53"/>
      <c r="I607" s="53"/>
      <c r="J607" s="1"/>
    </row>
    <row r="608" ht="14.25" customHeight="1">
      <c r="A608" s="52"/>
      <c r="B608" s="52"/>
      <c r="C608" s="52"/>
      <c r="D608" s="52"/>
      <c r="E608" s="53"/>
      <c r="F608" s="53"/>
      <c r="G608" s="53"/>
      <c r="H608" s="53"/>
      <c r="I608" s="53"/>
      <c r="J608" s="1"/>
    </row>
    <row r="609" ht="14.25" customHeight="1">
      <c r="A609" s="52"/>
      <c r="B609" s="52"/>
      <c r="C609" s="52"/>
      <c r="D609" s="52"/>
      <c r="E609" s="53"/>
      <c r="F609" s="53"/>
      <c r="G609" s="53"/>
      <c r="H609" s="53"/>
      <c r="I609" s="53"/>
      <c r="J609" s="1"/>
    </row>
    <row r="610" ht="14.25" customHeight="1">
      <c r="A610" s="52"/>
      <c r="B610" s="52"/>
      <c r="C610" s="52"/>
      <c r="D610" s="52"/>
      <c r="E610" s="53"/>
      <c r="F610" s="53"/>
      <c r="G610" s="53"/>
      <c r="H610" s="53"/>
      <c r="I610" s="53"/>
      <c r="J610" s="1"/>
    </row>
    <row r="611" ht="14.25" customHeight="1">
      <c r="A611" s="52"/>
      <c r="B611" s="52"/>
      <c r="C611" s="52"/>
      <c r="D611" s="52"/>
      <c r="E611" s="53"/>
      <c r="F611" s="53"/>
      <c r="G611" s="53"/>
      <c r="H611" s="53"/>
      <c r="I611" s="53"/>
      <c r="J611" s="1"/>
    </row>
    <row r="612" ht="14.25" customHeight="1">
      <c r="A612" s="52"/>
      <c r="B612" s="52"/>
      <c r="C612" s="52"/>
      <c r="D612" s="52"/>
      <c r="E612" s="53"/>
      <c r="F612" s="53"/>
      <c r="G612" s="53"/>
      <c r="H612" s="53"/>
      <c r="I612" s="53"/>
      <c r="J612" s="1"/>
    </row>
    <row r="613" ht="14.25" customHeight="1">
      <c r="A613" s="52"/>
      <c r="B613" s="52"/>
      <c r="C613" s="52"/>
      <c r="D613" s="52"/>
      <c r="E613" s="53"/>
      <c r="F613" s="53"/>
      <c r="G613" s="53"/>
      <c r="H613" s="53"/>
      <c r="I613" s="53"/>
      <c r="J613" s="1"/>
    </row>
    <row r="614" ht="14.25" customHeight="1">
      <c r="A614" s="52"/>
      <c r="B614" s="52"/>
      <c r="C614" s="52"/>
      <c r="D614" s="52"/>
      <c r="E614" s="53"/>
      <c r="F614" s="53"/>
      <c r="G614" s="53"/>
      <c r="H614" s="53"/>
      <c r="I614" s="53"/>
      <c r="J614" s="1"/>
    </row>
    <row r="615" ht="14.25" customHeight="1">
      <c r="A615" s="52"/>
      <c r="B615" s="52"/>
      <c r="C615" s="52"/>
      <c r="D615" s="52"/>
      <c r="E615" s="53"/>
      <c r="F615" s="53"/>
      <c r="G615" s="53"/>
      <c r="H615" s="53"/>
      <c r="I615" s="53"/>
      <c r="J615" s="1"/>
    </row>
    <row r="616" ht="14.25" customHeight="1">
      <c r="A616" s="52"/>
      <c r="B616" s="52"/>
      <c r="C616" s="52"/>
      <c r="D616" s="52"/>
      <c r="E616" s="53"/>
      <c r="F616" s="53"/>
      <c r="G616" s="53"/>
      <c r="H616" s="53"/>
      <c r="I616" s="53"/>
      <c r="J616" s="1"/>
    </row>
    <row r="617" ht="14.25" customHeight="1">
      <c r="A617" s="52"/>
      <c r="B617" s="52"/>
      <c r="C617" s="52"/>
      <c r="D617" s="52"/>
      <c r="E617" s="53"/>
      <c r="F617" s="53"/>
      <c r="G617" s="53"/>
      <c r="H617" s="53"/>
      <c r="I617" s="53"/>
      <c r="J617" s="1"/>
    </row>
    <row r="618" ht="14.25" customHeight="1">
      <c r="A618" s="52"/>
      <c r="B618" s="52"/>
      <c r="C618" s="52"/>
      <c r="D618" s="52"/>
      <c r="E618" s="53"/>
      <c r="F618" s="53"/>
      <c r="G618" s="53"/>
      <c r="H618" s="53"/>
      <c r="I618" s="53"/>
      <c r="J618" s="1"/>
    </row>
    <row r="619" ht="14.25" customHeight="1">
      <c r="A619" s="52"/>
      <c r="B619" s="52"/>
      <c r="C619" s="52"/>
      <c r="D619" s="52"/>
      <c r="E619" s="53"/>
      <c r="F619" s="53"/>
      <c r="G619" s="53"/>
      <c r="H619" s="53"/>
      <c r="I619" s="53"/>
      <c r="J619" s="1"/>
    </row>
    <row r="620" ht="14.25" customHeight="1">
      <c r="A620" s="52"/>
      <c r="B620" s="52"/>
      <c r="C620" s="52"/>
      <c r="D620" s="52"/>
      <c r="E620" s="53"/>
      <c r="F620" s="53"/>
      <c r="G620" s="53"/>
      <c r="H620" s="53"/>
      <c r="I620" s="53"/>
      <c r="J620" s="1"/>
    </row>
    <row r="621" ht="14.25" customHeight="1">
      <c r="A621" s="52"/>
      <c r="B621" s="52"/>
      <c r="C621" s="52"/>
      <c r="D621" s="52"/>
      <c r="E621" s="53"/>
      <c r="F621" s="53"/>
      <c r="G621" s="53"/>
      <c r="H621" s="53"/>
      <c r="I621" s="53"/>
      <c r="J621" s="1"/>
    </row>
    <row r="622" ht="14.25" customHeight="1">
      <c r="A622" s="52"/>
      <c r="B622" s="52"/>
      <c r="C622" s="52"/>
      <c r="D622" s="52"/>
      <c r="E622" s="53"/>
      <c r="F622" s="53"/>
      <c r="G622" s="53"/>
      <c r="H622" s="53"/>
      <c r="I622" s="53"/>
      <c r="J622" s="1"/>
    </row>
    <row r="623" ht="14.25" customHeight="1">
      <c r="A623" s="52"/>
      <c r="B623" s="52"/>
      <c r="C623" s="52"/>
      <c r="D623" s="52"/>
      <c r="E623" s="53"/>
      <c r="F623" s="53"/>
      <c r="G623" s="53"/>
      <c r="H623" s="53"/>
      <c r="I623" s="53"/>
      <c r="J623" s="1"/>
    </row>
    <row r="624" ht="14.25" customHeight="1">
      <c r="A624" s="52"/>
      <c r="B624" s="52"/>
      <c r="C624" s="52"/>
      <c r="D624" s="52"/>
      <c r="E624" s="53"/>
      <c r="F624" s="53"/>
      <c r="G624" s="53"/>
      <c r="H624" s="53"/>
      <c r="I624" s="53"/>
      <c r="J624" s="1"/>
    </row>
    <row r="625" ht="14.25" customHeight="1">
      <c r="A625" s="52"/>
      <c r="B625" s="52"/>
      <c r="C625" s="52"/>
      <c r="D625" s="52"/>
      <c r="E625" s="53"/>
      <c r="F625" s="53"/>
      <c r="G625" s="53"/>
      <c r="H625" s="53"/>
      <c r="I625" s="53"/>
      <c r="J625" s="1"/>
    </row>
    <row r="626" ht="14.25" customHeight="1">
      <c r="A626" s="52"/>
      <c r="B626" s="52"/>
      <c r="C626" s="52"/>
      <c r="D626" s="52"/>
      <c r="E626" s="53"/>
      <c r="F626" s="53"/>
      <c r="G626" s="53"/>
      <c r="H626" s="53"/>
      <c r="I626" s="53"/>
      <c r="J626" s="1"/>
    </row>
    <row r="627" ht="14.25" customHeight="1">
      <c r="A627" s="52"/>
      <c r="B627" s="52"/>
      <c r="C627" s="52"/>
      <c r="D627" s="52"/>
      <c r="E627" s="53"/>
      <c r="F627" s="53"/>
      <c r="G627" s="53"/>
      <c r="H627" s="53"/>
      <c r="I627" s="53"/>
      <c r="J627" s="1"/>
    </row>
    <row r="628" ht="14.25" customHeight="1">
      <c r="A628" s="52"/>
      <c r="B628" s="52"/>
      <c r="C628" s="52"/>
      <c r="D628" s="52"/>
      <c r="E628" s="53"/>
      <c r="F628" s="53"/>
      <c r="G628" s="53"/>
      <c r="H628" s="53"/>
      <c r="I628" s="53"/>
      <c r="J628" s="1"/>
    </row>
    <row r="629" ht="14.25" customHeight="1">
      <c r="A629" s="52"/>
      <c r="B629" s="52"/>
      <c r="C629" s="52"/>
      <c r="D629" s="52"/>
      <c r="E629" s="53"/>
      <c r="F629" s="53"/>
      <c r="G629" s="53"/>
      <c r="H629" s="53"/>
      <c r="I629" s="53"/>
      <c r="J629" s="1"/>
    </row>
    <row r="630" ht="14.25" customHeight="1">
      <c r="A630" s="52"/>
      <c r="B630" s="52"/>
      <c r="C630" s="52"/>
      <c r="D630" s="52"/>
      <c r="E630" s="53"/>
      <c r="F630" s="53"/>
      <c r="G630" s="53"/>
      <c r="H630" s="53"/>
      <c r="I630" s="53"/>
      <c r="J630" s="1"/>
    </row>
    <row r="631" ht="14.25" customHeight="1">
      <c r="A631" s="52"/>
      <c r="B631" s="52"/>
      <c r="C631" s="52"/>
      <c r="D631" s="52"/>
      <c r="E631" s="53"/>
      <c r="F631" s="53"/>
      <c r="G631" s="53"/>
      <c r="H631" s="53"/>
      <c r="I631" s="53"/>
      <c r="J631" s="1"/>
    </row>
    <row r="632" ht="14.25" customHeight="1">
      <c r="A632" s="52"/>
      <c r="B632" s="52"/>
      <c r="C632" s="52"/>
      <c r="D632" s="52"/>
      <c r="E632" s="53"/>
      <c r="F632" s="53"/>
      <c r="G632" s="53"/>
      <c r="H632" s="53"/>
      <c r="I632" s="53"/>
      <c r="J632" s="1"/>
    </row>
    <row r="633" ht="14.25" customHeight="1">
      <c r="A633" s="52"/>
      <c r="B633" s="52"/>
      <c r="C633" s="52"/>
      <c r="D633" s="52"/>
      <c r="E633" s="53"/>
      <c r="F633" s="53"/>
      <c r="G633" s="53"/>
      <c r="H633" s="53"/>
      <c r="I633" s="53"/>
      <c r="J633" s="1"/>
    </row>
    <row r="634" ht="14.25" customHeight="1">
      <c r="A634" s="52"/>
      <c r="B634" s="52"/>
      <c r="C634" s="52"/>
      <c r="D634" s="52"/>
      <c r="E634" s="53"/>
      <c r="F634" s="53"/>
      <c r="G634" s="53"/>
      <c r="H634" s="53"/>
      <c r="I634" s="53"/>
      <c r="J634" s="1"/>
    </row>
    <row r="635" ht="14.25" customHeight="1">
      <c r="A635" s="52"/>
      <c r="B635" s="52"/>
      <c r="C635" s="52"/>
      <c r="D635" s="52"/>
      <c r="E635" s="53"/>
      <c r="F635" s="53"/>
      <c r="G635" s="53"/>
      <c r="H635" s="53"/>
      <c r="I635" s="53"/>
      <c r="J635" s="1"/>
    </row>
    <row r="636" ht="14.25" customHeight="1">
      <c r="A636" s="52"/>
      <c r="B636" s="52"/>
      <c r="C636" s="52"/>
      <c r="D636" s="52"/>
      <c r="E636" s="53"/>
      <c r="F636" s="53"/>
      <c r="G636" s="53"/>
      <c r="H636" s="53"/>
      <c r="I636" s="53"/>
      <c r="J636" s="1"/>
    </row>
    <row r="637" ht="14.25" customHeight="1">
      <c r="A637" s="52"/>
      <c r="B637" s="52"/>
      <c r="C637" s="52"/>
      <c r="D637" s="52"/>
      <c r="E637" s="53"/>
      <c r="F637" s="53"/>
      <c r="G637" s="53"/>
      <c r="H637" s="53"/>
      <c r="I637" s="53"/>
      <c r="J637" s="1"/>
    </row>
    <row r="638" ht="14.25" customHeight="1">
      <c r="A638" s="52"/>
      <c r="B638" s="52"/>
      <c r="C638" s="52"/>
      <c r="D638" s="52"/>
      <c r="E638" s="53"/>
      <c r="F638" s="53"/>
      <c r="G638" s="53"/>
      <c r="H638" s="53"/>
      <c r="I638" s="53"/>
      <c r="J638" s="1"/>
    </row>
    <row r="639" ht="14.25" customHeight="1">
      <c r="A639" s="52"/>
      <c r="B639" s="52"/>
      <c r="C639" s="52"/>
      <c r="D639" s="52"/>
      <c r="E639" s="53"/>
      <c r="F639" s="53"/>
      <c r="G639" s="53"/>
      <c r="H639" s="53"/>
      <c r="I639" s="53"/>
      <c r="J639" s="1"/>
    </row>
    <row r="640" ht="14.25" customHeight="1">
      <c r="A640" s="52"/>
      <c r="B640" s="52"/>
      <c r="C640" s="52"/>
      <c r="D640" s="52"/>
      <c r="E640" s="53"/>
      <c r="F640" s="53"/>
      <c r="G640" s="53"/>
      <c r="H640" s="53"/>
      <c r="I640" s="53"/>
      <c r="J640" s="1"/>
    </row>
    <row r="641" ht="14.25" customHeight="1">
      <c r="A641" s="52"/>
      <c r="B641" s="52"/>
      <c r="C641" s="52"/>
      <c r="D641" s="52"/>
      <c r="E641" s="53"/>
      <c r="F641" s="53"/>
      <c r="G641" s="53"/>
      <c r="H641" s="53"/>
      <c r="I641" s="53"/>
      <c r="J641" s="1"/>
    </row>
    <row r="642" ht="14.25" customHeight="1">
      <c r="A642" s="52"/>
      <c r="B642" s="52"/>
      <c r="C642" s="52"/>
      <c r="D642" s="52"/>
      <c r="E642" s="53"/>
      <c r="F642" s="53"/>
      <c r="G642" s="53"/>
      <c r="H642" s="53"/>
      <c r="I642" s="53"/>
      <c r="J642" s="1"/>
    </row>
    <row r="643" ht="14.25" customHeight="1">
      <c r="A643" s="52"/>
      <c r="B643" s="52"/>
      <c r="C643" s="52"/>
      <c r="D643" s="52"/>
      <c r="E643" s="53"/>
      <c r="F643" s="53"/>
      <c r="G643" s="53"/>
      <c r="H643" s="53"/>
      <c r="I643" s="53"/>
      <c r="J643" s="1"/>
    </row>
    <row r="644" ht="14.25" customHeight="1">
      <c r="A644" s="52"/>
      <c r="B644" s="52"/>
      <c r="C644" s="52"/>
      <c r="D644" s="52"/>
      <c r="E644" s="53"/>
      <c r="F644" s="53"/>
      <c r="G644" s="53"/>
      <c r="H644" s="53"/>
      <c r="I644" s="53"/>
      <c r="J644" s="1"/>
    </row>
    <row r="645" ht="14.25" customHeight="1">
      <c r="A645" s="52"/>
      <c r="B645" s="52"/>
      <c r="C645" s="52"/>
      <c r="D645" s="52"/>
      <c r="E645" s="53"/>
      <c r="F645" s="53"/>
      <c r="G645" s="53"/>
      <c r="H645" s="53"/>
      <c r="I645" s="53"/>
      <c r="J645" s="1"/>
    </row>
    <row r="646" ht="14.25" customHeight="1">
      <c r="A646" s="52"/>
      <c r="B646" s="52"/>
      <c r="C646" s="52"/>
      <c r="D646" s="52"/>
      <c r="E646" s="53"/>
      <c r="F646" s="53"/>
      <c r="G646" s="53"/>
      <c r="H646" s="53"/>
      <c r="I646" s="53"/>
      <c r="J646" s="1"/>
    </row>
    <row r="647" ht="14.25" customHeight="1">
      <c r="A647" s="52"/>
      <c r="B647" s="52"/>
      <c r="C647" s="52"/>
      <c r="D647" s="52"/>
      <c r="E647" s="53"/>
      <c r="F647" s="53"/>
      <c r="G647" s="53"/>
      <c r="H647" s="53"/>
      <c r="I647" s="53"/>
      <c r="J647" s="1"/>
    </row>
    <row r="648" ht="14.25" customHeight="1">
      <c r="A648" s="52"/>
      <c r="B648" s="52"/>
      <c r="C648" s="52"/>
      <c r="D648" s="52"/>
      <c r="E648" s="53"/>
      <c r="F648" s="53"/>
      <c r="G648" s="53"/>
      <c r="H648" s="53"/>
      <c r="I648" s="53"/>
      <c r="J648" s="1"/>
    </row>
    <row r="649" ht="14.25" customHeight="1">
      <c r="A649" s="52"/>
      <c r="B649" s="52"/>
      <c r="C649" s="52"/>
      <c r="D649" s="52"/>
      <c r="E649" s="53"/>
      <c r="F649" s="53"/>
      <c r="G649" s="53"/>
      <c r="H649" s="53"/>
      <c r="I649" s="53"/>
      <c r="J649" s="1"/>
    </row>
    <row r="650" ht="14.25" customHeight="1">
      <c r="A650" s="52"/>
      <c r="B650" s="52"/>
      <c r="C650" s="52"/>
      <c r="D650" s="52"/>
      <c r="E650" s="53"/>
      <c r="F650" s="53"/>
      <c r="G650" s="53"/>
      <c r="H650" s="53"/>
      <c r="I650" s="53"/>
      <c r="J650" s="1"/>
    </row>
    <row r="651" ht="14.25" customHeight="1">
      <c r="A651" s="52"/>
      <c r="B651" s="52"/>
      <c r="C651" s="52"/>
      <c r="D651" s="52"/>
      <c r="E651" s="53"/>
      <c r="F651" s="53"/>
      <c r="G651" s="53"/>
      <c r="H651" s="53"/>
      <c r="I651" s="53"/>
      <c r="J651" s="1"/>
    </row>
    <row r="652" ht="14.25" customHeight="1">
      <c r="A652" s="52"/>
      <c r="B652" s="52"/>
      <c r="C652" s="52"/>
      <c r="D652" s="52"/>
      <c r="E652" s="53"/>
      <c r="F652" s="53"/>
      <c r="G652" s="53"/>
      <c r="H652" s="53"/>
      <c r="I652" s="53"/>
      <c r="J652" s="1"/>
    </row>
    <row r="653" ht="14.25" customHeight="1">
      <c r="A653" s="52"/>
      <c r="B653" s="52"/>
      <c r="C653" s="52"/>
      <c r="D653" s="52"/>
      <c r="E653" s="53"/>
      <c r="F653" s="53"/>
      <c r="G653" s="53"/>
      <c r="H653" s="53"/>
      <c r="I653" s="53"/>
      <c r="J653" s="1"/>
    </row>
    <row r="654" ht="14.25" customHeight="1">
      <c r="A654" s="52"/>
      <c r="B654" s="52"/>
      <c r="C654" s="52"/>
      <c r="D654" s="52"/>
      <c r="E654" s="53"/>
      <c r="F654" s="53"/>
      <c r="G654" s="53"/>
      <c r="H654" s="53"/>
      <c r="I654" s="53"/>
      <c r="J654" s="1"/>
    </row>
    <row r="655" ht="14.25" customHeight="1">
      <c r="A655" s="52"/>
      <c r="B655" s="52"/>
      <c r="C655" s="52"/>
      <c r="D655" s="52"/>
      <c r="E655" s="53"/>
      <c r="F655" s="53"/>
      <c r="G655" s="53"/>
      <c r="H655" s="53"/>
      <c r="I655" s="53"/>
      <c r="J655" s="1"/>
    </row>
    <row r="656" ht="14.25" customHeight="1">
      <c r="A656" s="52"/>
      <c r="B656" s="52"/>
      <c r="C656" s="52"/>
      <c r="D656" s="52"/>
      <c r="E656" s="53"/>
      <c r="F656" s="53"/>
      <c r="G656" s="53"/>
      <c r="H656" s="53"/>
      <c r="I656" s="53"/>
      <c r="J656" s="1"/>
    </row>
    <row r="657" ht="14.25" customHeight="1">
      <c r="A657" s="52"/>
      <c r="B657" s="52"/>
      <c r="C657" s="52"/>
      <c r="D657" s="52"/>
      <c r="E657" s="53"/>
      <c r="F657" s="53"/>
      <c r="G657" s="53"/>
      <c r="H657" s="53"/>
      <c r="I657" s="53"/>
      <c r="J657" s="1"/>
    </row>
    <row r="658" ht="14.25" customHeight="1">
      <c r="A658" s="52"/>
      <c r="B658" s="52"/>
      <c r="C658" s="52"/>
      <c r="D658" s="52"/>
      <c r="E658" s="53"/>
      <c r="F658" s="53"/>
      <c r="G658" s="53"/>
      <c r="H658" s="53"/>
      <c r="I658" s="53"/>
      <c r="J658" s="1"/>
    </row>
    <row r="659" ht="14.25" customHeight="1">
      <c r="A659" s="52"/>
      <c r="B659" s="52"/>
      <c r="C659" s="52"/>
      <c r="D659" s="52"/>
      <c r="E659" s="53"/>
      <c r="F659" s="53"/>
      <c r="G659" s="53"/>
      <c r="H659" s="53"/>
      <c r="I659" s="53"/>
      <c r="J659" s="1"/>
    </row>
    <row r="660" ht="14.25" customHeight="1">
      <c r="A660" s="52"/>
      <c r="B660" s="52"/>
      <c r="C660" s="52"/>
      <c r="D660" s="52"/>
      <c r="E660" s="53"/>
      <c r="F660" s="53"/>
      <c r="G660" s="53"/>
      <c r="H660" s="53"/>
      <c r="I660" s="53"/>
      <c r="J660" s="1"/>
    </row>
    <row r="661" ht="14.25" customHeight="1">
      <c r="A661" s="52"/>
      <c r="B661" s="52"/>
      <c r="C661" s="52"/>
      <c r="D661" s="52"/>
      <c r="E661" s="53"/>
      <c r="F661" s="53"/>
      <c r="G661" s="53"/>
      <c r="H661" s="53"/>
      <c r="I661" s="53"/>
      <c r="J661" s="1"/>
    </row>
    <row r="662" ht="14.25" customHeight="1">
      <c r="A662" s="52"/>
      <c r="B662" s="52"/>
      <c r="C662" s="52"/>
      <c r="D662" s="52"/>
      <c r="E662" s="53"/>
      <c r="F662" s="53"/>
      <c r="G662" s="53"/>
      <c r="H662" s="53"/>
      <c r="I662" s="53"/>
      <c r="J662" s="1"/>
    </row>
    <row r="663" ht="14.25" customHeight="1">
      <c r="A663" s="52"/>
      <c r="B663" s="52"/>
      <c r="C663" s="52"/>
      <c r="D663" s="52"/>
      <c r="E663" s="53"/>
      <c r="F663" s="53"/>
      <c r="G663" s="53"/>
      <c r="H663" s="53"/>
      <c r="I663" s="53"/>
      <c r="J663" s="1"/>
    </row>
    <row r="664" ht="14.25" customHeight="1">
      <c r="A664" s="52"/>
      <c r="B664" s="52"/>
      <c r="C664" s="52"/>
      <c r="D664" s="52"/>
      <c r="E664" s="53"/>
      <c r="F664" s="53"/>
      <c r="G664" s="53"/>
      <c r="H664" s="53"/>
      <c r="I664" s="53"/>
      <c r="J664" s="1"/>
    </row>
    <row r="665" ht="14.25" customHeight="1">
      <c r="A665" s="52"/>
      <c r="B665" s="52"/>
      <c r="C665" s="52"/>
      <c r="D665" s="52"/>
      <c r="E665" s="53"/>
      <c r="F665" s="53"/>
      <c r="G665" s="53"/>
      <c r="H665" s="53"/>
      <c r="I665" s="53"/>
      <c r="J665" s="1"/>
    </row>
    <row r="666" ht="14.25" customHeight="1">
      <c r="A666" s="52"/>
      <c r="B666" s="52"/>
      <c r="C666" s="52"/>
      <c r="D666" s="52"/>
      <c r="E666" s="53"/>
      <c r="F666" s="53"/>
      <c r="G666" s="53"/>
      <c r="H666" s="53"/>
      <c r="I666" s="53"/>
      <c r="J666" s="1"/>
    </row>
    <row r="667" ht="14.25" customHeight="1">
      <c r="A667" s="52"/>
      <c r="B667" s="52"/>
      <c r="C667" s="52"/>
      <c r="D667" s="52"/>
      <c r="E667" s="53"/>
      <c r="F667" s="53"/>
      <c r="G667" s="53"/>
      <c r="H667" s="53"/>
      <c r="I667" s="53"/>
      <c r="J667" s="1"/>
    </row>
    <row r="668" ht="14.25" customHeight="1">
      <c r="A668" s="52"/>
      <c r="B668" s="52"/>
      <c r="C668" s="52"/>
      <c r="D668" s="52"/>
      <c r="E668" s="53"/>
      <c r="F668" s="53"/>
      <c r="G668" s="53"/>
      <c r="H668" s="53"/>
      <c r="I668" s="53"/>
      <c r="J668" s="1"/>
    </row>
    <row r="669" ht="14.25" customHeight="1">
      <c r="A669" s="52"/>
      <c r="B669" s="52"/>
      <c r="C669" s="52"/>
      <c r="D669" s="52"/>
      <c r="E669" s="53"/>
      <c r="F669" s="53"/>
      <c r="G669" s="53"/>
      <c r="H669" s="53"/>
      <c r="I669" s="53"/>
      <c r="J669" s="1"/>
    </row>
    <row r="670" ht="14.25" customHeight="1">
      <c r="A670" s="52"/>
      <c r="B670" s="52"/>
      <c r="C670" s="52"/>
      <c r="D670" s="52"/>
      <c r="E670" s="53"/>
      <c r="F670" s="53"/>
      <c r="G670" s="53"/>
      <c r="H670" s="53"/>
      <c r="I670" s="53"/>
      <c r="J670" s="1"/>
    </row>
    <row r="671" ht="14.25" customHeight="1">
      <c r="A671" s="52"/>
      <c r="B671" s="52"/>
      <c r="C671" s="52"/>
      <c r="D671" s="52"/>
      <c r="E671" s="53"/>
      <c r="F671" s="53"/>
      <c r="G671" s="53"/>
      <c r="H671" s="53"/>
      <c r="I671" s="53"/>
      <c r="J671" s="1"/>
    </row>
    <row r="672" ht="14.25" customHeight="1">
      <c r="A672" s="52"/>
      <c r="B672" s="52"/>
      <c r="C672" s="52"/>
      <c r="D672" s="52"/>
      <c r="E672" s="53"/>
      <c r="F672" s="53"/>
      <c r="G672" s="53"/>
      <c r="H672" s="53"/>
      <c r="I672" s="53"/>
      <c r="J672" s="1"/>
    </row>
    <row r="673" ht="14.25" customHeight="1">
      <c r="A673" s="52"/>
      <c r="B673" s="52"/>
      <c r="C673" s="52"/>
      <c r="D673" s="52"/>
      <c r="E673" s="53"/>
      <c r="F673" s="53"/>
      <c r="G673" s="53"/>
      <c r="H673" s="53"/>
      <c r="I673" s="53"/>
      <c r="J673" s="1"/>
    </row>
    <row r="674" ht="14.25" customHeight="1">
      <c r="A674" s="52"/>
      <c r="B674" s="52"/>
      <c r="C674" s="52"/>
      <c r="D674" s="52"/>
      <c r="E674" s="53"/>
      <c r="F674" s="53"/>
      <c r="G674" s="53"/>
      <c r="H674" s="53"/>
      <c r="I674" s="53"/>
      <c r="J674" s="1"/>
    </row>
    <row r="675" ht="14.25" customHeight="1">
      <c r="A675" s="52"/>
      <c r="B675" s="52"/>
      <c r="C675" s="52"/>
      <c r="D675" s="52"/>
      <c r="E675" s="53"/>
      <c r="F675" s="53"/>
      <c r="G675" s="53"/>
      <c r="H675" s="53"/>
      <c r="I675" s="53"/>
      <c r="J675" s="1"/>
    </row>
    <row r="676" ht="14.25" customHeight="1">
      <c r="A676" s="52"/>
      <c r="B676" s="52"/>
      <c r="C676" s="52"/>
      <c r="D676" s="52"/>
      <c r="E676" s="53"/>
      <c r="F676" s="53"/>
      <c r="G676" s="53"/>
      <c r="H676" s="53"/>
      <c r="I676" s="53"/>
      <c r="J676" s="1"/>
    </row>
    <row r="677" ht="14.25" customHeight="1">
      <c r="A677" s="52"/>
      <c r="B677" s="52"/>
      <c r="C677" s="52"/>
      <c r="D677" s="52"/>
      <c r="E677" s="53"/>
      <c r="F677" s="53"/>
      <c r="G677" s="53"/>
      <c r="H677" s="53"/>
      <c r="I677" s="53"/>
      <c r="J677" s="1"/>
    </row>
    <row r="678" ht="14.25" customHeight="1">
      <c r="A678" s="52"/>
      <c r="B678" s="52"/>
      <c r="C678" s="52"/>
      <c r="D678" s="52"/>
      <c r="E678" s="53"/>
      <c r="F678" s="53"/>
      <c r="G678" s="53"/>
      <c r="H678" s="53"/>
      <c r="I678" s="53"/>
      <c r="J678" s="1"/>
    </row>
    <row r="679" ht="14.25" customHeight="1">
      <c r="A679" s="52"/>
      <c r="B679" s="52"/>
      <c r="C679" s="52"/>
      <c r="D679" s="52"/>
      <c r="E679" s="53"/>
      <c r="F679" s="53"/>
      <c r="G679" s="53"/>
      <c r="H679" s="53"/>
      <c r="I679" s="53"/>
      <c r="J679" s="1"/>
    </row>
    <row r="680" ht="14.25" customHeight="1">
      <c r="A680" s="52"/>
      <c r="B680" s="52"/>
      <c r="C680" s="52"/>
      <c r="D680" s="52"/>
      <c r="E680" s="53"/>
      <c r="F680" s="53"/>
      <c r="G680" s="53"/>
      <c r="H680" s="53"/>
      <c r="I680" s="53"/>
      <c r="J680" s="1"/>
    </row>
    <row r="681" ht="14.25" customHeight="1">
      <c r="A681" s="52"/>
      <c r="B681" s="52"/>
      <c r="C681" s="52"/>
      <c r="D681" s="52"/>
      <c r="E681" s="53"/>
      <c r="F681" s="53"/>
      <c r="G681" s="53"/>
      <c r="H681" s="53"/>
      <c r="I681" s="53"/>
      <c r="J681" s="1"/>
    </row>
    <row r="682" ht="14.25" customHeight="1">
      <c r="A682" s="52"/>
      <c r="B682" s="52"/>
      <c r="C682" s="52"/>
      <c r="D682" s="52"/>
      <c r="E682" s="53"/>
      <c r="F682" s="53"/>
      <c r="G682" s="53"/>
      <c r="H682" s="53"/>
      <c r="I682" s="53"/>
      <c r="J682" s="1"/>
    </row>
    <row r="683" ht="14.25" customHeight="1">
      <c r="A683" s="52"/>
      <c r="B683" s="52"/>
      <c r="C683" s="52"/>
      <c r="D683" s="52"/>
      <c r="E683" s="53"/>
      <c r="F683" s="53"/>
      <c r="G683" s="53"/>
      <c r="H683" s="53"/>
      <c r="I683" s="53"/>
      <c r="J683" s="1"/>
    </row>
    <row r="684" ht="14.25" customHeight="1">
      <c r="A684" s="52"/>
      <c r="B684" s="52"/>
      <c r="C684" s="52"/>
      <c r="D684" s="52"/>
      <c r="E684" s="53"/>
      <c r="F684" s="53"/>
      <c r="G684" s="53"/>
      <c r="H684" s="53"/>
      <c r="I684" s="53"/>
      <c r="J684" s="1"/>
    </row>
    <row r="685" ht="14.25" customHeight="1">
      <c r="A685" s="52"/>
      <c r="B685" s="52"/>
      <c r="C685" s="52"/>
      <c r="D685" s="52"/>
      <c r="E685" s="53"/>
      <c r="F685" s="53"/>
      <c r="G685" s="53"/>
      <c r="H685" s="53"/>
      <c r="I685" s="53"/>
      <c r="J685" s="1"/>
    </row>
    <row r="686" ht="14.25" customHeight="1">
      <c r="A686" s="52"/>
      <c r="B686" s="52"/>
      <c r="C686" s="52"/>
      <c r="D686" s="52"/>
      <c r="E686" s="53"/>
      <c r="F686" s="53"/>
      <c r="G686" s="53"/>
      <c r="H686" s="53"/>
      <c r="I686" s="53"/>
      <c r="J686" s="1"/>
    </row>
    <row r="687" ht="14.25" customHeight="1">
      <c r="A687" s="52"/>
      <c r="B687" s="52"/>
      <c r="C687" s="52"/>
      <c r="D687" s="52"/>
      <c r="E687" s="53"/>
      <c r="F687" s="53"/>
      <c r="G687" s="53"/>
      <c r="H687" s="53"/>
      <c r="I687" s="53"/>
      <c r="J687" s="1"/>
    </row>
    <row r="688" ht="14.25" customHeight="1">
      <c r="A688" s="52"/>
      <c r="B688" s="52"/>
      <c r="C688" s="52"/>
      <c r="D688" s="52"/>
      <c r="E688" s="53"/>
      <c r="F688" s="53"/>
      <c r="G688" s="53"/>
      <c r="H688" s="53"/>
      <c r="I688" s="53"/>
      <c r="J688" s="1"/>
    </row>
    <row r="689" ht="14.25" customHeight="1">
      <c r="A689" s="52"/>
      <c r="B689" s="52"/>
      <c r="C689" s="52"/>
      <c r="D689" s="52"/>
      <c r="E689" s="53"/>
      <c r="F689" s="53"/>
      <c r="G689" s="53"/>
      <c r="H689" s="53"/>
      <c r="I689" s="53"/>
      <c r="J689" s="1"/>
    </row>
    <row r="690" ht="14.25" customHeight="1">
      <c r="A690" s="52"/>
      <c r="B690" s="52"/>
      <c r="C690" s="52"/>
      <c r="D690" s="52"/>
      <c r="E690" s="53"/>
      <c r="F690" s="53"/>
      <c r="G690" s="53"/>
      <c r="H690" s="53"/>
      <c r="I690" s="53"/>
      <c r="J690" s="1"/>
    </row>
    <row r="691" ht="14.25" customHeight="1">
      <c r="A691" s="52"/>
      <c r="B691" s="52"/>
      <c r="C691" s="52"/>
      <c r="D691" s="52"/>
      <c r="E691" s="53"/>
      <c r="F691" s="53"/>
      <c r="G691" s="53"/>
      <c r="H691" s="53"/>
      <c r="I691" s="53"/>
      <c r="J691" s="1"/>
    </row>
    <row r="692" ht="14.25" customHeight="1">
      <c r="A692" s="52"/>
      <c r="B692" s="52"/>
      <c r="C692" s="52"/>
      <c r="D692" s="52"/>
      <c r="E692" s="53"/>
      <c r="F692" s="53"/>
      <c r="G692" s="53"/>
      <c r="H692" s="53"/>
      <c r="I692" s="53"/>
      <c r="J692" s="1"/>
    </row>
    <row r="693" ht="14.25" customHeight="1">
      <c r="A693" s="52"/>
      <c r="B693" s="52"/>
      <c r="C693" s="52"/>
      <c r="D693" s="52"/>
      <c r="E693" s="53"/>
      <c r="F693" s="53"/>
      <c r="G693" s="53"/>
      <c r="H693" s="53"/>
      <c r="I693" s="53"/>
      <c r="J693" s="1"/>
    </row>
    <row r="694" ht="14.25" customHeight="1">
      <c r="A694" s="52"/>
      <c r="B694" s="52"/>
      <c r="C694" s="52"/>
      <c r="D694" s="52"/>
      <c r="E694" s="53"/>
      <c r="F694" s="53"/>
      <c r="G694" s="53"/>
      <c r="H694" s="53"/>
      <c r="I694" s="53"/>
      <c r="J694" s="1"/>
    </row>
    <row r="695" ht="14.25" customHeight="1">
      <c r="A695" s="52"/>
      <c r="B695" s="52"/>
      <c r="C695" s="52"/>
      <c r="D695" s="52"/>
      <c r="E695" s="53"/>
      <c r="F695" s="53"/>
      <c r="G695" s="53"/>
      <c r="H695" s="53"/>
      <c r="I695" s="53"/>
      <c r="J695" s="1"/>
    </row>
    <row r="696" ht="14.25" customHeight="1">
      <c r="A696" s="52"/>
      <c r="B696" s="52"/>
      <c r="C696" s="52"/>
      <c r="D696" s="52"/>
      <c r="E696" s="53"/>
      <c r="F696" s="53"/>
      <c r="G696" s="53"/>
      <c r="H696" s="53"/>
      <c r="I696" s="53"/>
      <c r="J696" s="1"/>
    </row>
    <row r="697" ht="14.25" customHeight="1">
      <c r="A697" s="52"/>
      <c r="B697" s="52"/>
      <c r="C697" s="52"/>
      <c r="D697" s="52"/>
      <c r="E697" s="53"/>
      <c r="F697" s="53"/>
      <c r="G697" s="53"/>
      <c r="H697" s="53"/>
      <c r="I697" s="53"/>
      <c r="J697" s="1"/>
    </row>
    <row r="698" ht="14.25" customHeight="1">
      <c r="A698" s="52"/>
      <c r="B698" s="52"/>
      <c r="C698" s="52"/>
      <c r="D698" s="52"/>
      <c r="E698" s="53"/>
      <c r="F698" s="53"/>
      <c r="G698" s="53"/>
      <c r="H698" s="53"/>
      <c r="I698" s="53"/>
      <c r="J698" s="1"/>
    </row>
    <row r="699" ht="14.25" customHeight="1">
      <c r="A699" s="52"/>
      <c r="B699" s="52"/>
      <c r="C699" s="52"/>
      <c r="D699" s="52"/>
      <c r="E699" s="53"/>
      <c r="F699" s="53"/>
      <c r="G699" s="53"/>
      <c r="H699" s="53"/>
      <c r="I699" s="53"/>
      <c r="J699" s="1"/>
    </row>
    <row r="700" ht="14.25" customHeight="1">
      <c r="A700" s="52"/>
      <c r="B700" s="52"/>
      <c r="C700" s="52"/>
      <c r="D700" s="52"/>
      <c r="E700" s="53"/>
      <c r="F700" s="53"/>
      <c r="G700" s="53"/>
      <c r="H700" s="53"/>
      <c r="I700" s="53"/>
      <c r="J700" s="1"/>
    </row>
    <row r="701" ht="14.25" customHeight="1">
      <c r="A701" s="52"/>
      <c r="B701" s="52"/>
      <c r="C701" s="52"/>
      <c r="D701" s="52"/>
      <c r="E701" s="53"/>
      <c r="F701" s="53"/>
      <c r="G701" s="53"/>
      <c r="H701" s="53"/>
      <c r="I701" s="53"/>
      <c r="J701" s="1"/>
    </row>
    <row r="702" ht="14.25" customHeight="1">
      <c r="A702" s="52"/>
      <c r="B702" s="52"/>
      <c r="C702" s="52"/>
      <c r="D702" s="52"/>
      <c r="E702" s="53"/>
      <c r="F702" s="53"/>
      <c r="G702" s="53"/>
      <c r="H702" s="53"/>
      <c r="I702" s="53"/>
      <c r="J702" s="1"/>
    </row>
    <row r="703" ht="14.25" customHeight="1">
      <c r="A703" s="52"/>
      <c r="B703" s="52"/>
      <c r="C703" s="52"/>
      <c r="D703" s="52"/>
      <c r="E703" s="53"/>
      <c r="F703" s="53"/>
      <c r="G703" s="53"/>
      <c r="H703" s="53"/>
      <c r="I703" s="53"/>
      <c r="J703" s="1"/>
    </row>
    <row r="704" ht="14.25" customHeight="1">
      <c r="A704" s="52"/>
      <c r="B704" s="52"/>
      <c r="C704" s="52"/>
      <c r="D704" s="52"/>
      <c r="E704" s="53"/>
      <c r="F704" s="53"/>
      <c r="G704" s="53"/>
      <c r="H704" s="53"/>
      <c r="I704" s="53"/>
      <c r="J704" s="1"/>
    </row>
    <row r="705" ht="14.25" customHeight="1">
      <c r="A705" s="52"/>
      <c r="B705" s="52"/>
      <c r="C705" s="52"/>
      <c r="D705" s="52"/>
      <c r="E705" s="53"/>
      <c r="F705" s="53"/>
      <c r="G705" s="53"/>
      <c r="H705" s="53"/>
      <c r="I705" s="53"/>
      <c r="J705" s="1"/>
    </row>
    <row r="706" ht="14.25" customHeight="1">
      <c r="A706" s="52"/>
      <c r="B706" s="52"/>
      <c r="C706" s="52"/>
      <c r="D706" s="52"/>
      <c r="E706" s="53"/>
      <c r="F706" s="53"/>
      <c r="G706" s="53"/>
      <c r="H706" s="53"/>
      <c r="I706" s="53"/>
      <c r="J706" s="1"/>
    </row>
    <row r="707" ht="14.25" customHeight="1">
      <c r="A707" s="52"/>
      <c r="B707" s="52"/>
      <c r="C707" s="52"/>
      <c r="D707" s="52"/>
      <c r="E707" s="53"/>
      <c r="F707" s="53"/>
      <c r="G707" s="53"/>
      <c r="H707" s="53"/>
      <c r="I707" s="53"/>
      <c r="J707" s="1"/>
    </row>
    <row r="708" ht="14.25" customHeight="1">
      <c r="A708" s="52"/>
      <c r="B708" s="52"/>
      <c r="C708" s="52"/>
      <c r="D708" s="52"/>
      <c r="E708" s="53"/>
      <c r="F708" s="53"/>
      <c r="G708" s="53"/>
      <c r="H708" s="53"/>
      <c r="I708" s="53"/>
      <c r="J708" s="1"/>
    </row>
    <row r="709" ht="14.25" customHeight="1">
      <c r="A709" s="52"/>
      <c r="B709" s="52"/>
      <c r="C709" s="52"/>
      <c r="D709" s="52"/>
      <c r="E709" s="53"/>
      <c r="F709" s="53"/>
      <c r="G709" s="53"/>
      <c r="H709" s="53"/>
      <c r="I709" s="53"/>
      <c r="J709" s="1"/>
    </row>
    <row r="710" ht="14.25" customHeight="1">
      <c r="A710" s="52"/>
      <c r="B710" s="52"/>
      <c r="C710" s="52"/>
      <c r="D710" s="52"/>
      <c r="E710" s="53"/>
      <c r="F710" s="53"/>
      <c r="G710" s="53"/>
      <c r="H710" s="53"/>
      <c r="I710" s="53"/>
      <c r="J710" s="1"/>
    </row>
    <row r="711" ht="14.25" customHeight="1">
      <c r="A711" s="52"/>
      <c r="B711" s="52"/>
      <c r="C711" s="52"/>
      <c r="D711" s="52"/>
      <c r="E711" s="53"/>
      <c r="F711" s="53"/>
      <c r="G711" s="53"/>
      <c r="H711" s="53"/>
      <c r="I711" s="53"/>
      <c r="J711" s="1"/>
    </row>
    <row r="712" ht="14.25" customHeight="1">
      <c r="A712" s="52"/>
      <c r="B712" s="52"/>
      <c r="C712" s="52"/>
      <c r="D712" s="52"/>
      <c r="E712" s="53"/>
      <c r="F712" s="53"/>
      <c r="G712" s="53"/>
      <c r="H712" s="53"/>
      <c r="I712" s="53"/>
      <c r="J712" s="1"/>
    </row>
    <row r="713" ht="14.25" customHeight="1">
      <c r="A713" s="52"/>
      <c r="B713" s="52"/>
      <c r="C713" s="52"/>
      <c r="D713" s="52"/>
      <c r="E713" s="53"/>
      <c r="F713" s="53"/>
      <c r="G713" s="53"/>
      <c r="H713" s="53"/>
      <c r="I713" s="53"/>
      <c r="J713" s="1"/>
    </row>
    <row r="714" ht="14.25" customHeight="1">
      <c r="A714" s="52"/>
      <c r="B714" s="52"/>
      <c r="C714" s="52"/>
      <c r="D714" s="52"/>
      <c r="E714" s="53"/>
      <c r="F714" s="53"/>
      <c r="G714" s="53"/>
      <c r="H714" s="53"/>
      <c r="I714" s="53"/>
      <c r="J714" s="1"/>
    </row>
    <row r="715" ht="14.25" customHeight="1">
      <c r="A715" s="52"/>
      <c r="B715" s="52"/>
      <c r="C715" s="52"/>
      <c r="D715" s="52"/>
      <c r="E715" s="53"/>
      <c r="F715" s="53"/>
      <c r="G715" s="53"/>
      <c r="H715" s="53"/>
      <c r="I715" s="53"/>
      <c r="J715" s="1"/>
    </row>
    <row r="716" ht="14.25" customHeight="1">
      <c r="A716" s="52"/>
      <c r="B716" s="52"/>
      <c r="C716" s="52"/>
      <c r="D716" s="52"/>
      <c r="E716" s="53"/>
      <c r="F716" s="53"/>
      <c r="G716" s="53"/>
      <c r="H716" s="53"/>
      <c r="I716" s="53"/>
      <c r="J716" s="1"/>
    </row>
    <row r="717" ht="14.25" customHeight="1">
      <c r="A717" s="52"/>
      <c r="B717" s="52"/>
      <c r="C717" s="52"/>
      <c r="D717" s="52"/>
      <c r="E717" s="53"/>
      <c r="F717" s="53"/>
      <c r="G717" s="53"/>
      <c r="H717" s="53"/>
      <c r="I717" s="53"/>
      <c r="J717" s="1"/>
    </row>
    <row r="718" ht="14.25" customHeight="1">
      <c r="A718" s="52"/>
      <c r="B718" s="52"/>
      <c r="C718" s="52"/>
      <c r="D718" s="52"/>
      <c r="E718" s="53"/>
      <c r="F718" s="53"/>
      <c r="G718" s="53"/>
      <c r="H718" s="53"/>
      <c r="I718" s="53"/>
      <c r="J718" s="1"/>
    </row>
    <row r="719" ht="14.25" customHeight="1">
      <c r="A719" s="52"/>
      <c r="B719" s="52"/>
      <c r="C719" s="52"/>
      <c r="D719" s="52"/>
      <c r="E719" s="53"/>
      <c r="F719" s="53"/>
      <c r="G719" s="53"/>
      <c r="H719" s="53"/>
      <c r="I719" s="53"/>
      <c r="J719" s="1"/>
    </row>
    <row r="720" ht="14.25" customHeight="1">
      <c r="A720" s="52"/>
      <c r="B720" s="52"/>
      <c r="C720" s="52"/>
      <c r="D720" s="52"/>
      <c r="E720" s="53"/>
      <c r="F720" s="53"/>
      <c r="G720" s="53"/>
      <c r="H720" s="53"/>
      <c r="I720" s="53"/>
      <c r="J720" s="1"/>
    </row>
    <row r="721" ht="14.25" customHeight="1">
      <c r="A721" s="52"/>
      <c r="B721" s="52"/>
      <c r="C721" s="52"/>
      <c r="D721" s="52"/>
      <c r="E721" s="53"/>
      <c r="F721" s="53"/>
      <c r="G721" s="53"/>
      <c r="H721" s="53"/>
      <c r="I721" s="53"/>
      <c r="J721" s="1"/>
    </row>
    <row r="722" ht="14.25" customHeight="1">
      <c r="A722" s="52"/>
      <c r="B722" s="52"/>
      <c r="C722" s="52"/>
      <c r="D722" s="52"/>
      <c r="E722" s="53"/>
      <c r="F722" s="53"/>
      <c r="G722" s="53"/>
      <c r="H722" s="53"/>
      <c r="I722" s="53"/>
      <c r="J722" s="1"/>
    </row>
    <row r="723" ht="14.25" customHeight="1">
      <c r="A723" s="52"/>
      <c r="B723" s="52"/>
      <c r="C723" s="52"/>
      <c r="D723" s="52"/>
      <c r="E723" s="53"/>
      <c r="F723" s="53"/>
      <c r="G723" s="53"/>
      <c r="H723" s="53"/>
      <c r="I723" s="53"/>
      <c r="J723" s="1"/>
    </row>
    <row r="724" ht="14.25" customHeight="1">
      <c r="A724" s="52"/>
      <c r="B724" s="52"/>
      <c r="C724" s="52"/>
      <c r="D724" s="52"/>
      <c r="E724" s="53"/>
      <c r="F724" s="53"/>
      <c r="G724" s="53"/>
      <c r="H724" s="53"/>
      <c r="I724" s="53"/>
      <c r="J724" s="1"/>
    </row>
    <row r="725" ht="14.25" customHeight="1">
      <c r="A725" s="52"/>
      <c r="B725" s="52"/>
      <c r="C725" s="52"/>
      <c r="D725" s="52"/>
      <c r="E725" s="53"/>
      <c r="F725" s="53"/>
      <c r="G725" s="53"/>
      <c r="H725" s="53"/>
      <c r="I725" s="53"/>
      <c r="J725" s="1"/>
    </row>
    <row r="726" ht="14.25" customHeight="1">
      <c r="A726" s="52"/>
      <c r="B726" s="52"/>
      <c r="C726" s="52"/>
      <c r="D726" s="52"/>
      <c r="E726" s="53"/>
      <c r="F726" s="53"/>
      <c r="G726" s="53"/>
      <c r="H726" s="53"/>
      <c r="I726" s="53"/>
      <c r="J726" s="1"/>
    </row>
    <row r="727" ht="14.25" customHeight="1">
      <c r="A727" s="52"/>
      <c r="B727" s="52"/>
      <c r="C727" s="52"/>
      <c r="D727" s="52"/>
      <c r="E727" s="53"/>
      <c r="F727" s="53"/>
      <c r="G727" s="53"/>
      <c r="H727" s="53"/>
      <c r="I727" s="53"/>
      <c r="J727" s="1"/>
    </row>
    <row r="728" ht="14.25" customHeight="1">
      <c r="A728" s="52"/>
      <c r="B728" s="52"/>
      <c r="C728" s="52"/>
      <c r="D728" s="52"/>
      <c r="E728" s="53"/>
      <c r="F728" s="53"/>
      <c r="G728" s="53"/>
      <c r="H728" s="53"/>
      <c r="I728" s="53"/>
      <c r="J728" s="1"/>
    </row>
    <row r="729" ht="14.25" customHeight="1">
      <c r="A729" s="52"/>
      <c r="B729" s="52"/>
      <c r="C729" s="52"/>
      <c r="D729" s="52"/>
      <c r="E729" s="53"/>
      <c r="F729" s="53"/>
      <c r="G729" s="53"/>
      <c r="H729" s="53"/>
      <c r="I729" s="53"/>
      <c r="J729" s="1"/>
    </row>
    <row r="730" ht="14.25" customHeight="1">
      <c r="A730" s="52"/>
      <c r="B730" s="52"/>
      <c r="C730" s="52"/>
      <c r="D730" s="52"/>
      <c r="E730" s="53"/>
      <c r="F730" s="53"/>
      <c r="G730" s="53"/>
      <c r="H730" s="53"/>
      <c r="I730" s="53"/>
      <c r="J730" s="1"/>
    </row>
    <row r="731" ht="14.25" customHeight="1">
      <c r="A731" s="52"/>
      <c r="B731" s="52"/>
      <c r="C731" s="52"/>
      <c r="D731" s="52"/>
      <c r="E731" s="53"/>
      <c r="F731" s="53"/>
      <c r="G731" s="53"/>
      <c r="H731" s="53"/>
      <c r="I731" s="53"/>
      <c r="J731" s="1"/>
    </row>
    <row r="732" ht="14.25" customHeight="1">
      <c r="A732" s="52"/>
      <c r="B732" s="52"/>
      <c r="C732" s="52"/>
      <c r="D732" s="52"/>
      <c r="E732" s="53"/>
      <c r="F732" s="53"/>
      <c r="G732" s="53"/>
      <c r="H732" s="53"/>
      <c r="I732" s="53"/>
      <c r="J732" s="1"/>
    </row>
    <row r="733" ht="14.25" customHeight="1">
      <c r="A733" s="52"/>
      <c r="B733" s="52"/>
      <c r="C733" s="52"/>
      <c r="D733" s="52"/>
      <c r="E733" s="53"/>
      <c r="F733" s="53"/>
      <c r="G733" s="53"/>
      <c r="H733" s="53"/>
      <c r="I733" s="53"/>
      <c r="J733" s="1"/>
    </row>
    <row r="734" ht="14.25" customHeight="1">
      <c r="A734" s="52"/>
      <c r="B734" s="52"/>
      <c r="C734" s="52"/>
      <c r="D734" s="52"/>
      <c r="E734" s="53"/>
      <c r="F734" s="53"/>
      <c r="G734" s="53"/>
      <c r="H734" s="53"/>
      <c r="I734" s="53"/>
      <c r="J734" s="1"/>
    </row>
    <row r="735" ht="14.25" customHeight="1">
      <c r="A735" s="52"/>
      <c r="B735" s="52"/>
      <c r="C735" s="52"/>
      <c r="D735" s="52"/>
      <c r="E735" s="53"/>
      <c r="F735" s="53"/>
      <c r="G735" s="53"/>
      <c r="H735" s="53"/>
      <c r="I735" s="53"/>
      <c r="J735" s="1"/>
    </row>
    <row r="736" ht="14.25" customHeight="1">
      <c r="A736" s="52"/>
      <c r="B736" s="52"/>
      <c r="C736" s="52"/>
      <c r="D736" s="52"/>
      <c r="E736" s="53"/>
      <c r="F736" s="53"/>
      <c r="G736" s="53"/>
      <c r="H736" s="53"/>
      <c r="I736" s="53"/>
      <c r="J736" s="1"/>
    </row>
    <row r="737" ht="14.25" customHeight="1">
      <c r="A737" s="52"/>
      <c r="B737" s="52"/>
      <c r="C737" s="52"/>
      <c r="D737" s="52"/>
      <c r="E737" s="53"/>
      <c r="F737" s="53"/>
      <c r="G737" s="53"/>
      <c r="H737" s="53"/>
      <c r="I737" s="53"/>
      <c r="J737" s="1"/>
    </row>
    <row r="738" ht="14.25" customHeight="1">
      <c r="A738" s="52"/>
      <c r="B738" s="52"/>
      <c r="C738" s="52"/>
      <c r="D738" s="52"/>
      <c r="E738" s="53"/>
      <c r="F738" s="53"/>
      <c r="G738" s="53"/>
      <c r="H738" s="53"/>
      <c r="I738" s="53"/>
      <c r="J738" s="1"/>
    </row>
    <row r="739" ht="14.25" customHeight="1">
      <c r="A739" s="52"/>
      <c r="B739" s="52"/>
      <c r="C739" s="52"/>
      <c r="D739" s="52"/>
      <c r="E739" s="53"/>
      <c r="F739" s="53"/>
      <c r="G739" s="53"/>
      <c r="H739" s="53"/>
      <c r="I739" s="53"/>
      <c r="J739" s="1"/>
    </row>
    <row r="740" ht="14.25" customHeight="1">
      <c r="A740" s="52"/>
      <c r="B740" s="52"/>
      <c r="C740" s="52"/>
      <c r="D740" s="52"/>
      <c r="E740" s="53"/>
      <c r="F740" s="53"/>
      <c r="G740" s="53"/>
      <c r="H740" s="53"/>
      <c r="I740" s="53"/>
      <c r="J740" s="1"/>
    </row>
    <row r="741" ht="14.25" customHeight="1">
      <c r="A741" s="52"/>
      <c r="B741" s="52"/>
      <c r="C741" s="52"/>
      <c r="D741" s="52"/>
      <c r="E741" s="53"/>
      <c r="F741" s="53"/>
      <c r="G741" s="53"/>
      <c r="H741" s="53"/>
      <c r="I741" s="53"/>
      <c r="J741" s="1"/>
    </row>
    <row r="742" ht="14.25" customHeight="1">
      <c r="A742" s="52"/>
      <c r="B742" s="52"/>
      <c r="C742" s="52"/>
      <c r="D742" s="52"/>
      <c r="E742" s="53"/>
      <c r="F742" s="53"/>
      <c r="G742" s="53"/>
      <c r="H742" s="53"/>
      <c r="I742" s="53"/>
      <c r="J742" s="1"/>
    </row>
    <row r="743" ht="14.25" customHeight="1">
      <c r="A743" s="52"/>
      <c r="B743" s="52"/>
      <c r="C743" s="52"/>
      <c r="D743" s="52"/>
      <c r="E743" s="53"/>
      <c r="F743" s="53"/>
      <c r="G743" s="53"/>
      <c r="H743" s="53"/>
      <c r="I743" s="53"/>
      <c r="J743" s="1"/>
    </row>
    <row r="744" ht="14.25" customHeight="1">
      <c r="A744" s="52"/>
      <c r="B744" s="52"/>
      <c r="C744" s="52"/>
      <c r="D744" s="52"/>
      <c r="E744" s="53"/>
      <c r="F744" s="53"/>
      <c r="G744" s="53"/>
      <c r="H744" s="53"/>
      <c r="I744" s="53"/>
      <c r="J744" s="1"/>
    </row>
    <row r="745" ht="14.25" customHeight="1">
      <c r="A745" s="52"/>
      <c r="B745" s="52"/>
      <c r="C745" s="52"/>
      <c r="D745" s="52"/>
      <c r="E745" s="53"/>
      <c r="F745" s="53"/>
      <c r="G745" s="53"/>
      <c r="H745" s="53"/>
      <c r="I745" s="53"/>
      <c r="J745" s="1"/>
    </row>
    <row r="746" ht="14.25" customHeight="1">
      <c r="A746" s="52"/>
      <c r="B746" s="52"/>
      <c r="C746" s="52"/>
      <c r="D746" s="52"/>
      <c r="E746" s="53"/>
      <c r="F746" s="53"/>
      <c r="G746" s="53"/>
      <c r="H746" s="53"/>
      <c r="I746" s="53"/>
      <c r="J746" s="1"/>
    </row>
    <row r="747" ht="14.25" customHeight="1">
      <c r="A747" s="52"/>
      <c r="B747" s="52"/>
      <c r="C747" s="52"/>
      <c r="D747" s="52"/>
      <c r="E747" s="53"/>
      <c r="F747" s="53"/>
      <c r="G747" s="53"/>
      <c r="H747" s="53"/>
      <c r="I747" s="53"/>
      <c r="J747" s="1"/>
    </row>
    <row r="748" ht="14.25" customHeight="1">
      <c r="A748" s="52"/>
      <c r="B748" s="52"/>
      <c r="C748" s="52"/>
      <c r="D748" s="52"/>
      <c r="E748" s="53"/>
      <c r="F748" s="53"/>
      <c r="G748" s="53"/>
      <c r="H748" s="53"/>
      <c r="I748" s="53"/>
      <c r="J748" s="1"/>
    </row>
    <row r="749" ht="14.25" customHeight="1">
      <c r="A749" s="52"/>
      <c r="B749" s="52"/>
      <c r="C749" s="52"/>
      <c r="D749" s="52"/>
      <c r="E749" s="53"/>
      <c r="F749" s="53"/>
      <c r="G749" s="53"/>
      <c r="H749" s="53"/>
      <c r="I749" s="53"/>
      <c r="J749" s="1"/>
    </row>
    <row r="750" ht="14.25" customHeight="1">
      <c r="A750" s="52"/>
      <c r="B750" s="52"/>
      <c r="C750" s="52"/>
      <c r="D750" s="52"/>
      <c r="E750" s="53"/>
      <c r="F750" s="53"/>
      <c r="G750" s="53"/>
      <c r="H750" s="53"/>
      <c r="I750" s="53"/>
      <c r="J750" s="1"/>
    </row>
    <row r="751" ht="14.25" customHeight="1">
      <c r="A751" s="52"/>
      <c r="B751" s="52"/>
      <c r="C751" s="52"/>
      <c r="D751" s="52"/>
      <c r="E751" s="53"/>
      <c r="F751" s="53"/>
      <c r="G751" s="53"/>
      <c r="H751" s="53"/>
      <c r="I751" s="53"/>
      <c r="J751" s="1"/>
    </row>
    <row r="752" ht="14.25" customHeight="1">
      <c r="A752" s="52"/>
      <c r="B752" s="52"/>
      <c r="C752" s="52"/>
      <c r="D752" s="52"/>
      <c r="E752" s="53"/>
      <c r="F752" s="53"/>
      <c r="G752" s="53"/>
      <c r="H752" s="53"/>
      <c r="I752" s="53"/>
      <c r="J752" s="1"/>
    </row>
    <row r="753" ht="14.25" customHeight="1">
      <c r="A753" s="52"/>
      <c r="B753" s="52"/>
      <c r="C753" s="52"/>
      <c r="D753" s="52"/>
      <c r="E753" s="53"/>
      <c r="F753" s="53"/>
      <c r="G753" s="53"/>
      <c r="H753" s="53"/>
      <c r="I753" s="53"/>
      <c r="J753" s="1"/>
    </row>
    <row r="754" ht="14.25" customHeight="1">
      <c r="A754" s="52"/>
      <c r="B754" s="52"/>
      <c r="C754" s="52"/>
      <c r="D754" s="52"/>
      <c r="E754" s="53"/>
      <c r="F754" s="53"/>
      <c r="G754" s="53"/>
      <c r="H754" s="53"/>
      <c r="I754" s="53"/>
      <c r="J754" s="1"/>
    </row>
    <row r="755" ht="14.25" customHeight="1">
      <c r="A755" s="52"/>
      <c r="B755" s="52"/>
      <c r="C755" s="52"/>
      <c r="D755" s="52"/>
      <c r="E755" s="53"/>
      <c r="F755" s="53"/>
      <c r="G755" s="53"/>
      <c r="H755" s="53"/>
      <c r="I755" s="53"/>
      <c r="J755" s="1"/>
    </row>
    <row r="756" ht="14.25" customHeight="1">
      <c r="A756" s="52"/>
      <c r="B756" s="52"/>
      <c r="C756" s="52"/>
      <c r="D756" s="52"/>
      <c r="E756" s="53"/>
      <c r="F756" s="53"/>
      <c r="G756" s="53"/>
      <c r="H756" s="53"/>
      <c r="I756" s="53"/>
      <c r="J756" s="1"/>
    </row>
    <row r="757" ht="14.25" customHeight="1">
      <c r="A757" s="52"/>
      <c r="B757" s="52"/>
      <c r="C757" s="52"/>
      <c r="D757" s="52"/>
      <c r="E757" s="53"/>
      <c r="F757" s="53"/>
      <c r="G757" s="53"/>
      <c r="H757" s="53"/>
      <c r="I757" s="53"/>
      <c r="J757" s="1"/>
    </row>
    <row r="758" ht="14.25" customHeight="1">
      <c r="A758" s="52"/>
      <c r="B758" s="52"/>
      <c r="C758" s="52"/>
      <c r="D758" s="52"/>
      <c r="E758" s="53"/>
      <c r="F758" s="53"/>
      <c r="G758" s="53"/>
      <c r="H758" s="53"/>
      <c r="I758" s="53"/>
      <c r="J758" s="1"/>
    </row>
    <row r="759" ht="14.25" customHeight="1">
      <c r="A759" s="52"/>
      <c r="B759" s="52"/>
      <c r="C759" s="52"/>
      <c r="D759" s="52"/>
      <c r="E759" s="53"/>
      <c r="F759" s="53"/>
      <c r="G759" s="53"/>
      <c r="H759" s="53"/>
      <c r="I759" s="53"/>
      <c r="J759" s="1"/>
    </row>
    <row r="760" ht="14.25" customHeight="1">
      <c r="A760" s="52"/>
      <c r="B760" s="52"/>
      <c r="C760" s="52"/>
      <c r="D760" s="52"/>
      <c r="E760" s="53"/>
      <c r="F760" s="53"/>
      <c r="G760" s="53"/>
      <c r="H760" s="53"/>
      <c r="I760" s="53"/>
      <c r="J760" s="1"/>
    </row>
    <row r="761" ht="14.25" customHeight="1">
      <c r="A761" s="52"/>
      <c r="B761" s="52"/>
      <c r="C761" s="52"/>
      <c r="D761" s="52"/>
      <c r="E761" s="53"/>
      <c r="F761" s="53"/>
      <c r="G761" s="53"/>
      <c r="H761" s="53"/>
      <c r="I761" s="53"/>
      <c r="J761" s="1"/>
    </row>
    <row r="762" ht="14.25" customHeight="1">
      <c r="A762" s="52"/>
      <c r="B762" s="52"/>
      <c r="C762" s="52"/>
      <c r="D762" s="52"/>
      <c r="E762" s="53"/>
      <c r="F762" s="53"/>
      <c r="G762" s="53"/>
      <c r="H762" s="53"/>
      <c r="I762" s="53"/>
      <c r="J762" s="1"/>
    </row>
    <row r="763" ht="14.25" customHeight="1">
      <c r="A763" s="52"/>
      <c r="B763" s="52"/>
      <c r="C763" s="52"/>
      <c r="D763" s="52"/>
      <c r="E763" s="53"/>
      <c r="F763" s="53"/>
      <c r="G763" s="53"/>
      <c r="H763" s="53"/>
      <c r="I763" s="53"/>
      <c r="J763" s="1"/>
    </row>
    <row r="764" ht="14.25" customHeight="1">
      <c r="A764" s="52"/>
      <c r="B764" s="52"/>
      <c r="C764" s="52"/>
      <c r="D764" s="52"/>
      <c r="E764" s="53"/>
      <c r="F764" s="53"/>
      <c r="G764" s="53"/>
      <c r="H764" s="53"/>
      <c r="I764" s="53"/>
      <c r="J764" s="1"/>
    </row>
    <row r="765" ht="14.25" customHeight="1">
      <c r="A765" s="52"/>
      <c r="B765" s="52"/>
      <c r="C765" s="52"/>
      <c r="D765" s="52"/>
      <c r="E765" s="53"/>
      <c r="F765" s="53"/>
      <c r="G765" s="53"/>
      <c r="H765" s="53"/>
      <c r="I765" s="53"/>
      <c r="J765" s="1"/>
    </row>
    <row r="766" ht="14.25" customHeight="1">
      <c r="A766" s="52"/>
      <c r="B766" s="52"/>
      <c r="C766" s="52"/>
      <c r="D766" s="52"/>
      <c r="E766" s="53"/>
      <c r="F766" s="53"/>
      <c r="G766" s="53"/>
      <c r="H766" s="53"/>
      <c r="I766" s="53"/>
      <c r="J766" s="1"/>
    </row>
    <row r="767" ht="14.25" customHeight="1">
      <c r="A767" s="52"/>
      <c r="B767" s="52"/>
      <c r="C767" s="52"/>
      <c r="D767" s="52"/>
      <c r="E767" s="53"/>
      <c r="F767" s="53"/>
      <c r="G767" s="53"/>
      <c r="H767" s="53"/>
      <c r="I767" s="53"/>
      <c r="J767" s="1"/>
    </row>
    <row r="768" ht="14.25" customHeight="1">
      <c r="A768" s="52"/>
      <c r="B768" s="52"/>
      <c r="C768" s="52"/>
      <c r="D768" s="52"/>
      <c r="E768" s="53"/>
      <c r="F768" s="53"/>
      <c r="G768" s="53"/>
      <c r="H768" s="53"/>
      <c r="I768" s="53"/>
      <c r="J768" s="1"/>
    </row>
    <row r="769" ht="14.25" customHeight="1">
      <c r="A769" s="52"/>
      <c r="B769" s="52"/>
      <c r="C769" s="52"/>
      <c r="D769" s="52"/>
      <c r="E769" s="53"/>
      <c r="F769" s="53"/>
      <c r="G769" s="53"/>
      <c r="H769" s="53"/>
      <c r="I769" s="53"/>
      <c r="J769" s="1"/>
    </row>
    <row r="770" ht="14.25" customHeight="1">
      <c r="A770" s="52"/>
      <c r="B770" s="52"/>
      <c r="C770" s="52"/>
      <c r="D770" s="52"/>
      <c r="E770" s="53"/>
      <c r="F770" s="53"/>
      <c r="G770" s="53"/>
      <c r="H770" s="53"/>
      <c r="I770" s="53"/>
      <c r="J770" s="1"/>
    </row>
    <row r="771" ht="14.25" customHeight="1">
      <c r="A771" s="52"/>
      <c r="B771" s="52"/>
      <c r="C771" s="52"/>
      <c r="D771" s="52"/>
      <c r="E771" s="53"/>
      <c r="F771" s="53"/>
      <c r="G771" s="53"/>
      <c r="H771" s="53"/>
      <c r="I771" s="53"/>
      <c r="J771" s="1"/>
    </row>
    <row r="772" ht="14.25" customHeight="1">
      <c r="A772" s="52"/>
      <c r="B772" s="52"/>
      <c r="C772" s="52"/>
      <c r="D772" s="52"/>
      <c r="E772" s="53"/>
      <c r="F772" s="53"/>
      <c r="G772" s="53"/>
      <c r="H772" s="53"/>
      <c r="I772" s="53"/>
      <c r="J772" s="1"/>
    </row>
    <row r="773" ht="14.25" customHeight="1">
      <c r="A773" s="52"/>
      <c r="B773" s="52"/>
      <c r="C773" s="52"/>
      <c r="D773" s="52"/>
      <c r="E773" s="53"/>
      <c r="F773" s="53"/>
      <c r="G773" s="53"/>
      <c r="H773" s="53"/>
      <c r="I773" s="53"/>
      <c r="J773" s="1"/>
    </row>
    <row r="774" ht="14.25" customHeight="1">
      <c r="A774" s="52"/>
      <c r="B774" s="52"/>
      <c r="C774" s="52"/>
      <c r="D774" s="52"/>
      <c r="E774" s="53"/>
      <c r="F774" s="53"/>
      <c r="G774" s="53"/>
      <c r="H774" s="53"/>
      <c r="I774" s="53"/>
      <c r="J774" s="1"/>
    </row>
    <row r="775" ht="14.25" customHeight="1">
      <c r="A775" s="52"/>
      <c r="B775" s="52"/>
      <c r="C775" s="52"/>
      <c r="D775" s="52"/>
      <c r="E775" s="53"/>
      <c r="F775" s="53"/>
      <c r="G775" s="53"/>
      <c r="H775" s="53"/>
      <c r="I775" s="53"/>
      <c r="J775" s="1"/>
    </row>
    <row r="776" ht="14.25" customHeight="1">
      <c r="A776" s="52"/>
      <c r="B776" s="52"/>
      <c r="C776" s="52"/>
      <c r="D776" s="52"/>
      <c r="E776" s="53"/>
      <c r="F776" s="53"/>
      <c r="G776" s="53"/>
      <c r="H776" s="53"/>
      <c r="I776" s="53"/>
      <c r="J776" s="1"/>
    </row>
    <row r="777" ht="14.25" customHeight="1">
      <c r="A777" s="52"/>
      <c r="B777" s="52"/>
      <c r="C777" s="52"/>
      <c r="D777" s="52"/>
      <c r="E777" s="53"/>
      <c r="F777" s="53"/>
      <c r="G777" s="53"/>
      <c r="H777" s="53"/>
      <c r="I777" s="53"/>
      <c r="J777" s="1"/>
    </row>
    <row r="778" ht="14.25" customHeight="1">
      <c r="A778" s="52"/>
      <c r="B778" s="52"/>
      <c r="C778" s="52"/>
      <c r="D778" s="52"/>
      <c r="E778" s="53"/>
      <c r="F778" s="53"/>
      <c r="G778" s="53"/>
      <c r="H778" s="53"/>
      <c r="I778" s="53"/>
      <c r="J778" s="1"/>
    </row>
    <row r="779" ht="14.25" customHeight="1">
      <c r="A779" s="52"/>
      <c r="B779" s="52"/>
      <c r="C779" s="52"/>
      <c r="D779" s="52"/>
      <c r="E779" s="53"/>
      <c r="F779" s="53"/>
      <c r="G779" s="53"/>
      <c r="H779" s="53"/>
      <c r="I779" s="53"/>
      <c r="J779" s="1"/>
    </row>
    <row r="780" ht="14.25" customHeight="1">
      <c r="A780" s="52"/>
      <c r="B780" s="52"/>
      <c r="C780" s="52"/>
      <c r="D780" s="52"/>
      <c r="E780" s="53"/>
      <c r="F780" s="53"/>
      <c r="G780" s="53"/>
      <c r="H780" s="53"/>
      <c r="I780" s="53"/>
      <c r="J780" s="1"/>
    </row>
    <row r="781" ht="14.25" customHeight="1">
      <c r="A781" s="52"/>
      <c r="B781" s="52"/>
      <c r="C781" s="52"/>
      <c r="D781" s="52"/>
      <c r="E781" s="53"/>
      <c r="F781" s="53"/>
      <c r="G781" s="53"/>
      <c r="H781" s="53"/>
      <c r="I781" s="53"/>
      <c r="J781" s="1"/>
    </row>
    <row r="782" ht="14.25" customHeight="1">
      <c r="A782" s="52"/>
      <c r="B782" s="52"/>
      <c r="C782" s="52"/>
      <c r="D782" s="52"/>
      <c r="E782" s="53"/>
      <c r="F782" s="53"/>
      <c r="G782" s="53"/>
      <c r="H782" s="53"/>
      <c r="I782" s="53"/>
      <c r="J782" s="1"/>
    </row>
    <row r="783" ht="14.25" customHeight="1">
      <c r="A783" s="52"/>
      <c r="B783" s="52"/>
      <c r="C783" s="52"/>
      <c r="D783" s="52"/>
      <c r="E783" s="53"/>
      <c r="F783" s="53"/>
      <c r="G783" s="53"/>
      <c r="H783" s="53"/>
      <c r="I783" s="53"/>
      <c r="J783" s="1"/>
    </row>
    <row r="784" ht="14.25" customHeight="1">
      <c r="A784" s="52"/>
      <c r="B784" s="52"/>
      <c r="C784" s="52"/>
      <c r="D784" s="52"/>
      <c r="E784" s="53"/>
      <c r="F784" s="53"/>
      <c r="G784" s="53"/>
      <c r="H784" s="53"/>
      <c r="I784" s="53"/>
      <c r="J784" s="1"/>
    </row>
    <row r="785" ht="14.25" customHeight="1">
      <c r="A785" s="52"/>
      <c r="B785" s="52"/>
      <c r="C785" s="52"/>
      <c r="D785" s="52"/>
      <c r="E785" s="53"/>
      <c r="F785" s="53"/>
      <c r="G785" s="53"/>
      <c r="H785" s="53"/>
      <c r="I785" s="53"/>
      <c r="J785" s="1"/>
    </row>
    <row r="786" ht="14.25" customHeight="1">
      <c r="A786" s="52"/>
      <c r="B786" s="52"/>
      <c r="C786" s="52"/>
      <c r="D786" s="52"/>
      <c r="E786" s="53"/>
      <c r="F786" s="53"/>
      <c r="G786" s="53"/>
      <c r="H786" s="53"/>
      <c r="I786" s="53"/>
      <c r="J786" s="1"/>
    </row>
    <row r="787" ht="14.25" customHeight="1">
      <c r="A787" s="52"/>
      <c r="B787" s="52"/>
      <c r="C787" s="52"/>
      <c r="D787" s="52"/>
      <c r="E787" s="53"/>
      <c r="F787" s="53"/>
      <c r="G787" s="53"/>
      <c r="H787" s="53"/>
      <c r="I787" s="53"/>
      <c r="J787" s="1"/>
    </row>
    <row r="788" ht="14.25" customHeight="1">
      <c r="A788" s="52"/>
      <c r="B788" s="52"/>
      <c r="C788" s="52"/>
      <c r="D788" s="52"/>
      <c r="E788" s="53"/>
      <c r="F788" s="53"/>
      <c r="G788" s="53"/>
      <c r="H788" s="53"/>
      <c r="I788" s="53"/>
      <c r="J788" s="1"/>
    </row>
    <row r="789" ht="14.25" customHeight="1">
      <c r="A789" s="52"/>
      <c r="B789" s="52"/>
      <c r="C789" s="52"/>
      <c r="D789" s="52"/>
      <c r="E789" s="53"/>
      <c r="F789" s="53"/>
      <c r="G789" s="53"/>
      <c r="H789" s="53"/>
      <c r="I789" s="53"/>
      <c r="J789" s="1"/>
    </row>
    <row r="790" ht="14.25" customHeight="1">
      <c r="A790" s="52"/>
      <c r="B790" s="52"/>
      <c r="C790" s="52"/>
      <c r="D790" s="52"/>
      <c r="E790" s="53"/>
      <c r="F790" s="53"/>
      <c r="G790" s="53"/>
      <c r="H790" s="53"/>
      <c r="I790" s="53"/>
      <c r="J790" s="1"/>
    </row>
    <row r="791" ht="14.25" customHeight="1">
      <c r="A791" s="52"/>
      <c r="B791" s="52"/>
      <c r="C791" s="52"/>
      <c r="D791" s="52"/>
      <c r="E791" s="53"/>
      <c r="F791" s="53"/>
      <c r="G791" s="53"/>
      <c r="H791" s="53"/>
      <c r="I791" s="53"/>
      <c r="J791" s="1"/>
    </row>
    <row r="792" ht="14.25" customHeight="1">
      <c r="A792" s="52"/>
      <c r="B792" s="52"/>
      <c r="C792" s="52"/>
      <c r="D792" s="52"/>
      <c r="E792" s="53"/>
      <c r="F792" s="53"/>
      <c r="G792" s="53"/>
      <c r="H792" s="53"/>
      <c r="I792" s="53"/>
      <c r="J792" s="1"/>
    </row>
    <row r="793" ht="14.25" customHeight="1">
      <c r="A793" s="52"/>
      <c r="B793" s="52"/>
      <c r="C793" s="52"/>
      <c r="D793" s="52"/>
      <c r="E793" s="53"/>
      <c r="F793" s="53"/>
      <c r="G793" s="53"/>
      <c r="H793" s="53"/>
      <c r="I793" s="53"/>
      <c r="J793" s="1"/>
    </row>
    <row r="794" ht="14.25" customHeight="1">
      <c r="A794" s="52"/>
      <c r="B794" s="52"/>
      <c r="C794" s="52"/>
      <c r="D794" s="52"/>
      <c r="E794" s="53"/>
      <c r="F794" s="53"/>
      <c r="G794" s="53"/>
      <c r="H794" s="53"/>
      <c r="I794" s="53"/>
      <c r="J794" s="1"/>
    </row>
    <row r="795" ht="14.25" customHeight="1">
      <c r="A795" s="52"/>
      <c r="B795" s="52"/>
      <c r="C795" s="52"/>
      <c r="D795" s="52"/>
      <c r="E795" s="53"/>
      <c r="F795" s="53"/>
      <c r="G795" s="53"/>
      <c r="H795" s="53"/>
      <c r="I795" s="53"/>
      <c r="J795" s="1"/>
    </row>
    <row r="796" ht="14.25" customHeight="1">
      <c r="A796" s="52"/>
      <c r="B796" s="52"/>
      <c r="C796" s="52"/>
      <c r="D796" s="52"/>
      <c r="E796" s="53"/>
      <c r="F796" s="53"/>
      <c r="G796" s="53"/>
      <c r="H796" s="53"/>
      <c r="I796" s="53"/>
      <c r="J796" s="1"/>
    </row>
    <row r="797" ht="14.25" customHeight="1">
      <c r="A797" s="52"/>
      <c r="B797" s="52"/>
      <c r="C797" s="52"/>
      <c r="D797" s="52"/>
      <c r="E797" s="53"/>
      <c r="F797" s="53"/>
      <c r="G797" s="53"/>
      <c r="H797" s="53"/>
      <c r="I797" s="53"/>
      <c r="J797" s="1"/>
    </row>
    <row r="798" ht="14.25" customHeight="1">
      <c r="A798" s="52"/>
      <c r="B798" s="52"/>
      <c r="C798" s="52"/>
      <c r="D798" s="52"/>
      <c r="E798" s="53"/>
      <c r="F798" s="53"/>
      <c r="G798" s="53"/>
      <c r="H798" s="53"/>
      <c r="I798" s="53"/>
      <c r="J798" s="1"/>
    </row>
    <row r="799" ht="14.25" customHeight="1">
      <c r="A799" s="52"/>
      <c r="B799" s="52"/>
      <c r="C799" s="52"/>
      <c r="D799" s="52"/>
      <c r="E799" s="53"/>
      <c r="F799" s="53"/>
      <c r="G799" s="53"/>
      <c r="H799" s="53"/>
      <c r="I799" s="53"/>
      <c r="J799" s="1"/>
    </row>
    <row r="800" ht="14.25" customHeight="1">
      <c r="A800" s="52"/>
      <c r="B800" s="52"/>
      <c r="C800" s="52"/>
      <c r="D800" s="52"/>
      <c r="E800" s="53"/>
      <c r="F800" s="53"/>
      <c r="G800" s="53"/>
      <c r="H800" s="53"/>
      <c r="I800" s="53"/>
      <c r="J800" s="1"/>
    </row>
    <row r="801" ht="14.25" customHeight="1">
      <c r="A801" s="52"/>
      <c r="B801" s="52"/>
      <c r="C801" s="52"/>
      <c r="D801" s="52"/>
      <c r="E801" s="53"/>
      <c r="F801" s="53"/>
      <c r="G801" s="53"/>
      <c r="H801" s="53"/>
      <c r="I801" s="53"/>
      <c r="J801" s="1"/>
    </row>
    <row r="802" ht="14.25" customHeight="1">
      <c r="A802" s="52"/>
      <c r="B802" s="52"/>
      <c r="C802" s="52"/>
      <c r="D802" s="52"/>
      <c r="E802" s="53"/>
      <c r="F802" s="53"/>
      <c r="G802" s="53"/>
      <c r="H802" s="53"/>
      <c r="I802" s="53"/>
      <c r="J802" s="1"/>
    </row>
    <row r="803" ht="14.25" customHeight="1">
      <c r="A803" s="52"/>
      <c r="B803" s="52"/>
      <c r="C803" s="52"/>
      <c r="D803" s="52"/>
      <c r="E803" s="53"/>
      <c r="F803" s="53"/>
      <c r="G803" s="53"/>
      <c r="H803" s="53"/>
      <c r="I803" s="53"/>
      <c r="J803" s="1"/>
    </row>
    <row r="804" ht="14.25" customHeight="1">
      <c r="A804" s="52"/>
      <c r="B804" s="52"/>
      <c r="C804" s="52"/>
      <c r="D804" s="52"/>
      <c r="E804" s="53"/>
      <c r="F804" s="53"/>
      <c r="G804" s="53"/>
      <c r="H804" s="53"/>
      <c r="I804" s="53"/>
      <c r="J804" s="1"/>
    </row>
    <row r="805" ht="14.25" customHeight="1">
      <c r="A805" s="52"/>
      <c r="B805" s="52"/>
      <c r="C805" s="52"/>
      <c r="D805" s="52"/>
      <c r="E805" s="53"/>
      <c r="F805" s="53"/>
      <c r="G805" s="53"/>
      <c r="H805" s="53"/>
      <c r="I805" s="53"/>
      <c r="J805" s="1"/>
    </row>
    <row r="806" ht="14.25" customHeight="1">
      <c r="A806" s="52"/>
      <c r="B806" s="52"/>
      <c r="C806" s="52"/>
      <c r="D806" s="52"/>
      <c r="E806" s="53"/>
      <c r="F806" s="53"/>
      <c r="G806" s="53"/>
      <c r="H806" s="53"/>
      <c r="I806" s="53"/>
      <c r="J806" s="1"/>
    </row>
    <row r="807" ht="14.25" customHeight="1">
      <c r="A807" s="52"/>
      <c r="B807" s="52"/>
      <c r="C807" s="52"/>
      <c r="D807" s="52"/>
      <c r="E807" s="53"/>
      <c r="F807" s="53"/>
      <c r="G807" s="53"/>
      <c r="H807" s="53"/>
      <c r="I807" s="53"/>
      <c r="J807" s="1"/>
    </row>
    <row r="808" ht="14.25" customHeight="1">
      <c r="A808" s="52"/>
      <c r="B808" s="52"/>
      <c r="C808" s="52"/>
      <c r="D808" s="52"/>
      <c r="E808" s="53"/>
      <c r="F808" s="53"/>
      <c r="G808" s="53"/>
      <c r="H808" s="53"/>
      <c r="I808" s="53"/>
      <c r="J808" s="1"/>
    </row>
    <row r="809" ht="14.25" customHeight="1">
      <c r="A809" s="52"/>
      <c r="B809" s="52"/>
      <c r="C809" s="52"/>
      <c r="D809" s="52"/>
      <c r="E809" s="53"/>
      <c r="F809" s="53"/>
      <c r="G809" s="53"/>
      <c r="H809" s="53"/>
      <c r="I809" s="53"/>
      <c r="J809" s="1"/>
    </row>
    <row r="810" ht="14.25" customHeight="1">
      <c r="A810" s="52"/>
      <c r="B810" s="52"/>
      <c r="C810" s="52"/>
      <c r="D810" s="52"/>
      <c r="E810" s="53"/>
      <c r="F810" s="53"/>
      <c r="G810" s="53"/>
      <c r="H810" s="53"/>
      <c r="I810" s="53"/>
      <c r="J810" s="1"/>
    </row>
    <row r="811" ht="14.25" customHeight="1">
      <c r="A811" s="52"/>
      <c r="B811" s="52"/>
      <c r="C811" s="52"/>
      <c r="D811" s="52"/>
      <c r="E811" s="53"/>
      <c r="F811" s="53"/>
      <c r="G811" s="53"/>
      <c r="H811" s="53"/>
      <c r="I811" s="53"/>
      <c r="J811" s="1"/>
    </row>
    <row r="812" ht="14.25" customHeight="1">
      <c r="A812" s="52"/>
      <c r="B812" s="52"/>
      <c r="C812" s="52"/>
      <c r="D812" s="52"/>
      <c r="E812" s="53"/>
      <c r="F812" s="53"/>
      <c r="G812" s="53"/>
      <c r="H812" s="53"/>
      <c r="I812" s="53"/>
      <c r="J812" s="1"/>
    </row>
    <row r="813" ht="14.25" customHeight="1">
      <c r="A813" s="52"/>
      <c r="B813" s="52"/>
      <c r="C813" s="52"/>
      <c r="D813" s="52"/>
      <c r="E813" s="53"/>
      <c r="F813" s="53"/>
      <c r="G813" s="53"/>
      <c r="H813" s="53"/>
      <c r="I813" s="53"/>
      <c r="J813" s="1"/>
    </row>
    <row r="814" ht="14.25" customHeight="1">
      <c r="A814" s="52"/>
      <c r="B814" s="52"/>
      <c r="C814" s="52"/>
      <c r="D814" s="52"/>
      <c r="E814" s="53"/>
      <c r="F814" s="53"/>
      <c r="G814" s="53"/>
      <c r="H814" s="53"/>
      <c r="I814" s="53"/>
      <c r="J814" s="1"/>
    </row>
    <row r="815" ht="14.25" customHeight="1">
      <c r="A815" s="52"/>
      <c r="B815" s="52"/>
      <c r="C815" s="52"/>
      <c r="D815" s="52"/>
      <c r="E815" s="53"/>
      <c r="F815" s="53"/>
      <c r="G815" s="53"/>
      <c r="H815" s="53"/>
      <c r="I815" s="53"/>
      <c r="J815" s="1"/>
    </row>
    <row r="816" ht="14.25" customHeight="1">
      <c r="A816" s="52"/>
      <c r="B816" s="52"/>
      <c r="C816" s="52"/>
      <c r="D816" s="52"/>
      <c r="E816" s="53"/>
      <c r="F816" s="53"/>
      <c r="G816" s="53"/>
      <c r="H816" s="53"/>
      <c r="I816" s="53"/>
      <c r="J816" s="1"/>
    </row>
    <row r="817" ht="14.25" customHeight="1">
      <c r="A817" s="52"/>
      <c r="B817" s="52"/>
      <c r="C817" s="52"/>
      <c r="D817" s="52"/>
      <c r="E817" s="53"/>
      <c r="F817" s="53"/>
      <c r="G817" s="53"/>
      <c r="H817" s="53"/>
      <c r="I817" s="53"/>
      <c r="J817" s="1"/>
    </row>
    <row r="818" ht="14.25" customHeight="1">
      <c r="A818" s="52"/>
      <c r="B818" s="52"/>
      <c r="C818" s="52"/>
      <c r="D818" s="52"/>
      <c r="E818" s="53"/>
      <c r="F818" s="53"/>
      <c r="G818" s="53"/>
      <c r="H818" s="53"/>
      <c r="I818" s="53"/>
      <c r="J818" s="1"/>
    </row>
    <row r="819" ht="14.25" customHeight="1">
      <c r="A819" s="52"/>
      <c r="B819" s="52"/>
      <c r="C819" s="52"/>
      <c r="D819" s="52"/>
      <c r="E819" s="53"/>
      <c r="F819" s="53"/>
      <c r="G819" s="53"/>
      <c r="H819" s="53"/>
      <c r="I819" s="53"/>
      <c r="J819" s="1"/>
    </row>
    <row r="820" ht="14.25" customHeight="1">
      <c r="A820" s="52"/>
      <c r="B820" s="52"/>
      <c r="C820" s="52"/>
      <c r="D820" s="52"/>
      <c r="E820" s="53"/>
      <c r="F820" s="53"/>
      <c r="G820" s="53"/>
      <c r="H820" s="53"/>
      <c r="I820" s="53"/>
      <c r="J820" s="1"/>
    </row>
    <row r="821" ht="14.25" customHeight="1">
      <c r="A821" s="52"/>
      <c r="B821" s="52"/>
      <c r="C821" s="52"/>
      <c r="D821" s="52"/>
      <c r="E821" s="53"/>
      <c r="F821" s="53"/>
      <c r="G821" s="53"/>
      <c r="H821" s="53"/>
      <c r="I821" s="53"/>
      <c r="J821" s="1"/>
    </row>
    <row r="822" ht="14.25" customHeight="1">
      <c r="A822" s="52"/>
      <c r="B822" s="52"/>
      <c r="C822" s="52"/>
      <c r="D822" s="52"/>
      <c r="E822" s="53"/>
      <c r="F822" s="53"/>
      <c r="G822" s="53"/>
      <c r="H822" s="53"/>
      <c r="I822" s="53"/>
      <c r="J822" s="1"/>
    </row>
    <row r="823" ht="14.25" customHeight="1">
      <c r="A823" s="52"/>
      <c r="B823" s="52"/>
      <c r="C823" s="52"/>
      <c r="D823" s="52"/>
      <c r="E823" s="53"/>
      <c r="F823" s="53"/>
      <c r="G823" s="53"/>
      <c r="H823" s="53"/>
      <c r="I823" s="53"/>
      <c r="J823" s="1"/>
    </row>
    <row r="824" ht="14.25" customHeight="1">
      <c r="A824" s="52"/>
      <c r="B824" s="52"/>
      <c r="C824" s="52"/>
      <c r="D824" s="52"/>
      <c r="E824" s="53"/>
      <c r="F824" s="53"/>
      <c r="G824" s="53"/>
      <c r="H824" s="53"/>
      <c r="I824" s="53"/>
      <c r="J824" s="1"/>
    </row>
    <row r="825" ht="14.25" customHeight="1">
      <c r="A825" s="52"/>
      <c r="B825" s="52"/>
      <c r="C825" s="52"/>
      <c r="D825" s="52"/>
      <c r="E825" s="53"/>
      <c r="F825" s="53"/>
      <c r="G825" s="53"/>
      <c r="H825" s="53"/>
      <c r="I825" s="53"/>
      <c r="J825" s="1"/>
    </row>
    <row r="826" ht="14.25" customHeight="1">
      <c r="A826" s="52"/>
      <c r="B826" s="52"/>
      <c r="C826" s="52"/>
      <c r="D826" s="52"/>
      <c r="E826" s="53"/>
      <c r="F826" s="53"/>
      <c r="G826" s="53"/>
      <c r="H826" s="53"/>
      <c r="I826" s="53"/>
      <c r="J826" s="1"/>
    </row>
    <row r="827" ht="14.25" customHeight="1">
      <c r="A827" s="52"/>
      <c r="B827" s="52"/>
      <c r="C827" s="52"/>
      <c r="D827" s="52"/>
      <c r="E827" s="53"/>
      <c r="F827" s="53"/>
      <c r="G827" s="53"/>
      <c r="H827" s="53"/>
      <c r="I827" s="53"/>
      <c r="J827" s="1"/>
    </row>
    <row r="828" ht="14.25" customHeight="1">
      <c r="A828" s="52"/>
      <c r="B828" s="52"/>
      <c r="C828" s="52"/>
      <c r="D828" s="52"/>
      <c r="E828" s="53"/>
      <c r="F828" s="53"/>
      <c r="G828" s="53"/>
      <c r="H828" s="53"/>
      <c r="I828" s="53"/>
      <c r="J828" s="1"/>
    </row>
    <row r="829" ht="14.25" customHeight="1">
      <c r="A829" s="52"/>
      <c r="B829" s="52"/>
      <c r="C829" s="52"/>
      <c r="D829" s="52"/>
      <c r="E829" s="53"/>
      <c r="F829" s="53"/>
      <c r="G829" s="53"/>
      <c r="H829" s="53"/>
      <c r="I829" s="53"/>
      <c r="J829" s="1"/>
    </row>
    <row r="830" ht="14.25" customHeight="1">
      <c r="A830" s="52"/>
      <c r="B830" s="52"/>
      <c r="C830" s="52"/>
      <c r="D830" s="52"/>
      <c r="E830" s="53"/>
      <c r="F830" s="53"/>
      <c r="G830" s="53"/>
      <c r="H830" s="53"/>
      <c r="I830" s="53"/>
      <c r="J830" s="1"/>
    </row>
    <row r="831" ht="14.25" customHeight="1">
      <c r="A831" s="52"/>
      <c r="B831" s="52"/>
      <c r="C831" s="52"/>
      <c r="D831" s="52"/>
      <c r="E831" s="53"/>
      <c r="F831" s="53"/>
      <c r="G831" s="53"/>
      <c r="H831" s="53"/>
      <c r="I831" s="53"/>
      <c r="J831" s="1"/>
    </row>
    <row r="832" ht="14.25" customHeight="1">
      <c r="A832" s="52"/>
      <c r="B832" s="52"/>
      <c r="C832" s="52"/>
      <c r="D832" s="52"/>
      <c r="E832" s="53"/>
      <c r="F832" s="53"/>
      <c r="G832" s="53"/>
      <c r="H832" s="53"/>
      <c r="I832" s="53"/>
      <c r="J832" s="1"/>
    </row>
    <row r="833" ht="14.25" customHeight="1">
      <c r="A833" s="52"/>
      <c r="B833" s="52"/>
      <c r="C833" s="52"/>
      <c r="D833" s="52"/>
      <c r="E833" s="53"/>
      <c r="F833" s="53"/>
      <c r="G833" s="53"/>
      <c r="H833" s="53"/>
      <c r="I833" s="53"/>
      <c r="J833" s="1"/>
    </row>
    <row r="834" ht="14.25" customHeight="1">
      <c r="A834" s="52"/>
      <c r="B834" s="52"/>
      <c r="C834" s="52"/>
      <c r="D834" s="52"/>
      <c r="E834" s="53"/>
      <c r="F834" s="53"/>
      <c r="G834" s="53"/>
      <c r="H834" s="53"/>
      <c r="I834" s="53"/>
      <c r="J834" s="1"/>
    </row>
    <row r="835" ht="14.25" customHeight="1">
      <c r="A835" s="52"/>
      <c r="B835" s="52"/>
      <c r="C835" s="52"/>
      <c r="D835" s="52"/>
      <c r="E835" s="53"/>
      <c r="F835" s="53"/>
      <c r="G835" s="53"/>
      <c r="H835" s="53"/>
      <c r="I835" s="53"/>
      <c r="J835" s="1"/>
    </row>
    <row r="836" ht="14.25" customHeight="1">
      <c r="A836" s="52"/>
      <c r="B836" s="52"/>
      <c r="C836" s="52"/>
      <c r="D836" s="52"/>
      <c r="E836" s="53"/>
      <c r="F836" s="53"/>
      <c r="G836" s="53"/>
      <c r="H836" s="53"/>
      <c r="I836" s="53"/>
      <c r="J836" s="1"/>
    </row>
    <row r="837" ht="14.25" customHeight="1">
      <c r="A837" s="52"/>
      <c r="B837" s="52"/>
      <c r="C837" s="52"/>
      <c r="D837" s="52"/>
      <c r="E837" s="53"/>
      <c r="F837" s="53"/>
      <c r="G837" s="53"/>
      <c r="H837" s="53"/>
      <c r="I837" s="53"/>
      <c r="J837" s="1"/>
    </row>
    <row r="838" ht="14.25" customHeight="1">
      <c r="A838" s="52"/>
      <c r="B838" s="52"/>
      <c r="C838" s="52"/>
      <c r="D838" s="52"/>
      <c r="E838" s="53"/>
      <c r="F838" s="53"/>
      <c r="G838" s="53"/>
      <c r="H838" s="53"/>
      <c r="I838" s="53"/>
      <c r="J838" s="1"/>
    </row>
    <row r="839" ht="14.25" customHeight="1">
      <c r="A839" s="52"/>
      <c r="B839" s="52"/>
      <c r="C839" s="52"/>
      <c r="D839" s="52"/>
      <c r="E839" s="53"/>
      <c r="F839" s="53"/>
      <c r="G839" s="53"/>
      <c r="H839" s="53"/>
      <c r="I839" s="53"/>
      <c r="J839" s="1"/>
    </row>
    <row r="840" ht="14.25" customHeight="1">
      <c r="A840" s="52"/>
      <c r="B840" s="52"/>
      <c r="C840" s="52"/>
      <c r="D840" s="52"/>
      <c r="E840" s="53"/>
      <c r="F840" s="53"/>
      <c r="G840" s="53"/>
      <c r="H840" s="53"/>
      <c r="I840" s="53"/>
      <c r="J840" s="1"/>
    </row>
    <row r="841" ht="14.25" customHeight="1">
      <c r="A841" s="52"/>
      <c r="B841" s="52"/>
      <c r="C841" s="52"/>
      <c r="D841" s="52"/>
      <c r="E841" s="53"/>
      <c r="F841" s="53"/>
      <c r="G841" s="53"/>
      <c r="H841" s="53"/>
      <c r="I841" s="53"/>
      <c r="J841" s="1"/>
    </row>
    <row r="842" ht="14.25" customHeight="1">
      <c r="A842" s="52"/>
      <c r="B842" s="52"/>
      <c r="C842" s="52"/>
      <c r="D842" s="52"/>
      <c r="E842" s="53"/>
      <c r="F842" s="53"/>
      <c r="G842" s="53"/>
      <c r="H842" s="53"/>
      <c r="I842" s="53"/>
      <c r="J842" s="1"/>
    </row>
    <row r="843" ht="14.25" customHeight="1">
      <c r="A843" s="52"/>
      <c r="B843" s="52"/>
      <c r="C843" s="52"/>
      <c r="D843" s="52"/>
      <c r="E843" s="53"/>
      <c r="F843" s="53"/>
      <c r="G843" s="53"/>
      <c r="H843" s="53"/>
      <c r="I843" s="53"/>
      <c r="J843" s="1"/>
    </row>
    <row r="844" ht="14.25" customHeight="1">
      <c r="A844" s="52"/>
      <c r="B844" s="52"/>
      <c r="C844" s="52"/>
      <c r="D844" s="52"/>
      <c r="E844" s="53"/>
      <c r="F844" s="53"/>
      <c r="G844" s="53"/>
      <c r="H844" s="53"/>
      <c r="I844" s="53"/>
      <c r="J844" s="1"/>
    </row>
    <row r="845" ht="14.25" customHeight="1">
      <c r="A845" s="52"/>
      <c r="B845" s="52"/>
      <c r="C845" s="52"/>
      <c r="D845" s="52"/>
      <c r="E845" s="53"/>
      <c r="F845" s="53"/>
      <c r="G845" s="53"/>
      <c r="H845" s="53"/>
      <c r="I845" s="53"/>
      <c r="J845" s="1"/>
    </row>
    <row r="846" ht="14.25" customHeight="1">
      <c r="A846" s="52"/>
      <c r="B846" s="52"/>
      <c r="C846" s="52"/>
      <c r="D846" s="52"/>
      <c r="E846" s="53"/>
      <c r="F846" s="53"/>
      <c r="G846" s="53"/>
      <c r="H846" s="53"/>
      <c r="I846" s="53"/>
      <c r="J846" s="1"/>
    </row>
    <row r="847" ht="14.25" customHeight="1">
      <c r="A847" s="52"/>
      <c r="B847" s="52"/>
      <c r="C847" s="52"/>
      <c r="D847" s="52"/>
      <c r="E847" s="53"/>
      <c r="F847" s="53"/>
      <c r="G847" s="53"/>
      <c r="H847" s="53"/>
      <c r="I847" s="53"/>
      <c r="J847" s="1"/>
    </row>
    <row r="848" ht="14.25" customHeight="1">
      <c r="A848" s="52"/>
      <c r="B848" s="52"/>
      <c r="C848" s="52"/>
      <c r="D848" s="52"/>
      <c r="E848" s="53"/>
      <c r="F848" s="53"/>
      <c r="G848" s="53"/>
      <c r="H848" s="53"/>
      <c r="I848" s="53"/>
      <c r="J848" s="1"/>
    </row>
    <row r="849" ht="14.25" customHeight="1">
      <c r="A849" s="52"/>
      <c r="B849" s="52"/>
      <c r="C849" s="52"/>
      <c r="D849" s="52"/>
      <c r="E849" s="53"/>
      <c r="F849" s="53"/>
      <c r="G849" s="53"/>
      <c r="H849" s="53"/>
      <c r="I849" s="53"/>
      <c r="J849" s="1"/>
    </row>
    <row r="850" ht="14.25" customHeight="1">
      <c r="A850" s="52"/>
      <c r="B850" s="52"/>
      <c r="C850" s="52"/>
      <c r="D850" s="52"/>
      <c r="E850" s="53"/>
      <c r="F850" s="53"/>
      <c r="G850" s="53"/>
      <c r="H850" s="53"/>
      <c r="I850" s="53"/>
      <c r="J850" s="1"/>
    </row>
    <row r="851" ht="14.25" customHeight="1">
      <c r="A851" s="52"/>
      <c r="B851" s="52"/>
      <c r="C851" s="52"/>
      <c r="D851" s="52"/>
      <c r="E851" s="53"/>
      <c r="F851" s="53"/>
      <c r="G851" s="53"/>
      <c r="H851" s="53"/>
      <c r="I851" s="53"/>
      <c r="J851" s="1"/>
    </row>
    <row r="852" ht="14.25" customHeight="1">
      <c r="A852" s="52"/>
      <c r="B852" s="52"/>
      <c r="C852" s="52"/>
      <c r="D852" s="52"/>
      <c r="E852" s="53"/>
      <c r="F852" s="53"/>
      <c r="G852" s="53"/>
      <c r="H852" s="53"/>
      <c r="I852" s="53"/>
      <c r="J852" s="1"/>
    </row>
    <row r="853" ht="14.25" customHeight="1">
      <c r="A853" s="52"/>
      <c r="B853" s="52"/>
      <c r="C853" s="52"/>
      <c r="D853" s="52"/>
      <c r="E853" s="53"/>
      <c r="F853" s="53"/>
      <c r="G853" s="53"/>
      <c r="H853" s="53"/>
      <c r="I853" s="53"/>
      <c r="J853" s="1"/>
    </row>
    <row r="854" ht="14.25" customHeight="1">
      <c r="A854" s="52"/>
      <c r="B854" s="52"/>
      <c r="C854" s="52"/>
      <c r="D854" s="52"/>
      <c r="E854" s="53"/>
      <c r="F854" s="53"/>
      <c r="G854" s="53"/>
      <c r="H854" s="53"/>
      <c r="I854" s="53"/>
      <c r="J854" s="1"/>
    </row>
    <row r="855" ht="14.25" customHeight="1">
      <c r="A855" s="52"/>
      <c r="B855" s="52"/>
      <c r="C855" s="52"/>
      <c r="D855" s="52"/>
      <c r="E855" s="53"/>
      <c r="F855" s="53"/>
      <c r="G855" s="53"/>
      <c r="H855" s="53"/>
      <c r="I855" s="53"/>
      <c r="J855" s="1"/>
    </row>
    <row r="856" ht="14.25" customHeight="1">
      <c r="A856" s="52"/>
      <c r="B856" s="52"/>
      <c r="C856" s="52"/>
      <c r="D856" s="52"/>
      <c r="E856" s="53"/>
      <c r="F856" s="53"/>
      <c r="G856" s="53"/>
      <c r="H856" s="53"/>
      <c r="I856" s="53"/>
      <c r="J856" s="1"/>
    </row>
    <row r="857" ht="14.25" customHeight="1">
      <c r="A857" s="52"/>
      <c r="B857" s="52"/>
      <c r="C857" s="52"/>
      <c r="D857" s="52"/>
      <c r="E857" s="53"/>
      <c r="F857" s="53"/>
      <c r="G857" s="53"/>
      <c r="H857" s="53"/>
      <c r="I857" s="53"/>
      <c r="J857" s="1"/>
    </row>
    <row r="858" ht="14.25" customHeight="1">
      <c r="A858" s="52"/>
      <c r="B858" s="52"/>
      <c r="C858" s="52"/>
      <c r="D858" s="52"/>
      <c r="E858" s="53"/>
      <c r="F858" s="53"/>
      <c r="G858" s="53"/>
      <c r="H858" s="53"/>
      <c r="I858" s="53"/>
      <c r="J858" s="1"/>
    </row>
    <row r="859" ht="14.25" customHeight="1">
      <c r="A859" s="52"/>
      <c r="B859" s="52"/>
      <c r="C859" s="52"/>
      <c r="D859" s="52"/>
      <c r="E859" s="53"/>
      <c r="F859" s="53"/>
      <c r="G859" s="53"/>
      <c r="H859" s="53"/>
      <c r="I859" s="53"/>
      <c r="J859" s="1"/>
    </row>
    <row r="860" ht="14.25" customHeight="1">
      <c r="A860" s="52"/>
      <c r="B860" s="52"/>
      <c r="C860" s="52"/>
      <c r="D860" s="52"/>
      <c r="E860" s="53"/>
      <c r="F860" s="53"/>
      <c r="G860" s="53"/>
      <c r="H860" s="53"/>
      <c r="I860" s="53"/>
      <c r="J860" s="1"/>
    </row>
    <row r="861" ht="14.25" customHeight="1">
      <c r="A861" s="52"/>
      <c r="B861" s="52"/>
      <c r="C861" s="52"/>
      <c r="D861" s="52"/>
      <c r="E861" s="53"/>
      <c r="F861" s="53"/>
      <c r="G861" s="53"/>
      <c r="H861" s="53"/>
      <c r="I861" s="53"/>
      <c r="J861" s="1"/>
    </row>
    <row r="862" ht="14.25" customHeight="1">
      <c r="A862" s="52"/>
      <c r="B862" s="52"/>
      <c r="C862" s="52"/>
      <c r="D862" s="52"/>
      <c r="E862" s="53"/>
      <c r="F862" s="53"/>
      <c r="G862" s="53"/>
      <c r="H862" s="53"/>
      <c r="I862" s="53"/>
      <c r="J862" s="1"/>
    </row>
    <row r="863" ht="14.25" customHeight="1">
      <c r="A863" s="52"/>
      <c r="B863" s="52"/>
      <c r="C863" s="52"/>
      <c r="D863" s="52"/>
      <c r="E863" s="53"/>
      <c r="F863" s="53"/>
      <c r="G863" s="53"/>
      <c r="H863" s="53"/>
      <c r="I863" s="53"/>
      <c r="J863" s="1"/>
    </row>
    <row r="864" ht="14.25" customHeight="1">
      <c r="A864" s="52"/>
      <c r="B864" s="52"/>
      <c r="C864" s="52"/>
      <c r="D864" s="52"/>
      <c r="E864" s="53"/>
      <c r="F864" s="53"/>
      <c r="G864" s="53"/>
      <c r="H864" s="53"/>
      <c r="I864" s="53"/>
      <c r="J864" s="1"/>
    </row>
    <row r="865" ht="14.25" customHeight="1">
      <c r="A865" s="52"/>
      <c r="B865" s="52"/>
      <c r="C865" s="52"/>
      <c r="D865" s="52"/>
      <c r="E865" s="53"/>
      <c r="F865" s="53"/>
      <c r="G865" s="53"/>
      <c r="H865" s="53"/>
      <c r="I865" s="53"/>
      <c r="J865" s="1"/>
    </row>
    <row r="866" ht="14.25" customHeight="1">
      <c r="A866" s="52"/>
      <c r="B866" s="52"/>
      <c r="C866" s="52"/>
      <c r="D866" s="52"/>
      <c r="E866" s="53"/>
      <c r="F866" s="53"/>
      <c r="G866" s="53"/>
      <c r="H866" s="53"/>
      <c r="I866" s="53"/>
      <c r="J866" s="1"/>
    </row>
    <row r="867" ht="14.25" customHeight="1">
      <c r="A867" s="52"/>
      <c r="B867" s="52"/>
      <c r="C867" s="52"/>
      <c r="D867" s="52"/>
      <c r="E867" s="53"/>
      <c r="F867" s="53"/>
      <c r="G867" s="53"/>
      <c r="H867" s="53"/>
      <c r="I867" s="53"/>
      <c r="J867" s="1"/>
    </row>
    <row r="868" ht="14.25" customHeight="1">
      <c r="A868" s="52"/>
      <c r="B868" s="52"/>
      <c r="C868" s="52"/>
      <c r="D868" s="52"/>
      <c r="E868" s="53"/>
      <c r="F868" s="53"/>
      <c r="G868" s="53"/>
      <c r="H868" s="53"/>
      <c r="I868" s="53"/>
      <c r="J868" s="1"/>
    </row>
    <row r="869" ht="14.25" customHeight="1">
      <c r="A869" s="52"/>
      <c r="B869" s="52"/>
      <c r="C869" s="52"/>
      <c r="D869" s="52"/>
      <c r="E869" s="53"/>
      <c r="F869" s="53"/>
      <c r="G869" s="53"/>
      <c r="H869" s="53"/>
      <c r="I869" s="53"/>
      <c r="J869" s="1"/>
    </row>
    <row r="870" ht="14.25" customHeight="1">
      <c r="A870" s="52"/>
      <c r="B870" s="52"/>
      <c r="C870" s="52"/>
      <c r="D870" s="52"/>
      <c r="E870" s="53"/>
      <c r="F870" s="53"/>
      <c r="G870" s="53"/>
      <c r="H870" s="53"/>
      <c r="I870" s="53"/>
      <c r="J870" s="1"/>
    </row>
    <row r="871" ht="14.25" customHeight="1">
      <c r="A871" s="52"/>
      <c r="B871" s="52"/>
      <c r="C871" s="52"/>
      <c r="D871" s="52"/>
      <c r="E871" s="53"/>
      <c r="F871" s="53"/>
      <c r="G871" s="53"/>
      <c r="H871" s="53"/>
      <c r="I871" s="53"/>
      <c r="J871" s="1"/>
    </row>
    <row r="872" ht="14.25" customHeight="1">
      <c r="A872" s="52"/>
      <c r="B872" s="52"/>
      <c r="C872" s="52"/>
      <c r="D872" s="52"/>
      <c r="E872" s="53"/>
      <c r="F872" s="53"/>
      <c r="G872" s="53"/>
      <c r="H872" s="53"/>
      <c r="I872" s="53"/>
      <c r="J872" s="1"/>
    </row>
    <row r="873" ht="14.25" customHeight="1">
      <c r="A873" s="52"/>
      <c r="B873" s="52"/>
      <c r="C873" s="52"/>
      <c r="D873" s="52"/>
      <c r="E873" s="53"/>
      <c r="F873" s="53"/>
      <c r="G873" s="53"/>
      <c r="H873" s="53"/>
      <c r="I873" s="53"/>
      <c r="J873" s="1"/>
    </row>
    <row r="874" ht="14.25" customHeight="1">
      <c r="A874" s="52"/>
      <c r="B874" s="52"/>
      <c r="C874" s="52"/>
      <c r="D874" s="52"/>
      <c r="E874" s="53"/>
      <c r="F874" s="53"/>
      <c r="G874" s="53"/>
      <c r="H874" s="53"/>
      <c r="I874" s="53"/>
      <c r="J874" s="1"/>
    </row>
    <row r="875" ht="14.25" customHeight="1">
      <c r="A875" s="52"/>
      <c r="B875" s="52"/>
      <c r="C875" s="52"/>
      <c r="D875" s="52"/>
      <c r="E875" s="53"/>
      <c r="F875" s="53"/>
      <c r="G875" s="53"/>
      <c r="H875" s="53"/>
      <c r="I875" s="53"/>
      <c r="J875" s="1"/>
    </row>
    <row r="876" ht="14.25" customHeight="1">
      <c r="A876" s="52"/>
      <c r="B876" s="52"/>
      <c r="C876" s="52"/>
      <c r="D876" s="52"/>
      <c r="E876" s="53"/>
      <c r="F876" s="53"/>
      <c r="G876" s="53"/>
      <c r="H876" s="53"/>
      <c r="I876" s="53"/>
      <c r="J876" s="1"/>
    </row>
    <row r="877" ht="14.25" customHeight="1">
      <c r="A877" s="52"/>
      <c r="B877" s="52"/>
      <c r="C877" s="52"/>
      <c r="D877" s="52"/>
      <c r="E877" s="53"/>
      <c r="F877" s="53"/>
      <c r="G877" s="53"/>
      <c r="H877" s="53"/>
      <c r="I877" s="53"/>
      <c r="J877" s="1"/>
    </row>
    <row r="878" ht="14.25" customHeight="1">
      <c r="A878" s="52"/>
      <c r="B878" s="52"/>
      <c r="C878" s="52"/>
      <c r="D878" s="52"/>
      <c r="E878" s="53"/>
      <c r="F878" s="53"/>
      <c r="G878" s="53"/>
      <c r="H878" s="53"/>
      <c r="I878" s="53"/>
      <c r="J878" s="1"/>
    </row>
    <row r="879" ht="14.25" customHeight="1">
      <c r="A879" s="52"/>
      <c r="B879" s="52"/>
      <c r="C879" s="52"/>
      <c r="D879" s="52"/>
      <c r="E879" s="53"/>
      <c r="F879" s="53"/>
      <c r="G879" s="53"/>
      <c r="H879" s="53"/>
      <c r="I879" s="53"/>
      <c r="J879" s="1"/>
    </row>
    <row r="880" ht="14.25" customHeight="1">
      <c r="A880" s="52"/>
      <c r="B880" s="52"/>
      <c r="C880" s="52"/>
      <c r="D880" s="52"/>
      <c r="E880" s="53"/>
      <c r="F880" s="53"/>
      <c r="G880" s="53"/>
      <c r="H880" s="53"/>
      <c r="I880" s="53"/>
      <c r="J880" s="1"/>
    </row>
    <row r="881" ht="14.25" customHeight="1">
      <c r="A881" s="52"/>
      <c r="B881" s="52"/>
      <c r="C881" s="52"/>
      <c r="D881" s="52"/>
      <c r="E881" s="53"/>
      <c r="F881" s="53"/>
      <c r="G881" s="53"/>
      <c r="H881" s="53"/>
      <c r="I881" s="53"/>
      <c r="J881" s="1"/>
    </row>
    <row r="882" ht="14.25" customHeight="1">
      <c r="A882" s="52"/>
      <c r="B882" s="52"/>
      <c r="C882" s="52"/>
      <c r="D882" s="52"/>
      <c r="E882" s="53"/>
      <c r="F882" s="53"/>
      <c r="G882" s="53"/>
      <c r="H882" s="53"/>
      <c r="I882" s="53"/>
      <c r="J882" s="1"/>
    </row>
    <row r="883" ht="14.25" customHeight="1">
      <c r="A883" s="52"/>
      <c r="B883" s="52"/>
      <c r="C883" s="52"/>
      <c r="D883" s="52"/>
      <c r="E883" s="53"/>
      <c r="F883" s="53"/>
      <c r="G883" s="53"/>
      <c r="H883" s="53"/>
      <c r="I883" s="53"/>
      <c r="J883" s="1"/>
    </row>
    <row r="884" ht="14.25" customHeight="1">
      <c r="A884" s="52"/>
      <c r="B884" s="52"/>
      <c r="C884" s="52"/>
      <c r="D884" s="52"/>
      <c r="E884" s="53"/>
      <c r="F884" s="53"/>
      <c r="G884" s="53"/>
      <c r="H884" s="53"/>
      <c r="I884" s="53"/>
      <c r="J884" s="1"/>
    </row>
    <row r="885" ht="14.25" customHeight="1">
      <c r="A885" s="52"/>
      <c r="B885" s="52"/>
      <c r="C885" s="52"/>
      <c r="D885" s="52"/>
      <c r="E885" s="53"/>
      <c r="F885" s="53"/>
      <c r="G885" s="53"/>
      <c r="H885" s="53"/>
      <c r="I885" s="53"/>
      <c r="J885" s="1"/>
    </row>
    <row r="886" ht="14.25" customHeight="1">
      <c r="A886" s="52"/>
      <c r="B886" s="52"/>
      <c r="C886" s="52"/>
      <c r="D886" s="52"/>
      <c r="E886" s="53"/>
      <c r="F886" s="53"/>
      <c r="G886" s="53"/>
      <c r="H886" s="53"/>
      <c r="I886" s="53"/>
      <c r="J886" s="1"/>
    </row>
    <row r="887" ht="14.25" customHeight="1">
      <c r="A887" s="52"/>
      <c r="B887" s="52"/>
      <c r="C887" s="52"/>
      <c r="D887" s="52"/>
      <c r="E887" s="53"/>
      <c r="F887" s="53"/>
      <c r="G887" s="53"/>
      <c r="H887" s="53"/>
      <c r="I887" s="53"/>
      <c r="J887" s="1"/>
    </row>
    <row r="888" ht="14.25" customHeight="1">
      <c r="A888" s="52"/>
      <c r="B888" s="52"/>
      <c r="C888" s="52"/>
      <c r="D888" s="52"/>
      <c r="E888" s="53"/>
      <c r="F888" s="53"/>
      <c r="G888" s="53"/>
      <c r="H888" s="53"/>
      <c r="I888" s="53"/>
      <c r="J888" s="1"/>
    </row>
    <row r="889" ht="14.25" customHeight="1">
      <c r="A889" s="52"/>
      <c r="B889" s="52"/>
      <c r="C889" s="52"/>
      <c r="D889" s="52"/>
      <c r="E889" s="53"/>
      <c r="F889" s="53"/>
      <c r="G889" s="53"/>
      <c r="H889" s="53"/>
      <c r="I889" s="53"/>
      <c r="J889" s="1"/>
    </row>
    <row r="890" ht="14.25" customHeight="1">
      <c r="A890" s="52"/>
      <c r="B890" s="52"/>
      <c r="C890" s="52"/>
      <c r="D890" s="52"/>
      <c r="E890" s="53"/>
      <c r="F890" s="53"/>
      <c r="G890" s="53"/>
      <c r="H890" s="53"/>
      <c r="I890" s="53"/>
      <c r="J890" s="1"/>
    </row>
    <row r="891" ht="14.25" customHeight="1">
      <c r="A891" s="52"/>
      <c r="B891" s="52"/>
      <c r="C891" s="52"/>
      <c r="D891" s="52"/>
      <c r="E891" s="53"/>
      <c r="F891" s="53"/>
      <c r="G891" s="53"/>
      <c r="H891" s="53"/>
      <c r="I891" s="53"/>
      <c r="J891" s="1"/>
    </row>
    <row r="892" ht="14.25" customHeight="1">
      <c r="A892" s="52"/>
      <c r="B892" s="52"/>
      <c r="C892" s="52"/>
      <c r="D892" s="52"/>
      <c r="E892" s="53"/>
      <c r="F892" s="53"/>
      <c r="G892" s="53"/>
      <c r="H892" s="53"/>
      <c r="I892" s="53"/>
      <c r="J892" s="1"/>
    </row>
    <row r="893" ht="14.25" customHeight="1">
      <c r="A893" s="52"/>
      <c r="B893" s="52"/>
      <c r="C893" s="52"/>
      <c r="D893" s="52"/>
      <c r="E893" s="53"/>
      <c r="F893" s="53"/>
      <c r="G893" s="53"/>
      <c r="H893" s="53"/>
      <c r="I893" s="53"/>
      <c r="J893" s="1"/>
    </row>
    <row r="894" ht="14.25" customHeight="1">
      <c r="A894" s="52"/>
      <c r="B894" s="52"/>
      <c r="C894" s="52"/>
      <c r="D894" s="52"/>
      <c r="E894" s="53"/>
      <c r="F894" s="53"/>
      <c r="G894" s="53"/>
      <c r="H894" s="53"/>
      <c r="I894" s="53"/>
      <c r="J894" s="1"/>
    </row>
    <row r="895" ht="14.25" customHeight="1">
      <c r="A895" s="52"/>
      <c r="B895" s="52"/>
      <c r="C895" s="52"/>
      <c r="D895" s="52"/>
      <c r="E895" s="53"/>
      <c r="F895" s="53"/>
      <c r="G895" s="53"/>
      <c r="H895" s="53"/>
      <c r="I895" s="53"/>
      <c r="J895" s="1"/>
    </row>
    <row r="896" ht="14.25" customHeight="1">
      <c r="A896" s="52"/>
      <c r="B896" s="52"/>
      <c r="C896" s="52"/>
      <c r="D896" s="52"/>
      <c r="E896" s="53"/>
      <c r="F896" s="53"/>
      <c r="G896" s="53"/>
      <c r="H896" s="53"/>
      <c r="I896" s="53"/>
      <c r="J896" s="1"/>
    </row>
    <row r="897" ht="14.25" customHeight="1">
      <c r="A897" s="52"/>
      <c r="B897" s="52"/>
      <c r="C897" s="52"/>
      <c r="D897" s="52"/>
      <c r="E897" s="53"/>
      <c r="F897" s="53"/>
      <c r="G897" s="53"/>
      <c r="H897" s="53"/>
      <c r="I897" s="53"/>
      <c r="J897" s="1"/>
    </row>
    <row r="898" ht="14.25" customHeight="1">
      <c r="A898" s="52"/>
      <c r="B898" s="52"/>
      <c r="C898" s="52"/>
      <c r="D898" s="52"/>
      <c r="E898" s="53"/>
      <c r="F898" s="53"/>
      <c r="G898" s="53"/>
      <c r="H898" s="53"/>
      <c r="I898" s="53"/>
      <c r="J898" s="1"/>
    </row>
    <row r="899" ht="14.25" customHeight="1">
      <c r="A899" s="52"/>
      <c r="B899" s="52"/>
      <c r="C899" s="52"/>
      <c r="D899" s="52"/>
      <c r="E899" s="53"/>
      <c r="F899" s="53"/>
      <c r="G899" s="53"/>
      <c r="H899" s="53"/>
      <c r="I899" s="53"/>
      <c r="J899" s="1"/>
    </row>
    <row r="900" ht="14.25" customHeight="1">
      <c r="A900" s="52"/>
      <c r="B900" s="52"/>
      <c r="C900" s="52"/>
      <c r="D900" s="52"/>
      <c r="E900" s="53"/>
      <c r="F900" s="53"/>
      <c r="G900" s="53"/>
      <c r="H900" s="53"/>
      <c r="I900" s="53"/>
      <c r="J900" s="1"/>
    </row>
    <row r="901" ht="14.25" customHeight="1">
      <c r="A901" s="52"/>
      <c r="B901" s="52"/>
      <c r="C901" s="52"/>
      <c r="D901" s="52"/>
      <c r="E901" s="53"/>
      <c r="F901" s="53"/>
      <c r="G901" s="53"/>
      <c r="H901" s="53"/>
      <c r="I901" s="53"/>
      <c r="J901" s="1"/>
    </row>
    <row r="902" ht="14.25" customHeight="1">
      <c r="A902" s="52"/>
      <c r="B902" s="52"/>
      <c r="C902" s="52"/>
      <c r="D902" s="52"/>
      <c r="E902" s="53"/>
      <c r="F902" s="53"/>
      <c r="G902" s="53"/>
      <c r="H902" s="53"/>
      <c r="I902" s="53"/>
      <c r="J902" s="1"/>
    </row>
    <row r="903" ht="14.25" customHeight="1">
      <c r="A903" s="52"/>
      <c r="B903" s="52"/>
      <c r="C903" s="52"/>
      <c r="D903" s="52"/>
      <c r="E903" s="53"/>
      <c r="F903" s="53"/>
      <c r="G903" s="53"/>
      <c r="H903" s="53"/>
      <c r="I903" s="53"/>
      <c r="J903" s="1"/>
    </row>
    <row r="904" ht="14.25" customHeight="1">
      <c r="A904" s="52"/>
      <c r="B904" s="52"/>
      <c r="C904" s="52"/>
      <c r="D904" s="52"/>
      <c r="E904" s="53"/>
      <c r="F904" s="53"/>
      <c r="G904" s="53"/>
      <c r="H904" s="53"/>
      <c r="I904" s="53"/>
      <c r="J904" s="1"/>
    </row>
    <row r="905" ht="14.25" customHeight="1">
      <c r="A905" s="52"/>
      <c r="B905" s="52"/>
      <c r="C905" s="52"/>
      <c r="D905" s="52"/>
      <c r="E905" s="53"/>
      <c r="F905" s="53"/>
      <c r="G905" s="53"/>
      <c r="H905" s="53"/>
      <c r="I905" s="53"/>
      <c r="J905" s="1"/>
    </row>
    <row r="906" ht="14.25" customHeight="1">
      <c r="A906" s="52"/>
      <c r="B906" s="52"/>
      <c r="C906" s="52"/>
      <c r="D906" s="52"/>
      <c r="E906" s="53"/>
      <c r="F906" s="53"/>
      <c r="G906" s="53"/>
      <c r="H906" s="53"/>
      <c r="I906" s="53"/>
      <c r="J906" s="1"/>
    </row>
    <row r="907" ht="14.25" customHeight="1">
      <c r="A907" s="52"/>
      <c r="B907" s="52"/>
      <c r="C907" s="52"/>
      <c r="D907" s="52"/>
      <c r="E907" s="53"/>
      <c r="F907" s="53"/>
      <c r="G907" s="53"/>
      <c r="H907" s="53"/>
      <c r="I907" s="53"/>
      <c r="J907" s="1"/>
    </row>
    <row r="908" ht="14.25" customHeight="1">
      <c r="A908" s="52"/>
      <c r="B908" s="52"/>
      <c r="C908" s="52"/>
      <c r="D908" s="52"/>
      <c r="E908" s="53"/>
      <c r="F908" s="53"/>
      <c r="G908" s="53"/>
      <c r="H908" s="53"/>
      <c r="I908" s="53"/>
      <c r="J908" s="1"/>
    </row>
    <row r="909" ht="14.25" customHeight="1">
      <c r="A909" s="52"/>
      <c r="B909" s="52"/>
      <c r="C909" s="52"/>
      <c r="D909" s="52"/>
      <c r="E909" s="53"/>
      <c r="F909" s="53"/>
      <c r="G909" s="53"/>
      <c r="H909" s="53"/>
      <c r="I909" s="53"/>
      <c r="J909" s="1"/>
    </row>
    <row r="910" ht="14.25" customHeight="1">
      <c r="A910" s="52"/>
      <c r="B910" s="52"/>
      <c r="C910" s="52"/>
      <c r="D910" s="52"/>
      <c r="E910" s="53"/>
      <c r="F910" s="53"/>
      <c r="G910" s="53"/>
      <c r="H910" s="53"/>
      <c r="I910" s="53"/>
      <c r="J910" s="1"/>
    </row>
    <row r="911" ht="14.25" customHeight="1">
      <c r="A911" s="52"/>
      <c r="B911" s="52"/>
      <c r="C911" s="52"/>
      <c r="D911" s="52"/>
      <c r="E911" s="53"/>
      <c r="F911" s="53"/>
      <c r="G911" s="53"/>
      <c r="H911" s="53"/>
      <c r="I911" s="53"/>
      <c r="J911" s="1"/>
    </row>
    <row r="912" ht="14.25" customHeight="1">
      <c r="A912" s="52"/>
      <c r="B912" s="52"/>
      <c r="C912" s="52"/>
      <c r="D912" s="52"/>
      <c r="E912" s="53"/>
      <c r="F912" s="53"/>
      <c r="G912" s="53"/>
      <c r="H912" s="53"/>
      <c r="I912" s="53"/>
      <c r="J912" s="1"/>
    </row>
    <row r="913" ht="14.25" customHeight="1">
      <c r="A913" s="52"/>
      <c r="B913" s="52"/>
      <c r="C913" s="52"/>
      <c r="D913" s="52"/>
      <c r="E913" s="53"/>
      <c r="F913" s="53"/>
      <c r="G913" s="53"/>
      <c r="H913" s="53"/>
      <c r="I913" s="53"/>
      <c r="J913" s="1"/>
    </row>
    <row r="914" ht="14.25" customHeight="1">
      <c r="A914" s="52"/>
      <c r="B914" s="52"/>
      <c r="C914" s="52"/>
      <c r="D914" s="52"/>
      <c r="E914" s="53"/>
      <c r="F914" s="53"/>
      <c r="G914" s="53"/>
      <c r="H914" s="53"/>
      <c r="I914" s="53"/>
      <c r="J914" s="1"/>
    </row>
    <row r="915" ht="14.25" customHeight="1">
      <c r="A915" s="52"/>
      <c r="B915" s="52"/>
      <c r="C915" s="52"/>
      <c r="D915" s="52"/>
      <c r="E915" s="53"/>
      <c r="F915" s="53"/>
      <c r="G915" s="53"/>
      <c r="H915" s="53"/>
      <c r="I915" s="53"/>
      <c r="J915" s="1"/>
    </row>
    <row r="916" ht="14.25" customHeight="1">
      <c r="A916" s="52"/>
      <c r="B916" s="52"/>
      <c r="C916" s="52"/>
      <c r="D916" s="52"/>
      <c r="E916" s="53"/>
      <c r="F916" s="53"/>
      <c r="G916" s="53"/>
      <c r="H916" s="53"/>
      <c r="I916" s="53"/>
      <c r="J916" s="1"/>
    </row>
    <row r="917" ht="14.25" customHeight="1">
      <c r="A917" s="52"/>
      <c r="B917" s="52"/>
      <c r="C917" s="52"/>
      <c r="D917" s="52"/>
      <c r="E917" s="53"/>
      <c r="F917" s="53"/>
      <c r="G917" s="53"/>
      <c r="H917" s="53"/>
      <c r="I917" s="53"/>
      <c r="J917" s="1"/>
    </row>
    <row r="918" ht="14.25" customHeight="1">
      <c r="A918" s="52"/>
      <c r="B918" s="52"/>
      <c r="C918" s="52"/>
      <c r="D918" s="52"/>
      <c r="E918" s="53"/>
      <c r="F918" s="53"/>
      <c r="G918" s="53"/>
      <c r="H918" s="53"/>
      <c r="I918" s="53"/>
      <c r="J918" s="1"/>
    </row>
    <row r="919" ht="14.25" customHeight="1">
      <c r="A919" s="52"/>
      <c r="B919" s="52"/>
      <c r="C919" s="52"/>
      <c r="D919" s="52"/>
      <c r="E919" s="53"/>
      <c r="F919" s="53"/>
      <c r="G919" s="53"/>
      <c r="H919" s="53"/>
      <c r="I919" s="53"/>
      <c r="J919" s="1"/>
    </row>
    <row r="920" ht="14.25" customHeight="1">
      <c r="A920" s="52"/>
      <c r="B920" s="52"/>
      <c r="C920" s="52"/>
      <c r="D920" s="52"/>
      <c r="E920" s="53"/>
      <c r="F920" s="53"/>
      <c r="G920" s="53"/>
      <c r="H920" s="53"/>
      <c r="I920" s="53"/>
      <c r="J920" s="1"/>
    </row>
    <row r="921" ht="14.25" customHeight="1">
      <c r="A921" s="52"/>
      <c r="B921" s="52"/>
      <c r="C921" s="52"/>
      <c r="D921" s="52"/>
      <c r="E921" s="53"/>
      <c r="F921" s="53"/>
      <c r="G921" s="53"/>
      <c r="H921" s="53"/>
      <c r="I921" s="53"/>
      <c r="J921" s="1"/>
    </row>
    <row r="922" ht="14.25" customHeight="1">
      <c r="A922" s="52"/>
      <c r="B922" s="52"/>
      <c r="C922" s="52"/>
      <c r="D922" s="52"/>
      <c r="E922" s="53"/>
      <c r="F922" s="53"/>
      <c r="G922" s="53"/>
      <c r="H922" s="53"/>
      <c r="I922" s="53"/>
      <c r="J922" s="1"/>
    </row>
    <row r="923" ht="14.25" customHeight="1">
      <c r="A923" s="52"/>
      <c r="B923" s="52"/>
      <c r="C923" s="52"/>
      <c r="D923" s="52"/>
      <c r="E923" s="53"/>
      <c r="F923" s="53"/>
      <c r="G923" s="53"/>
      <c r="H923" s="53"/>
      <c r="I923" s="53"/>
      <c r="J923" s="1"/>
    </row>
    <row r="924" ht="14.25" customHeight="1">
      <c r="A924" s="52"/>
      <c r="B924" s="52"/>
      <c r="C924" s="52"/>
      <c r="D924" s="52"/>
      <c r="E924" s="53"/>
      <c r="F924" s="53"/>
      <c r="G924" s="53"/>
      <c r="H924" s="53"/>
      <c r="I924" s="53"/>
      <c r="J924" s="1"/>
    </row>
    <row r="925" ht="14.25" customHeight="1">
      <c r="A925" s="52"/>
      <c r="B925" s="52"/>
      <c r="C925" s="52"/>
      <c r="D925" s="52"/>
      <c r="E925" s="53"/>
      <c r="F925" s="53"/>
      <c r="G925" s="53"/>
      <c r="H925" s="53"/>
      <c r="I925" s="53"/>
      <c r="J925" s="1"/>
    </row>
    <row r="926" ht="14.25" customHeight="1">
      <c r="A926" s="52"/>
      <c r="B926" s="52"/>
      <c r="C926" s="52"/>
      <c r="D926" s="52"/>
      <c r="E926" s="53"/>
      <c r="F926" s="53"/>
      <c r="G926" s="53"/>
      <c r="H926" s="53"/>
      <c r="I926" s="53"/>
      <c r="J926" s="1"/>
    </row>
    <row r="927" ht="14.25" customHeight="1">
      <c r="A927" s="52"/>
      <c r="B927" s="52"/>
      <c r="C927" s="52"/>
      <c r="D927" s="52"/>
      <c r="E927" s="53"/>
      <c r="F927" s="53"/>
      <c r="G927" s="53"/>
      <c r="H927" s="53"/>
      <c r="I927" s="53"/>
      <c r="J927" s="1"/>
    </row>
    <row r="928" ht="14.25" customHeight="1">
      <c r="A928" s="52"/>
      <c r="B928" s="52"/>
      <c r="C928" s="52"/>
      <c r="D928" s="52"/>
      <c r="E928" s="53"/>
      <c r="F928" s="53"/>
      <c r="G928" s="53"/>
      <c r="H928" s="53"/>
      <c r="I928" s="53"/>
      <c r="J928" s="1"/>
    </row>
    <row r="929" ht="14.25" customHeight="1">
      <c r="A929" s="52"/>
      <c r="B929" s="52"/>
      <c r="C929" s="52"/>
      <c r="D929" s="52"/>
      <c r="E929" s="53"/>
      <c r="F929" s="53"/>
      <c r="G929" s="53"/>
      <c r="H929" s="53"/>
      <c r="I929" s="53"/>
      <c r="J929" s="1"/>
    </row>
    <row r="930" ht="14.25" customHeight="1">
      <c r="A930" s="52"/>
      <c r="B930" s="52"/>
      <c r="C930" s="52"/>
      <c r="D930" s="52"/>
      <c r="E930" s="53"/>
      <c r="F930" s="53"/>
      <c r="G930" s="53"/>
      <c r="H930" s="53"/>
      <c r="I930" s="53"/>
      <c r="J930" s="1"/>
    </row>
    <row r="931" ht="14.25" customHeight="1">
      <c r="A931" s="52"/>
      <c r="B931" s="52"/>
      <c r="C931" s="52"/>
      <c r="D931" s="52"/>
      <c r="E931" s="53"/>
      <c r="F931" s="53"/>
      <c r="G931" s="53"/>
      <c r="H931" s="53"/>
      <c r="I931" s="53"/>
      <c r="J931" s="1"/>
    </row>
    <row r="932" ht="14.25" customHeight="1">
      <c r="A932" s="52"/>
      <c r="B932" s="52"/>
      <c r="C932" s="52"/>
      <c r="D932" s="52"/>
      <c r="E932" s="53"/>
      <c r="F932" s="53"/>
      <c r="G932" s="53"/>
      <c r="H932" s="53"/>
      <c r="I932" s="53"/>
      <c r="J932" s="1"/>
    </row>
    <row r="933" ht="14.25" customHeight="1">
      <c r="A933" s="52"/>
      <c r="B933" s="52"/>
      <c r="C933" s="52"/>
      <c r="D933" s="52"/>
      <c r="E933" s="53"/>
      <c r="F933" s="53"/>
      <c r="G933" s="53"/>
      <c r="H933" s="53"/>
      <c r="I933" s="53"/>
      <c r="J933" s="1"/>
    </row>
    <row r="934" ht="14.25" customHeight="1">
      <c r="A934" s="52"/>
      <c r="B934" s="52"/>
      <c r="C934" s="52"/>
      <c r="D934" s="52"/>
      <c r="E934" s="53"/>
      <c r="F934" s="53"/>
      <c r="G934" s="53"/>
      <c r="H934" s="53"/>
      <c r="I934" s="53"/>
      <c r="J934" s="1"/>
    </row>
    <row r="935" ht="14.25" customHeight="1">
      <c r="A935" s="52"/>
      <c r="B935" s="52"/>
      <c r="C935" s="52"/>
      <c r="D935" s="52"/>
      <c r="E935" s="53"/>
      <c r="F935" s="53"/>
      <c r="G935" s="53"/>
      <c r="H935" s="53"/>
      <c r="I935" s="53"/>
      <c r="J935" s="1"/>
    </row>
    <row r="936" ht="14.25" customHeight="1">
      <c r="A936" s="52"/>
      <c r="B936" s="52"/>
      <c r="C936" s="52"/>
      <c r="D936" s="52"/>
      <c r="E936" s="53"/>
      <c r="F936" s="53"/>
      <c r="G936" s="53"/>
      <c r="H936" s="53"/>
      <c r="I936" s="53"/>
      <c r="J936" s="1"/>
    </row>
    <row r="937" ht="14.25" customHeight="1">
      <c r="A937" s="52"/>
      <c r="B937" s="52"/>
      <c r="C937" s="52"/>
      <c r="D937" s="52"/>
      <c r="E937" s="53"/>
      <c r="F937" s="53"/>
      <c r="G937" s="53"/>
      <c r="H937" s="53"/>
      <c r="I937" s="53"/>
      <c r="J937" s="1"/>
    </row>
    <row r="938" ht="14.25" customHeight="1">
      <c r="A938" s="52"/>
      <c r="B938" s="52"/>
      <c r="C938" s="52"/>
      <c r="D938" s="52"/>
      <c r="E938" s="53"/>
      <c r="F938" s="53"/>
      <c r="G938" s="53"/>
      <c r="H938" s="53"/>
      <c r="I938" s="53"/>
      <c r="J938" s="1"/>
    </row>
    <row r="939" ht="14.25" customHeight="1">
      <c r="A939" s="52"/>
      <c r="B939" s="52"/>
      <c r="C939" s="52"/>
      <c r="D939" s="52"/>
      <c r="E939" s="53"/>
      <c r="F939" s="53"/>
      <c r="G939" s="53"/>
      <c r="H939" s="53"/>
      <c r="I939" s="53"/>
      <c r="J939" s="1"/>
    </row>
    <row r="940" ht="14.25" customHeight="1">
      <c r="A940" s="52"/>
      <c r="B940" s="52"/>
      <c r="C940" s="52"/>
      <c r="D940" s="52"/>
      <c r="E940" s="53"/>
      <c r="F940" s="53"/>
      <c r="G940" s="53"/>
      <c r="H940" s="53"/>
      <c r="I940" s="53"/>
      <c r="J940" s="1"/>
    </row>
    <row r="941" ht="14.25" customHeight="1">
      <c r="A941" s="52"/>
      <c r="B941" s="52"/>
      <c r="C941" s="52"/>
      <c r="D941" s="52"/>
      <c r="E941" s="53"/>
      <c r="F941" s="53"/>
      <c r="G941" s="53"/>
      <c r="H941" s="53"/>
      <c r="I941" s="53"/>
      <c r="J941" s="1"/>
    </row>
    <row r="942" ht="14.25" customHeight="1">
      <c r="A942" s="52"/>
      <c r="B942" s="52"/>
      <c r="C942" s="52"/>
      <c r="D942" s="52"/>
      <c r="E942" s="53"/>
      <c r="F942" s="53"/>
      <c r="G942" s="53"/>
      <c r="H942" s="53"/>
      <c r="I942" s="53"/>
      <c r="J942" s="1"/>
    </row>
    <row r="943" ht="14.25" customHeight="1">
      <c r="A943" s="52"/>
      <c r="B943" s="52"/>
      <c r="C943" s="52"/>
      <c r="D943" s="52"/>
      <c r="E943" s="53"/>
      <c r="F943" s="53"/>
      <c r="G943" s="53"/>
      <c r="H943" s="53"/>
      <c r="I943" s="53"/>
      <c r="J943" s="1"/>
    </row>
    <row r="944" ht="14.25" customHeight="1">
      <c r="A944" s="52"/>
      <c r="B944" s="52"/>
      <c r="C944" s="52"/>
      <c r="D944" s="52"/>
      <c r="E944" s="53"/>
      <c r="F944" s="53"/>
      <c r="G944" s="53"/>
      <c r="H944" s="53"/>
      <c r="I944" s="53"/>
      <c r="J944" s="1"/>
    </row>
    <row r="945" ht="14.25" customHeight="1">
      <c r="A945" s="52"/>
      <c r="B945" s="52"/>
      <c r="C945" s="52"/>
      <c r="D945" s="52"/>
      <c r="E945" s="53"/>
      <c r="F945" s="53"/>
      <c r="G945" s="53"/>
      <c r="H945" s="53"/>
      <c r="I945" s="53"/>
      <c r="J945" s="1"/>
    </row>
    <row r="946" ht="14.25" customHeight="1">
      <c r="A946" s="52"/>
      <c r="B946" s="52"/>
      <c r="C946" s="52"/>
      <c r="D946" s="52"/>
      <c r="E946" s="53"/>
      <c r="F946" s="53"/>
      <c r="G946" s="53"/>
      <c r="H946" s="53"/>
      <c r="I946" s="53"/>
      <c r="J946" s="1"/>
    </row>
    <row r="947" ht="14.25" customHeight="1">
      <c r="A947" s="52"/>
      <c r="B947" s="52"/>
      <c r="C947" s="52"/>
      <c r="D947" s="52"/>
      <c r="E947" s="53"/>
      <c r="F947" s="53"/>
      <c r="G947" s="53"/>
      <c r="H947" s="53"/>
      <c r="I947" s="53"/>
      <c r="J947" s="1"/>
    </row>
    <row r="948" ht="14.25" customHeight="1">
      <c r="A948" s="52"/>
      <c r="B948" s="52"/>
      <c r="C948" s="52"/>
      <c r="D948" s="52"/>
      <c r="E948" s="53"/>
      <c r="F948" s="53"/>
      <c r="G948" s="53"/>
      <c r="H948" s="53"/>
      <c r="I948" s="53"/>
      <c r="J948" s="1"/>
    </row>
    <row r="949" ht="14.25" customHeight="1">
      <c r="A949" s="52"/>
      <c r="B949" s="52"/>
      <c r="C949" s="52"/>
      <c r="D949" s="52"/>
      <c r="E949" s="53"/>
      <c r="F949" s="53"/>
      <c r="G949" s="53"/>
      <c r="H949" s="53"/>
      <c r="I949" s="53"/>
      <c r="J949" s="1"/>
    </row>
    <row r="950" ht="14.25" customHeight="1">
      <c r="A950" s="52"/>
      <c r="B950" s="52"/>
      <c r="C950" s="52"/>
      <c r="D950" s="52"/>
      <c r="E950" s="53"/>
      <c r="F950" s="53"/>
      <c r="G950" s="53"/>
      <c r="H950" s="53"/>
      <c r="I950" s="53"/>
      <c r="J950" s="1"/>
    </row>
    <row r="951" ht="14.25" customHeight="1">
      <c r="A951" s="52"/>
      <c r="B951" s="52"/>
      <c r="C951" s="52"/>
      <c r="D951" s="52"/>
      <c r="E951" s="53"/>
      <c r="F951" s="53"/>
      <c r="G951" s="53"/>
      <c r="H951" s="53"/>
      <c r="I951" s="53"/>
      <c r="J951" s="1"/>
    </row>
    <row r="952" ht="14.25" customHeight="1">
      <c r="A952" s="52"/>
      <c r="B952" s="52"/>
      <c r="C952" s="52"/>
      <c r="D952" s="52"/>
      <c r="E952" s="53"/>
      <c r="F952" s="53"/>
      <c r="G952" s="53"/>
      <c r="H952" s="53"/>
      <c r="I952" s="53"/>
      <c r="J952" s="1"/>
    </row>
    <row r="953" ht="14.25" customHeight="1">
      <c r="A953" s="52"/>
      <c r="B953" s="52"/>
      <c r="C953" s="52"/>
      <c r="D953" s="52"/>
      <c r="E953" s="53"/>
      <c r="F953" s="53"/>
      <c r="G953" s="53"/>
      <c r="H953" s="53"/>
      <c r="I953" s="53"/>
      <c r="J953" s="1"/>
    </row>
    <row r="954" ht="14.25" customHeight="1">
      <c r="A954" s="52"/>
      <c r="B954" s="52"/>
      <c r="C954" s="52"/>
      <c r="D954" s="52"/>
      <c r="E954" s="53"/>
      <c r="F954" s="53"/>
      <c r="G954" s="53"/>
      <c r="H954" s="53"/>
      <c r="I954" s="53"/>
      <c r="J954" s="1"/>
    </row>
    <row r="955" ht="14.25" customHeight="1">
      <c r="A955" s="52"/>
      <c r="B955" s="52"/>
      <c r="C955" s="52"/>
      <c r="D955" s="52"/>
      <c r="E955" s="53"/>
      <c r="F955" s="53"/>
      <c r="G955" s="53"/>
      <c r="H955" s="53"/>
      <c r="I955" s="53"/>
      <c r="J955" s="1"/>
    </row>
    <row r="956" ht="14.25" customHeight="1">
      <c r="A956" s="52"/>
      <c r="B956" s="52"/>
      <c r="C956" s="52"/>
      <c r="D956" s="52"/>
      <c r="E956" s="53"/>
      <c r="F956" s="53"/>
      <c r="G956" s="53"/>
      <c r="H956" s="53"/>
      <c r="I956" s="53"/>
      <c r="J956" s="1"/>
    </row>
    <row r="957" ht="14.25" customHeight="1">
      <c r="A957" s="52"/>
      <c r="B957" s="52"/>
      <c r="C957" s="52"/>
      <c r="D957" s="52"/>
      <c r="E957" s="53"/>
      <c r="F957" s="53"/>
      <c r="G957" s="53"/>
      <c r="H957" s="53"/>
      <c r="I957" s="53"/>
      <c r="J957" s="1"/>
    </row>
    <row r="958" ht="14.25" customHeight="1">
      <c r="A958" s="52"/>
      <c r="B958" s="52"/>
      <c r="C958" s="52"/>
      <c r="D958" s="52"/>
      <c r="E958" s="53"/>
      <c r="F958" s="53"/>
      <c r="G958" s="53"/>
      <c r="H958" s="53"/>
      <c r="I958" s="53"/>
      <c r="J958" s="1"/>
    </row>
    <row r="959" ht="14.25" customHeight="1">
      <c r="A959" s="52"/>
      <c r="B959" s="52"/>
      <c r="C959" s="52"/>
      <c r="D959" s="52"/>
      <c r="E959" s="53"/>
      <c r="F959" s="53"/>
      <c r="G959" s="53"/>
      <c r="H959" s="53"/>
      <c r="I959" s="53"/>
      <c r="J959" s="1"/>
    </row>
    <row r="960" ht="14.25" customHeight="1">
      <c r="A960" s="52"/>
      <c r="B960" s="52"/>
      <c r="C960" s="52"/>
      <c r="D960" s="52"/>
      <c r="E960" s="53"/>
      <c r="F960" s="53"/>
      <c r="G960" s="53"/>
      <c r="H960" s="53"/>
      <c r="I960" s="53"/>
      <c r="J960" s="1"/>
    </row>
    <row r="961" ht="14.25" customHeight="1">
      <c r="A961" s="52"/>
      <c r="B961" s="52"/>
      <c r="C961" s="52"/>
      <c r="D961" s="52"/>
      <c r="E961" s="53"/>
      <c r="F961" s="53"/>
      <c r="G961" s="53"/>
      <c r="H961" s="53"/>
      <c r="I961" s="53"/>
      <c r="J961" s="1"/>
    </row>
    <row r="962" ht="14.25" customHeight="1">
      <c r="A962" s="52"/>
      <c r="B962" s="52"/>
      <c r="C962" s="52"/>
      <c r="D962" s="52"/>
      <c r="E962" s="53"/>
      <c r="F962" s="53"/>
      <c r="G962" s="53"/>
      <c r="H962" s="53"/>
      <c r="I962" s="53"/>
      <c r="J962" s="1"/>
    </row>
    <row r="963" ht="14.25" customHeight="1">
      <c r="A963" s="52"/>
      <c r="B963" s="52"/>
      <c r="C963" s="52"/>
      <c r="D963" s="52"/>
      <c r="E963" s="53"/>
      <c r="F963" s="53"/>
      <c r="G963" s="53"/>
      <c r="H963" s="53"/>
      <c r="I963" s="53"/>
      <c r="J963" s="1"/>
    </row>
    <row r="964" ht="14.25" customHeight="1">
      <c r="A964" s="52"/>
      <c r="B964" s="52"/>
      <c r="C964" s="52"/>
      <c r="D964" s="52"/>
      <c r="E964" s="53"/>
      <c r="F964" s="53"/>
      <c r="G964" s="53"/>
      <c r="H964" s="53"/>
      <c r="I964" s="53"/>
      <c r="J964" s="1"/>
    </row>
    <row r="965" ht="14.25" customHeight="1">
      <c r="A965" s="52"/>
      <c r="B965" s="52"/>
      <c r="C965" s="52"/>
      <c r="D965" s="52"/>
      <c r="E965" s="53"/>
      <c r="F965" s="53"/>
      <c r="G965" s="53"/>
      <c r="H965" s="53"/>
      <c r="I965" s="53"/>
      <c r="J965" s="1"/>
    </row>
    <row r="966" ht="14.25" customHeight="1">
      <c r="A966" s="52"/>
      <c r="B966" s="52"/>
      <c r="C966" s="52"/>
      <c r="D966" s="52"/>
      <c r="E966" s="53"/>
      <c r="F966" s="53"/>
      <c r="G966" s="53"/>
      <c r="H966" s="53"/>
      <c r="I966" s="53"/>
      <c r="J966" s="1"/>
    </row>
    <row r="967" ht="14.25" customHeight="1">
      <c r="A967" s="52"/>
      <c r="B967" s="52"/>
      <c r="C967" s="52"/>
      <c r="D967" s="52"/>
      <c r="E967" s="53"/>
      <c r="F967" s="53"/>
      <c r="G967" s="53"/>
      <c r="H967" s="53"/>
      <c r="I967" s="53"/>
      <c r="J967" s="1"/>
    </row>
    <row r="968" ht="14.25" customHeight="1">
      <c r="A968" s="52"/>
      <c r="B968" s="52"/>
      <c r="C968" s="52"/>
      <c r="D968" s="52"/>
      <c r="E968" s="53"/>
      <c r="F968" s="53"/>
      <c r="G968" s="53"/>
      <c r="H968" s="53"/>
      <c r="I968" s="53"/>
      <c r="J968" s="1"/>
    </row>
    <row r="969" ht="14.25" customHeight="1">
      <c r="A969" s="52"/>
      <c r="B969" s="52"/>
      <c r="C969" s="52"/>
      <c r="D969" s="52"/>
      <c r="E969" s="53"/>
      <c r="F969" s="53"/>
      <c r="G969" s="53"/>
      <c r="H969" s="53"/>
      <c r="I969" s="53"/>
      <c r="J969" s="1"/>
    </row>
    <row r="970" ht="14.25" customHeight="1">
      <c r="A970" s="52"/>
      <c r="B970" s="52"/>
      <c r="C970" s="52"/>
      <c r="D970" s="52"/>
      <c r="E970" s="53"/>
      <c r="F970" s="53"/>
      <c r="G970" s="53"/>
      <c r="H970" s="53"/>
      <c r="I970" s="53"/>
      <c r="J970" s="1"/>
    </row>
    <row r="971" ht="14.25" customHeight="1">
      <c r="A971" s="52"/>
      <c r="B971" s="52"/>
      <c r="C971" s="52"/>
      <c r="D971" s="52"/>
      <c r="E971" s="53"/>
      <c r="F971" s="53"/>
      <c r="G971" s="53"/>
      <c r="H971" s="53"/>
      <c r="I971" s="53"/>
      <c r="J971" s="1"/>
    </row>
    <row r="972" ht="14.25" customHeight="1">
      <c r="A972" s="52"/>
      <c r="B972" s="52"/>
      <c r="C972" s="52"/>
      <c r="D972" s="52"/>
      <c r="E972" s="53"/>
      <c r="F972" s="53"/>
      <c r="G972" s="53"/>
      <c r="H972" s="53"/>
      <c r="I972" s="53"/>
      <c r="J972" s="1"/>
    </row>
    <row r="973" ht="14.25" customHeight="1">
      <c r="A973" s="52"/>
      <c r="B973" s="52"/>
      <c r="C973" s="52"/>
      <c r="D973" s="52"/>
      <c r="E973" s="53"/>
      <c r="F973" s="53"/>
      <c r="G973" s="53"/>
      <c r="H973" s="53"/>
      <c r="I973" s="53"/>
      <c r="J973" s="1"/>
    </row>
    <row r="974" ht="14.25" customHeight="1">
      <c r="A974" s="52"/>
      <c r="B974" s="52"/>
      <c r="C974" s="52"/>
      <c r="D974" s="52"/>
      <c r="E974" s="53"/>
      <c r="F974" s="53"/>
      <c r="G974" s="53"/>
      <c r="H974" s="53"/>
      <c r="I974" s="53"/>
      <c r="J974" s="1"/>
    </row>
    <row r="975" ht="14.25" customHeight="1">
      <c r="A975" s="52"/>
      <c r="B975" s="52"/>
      <c r="C975" s="52"/>
      <c r="D975" s="52"/>
      <c r="E975" s="53"/>
      <c r="F975" s="53"/>
      <c r="G975" s="53"/>
      <c r="H975" s="53"/>
      <c r="I975" s="53"/>
      <c r="J975" s="1"/>
    </row>
    <row r="976" ht="14.25" customHeight="1">
      <c r="A976" s="52"/>
      <c r="B976" s="52"/>
      <c r="C976" s="52"/>
      <c r="D976" s="52"/>
      <c r="E976" s="53"/>
      <c r="F976" s="53"/>
      <c r="G976" s="53"/>
      <c r="H976" s="53"/>
      <c r="I976" s="53"/>
      <c r="J976" s="1"/>
    </row>
    <row r="977" ht="14.25" customHeight="1">
      <c r="A977" s="52"/>
      <c r="B977" s="52"/>
      <c r="C977" s="52"/>
      <c r="D977" s="52"/>
      <c r="E977" s="53"/>
      <c r="F977" s="53"/>
      <c r="G977" s="53"/>
      <c r="H977" s="53"/>
      <c r="I977" s="53"/>
      <c r="J977" s="1"/>
    </row>
    <row r="978" ht="14.25" customHeight="1">
      <c r="A978" s="52"/>
      <c r="B978" s="52"/>
      <c r="C978" s="52"/>
      <c r="D978" s="52"/>
      <c r="E978" s="53"/>
      <c r="F978" s="53"/>
      <c r="G978" s="53"/>
      <c r="H978" s="53"/>
      <c r="I978" s="53"/>
      <c r="J978" s="1"/>
    </row>
    <row r="979" ht="14.25" customHeight="1">
      <c r="A979" s="52"/>
      <c r="B979" s="52"/>
      <c r="C979" s="52"/>
      <c r="D979" s="52"/>
      <c r="E979" s="53"/>
      <c r="F979" s="53"/>
      <c r="G979" s="53"/>
      <c r="H979" s="53"/>
      <c r="I979" s="53"/>
      <c r="J979" s="1"/>
    </row>
    <row r="980" ht="14.25" customHeight="1">
      <c r="A980" s="52"/>
      <c r="B980" s="52"/>
      <c r="C980" s="52"/>
      <c r="D980" s="52"/>
      <c r="E980" s="53"/>
      <c r="F980" s="53"/>
      <c r="G980" s="53"/>
      <c r="H980" s="53"/>
      <c r="I980" s="53"/>
      <c r="J980" s="1"/>
    </row>
    <row r="981" ht="14.25" customHeight="1">
      <c r="A981" s="52"/>
      <c r="B981" s="52"/>
      <c r="C981" s="52"/>
      <c r="D981" s="52"/>
      <c r="E981" s="53"/>
      <c r="F981" s="53"/>
      <c r="G981" s="53"/>
      <c r="H981" s="53"/>
      <c r="I981" s="53"/>
      <c r="J981" s="1"/>
    </row>
    <row r="982" ht="14.25" customHeight="1">
      <c r="A982" s="52"/>
      <c r="B982" s="52"/>
      <c r="C982" s="52"/>
      <c r="D982" s="52"/>
      <c r="E982" s="53"/>
      <c r="F982" s="53"/>
      <c r="G982" s="53"/>
      <c r="H982" s="53"/>
      <c r="I982" s="53"/>
      <c r="J982" s="1"/>
    </row>
    <row r="983" ht="14.25" customHeight="1">
      <c r="A983" s="52"/>
      <c r="B983" s="52"/>
      <c r="C983" s="52"/>
      <c r="D983" s="52"/>
      <c r="E983" s="53"/>
      <c r="F983" s="53"/>
      <c r="G983" s="53"/>
      <c r="H983" s="53"/>
      <c r="I983" s="53"/>
      <c r="J983" s="1"/>
    </row>
    <row r="984" ht="14.25" customHeight="1">
      <c r="A984" s="52"/>
      <c r="B984" s="52"/>
      <c r="C984" s="52"/>
      <c r="D984" s="52"/>
      <c r="E984" s="53"/>
      <c r="F984" s="53"/>
      <c r="G984" s="53"/>
      <c r="H984" s="53"/>
      <c r="I984" s="53"/>
      <c r="J984" s="1"/>
    </row>
    <row r="985" ht="14.25" customHeight="1">
      <c r="A985" s="52"/>
      <c r="B985" s="52"/>
      <c r="C985" s="52"/>
      <c r="D985" s="52"/>
      <c r="E985" s="53"/>
      <c r="F985" s="53"/>
      <c r="G985" s="53"/>
      <c r="H985" s="53"/>
      <c r="I985" s="53"/>
      <c r="J985" s="1"/>
    </row>
    <row r="986" ht="14.25" customHeight="1">
      <c r="A986" s="52"/>
      <c r="B986" s="52"/>
      <c r="C986" s="52"/>
      <c r="D986" s="52"/>
      <c r="E986" s="53"/>
      <c r="F986" s="53"/>
      <c r="G986" s="53"/>
      <c r="H986" s="53"/>
      <c r="I986" s="53"/>
      <c r="J986" s="1"/>
    </row>
    <row r="987" ht="14.25" customHeight="1">
      <c r="A987" s="52"/>
      <c r="B987" s="52"/>
      <c r="C987" s="52"/>
      <c r="D987" s="52"/>
      <c r="E987" s="53"/>
      <c r="F987" s="53"/>
      <c r="G987" s="53"/>
      <c r="H987" s="53"/>
      <c r="I987" s="53"/>
      <c r="J987" s="1"/>
    </row>
    <row r="988" ht="14.25" customHeight="1">
      <c r="A988" s="52"/>
      <c r="B988" s="52"/>
      <c r="C988" s="52"/>
      <c r="D988" s="52"/>
      <c r="E988" s="53"/>
      <c r="F988" s="53"/>
      <c r="G988" s="53"/>
      <c r="H988" s="53"/>
      <c r="I988" s="53"/>
      <c r="J988" s="1"/>
    </row>
    <row r="989" ht="14.25" customHeight="1">
      <c r="A989" s="52"/>
      <c r="B989" s="52"/>
      <c r="C989" s="52"/>
      <c r="D989" s="52"/>
      <c r="E989" s="53"/>
      <c r="F989" s="53"/>
      <c r="G989" s="53"/>
      <c r="H989" s="53"/>
      <c r="I989" s="53"/>
      <c r="J989" s="1"/>
    </row>
    <row r="990" ht="14.25" customHeight="1">
      <c r="A990" s="52"/>
      <c r="B990" s="52"/>
      <c r="C990" s="52"/>
      <c r="D990" s="52"/>
      <c r="E990" s="53"/>
      <c r="F990" s="53"/>
      <c r="G990" s="53"/>
      <c r="H990" s="53"/>
      <c r="I990" s="53"/>
      <c r="J990" s="1"/>
    </row>
    <row r="991" ht="14.25" customHeight="1">
      <c r="A991" s="52"/>
      <c r="B991" s="52"/>
      <c r="C991" s="52"/>
      <c r="D991" s="52"/>
      <c r="E991" s="53"/>
      <c r="F991" s="53"/>
      <c r="G991" s="53"/>
      <c r="H991" s="53"/>
      <c r="I991" s="53"/>
      <c r="J991" s="1"/>
    </row>
    <row r="992" ht="14.25" customHeight="1">
      <c r="A992" s="52"/>
      <c r="B992" s="52"/>
      <c r="C992" s="52"/>
      <c r="D992" s="52"/>
      <c r="E992" s="53"/>
      <c r="F992" s="53"/>
      <c r="G992" s="53"/>
      <c r="H992" s="53"/>
      <c r="I992" s="53"/>
      <c r="J992" s="1"/>
    </row>
    <row r="993" ht="14.25" customHeight="1">
      <c r="A993" s="52"/>
      <c r="B993" s="52"/>
      <c r="C993" s="52"/>
      <c r="D993" s="52"/>
      <c r="E993" s="53"/>
      <c r="F993" s="53"/>
      <c r="G993" s="53"/>
      <c r="H993" s="53"/>
      <c r="I993" s="53"/>
      <c r="J993" s="1"/>
    </row>
    <row r="994" ht="14.25" customHeight="1">
      <c r="A994" s="52"/>
      <c r="B994" s="52"/>
      <c r="C994" s="52"/>
      <c r="D994" s="52"/>
      <c r="E994" s="53"/>
      <c r="F994" s="53"/>
      <c r="G994" s="53"/>
      <c r="H994" s="53"/>
      <c r="I994" s="53"/>
      <c r="J994" s="1"/>
    </row>
    <row r="995" ht="14.25" customHeight="1">
      <c r="A995" s="52"/>
      <c r="B995" s="52"/>
      <c r="C995" s="52"/>
      <c r="D995" s="52"/>
      <c r="E995" s="53"/>
      <c r="F995" s="53"/>
      <c r="G995" s="53"/>
      <c r="H995" s="53"/>
      <c r="I995" s="53"/>
      <c r="J995" s="1"/>
    </row>
    <row r="996" ht="14.25" customHeight="1">
      <c r="A996" s="52"/>
      <c r="B996" s="52"/>
      <c r="C996" s="52"/>
      <c r="D996" s="52"/>
      <c r="E996" s="53"/>
      <c r="F996" s="53"/>
      <c r="G996" s="53"/>
      <c r="H996" s="53"/>
      <c r="I996" s="53"/>
      <c r="J996" s="1"/>
    </row>
    <row r="997" ht="14.25" customHeight="1">
      <c r="A997" s="52"/>
      <c r="B997" s="52"/>
      <c r="C997" s="52"/>
      <c r="D997" s="52"/>
      <c r="E997" s="53"/>
      <c r="F997" s="53"/>
      <c r="G997" s="53"/>
      <c r="H997" s="53"/>
      <c r="I997" s="53"/>
      <c r="J997" s="1"/>
    </row>
    <row r="998" ht="14.25" customHeight="1">
      <c r="A998" s="52"/>
      <c r="B998" s="52"/>
      <c r="C998" s="52"/>
      <c r="D998" s="52"/>
      <c r="E998" s="53"/>
      <c r="F998" s="53"/>
      <c r="G998" s="53"/>
      <c r="H998" s="53"/>
      <c r="I998" s="53"/>
      <c r="J998" s="1"/>
    </row>
    <row r="999" ht="14.25" customHeight="1">
      <c r="A999" s="52"/>
      <c r="B999" s="52"/>
      <c r="C999" s="52"/>
      <c r="D999" s="52"/>
      <c r="E999" s="53"/>
      <c r="F999" s="53"/>
      <c r="G999" s="53"/>
      <c r="H999" s="53"/>
      <c r="I999" s="53"/>
      <c r="J999" s="1"/>
    </row>
    <row r="1000" ht="14.25" customHeight="1">
      <c r="A1000" s="52"/>
      <c r="B1000" s="52"/>
      <c r="C1000" s="52"/>
      <c r="D1000" s="52"/>
      <c r="E1000" s="53"/>
      <c r="F1000" s="53"/>
      <c r="G1000" s="53"/>
      <c r="H1000" s="53"/>
      <c r="I1000" s="53"/>
      <c r="J1000" s="1"/>
    </row>
  </sheetData>
  <mergeCells count="9">
    <mergeCell ref="A10:J10"/>
    <mergeCell ref="A24:J24"/>
    <mergeCell ref="A2:J2"/>
    <mergeCell ref="A4:J4"/>
    <mergeCell ref="A5:J5"/>
    <mergeCell ref="A6:J6"/>
    <mergeCell ref="A7:J7"/>
    <mergeCell ref="A8:J8"/>
    <mergeCell ref="A9:J9"/>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14.71"/>
    <col customWidth="1" min="3" max="3" width="17.0"/>
    <col customWidth="1" min="4" max="4" width="19.71"/>
    <col customWidth="1" min="5" max="5" width="11.86"/>
    <col customWidth="1" min="6" max="6" width="11.71"/>
    <col customWidth="1" min="7" max="7" width="16.0"/>
    <col customWidth="1" min="8" max="8" width="10.0"/>
    <col customWidth="1" min="9" max="9" width="9.14"/>
    <col customWidth="1" min="10" max="10" width="12.0"/>
    <col customWidth="1" min="11" max="11" width="21.14"/>
    <col customWidth="1" min="12" max="26" width="10.0"/>
  </cols>
  <sheetData>
    <row r="1" ht="14.25" customHeight="1">
      <c r="A1" s="52"/>
      <c r="B1" s="52"/>
      <c r="C1" s="52"/>
      <c r="D1" s="52"/>
      <c r="E1" s="655"/>
      <c r="F1" s="53"/>
      <c r="G1" s="53"/>
      <c r="H1" s="1"/>
      <c r="I1" s="1"/>
    </row>
    <row r="2" ht="15.0" customHeight="1">
      <c r="A2" s="54" t="s">
        <v>4680</v>
      </c>
      <c r="B2" s="55"/>
      <c r="C2" s="55"/>
      <c r="D2" s="55"/>
      <c r="E2" s="55"/>
      <c r="F2" s="55"/>
      <c r="G2" s="55"/>
      <c r="H2" s="55"/>
      <c r="I2" s="55"/>
      <c r="J2" s="56"/>
      <c r="K2" s="58"/>
      <c r="L2" s="58"/>
      <c r="M2" s="58"/>
      <c r="N2" s="58"/>
      <c r="O2" s="58"/>
      <c r="P2" s="58"/>
      <c r="Q2" s="58"/>
      <c r="R2" s="58"/>
      <c r="S2" s="58"/>
      <c r="T2" s="58"/>
      <c r="U2" s="58"/>
      <c r="V2" s="58"/>
      <c r="W2" s="58"/>
      <c r="X2" s="58"/>
      <c r="Y2" s="58"/>
      <c r="Z2" s="58"/>
    </row>
    <row r="3" ht="15.0" customHeight="1">
      <c r="A3" s="156"/>
      <c r="B3" s="156"/>
      <c r="C3" s="156"/>
      <c r="D3" s="156"/>
      <c r="E3" s="656"/>
      <c r="F3" s="156"/>
      <c r="G3" s="156"/>
      <c r="H3" s="156"/>
      <c r="I3" s="57"/>
      <c r="J3" s="58"/>
      <c r="K3" s="58"/>
      <c r="L3" s="58"/>
      <c r="M3" s="58"/>
      <c r="N3" s="58"/>
      <c r="O3" s="58"/>
      <c r="P3" s="58"/>
      <c r="Q3" s="58"/>
      <c r="R3" s="58"/>
      <c r="S3" s="58"/>
      <c r="T3" s="58"/>
      <c r="U3" s="58"/>
      <c r="V3" s="58"/>
      <c r="W3" s="58"/>
      <c r="X3" s="58"/>
      <c r="Y3" s="58"/>
      <c r="Z3" s="58"/>
    </row>
    <row r="4" ht="15.0" customHeight="1">
      <c r="A4" s="116" t="s">
        <v>4681</v>
      </c>
      <c r="B4" s="55"/>
      <c r="C4" s="55"/>
      <c r="D4" s="55"/>
      <c r="E4" s="55"/>
      <c r="F4" s="55"/>
      <c r="G4" s="55"/>
      <c r="H4" s="55"/>
      <c r="I4" s="55"/>
      <c r="J4" s="56"/>
    </row>
    <row r="5" ht="14.25" customHeight="1">
      <c r="A5" s="116" t="s">
        <v>4682</v>
      </c>
      <c r="B5" s="55"/>
      <c r="C5" s="55"/>
      <c r="D5" s="55"/>
      <c r="E5" s="55"/>
      <c r="F5" s="55"/>
      <c r="G5" s="55"/>
      <c r="H5" s="55"/>
      <c r="I5" s="55"/>
      <c r="J5" s="56"/>
    </row>
    <row r="6" ht="29.25" customHeight="1">
      <c r="A6" s="59" t="s">
        <v>4683</v>
      </c>
      <c r="B6" s="55"/>
      <c r="C6" s="55"/>
      <c r="D6" s="55"/>
      <c r="E6" s="55"/>
      <c r="F6" s="55"/>
      <c r="G6" s="55"/>
      <c r="H6" s="55"/>
      <c r="I6" s="55"/>
      <c r="J6" s="56"/>
      <c r="K6" s="517"/>
      <c r="L6" s="517"/>
      <c r="M6" s="517"/>
      <c r="N6" s="517"/>
      <c r="O6" s="517"/>
      <c r="P6" s="517"/>
      <c r="Q6" s="517"/>
      <c r="R6" s="517"/>
      <c r="S6" s="517"/>
      <c r="T6" s="517"/>
      <c r="U6" s="517"/>
      <c r="V6" s="517"/>
      <c r="W6" s="517"/>
      <c r="X6" s="517"/>
      <c r="Y6" s="517"/>
      <c r="Z6" s="517"/>
    </row>
    <row r="7" ht="26.25" customHeight="1">
      <c r="A7" s="59" t="s">
        <v>4684</v>
      </c>
      <c r="B7" s="55"/>
      <c r="C7" s="55"/>
      <c r="D7" s="55"/>
      <c r="E7" s="55"/>
      <c r="F7" s="55"/>
      <c r="G7" s="55"/>
      <c r="H7" s="55"/>
      <c r="I7" s="55"/>
      <c r="J7" s="56"/>
      <c r="K7" s="517"/>
    </row>
    <row r="8" ht="22.5" customHeight="1">
      <c r="A8" s="59" t="s">
        <v>4685</v>
      </c>
      <c r="B8" s="55"/>
      <c r="C8" s="55"/>
      <c r="D8" s="55"/>
      <c r="E8" s="55"/>
      <c r="F8" s="55"/>
      <c r="G8" s="55"/>
      <c r="H8" s="55"/>
      <c r="I8" s="55"/>
      <c r="J8" s="56"/>
      <c r="K8" s="517"/>
    </row>
    <row r="9" ht="13.5" customHeight="1">
      <c r="A9" s="59" t="s">
        <v>4686</v>
      </c>
      <c r="B9" s="55"/>
      <c r="C9" s="55"/>
      <c r="D9" s="55"/>
      <c r="E9" s="55"/>
      <c r="F9" s="55"/>
      <c r="G9" s="55"/>
      <c r="H9" s="55"/>
      <c r="I9" s="55"/>
      <c r="J9" s="56"/>
      <c r="K9" s="517"/>
    </row>
    <row r="10" ht="15.0" customHeight="1">
      <c r="A10" s="59" t="s">
        <v>4687</v>
      </c>
      <c r="B10" s="55"/>
      <c r="C10" s="55"/>
      <c r="D10" s="55"/>
      <c r="E10" s="55"/>
      <c r="F10" s="55"/>
      <c r="G10" s="55"/>
      <c r="H10" s="55"/>
      <c r="I10" s="55"/>
      <c r="J10" s="56"/>
      <c r="K10" s="517"/>
    </row>
    <row r="11" ht="123.75" customHeight="1">
      <c r="A11" s="59" t="s">
        <v>4688</v>
      </c>
      <c r="B11" s="55"/>
      <c r="C11" s="55"/>
      <c r="D11" s="55"/>
      <c r="E11" s="55"/>
      <c r="F11" s="55"/>
      <c r="G11" s="55"/>
      <c r="H11" s="55"/>
      <c r="I11" s="55"/>
      <c r="J11" s="56"/>
      <c r="K11" s="517"/>
      <c r="L11" s="517"/>
      <c r="M11" s="517"/>
      <c r="N11" s="517"/>
      <c r="O11" s="517"/>
      <c r="P11" s="517"/>
      <c r="Q11" s="517"/>
      <c r="R11" s="517"/>
      <c r="S11" s="517"/>
      <c r="T11" s="517"/>
      <c r="U11" s="517"/>
      <c r="V11" s="517"/>
      <c r="W11" s="517"/>
      <c r="X11" s="517"/>
      <c r="Y11" s="517"/>
      <c r="Z11" s="517"/>
    </row>
    <row r="12" ht="14.25" customHeight="1">
      <c r="A12" s="52"/>
      <c r="B12" s="52"/>
      <c r="C12" s="52"/>
      <c r="D12" s="52"/>
      <c r="E12" s="655"/>
      <c r="F12" s="53"/>
      <c r="G12" s="53"/>
      <c r="H12" s="1"/>
      <c r="I12" s="1"/>
    </row>
    <row r="13" ht="54.75" customHeight="1">
      <c r="A13" s="309" t="s">
        <v>8</v>
      </c>
      <c r="B13" s="203" t="s">
        <v>4657</v>
      </c>
      <c r="C13" s="203" t="s">
        <v>4689</v>
      </c>
      <c r="D13" s="203" t="s">
        <v>4690</v>
      </c>
      <c r="E13" s="203" t="s">
        <v>4659</v>
      </c>
      <c r="F13" s="119" t="s">
        <v>9</v>
      </c>
      <c r="G13" s="203" t="s">
        <v>4691</v>
      </c>
      <c r="H13" s="203" t="s">
        <v>4692</v>
      </c>
      <c r="I13" s="203" t="s">
        <v>4663</v>
      </c>
      <c r="J13" s="657" t="s">
        <v>209</v>
      </c>
      <c r="K13" s="65" t="s">
        <v>210</v>
      </c>
    </row>
    <row r="14" ht="110.25" customHeight="1">
      <c r="A14" s="501" t="s">
        <v>1908</v>
      </c>
      <c r="B14" s="658" t="s">
        <v>4693</v>
      </c>
      <c r="C14" s="659" t="s">
        <v>4694</v>
      </c>
      <c r="D14" s="659" t="s">
        <v>4695</v>
      </c>
      <c r="E14" s="659" t="s">
        <v>518</v>
      </c>
      <c r="F14" s="658" t="s">
        <v>38</v>
      </c>
      <c r="G14" s="660" t="s">
        <v>4696</v>
      </c>
      <c r="H14" s="661" t="s">
        <v>4432</v>
      </c>
      <c r="I14" s="658">
        <v>300.0</v>
      </c>
      <c r="J14" s="662">
        <v>300.0</v>
      </c>
      <c r="K14" s="77" t="s">
        <v>62</v>
      </c>
    </row>
    <row r="15" ht="69.0" customHeight="1">
      <c r="A15" s="501" t="s">
        <v>528</v>
      </c>
      <c r="B15" s="663" t="s">
        <v>4697</v>
      </c>
      <c r="C15" s="659" t="s">
        <v>4698</v>
      </c>
      <c r="D15" s="664" t="s">
        <v>4699</v>
      </c>
      <c r="E15" s="659" t="s">
        <v>4700</v>
      </c>
      <c r="F15" s="658" t="s">
        <v>38</v>
      </c>
      <c r="G15" s="658" t="s">
        <v>4696</v>
      </c>
      <c r="H15" s="661"/>
      <c r="I15" s="658">
        <v>300.0</v>
      </c>
      <c r="J15" s="662">
        <v>300.0</v>
      </c>
      <c r="K15" s="77" t="s">
        <v>66</v>
      </c>
    </row>
    <row r="16" ht="69.0" customHeight="1">
      <c r="A16" s="501" t="s">
        <v>528</v>
      </c>
      <c r="B16" s="665" t="s">
        <v>4701</v>
      </c>
      <c r="C16" s="664" t="s">
        <v>4698</v>
      </c>
      <c r="D16" s="52" t="s">
        <v>4699</v>
      </c>
      <c r="E16" s="664" t="s">
        <v>4702</v>
      </c>
      <c r="F16" s="658" t="s">
        <v>38</v>
      </c>
      <c r="G16" s="658" t="s">
        <v>4696</v>
      </c>
      <c r="H16" s="666"/>
      <c r="I16" s="666">
        <v>100.0</v>
      </c>
      <c r="J16" s="667">
        <v>100.0</v>
      </c>
      <c r="K16" s="77" t="s">
        <v>66</v>
      </c>
    </row>
    <row r="17" ht="14.25" customHeight="1">
      <c r="A17" s="668" t="s">
        <v>4703</v>
      </c>
      <c r="B17" s="669" t="s">
        <v>4704</v>
      </c>
      <c r="C17" s="670" t="s">
        <v>4705</v>
      </c>
      <c r="D17" s="670" t="s">
        <v>4695</v>
      </c>
      <c r="E17" s="670" t="s">
        <v>4706</v>
      </c>
      <c r="F17" s="669" t="s">
        <v>651</v>
      </c>
      <c r="G17" s="669"/>
      <c r="H17" s="669"/>
      <c r="I17" s="669">
        <v>100.0</v>
      </c>
      <c r="J17" s="671">
        <v>100.0</v>
      </c>
      <c r="K17" s="154" t="s">
        <v>72</v>
      </c>
    </row>
    <row r="18" ht="39.0" customHeight="1">
      <c r="A18" s="668" t="s">
        <v>4703</v>
      </c>
      <c r="B18" s="406" t="s">
        <v>4707</v>
      </c>
      <c r="C18" s="670" t="s">
        <v>4705</v>
      </c>
      <c r="D18" s="670" t="s">
        <v>4695</v>
      </c>
      <c r="E18" s="668" t="s">
        <v>4703</v>
      </c>
      <c r="F18" s="451" t="s">
        <v>651</v>
      </c>
      <c r="G18" s="451"/>
      <c r="H18" s="451"/>
      <c r="I18" s="451">
        <v>100.0</v>
      </c>
      <c r="J18" s="672">
        <v>100.0</v>
      </c>
      <c r="K18" s="154" t="s">
        <v>72</v>
      </c>
    </row>
    <row r="19" ht="52.5" customHeight="1">
      <c r="A19" s="668" t="s">
        <v>4703</v>
      </c>
      <c r="B19" s="148" t="s">
        <v>4708</v>
      </c>
      <c r="C19" s="669" t="s">
        <v>4705</v>
      </c>
      <c r="D19" s="148" t="s">
        <v>4695</v>
      </c>
      <c r="E19" s="148" t="s">
        <v>4703</v>
      </c>
      <c r="F19" s="148" t="s">
        <v>651</v>
      </c>
      <c r="G19" s="148"/>
      <c r="H19" s="148"/>
      <c r="I19" s="148">
        <v>100.0</v>
      </c>
      <c r="J19" s="574">
        <v>100.0</v>
      </c>
      <c r="K19" s="154" t="s">
        <v>72</v>
      </c>
    </row>
    <row r="20" ht="39.0" customHeight="1">
      <c r="A20" s="668" t="s">
        <v>4703</v>
      </c>
      <c r="B20" s="406" t="s">
        <v>4709</v>
      </c>
      <c r="C20" s="669" t="s">
        <v>4705</v>
      </c>
      <c r="D20" s="148" t="s">
        <v>4695</v>
      </c>
      <c r="E20" s="148" t="s">
        <v>4703</v>
      </c>
      <c r="F20" s="148" t="s">
        <v>651</v>
      </c>
      <c r="G20" s="148"/>
      <c r="H20" s="148"/>
      <c r="I20" s="148">
        <v>100.0</v>
      </c>
      <c r="J20" s="574">
        <v>100.0</v>
      </c>
      <c r="K20" s="154" t="s">
        <v>72</v>
      </c>
    </row>
    <row r="21" ht="92.25" customHeight="1">
      <c r="A21" s="594" t="s">
        <v>75</v>
      </c>
      <c r="B21" s="432" t="s">
        <v>4710</v>
      </c>
      <c r="C21" s="673" t="s">
        <v>4711</v>
      </c>
      <c r="D21" s="673" t="s">
        <v>4712</v>
      </c>
      <c r="E21" s="673" t="s">
        <v>75</v>
      </c>
      <c r="F21" s="432" t="s">
        <v>73</v>
      </c>
      <c r="G21" s="424" t="s">
        <v>4713</v>
      </c>
      <c r="H21" s="674"/>
      <c r="I21" s="432">
        <v>100.0</v>
      </c>
      <c r="J21" s="671">
        <v>150.0</v>
      </c>
      <c r="K21" s="154" t="s">
        <v>75</v>
      </c>
    </row>
    <row r="22" ht="92.25" customHeight="1">
      <c r="A22" s="594" t="s">
        <v>75</v>
      </c>
      <c r="B22" s="675" t="s">
        <v>4714</v>
      </c>
      <c r="C22" s="675" t="s">
        <v>4711</v>
      </c>
      <c r="D22" s="673" t="s">
        <v>4712</v>
      </c>
      <c r="E22" s="673" t="s">
        <v>4715</v>
      </c>
      <c r="F22" s="432" t="s">
        <v>73</v>
      </c>
      <c r="G22" s="448" t="s">
        <v>4716</v>
      </c>
      <c r="H22" s="451"/>
      <c r="I22" s="451">
        <v>100.0</v>
      </c>
      <c r="J22" s="672">
        <v>100.0</v>
      </c>
      <c r="K22" s="154" t="s">
        <v>75</v>
      </c>
    </row>
    <row r="23" ht="66.0" customHeight="1">
      <c r="A23" s="594" t="s">
        <v>75</v>
      </c>
      <c r="B23" s="170" t="s">
        <v>4717</v>
      </c>
      <c r="C23" s="170" t="s">
        <v>4711</v>
      </c>
      <c r="D23" s="673" t="s">
        <v>4712</v>
      </c>
      <c r="E23" s="673" t="s">
        <v>75</v>
      </c>
      <c r="F23" s="432" t="s">
        <v>73</v>
      </c>
      <c r="G23" s="368" t="s">
        <v>4718</v>
      </c>
      <c r="H23" s="148"/>
      <c r="I23" s="148">
        <v>100.0</v>
      </c>
      <c r="J23" s="574">
        <v>100.0</v>
      </c>
      <c r="K23" s="154" t="s">
        <v>75</v>
      </c>
    </row>
    <row r="24" ht="39.0" customHeight="1">
      <c r="A24" s="594" t="s">
        <v>75</v>
      </c>
      <c r="B24" s="170" t="s">
        <v>4719</v>
      </c>
      <c r="C24" s="170" t="s">
        <v>4711</v>
      </c>
      <c r="D24" s="673" t="s">
        <v>4712</v>
      </c>
      <c r="E24" s="673" t="s">
        <v>75</v>
      </c>
      <c r="F24" s="432" t="s">
        <v>73</v>
      </c>
      <c r="G24" s="368" t="s">
        <v>4720</v>
      </c>
      <c r="H24" s="148"/>
      <c r="I24" s="148">
        <v>100.0</v>
      </c>
      <c r="J24" s="574">
        <v>100.0</v>
      </c>
      <c r="K24" s="154" t="s">
        <v>75</v>
      </c>
    </row>
    <row r="25" ht="110.25" customHeight="1">
      <c r="A25" s="501" t="s">
        <v>1336</v>
      </c>
      <c r="B25" s="658" t="s">
        <v>4721</v>
      </c>
      <c r="C25" s="659" t="s">
        <v>4722</v>
      </c>
      <c r="D25" s="659" t="s">
        <v>4723</v>
      </c>
      <c r="E25" s="659" t="s">
        <v>1442</v>
      </c>
      <c r="F25" s="658" t="s">
        <v>73</v>
      </c>
      <c r="G25" s="658"/>
      <c r="H25" s="661" t="s">
        <v>4724</v>
      </c>
      <c r="I25" s="658">
        <v>100.0</v>
      </c>
      <c r="J25" s="662">
        <v>100.0</v>
      </c>
      <c r="K25" s="154" t="s">
        <v>83</v>
      </c>
    </row>
    <row r="26" ht="114.75" customHeight="1">
      <c r="A26" s="75" t="s">
        <v>4556</v>
      </c>
      <c r="B26" s="658" t="s">
        <v>4725</v>
      </c>
      <c r="C26" s="659" t="s">
        <v>4726</v>
      </c>
      <c r="D26" s="659" t="s">
        <v>4712</v>
      </c>
      <c r="E26" s="101" t="s">
        <v>4556</v>
      </c>
      <c r="F26" s="658" t="s">
        <v>100</v>
      </c>
      <c r="G26" s="660" t="s">
        <v>4727</v>
      </c>
      <c r="H26" s="661" t="s">
        <v>4728</v>
      </c>
      <c r="I26" s="658">
        <v>500.0</v>
      </c>
      <c r="J26" s="662">
        <v>166.66</v>
      </c>
      <c r="K26" s="75" t="s">
        <v>4556</v>
      </c>
    </row>
    <row r="27" ht="14.25" customHeight="1">
      <c r="A27" s="676" t="s">
        <v>4729</v>
      </c>
      <c r="B27" s="677" t="s">
        <v>4725</v>
      </c>
      <c r="C27" s="678" t="s">
        <v>4730</v>
      </c>
      <c r="D27" s="678" t="s">
        <v>4712</v>
      </c>
      <c r="E27" s="678" t="s">
        <v>4731</v>
      </c>
      <c r="F27" s="677" t="s">
        <v>100</v>
      </c>
      <c r="G27" s="679" t="s">
        <v>4727</v>
      </c>
      <c r="H27" s="680" t="s">
        <v>4732</v>
      </c>
      <c r="I27" s="680">
        <v>500.0</v>
      </c>
      <c r="J27" s="681">
        <v>83.33</v>
      </c>
      <c r="K27" s="77" t="s">
        <v>4733</v>
      </c>
    </row>
    <row r="28" ht="42.0" customHeight="1">
      <c r="A28" s="682" t="s">
        <v>4734</v>
      </c>
      <c r="B28" s="683" t="s">
        <v>4725</v>
      </c>
      <c r="C28" s="684" t="s">
        <v>4730</v>
      </c>
      <c r="D28" s="684" t="s">
        <v>4712</v>
      </c>
      <c r="E28" s="683" t="s">
        <v>4735</v>
      </c>
      <c r="F28" s="685" t="s">
        <v>100</v>
      </c>
      <c r="G28" s="686"/>
      <c r="H28" s="683" t="s">
        <v>4732</v>
      </c>
      <c r="I28" s="687">
        <v>500.0</v>
      </c>
      <c r="J28" s="688">
        <v>83.33</v>
      </c>
      <c r="K28" s="77" t="s">
        <v>1497</v>
      </c>
    </row>
    <row r="29" ht="69.0" customHeight="1">
      <c r="A29" s="501" t="s">
        <v>4736</v>
      </c>
      <c r="B29" s="689" t="s">
        <v>4737</v>
      </c>
      <c r="C29" s="690" t="s">
        <v>4738</v>
      </c>
      <c r="D29" s="690" t="s">
        <v>4695</v>
      </c>
      <c r="E29" s="690" t="s">
        <v>4739</v>
      </c>
      <c r="F29" s="689" t="s">
        <v>4740</v>
      </c>
      <c r="G29" s="689">
        <v>0.0</v>
      </c>
      <c r="H29" s="691">
        <v>44029.0</v>
      </c>
      <c r="I29" s="689">
        <v>125.0</v>
      </c>
      <c r="J29" s="692">
        <v>125.0</v>
      </c>
      <c r="K29" s="77" t="s">
        <v>128</v>
      </c>
    </row>
    <row r="30" ht="248.25" customHeight="1">
      <c r="A30" s="501" t="s">
        <v>4109</v>
      </c>
      <c r="B30" s="689" t="s">
        <v>4741</v>
      </c>
      <c r="C30" s="690" t="s">
        <v>4742</v>
      </c>
      <c r="D30" s="690" t="s">
        <v>4712</v>
      </c>
      <c r="E30" s="690" t="s">
        <v>4743</v>
      </c>
      <c r="F30" s="689" t="s">
        <v>123</v>
      </c>
      <c r="G30" s="689" t="s">
        <v>4744</v>
      </c>
      <c r="H30" s="691">
        <v>44029.0</v>
      </c>
      <c r="I30" s="689">
        <v>500.0</v>
      </c>
      <c r="J30" s="692">
        <v>125.0</v>
      </c>
      <c r="K30" s="77" t="s">
        <v>130</v>
      </c>
    </row>
    <row r="31" ht="96.0" customHeight="1">
      <c r="A31" s="501" t="s">
        <v>4109</v>
      </c>
      <c r="B31" s="689" t="s">
        <v>4745</v>
      </c>
      <c r="C31" s="690" t="s">
        <v>4746</v>
      </c>
      <c r="D31" s="690" t="s">
        <v>4712</v>
      </c>
      <c r="E31" s="690" t="s">
        <v>4743</v>
      </c>
      <c r="F31" s="689" t="s">
        <v>123</v>
      </c>
      <c r="G31" s="689" t="s">
        <v>4747</v>
      </c>
      <c r="H31" s="691">
        <v>44078.0</v>
      </c>
      <c r="I31" s="689">
        <v>500.0</v>
      </c>
      <c r="J31" s="692">
        <v>250.0</v>
      </c>
      <c r="K31" s="77" t="s">
        <v>130</v>
      </c>
    </row>
    <row r="32" ht="248.25" customHeight="1">
      <c r="A32" s="501" t="s">
        <v>1046</v>
      </c>
      <c r="B32" s="689" t="s">
        <v>4741</v>
      </c>
      <c r="C32" s="690" t="s">
        <v>4742</v>
      </c>
      <c r="D32" s="690" t="s">
        <v>4712</v>
      </c>
      <c r="E32" s="690" t="s">
        <v>4743</v>
      </c>
      <c r="F32" s="689" t="s">
        <v>123</v>
      </c>
      <c r="G32" s="689" t="s">
        <v>4744</v>
      </c>
      <c r="H32" s="691">
        <v>44029.0</v>
      </c>
      <c r="I32" s="689">
        <v>500.0</v>
      </c>
      <c r="J32" s="692">
        <v>125.0</v>
      </c>
      <c r="K32" s="77" t="s">
        <v>132</v>
      </c>
    </row>
    <row r="33" ht="110.25" customHeight="1">
      <c r="A33" s="501" t="s">
        <v>1658</v>
      </c>
      <c r="B33" s="689" t="s">
        <v>4748</v>
      </c>
      <c r="C33" s="690" t="s">
        <v>4749</v>
      </c>
      <c r="D33" s="690" t="s">
        <v>4695</v>
      </c>
      <c r="E33" s="690" t="s">
        <v>1658</v>
      </c>
      <c r="F33" s="689" t="s">
        <v>123</v>
      </c>
      <c r="G33" s="689" t="s">
        <v>4750</v>
      </c>
      <c r="H33" s="691">
        <v>43983.0</v>
      </c>
      <c r="I33" s="689">
        <v>300.0</v>
      </c>
      <c r="J33" s="692">
        <v>300.0</v>
      </c>
      <c r="K33" s="77" t="s">
        <v>139</v>
      </c>
    </row>
    <row r="34" ht="110.25" customHeight="1">
      <c r="A34" s="501" t="s">
        <v>141</v>
      </c>
      <c r="B34" s="658" t="s">
        <v>4751</v>
      </c>
      <c r="C34" s="659" t="s">
        <v>4752</v>
      </c>
      <c r="D34" s="659" t="s">
        <v>4695</v>
      </c>
      <c r="E34" s="659" t="s">
        <v>4753</v>
      </c>
      <c r="F34" s="658" t="s">
        <v>142</v>
      </c>
      <c r="G34" s="658" t="s">
        <v>4754</v>
      </c>
      <c r="H34" s="693">
        <v>44014.0</v>
      </c>
      <c r="I34" s="658">
        <v>300.0</v>
      </c>
      <c r="J34" s="694">
        <v>300.0</v>
      </c>
      <c r="K34" s="77" t="s">
        <v>141</v>
      </c>
    </row>
    <row r="35" ht="123.75" customHeight="1">
      <c r="A35" s="501" t="s">
        <v>141</v>
      </c>
      <c r="B35" s="689" t="s">
        <v>4755</v>
      </c>
      <c r="C35" s="690" t="s">
        <v>4756</v>
      </c>
      <c r="D35" s="690" t="s">
        <v>4695</v>
      </c>
      <c r="E35" s="690" t="s">
        <v>4757</v>
      </c>
      <c r="F35" s="689" t="s">
        <v>142</v>
      </c>
      <c r="G35" s="689" t="s">
        <v>4758</v>
      </c>
      <c r="H35" s="693">
        <v>44194.0</v>
      </c>
      <c r="I35" s="689">
        <v>450.0</v>
      </c>
      <c r="J35" s="692">
        <v>50.0</v>
      </c>
      <c r="K35" s="77" t="s">
        <v>141</v>
      </c>
    </row>
    <row r="36" ht="123.75" customHeight="1">
      <c r="A36" s="501" t="s">
        <v>141</v>
      </c>
      <c r="B36" s="689" t="s">
        <v>4725</v>
      </c>
      <c r="C36" s="690" t="s">
        <v>4730</v>
      </c>
      <c r="D36" s="690" t="s">
        <v>4712</v>
      </c>
      <c r="E36" s="690" t="s">
        <v>4731</v>
      </c>
      <c r="F36" s="689" t="s">
        <v>142</v>
      </c>
      <c r="G36" s="689" t="s">
        <v>4727</v>
      </c>
      <c r="H36" s="693">
        <v>44054.0</v>
      </c>
      <c r="I36" s="689">
        <v>500.0</v>
      </c>
      <c r="J36" s="692">
        <v>83.33</v>
      </c>
      <c r="K36" s="77" t="s">
        <v>141</v>
      </c>
    </row>
    <row r="37" ht="96.0" customHeight="1">
      <c r="A37" s="501" t="s">
        <v>146</v>
      </c>
      <c r="B37" s="689" t="s">
        <v>4759</v>
      </c>
      <c r="C37" s="690" t="s">
        <v>4730</v>
      </c>
      <c r="D37" s="690" t="s">
        <v>4760</v>
      </c>
      <c r="E37" s="690" t="s">
        <v>4761</v>
      </c>
      <c r="F37" s="689" t="s">
        <v>142</v>
      </c>
      <c r="G37" s="689" t="s">
        <v>4727</v>
      </c>
      <c r="H37" s="691" t="s">
        <v>4728</v>
      </c>
      <c r="I37" s="689">
        <v>500.0</v>
      </c>
      <c r="J37" s="692">
        <v>83.33</v>
      </c>
      <c r="K37" s="77" t="s">
        <v>146</v>
      </c>
    </row>
    <row r="38" ht="207.0" customHeight="1">
      <c r="A38" s="501" t="s">
        <v>153</v>
      </c>
      <c r="B38" s="689" t="s">
        <v>4762</v>
      </c>
      <c r="C38" s="690" t="s">
        <v>4763</v>
      </c>
      <c r="D38" s="690" t="s">
        <v>4695</v>
      </c>
      <c r="E38" s="690" t="s">
        <v>153</v>
      </c>
      <c r="F38" s="689" t="s">
        <v>142</v>
      </c>
      <c r="G38" s="689" t="s">
        <v>4764</v>
      </c>
      <c r="H38" s="691">
        <v>43983.0</v>
      </c>
      <c r="I38" s="689">
        <v>300.0</v>
      </c>
      <c r="J38" s="692">
        <v>150.0</v>
      </c>
      <c r="K38" s="77" t="s">
        <v>153</v>
      </c>
    </row>
    <row r="39" ht="123.75" customHeight="1">
      <c r="A39" s="501" t="s">
        <v>153</v>
      </c>
      <c r="B39" s="689" t="s">
        <v>4765</v>
      </c>
      <c r="C39" s="690" t="s">
        <v>4763</v>
      </c>
      <c r="D39" s="690" t="s">
        <v>4695</v>
      </c>
      <c r="E39" s="690" t="s">
        <v>173</v>
      </c>
      <c r="F39" s="689" t="s">
        <v>142</v>
      </c>
      <c r="G39" s="689" t="s">
        <v>4764</v>
      </c>
      <c r="H39" s="691">
        <v>44013.0</v>
      </c>
      <c r="I39" s="689">
        <v>450.0</v>
      </c>
      <c r="J39" s="692">
        <v>50.0</v>
      </c>
      <c r="K39" s="77" t="s">
        <v>153</v>
      </c>
    </row>
    <row r="40" ht="69.0" customHeight="1">
      <c r="A40" s="501" t="s">
        <v>160</v>
      </c>
      <c r="B40" s="689" t="s">
        <v>4766</v>
      </c>
      <c r="C40" s="690" t="s">
        <v>4767</v>
      </c>
      <c r="D40" s="690" t="s">
        <v>4695</v>
      </c>
      <c r="E40" s="690" t="s">
        <v>160</v>
      </c>
      <c r="F40" s="689" t="s">
        <v>142</v>
      </c>
      <c r="G40" s="689" t="s">
        <v>4768</v>
      </c>
      <c r="H40" s="691" t="s">
        <v>4241</v>
      </c>
      <c r="I40" s="689">
        <v>300.0</v>
      </c>
      <c r="J40" s="692">
        <v>300.0</v>
      </c>
      <c r="K40" s="77" t="s">
        <v>160</v>
      </c>
    </row>
    <row r="41" ht="123.75" customHeight="1">
      <c r="A41" s="501" t="s">
        <v>163</v>
      </c>
      <c r="B41" s="689" t="s">
        <v>4755</v>
      </c>
      <c r="C41" s="690" t="s">
        <v>4769</v>
      </c>
      <c r="D41" s="690" t="s">
        <v>4699</v>
      </c>
      <c r="E41" s="690" t="s">
        <v>4757</v>
      </c>
      <c r="F41" s="689" t="s">
        <v>142</v>
      </c>
      <c r="G41" s="689" t="s">
        <v>4758</v>
      </c>
      <c r="H41" s="691" t="s">
        <v>4770</v>
      </c>
      <c r="I41" s="689">
        <v>450.0</v>
      </c>
      <c r="J41" s="692">
        <v>50.0</v>
      </c>
      <c r="K41" s="77" t="s">
        <v>163</v>
      </c>
    </row>
    <row r="42" ht="138.0" customHeight="1">
      <c r="A42" s="501" t="s">
        <v>164</v>
      </c>
      <c r="B42" s="689" t="s">
        <v>4771</v>
      </c>
      <c r="C42" s="690" t="s">
        <v>4769</v>
      </c>
      <c r="D42" s="690" t="s">
        <v>4695</v>
      </c>
      <c r="E42" s="690" t="s">
        <v>4757</v>
      </c>
      <c r="F42" s="689" t="s">
        <v>142</v>
      </c>
      <c r="G42" s="689" t="s">
        <v>4758</v>
      </c>
      <c r="H42" s="691">
        <v>44194.0</v>
      </c>
      <c r="I42" s="689">
        <v>300.0</v>
      </c>
      <c r="J42" s="692">
        <v>50.0</v>
      </c>
      <c r="K42" s="77" t="s">
        <v>164</v>
      </c>
    </row>
    <row r="43" ht="207.0" customHeight="1">
      <c r="A43" s="501" t="s">
        <v>164</v>
      </c>
      <c r="B43" s="689" t="s">
        <v>4772</v>
      </c>
      <c r="C43" s="690" t="s">
        <v>4773</v>
      </c>
      <c r="D43" s="690" t="s">
        <v>4695</v>
      </c>
      <c r="E43" s="690" t="s">
        <v>4774</v>
      </c>
      <c r="F43" s="689" t="s">
        <v>142</v>
      </c>
      <c r="G43" s="689" t="s">
        <v>4764</v>
      </c>
      <c r="H43" s="691">
        <v>44014.0</v>
      </c>
      <c r="I43" s="689">
        <v>300.0</v>
      </c>
      <c r="J43" s="692">
        <v>50.0</v>
      </c>
      <c r="K43" s="77" t="s">
        <v>164</v>
      </c>
    </row>
    <row r="44" ht="165.0" customHeight="1">
      <c r="A44" s="501" t="s">
        <v>167</v>
      </c>
      <c r="B44" s="689" t="s">
        <v>4775</v>
      </c>
      <c r="C44" s="690" t="s">
        <v>4776</v>
      </c>
      <c r="D44" s="690" t="s">
        <v>4695</v>
      </c>
      <c r="E44" s="690" t="s">
        <v>4777</v>
      </c>
      <c r="F44" s="689" t="s">
        <v>142</v>
      </c>
      <c r="G44" s="689" t="s">
        <v>4778</v>
      </c>
      <c r="H44" s="691">
        <v>2019.0</v>
      </c>
      <c r="I44" s="689">
        <v>150.0</v>
      </c>
      <c r="J44" s="692">
        <v>50.0</v>
      </c>
      <c r="K44" s="77" t="s">
        <v>167</v>
      </c>
    </row>
    <row r="45" ht="165.0" customHeight="1">
      <c r="A45" s="501" t="s">
        <v>167</v>
      </c>
      <c r="B45" s="689" t="s">
        <v>4779</v>
      </c>
      <c r="C45" s="690"/>
      <c r="D45" s="690" t="s">
        <v>4695</v>
      </c>
      <c r="E45" s="690" t="s">
        <v>4777</v>
      </c>
      <c r="F45" s="689" t="s">
        <v>142</v>
      </c>
      <c r="G45" s="689" t="s">
        <v>4780</v>
      </c>
      <c r="H45" s="691">
        <v>2020.0</v>
      </c>
      <c r="I45" s="689">
        <v>150.0</v>
      </c>
      <c r="J45" s="692">
        <v>50.0</v>
      </c>
      <c r="K45" s="77" t="s">
        <v>167</v>
      </c>
    </row>
    <row r="46" ht="151.5" customHeight="1">
      <c r="A46" s="501" t="s">
        <v>168</v>
      </c>
      <c r="B46" s="689" t="s">
        <v>4781</v>
      </c>
      <c r="C46" s="690" t="s">
        <v>4782</v>
      </c>
      <c r="D46" s="690" t="s">
        <v>4695</v>
      </c>
      <c r="E46" s="690" t="s">
        <v>169</v>
      </c>
      <c r="F46" s="689" t="s">
        <v>142</v>
      </c>
      <c r="G46" s="689" t="s">
        <v>4783</v>
      </c>
      <c r="H46" s="695">
        <v>44194.0</v>
      </c>
      <c r="I46" s="689">
        <v>450.0</v>
      </c>
      <c r="J46" s="692">
        <v>50.0</v>
      </c>
      <c r="K46" s="77" t="s">
        <v>168</v>
      </c>
    </row>
    <row r="47" ht="123.75" customHeight="1">
      <c r="A47" s="501" t="s">
        <v>4408</v>
      </c>
      <c r="B47" s="689" t="s">
        <v>4755</v>
      </c>
      <c r="C47" s="690" t="s">
        <v>4784</v>
      </c>
      <c r="D47" s="690" t="s">
        <v>4695</v>
      </c>
      <c r="E47" s="690" t="s">
        <v>4408</v>
      </c>
      <c r="F47" s="689" t="s">
        <v>142</v>
      </c>
      <c r="G47" s="689" t="s">
        <v>4758</v>
      </c>
      <c r="H47" s="691">
        <v>44194.0</v>
      </c>
      <c r="I47" s="689" t="s">
        <v>4785</v>
      </c>
      <c r="J47" s="692">
        <v>250.0</v>
      </c>
      <c r="K47" s="77" t="s">
        <v>169</v>
      </c>
    </row>
    <row r="48" ht="123.75" customHeight="1">
      <c r="A48" s="501" t="s">
        <v>4408</v>
      </c>
      <c r="B48" s="689" t="s">
        <v>4765</v>
      </c>
      <c r="C48" s="690" t="s">
        <v>4763</v>
      </c>
      <c r="D48" s="690" t="s">
        <v>4695</v>
      </c>
      <c r="E48" s="690" t="s">
        <v>173</v>
      </c>
      <c r="F48" s="689" t="s">
        <v>142</v>
      </c>
      <c r="G48" s="689" t="s">
        <v>4764</v>
      </c>
      <c r="H48" s="691">
        <v>44013.0</v>
      </c>
      <c r="I48" s="689">
        <v>450.0</v>
      </c>
      <c r="J48" s="692">
        <v>50.0</v>
      </c>
      <c r="K48" s="77" t="s">
        <v>169</v>
      </c>
    </row>
    <row r="49" ht="69.0" customHeight="1">
      <c r="A49" s="501" t="s">
        <v>4786</v>
      </c>
      <c r="B49" s="689" t="s">
        <v>4787</v>
      </c>
      <c r="C49" s="690" t="s">
        <v>4788</v>
      </c>
      <c r="D49" s="690" t="s">
        <v>4712</v>
      </c>
      <c r="E49" s="690" t="s">
        <v>4789</v>
      </c>
      <c r="F49" s="689" t="s">
        <v>142</v>
      </c>
      <c r="G49" s="689" t="s">
        <v>4790</v>
      </c>
      <c r="H49" s="691" t="s">
        <v>4791</v>
      </c>
      <c r="I49" s="689">
        <v>100.0</v>
      </c>
      <c r="J49" s="692">
        <v>100.0</v>
      </c>
      <c r="K49" s="77" t="s">
        <v>172</v>
      </c>
    </row>
    <row r="50" ht="96.0" customHeight="1">
      <c r="A50" s="501" t="s">
        <v>311</v>
      </c>
      <c r="B50" s="689" t="s">
        <v>4792</v>
      </c>
      <c r="C50" s="690" t="s">
        <v>4793</v>
      </c>
      <c r="D50" s="690" t="s">
        <v>4695</v>
      </c>
      <c r="E50" s="690" t="s">
        <v>311</v>
      </c>
      <c r="F50" s="689" t="s">
        <v>142</v>
      </c>
      <c r="G50" s="689" t="s">
        <v>4794</v>
      </c>
      <c r="H50" s="691" t="s">
        <v>4795</v>
      </c>
      <c r="I50" s="689">
        <v>450.0</v>
      </c>
      <c r="J50" s="692">
        <v>350.0</v>
      </c>
      <c r="K50" s="77" t="s">
        <v>173</v>
      </c>
    </row>
    <row r="51" ht="165.0" customHeight="1">
      <c r="A51" s="501" t="s">
        <v>311</v>
      </c>
      <c r="B51" s="689" t="s">
        <v>4796</v>
      </c>
      <c r="C51" s="690" t="s">
        <v>4793</v>
      </c>
      <c r="D51" s="690" t="s">
        <v>4695</v>
      </c>
      <c r="E51" s="690" t="s">
        <v>4797</v>
      </c>
      <c r="F51" s="689" t="s">
        <v>142</v>
      </c>
      <c r="G51" s="689" t="s">
        <v>4794</v>
      </c>
      <c r="H51" s="691" t="s">
        <v>4795</v>
      </c>
      <c r="I51" s="689">
        <v>300.0</v>
      </c>
      <c r="J51" s="692">
        <v>50.0</v>
      </c>
      <c r="K51" s="77" t="s">
        <v>173</v>
      </c>
    </row>
    <row r="52" ht="151.5" customHeight="1">
      <c r="A52" s="501" t="s">
        <v>174</v>
      </c>
      <c r="B52" s="689" t="s">
        <v>4798</v>
      </c>
      <c r="C52" s="690" t="s">
        <v>4799</v>
      </c>
      <c r="D52" s="690" t="s">
        <v>4695</v>
      </c>
      <c r="E52" s="690" t="s">
        <v>4800</v>
      </c>
      <c r="F52" s="689" t="s">
        <v>142</v>
      </c>
      <c r="G52" s="689" t="s">
        <v>4801</v>
      </c>
      <c r="H52" s="691">
        <v>2020.0</v>
      </c>
      <c r="I52" s="689">
        <v>150.0</v>
      </c>
      <c r="J52" s="692">
        <v>50.0</v>
      </c>
      <c r="K52" s="77" t="s">
        <v>174</v>
      </c>
    </row>
    <row r="53" ht="96.0" customHeight="1">
      <c r="A53" s="501" t="s">
        <v>4802</v>
      </c>
      <c r="B53" s="689" t="s">
        <v>4803</v>
      </c>
      <c r="C53" s="690" t="s">
        <v>4804</v>
      </c>
      <c r="D53" s="690" t="s">
        <v>4723</v>
      </c>
      <c r="E53" s="690" t="s">
        <v>4805</v>
      </c>
      <c r="F53" s="689" t="s">
        <v>142</v>
      </c>
      <c r="G53" s="689" t="s">
        <v>4806</v>
      </c>
      <c r="H53" s="695">
        <v>44032.0</v>
      </c>
      <c r="I53" s="689">
        <v>500.0</v>
      </c>
      <c r="J53" s="692">
        <v>500.0</v>
      </c>
      <c r="K53" s="77" t="s">
        <v>178</v>
      </c>
    </row>
    <row r="54" ht="165.0" customHeight="1">
      <c r="A54" s="501" t="s">
        <v>1277</v>
      </c>
      <c r="B54" s="689" t="s">
        <v>4807</v>
      </c>
      <c r="C54" s="690" t="s">
        <v>4808</v>
      </c>
      <c r="D54" s="690" t="s">
        <v>4809</v>
      </c>
      <c r="E54" s="690" t="s">
        <v>1277</v>
      </c>
      <c r="F54" s="689" t="s">
        <v>142</v>
      </c>
      <c r="G54" s="689" t="s">
        <v>4810</v>
      </c>
      <c r="H54" s="696">
        <v>44005.0</v>
      </c>
      <c r="I54" s="689">
        <v>300.0</v>
      </c>
      <c r="J54" s="692">
        <v>300.0</v>
      </c>
      <c r="K54" s="77" t="s">
        <v>178</v>
      </c>
    </row>
    <row r="55" ht="96.0" customHeight="1">
      <c r="A55" s="501" t="s">
        <v>1277</v>
      </c>
      <c r="B55" s="689" t="s">
        <v>4811</v>
      </c>
      <c r="C55" s="690" t="s">
        <v>4812</v>
      </c>
      <c r="D55" s="690" t="s">
        <v>4809</v>
      </c>
      <c r="E55" s="690" t="s">
        <v>1277</v>
      </c>
      <c r="F55" s="689" t="s">
        <v>142</v>
      </c>
      <c r="G55" s="689" t="s">
        <v>4813</v>
      </c>
      <c r="H55" s="697">
        <v>44136.0</v>
      </c>
      <c r="I55" s="689">
        <v>300.0</v>
      </c>
      <c r="J55" s="692">
        <v>300.0</v>
      </c>
      <c r="K55" s="77" t="s">
        <v>178</v>
      </c>
    </row>
    <row r="56" ht="207.0" customHeight="1">
      <c r="A56" s="501" t="s">
        <v>1277</v>
      </c>
      <c r="B56" s="689" t="s">
        <v>4814</v>
      </c>
      <c r="C56" s="690" t="s">
        <v>4815</v>
      </c>
      <c r="D56" s="690" t="s">
        <v>4816</v>
      </c>
      <c r="E56" s="690" t="s">
        <v>4774</v>
      </c>
      <c r="F56" s="689" t="s">
        <v>142</v>
      </c>
      <c r="G56" s="689" t="s">
        <v>4764</v>
      </c>
      <c r="H56" s="697">
        <v>43983.0</v>
      </c>
      <c r="I56" s="689" t="s">
        <v>4817</v>
      </c>
      <c r="J56" s="692">
        <v>50.0</v>
      </c>
      <c r="K56" s="77" t="s">
        <v>178</v>
      </c>
    </row>
    <row r="57" ht="248.25" customHeight="1">
      <c r="A57" s="462" t="s">
        <v>4743</v>
      </c>
      <c r="B57" s="462" t="s">
        <v>4741</v>
      </c>
      <c r="C57" s="698" t="s">
        <v>4742</v>
      </c>
      <c r="D57" s="698" t="s">
        <v>4712</v>
      </c>
      <c r="E57" s="699" t="s">
        <v>4743</v>
      </c>
      <c r="F57" s="462" t="s">
        <v>123</v>
      </c>
      <c r="G57" s="700" t="s">
        <v>4744</v>
      </c>
      <c r="H57" s="701">
        <v>44029.0</v>
      </c>
      <c r="I57" s="462">
        <v>500.0</v>
      </c>
      <c r="J57" s="215">
        <v>125.0</v>
      </c>
      <c r="K57" s="77" t="s">
        <v>179</v>
      </c>
    </row>
    <row r="58" ht="96.0" customHeight="1">
      <c r="A58" s="462" t="s">
        <v>4743</v>
      </c>
      <c r="B58" s="462" t="s">
        <v>4745</v>
      </c>
      <c r="C58" s="462" t="s">
        <v>4746</v>
      </c>
      <c r="D58" s="462" t="s">
        <v>4712</v>
      </c>
      <c r="E58" s="462" t="s">
        <v>4743</v>
      </c>
      <c r="F58" s="462" t="s">
        <v>123</v>
      </c>
      <c r="G58" s="215" t="s">
        <v>4747</v>
      </c>
      <c r="H58" s="702">
        <v>44078.0</v>
      </c>
      <c r="I58" s="215">
        <v>500.0</v>
      </c>
      <c r="J58" s="703">
        <v>250.0</v>
      </c>
      <c r="K58" s="77" t="s">
        <v>179</v>
      </c>
    </row>
    <row r="59" ht="14.25" customHeight="1">
      <c r="A59" s="501"/>
      <c r="B59" s="101"/>
      <c r="C59" s="101"/>
      <c r="D59" s="101"/>
      <c r="E59" s="101"/>
      <c r="F59" s="75"/>
      <c r="G59" s="75"/>
      <c r="H59" s="75"/>
      <c r="I59" s="75"/>
      <c r="J59" s="180"/>
      <c r="K59" s="77"/>
    </row>
    <row r="60" ht="14.25" customHeight="1">
      <c r="A60" s="104" t="s">
        <v>180</v>
      </c>
      <c r="B60" s="52"/>
      <c r="C60" s="104"/>
      <c r="D60" s="104"/>
      <c r="E60" s="53"/>
      <c r="F60" s="53"/>
      <c r="G60" s="1"/>
      <c r="H60" s="1"/>
      <c r="I60" s="1"/>
      <c r="J60" s="533">
        <f>SUM(J14:J59)</f>
        <v>6599.98</v>
      </c>
    </row>
    <row r="61" ht="14.25" customHeight="1">
      <c r="A61" s="52"/>
      <c r="B61" s="52"/>
      <c r="C61" s="52"/>
      <c r="D61" s="52"/>
      <c r="E61" s="655"/>
      <c r="F61" s="53"/>
      <c r="G61" s="53"/>
      <c r="H61" s="1"/>
      <c r="I61" s="1"/>
    </row>
    <row r="62" ht="14.25" customHeight="1">
      <c r="A62" s="52"/>
      <c r="B62" s="53"/>
      <c r="C62" s="53"/>
      <c r="D62" s="53"/>
      <c r="E62" s="53"/>
      <c r="F62" s="53"/>
      <c r="G62" s="1"/>
    </row>
    <row r="63" ht="15.0" customHeight="1">
      <c r="A63" s="534" t="s">
        <v>330</v>
      </c>
      <c r="B63" s="107"/>
      <c r="C63" s="107"/>
      <c r="D63" s="107"/>
      <c r="E63" s="107"/>
      <c r="F63" s="107"/>
      <c r="G63" s="107"/>
      <c r="H63" s="107"/>
      <c r="I63" s="107"/>
      <c r="J63" s="108"/>
    </row>
    <row r="64" ht="14.25" customHeight="1">
      <c r="A64" s="52"/>
      <c r="B64" s="52"/>
      <c r="C64" s="52"/>
      <c r="D64" s="52"/>
      <c r="E64" s="655"/>
      <c r="F64" s="53"/>
      <c r="G64" s="53"/>
      <c r="H64" s="1"/>
      <c r="I64" s="1"/>
    </row>
    <row r="65" ht="14.25" customHeight="1">
      <c r="A65" s="52"/>
      <c r="B65" s="52"/>
      <c r="C65" s="52"/>
      <c r="D65" s="52"/>
      <c r="E65" s="655"/>
      <c r="F65" s="53"/>
      <c r="G65" s="53"/>
      <c r="H65" s="1"/>
      <c r="I65" s="1"/>
    </row>
    <row r="66" ht="14.25" customHeight="1">
      <c r="A66" s="52"/>
      <c r="B66" s="52"/>
      <c r="C66" s="52"/>
      <c r="D66" s="52"/>
      <c r="E66" s="655"/>
      <c r="F66" s="53"/>
      <c r="G66" s="53"/>
      <c r="H66" s="1"/>
      <c r="I66" s="1"/>
    </row>
    <row r="67" ht="14.25" customHeight="1">
      <c r="A67" s="52"/>
      <c r="B67" s="52"/>
      <c r="C67" s="52"/>
      <c r="D67" s="52"/>
      <c r="E67" s="655"/>
      <c r="F67" s="53"/>
      <c r="G67" s="53"/>
      <c r="H67" s="1"/>
      <c r="I67" s="1"/>
    </row>
    <row r="68" ht="14.25" customHeight="1">
      <c r="A68" s="52"/>
      <c r="B68" s="52"/>
      <c r="C68" s="52"/>
      <c r="D68" s="52"/>
      <c r="E68" s="655"/>
      <c r="F68" s="53"/>
      <c r="G68" s="53"/>
      <c r="H68" s="1"/>
      <c r="I68" s="1"/>
    </row>
    <row r="69" ht="14.25" customHeight="1">
      <c r="A69" s="52"/>
      <c r="B69" s="52"/>
      <c r="C69" s="52"/>
      <c r="D69" s="52"/>
      <c r="E69" s="655"/>
      <c r="F69" s="53"/>
      <c r="G69" s="53"/>
      <c r="H69" s="1"/>
      <c r="I69" s="1"/>
    </row>
    <row r="70" ht="14.25" customHeight="1">
      <c r="A70" s="52"/>
      <c r="B70" s="52"/>
      <c r="C70" s="52"/>
      <c r="D70" s="52"/>
      <c r="E70" s="655"/>
      <c r="F70" s="53"/>
      <c r="G70" s="53"/>
      <c r="H70" s="1"/>
      <c r="I70" s="1"/>
    </row>
    <row r="71" ht="14.25" customHeight="1">
      <c r="A71" s="52"/>
      <c r="B71" s="52"/>
      <c r="C71" s="52"/>
      <c r="D71" s="52"/>
      <c r="E71" s="655"/>
      <c r="F71" s="53"/>
      <c r="G71" s="53"/>
      <c r="H71" s="1"/>
      <c r="I71" s="1"/>
    </row>
    <row r="72" ht="14.25" customHeight="1">
      <c r="A72" s="52"/>
      <c r="B72" s="52"/>
      <c r="C72" s="52"/>
      <c r="D72" s="52"/>
      <c r="E72" s="655"/>
      <c r="F72" s="53"/>
      <c r="G72" s="53"/>
      <c r="H72" s="1"/>
      <c r="I72" s="1"/>
    </row>
    <row r="73" ht="14.25" customHeight="1">
      <c r="A73" s="52"/>
      <c r="B73" s="52"/>
      <c r="C73" s="52"/>
      <c r="D73" s="52"/>
      <c r="E73" s="655"/>
      <c r="F73" s="53"/>
      <c r="G73" s="53"/>
      <c r="H73" s="1"/>
      <c r="I73" s="1"/>
    </row>
    <row r="74" ht="14.25" customHeight="1">
      <c r="A74" s="52"/>
      <c r="B74" s="52"/>
      <c r="C74" s="52"/>
      <c r="D74" s="52"/>
      <c r="E74" s="655"/>
      <c r="F74" s="53"/>
      <c r="G74" s="53"/>
      <c r="H74" s="1"/>
      <c r="I74" s="1"/>
    </row>
    <row r="75" ht="14.25" customHeight="1">
      <c r="A75" s="52"/>
      <c r="B75" s="52"/>
      <c r="C75" s="52"/>
      <c r="D75" s="52"/>
      <c r="E75" s="655"/>
      <c r="F75" s="53"/>
      <c r="G75" s="53"/>
      <c r="H75" s="1"/>
      <c r="I75" s="1"/>
    </row>
    <row r="76" ht="14.25" customHeight="1">
      <c r="A76" s="52"/>
      <c r="B76" s="52"/>
      <c r="C76" s="52"/>
      <c r="D76" s="52"/>
      <c r="E76" s="655"/>
      <c r="F76" s="53"/>
      <c r="G76" s="53"/>
      <c r="H76" s="1"/>
      <c r="I76" s="1"/>
    </row>
    <row r="77" ht="14.25" customHeight="1">
      <c r="A77" s="52"/>
      <c r="B77" s="52"/>
      <c r="C77" s="52"/>
      <c r="D77" s="52"/>
      <c r="E77" s="655"/>
      <c r="F77" s="53"/>
      <c r="G77" s="53"/>
      <c r="H77" s="1"/>
      <c r="I77" s="1"/>
    </row>
    <row r="78" ht="14.25" customHeight="1">
      <c r="A78" s="52"/>
      <c r="B78" s="52"/>
      <c r="C78" s="52"/>
      <c r="D78" s="52"/>
      <c r="E78" s="655"/>
      <c r="F78" s="53"/>
      <c r="G78" s="53"/>
      <c r="H78" s="1"/>
      <c r="I78" s="1"/>
    </row>
    <row r="79" ht="14.25" customHeight="1">
      <c r="A79" s="52"/>
      <c r="B79" s="52"/>
      <c r="C79" s="52"/>
      <c r="D79" s="52"/>
      <c r="E79" s="655"/>
      <c r="F79" s="53"/>
      <c r="G79" s="53"/>
      <c r="H79" s="1"/>
      <c r="I79" s="1"/>
    </row>
    <row r="80" ht="14.25" customHeight="1">
      <c r="A80" s="52"/>
      <c r="B80" s="52"/>
      <c r="C80" s="52"/>
      <c r="D80" s="52"/>
      <c r="E80" s="655"/>
      <c r="F80" s="53"/>
      <c r="G80" s="53"/>
      <c r="H80" s="1"/>
      <c r="I80" s="1"/>
    </row>
    <row r="81" ht="14.25" customHeight="1">
      <c r="A81" s="52"/>
      <c r="B81" s="52"/>
      <c r="C81" s="52"/>
      <c r="D81" s="52"/>
      <c r="E81" s="655"/>
      <c r="F81" s="53"/>
      <c r="G81" s="53"/>
      <c r="H81" s="1"/>
      <c r="I81" s="1"/>
    </row>
    <row r="82" ht="14.25" customHeight="1">
      <c r="A82" s="52"/>
      <c r="B82" s="52"/>
      <c r="C82" s="52"/>
      <c r="D82" s="52"/>
      <c r="E82" s="655"/>
      <c r="F82" s="53"/>
      <c r="G82" s="53"/>
      <c r="H82" s="1"/>
      <c r="I82" s="1"/>
    </row>
    <row r="83" ht="14.25" customHeight="1">
      <c r="A83" s="52"/>
      <c r="B83" s="52"/>
      <c r="C83" s="52"/>
      <c r="D83" s="52"/>
      <c r="E83" s="655"/>
      <c r="F83" s="53"/>
      <c r="G83" s="53"/>
      <c r="H83" s="1"/>
      <c r="I83" s="1"/>
    </row>
    <row r="84" ht="14.25" customHeight="1">
      <c r="A84" s="52"/>
      <c r="B84" s="52"/>
      <c r="C84" s="52"/>
      <c r="D84" s="52"/>
      <c r="E84" s="655"/>
      <c r="F84" s="53"/>
      <c r="G84" s="53"/>
      <c r="H84" s="1"/>
      <c r="I84" s="1"/>
    </row>
    <row r="85" ht="14.25" customHeight="1">
      <c r="A85" s="52"/>
      <c r="B85" s="52"/>
      <c r="C85" s="52"/>
      <c r="D85" s="52"/>
      <c r="E85" s="655"/>
      <c r="F85" s="53"/>
      <c r="G85" s="53"/>
      <c r="H85" s="1"/>
      <c r="I85" s="1"/>
    </row>
    <row r="86" ht="14.25" customHeight="1">
      <c r="A86" s="52"/>
      <c r="B86" s="52"/>
      <c r="C86" s="52"/>
      <c r="D86" s="52"/>
      <c r="E86" s="655"/>
      <c r="F86" s="53"/>
      <c r="G86" s="53"/>
      <c r="H86" s="1"/>
      <c r="I86" s="1"/>
    </row>
    <row r="87" ht="14.25" customHeight="1">
      <c r="A87" s="52"/>
      <c r="B87" s="52"/>
      <c r="C87" s="52"/>
      <c r="D87" s="52"/>
      <c r="E87" s="655"/>
      <c r="F87" s="53"/>
      <c r="G87" s="53"/>
      <c r="H87" s="1"/>
      <c r="I87" s="1"/>
    </row>
    <row r="88" ht="14.25" customHeight="1">
      <c r="A88" s="52"/>
      <c r="B88" s="52"/>
      <c r="C88" s="52"/>
      <c r="D88" s="52"/>
      <c r="E88" s="655"/>
      <c r="F88" s="53"/>
      <c r="G88" s="53"/>
      <c r="H88" s="1"/>
      <c r="I88" s="1"/>
    </row>
    <row r="89" ht="14.25" customHeight="1">
      <c r="A89" s="52"/>
      <c r="B89" s="52"/>
      <c r="C89" s="52"/>
      <c r="D89" s="52"/>
      <c r="E89" s="655"/>
      <c r="F89" s="53"/>
      <c r="G89" s="53"/>
      <c r="H89" s="1"/>
      <c r="I89" s="1"/>
    </row>
    <row r="90" ht="14.25" customHeight="1">
      <c r="A90" s="52"/>
      <c r="B90" s="52"/>
      <c r="C90" s="52"/>
      <c r="D90" s="52"/>
      <c r="E90" s="655"/>
      <c r="F90" s="53"/>
      <c r="G90" s="53"/>
      <c r="H90" s="1"/>
      <c r="I90" s="1"/>
    </row>
    <row r="91" ht="14.25" customHeight="1">
      <c r="A91" s="52"/>
      <c r="B91" s="52"/>
      <c r="C91" s="52"/>
      <c r="D91" s="52"/>
      <c r="E91" s="655"/>
      <c r="F91" s="53"/>
      <c r="G91" s="53"/>
      <c r="H91" s="1"/>
      <c r="I91" s="1"/>
    </row>
    <row r="92" ht="14.25" customHeight="1">
      <c r="A92" s="52"/>
      <c r="B92" s="52"/>
      <c r="C92" s="52"/>
      <c r="D92" s="52"/>
      <c r="E92" s="655"/>
      <c r="F92" s="53"/>
      <c r="G92" s="53"/>
      <c r="H92" s="1"/>
      <c r="I92" s="1"/>
    </row>
    <row r="93" ht="14.25" customHeight="1">
      <c r="A93" s="52"/>
      <c r="B93" s="52"/>
      <c r="C93" s="52"/>
      <c r="D93" s="52"/>
      <c r="E93" s="655"/>
      <c r="F93" s="53"/>
      <c r="G93" s="53"/>
      <c r="H93" s="1"/>
      <c r="I93" s="1"/>
    </row>
    <row r="94" ht="14.25" customHeight="1">
      <c r="A94" s="52"/>
      <c r="B94" s="52"/>
      <c r="C94" s="52"/>
      <c r="D94" s="52"/>
      <c r="E94" s="655"/>
      <c r="F94" s="53"/>
      <c r="G94" s="53"/>
      <c r="H94" s="1"/>
      <c r="I94" s="1"/>
    </row>
    <row r="95" ht="14.25" customHeight="1">
      <c r="A95" s="52"/>
      <c r="B95" s="52"/>
      <c r="C95" s="52"/>
      <c r="D95" s="52"/>
      <c r="E95" s="655"/>
      <c r="F95" s="53"/>
      <c r="G95" s="53"/>
      <c r="H95" s="1"/>
      <c r="I95" s="1"/>
    </row>
    <row r="96" ht="14.25" customHeight="1">
      <c r="A96" s="52"/>
      <c r="B96" s="52"/>
      <c r="C96" s="52"/>
      <c r="D96" s="52"/>
      <c r="E96" s="655"/>
      <c r="F96" s="53"/>
      <c r="G96" s="53"/>
      <c r="H96" s="1"/>
      <c r="I96" s="1"/>
    </row>
    <row r="97" ht="14.25" customHeight="1">
      <c r="A97" s="52"/>
      <c r="B97" s="52"/>
      <c r="C97" s="52"/>
      <c r="D97" s="52"/>
      <c r="E97" s="655"/>
      <c r="F97" s="53"/>
      <c r="G97" s="53"/>
      <c r="H97" s="1"/>
      <c r="I97" s="1"/>
    </row>
    <row r="98" ht="14.25" customHeight="1">
      <c r="A98" s="52"/>
      <c r="B98" s="52"/>
      <c r="C98" s="52"/>
      <c r="D98" s="52"/>
      <c r="E98" s="655"/>
      <c r="F98" s="53"/>
      <c r="G98" s="53"/>
      <c r="H98" s="1"/>
      <c r="I98" s="1"/>
    </row>
    <row r="99" ht="14.25" customHeight="1">
      <c r="A99" s="52"/>
      <c r="B99" s="52"/>
      <c r="C99" s="52"/>
      <c r="D99" s="52"/>
      <c r="E99" s="655"/>
      <c r="F99" s="53"/>
      <c r="G99" s="53"/>
      <c r="H99" s="1"/>
      <c r="I99" s="1"/>
    </row>
    <row r="100" ht="14.25" customHeight="1">
      <c r="A100" s="52"/>
      <c r="B100" s="52"/>
      <c r="C100" s="52"/>
      <c r="D100" s="52"/>
      <c r="E100" s="655"/>
      <c r="F100" s="53"/>
      <c r="G100" s="53"/>
      <c r="H100" s="1"/>
      <c r="I100" s="1"/>
    </row>
    <row r="101" ht="14.25" customHeight="1">
      <c r="A101" s="52"/>
      <c r="B101" s="52"/>
      <c r="C101" s="52"/>
      <c r="D101" s="52"/>
      <c r="E101" s="655"/>
      <c r="F101" s="53"/>
      <c r="G101" s="53"/>
      <c r="H101" s="1"/>
      <c r="I101" s="1"/>
    </row>
    <row r="102" ht="14.25" customHeight="1">
      <c r="A102" s="52"/>
      <c r="B102" s="52"/>
      <c r="C102" s="52"/>
      <c r="D102" s="52"/>
      <c r="E102" s="655"/>
      <c r="F102" s="53"/>
      <c r="G102" s="53"/>
      <c r="H102" s="1"/>
      <c r="I102" s="1"/>
    </row>
    <row r="103" ht="14.25" customHeight="1">
      <c r="A103" s="52"/>
      <c r="B103" s="52"/>
      <c r="C103" s="52"/>
      <c r="D103" s="52"/>
      <c r="E103" s="655"/>
      <c r="F103" s="53"/>
      <c r="G103" s="53"/>
      <c r="H103" s="1"/>
      <c r="I103" s="1"/>
    </row>
    <row r="104" ht="14.25" customHeight="1">
      <c r="A104" s="52"/>
      <c r="B104" s="52"/>
      <c r="C104" s="52"/>
      <c r="D104" s="52"/>
      <c r="E104" s="655"/>
      <c r="F104" s="53"/>
      <c r="G104" s="53"/>
      <c r="H104" s="1"/>
      <c r="I104" s="1"/>
    </row>
    <row r="105" ht="14.25" customHeight="1">
      <c r="A105" s="52"/>
      <c r="B105" s="52"/>
      <c r="C105" s="52"/>
      <c r="D105" s="52"/>
      <c r="E105" s="655"/>
      <c r="F105" s="53"/>
      <c r="G105" s="53"/>
      <c r="H105" s="1"/>
      <c r="I105" s="1"/>
    </row>
    <row r="106" ht="14.25" customHeight="1">
      <c r="A106" s="52"/>
      <c r="B106" s="52"/>
      <c r="C106" s="52"/>
      <c r="D106" s="52"/>
      <c r="E106" s="655"/>
      <c r="F106" s="53"/>
      <c r="G106" s="53"/>
      <c r="H106" s="1"/>
      <c r="I106" s="1"/>
    </row>
    <row r="107" ht="14.25" customHeight="1">
      <c r="A107" s="52"/>
      <c r="B107" s="52"/>
      <c r="C107" s="52"/>
      <c r="D107" s="52"/>
      <c r="E107" s="655"/>
      <c r="F107" s="53"/>
      <c r="G107" s="53"/>
      <c r="H107" s="1"/>
      <c r="I107" s="1"/>
    </row>
    <row r="108" ht="14.25" customHeight="1">
      <c r="A108" s="52"/>
      <c r="B108" s="52"/>
      <c r="C108" s="52"/>
      <c r="D108" s="52"/>
      <c r="E108" s="655"/>
      <c r="F108" s="53"/>
      <c r="G108" s="53"/>
      <c r="H108" s="1"/>
      <c r="I108" s="1"/>
    </row>
    <row r="109" ht="14.25" customHeight="1">
      <c r="A109" s="52"/>
      <c r="B109" s="52"/>
      <c r="C109" s="52"/>
      <c r="D109" s="52"/>
      <c r="E109" s="655"/>
      <c r="F109" s="53"/>
      <c r="G109" s="53"/>
      <c r="H109" s="1"/>
      <c r="I109" s="1"/>
    </row>
    <row r="110" ht="14.25" customHeight="1">
      <c r="A110" s="52"/>
      <c r="B110" s="52"/>
      <c r="C110" s="52"/>
      <c r="D110" s="52"/>
      <c r="E110" s="655"/>
      <c r="F110" s="53"/>
      <c r="G110" s="53"/>
      <c r="H110" s="1"/>
      <c r="I110" s="1"/>
    </row>
    <row r="111" ht="14.25" customHeight="1">
      <c r="A111" s="52"/>
      <c r="B111" s="52"/>
      <c r="C111" s="52"/>
      <c r="D111" s="52"/>
      <c r="E111" s="655"/>
      <c r="F111" s="53"/>
      <c r="G111" s="53"/>
      <c r="H111" s="1"/>
      <c r="I111" s="1"/>
    </row>
    <row r="112" ht="14.25" customHeight="1">
      <c r="A112" s="52"/>
      <c r="B112" s="52"/>
      <c r="C112" s="52"/>
      <c r="D112" s="52"/>
      <c r="E112" s="655"/>
      <c r="F112" s="53"/>
      <c r="G112" s="53"/>
      <c r="H112" s="1"/>
      <c r="I112" s="1"/>
    </row>
    <row r="113" ht="14.25" customHeight="1">
      <c r="A113" s="52"/>
      <c r="B113" s="52"/>
      <c r="C113" s="52"/>
      <c r="D113" s="52"/>
      <c r="E113" s="655"/>
      <c r="F113" s="53"/>
      <c r="G113" s="53"/>
      <c r="H113" s="1"/>
      <c r="I113" s="1"/>
    </row>
    <row r="114" ht="14.25" customHeight="1">
      <c r="A114" s="52"/>
      <c r="B114" s="52"/>
      <c r="C114" s="52"/>
      <c r="D114" s="52"/>
      <c r="E114" s="655"/>
      <c r="F114" s="53"/>
      <c r="G114" s="53"/>
      <c r="H114" s="1"/>
      <c r="I114" s="1"/>
    </row>
    <row r="115" ht="14.25" customHeight="1">
      <c r="A115" s="52"/>
      <c r="B115" s="52"/>
      <c r="C115" s="52"/>
      <c r="D115" s="52"/>
      <c r="E115" s="655"/>
      <c r="F115" s="53"/>
      <c r="G115" s="53"/>
      <c r="H115" s="1"/>
      <c r="I115" s="1"/>
    </row>
    <row r="116" ht="14.25" customHeight="1">
      <c r="A116" s="52"/>
      <c r="B116" s="52"/>
      <c r="C116" s="52"/>
      <c r="D116" s="52"/>
      <c r="E116" s="655"/>
      <c r="F116" s="53"/>
      <c r="G116" s="53"/>
      <c r="H116" s="1"/>
      <c r="I116" s="1"/>
    </row>
    <row r="117" ht="14.25" customHeight="1">
      <c r="A117" s="52"/>
      <c r="B117" s="52"/>
      <c r="C117" s="52"/>
      <c r="D117" s="52"/>
      <c r="E117" s="655"/>
      <c r="F117" s="53"/>
      <c r="G117" s="53"/>
      <c r="H117" s="1"/>
      <c r="I117" s="1"/>
    </row>
    <row r="118" ht="14.25" customHeight="1">
      <c r="A118" s="52"/>
      <c r="B118" s="52"/>
      <c r="C118" s="52"/>
      <c r="D118" s="52"/>
      <c r="E118" s="655"/>
      <c r="F118" s="53"/>
      <c r="G118" s="53"/>
      <c r="H118" s="1"/>
      <c r="I118" s="1"/>
    </row>
    <row r="119" ht="14.25" customHeight="1">
      <c r="A119" s="52"/>
      <c r="B119" s="52"/>
      <c r="C119" s="52"/>
      <c r="D119" s="52"/>
      <c r="E119" s="655"/>
      <c r="F119" s="53"/>
      <c r="G119" s="53"/>
      <c r="H119" s="1"/>
      <c r="I119" s="1"/>
    </row>
    <row r="120" ht="14.25" customHeight="1">
      <c r="A120" s="52"/>
      <c r="B120" s="52"/>
      <c r="C120" s="52"/>
      <c r="D120" s="52"/>
      <c r="E120" s="655"/>
      <c r="F120" s="53"/>
      <c r="G120" s="53"/>
      <c r="H120" s="1"/>
      <c r="I120" s="1"/>
    </row>
    <row r="121" ht="14.25" customHeight="1">
      <c r="A121" s="52"/>
      <c r="B121" s="52"/>
      <c r="C121" s="52"/>
      <c r="D121" s="52"/>
      <c r="E121" s="655"/>
      <c r="F121" s="53"/>
      <c r="G121" s="53"/>
      <c r="H121" s="1"/>
      <c r="I121" s="1"/>
    </row>
    <row r="122" ht="14.25" customHeight="1">
      <c r="A122" s="52"/>
      <c r="B122" s="52"/>
      <c r="C122" s="52"/>
      <c r="D122" s="52"/>
      <c r="E122" s="655"/>
      <c r="F122" s="53"/>
      <c r="G122" s="53"/>
      <c r="H122" s="1"/>
      <c r="I122" s="1"/>
    </row>
    <row r="123" ht="14.25" customHeight="1">
      <c r="A123" s="52"/>
      <c r="B123" s="52"/>
      <c r="C123" s="52"/>
      <c r="D123" s="52"/>
      <c r="E123" s="655"/>
      <c r="F123" s="53"/>
      <c r="G123" s="53"/>
      <c r="H123" s="1"/>
      <c r="I123" s="1"/>
    </row>
    <row r="124" ht="14.25" customHeight="1">
      <c r="A124" s="52"/>
      <c r="B124" s="52"/>
      <c r="C124" s="52"/>
      <c r="D124" s="52"/>
      <c r="E124" s="655"/>
      <c r="F124" s="53"/>
      <c r="G124" s="53"/>
      <c r="H124" s="1"/>
      <c r="I124" s="1"/>
    </row>
    <row r="125" ht="14.25" customHeight="1">
      <c r="A125" s="52"/>
      <c r="B125" s="52"/>
      <c r="C125" s="52"/>
      <c r="D125" s="52"/>
      <c r="E125" s="655"/>
      <c r="F125" s="53"/>
      <c r="G125" s="53"/>
      <c r="H125" s="1"/>
      <c r="I125" s="1"/>
    </row>
    <row r="126" ht="14.25" customHeight="1">
      <c r="A126" s="52"/>
      <c r="B126" s="52"/>
      <c r="C126" s="52"/>
      <c r="D126" s="52"/>
      <c r="E126" s="655"/>
      <c r="F126" s="53"/>
      <c r="G126" s="53"/>
      <c r="H126" s="1"/>
      <c r="I126" s="1"/>
    </row>
    <row r="127" ht="14.25" customHeight="1">
      <c r="A127" s="52"/>
      <c r="B127" s="52"/>
      <c r="C127" s="52"/>
      <c r="D127" s="52"/>
      <c r="E127" s="655"/>
      <c r="F127" s="53"/>
      <c r="G127" s="53"/>
      <c r="H127" s="1"/>
      <c r="I127" s="1"/>
    </row>
    <row r="128" ht="14.25" customHeight="1">
      <c r="A128" s="52"/>
      <c r="B128" s="52"/>
      <c r="C128" s="52"/>
      <c r="D128" s="52"/>
      <c r="E128" s="655"/>
      <c r="F128" s="53"/>
      <c r="G128" s="53"/>
      <c r="H128" s="1"/>
      <c r="I128" s="1"/>
    </row>
    <row r="129" ht="14.25" customHeight="1">
      <c r="A129" s="52"/>
      <c r="B129" s="52"/>
      <c r="C129" s="52"/>
      <c r="D129" s="52"/>
      <c r="E129" s="655"/>
      <c r="F129" s="53"/>
      <c r="G129" s="53"/>
      <c r="H129" s="1"/>
      <c r="I129" s="1"/>
    </row>
    <row r="130" ht="14.25" customHeight="1">
      <c r="A130" s="52"/>
      <c r="B130" s="52"/>
      <c r="C130" s="52"/>
      <c r="D130" s="52"/>
      <c r="E130" s="655"/>
      <c r="F130" s="53"/>
      <c r="G130" s="53"/>
      <c r="H130" s="1"/>
      <c r="I130" s="1"/>
    </row>
    <row r="131" ht="14.25" customHeight="1">
      <c r="A131" s="52"/>
      <c r="B131" s="52"/>
      <c r="C131" s="52"/>
      <c r="D131" s="52"/>
      <c r="E131" s="655"/>
      <c r="F131" s="53"/>
      <c r="G131" s="53"/>
      <c r="H131" s="1"/>
      <c r="I131" s="1"/>
    </row>
    <row r="132" ht="14.25" customHeight="1">
      <c r="A132" s="52"/>
      <c r="B132" s="52"/>
      <c r="C132" s="52"/>
      <c r="D132" s="52"/>
      <c r="E132" s="655"/>
      <c r="F132" s="53"/>
      <c r="G132" s="53"/>
      <c r="H132" s="1"/>
      <c r="I132" s="1"/>
    </row>
    <row r="133" ht="14.25" customHeight="1">
      <c r="A133" s="52"/>
      <c r="B133" s="52"/>
      <c r="C133" s="52"/>
      <c r="D133" s="52"/>
      <c r="E133" s="655"/>
      <c r="F133" s="53"/>
      <c r="G133" s="53"/>
      <c r="H133" s="1"/>
      <c r="I133" s="1"/>
    </row>
    <row r="134" ht="14.25" customHeight="1">
      <c r="A134" s="52"/>
      <c r="B134" s="52"/>
      <c r="C134" s="52"/>
      <c r="D134" s="52"/>
      <c r="E134" s="655"/>
      <c r="F134" s="53"/>
      <c r="G134" s="53"/>
      <c r="H134" s="1"/>
      <c r="I134" s="1"/>
    </row>
    <row r="135" ht="14.25" customHeight="1">
      <c r="A135" s="52"/>
      <c r="B135" s="52"/>
      <c r="C135" s="52"/>
      <c r="D135" s="52"/>
      <c r="E135" s="655"/>
      <c r="F135" s="53"/>
      <c r="G135" s="53"/>
      <c r="H135" s="1"/>
      <c r="I135" s="1"/>
    </row>
    <row r="136" ht="14.25" customHeight="1">
      <c r="A136" s="52"/>
      <c r="B136" s="52"/>
      <c r="C136" s="52"/>
      <c r="D136" s="52"/>
      <c r="E136" s="655"/>
      <c r="F136" s="53"/>
      <c r="G136" s="53"/>
      <c r="H136" s="1"/>
      <c r="I136" s="1"/>
    </row>
    <row r="137" ht="14.25" customHeight="1">
      <c r="A137" s="52"/>
      <c r="B137" s="52"/>
      <c r="C137" s="52"/>
      <c r="D137" s="52"/>
      <c r="E137" s="655"/>
      <c r="F137" s="53"/>
      <c r="G137" s="53"/>
      <c r="H137" s="1"/>
      <c r="I137" s="1"/>
    </row>
    <row r="138" ht="14.25" customHeight="1">
      <c r="A138" s="52"/>
      <c r="B138" s="52"/>
      <c r="C138" s="52"/>
      <c r="D138" s="52"/>
      <c r="E138" s="655"/>
      <c r="F138" s="53"/>
      <c r="G138" s="53"/>
      <c r="H138" s="1"/>
      <c r="I138" s="1"/>
    </row>
    <row r="139" ht="14.25" customHeight="1">
      <c r="A139" s="52"/>
      <c r="B139" s="52"/>
      <c r="C139" s="52"/>
      <c r="D139" s="52"/>
      <c r="E139" s="655"/>
      <c r="F139" s="53"/>
      <c r="G139" s="53"/>
      <c r="H139" s="1"/>
      <c r="I139" s="1"/>
    </row>
    <row r="140" ht="14.25" customHeight="1">
      <c r="A140" s="52"/>
      <c r="B140" s="52"/>
      <c r="C140" s="52"/>
      <c r="D140" s="52"/>
      <c r="E140" s="655"/>
      <c r="F140" s="53"/>
      <c r="G140" s="53"/>
      <c r="H140" s="1"/>
      <c r="I140" s="1"/>
    </row>
    <row r="141" ht="14.25" customHeight="1">
      <c r="A141" s="52"/>
      <c r="B141" s="52"/>
      <c r="C141" s="52"/>
      <c r="D141" s="52"/>
      <c r="E141" s="655"/>
      <c r="F141" s="53"/>
      <c r="G141" s="53"/>
      <c r="H141" s="1"/>
      <c r="I141" s="1"/>
    </row>
    <row r="142" ht="14.25" customHeight="1">
      <c r="A142" s="52"/>
      <c r="B142" s="52"/>
      <c r="C142" s="52"/>
      <c r="D142" s="52"/>
      <c r="E142" s="655"/>
      <c r="F142" s="53"/>
      <c r="G142" s="53"/>
      <c r="H142" s="1"/>
      <c r="I142" s="1"/>
    </row>
    <row r="143" ht="14.25" customHeight="1">
      <c r="A143" s="52"/>
      <c r="B143" s="52"/>
      <c r="C143" s="52"/>
      <c r="D143" s="52"/>
      <c r="E143" s="655"/>
      <c r="F143" s="53"/>
      <c r="G143" s="53"/>
      <c r="H143" s="1"/>
      <c r="I143" s="1"/>
    </row>
    <row r="144" ht="14.25" customHeight="1">
      <c r="A144" s="52"/>
      <c r="B144" s="52"/>
      <c r="C144" s="52"/>
      <c r="D144" s="52"/>
      <c r="E144" s="655"/>
      <c r="F144" s="53"/>
      <c r="G144" s="53"/>
      <c r="H144" s="1"/>
      <c r="I144" s="1"/>
    </row>
    <row r="145" ht="14.25" customHeight="1">
      <c r="A145" s="52"/>
      <c r="B145" s="52"/>
      <c r="C145" s="52"/>
      <c r="D145" s="52"/>
      <c r="E145" s="655"/>
      <c r="F145" s="53"/>
      <c r="G145" s="53"/>
      <c r="H145" s="1"/>
      <c r="I145" s="1"/>
    </row>
    <row r="146" ht="14.25" customHeight="1">
      <c r="A146" s="52"/>
      <c r="B146" s="52"/>
      <c r="C146" s="52"/>
      <c r="D146" s="52"/>
      <c r="E146" s="655"/>
      <c r="F146" s="53"/>
      <c r="G146" s="53"/>
      <c r="H146" s="1"/>
      <c r="I146" s="1"/>
    </row>
    <row r="147" ht="14.25" customHeight="1">
      <c r="A147" s="52"/>
      <c r="B147" s="52"/>
      <c r="C147" s="52"/>
      <c r="D147" s="52"/>
      <c r="E147" s="655"/>
      <c r="F147" s="53"/>
      <c r="G147" s="53"/>
      <c r="H147" s="1"/>
      <c r="I147" s="1"/>
    </row>
    <row r="148" ht="14.25" customHeight="1">
      <c r="A148" s="52"/>
      <c r="B148" s="52"/>
      <c r="C148" s="52"/>
      <c r="D148" s="52"/>
      <c r="E148" s="655"/>
      <c r="F148" s="53"/>
      <c r="G148" s="53"/>
      <c r="H148" s="1"/>
      <c r="I148" s="1"/>
    </row>
    <row r="149" ht="14.25" customHeight="1">
      <c r="A149" s="52"/>
      <c r="B149" s="52"/>
      <c r="C149" s="52"/>
      <c r="D149" s="52"/>
      <c r="E149" s="655"/>
      <c r="F149" s="53"/>
      <c r="G149" s="53"/>
      <c r="H149" s="1"/>
      <c r="I149" s="1"/>
    </row>
    <row r="150" ht="14.25" customHeight="1">
      <c r="A150" s="52"/>
      <c r="B150" s="52"/>
      <c r="C150" s="52"/>
      <c r="D150" s="52"/>
      <c r="E150" s="655"/>
      <c r="F150" s="53"/>
      <c r="G150" s="53"/>
      <c r="H150" s="1"/>
      <c r="I150" s="1"/>
    </row>
    <row r="151" ht="14.25" customHeight="1">
      <c r="A151" s="52"/>
      <c r="B151" s="52"/>
      <c r="C151" s="52"/>
      <c r="D151" s="52"/>
      <c r="E151" s="655"/>
      <c r="F151" s="53"/>
      <c r="G151" s="53"/>
      <c r="H151" s="1"/>
      <c r="I151" s="1"/>
    </row>
    <row r="152" ht="14.25" customHeight="1">
      <c r="A152" s="52"/>
      <c r="B152" s="52"/>
      <c r="C152" s="52"/>
      <c r="D152" s="52"/>
      <c r="E152" s="655"/>
      <c r="F152" s="53"/>
      <c r="G152" s="53"/>
      <c r="H152" s="1"/>
      <c r="I152" s="1"/>
    </row>
    <row r="153" ht="14.25" customHeight="1">
      <c r="A153" s="52"/>
      <c r="B153" s="52"/>
      <c r="C153" s="52"/>
      <c r="D153" s="52"/>
      <c r="E153" s="655"/>
      <c r="F153" s="53"/>
      <c r="G153" s="53"/>
      <c r="H153" s="1"/>
      <c r="I153" s="1"/>
    </row>
    <row r="154" ht="14.25" customHeight="1">
      <c r="A154" s="52"/>
      <c r="B154" s="52"/>
      <c r="C154" s="52"/>
      <c r="D154" s="52"/>
      <c r="E154" s="655"/>
      <c r="F154" s="53"/>
      <c r="G154" s="53"/>
      <c r="H154" s="1"/>
      <c r="I154" s="1"/>
    </row>
    <row r="155" ht="14.25" customHeight="1">
      <c r="A155" s="52"/>
      <c r="B155" s="52"/>
      <c r="C155" s="52"/>
      <c r="D155" s="52"/>
      <c r="E155" s="655"/>
      <c r="F155" s="53"/>
      <c r="G155" s="53"/>
      <c r="H155" s="1"/>
      <c r="I155" s="1"/>
    </row>
    <row r="156" ht="14.25" customHeight="1">
      <c r="A156" s="52"/>
      <c r="B156" s="52"/>
      <c r="C156" s="52"/>
      <c r="D156" s="52"/>
      <c r="E156" s="655"/>
      <c r="F156" s="53"/>
      <c r="G156" s="53"/>
      <c r="H156" s="1"/>
      <c r="I156" s="1"/>
    </row>
    <row r="157" ht="14.25" customHeight="1">
      <c r="A157" s="52"/>
      <c r="B157" s="52"/>
      <c r="C157" s="52"/>
      <c r="D157" s="52"/>
      <c r="E157" s="655"/>
      <c r="F157" s="53"/>
      <c r="G157" s="53"/>
      <c r="H157" s="1"/>
      <c r="I157" s="1"/>
    </row>
    <row r="158" ht="14.25" customHeight="1">
      <c r="A158" s="52"/>
      <c r="B158" s="52"/>
      <c r="C158" s="52"/>
      <c r="D158" s="52"/>
      <c r="E158" s="655"/>
      <c r="F158" s="53"/>
      <c r="G158" s="53"/>
      <c r="H158" s="1"/>
      <c r="I158" s="1"/>
    </row>
    <row r="159" ht="14.25" customHeight="1">
      <c r="A159" s="52"/>
      <c r="B159" s="52"/>
      <c r="C159" s="52"/>
      <c r="D159" s="52"/>
      <c r="E159" s="655"/>
      <c r="F159" s="53"/>
      <c r="G159" s="53"/>
      <c r="H159" s="1"/>
      <c r="I159" s="1"/>
    </row>
    <row r="160" ht="14.25" customHeight="1">
      <c r="A160" s="52"/>
      <c r="B160" s="52"/>
      <c r="C160" s="52"/>
      <c r="D160" s="52"/>
      <c r="E160" s="655"/>
      <c r="F160" s="53"/>
      <c r="G160" s="53"/>
      <c r="H160" s="1"/>
      <c r="I160" s="1"/>
    </row>
    <row r="161" ht="14.25" customHeight="1">
      <c r="A161" s="52"/>
      <c r="B161" s="52"/>
      <c r="C161" s="52"/>
      <c r="D161" s="52"/>
      <c r="E161" s="655"/>
      <c r="F161" s="53"/>
      <c r="G161" s="53"/>
      <c r="H161" s="1"/>
      <c r="I161" s="1"/>
    </row>
    <row r="162" ht="14.25" customHeight="1">
      <c r="A162" s="52"/>
      <c r="B162" s="52"/>
      <c r="C162" s="52"/>
      <c r="D162" s="52"/>
      <c r="E162" s="655"/>
      <c r="F162" s="53"/>
      <c r="G162" s="53"/>
      <c r="H162" s="1"/>
      <c r="I162" s="1"/>
    </row>
    <row r="163" ht="14.25" customHeight="1">
      <c r="A163" s="52"/>
      <c r="B163" s="52"/>
      <c r="C163" s="52"/>
      <c r="D163" s="52"/>
      <c r="E163" s="655"/>
      <c r="F163" s="53"/>
      <c r="G163" s="53"/>
      <c r="H163" s="1"/>
      <c r="I163" s="1"/>
    </row>
    <row r="164" ht="14.25" customHeight="1">
      <c r="A164" s="52"/>
      <c r="B164" s="52"/>
      <c r="C164" s="52"/>
      <c r="D164" s="52"/>
      <c r="E164" s="655"/>
      <c r="F164" s="53"/>
      <c r="G164" s="53"/>
      <c r="H164" s="1"/>
      <c r="I164" s="1"/>
    </row>
    <row r="165" ht="14.25" customHeight="1">
      <c r="A165" s="52"/>
      <c r="B165" s="52"/>
      <c r="C165" s="52"/>
      <c r="D165" s="52"/>
      <c r="E165" s="655"/>
      <c r="F165" s="53"/>
      <c r="G165" s="53"/>
      <c r="H165" s="1"/>
      <c r="I165" s="1"/>
    </row>
    <row r="166" ht="14.25" customHeight="1">
      <c r="A166" s="52"/>
      <c r="B166" s="52"/>
      <c r="C166" s="52"/>
      <c r="D166" s="52"/>
      <c r="E166" s="655"/>
      <c r="F166" s="53"/>
      <c r="G166" s="53"/>
      <c r="H166" s="1"/>
      <c r="I166" s="1"/>
    </row>
    <row r="167" ht="14.25" customHeight="1">
      <c r="A167" s="52"/>
      <c r="B167" s="52"/>
      <c r="C167" s="52"/>
      <c r="D167" s="52"/>
      <c r="E167" s="655"/>
      <c r="F167" s="53"/>
      <c r="G167" s="53"/>
      <c r="H167" s="1"/>
      <c r="I167" s="1"/>
    </row>
    <row r="168" ht="14.25" customHeight="1">
      <c r="A168" s="52"/>
      <c r="B168" s="52"/>
      <c r="C168" s="52"/>
      <c r="D168" s="52"/>
      <c r="E168" s="655"/>
      <c r="F168" s="53"/>
      <c r="G168" s="53"/>
      <c r="H168" s="1"/>
      <c r="I168" s="1"/>
    </row>
    <row r="169" ht="14.25" customHeight="1">
      <c r="A169" s="52"/>
      <c r="B169" s="52"/>
      <c r="C169" s="52"/>
      <c r="D169" s="52"/>
      <c r="E169" s="655"/>
      <c r="F169" s="53"/>
      <c r="G169" s="53"/>
      <c r="H169" s="1"/>
      <c r="I169" s="1"/>
    </row>
    <row r="170" ht="14.25" customHeight="1">
      <c r="A170" s="52"/>
      <c r="B170" s="52"/>
      <c r="C170" s="52"/>
      <c r="D170" s="52"/>
      <c r="E170" s="655"/>
      <c r="F170" s="53"/>
      <c r="G170" s="53"/>
      <c r="H170" s="1"/>
      <c r="I170" s="1"/>
    </row>
    <row r="171" ht="14.25" customHeight="1">
      <c r="A171" s="52"/>
      <c r="B171" s="52"/>
      <c r="C171" s="52"/>
      <c r="D171" s="52"/>
      <c r="E171" s="655"/>
      <c r="F171" s="53"/>
      <c r="G171" s="53"/>
      <c r="H171" s="1"/>
      <c r="I171" s="1"/>
    </row>
    <row r="172" ht="14.25" customHeight="1">
      <c r="A172" s="52"/>
      <c r="B172" s="52"/>
      <c r="C172" s="52"/>
      <c r="D172" s="52"/>
      <c r="E172" s="655"/>
      <c r="F172" s="53"/>
      <c r="G172" s="53"/>
      <c r="H172" s="1"/>
      <c r="I172" s="1"/>
    </row>
    <row r="173" ht="14.25" customHeight="1">
      <c r="A173" s="52"/>
      <c r="B173" s="52"/>
      <c r="C173" s="52"/>
      <c r="D173" s="52"/>
      <c r="E173" s="655"/>
      <c r="F173" s="53"/>
      <c r="G173" s="53"/>
      <c r="H173" s="1"/>
      <c r="I173" s="1"/>
    </row>
    <row r="174" ht="14.25" customHeight="1">
      <c r="A174" s="52"/>
      <c r="B174" s="52"/>
      <c r="C174" s="52"/>
      <c r="D174" s="52"/>
      <c r="E174" s="655"/>
      <c r="F174" s="53"/>
      <c r="G174" s="53"/>
      <c r="H174" s="1"/>
      <c r="I174" s="1"/>
    </row>
    <row r="175" ht="14.25" customHeight="1">
      <c r="A175" s="52"/>
      <c r="B175" s="52"/>
      <c r="C175" s="52"/>
      <c r="D175" s="52"/>
      <c r="E175" s="655"/>
      <c r="F175" s="53"/>
      <c r="G175" s="53"/>
      <c r="H175" s="1"/>
      <c r="I175" s="1"/>
    </row>
    <row r="176" ht="14.25" customHeight="1">
      <c r="A176" s="52"/>
      <c r="B176" s="52"/>
      <c r="C176" s="52"/>
      <c r="D176" s="52"/>
      <c r="E176" s="655"/>
      <c r="F176" s="53"/>
      <c r="G176" s="53"/>
      <c r="H176" s="1"/>
      <c r="I176" s="1"/>
    </row>
    <row r="177" ht="14.25" customHeight="1">
      <c r="A177" s="52"/>
      <c r="B177" s="52"/>
      <c r="C177" s="52"/>
      <c r="D177" s="52"/>
      <c r="E177" s="655"/>
      <c r="F177" s="53"/>
      <c r="G177" s="53"/>
      <c r="H177" s="1"/>
      <c r="I177" s="1"/>
    </row>
    <row r="178" ht="14.25" customHeight="1">
      <c r="A178" s="52"/>
      <c r="B178" s="52"/>
      <c r="C178" s="52"/>
      <c r="D178" s="52"/>
      <c r="E178" s="655"/>
      <c r="F178" s="53"/>
      <c r="G178" s="53"/>
      <c r="H178" s="1"/>
      <c r="I178" s="1"/>
    </row>
    <row r="179" ht="14.25" customHeight="1">
      <c r="A179" s="52"/>
      <c r="B179" s="52"/>
      <c r="C179" s="52"/>
      <c r="D179" s="52"/>
      <c r="E179" s="655"/>
      <c r="F179" s="53"/>
      <c r="G179" s="53"/>
      <c r="H179" s="1"/>
      <c r="I179" s="1"/>
    </row>
    <row r="180" ht="14.25" customHeight="1">
      <c r="A180" s="52"/>
      <c r="B180" s="52"/>
      <c r="C180" s="52"/>
      <c r="D180" s="52"/>
      <c r="E180" s="655"/>
      <c r="F180" s="53"/>
      <c r="G180" s="53"/>
      <c r="H180" s="1"/>
      <c r="I180" s="1"/>
    </row>
    <row r="181" ht="14.25" customHeight="1">
      <c r="A181" s="52"/>
      <c r="B181" s="52"/>
      <c r="C181" s="52"/>
      <c r="D181" s="52"/>
      <c r="E181" s="655"/>
      <c r="F181" s="53"/>
      <c r="G181" s="53"/>
      <c r="H181" s="1"/>
      <c r="I181" s="1"/>
    </row>
    <row r="182" ht="14.25" customHeight="1">
      <c r="A182" s="52"/>
      <c r="B182" s="52"/>
      <c r="C182" s="52"/>
      <c r="D182" s="52"/>
      <c r="E182" s="655"/>
      <c r="F182" s="53"/>
      <c r="G182" s="53"/>
      <c r="H182" s="1"/>
      <c r="I182" s="1"/>
    </row>
    <row r="183" ht="14.25" customHeight="1">
      <c r="A183" s="52"/>
      <c r="B183" s="52"/>
      <c r="C183" s="52"/>
      <c r="D183" s="52"/>
      <c r="E183" s="655"/>
      <c r="F183" s="53"/>
      <c r="G183" s="53"/>
      <c r="H183" s="1"/>
      <c r="I183" s="1"/>
    </row>
    <row r="184" ht="14.25" customHeight="1">
      <c r="A184" s="52"/>
      <c r="B184" s="52"/>
      <c r="C184" s="52"/>
      <c r="D184" s="52"/>
      <c r="E184" s="655"/>
      <c r="F184" s="53"/>
      <c r="G184" s="53"/>
      <c r="H184" s="1"/>
      <c r="I184" s="1"/>
    </row>
    <row r="185" ht="14.25" customHeight="1">
      <c r="A185" s="52"/>
      <c r="B185" s="52"/>
      <c r="C185" s="52"/>
      <c r="D185" s="52"/>
      <c r="E185" s="655"/>
      <c r="F185" s="53"/>
      <c r="G185" s="53"/>
      <c r="H185" s="1"/>
      <c r="I185" s="1"/>
    </row>
    <row r="186" ht="14.25" customHeight="1">
      <c r="A186" s="52"/>
      <c r="B186" s="52"/>
      <c r="C186" s="52"/>
      <c r="D186" s="52"/>
      <c r="E186" s="655"/>
      <c r="F186" s="53"/>
      <c r="G186" s="53"/>
      <c r="H186" s="1"/>
      <c r="I186" s="1"/>
    </row>
    <row r="187" ht="14.25" customHeight="1">
      <c r="A187" s="52"/>
      <c r="B187" s="52"/>
      <c r="C187" s="52"/>
      <c r="D187" s="52"/>
      <c r="E187" s="655"/>
      <c r="F187" s="53"/>
      <c r="G187" s="53"/>
      <c r="H187" s="1"/>
      <c r="I187" s="1"/>
    </row>
    <row r="188" ht="14.25" customHeight="1">
      <c r="A188" s="52"/>
      <c r="B188" s="52"/>
      <c r="C188" s="52"/>
      <c r="D188" s="52"/>
      <c r="E188" s="655"/>
      <c r="F188" s="53"/>
      <c r="G188" s="53"/>
      <c r="H188" s="1"/>
      <c r="I188" s="1"/>
    </row>
    <row r="189" ht="14.25" customHeight="1">
      <c r="A189" s="52"/>
      <c r="B189" s="52"/>
      <c r="C189" s="52"/>
      <c r="D189" s="52"/>
      <c r="E189" s="655"/>
      <c r="F189" s="53"/>
      <c r="G189" s="53"/>
      <c r="H189" s="1"/>
      <c r="I189" s="1"/>
    </row>
    <row r="190" ht="14.25" customHeight="1">
      <c r="A190" s="52"/>
      <c r="B190" s="52"/>
      <c r="C190" s="52"/>
      <c r="D190" s="52"/>
      <c r="E190" s="655"/>
      <c r="F190" s="53"/>
      <c r="G190" s="53"/>
      <c r="H190" s="1"/>
      <c r="I190" s="1"/>
    </row>
    <row r="191" ht="14.25" customHeight="1">
      <c r="A191" s="52"/>
      <c r="B191" s="52"/>
      <c r="C191" s="52"/>
      <c r="D191" s="52"/>
      <c r="E191" s="655"/>
      <c r="F191" s="53"/>
      <c r="G191" s="53"/>
      <c r="H191" s="1"/>
      <c r="I191" s="1"/>
    </row>
    <row r="192" ht="14.25" customHeight="1">
      <c r="A192" s="52"/>
      <c r="B192" s="52"/>
      <c r="C192" s="52"/>
      <c r="D192" s="52"/>
      <c r="E192" s="655"/>
      <c r="F192" s="53"/>
      <c r="G192" s="53"/>
      <c r="H192" s="1"/>
      <c r="I192" s="1"/>
    </row>
    <row r="193" ht="14.25" customHeight="1">
      <c r="A193" s="52"/>
      <c r="B193" s="52"/>
      <c r="C193" s="52"/>
      <c r="D193" s="52"/>
      <c r="E193" s="655"/>
      <c r="F193" s="53"/>
      <c r="G193" s="53"/>
      <c r="H193" s="1"/>
      <c r="I193" s="1"/>
    </row>
    <row r="194" ht="14.25" customHeight="1">
      <c r="A194" s="52"/>
      <c r="B194" s="52"/>
      <c r="C194" s="52"/>
      <c r="D194" s="52"/>
      <c r="E194" s="655"/>
      <c r="F194" s="53"/>
      <c r="G194" s="53"/>
      <c r="H194" s="1"/>
      <c r="I194" s="1"/>
    </row>
    <row r="195" ht="14.25" customHeight="1">
      <c r="A195" s="52"/>
      <c r="B195" s="52"/>
      <c r="C195" s="52"/>
      <c r="D195" s="52"/>
      <c r="E195" s="655"/>
      <c r="F195" s="53"/>
      <c r="G195" s="53"/>
      <c r="H195" s="1"/>
      <c r="I195" s="1"/>
    </row>
    <row r="196" ht="14.25" customHeight="1">
      <c r="A196" s="52"/>
      <c r="B196" s="52"/>
      <c r="C196" s="52"/>
      <c r="D196" s="52"/>
      <c r="E196" s="655"/>
      <c r="F196" s="53"/>
      <c r="G196" s="53"/>
      <c r="H196" s="1"/>
      <c r="I196" s="1"/>
    </row>
    <row r="197" ht="14.25" customHeight="1">
      <c r="A197" s="52"/>
      <c r="B197" s="52"/>
      <c r="C197" s="52"/>
      <c r="D197" s="52"/>
      <c r="E197" s="655"/>
      <c r="F197" s="53"/>
      <c r="G197" s="53"/>
      <c r="H197" s="1"/>
      <c r="I197" s="1"/>
    </row>
    <row r="198" ht="14.25" customHeight="1">
      <c r="A198" s="52"/>
      <c r="B198" s="52"/>
      <c r="C198" s="52"/>
      <c r="D198" s="52"/>
      <c r="E198" s="655"/>
      <c r="F198" s="53"/>
      <c r="G198" s="53"/>
      <c r="H198" s="1"/>
      <c r="I198" s="1"/>
    </row>
    <row r="199" ht="14.25" customHeight="1">
      <c r="A199" s="52"/>
      <c r="B199" s="52"/>
      <c r="C199" s="52"/>
      <c r="D199" s="52"/>
      <c r="E199" s="655"/>
      <c r="F199" s="53"/>
      <c r="G199" s="53"/>
      <c r="H199" s="1"/>
      <c r="I199" s="1"/>
    </row>
    <row r="200" ht="14.25" customHeight="1">
      <c r="A200" s="52"/>
      <c r="B200" s="52"/>
      <c r="C200" s="52"/>
      <c r="D200" s="52"/>
      <c r="E200" s="655"/>
      <c r="F200" s="53"/>
      <c r="G200" s="53"/>
      <c r="H200" s="1"/>
      <c r="I200" s="1"/>
    </row>
    <row r="201" ht="14.25" customHeight="1">
      <c r="A201" s="52"/>
      <c r="B201" s="52"/>
      <c r="C201" s="52"/>
      <c r="D201" s="52"/>
      <c r="E201" s="655"/>
      <c r="F201" s="53"/>
      <c r="G201" s="53"/>
      <c r="H201" s="1"/>
      <c r="I201" s="1"/>
    </row>
    <row r="202" ht="14.25" customHeight="1">
      <c r="A202" s="52"/>
      <c r="B202" s="52"/>
      <c r="C202" s="52"/>
      <c r="D202" s="52"/>
      <c r="E202" s="655"/>
      <c r="F202" s="53"/>
      <c r="G202" s="53"/>
      <c r="H202" s="1"/>
      <c r="I202" s="1"/>
    </row>
    <row r="203" ht="14.25" customHeight="1">
      <c r="A203" s="52"/>
      <c r="B203" s="52"/>
      <c r="C203" s="52"/>
      <c r="D203" s="52"/>
      <c r="E203" s="655"/>
      <c r="F203" s="53"/>
      <c r="G203" s="53"/>
      <c r="H203" s="1"/>
      <c r="I203" s="1"/>
    </row>
    <row r="204" ht="14.25" customHeight="1">
      <c r="A204" s="52"/>
      <c r="B204" s="52"/>
      <c r="C204" s="52"/>
      <c r="D204" s="52"/>
      <c r="E204" s="655"/>
      <c r="F204" s="53"/>
      <c r="G204" s="53"/>
      <c r="H204" s="1"/>
      <c r="I204" s="1"/>
    </row>
    <row r="205" ht="14.25" customHeight="1">
      <c r="A205" s="52"/>
      <c r="B205" s="52"/>
      <c r="C205" s="52"/>
      <c r="D205" s="52"/>
      <c r="E205" s="655"/>
      <c r="F205" s="53"/>
      <c r="G205" s="53"/>
      <c r="H205" s="1"/>
      <c r="I205" s="1"/>
    </row>
    <row r="206" ht="14.25" customHeight="1">
      <c r="A206" s="52"/>
      <c r="B206" s="52"/>
      <c r="C206" s="52"/>
      <c r="D206" s="52"/>
      <c r="E206" s="655"/>
      <c r="F206" s="53"/>
      <c r="G206" s="53"/>
      <c r="H206" s="1"/>
      <c r="I206" s="1"/>
    </row>
    <row r="207" ht="14.25" customHeight="1">
      <c r="A207" s="52"/>
      <c r="B207" s="52"/>
      <c r="C207" s="52"/>
      <c r="D207" s="52"/>
      <c r="E207" s="655"/>
      <c r="F207" s="53"/>
      <c r="G207" s="53"/>
      <c r="H207" s="1"/>
      <c r="I207" s="1"/>
    </row>
    <row r="208" ht="14.25" customHeight="1">
      <c r="A208" s="52"/>
      <c r="B208" s="52"/>
      <c r="C208" s="52"/>
      <c r="D208" s="52"/>
      <c r="E208" s="655"/>
      <c r="F208" s="53"/>
      <c r="G208" s="53"/>
      <c r="H208" s="1"/>
      <c r="I208" s="1"/>
    </row>
    <row r="209" ht="14.25" customHeight="1">
      <c r="A209" s="52"/>
      <c r="B209" s="52"/>
      <c r="C209" s="52"/>
      <c r="D209" s="52"/>
      <c r="E209" s="655"/>
      <c r="F209" s="53"/>
      <c r="G209" s="53"/>
      <c r="H209" s="1"/>
      <c r="I209" s="1"/>
    </row>
    <row r="210" ht="14.25" customHeight="1">
      <c r="A210" s="52"/>
      <c r="B210" s="52"/>
      <c r="C210" s="52"/>
      <c r="D210" s="52"/>
      <c r="E210" s="655"/>
      <c r="F210" s="53"/>
      <c r="G210" s="53"/>
      <c r="H210" s="1"/>
      <c r="I210" s="1"/>
    </row>
    <row r="211" ht="14.25" customHeight="1">
      <c r="A211" s="52"/>
      <c r="B211" s="52"/>
      <c r="C211" s="52"/>
      <c r="D211" s="52"/>
      <c r="E211" s="655"/>
      <c r="F211" s="53"/>
      <c r="G211" s="53"/>
      <c r="H211" s="1"/>
      <c r="I211" s="1"/>
    </row>
    <row r="212" ht="14.25" customHeight="1">
      <c r="A212" s="52"/>
      <c r="B212" s="52"/>
      <c r="C212" s="52"/>
      <c r="D212" s="52"/>
      <c r="E212" s="655"/>
      <c r="F212" s="53"/>
      <c r="G212" s="53"/>
      <c r="H212" s="1"/>
      <c r="I212" s="1"/>
    </row>
    <row r="213" ht="14.25" customHeight="1">
      <c r="A213" s="52"/>
      <c r="B213" s="52"/>
      <c r="C213" s="52"/>
      <c r="D213" s="52"/>
      <c r="E213" s="655"/>
      <c r="F213" s="53"/>
      <c r="G213" s="53"/>
      <c r="H213" s="1"/>
      <c r="I213" s="1"/>
    </row>
    <row r="214" ht="14.25" customHeight="1">
      <c r="A214" s="52"/>
      <c r="B214" s="52"/>
      <c r="C214" s="52"/>
      <c r="D214" s="52"/>
      <c r="E214" s="655"/>
      <c r="F214" s="53"/>
      <c r="G214" s="53"/>
      <c r="H214" s="1"/>
      <c r="I214" s="1"/>
    </row>
    <row r="215" ht="14.25" customHeight="1">
      <c r="A215" s="52"/>
      <c r="B215" s="52"/>
      <c r="C215" s="52"/>
      <c r="D215" s="52"/>
      <c r="E215" s="655"/>
      <c r="F215" s="53"/>
      <c r="G215" s="53"/>
      <c r="H215" s="1"/>
      <c r="I215" s="1"/>
    </row>
    <row r="216" ht="14.25" customHeight="1">
      <c r="A216" s="52"/>
      <c r="B216" s="52"/>
      <c r="C216" s="52"/>
      <c r="D216" s="52"/>
      <c r="E216" s="655"/>
      <c r="F216" s="53"/>
      <c r="G216" s="53"/>
      <c r="H216" s="1"/>
      <c r="I216" s="1"/>
    </row>
    <row r="217" ht="14.25" customHeight="1">
      <c r="A217" s="52"/>
      <c r="B217" s="52"/>
      <c r="C217" s="52"/>
      <c r="D217" s="52"/>
      <c r="E217" s="655"/>
      <c r="F217" s="53"/>
      <c r="G217" s="53"/>
      <c r="H217" s="1"/>
      <c r="I217" s="1"/>
    </row>
    <row r="218" ht="14.25" customHeight="1">
      <c r="A218" s="52"/>
      <c r="B218" s="52"/>
      <c r="C218" s="52"/>
      <c r="D218" s="52"/>
      <c r="E218" s="655"/>
      <c r="F218" s="53"/>
      <c r="G218" s="53"/>
      <c r="H218" s="1"/>
      <c r="I218" s="1"/>
    </row>
    <row r="219" ht="14.25" customHeight="1">
      <c r="A219" s="52"/>
      <c r="B219" s="52"/>
      <c r="C219" s="52"/>
      <c r="D219" s="52"/>
      <c r="E219" s="655"/>
      <c r="F219" s="53"/>
      <c r="G219" s="53"/>
      <c r="H219" s="1"/>
      <c r="I219" s="1"/>
    </row>
    <row r="220" ht="14.25" customHeight="1">
      <c r="A220" s="52"/>
      <c r="B220" s="52"/>
      <c r="C220" s="52"/>
      <c r="D220" s="52"/>
      <c r="E220" s="655"/>
      <c r="F220" s="53"/>
      <c r="G220" s="53"/>
      <c r="H220" s="1"/>
      <c r="I220" s="1"/>
    </row>
    <row r="221" ht="14.25" customHeight="1">
      <c r="A221" s="52"/>
      <c r="B221" s="52"/>
      <c r="C221" s="52"/>
      <c r="D221" s="52"/>
      <c r="E221" s="655"/>
      <c r="F221" s="53"/>
      <c r="G221" s="53"/>
      <c r="H221" s="1"/>
      <c r="I221" s="1"/>
    </row>
    <row r="222" ht="14.25" customHeight="1">
      <c r="A222" s="52"/>
      <c r="B222" s="52"/>
      <c r="C222" s="52"/>
      <c r="D222" s="52"/>
      <c r="E222" s="655"/>
      <c r="F222" s="53"/>
      <c r="G222" s="53"/>
      <c r="H222" s="1"/>
      <c r="I222" s="1"/>
    </row>
    <row r="223" ht="14.25" customHeight="1">
      <c r="A223" s="52"/>
      <c r="B223" s="52"/>
      <c r="C223" s="52"/>
      <c r="D223" s="52"/>
      <c r="E223" s="655"/>
      <c r="F223" s="53"/>
      <c r="G223" s="53"/>
      <c r="H223" s="1"/>
      <c r="I223" s="1"/>
    </row>
    <row r="224" ht="14.25" customHeight="1">
      <c r="A224" s="52"/>
      <c r="B224" s="52"/>
      <c r="C224" s="52"/>
      <c r="D224" s="52"/>
      <c r="E224" s="655"/>
      <c r="F224" s="53"/>
      <c r="G224" s="53"/>
      <c r="H224" s="1"/>
      <c r="I224" s="1"/>
    </row>
    <row r="225" ht="14.25" customHeight="1">
      <c r="A225" s="52"/>
      <c r="B225" s="52"/>
      <c r="C225" s="52"/>
      <c r="D225" s="52"/>
      <c r="E225" s="655"/>
      <c r="F225" s="53"/>
      <c r="G225" s="53"/>
      <c r="H225" s="1"/>
      <c r="I225" s="1"/>
    </row>
    <row r="226" ht="14.25" customHeight="1">
      <c r="A226" s="52"/>
      <c r="B226" s="52"/>
      <c r="C226" s="52"/>
      <c r="D226" s="52"/>
      <c r="E226" s="655"/>
      <c r="F226" s="53"/>
      <c r="G226" s="53"/>
      <c r="H226" s="1"/>
      <c r="I226" s="1"/>
    </row>
    <row r="227" ht="14.25" customHeight="1">
      <c r="A227" s="52"/>
      <c r="B227" s="52"/>
      <c r="C227" s="52"/>
      <c r="D227" s="52"/>
      <c r="E227" s="655"/>
      <c r="F227" s="53"/>
      <c r="G227" s="53"/>
      <c r="H227" s="1"/>
      <c r="I227" s="1"/>
    </row>
    <row r="228" ht="14.25" customHeight="1">
      <c r="A228" s="52"/>
      <c r="B228" s="52"/>
      <c r="C228" s="52"/>
      <c r="D228" s="52"/>
      <c r="E228" s="655"/>
      <c r="F228" s="53"/>
      <c r="G228" s="53"/>
      <c r="H228" s="1"/>
      <c r="I228" s="1"/>
    </row>
    <row r="229" ht="14.25" customHeight="1">
      <c r="A229" s="52"/>
      <c r="B229" s="52"/>
      <c r="C229" s="52"/>
      <c r="D229" s="52"/>
      <c r="E229" s="655"/>
      <c r="F229" s="53"/>
      <c r="G229" s="53"/>
      <c r="H229" s="1"/>
      <c r="I229" s="1"/>
    </row>
    <row r="230" ht="14.25" customHeight="1">
      <c r="A230" s="52"/>
      <c r="B230" s="52"/>
      <c r="C230" s="52"/>
      <c r="D230" s="52"/>
      <c r="E230" s="655"/>
      <c r="F230" s="53"/>
      <c r="G230" s="53"/>
      <c r="H230" s="1"/>
      <c r="I230" s="1"/>
    </row>
    <row r="231" ht="14.25" customHeight="1">
      <c r="A231" s="52"/>
      <c r="B231" s="52"/>
      <c r="C231" s="52"/>
      <c r="D231" s="52"/>
      <c r="E231" s="655"/>
      <c r="F231" s="53"/>
      <c r="G231" s="53"/>
      <c r="H231" s="1"/>
      <c r="I231" s="1"/>
    </row>
    <row r="232" ht="14.25" customHeight="1">
      <c r="A232" s="52"/>
      <c r="B232" s="52"/>
      <c r="C232" s="52"/>
      <c r="D232" s="52"/>
      <c r="E232" s="655"/>
      <c r="F232" s="53"/>
      <c r="G232" s="53"/>
      <c r="H232" s="1"/>
      <c r="I232" s="1"/>
    </row>
    <row r="233" ht="14.25" customHeight="1">
      <c r="A233" s="52"/>
      <c r="B233" s="52"/>
      <c r="C233" s="52"/>
      <c r="D233" s="52"/>
      <c r="E233" s="655"/>
      <c r="F233" s="53"/>
      <c r="G233" s="53"/>
      <c r="H233" s="1"/>
      <c r="I233" s="1"/>
    </row>
    <row r="234" ht="14.25" customHeight="1">
      <c r="A234" s="52"/>
      <c r="B234" s="52"/>
      <c r="C234" s="52"/>
      <c r="D234" s="52"/>
      <c r="E234" s="655"/>
      <c r="F234" s="53"/>
      <c r="G234" s="53"/>
      <c r="H234" s="1"/>
      <c r="I234" s="1"/>
    </row>
    <row r="235" ht="14.25" customHeight="1">
      <c r="A235" s="52"/>
      <c r="B235" s="52"/>
      <c r="C235" s="52"/>
      <c r="D235" s="52"/>
      <c r="E235" s="655"/>
      <c r="F235" s="53"/>
      <c r="G235" s="53"/>
      <c r="H235" s="1"/>
      <c r="I235" s="1"/>
    </row>
    <row r="236" ht="14.25" customHeight="1">
      <c r="A236" s="52"/>
      <c r="B236" s="52"/>
      <c r="C236" s="52"/>
      <c r="D236" s="52"/>
      <c r="E236" s="655"/>
      <c r="F236" s="53"/>
      <c r="G236" s="53"/>
      <c r="H236" s="1"/>
      <c r="I236" s="1"/>
    </row>
    <row r="237" ht="14.25" customHeight="1">
      <c r="A237" s="52"/>
      <c r="B237" s="52"/>
      <c r="C237" s="52"/>
      <c r="D237" s="52"/>
      <c r="E237" s="655"/>
      <c r="F237" s="53"/>
      <c r="G237" s="53"/>
      <c r="H237" s="1"/>
      <c r="I237" s="1"/>
    </row>
    <row r="238" ht="14.25" customHeight="1">
      <c r="A238" s="52"/>
      <c r="B238" s="52"/>
      <c r="C238" s="52"/>
      <c r="D238" s="52"/>
      <c r="E238" s="655"/>
      <c r="F238" s="53"/>
      <c r="G238" s="53"/>
      <c r="H238" s="1"/>
      <c r="I238" s="1"/>
    </row>
    <row r="239" ht="14.25" customHeight="1">
      <c r="A239" s="52"/>
      <c r="B239" s="52"/>
      <c r="C239" s="52"/>
      <c r="D239" s="52"/>
      <c r="E239" s="655"/>
      <c r="F239" s="53"/>
      <c r="G239" s="53"/>
      <c r="H239" s="1"/>
      <c r="I239" s="1"/>
    </row>
    <row r="240" ht="14.25" customHeight="1">
      <c r="A240" s="52"/>
      <c r="B240" s="52"/>
      <c r="C240" s="52"/>
      <c r="D240" s="52"/>
      <c r="E240" s="655"/>
      <c r="F240" s="53"/>
      <c r="G240" s="53"/>
      <c r="H240" s="1"/>
      <c r="I240" s="1"/>
    </row>
    <row r="241" ht="14.25" customHeight="1">
      <c r="A241" s="52"/>
      <c r="B241" s="52"/>
      <c r="C241" s="52"/>
      <c r="D241" s="52"/>
      <c r="E241" s="655"/>
      <c r="F241" s="53"/>
      <c r="G241" s="53"/>
      <c r="H241" s="1"/>
      <c r="I241" s="1"/>
    </row>
    <row r="242" ht="14.25" customHeight="1">
      <c r="A242" s="52"/>
      <c r="B242" s="52"/>
      <c r="C242" s="52"/>
      <c r="D242" s="52"/>
      <c r="E242" s="655"/>
      <c r="F242" s="53"/>
      <c r="G242" s="53"/>
      <c r="H242" s="1"/>
      <c r="I242" s="1"/>
    </row>
    <row r="243" ht="14.25" customHeight="1">
      <c r="A243" s="52"/>
      <c r="B243" s="52"/>
      <c r="C243" s="52"/>
      <c r="D243" s="52"/>
      <c r="E243" s="655"/>
      <c r="F243" s="53"/>
      <c r="G243" s="53"/>
      <c r="H243" s="1"/>
      <c r="I243" s="1"/>
    </row>
    <row r="244" ht="14.25" customHeight="1">
      <c r="A244" s="52"/>
      <c r="B244" s="52"/>
      <c r="C244" s="52"/>
      <c r="D244" s="52"/>
      <c r="E244" s="655"/>
      <c r="F244" s="53"/>
      <c r="G244" s="53"/>
      <c r="H244" s="1"/>
      <c r="I244" s="1"/>
    </row>
    <row r="245" ht="14.25" customHeight="1">
      <c r="A245" s="52"/>
      <c r="B245" s="52"/>
      <c r="C245" s="52"/>
      <c r="D245" s="52"/>
      <c r="E245" s="655"/>
      <c r="F245" s="53"/>
      <c r="G245" s="53"/>
      <c r="H245" s="1"/>
      <c r="I245" s="1"/>
    </row>
    <row r="246" ht="14.25" customHeight="1">
      <c r="A246" s="52"/>
      <c r="B246" s="52"/>
      <c r="C246" s="52"/>
      <c r="D246" s="52"/>
      <c r="E246" s="655"/>
      <c r="F246" s="53"/>
      <c r="G246" s="53"/>
      <c r="H246" s="1"/>
      <c r="I246" s="1"/>
    </row>
    <row r="247" ht="14.25" customHeight="1">
      <c r="A247" s="52"/>
      <c r="B247" s="52"/>
      <c r="C247" s="52"/>
      <c r="D247" s="52"/>
      <c r="E247" s="655"/>
      <c r="F247" s="53"/>
      <c r="G247" s="53"/>
      <c r="H247" s="1"/>
      <c r="I247" s="1"/>
    </row>
    <row r="248" ht="14.25" customHeight="1">
      <c r="A248" s="52"/>
      <c r="B248" s="52"/>
      <c r="C248" s="52"/>
      <c r="D248" s="52"/>
      <c r="E248" s="655"/>
      <c r="F248" s="53"/>
      <c r="G248" s="53"/>
      <c r="H248" s="1"/>
      <c r="I248" s="1"/>
    </row>
    <row r="249" ht="14.25" customHeight="1">
      <c r="A249" s="52"/>
      <c r="B249" s="52"/>
      <c r="C249" s="52"/>
      <c r="D249" s="52"/>
      <c r="E249" s="655"/>
      <c r="F249" s="53"/>
      <c r="G249" s="53"/>
      <c r="H249" s="1"/>
      <c r="I249" s="1"/>
    </row>
    <row r="250" ht="14.25" customHeight="1">
      <c r="A250" s="52"/>
      <c r="B250" s="52"/>
      <c r="C250" s="52"/>
      <c r="D250" s="52"/>
      <c r="E250" s="655"/>
      <c r="F250" s="53"/>
      <c r="G250" s="53"/>
      <c r="H250" s="1"/>
      <c r="I250" s="1"/>
    </row>
    <row r="251" ht="14.25" customHeight="1">
      <c r="A251" s="52"/>
      <c r="B251" s="52"/>
      <c r="C251" s="52"/>
      <c r="D251" s="52"/>
      <c r="E251" s="655"/>
      <c r="F251" s="53"/>
      <c r="G251" s="53"/>
      <c r="H251" s="1"/>
      <c r="I251" s="1"/>
    </row>
    <row r="252" ht="14.25" customHeight="1">
      <c r="A252" s="52"/>
      <c r="B252" s="52"/>
      <c r="C252" s="52"/>
      <c r="D252" s="52"/>
      <c r="E252" s="655"/>
      <c r="F252" s="53"/>
      <c r="G252" s="53"/>
      <c r="H252" s="1"/>
      <c r="I252" s="1"/>
    </row>
    <row r="253" ht="14.25" customHeight="1">
      <c r="A253" s="52"/>
      <c r="B253" s="52"/>
      <c r="C253" s="52"/>
      <c r="D253" s="52"/>
      <c r="E253" s="655"/>
      <c r="F253" s="53"/>
      <c r="G253" s="53"/>
      <c r="H253" s="1"/>
      <c r="I253" s="1"/>
    </row>
    <row r="254" ht="14.25" customHeight="1">
      <c r="A254" s="52"/>
      <c r="B254" s="52"/>
      <c r="C254" s="52"/>
      <c r="D254" s="52"/>
      <c r="E254" s="655"/>
      <c r="F254" s="53"/>
      <c r="G254" s="53"/>
      <c r="H254" s="1"/>
      <c r="I254" s="1"/>
    </row>
    <row r="255" ht="14.25" customHeight="1">
      <c r="A255" s="52"/>
      <c r="B255" s="52"/>
      <c r="C255" s="52"/>
      <c r="D255" s="52"/>
      <c r="E255" s="655"/>
      <c r="F255" s="53"/>
      <c r="G255" s="53"/>
      <c r="H255" s="1"/>
      <c r="I255" s="1"/>
    </row>
    <row r="256" ht="14.25" customHeight="1">
      <c r="A256" s="52"/>
      <c r="B256" s="52"/>
      <c r="C256" s="52"/>
      <c r="D256" s="52"/>
      <c r="E256" s="655"/>
      <c r="F256" s="53"/>
      <c r="G256" s="53"/>
      <c r="H256" s="1"/>
      <c r="I256" s="1"/>
    </row>
    <row r="257" ht="14.25" customHeight="1">
      <c r="A257" s="52"/>
      <c r="B257" s="52"/>
      <c r="C257" s="52"/>
      <c r="D257" s="52"/>
      <c r="E257" s="655"/>
      <c r="F257" s="53"/>
      <c r="G257" s="53"/>
      <c r="H257" s="1"/>
      <c r="I257" s="1"/>
    </row>
    <row r="258" ht="14.25" customHeight="1">
      <c r="A258" s="52"/>
      <c r="B258" s="52"/>
      <c r="C258" s="52"/>
      <c r="D258" s="52"/>
      <c r="E258" s="655"/>
      <c r="F258" s="53"/>
      <c r="G258" s="53"/>
      <c r="H258" s="1"/>
      <c r="I258" s="1"/>
    </row>
    <row r="259" ht="14.25" customHeight="1">
      <c r="A259" s="52"/>
      <c r="B259" s="52"/>
      <c r="C259" s="52"/>
      <c r="D259" s="52"/>
      <c r="E259" s="655"/>
      <c r="F259" s="53"/>
      <c r="G259" s="53"/>
      <c r="H259" s="1"/>
      <c r="I259" s="1"/>
    </row>
    <row r="260" ht="14.25" customHeight="1">
      <c r="A260" s="52"/>
      <c r="B260" s="52"/>
      <c r="C260" s="52"/>
      <c r="D260" s="52"/>
      <c r="E260" s="655"/>
      <c r="F260" s="53"/>
      <c r="G260" s="53"/>
      <c r="H260" s="1"/>
      <c r="I260" s="1"/>
    </row>
    <row r="261" ht="14.25" customHeight="1">
      <c r="A261" s="52"/>
      <c r="B261" s="52"/>
      <c r="C261" s="52"/>
      <c r="D261" s="52"/>
      <c r="E261" s="655"/>
      <c r="F261" s="53"/>
      <c r="G261" s="53"/>
      <c r="H261" s="1"/>
      <c r="I261" s="1"/>
    </row>
    <row r="262" ht="14.25" customHeight="1">
      <c r="A262" s="52"/>
      <c r="B262" s="52"/>
      <c r="C262" s="52"/>
      <c r="D262" s="52"/>
      <c r="E262" s="655"/>
      <c r="F262" s="53"/>
      <c r="G262" s="53"/>
      <c r="H262" s="1"/>
      <c r="I262" s="1"/>
    </row>
    <row r="263" ht="14.25" customHeight="1">
      <c r="A263" s="52"/>
      <c r="B263" s="52"/>
      <c r="C263" s="52"/>
      <c r="D263" s="52"/>
      <c r="E263" s="655"/>
      <c r="F263" s="53"/>
      <c r="G263" s="53"/>
      <c r="H263" s="1"/>
      <c r="I263" s="1"/>
    </row>
    <row r="264" ht="14.25" customHeight="1">
      <c r="A264" s="52"/>
      <c r="B264" s="52"/>
      <c r="C264" s="52"/>
      <c r="D264" s="52"/>
      <c r="E264" s="655"/>
      <c r="F264" s="53"/>
      <c r="G264" s="53"/>
      <c r="H264" s="1"/>
      <c r="I264" s="1"/>
    </row>
    <row r="265" ht="14.25" customHeight="1">
      <c r="A265" s="52"/>
      <c r="B265" s="52"/>
      <c r="C265" s="52"/>
      <c r="D265" s="52"/>
      <c r="E265" s="655"/>
      <c r="F265" s="53"/>
      <c r="G265" s="53"/>
      <c r="H265" s="1"/>
      <c r="I265" s="1"/>
    </row>
    <row r="266" ht="14.25" customHeight="1">
      <c r="A266" s="52"/>
      <c r="B266" s="52"/>
      <c r="C266" s="52"/>
      <c r="D266" s="52"/>
      <c r="E266" s="655"/>
      <c r="F266" s="53"/>
      <c r="G266" s="53"/>
      <c r="H266" s="1"/>
      <c r="I266" s="1"/>
    </row>
    <row r="267" ht="14.25" customHeight="1">
      <c r="A267" s="52"/>
      <c r="B267" s="52"/>
      <c r="C267" s="52"/>
      <c r="D267" s="52"/>
      <c r="E267" s="655"/>
      <c r="F267" s="53"/>
      <c r="G267" s="53"/>
      <c r="H267" s="1"/>
      <c r="I267" s="1"/>
    </row>
    <row r="268" ht="14.25" customHeight="1">
      <c r="A268" s="52"/>
      <c r="B268" s="52"/>
      <c r="C268" s="52"/>
      <c r="D268" s="52"/>
      <c r="E268" s="655"/>
      <c r="F268" s="53"/>
      <c r="G268" s="53"/>
      <c r="H268" s="1"/>
      <c r="I268" s="1"/>
    </row>
    <row r="269" ht="14.25" customHeight="1">
      <c r="A269" s="52"/>
      <c r="B269" s="52"/>
      <c r="C269" s="52"/>
      <c r="D269" s="52"/>
      <c r="E269" s="655"/>
      <c r="F269" s="53"/>
      <c r="G269" s="53"/>
      <c r="H269" s="1"/>
      <c r="I269" s="1"/>
    </row>
    <row r="270" ht="14.25" customHeight="1">
      <c r="A270" s="52"/>
      <c r="B270" s="52"/>
      <c r="C270" s="52"/>
      <c r="D270" s="52"/>
      <c r="E270" s="655"/>
      <c r="F270" s="53"/>
      <c r="G270" s="53"/>
      <c r="H270" s="1"/>
      <c r="I270" s="1"/>
    </row>
    <row r="271" ht="14.25" customHeight="1">
      <c r="A271" s="52"/>
      <c r="B271" s="52"/>
      <c r="C271" s="52"/>
      <c r="D271" s="52"/>
      <c r="E271" s="655"/>
      <c r="F271" s="53"/>
      <c r="G271" s="53"/>
      <c r="H271" s="1"/>
      <c r="I271" s="1"/>
    </row>
    <row r="272" ht="14.25" customHeight="1">
      <c r="A272" s="52"/>
      <c r="B272" s="52"/>
      <c r="C272" s="52"/>
      <c r="D272" s="52"/>
      <c r="E272" s="655"/>
      <c r="F272" s="53"/>
      <c r="G272" s="53"/>
      <c r="H272" s="1"/>
      <c r="I272" s="1"/>
    </row>
    <row r="273" ht="14.25" customHeight="1">
      <c r="A273" s="52"/>
      <c r="B273" s="52"/>
      <c r="C273" s="52"/>
      <c r="D273" s="52"/>
      <c r="E273" s="655"/>
      <c r="F273" s="53"/>
      <c r="G273" s="53"/>
      <c r="H273" s="1"/>
      <c r="I273" s="1"/>
    </row>
    <row r="274" ht="14.25" customHeight="1">
      <c r="A274" s="52"/>
      <c r="B274" s="52"/>
      <c r="C274" s="52"/>
      <c r="D274" s="52"/>
      <c r="E274" s="655"/>
      <c r="F274" s="53"/>
      <c r="G274" s="53"/>
      <c r="H274" s="1"/>
      <c r="I274" s="1"/>
    </row>
    <row r="275" ht="14.25" customHeight="1">
      <c r="A275" s="52"/>
      <c r="B275" s="52"/>
      <c r="C275" s="52"/>
      <c r="D275" s="52"/>
      <c r="E275" s="655"/>
      <c r="F275" s="53"/>
      <c r="G275" s="53"/>
      <c r="H275" s="1"/>
      <c r="I275" s="1"/>
    </row>
    <row r="276" ht="14.25" customHeight="1">
      <c r="A276" s="52"/>
      <c r="B276" s="52"/>
      <c r="C276" s="52"/>
      <c r="D276" s="52"/>
      <c r="E276" s="655"/>
      <c r="F276" s="53"/>
      <c r="G276" s="53"/>
      <c r="H276" s="1"/>
      <c r="I276" s="1"/>
    </row>
    <row r="277" ht="14.25" customHeight="1">
      <c r="A277" s="52"/>
      <c r="B277" s="52"/>
      <c r="C277" s="52"/>
      <c r="D277" s="52"/>
      <c r="E277" s="655"/>
      <c r="F277" s="53"/>
      <c r="G277" s="53"/>
      <c r="H277" s="1"/>
      <c r="I277" s="1"/>
    </row>
    <row r="278" ht="14.25" customHeight="1">
      <c r="A278" s="52"/>
      <c r="B278" s="52"/>
      <c r="C278" s="52"/>
      <c r="D278" s="52"/>
      <c r="E278" s="655"/>
      <c r="F278" s="53"/>
      <c r="G278" s="53"/>
      <c r="H278" s="1"/>
      <c r="I278" s="1"/>
    </row>
    <row r="279" ht="14.25" customHeight="1">
      <c r="A279" s="52"/>
      <c r="B279" s="52"/>
      <c r="C279" s="52"/>
      <c r="D279" s="52"/>
      <c r="E279" s="655"/>
      <c r="F279" s="53"/>
      <c r="G279" s="53"/>
      <c r="H279" s="1"/>
      <c r="I279" s="1"/>
    </row>
    <row r="280" ht="14.25" customHeight="1">
      <c r="A280" s="52"/>
      <c r="B280" s="52"/>
      <c r="C280" s="52"/>
      <c r="D280" s="52"/>
      <c r="E280" s="655"/>
      <c r="F280" s="53"/>
      <c r="G280" s="53"/>
      <c r="H280" s="1"/>
      <c r="I280" s="1"/>
    </row>
    <row r="281" ht="14.25" customHeight="1">
      <c r="A281" s="52"/>
      <c r="B281" s="52"/>
      <c r="C281" s="52"/>
      <c r="D281" s="52"/>
      <c r="E281" s="655"/>
      <c r="F281" s="53"/>
      <c r="G281" s="53"/>
      <c r="H281" s="1"/>
      <c r="I281" s="1"/>
    </row>
    <row r="282" ht="14.25" customHeight="1">
      <c r="A282" s="52"/>
      <c r="B282" s="52"/>
      <c r="C282" s="52"/>
      <c r="D282" s="52"/>
      <c r="E282" s="655"/>
      <c r="F282" s="53"/>
      <c r="G282" s="53"/>
      <c r="H282" s="1"/>
      <c r="I282" s="1"/>
    </row>
    <row r="283" ht="14.25" customHeight="1">
      <c r="A283" s="52"/>
      <c r="B283" s="52"/>
      <c r="C283" s="52"/>
      <c r="D283" s="52"/>
      <c r="E283" s="655"/>
      <c r="F283" s="53"/>
      <c r="G283" s="53"/>
      <c r="H283" s="1"/>
      <c r="I283" s="1"/>
    </row>
    <row r="284" ht="14.25" customHeight="1">
      <c r="A284" s="52"/>
      <c r="B284" s="52"/>
      <c r="C284" s="52"/>
      <c r="D284" s="52"/>
      <c r="E284" s="655"/>
      <c r="F284" s="53"/>
      <c r="G284" s="53"/>
      <c r="H284" s="1"/>
      <c r="I284" s="1"/>
    </row>
    <row r="285" ht="14.25" customHeight="1">
      <c r="A285" s="52"/>
      <c r="B285" s="52"/>
      <c r="C285" s="52"/>
      <c r="D285" s="52"/>
      <c r="E285" s="655"/>
      <c r="F285" s="53"/>
      <c r="G285" s="53"/>
      <c r="H285" s="1"/>
      <c r="I285" s="1"/>
    </row>
    <row r="286" ht="14.25" customHeight="1">
      <c r="A286" s="52"/>
      <c r="B286" s="52"/>
      <c r="C286" s="52"/>
      <c r="D286" s="52"/>
      <c r="E286" s="655"/>
      <c r="F286" s="53"/>
      <c r="G286" s="53"/>
      <c r="H286" s="1"/>
      <c r="I286" s="1"/>
    </row>
    <row r="287" ht="14.25" customHeight="1">
      <c r="A287" s="52"/>
      <c r="B287" s="52"/>
      <c r="C287" s="52"/>
      <c r="D287" s="52"/>
      <c r="E287" s="655"/>
      <c r="F287" s="53"/>
      <c r="G287" s="53"/>
      <c r="H287" s="1"/>
      <c r="I287" s="1"/>
    </row>
    <row r="288" ht="14.25" customHeight="1">
      <c r="A288" s="52"/>
      <c r="B288" s="52"/>
      <c r="C288" s="52"/>
      <c r="D288" s="52"/>
      <c r="E288" s="655"/>
      <c r="F288" s="53"/>
      <c r="G288" s="53"/>
      <c r="H288" s="1"/>
      <c r="I288" s="1"/>
    </row>
    <row r="289" ht="14.25" customHeight="1">
      <c r="A289" s="52"/>
      <c r="B289" s="52"/>
      <c r="C289" s="52"/>
      <c r="D289" s="52"/>
      <c r="E289" s="655"/>
      <c r="F289" s="53"/>
      <c r="G289" s="53"/>
      <c r="H289" s="1"/>
      <c r="I289" s="1"/>
    </row>
    <row r="290" ht="14.25" customHeight="1">
      <c r="A290" s="52"/>
      <c r="B290" s="52"/>
      <c r="C290" s="52"/>
      <c r="D290" s="52"/>
      <c r="E290" s="655"/>
      <c r="F290" s="53"/>
      <c r="G290" s="53"/>
      <c r="H290" s="1"/>
      <c r="I290" s="1"/>
    </row>
    <row r="291" ht="14.25" customHeight="1">
      <c r="A291" s="52"/>
      <c r="B291" s="52"/>
      <c r="C291" s="52"/>
      <c r="D291" s="52"/>
      <c r="E291" s="655"/>
      <c r="F291" s="53"/>
      <c r="G291" s="53"/>
      <c r="H291" s="1"/>
      <c r="I291" s="1"/>
    </row>
    <row r="292" ht="14.25" customHeight="1">
      <c r="A292" s="52"/>
      <c r="B292" s="52"/>
      <c r="C292" s="52"/>
      <c r="D292" s="52"/>
      <c r="E292" s="655"/>
      <c r="F292" s="53"/>
      <c r="G292" s="53"/>
      <c r="H292" s="1"/>
      <c r="I292" s="1"/>
    </row>
    <row r="293" ht="14.25" customHeight="1">
      <c r="A293" s="52"/>
      <c r="B293" s="52"/>
      <c r="C293" s="52"/>
      <c r="D293" s="52"/>
      <c r="E293" s="655"/>
      <c r="F293" s="53"/>
      <c r="G293" s="53"/>
      <c r="H293" s="1"/>
      <c r="I293" s="1"/>
    </row>
    <row r="294" ht="14.25" customHeight="1">
      <c r="A294" s="52"/>
      <c r="B294" s="52"/>
      <c r="C294" s="52"/>
      <c r="D294" s="52"/>
      <c r="E294" s="655"/>
      <c r="F294" s="53"/>
      <c r="G294" s="53"/>
      <c r="H294" s="1"/>
      <c r="I294" s="1"/>
    </row>
    <row r="295" ht="14.25" customHeight="1">
      <c r="A295" s="52"/>
      <c r="B295" s="52"/>
      <c r="C295" s="52"/>
      <c r="D295" s="52"/>
      <c r="E295" s="655"/>
      <c r="F295" s="53"/>
      <c r="G295" s="53"/>
      <c r="H295" s="1"/>
      <c r="I295" s="1"/>
    </row>
    <row r="296" ht="14.25" customHeight="1">
      <c r="A296" s="52"/>
      <c r="B296" s="52"/>
      <c r="C296" s="52"/>
      <c r="D296" s="52"/>
      <c r="E296" s="655"/>
      <c r="F296" s="53"/>
      <c r="G296" s="53"/>
      <c r="H296" s="1"/>
      <c r="I296" s="1"/>
    </row>
    <row r="297" ht="14.25" customHeight="1">
      <c r="A297" s="52"/>
      <c r="B297" s="52"/>
      <c r="C297" s="52"/>
      <c r="D297" s="52"/>
      <c r="E297" s="655"/>
      <c r="F297" s="53"/>
      <c r="G297" s="53"/>
      <c r="H297" s="1"/>
      <c r="I297" s="1"/>
    </row>
    <row r="298" ht="14.25" customHeight="1">
      <c r="A298" s="52"/>
      <c r="B298" s="52"/>
      <c r="C298" s="52"/>
      <c r="D298" s="52"/>
      <c r="E298" s="655"/>
      <c r="F298" s="53"/>
      <c r="G298" s="53"/>
      <c r="H298" s="1"/>
      <c r="I298" s="1"/>
    </row>
    <row r="299" ht="14.25" customHeight="1">
      <c r="A299" s="52"/>
      <c r="B299" s="52"/>
      <c r="C299" s="52"/>
      <c r="D299" s="52"/>
      <c r="E299" s="655"/>
      <c r="F299" s="53"/>
      <c r="G299" s="53"/>
      <c r="H299" s="1"/>
      <c r="I299" s="1"/>
    </row>
    <row r="300" ht="14.25" customHeight="1">
      <c r="A300" s="52"/>
      <c r="B300" s="52"/>
      <c r="C300" s="52"/>
      <c r="D300" s="52"/>
      <c r="E300" s="655"/>
      <c r="F300" s="53"/>
      <c r="G300" s="53"/>
      <c r="H300" s="1"/>
      <c r="I300" s="1"/>
    </row>
    <row r="301" ht="14.25" customHeight="1">
      <c r="A301" s="52"/>
      <c r="B301" s="52"/>
      <c r="C301" s="52"/>
      <c r="D301" s="52"/>
      <c r="E301" s="655"/>
      <c r="F301" s="53"/>
      <c r="G301" s="53"/>
      <c r="H301" s="1"/>
      <c r="I301" s="1"/>
    </row>
    <row r="302" ht="14.25" customHeight="1">
      <c r="A302" s="52"/>
      <c r="B302" s="52"/>
      <c r="C302" s="52"/>
      <c r="D302" s="52"/>
      <c r="E302" s="655"/>
      <c r="F302" s="53"/>
      <c r="G302" s="53"/>
      <c r="H302" s="1"/>
      <c r="I302" s="1"/>
    </row>
    <row r="303" ht="14.25" customHeight="1">
      <c r="A303" s="52"/>
      <c r="B303" s="52"/>
      <c r="C303" s="52"/>
      <c r="D303" s="52"/>
      <c r="E303" s="655"/>
      <c r="F303" s="53"/>
      <c r="G303" s="53"/>
      <c r="H303" s="1"/>
      <c r="I303" s="1"/>
    </row>
    <row r="304" ht="14.25" customHeight="1">
      <c r="A304" s="52"/>
      <c r="B304" s="52"/>
      <c r="C304" s="52"/>
      <c r="D304" s="52"/>
      <c r="E304" s="655"/>
      <c r="F304" s="53"/>
      <c r="G304" s="53"/>
      <c r="H304" s="1"/>
      <c r="I304" s="1"/>
    </row>
    <row r="305" ht="14.25" customHeight="1">
      <c r="A305" s="52"/>
      <c r="B305" s="52"/>
      <c r="C305" s="52"/>
      <c r="D305" s="52"/>
      <c r="E305" s="655"/>
      <c r="F305" s="53"/>
      <c r="G305" s="53"/>
      <c r="H305" s="1"/>
      <c r="I305" s="1"/>
    </row>
    <row r="306" ht="14.25" customHeight="1">
      <c r="A306" s="52"/>
      <c r="B306" s="52"/>
      <c r="C306" s="52"/>
      <c r="D306" s="52"/>
      <c r="E306" s="655"/>
      <c r="F306" s="53"/>
      <c r="G306" s="53"/>
      <c r="H306" s="1"/>
      <c r="I306" s="1"/>
    </row>
    <row r="307" ht="14.25" customHeight="1">
      <c r="A307" s="52"/>
      <c r="B307" s="52"/>
      <c r="C307" s="52"/>
      <c r="D307" s="52"/>
      <c r="E307" s="655"/>
      <c r="F307" s="53"/>
      <c r="G307" s="53"/>
      <c r="H307" s="1"/>
      <c r="I307" s="1"/>
    </row>
    <row r="308" ht="14.25" customHeight="1">
      <c r="A308" s="52"/>
      <c r="B308" s="52"/>
      <c r="C308" s="52"/>
      <c r="D308" s="52"/>
      <c r="E308" s="655"/>
      <c r="F308" s="53"/>
      <c r="G308" s="53"/>
      <c r="H308" s="1"/>
      <c r="I308" s="1"/>
    </row>
    <row r="309" ht="14.25" customHeight="1">
      <c r="A309" s="52"/>
      <c r="B309" s="52"/>
      <c r="C309" s="52"/>
      <c r="D309" s="52"/>
      <c r="E309" s="655"/>
      <c r="F309" s="53"/>
      <c r="G309" s="53"/>
      <c r="H309" s="1"/>
      <c r="I309" s="1"/>
    </row>
    <row r="310" ht="14.25" customHeight="1">
      <c r="A310" s="52"/>
      <c r="B310" s="52"/>
      <c r="C310" s="52"/>
      <c r="D310" s="52"/>
      <c r="E310" s="655"/>
      <c r="F310" s="53"/>
      <c r="G310" s="53"/>
      <c r="H310" s="1"/>
      <c r="I310" s="1"/>
    </row>
    <row r="311" ht="14.25" customHeight="1">
      <c r="A311" s="52"/>
      <c r="B311" s="52"/>
      <c r="C311" s="52"/>
      <c r="D311" s="52"/>
      <c r="E311" s="655"/>
      <c r="F311" s="53"/>
      <c r="G311" s="53"/>
      <c r="H311" s="1"/>
      <c r="I311" s="1"/>
    </row>
    <row r="312" ht="14.25" customHeight="1">
      <c r="A312" s="52"/>
      <c r="B312" s="52"/>
      <c r="C312" s="52"/>
      <c r="D312" s="52"/>
      <c r="E312" s="655"/>
      <c r="F312" s="53"/>
      <c r="G312" s="53"/>
      <c r="H312" s="1"/>
      <c r="I312" s="1"/>
    </row>
    <row r="313" ht="14.25" customHeight="1">
      <c r="A313" s="52"/>
      <c r="B313" s="52"/>
      <c r="C313" s="52"/>
      <c r="D313" s="52"/>
      <c r="E313" s="655"/>
      <c r="F313" s="53"/>
      <c r="G313" s="53"/>
      <c r="H313" s="1"/>
      <c r="I313" s="1"/>
    </row>
    <row r="314" ht="14.25" customHeight="1">
      <c r="A314" s="52"/>
      <c r="B314" s="52"/>
      <c r="C314" s="52"/>
      <c r="D314" s="52"/>
      <c r="E314" s="655"/>
      <c r="F314" s="53"/>
      <c r="G314" s="53"/>
      <c r="H314" s="1"/>
      <c r="I314" s="1"/>
    </row>
    <row r="315" ht="14.25" customHeight="1">
      <c r="A315" s="52"/>
      <c r="B315" s="52"/>
      <c r="C315" s="52"/>
      <c r="D315" s="52"/>
      <c r="E315" s="655"/>
      <c r="F315" s="53"/>
      <c r="G315" s="53"/>
      <c r="H315" s="1"/>
      <c r="I315" s="1"/>
    </row>
    <row r="316" ht="14.25" customHeight="1">
      <c r="A316" s="52"/>
      <c r="B316" s="52"/>
      <c r="C316" s="52"/>
      <c r="D316" s="52"/>
      <c r="E316" s="655"/>
      <c r="F316" s="53"/>
      <c r="G316" s="53"/>
      <c r="H316" s="1"/>
      <c r="I316" s="1"/>
    </row>
    <row r="317" ht="14.25" customHeight="1">
      <c r="A317" s="52"/>
      <c r="B317" s="52"/>
      <c r="C317" s="52"/>
      <c r="D317" s="52"/>
      <c r="E317" s="655"/>
      <c r="F317" s="53"/>
      <c r="G317" s="53"/>
      <c r="H317" s="1"/>
      <c r="I317" s="1"/>
    </row>
    <row r="318" ht="14.25" customHeight="1">
      <c r="A318" s="52"/>
      <c r="B318" s="52"/>
      <c r="C318" s="52"/>
      <c r="D318" s="52"/>
      <c r="E318" s="655"/>
      <c r="F318" s="53"/>
      <c r="G318" s="53"/>
      <c r="H318" s="1"/>
      <c r="I318" s="1"/>
    </row>
    <row r="319" ht="14.25" customHeight="1">
      <c r="A319" s="52"/>
      <c r="B319" s="52"/>
      <c r="C319" s="52"/>
      <c r="D319" s="52"/>
      <c r="E319" s="655"/>
      <c r="F319" s="53"/>
      <c r="G319" s="53"/>
      <c r="H319" s="1"/>
      <c r="I319" s="1"/>
    </row>
    <row r="320" ht="14.25" customHeight="1">
      <c r="A320" s="52"/>
      <c r="B320" s="52"/>
      <c r="C320" s="52"/>
      <c r="D320" s="52"/>
      <c r="E320" s="655"/>
      <c r="F320" s="53"/>
      <c r="G320" s="53"/>
      <c r="H320" s="1"/>
      <c r="I320" s="1"/>
    </row>
    <row r="321" ht="14.25" customHeight="1">
      <c r="A321" s="52"/>
      <c r="B321" s="52"/>
      <c r="C321" s="52"/>
      <c r="D321" s="52"/>
      <c r="E321" s="655"/>
      <c r="F321" s="53"/>
      <c r="G321" s="53"/>
      <c r="H321" s="1"/>
      <c r="I321" s="1"/>
    </row>
    <row r="322" ht="14.25" customHeight="1">
      <c r="A322" s="52"/>
      <c r="B322" s="52"/>
      <c r="C322" s="52"/>
      <c r="D322" s="52"/>
      <c r="E322" s="655"/>
      <c r="F322" s="53"/>
      <c r="G322" s="53"/>
      <c r="H322" s="1"/>
      <c r="I322" s="1"/>
    </row>
    <row r="323" ht="14.25" customHeight="1">
      <c r="A323" s="52"/>
      <c r="B323" s="52"/>
      <c r="C323" s="52"/>
      <c r="D323" s="52"/>
      <c r="E323" s="655"/>
      <c r="F323" s="53"/>
      <c r="G323" s="53"/>
      <c r="H323" s="1"/>
      <c r="I323" s="1"/>
    </row>
    <row r="324" ht="14.25" customHeight="1">
      <c r="A324" s="52"/>
      <c r="B324" s="52"/>
      <c r="C324" s="52"/>
      <c r="D324" s="52"/>
      <c r="E324" s="655"/>
      <c r="F324" s="53"/>
      <c r="G324" s="53"/>
      <c r="H324" s="1"/>
      <c r="I324" s="1"/>
    </row>
    <row r="325" ht="14.25" customHeight="1">
      <c r="A325" s="52"/>
      <c r="B325" s="52"/>
      <c r="C325" s="52"/>
      <c r="D325" s="52"/>
      <c r="E325" s="655"/>
      <c r="F325" s="53"/>
      <c r="G325" s="53"/>
      <c r="H325" s="1"/>
      <c r="I325" s="1"/>
    </row>
    <row r="326" ht="14.25" customHeight="1">
      <c r="A326" s="52"/>
      <c r="B326" s="52"/>
      <c r="C326" s="52"/>
      <c r="D326" s="52"/>
      <c r="E326" s="655"/>
      <c r="F326" s="53"/>
      <c r="G326" s="53"/>
      <c r="H326" s="1"/>
      <c r="I326" s="1"/>
    </row>
    <row r="327" ht="14.25" customHeight="1">
      <c r="A327" s="52"/>
      <c r="B327" s="52"/>
      <c r="C327" s="52"/>
      <c r="D327" s="52"/>
      <c r="E327" s="655"/>
      <c r="F327" s="53"/>
      <c r="G327" s="53"/>
      <c r="H327" s="1"/>
      <c r="I327" s="1"/>
    </row>
    <row r="328" ht="14.25" customHeight="1">
      <c r="A328" s="52"/>
      <c r="B328" s="52"/>
      <c r="C328" s="52"/>
      <c r="D328" s="52"/>
      <c r="E328" s="655"/>
      <c r="F328" s="53"/>
      <c r="G328" s="53"/>
      <c r="H328" s="1"/>
      <c r="I328" s="1"/>
    </row>
    <row r="329" ht="14.25" customHeight="1">
      <c r="A329" s="52"/>
      <c r="B329" s="52"/>
      <c r="C329" s="52"/>
      <c r="D329" s="52"/>
      <c r="E329" s="655"/>
      <c r="F329" s="53"/>
      <c r="G329" s="53"/>
      <c r="H329" s="1"/>
      <c r="I329" s="1"/>
    </row>
    <row r="330" ht="14.25" customHeight="1">
      <c r="A330" s="52"/>
      <c r="B330" s="52"/>
      <c r="C330" s="52"/>
      <c r="D330" s="52"/>
      <c r="E330" s="655"/>
      <c r="F330" s="53"/>
      <c r="G330" s="53"/>
      <c r="H330" s="1"/>
      <c r="I330" s="1"/>
    </row>
    <row r="331" ht="14.25" customHeight="1">
      <c r="A331" s="52"/>
      <c r="B331" s="52"/>
      <c r="C331" s="52"/>
      <c r="D331" s="52"/>
      <c r="E331" s="655"/>
      <c r="F331" s="53"/>
      <c r="G331" s="53"/>
      <c r="H331" s="1"/>
      <c r="I331" s="1"/>
    </row>
    <row r="332" ht="14.25" customHeight="1">
      <c r="A332" s="52"/>
      <c r="B332" s="52"/>
      <c r="C332" s="52"/>
      <c r="D332" s="52"/>
      <c r="E332" s="655"/>
      <c r="F332" s="53"/>
      <c r="G332" s="53"/>
      <c r="H332" s="1"/>
      <c r="I332" s="1"/>
    </row>
    <row r="333" ht="14.25" customHeight="1">
      <c r="A333" s="52"/>
      <c r="B333" s="52"/>
      <c r="C333" s="52"/>
      <c r="D333" s="52"/>
      <c r="E333" s="655"/>
      <c r="F333" s="53"/>
      <c r="G333" s="53"/>
      <c r="H333" s="1"/>
      <c r="I333" s="1"/>
    </row>
    <row r="334" ht="14.25" customHeight="1">
      <c r="A334" s="52"/>
      <c r="B334" s="52"/>
      <c r="C334" s="52"/>
      <c r="D334" s="52"/>
      <c r="E334" s="655"/>
      <c r="F334" s="53"/>
      <c r="G334" s="53"/>
      <c r="H334" s="1"/>
      <c r="I334" s="1"/>
    </row>
    <row r="335" ht="14.25" customHeight="1">
      <c r="A335" s="52"/>
      <c r="B335" s="52"/>
      <c r="C335" s="52"/>
      <c r="D335" s="52"/>
      <c r="E335" s="655"/>
      <c r="F335" s="53"/>
      <c r="G335" s="53"/>
      <c r="H335" s="1"/>
      <c r="I335" s="1"/>
    </row>
    <row r="336" ht="14.25" customHeight="1">
      <c r="A336" s="52"/>
      <c r="B336" s="52"/>
      <c r="C336" s="52"/>
      <c r="D336" s="52"/>
      <c r="E336" s="655"/>
      <c r="F336" s="53"/>
      <c r="G336" s="53"/>
      <c r="H336" s="1"/>
      <c r="I336" s="1"/>
    </row>
    <row r="337" ht="14.25" customHeight="1">
      <c r="A337" s="52"/>
      <c r="B337" s="52"/>
      <c r="C337" s="52"/>
      <c r="D337" s="52"/>
      <c r="E337" s="655"/>
      <c r="F337" s="53"/>
      <c r="G337" s="53"/>
      <c r="H337" s="1"/>
      <c r="I337" s="1"/>
    </row>
    <row r="338" ht="14.25" customHeight="1">
      <c r="A338" s="52"/>
      <c r="B338" s="52"/>
      <c r="C338" s="52"/>
      <c r="D338" s="52"/>
      <c r="E338" s="655"/>
      <c r="F338" s="53"/>
      <c r="G338" s="53"/>
      <c r="H338" s="1"/>
      <c r="I338" s="1"/>
    </row>
    <row r="339" ht="14.25" customHeight="1">
      <c r="A339" s="52"/>
      <c r="B339" s="52"/>
      <c r="C339" s="52"/>
      <c r="D339" s="52"/>
      <c r="E339" s="655"/>
      <c r="F339" s="53"/>
      <c r="G339" s="53"/>
      <c r="H339" s="1"/>
      <c r="I339" s="1"/>
    </row>
    <row r="340" ht="14.25" customHeight="1">
      <c r="A340" s="52"/>
      <c r="B340" s="52"/>
      <c r="C340" s="52"/>
      <c r="D340" s="52"/>
      <c r="E340" s="655"/>
      <c r="F340" s="53"/>
      <c r="G340" s="53"/>
      <c r="H340" s="1"/>
      <c r="I340" s="1"/>
    </row>
    <row r="341" ht="14.25" customHeight="1">
      <c r="A341" s="52"/>
      <c r="B341" s="52"/>
      <c r="C341" s="52"/>
      <c r="D341" s="52"/>
      <c r="E341" s="655"/>
      <c r="F341" s="53"/>
      <c r="G341" s="53"/>
      <c r="H341" s="1"/>
      <c r="I341" s="1"/>
    </row>
    <row r="342" ht="14.25" customHeight="1">
      <c r="A342" s="52"/>
      <c r="B342" s="52"/>
      <c r="C342" s="52"/>
      <c r="D342" s="52"/>
      <c r="E342" s="655"/>
      <c r="F342" s="53"/>
      <c r="G342" s="53"/>
      <c r="H342" s="1"/>
      <c r="I342" s="1"/>
    </row>
    <row r="343" ht="14.25" customHeight="1">
      <c r="A343" s="52"/>
      <c r="B343" s="52"/>
      <c r="C343" s="52"/>
      <c r="D343" s="52"/>
      <c r="E343" s="655"/>
      <c r="F343" s="53"/>
      <c r="G343" s="53"/>
      <c r="H343" s="1"/>
      <c r="I343" s="1"/>
    </row>
    <row r="344" ht="14.25" customHeight="1">
      <c r="A344" s="52"/>
      <c r="B344" s="52"/>
      <c r="C344" s="52"/>
      <c r="D344" s="52"/>
      <c r="E344" s="655"/>
      <c r="F344" s="53"/>
      <c r="G344" s="53"/>
      <c r="H344" s="1"/>
      <c r="I344" s="1"/>
    </row>
    <row r="345" ht="14.25" customHeight="1">
      <c r="A345" s="52"/>
      <c r="B345" s="52"/>
      <c r="C345" s="52"/>
      <c r="D345" s="52"/>
      <c r="E345" s="655"/>
      <c r="F345" s="53"/>
      <c r="G345" s="53"/>
      <c r="H345" s="1"/>
      <c r="I345" s="1"/>
    </row>
    <row r="346" ht="14.25" customHeight="1">
      <c r="A346" s="52"/>
      <c r="B346" s="52"/>
      <c r="C346" s="52"/>
      <c r="D346" s="52"/>
      <c r="E346" s="655"/>
      <c r="F346" s="53"/>
      <c r="G346" s="53"/>
      <c r="H346" s="1"/>
      <c r="I346" s="1"/>
    </row>
    <row r="347" ht="14.25" customHeight="1">
      <c r="A347" s="52"/>
      <c r="B347" s="52"/>
      <c r="C347" s="52"/>
      <c r="D347" s="52"/>
      <c r="E347" s="655"/>
      <c r="F347" s="53"/>
      <c r="G347" s="53"/>
      <c r="H347" s="1"/>
      <c r="I347" s="1"/>
    </row>
    <row r="348" ht="14.25" customHeight="1">
      <c r="A348" s="52"/>
      <c r="B348" s="52"/>
      <c r="C348" s="52"/>
      <c r="D348" s="52"/>
      <c r="E348" s="655"/>
      <c r="F348" s="53"/>
      <c r="G348" s="53"/>
      <c r="H348" s="1"/>
      <c r="I348" s="1"/>
    </row>
    <row r="349" ht="14.25" customHeight="1">
      <c r="A349" s="52"/>
      <c r="B349" s="52"/>
      <c r="C349" s="52"/>
      <c r="D349" s="52"/>
      <c r="E349" s="655"/>
      <c r="F349" s="53"/>
      <c r="G349" s="53"/>
      <c r="H349" s="1"/>
      <c r="I349" s="1"/>
    </row>
    <row r="350" ht="14.25" customHeight="1">
      <c r="A350" s="52"/>
      <c r="B350" s="52"/>
      <c r="C350" s="52"/>
      <c r="D350" s="52"/>
      <c r="E350" s="655"/>
      <c r="F350" s="53"/>
      <c r="G350" s="53"/>
      <c r="H350" s="1"/>
      <c r="I350" s="1"/>
    </row>
    <row r="351" ht="14.25" customHeight="1">
      <c r="A351" s="52"/>
      <c r="B351" s="52"/>
      <c r="C351" s="52"/>
      <c r="D351" s="52"/>
      <c r="E351" s="655"/>
      <c r="F351" s="53"/>
      <c r="G351" s="53"/>
      <c r="H351" s="1"/>
      <c r="I351" s="1"/>
    </row>
    <row r="352" ht="14.25" customHeight="1">
      <c r="A352" s="52"/>
      <c r="B352" s="52"/>
      <c r="C352" s="52"/>
      <c r="D352" s="52"/>
      <c r="E352" s="655"/>
      <c r="F352" s="53"/>
      <c r="G352" s="53"/>
      <c r="H352" s="1"/>
      <c r="I352" s="1"/>
    </row>
    <row r="353" ht="14.25" customHeight="1">
      <c r="A353" s="52"/>
      <c r="B353" s="52"/>
      <c r="C353" s="52"/>
      <c r="D353" s="52"/>
      <c r="E353" s="655"/>
      <c r="F353" s="53"/>
      <c r="G353" s="53"/>
      <c r="H353" s="1"/>
      <c r="I353" s="1"/>
    </row>
    <row r="354" ht="14.25" customHeight="1">
      <c r="A354" s="52"/>
      <c r="B354" s="52"/>
      <c r="C354" s="52"/>
      <c r="D354" s="52"/>
      <c r="E354" s="655"/>
      <c r="F354" s="53"/>
      <c r="G354" s="53"/>
      <c r="H354" s="1"/>
      <c r="I354" s="1"/>
    </row>
    <row r="355" ht="14.25" customHeight="1">
      <c r="A355" s="52"/>
      <c r="B355" s="52"/>
      <c r="C355" s="52"/>
      <c r="D355" s="52"/>
      <c r="E355" s="655"/>
      <c r="F355" s="53"/>
      <c r="G355" s="53"/>
      <c r="H355" s="1"/>
      <c r="I355" s="1"/>
    </row>
    <row r="356" ht="14.25" customHeight="1">
      <c r="A356" s="52"/>
      <c r="B356" s="52"/>
      <c r="C356" s="52"/>
      <c r="D356" s="52"/>
      <c r="E356" s="655"/>
      <c r="F356" s="53"/>
      <c r="G356" s="53"/>
      <c r="H356" s="1"/>
      <c r="I356" s="1"/>
    </row>
    <row r="357" ht="14.25" customHeight="1">
      <c r="A357" s="52"/>
      <c r="B357" s="52"/>
      <c r="C357" s="52"/>
      <c r="D357" s="52"/>
      <c r="E357" s="655"/>
      <c r="F357" s="53"/>
      <c r="G357" s="53"/>
      <c r="H357" s="1"/>
      <c r="I357" s="1"/>
    </row>
    <row r="358" ht="14.25" customHeight="1">
      <c r="A358" s="52"/>
      <c r="B358" s="52"/>
      <c r="C358" s="52"/>
      <c r="D358" s="52"/>
      <c r="E358" s="655"/>
      <c r="F358" s="53"/>
      <c r="G358" s="53"/>
      <c r="H358" s="1"/>
      <c r="I358" s="1"/>
    </row>
    <row r="359" ht="14.25" customHeight="1">
      <c r="A359" s="52"/>
      <c r="B359" s="52"/>
      <c r="C359" s="52"/>
      <c r="D359" s="52"/>
      <c r="E359" s="655"/>
      <c r="F359" s="53"/>
      <c r="G359" s="53"/>
      <c r="H359" s="1"/>
      <c r="I359" s="1"/>
    </row>
    <row r="360" ht="14.25" customHeight="1">
      <c r="A360" s="52"/>
      <c r="B360" s="52"/>
      <c r="C360" s="52"/>
      <c r="D360" s="52"/>
      <c r="E360" s="655"/>
      <c r="F360" s="53"/>
      <c r="G360" s="53"/>
      <c r="H360" s="1"/>
      <c r="I360" s="1"/>
    </row>
    <row r="361" ht="14.25" customHeight="1">
      <c r="A361" s="52"/>
      <c r="B361" s="52"/>
      <c r="C361" s="52"/>
      <c r="D361" s="52"/>
      <c r="E361" s="655"/>
      <c r="F361" s="53"/>
      <c r="G361" s="53"/>
      <c r="H361" s="1"/>
      <c r="I361" s="1"/>
    </row>
    <row r="362" ht="14.25" customHeight="1">
      <c r="A362" s="52"/>
      <c r="B362" s="52"/>
      <c r="C362" s="52"/>
      <c r="D362" s="52"/>
      <c r="E362" s="655"/>
      <c r="F362" s="53"/>
      <c r="G362" s="53"/>
      <c r="H362" s="1"/>
      <c r="I362" s="1"/>
    </row>
    <row r="363" ht="14.25" customHeight="1">
      <c r="A363" s="52"/>
      <c r="B363" s="52"/>
      <c r="C363" s="52"/>
      <c r="D363" s="52"/>
      <c r="E363" s="655"/>
      <c r="F363" s="53"/>
      <c r="G363" s="53"/>
      <c r="H363" s="1"/>
      <c r="I363" s="1"/>
    </row>
    <row r="364" ht="14.25" customHeight="1">
      <c r="A364" s="52"/>
      <c r="B364" s="52"/>
      <c r="C364" s="52"/>
      <c r="D364" s="52"/>
      <c r="E364" s="655"/>
      <c r="F364" s="53"/>
      <c r="G364" s="53"/>
      <c r="H364" s="1"/>
      <c r="I364" s="1"/>
    </row>
    <row r="365" ht="14.25" customHeight="1">
      <c r="A365" s="52"/>
      <c r="B365" s="52"/>
      <c r="C365" s="52"/>
      <c r="D365" s="52"/>
      <c r="E365" s="655"/>
      <c r="F365" s="53"/>
      <c r="G365" s="53"/>
      <c r="H365" s="1"/>
      <c r="I365" s="1"/>
    </row>
    <row r="366" ht="14.25" customHeight="1">
      <c r="A366" s="52"/>
      <c r="B366" s="52"/>
      <c r="C366" s="52"/>
      <c r="D366" s="52"/>
      <c r="E366" s="655"/>
      <c r="F366" s="53"/>
      <c r="G366" s="53"/>
      <c r="H366" s="1"/>
      <c r="I366" s="1"/>
    </row>
    <row r="367" ht="14.25" customHeight="1">
      <c r="A367" s="52"/>
      <c r="B367" s="52"/>
      <c r="C367" s="52"/>
      <c r="D367" s="52"/>
      <c r="E367" s="655"/>
      <c r="F367" s="53"/>
      <c r="G367" s="53"/>
      <c r="H367" s="1"/>
      <c r="I367" s="1"/>
    </row>
    <row r="368" ht="14.25" customHeight="1">
      <c r="A368" s="52"/>
      <c r="B368" s="52"/>
      <c r="C368" s="52"/>
      <c r="D368" s="52"/>
      <c r="E368" s="655"/>
      <c r="F368" s="53"/>
      <c r="G368" s="53"/>
      <c r="H368" s="1"/>
      <c r="I368" s="1"/>
    </row>
    <row r="369" ht="14.25" customHeight="1">
      <c r="A369" s="52"/>
      <c r="B369" s="52"/>
      <c r="C369" s="52"/>
      <c r="D369" s="52"/>
      <c r="E369" s="655"/>
      <c r="F369" s="53"/>
      <c r="G369" s="53"/>
      <c r="H369" s="1"/>
      <c r="I369" s="1"/>
    </row>
    <row r="370" ht="14.25" customHeight="1">
      <c r="A370" s="52"/>
      <c r="B370" s="52"/>
      <c r="C370" s="52"/>
      <c r="D370" s="52"/>
      <c r="E370" s="655"/>
      <c r="F370" s="53"/>
      <c r="G370" s="53"/>
      <c r="H370" s="1"/>
      <c r="I370" s="1"/>
    </row>
    <row r="371" ht="14.25" customHeight="1">
      <c r="A371" s="52"/>
      <c r="B371" s="52"/>
      <c r="C371" s="52"/>
      <c r="D371" s="52"/>
      <c r="E371" s="655"/>
      <c r="F371" s="53"/>
      <c r="G371" s="53"/>
      <c r="H371" s="1"/>
      <c r="I371" s="1"/>
    </row>
    <row r="372" ht="14.25" customHeight="1">
      <c r="A372" s="52"/>
      <c r="B372" s="52"/>
      <c r="C372" s="52"/>
      <c r="D372" s="52"/>
      <c r="E372" s="655"/>
      <c r="F372" s="53"/>
      <c r="G372" s="53"/>
      <c r="H372" s="1"/>
      <c r="I372" s="1"/>
    </row>
    <row r="373" ht="14.25" customHeight="1">
      <c r="A373" s="52"/>
      <c r="B373" s="52"/>
      <c r="C373" s="52"/>
      <c r="D373" s="52"/>
      <c r="E373" s="655"/>
      <c r="F373" s="53"/>
      <c r="G373" s="53"/>
      <c r="H373" s="1"/>
      <c r="I373" s="1"/>
    </row>
    <row r="374" ht="14.25" customHeight="1">
      <c r="A374" s="52"/>
      <c r="B374" s="52"/>
      <c r="C374" s="52"/>
      <c r="D374" s="52"/>
      <c r="E374" s="655"/>
      <c r="F374" s="53"/>
      <c r="G374" s="53"/>
      <c r="H374" s="1"/>
      <c r="I374" s="1"/>
    </row>
    <row r="375" ht="14.25" customHeight="1">
      <c r="A375" s="52"/>
      <c r="B375" s="52"/>
      <c r="C375" s="52"/>
      <c r="D375" s="52"/>
      <c r="E375" s="655"/>
      <c r="F375" s="53"/>
      <c r="G375" s="53"/>
      <c r="H375" s="1"/>
      <c r="I375" s="1"/>
    </row>
    <row r="376" ht="14.25" customHeight="1">
      <c r="A376" s="52"/>
      <c r="B376" s="52"/>
      <c r="C376" s="52"/>
      <c r="D376" s="52"/>
      <c r="E376" s="655"/>
      <c r="F376" s="53"/>
      <c r="G376" s="53"/>
      <c r="H376" s="1"/>
      <c r="I376" s="1"/>
    </row>
    <row r="377" ht="14.25" customHeight="1">
      <c r="A377" s="52"/>
      <c r="B377" s="52"/>
      <c r="C377" s="52"/>
      <c r="D377" s="52"/>
      <c r="E377" s="655"/>
      <c r="F377" s="53"/>
      <c r="G377" s="53"/>
      <c r="H377" s="1"/>
      <c r="I377" s="1"/>
    </row>
    <row r="378" ht="14.25" customHeight="1">
      <c r="A378" s="52"/>
      <c r="B378" s="52"/>
      <c r="C378" s="52"/>
      <c r="D378" s="52"/>
      <c r="E378" s="655"/>
      <c r="F378" s="53"/>
      <c r="G378" s="53"/>
      <c r="H378" s="1"/>
      <c r="I378" s="1"/>
    </row>
    <row r="379" ht="14.25" customHeight="1">
      <c r="A379" s="52"/>
      <c r="B379" s="52"/>
      <c r="C379" s="52"/>
      <c r="D379" s="52"/>
      <c r="E379" s="655"/>
      <c r="F379" s="53"/>
      <c r="G379" s="53"/>
      <c r="H379" s="1"/>
      <c r="I379" s="1"/>
    </row>
    <row r="380" ht="14.25" customHeight="1">
      <c r="A380" s="52"/>
      <c r="B380" s="52"/>
      <c r="C380" s="52"/>
      <c r="D380" s="52"/>
      <c r="E380" s="655"/>
      <c r="F380" s="53"/>
      <c r="G380" s="53"/>
      <c r="H380" s="1"/>
      <c r="I380" s="1"/>
    </row>
    <row r="381" ht="14.25" customHeight="1">
      <c r="A381" s="52"/>
      <c r="B381" s="52"/>
      <c r="C381" s="52"/>
      <c r="D381" s="52"/>
      <c r="E381" s="655"/>
      <c r="F381" s="53"/>
      <c r="G381" s="53"/>
      <c r="H381" s="1"/>
      <c r="I381" s="1"/>
    </row>
    <row r="382" ht="14.25" customHeight="1">
      <c r="A382" s="52"/>
      <c r="B382" s="52"/>
      <c r="C382" s="52"/>
      <c r="D382" s="52"/>
      <c r="E382" s="655"/>
      <c r="F382" s="53"/>
      <c r="G382" s="53"/>
      <c r="H382" s="1"/>
      <c r="I382" s="1"/>
    </row>
    <row r="383" ht="14.25" customHeight="1">
      <c r="A383" s="52"/>
      <c r="B383" s="52"/>
      <c r="C383" s="52"/>
      <c r="D383" s="52"/>
      <c r="E383" s="655"/>
      <c r="F383" s="53"/>
      <c r="G383" s="53"/>
      <c r="H383" s="1"/>
      <c r="I383" s="1"/>
    </row>
    <row r="384" ht="14.25" customHeight="1">
      <c r="A384" s="52"/>
      <c r="B384" s="52"/>
      <c r="C384" s="52"/>
      <c r="D384" s="52"/>
      <c r="E384" s="655"/>
      <c r="F384" s="53"/>
      <c r="G384" s="53"/>
      <c r="H384" s="1"/>
      <c r="I384" s="1"/>
    </row>
    <row r="385" ht="14.25" customHeight="1">
      <c r="A385" s="52"/>
      <c r="B385" s="52"/>
      <c r="C385" s="52"/>
      <c r="D385" s="52"/>
      <c r="E385" s="655"/>
      <c r="F385" s="53"/>
      <c r="G385" s="53"/>
      <c r="H385" s="1"/>
      <c r="I385" s="1"/>
    </row>
    <row r="386" ht="14.25" customHeight="1">
      <c r="A386" s="52"/>
      <c r="B386" s="52"/>
      <c r="C386" s="52"/>
      <c r="D386" s="52"/>
      <c r="E386" s="655"/>
      <c r="F386" s="53"/>
      <c r="G386" s="53"/>
      <c r="H386" s="1"/>
      <c r="I386" s="1"/>
    </row>
    <row r="387" ht="14.25" customHeight="1">
      <c r="A387" s="52"/>
      <c r="B387" s="52"/>
      <c r="C387" s="52"/>
      <c r="D387" s="52"/>
      <c r="E387" s="655"/>
      <c r="F387" s="53"/>
      <c r="G387" s="53"/>
      <c r="H387" s="1"/>
      <c r="I387" s="1"/>
    </row>
    <row r="388" ht="14.25" customHeight="1">
      <c r="A388" s="52"/>
      <c r="B388" s="52"/>
      <c r="C388" s="52"/>
      <c r="D388" s="52"/>
      <c r="E388" s="655"/>
      <c r="F388" s="53"/>
      <c r="G388" s="53"/>
      <c r="H388" s="1"/>
      <c r="I388" s="1"/>
    </row>
    <row r="389" ht="14.25" customHeight="1">
      <c r="A389" s="52"/>
      <c r="B389" s="52"/>
      <c r="C389" s="52"/>
      <c r="D389" s="52"/>
      <c r="E389" s="655"/>
      <c r="F389" s="53"/>
      <c r="G389" s="53"/>
      <c r="H389" s="1"/>
      <c r="I389" s="1"/>
    </row>
    <row r="390" ht="14.25" customHeight="1">
      <c r="A390" s="52"/>
      <c r="B390" s="52"/>
      <c r="C390" s="52"/>
      <c r="D390" s="52"/>
      <c r="E390" s="655"/>
      <c r="F390" s="53"/>
      <c r="G390" s="53"/>
      <c r="H390" s="1"/>
      <c r="I390" s="1"/>
    </row>
    <row r="391" ht="14.25" customHeight="1">
      <c r="A391" s="52"/>
      <c r="B391" s="52"/>
      <c r="C391" s="52"/>
      <c r="D391" s="52"/>
      <c r="E391" s="655"/>
      <c r="F391" s="53"/>
      <c r="G391" s="53"/>
      <c r="H391" s="1"/>
      <c r="I391" s="1"/>
    </row>
    <row r="392" ht="14.25" customHeight="1">
      <c r="A392" s="52"/>
      <c r="B392" s="52"/>
      <c r="C392" s="52"/>
      <c r="D392" s="52"/>
      <c r="E392" s="655"/>
      <c r="F392" s="53"/>
      <c r="G392" s="53"/>
      <c r="H392" s="1"/>
      <c r="I392" s="1"/>
    </row>
    <row r="393" ht="14.25" customHeight="1">
      <c r="A393" s="52"/>
      <c r="B393" s="52"/>
      <c r="C393" s="52"/>
      <c r="D393" s="52"/>
      <c r="E393" s="655"/>
      <c r="F393" s="53"/>
      <c r="G393" s="53"/>
      <c r="H393" s="1"/>
      <c r="I393" s="1"/>
    </row>
    <row r="394" ht="14.25" customHeight="1">
      <c r="A394" s="52"/>
      <c r="B394" s="52"/>
      <c r="C394" s="52"/>
      <c r="D394" s="52"/>
      <c r="E394" s="655"/>
      <c r="F394" s="53"/>
      <c r="G394" s="53"/>
      <c r="H394" s="1"/>
      <c r="I394" s="1"/>
    </row>
    <row r="395" ht="14.25" customHeight="1">
      <c r="A395" s="52"/>
      <c r="B395" s="52"/>
      <c r="C395" s="52"/>
      <c r="D395" s="52"/>
      <c r="E395" s="655"/>
      <c r="F395" s="53"/>
      <c r="G395" s="53"/>
      <c r="H395" s="1"/>
      <c r="I395" s="1"/>
    </row>
    <row r="396" ht="14.25" customHeight="1">
      <c r="A396" s="52"/>
      <c r="B396" s="52"/>
      <c r="C396" s="52"/>
      <c r="D396" s="52"/>
      <c r="E396" s="655"/>
      <c r="F396" s="53"/>
      <c r="G396" s="53"/>
      <c r="H396" s="1"/>
      <c r="I396" s="1"/>
    </row>
    <row r="397" ht="14.25" customHeight="1">
      <c r="A397" s="52"/>
      <c r="B397" s="52"/>
      <c r="C397" s="52"/>
      <c r="D397" s="52"/>
      <c r="E397" s="655"/>
      <c r="F397" s="53"/>
      <c r="G397" s="53"/>
      <c r="H397" s="1"/>
      <c r="I397" s="1"/>
    </row>
    <row r="398" ht="14.25" customHeight="1">
      <c r="A398" s="52"/>
      <c r="B398" s="52"/>
      <c r="C398" s="52"/>
      <c r="D398" s="52"/>
      <c r="E398" s="655"/>
      <c r="F398" s="53"/>
      <c r="G398" s="53"/>
      <c r="H398" s="1"/>
      <c r="I398" s="1"/>
    </row>
    <row r="399" ht="14.25" customHeight="1">
      <c r="A399" s="52"/>
      <c r="B399" s="52"/>
      <c r="C399" s="52"/>
      <c r="D399" s="52"/>
      <c r="E399" s="655"/>
      <c r="F399" s="53"/>
      <c r="G399" s="53"/>
      <c r="H399" s="1"/>
      <c r="I399" s="1"/>
    </row>
    <row r="400" ht="14.25" customHeight="1">
      <c r="A400" s="52"/>
      <c r="B400" s="52"/>
      <c r="C400" s="52"/>
      <c r="D400" s="52"/>
      <c r="E400" s="655"/>
      <c r="F400" s="53"/>
      <c r="G400" s="53"/>
      <c r="H400" s="1"/>
      <c r="I400" s="1"/>
    </row>
    <row r="401" ht="14.25" customHeight="1">
      <c r="A401" s="52"/>
      <c r="B401" s="52"/>
      <c r="C401" s="52"/>
      <c r="D401" s="52"/>
      <c r="E401" s="655"/>
      <c r="F401" s="53"/>
      <c r="G401" s="53"/>
      <c r="H401" s="1"/>
      <c r="I401" s="1"/>
    </row>
    <row r="402" ht="14.25" customHeight="1">
      <c r="A402" s="52"/>
      <c r="B402" s="52"/>
      <c r="C402" s="52"/>
      <c r="D402" s="52"/>
      <c r="E402" s="655"/>
      <c r="F402" s="53"/>
      <c r="G402" s="53"/>
      <c r="H402" s="1"/>
      <c r="I402" s="1"/>
    </row>
    <row r="403" ht="14.25" customHeight="1">
      <c r="A403" s="52"/>
      <c r="B403" s="52"/>
      <c r="C403" s="52"/>
      <c r="D403" s="52"/>
      <c r="E403" s="655"/>
      <c r="F403" s="53"/>
      <c r="G403" s="53"/>
      <c r="H403" s="1"/>
      <c r="I403" s="1"/>
    </row>
    <row r="404" ht="14.25" customHeight="1">
      <c r="A404" s="52"/>
      <c r="B404" s="52"/>
      <c r="C404" s="52"/>
      <c r="D404" s="52"/>
      <c r="E404" s="655"/>
      <c r="F404" s="53"/>
      <c r="G404" s="53"/>
      <c r="H404" s="1"/>
      <c r="I404" s="1"/>
    </row>
    <row r="405" ht="14.25" customHeight="1">
      <c r="A405" s="52"/>
      <c r="B405" s="52"/>
      <c r="C405" s="52"/>
      <c r="D405" s="52"/>
      <c r="E405" s="655"/>
      <c r="F405" s="53"/>
      <c r="G405" s="53"/>
      <c r="H405" s="1"/>
      <c r="I405" s="1"/>
    </row>
    <row r="406" ht="14.25" customHeight="1">
      <c r="A406" s="52"/>
      <c r="B406" s="52"/>
      <c r="C406" s="52"/>
      <c r="D406" s="52"/>
      <c r="E406" s="655"/>
      <c r="F406" s="53"/>
      <c r="G406" s="53"/>
      <c r="H406" s="1"/>
      <c r="I406" s="1"/>
    </row>
    <row r="407" ht="14.25" customHeight="1">
      <c r="A407" s="52"/>
      <c r="B407" s="52"/>
      <c r="C407" s="52"/>
      <c r="D407" s="52"/>
      <c r="E407" s="655"/>
      <c r="F407" s="53"/>
      <c r="G407" s="53"/>
      <c r="H407" s="1"/>
      <c r="I407" s="1"/>
    </row>
    <row r="408" ht="14.25" customHeight="1">
      <c r="A408" s="52"/>
      <c r="B408" s="52"/>
      <c r="C408" s="52"/>
      <c r="D408" s="52"/>
      <c r="E408" s="655"/>
      <c r="F408" s="53"/>
      <c r="G408" s="53"/>
      <c r="H408" s="1"/>
      <c r="I408" s="1"/>
    </row>
    <row r="409" ht="14.25" customHeight="1">
      <c r="A409" s="52"/>
      <c r="B409" s="52"/>
      <c r="C409" s="52"/>
      <c r="D409" s="52"/>
      <c r="E409" s="655"/>
      <c r="F409" s="53"/>
      <c r="G409" s="53"/>
      <c r="H409" s="1"/>
      <c r="I409" s="1"/>
    </row>
    <row r="410" ht="14.25" customHeight="1">
      <c r="A410" s="52"/>
      <c r="B410" s="52"/>
      <c r="C410" s="52"/>
      <c r="D410" s="52"/>
      <c r="E410" s="655"/>
      <c r="F410" s="53"/>
      <c r="G410" s="53"/>
      <c r="H410" s="1"/>
      <c r="I410" s="1"/>
    </row>
    <row r="411" ht="14.25" customHeight="1">
      <c r="A411" s="52"/>
      <c r="B411" s="52"/>
      <c r="C411" s="52"/>
      <c r="D411" s="52"/>
      <c r="E411" s="655"/>
      <c r="F411" s="53"/>
      <c r="G411" s="53"/>
      <c r="H411" s="1"/>
      <c r="I411" s="1"/>
    </row>
    <row r="412" ht="14.25" customHeight="1">
      <c r="A412" s="52"/>
      <c r="B412" s="52"/>
      <c r="C412" s="52"/>
      <c r="D412" s="52"/>
      <c r="E412" s="655"/>
      <c r="F412" s="53"/>
      <c r="G412" s="53"/>
      <c r="H412" s="1"/>
      <c r="I412" s="1"/>
    </row>
    <row r="413" ht="14.25" customHeight="1">
      <c r="A413" s="52"/>
      <c r="B413" s="52"/>
      <c r="C413" s="52"/>
      <c r="D413" s="52"/>
      <c r="E413" s="655"/>
      <c r="F413" s="53"/>
      <c r="G413" s="53"/>
      <c r="H413" s="1"/>
      <c r="I413" s="1"/>
    </row>
    <row r="414" ht="14.25" customHeight="1">
      <c r="A414" s="52"/>
      <c r="B414" s="52"/>
      <c r="C414" s="52"/>
      <c r="D414" s="52"/>
      <c r="E414" s="655"/>
      <c r="F414" s="53"/>
      <c r="G414" s="53"/>
      <c r="H414" s="1"/>
      <c r="I414" s="1"/>
    </row>
    <row r="415" ht="14.25" customHeight="1">
      <c r="A415" s="52"/>
      <c r="B415" s="52"/>
      <c r="C415" s="52"/>
      <c r="D415" s="52"/>
      <c r="E415" s="655"/>
      <c r="F415" s="53"/>
      <c r="G415" s="53"/>
      <c r="H415" s="1"/>
      <c r="I415" s="1"/>
    </row>
    <row r="416" ht="14.25" customHeight="1">
      <c r="A416" s="52"/>
      <c r="B416" s="52"/>
      <c r="C416" s="52"/>
      <c r="D416" s="52"/>
      <c r="E416" s="655"/>
      <c r="F416" s="53"/>
      <c r="G416" s="53"/>
      <c r="H416" s="1"/>
      <c r="I416" s="1"/>
    </row>
    <row r="417" ht="14.25" customHeight="1">
      <c r="A417" s="52"/>
      <c r="B417" s="52"/>
      <c r="C417" s="52"/>
      <c r="D417" s="52"/>
      <c r="E417" s="655"/>
      <c r="F417" s="53"/>
      <c r="G417" s="53"/>
      <c r="H417" s="1"/>
      <c r="I417" s="1"/>
    </row>
    <row r="418" ht="14.25" customHeight="1">
      <c r="A418" s="52"/>
      <c r="B418" s="52"/>
      <c r="C418" s="52"/>
      <c r="D418" s="52"/>
      <c r="E418" s="655"/>
      <c r="F418" s="53"/>
      <c r="G418" s="53"/>
      <c r="H418" s="1"/>
      <c r="I418" s="1"/>
    </row>
    <row r="419" ht="14.25" customHeight="1">
      <c r="A419" s="52"/>
      <c r="B419" s="52"/>
      <c r="C419" s="52"/>
      <c r="D419" s="52"/>
      <c r="E419" s="655"/>
      <c r="F419" s="53"/>
      <c r="G419" s="53"/>
      <c r="H419" s="1"/>
      <c r="I419" s="1"/>
    </row>
    <row r="420" ht="14.25" customHeight="1">
      <c r="A420" s="52"/>
      <c r="B420" s="52"/>
      <c r="C420" s="52"/>
      <c r="D420" s="52"/>
      <c r="E420" s="655"/>
      <c r="F420" s="53"/>
      <c r="G420" s="53"/>
      <c r="H420" s="1"/>
      <c r="I420" s="1"/>
    </row>
    <row r="421" ht="14.25" customHeight="1">
      <c r="A421" s="52"/>
      <c r="B421" s="52"/>
      <c r="C421" s="52"/>
      <c r="D421" s="52"/>
      <c r="E421" s="655"/>
      <c r="F421" s="53"/>
      <c r="G421" s="53"/>
      <c r="H421" s="1"/>
      <c r="I421" s="1"/>
    </row>
    <row r="422" ht="14.25" customHeight="1">
      <c r="A422" s="52"/>
      <c r="B422" s="52"/>
      <c r="C422" s="52"/>
      <c r="D422" s="52"/>
      <c r="E422" s="655"/>
      <c r="F422" s="53"/>
      <c r="G422" s="53"/>
      <c r="H422" s="1"/>
      <c r="I422" s="1"/>
    </row>
    <row r="423" ht="14.25" customHeight="1">
      <c r="A423" s="52"/>
      <c r="B423" s="52"/>
      <c r="C423" s="52"/>
      <c r="D423" s="52"/>
      <c r="E423" s="655"/>
      <c r="F423" s="53"/>
      <c r="G423" s="53"/>
      <c r="H423" s="1"/>
      <c r="I423" s="1"/>
    </row>
    <row r="424" ht="14.25" customHeight="1">
      <c r="A424" s="52"/>
      <c r="B424" s="52"/>
      <c r="C424" s="52"/>
      <c r="D424" s="52"/>
      <c r="E424" s="655"/>
      <c r="F424" s="53"/>
      <c r="G424" s="53"/>
      <c r="H424" s="1"/>
      <c r="I424" s="1"/>
    </row>
    <row r="425" ht="14.25" customHeight="1">
      <c r="A425" s="52"/>
      <c r="B425" s="52"/>
      <c r="C425" s="52"/>
      <c r="D425" s="52"/>
      <c r="E425" s="655"/>
      <c r="F425" s="53"/>
      <c r="G425" s="53"/>
      <c r="H425" s="1"/>
      <c r="I425" s="1"/>
    </row>
    <row r="426" ht="14.25" customHeight="1">
      <c r="A426" s="52"/>
      <c r="B426" s="52"/>
      <c r="C426" s="52"/>
      <c r="D426" s="52"/>
      <c r="E426" s="655"/>
      <c r="F426" s="53"/>
      <c r="G426" s="53"/>
      <c r="H426" s="1"/>
      <c r="I426" s="1"/>
    </row>
    <row r="427" ht="14.25" customHeight="1">
      <c r="A427" s="52"/>
      <c r="B427" s="52"/>
      <c r="C427" s="52"/>
      <c r="D427" s="52"/>
      <c r="E427" s="655"/>
      <c r="F427" s="53"/>
      <c r="G427" s="53"/>
      <c r="H427" s="1"/>
      <c r="I427" s="1"/>
    </row>
    <row r="428" ht="14.25" customHeight="1">
      <c r="A428" s="52"/>
      <c r="B428" s="52"/>
      <c r="C428" s="52"/>
      <c r="D428" s="52"/>
      <c r="E428" s="655"/>
      <c r="F428" s="53"/>
      <c r="G428" s="53"/>
      <c r="H428" s="1"/>
      <c r="I428" s="1"/>
    </row>
    <row r="429" ht="14.25" customHeight="1">
      <c r="A429" s="52"/>
      <c r="B429" s="52"/>
      <c r="C429" s="52"/>
      <c r="D429" s="52"/>
      <c r="E429" s="655"/>
      <c r="F429" s="53"/>
      <c r="G429" s="53"/>
      <c r="H429" s="1"/>
      <c r="I429" s="1"/>
    </row>
    <row r="430" ht="14.25" customHeight="1">
      <c r="A430" s="52"/>
      <c r="B430" s="52"/>
      <c r="C430" s="52"/>
      <c r="D430" s="52"/>
      <c r="E430" s="655"/>
      <c r="F430" s="53"/>
      <c r="G430" s="53"/>
      <c r="H430" s="1"/>
      <c r="I430" s="1"/>
    </row>
    <row r="431" ht="14.25" customHeight="1">
      <c r="A431" s="52"/>
      <c r="B431" s="52"/>
      <c r="C431" s="52"/>
      <c r="D431" s="52"/>
      <c r="E431" s="655"/>
      <c r="F431" s="53"/>
      <c r="G431" s="53"/>
      <c r="H431" s="1"/>
      <c r="I431" s="1"/>
    </row>
    <row r="432" ht="14.25" customHeight="1">
      <c r="A432" s="52"/>
      <c r="B432" s="52"/>
      <c r="C432" s="52"/>
      <c r="D432" s="52"/>
      <c r="E432" s="655"/>
      <c r="F432" s="53"/>
      <c r="G432" s="53"/>
      <c r="H432" s="1"/>
      <c r="I432" s="1"/>
    </row>
    <row r="433" ht="14.25" customHeight="1">
      <c r="A433" s="52"/>
      <c r="B433" s="52"/>
      <c r="C433" s="52"/>
      <c r="D433" s="52"/>
      <c r="E433" s="655"/>
      <c r="F433" s="53"/>
      <c r="G433" s="53"/>
      <c r="H433" s="1"/>
      <c r="I433" s="1"/>
    </row>
    <row r="434" ht="14.25" customHeight="1">
      <c r="A434" s="52"/>
      <c r="B434" s="52"/>
      <c r="C434" s="52"/>
      <c r="D434" s="52"/>
      <c r="E434" s="655"/>
      <c r="F434" s="53"/>
      <c r="G434" s="53"/>
      <c r="H434" s="1"/>
      <c r="I434" s="1"/>
    </row>
    <row r="435" ht="14.25" customHeight="1">
      <c r="A435" s="52"/>
      <c r="B435" s="52"/>
      <c r="C435" s="52"/>
      <c r="D435" s="52"/>
      <c r="E435" s="655"/>
      <c r="F435" s="53"/>
      <c r="G435" s="53"/>
      <c r="H435" s="1"/>
      <c r="I435" s="1"/>
    </row>
    <row r="436" ht="14.25" customHeight="1">
      <c r="A436" s="52"/>
      <c r="B436" s="52"/>
      <c r="C436" s="52"/>
      <c r="D436" s="52"/>
      <c r="E436" s="655"/>
      <c r="F436" s="53"/>
      <c r="G436" s="53"/>
      <c r="H436" s="1"/>
      <c r="I436" s="1"/>
    </row>
    <row r="437" ht="14.25" customHeight="1">
      <c r="A437" s="52"/>
      <c r="B437" s="52"/>
      <c r="C437" s="52"/>
      <c r="D437" s="52"/>
      <c r="E437" s="655"/>
      <c r="F437" s="53"/>
      <c r="G437" s="53"/>
      <c r="H437" s="1"/>
      <c r="I437" s="1"/>
    </row>
    <row r="438" ht="14.25" customHeight="1">
      <c r="A438" s="52"/>
      <c r="B438" s="52"/>
      <c r="C438" s="52"/>
      <c r="D438" s="52"/>
      <c r="E438" s="655"/>
      <c r="F438" s="53"/>
      <c r="G438" s="53"/>
      <c r="H438" s="1"/>
      <c r="I438" s="1"/>
    </row>
    <row r="439" ht="14.25" customHeight="1">
      <c r="A439" s="52"/>
      <c r="B439" s="52"/>
      <c r="C439" s="52"/>
      <c r="D439" s="52"/>
      <c r="E439" s="655"/>
      <c r="F439" s="53"/>
      <c r="G439" s="53"/>
      <c r="H439" s="1"/>
      <c r="I439" s="1"/>
    </row>
    <row r="440" ht="14.25" customHeight="1">
      <c r="A440" s="52"/>
      <c r="B440" s="52"/>
      <c r="C440" s="52"/>
      <c r="D440" s="52"/>
      <c r="E440" s="655"/>
      <c r="F440" s="53"/>
      <c r="G440" s="53"/>
      <c r="H440" s="1"/>
      <c r="I440" s="1"/>
    </row>
    <row r="441" ht="14.25" customHeight="1">
      <c r="A441" s="52"/>
      <c r="B441" s="52"/>
      <c r="C441" s="52"/>
      <c r="D441" s="52"/>
      <c r="E441" s="655"/>
      <c r="F441" s="53"/>
      <c r="G441" s="53"/>
      <c r="H441" s="1"/>
      <c r="I441" s="1"/>
    </row>
    <row r="442" ht="14.25" customHeight="1">
      <c r="A442" s="52"/>
      <c r="B442" s="52"/>
      <c r="C442" s="52"/>
      <c r="D442" s="52"/>
      <c r="E442" s="655"/>
      <c r="F442" s="53"/>
      <c r="G442" s="53"/>
      <c r="H442" s="1"/>
      <c r="I442" s="1"/>
    </row>
    <row r="443" ht="14.25" customHeight="1">
      <c r="A443" s="52"/>
      <c r="B443" s="52"/>
      <c r="C443" s="52"/>
      <c r="D443" s="52"/>
      <c r="E443" s="655"/>
      <c r="F443" s="53"/>
      <c r="G443" s="53"/>
      <c r="H443" s="1"/>
      <c r="I443" s="1"/>
    </row>
    <row r="444" ht="14.25" customHeight="1">
      <c r="A444" s="52"/>
      <c r="B444" s="52"/>
      <c r="C444" s="52"/>
      <c r="D444" s="52"/>
      <c r="E444" s="655"/>
      <c r="F444" s="53"/>
      <c r="G444" s="53"/>
      <c r="H444" s="1"/>
      <c r="I444" s="1"/>
    </row>
    <row r="445" ht="14.25" customHeight="1">
      <c r="A445" s="52"/>
      <c r="B445" s="52"/>
      <c r="C445" s="52"/>
      <c r="D445" s="52"/>
      <c r="E445" s="655"/>
      <c r="F445" s="53"/>
      <c r="G445" s="53"/>
      <c r="H445" s="1"/>
      <c r="I445" s="1"/>
    </row>
    <row r="446" ht="14.25" customHeight="1">
      <c r="A446" s="52"/>
      <c r="B446" s="52"/>
      <c r="C446" s="52"/>
      <c r="D446" s="52"/>
      <c r="E446" s="655"/>
      <c r="F446" s="53"/>
      <c r="G446" s="53"/>
      <c r="H446" s="1"/>
      <c r="I446" s="1"/>
    </row>
    <row r="447" ht="14.25" customHeight="1">
      <c r="A447" s="52"/>
      <c r="B447" s="52"/>
      <c r="C447" s="52"/>
      <c r="D447" s="52"/>
      <c r="E447" s="655"/>
      <c r="F447" s="53"/>
      <c r="G447" s="53"/>
      <c r="H447" s="1"/>
      <c r="I447" s="1"/>
    </row>
    <row r="448" ht="14.25" customHeight="1">
      <c r="A448" s="52"/>
      <c r="B448" s="52"/>
      <c r="C448" s="52"/>
      <c r="D448" s="52"/>
      <c r="E448" s="655"/>
      <c r="F448" s="53"/>
      <c r="G448" s="53"/>
      <c r="H448" s="1"/>
      <c r="I448" s="1"/>
    </row>
    <row r="449" ht="14.25" customHeight="1">
      <c r="A449" s="52"/>
      <c r="B449" s="52"/>
      <c r="C449" s="52"/>
      <c r="D449" s="52"/>
      <c r="E449" s="655"/>
      <c r="F449" s="53"/>
      <c r="G449" s="53"/>
      <c r="H449" s="1"/>
      <c r="I449" s="1"/>
    </row>
    <row r="450" ht="14.25" customHeight="1">
      <c r="A450" s="52"/>
      <c r="B450" s="52"/>
      <c r="C450" s="52"/>
      <c r="D450" s="52"/>
      <c r="E450" s="655"/>
      <c r="F450" s="53"/>
      <c r="G450" s="53"/>
      <c r="H450" s="1"/>
      <c r="I450" s="1"/>
    </row>
    <row r="451" ht="14.25" customHeight="1">
      <c r="A451" s="52"/>
      <c r="B451" s="52"/>
      <c r="C451" s="52"/>
      <c r="D451" s="52"/>
      <c r="E451" s="655"/>
      <c r="F451" s="53"/>
      <c r="G451" s="53"/>
      <c r="H451" s="1"/>
      <c r="I451" s="1"/>
    </row>
    <row r="452" ht="14.25" customHeight="1">
      <c r="A452" s="52"/>
      <c r="B452" s="52"/>
      <c r="C452" s="52"/>
      <c r="D452" s="52"/>
      <c r="E452" s="655"/>
      <c r="F452" s="53"/>
      <c r="G452" s="53"/>
      <c r="H452" s="1"/>
      <c r="I452" s="1"/>
    </row>
    <row r="453" ht="14.25" customHeight="1">
      <c r="A453" s="52"/>
      <c r="B453" s="52"/>
      <c r="C453" s="52"/>
      <c r="D453" s="52"/>
      <c r="E453" s="655"/>
      <c r="F453" s="53"/>
      <c r="G453" s="53"/>
      <c r="H453" s="1"/>
      <c r="I453" s="1"/>
    </row>
    <row r="454" ht="14.25" customHeight="1">
      <c r="A454" s="52"/>
      <c r="B454" s="52"/>
      <c r="C454" s="52"/>
      <c r="D454" s="52"/>
      <c r="E454" s="655"/>
      <c r="F454" s="53"/>
      <c r="G454" s="53"/>
      <c r="H454" s="1"/>
      <c r="I454" s="1"/>
    </row>
    <row r="455" ht="14.25" customHeight="1">
      <c r="A455" s="52"/>
      <c r="B455" s="52"/>
      <c r="C455" s="52"/>
      <c r="D455" s="52"/>
      <c r="E455" s="655"/>
      <c r="F455" s="53"/>
      <c r="G455" s="53"/>
      <c r="H455" s="1"/>
      <c r="I455" s="1"/>
    </row>
    <row r="456" ht="14.25" customHeight="1">
      <c r="A456" s="52"/>
      <c r="B456" s="52"/>
      <c r="C456" s="52"/>
      <c r="D456" s="52"/>
      <c r="E456" s="655"/>
      <c r="F456" s="53"/>
      <c r="G456" s="53"/>
      <c r="H456" s="1"/>
      <c r="I456" s="1"/>
    </row>
    <row r="457" ht="14.25" customHeight="1">
      <c r="A457" s="52"/>
      <c r="B457" s="52"/>
      <c r="C457" s="52"/>
      <c r="D457" s="52"/>
      <c r="E457" s="655"/>
      <c r="F457" s="53"/>
      <c r="G457" s="53"/>
      <c r="H457" s="1"/>
      <c r="I457" s="1"/>
    </row>
    <row r="458" ht="14.25" customHeight="1">
      <c r="A458" s="52"/>
      <c r="B458" s="52"/>
      <c r="C458" s="52"/>
      <c r="D458" s="52"/>
      <c r="E458" s="655"/>
      <c r="F458" s="53"/>
      <c r="G458" s="53"/>
      <c r="H458" s="1"/>
      <c r="I458" s="1"/>
    </row>
    <row r="459" ht="14.25" customHeight="1">
      <c r="A459" s="52"/>
      <c r="B459" s="52"/>
      <c r="C459" s="52"/>
      <c r="D459" s="52"/>
      <c r="E459" s="655"/>
      <c r="F459" s="53"/>
      <c r="G459" s="53"/>
      <c r="H459" s="1"/>
      <c r="I459" s="1"/>
    </row>
    <row r="460" ht="14.25" customHeight="1">
      <c r="A460" s="52"/>
      <c r="B460" s="52"/>
      <c r="C460" s="52"/>
      <c r="D460" s="52"/>
      <c r="E460" s="655"/>
      <c r="F460" s="53"/>
      <c r="G460" s="53"/>
      <c r="H460" s="1"/>
      <c r="I460" s="1"/>
    </row>
    <row r="461" ht="14.25" customHeight="1">
      <c r="A461" s="52"/>
      <c r="B461" s="52"/>
      <c r="C461" s="52"/>
      <c r="D461" s="52"/>
      <c r="E461" s="655"/>
      <c r="F461" s="53"/>
      <c r="G461" s="53"/>
      <c r="H461" s="1"/>
      <c r="I461" s="1"/>
    </row>
    <row r="462" ht="14.25" customHeight="1">
      <c r="A462" s="52"/>
      <c r="B462" s="52"/>
      <c r="C462" s="52"/>
      <c r="D462" s="52"/>
      <c r="E462" s="655"/>
      <c r="F462" s="53"/>
      <c r="G462" s="53"/>
      <c r="H462" s="1"/>
      <c r="I462" s="1"/>
    </row>
    <row r="463" ht="14.25" customHeight="1">
      <c r="A463" s="52"/>
      <c r="B463" s="52"/>
      <c r="C463" s="52"/>
      <c r="D463" s="52"/>
      <c r="E463" s="655"/>
      <c r="F463" s="53"/>
      <c r="G463" s="53"/>
      <c r="H463" s="1"/>
      <c r="I463" s="1"/>
    </row>
    <row r="464" ht="14.25" customHeight="1">
      <c r="A464" s="52"/>
      <c r="B464" s="52"/>
      <c r="C464" s="52"/>
      <c r="D464" s="52"/>
      <c r="E464" s="655"/>
      <c r="F464" s="53"/>
      <c r="G464" s="53"/>
      <c r="H464" s="1"/>
      <c r="I464" s="1"/>
    </row>
    <row r="465" ht="14.25" customHeight="1">
      <c r="A465" s="52"/>
      <c r="B465" s="52"/>
      <c r="C465" s="52"/>
      <c r="D465" s="52"/>
      <c r="E465" s="655"/>
      <c r="F465" s="53"/>
      <c r="G465" s="53"/>
      <c r="H465" s="1"/>
      <c r="I465" s="1"/>
    </row>
    <row r="466" ht="14.25" customHeight="1">
      <c r="A466" s="52"/>
      <c r="B466" s="52"/>
      <c r="C466" s="52"/>
      <c r="D466" s="52"/>
      <c r="E466" s="655"/>
      <c r="F466" s="53"/>
      <c r="G466" s="53"/>
      <c r="H466" s="1"/>
      <c r="I466" s="1"/>
    </row>
    <row r="467" ht="14.25" customHeight="1">
      <c r="A467" s="52"/>
      <c r="B467" s="52"/>
      <c r="C467" s="52"/>
      <c r="D467" s="52"/>
      <c r="E467" s="655"/>
      <c r="F467" s="53"/>
      <c r="G467" s="53"/>
      <c r="H467" s="1"/>
      <c r="I467" s="1"/>
    </row>
    <row r="468" ht="14.25" customHeight="1">
      <c r="A468" s="52"/>
      <c r="B468" s="52"/>
      <c r="C468" s="52"/>
      <c r="D468" s="52"/>
      <c r="E468" s="655"/>
      <c r="F468" s="53"/>
      <c r="G468" s="53"/>
      <c r="H468" s="1"/>
      <c r="I468" s="1"/>
    </row>
    <row r="469" ht="14.25" customHeight="1">
      <c r="A469" s="52"/>
      <c r="B469" s="52"/>
      <c r="C469" s="52"/>
      <c r="D469" s="52"/>
      <c r="E469" s="655"/>
      <c r="F469" s="53"/>
      <c r="G469" s="53"/>
      <c r="H469" s="1"/>
      <c r="I469" s="1"/>
    </row>
    <row r="470" ht="14.25" customHeight="1">
      <c r="A470" s="52"/>
      <c r="B470" s="52"/>
      <c r="C470" s="52"/>
      <c r="D470" s="52"/>
      <c r="E470" s="655"/>
      <c r="F470" s="53"/>
      <c r="G470" s="53"/>
      <c r="H470" s="1"/>
      <c r="I470" s="1"/>
    </row>
    <row r="471" ht="14.25" customHeight="1">
      <c r="A471" s="52"/>
      <c r="B471" s="52"/>
      <c r="C471" s="52"/>
      <c r="D471" s="52"/>
      <c r="E471" s="655"/>
      <c r="F471" s="53"/>
      <c r="G471" s="53"/>
      <c r="H471" s="1"/>
      <c r="I471" s="1"/>
    </row>
    <row r="472" ht="14.25" customHeight="1">
      <c r="A472" s="52"/>
      <c r="B472" s="52"/>
      <c r="C472" s="52"/>
      <c r="D472" s="52"/>
      <c r="E472" s="655"/>
      <c r="F472" s="53"/>
      <c r="G472" s="53"/>
      <c r="H472" s="1"/>
      <c r="I472" s="1"/>
    </row>
    <row r="473" ht="14.25" customHeight="1">
      <c r="A473" s="52"/>
      <c r="B473" s="52"/>
      <c r="C473" s="52"/>
      <c r="D473" s="52"/>
      <c r="E473" s="655"/>
      <c r="F473" s="53"/>
      <c r="G473" s="53"/>
      <c r="H473" s="1"/>
      <c r="I473" s="1"/>
    </row>
    <row r="474" ht="14.25" customHeight="1">
      <c r="A474" s="52"/>
      <c r="B474" s="52"/>
      <c r="C474" s="52"/>
      <c r="D474" s="52"/>
      <c r="E474" s="655"/>
      <c r="F474" s="53"/>
      <c r="G474" s="53"/>
      <c r="H474" s="1"/>
      <c r="I474" s="1"/>
    </row>
    <row r="475" ht="14.25" customHeight="1">
      <c r="A475" s="52"/>
      <c r="B475" s="52"/>
      <c r="C475" s="52"/>
      <c r="D475" s="52"/>
      <c r="E475" s="655"/>
      <c r="F475" s="53"/>
      <c r="G475" s="53"/>
      <c r="H475" s="1"/>
      <c r="I475" s="1"/>
    </row>
    <row r="476" ht="14.25" customHeight="1">
      <c r="A476" s="52"/>
      <c r="B476" s="52"/>
      <c r="C476" s="52"/>
      <c r="D476" s="52"/>
      <c r="E476" s="655"/>
      <c r="F476" s="53"/>
      <c r="G476" s="53"/>
      <c r="H476" s="1"/>
      <c r="I476" s="1"/>
    </row>
    <row r="477" ht="14.25" customHeight="1">
      <c r="A477" s="52"/>
      <c r="B477" s="52"/>
      <c r="C477" s="52"/>
      <c r="D477" s="52"/>
      <c r="E477" s="655"/>
      <c r="F477" s="53"/>
      <c r="G477" s="53"/>
      <c r="H477" s="1"/>
      <c r="I477" s="1"/>
    </row>
    <row r="478" ht="14.25" customHeight="1">
      <c r="A478" s="52"/>
      <c r="B478" s="52"/>
      <c r="C478" s="52"/>
      <c r="D478" s="52"/>
      <c r="E478" s="655"/>
      <c r="F478" s="53"/>
      <c r="G478" s="53"/>
      <c r="H478" s="1"/>
      <c r="I478" s="1"/>
    </row>
    <row r="479" ht="14.25" customHeight="1">
      <c r="A479" s="52"/>
      <c r="B479" s="52"/>
      <c r="C479" s="52"/>
      <c r="D479" s="52"/>
      <c r="E479" s="655"/>
      <c r="F479" s="53"/>
      <c r="G479" s="53"/>
      <c r="H479" s="1"/>
      <c r="I479" s="1"/>
    </row>
    <row r="480" ht="14.25" customHeight="1">
      <c r="A480" s="52"/>
      <c r="B480" s="52"/>
      <c r="C480" s="52"/>
      <c r="D480" s="52"/>
      <c r="E480" s="655"/>
      <c r="F480" s="53"/>
      <c r="G480" s="53"/>
      <c r="H480" s="1"/>
      <c r="I480" s="1"/>
    </row>
    <row r="481" ht="14.25" customHeight="1">
      <c r="A481" s="52"/>
      <c r="B481" s="52"/>
      <c r="C481" s="52"/>
      <c r="D481" s="52"/>
      <c r="E481" s="655"/>
      <c r="F481" s="53"/>
      <c r="G481" s="53"/>
      <c r="H481" s="1"/>
      <c r="I481" s="1"/>
    </row>
    <row r="482" ht="14.25" customHeight="1">
      <c r="A482" s="52"/>
      <c r="B482" s="52"/>
      <c r="C482" s="52"/>
      <c r="D482" s="52"/>
      <c r="E482" s="655"/>
      <c r="F482" s="53"/>
      <c r="G482" s="53"/>
      <c r="H482" s="1"/>
      <c r="I482" s="1"/>
    </row>
    <row r="483" ht="14.25" customHeight="1">
      <c r="A483" s="52"/>
      <c r="B483" s="52"/>
      <c r="C483" s="52"/>
      <c r="D483" s="52"/>
      <c r="E483" s="655"/>
      <c r="F483" s="53"/>
      <c r="G483" s="53"/>
      <c r="H483" s="1"/>
      <c r="I483" s="1"/>
    </row>
    <row r="484" ht="14.25" customHeight="1">
      <c r="A484" s="52"/>
      <c r="B484" s="52"/>
      <c r="C484" s="52"/>
      <c r="D484" s="52"/>
      <c r="E484" s="655"/>
      <c r="F484" s="53"/>
      <c r="G484" s="53"/>
      <c r="H484" s="1"/>
      <c r="I484" s="1"/>
    </row>
    <row r="485" ht="14.25" customHeight="1">
      <c r="A485" s="52"/>
      <c r="B485" s="52"/>
      <c r="C485" s="52"/>
      <c r="D485" s="52"/>
      <c r="E485" s="655"/>
      <c r="F485" s="53"/>
      <c r="G485" s="53"/>
      <c r="H485" s="1"/>
      <c r="I485" s="1"/>
    </row>
    <row r="486" ht="14.25" customHeight="1">
      <c r="A486" s="52"/>
      <c r="B486" s="52"/>
      <c r="C486" s="52"/>
      <c r="D486" s="52"/>
      <c r="E486" s="655"/>
      <c r="F486" s="53"/>
      <c r="G486" s="53"/>
      <c r="H486" s="1"/>
      <c r="I486" s="1"/>
    </row>
    <row r="487" ht="14.25" customHeight="1">
      <c r="A487" s="52"/>
      <c r="B487" s="52"/>
      <c r="C487" s="52"/>
      <c r="D487" s="52"/>
      <c r="E487" s="655"/>
      <c r="F487" s="53"/>
      <c r="G487" s="53"/>
      <c r="H487" s="1"/>
      <c r="I487" s="1"/>
    </row>
    <row r="488" ht="14.25" customHeight="1">
      <c r="A488" s="52"/>
      <c r="B488" s="52"/>
      <c r="C488" s="52"/>
      <c r="D488" s="52"/>
      <c r="E488" s="655"/>
      <c r="F488" s="53"/>
      <c r="G488" s="53"/>
      <c r="H488" s="1"/>
      <c r="I488" s="1"/>
    </row>
    <row r="489" ht="14.25" customHeight="1">
      <c r="A489" s="52"/>
      <c r="B489" s="52"/>
      <c r="C489" s="52"/>
      <c r="D489" s="52"/>
      <c r="E489" s="655"/>
      <c r="F489" s="53"/>
      <c r="G489" s="53"/>
      <c r="H489" s="1"/>
      <c r="I489" s="1"/>
    </row>
    <row r="490" ht="14.25" customHeight="1">
      <c r="A490" s="52"/>
      <c r="B490" s="52"/>
      <c r="C490" s="52"/>
      <c r="D490" s="52"/>
      <c r="E490" s="655"/>
      <c r="F490" s="53"/>
      <c r="G490" s="53"/>
      <c r="H490" s="1"/>
      <c r="I490" s="1"/>
    </row>
    <row r="491" ht="14.25" customHeight="1">
      <c r="A491" s="52"/>
      <c r="B491" s="52"/>
      <c r="C491" s="52"/>
      <c r="D491" s="52"/>
      <c r="E491" s="655"/>
      <c r="F491" s="53"/>
      <c r="G491" s="53"/>
      <c r="H491" s="1"/>
      <c r="I491" s="1"/>
    </row>
    <row r="492" ht="14.25" customHeight="1">
      <c r="A492" s="52"/>
      <c r="B492" s="52"/>
      <c r="C492" s="52"/>
      <c r="D492" s="52"/>
      <c r="E492" s="655"/>
      <c r="F492" s="53"/>
      <c r="G492" s="53"/>
      <c r="H492" s="1"/>
      <c r="I492" s="1"/>
    </row>
    <row r="493" ht="14.25" customHeight="1">
      <c r="A493" s="52"/>
      <c r="B493" s="52"/>
      <c r="C493" s="52"/>
      <c r="D493" s="52"/>
      <c r="E493" s="655"/>
      <c r="F493" s="53"/>
      <c r="G493" s="53"/>
      <c r="H493" s="1"/>
      <c r="I493" s="1"/>
    </row>
    <row r="494" ht="14.25" customHeight="1">
      <c r="A494" s="52"/>
      <c r="B494" s="52"/>
      <c r="C494" s="52"/>
      <c r="D494" s="52"/>
      <c r="E494" s="655"/>
      <c r="F494" s="53"/>
      <c r="G494" s="53"/>
      <c r="H494" s="1"/>
      <c r="I494" s="1"/>
    </row>
    <row r="495" ht="14.25" customHeight="1">
      <c r="A495" s="52"/>
      <c r="B495" s="52"/>
      <c r="C495" s="52"/>
      <c r="D495" s="52"/>
      <c r="E495" s="655"/>
      <c r="F495" s="53"/>
      <c r="G495" s="53"/>
      <c r="H495" s="1"/>
      <c r="I495" s="1"/>
    </row>
    <row r="496" ht="14.25" customHeight="1">
      <c r="A496" s="52"/>
      <c r="B496" s="52"/>
      <c r="C496" s="52"/>
      <c r="D496" s="52"/>
      <c r="E496" s="655"/>
      <c r="F496" s="53"/>
      <c r="G496" s="53"/>
      <c r="H496" s="1"/>
      <c r="I496" s="1"/>
    </row>
    <row r="497" ht="14.25" customHeight="1">
      <c r="A497" s="52"/>
      <c r="B497" s="52"/>
      <c r="C497" s="52"/>
      <c r="D497" s="52"/>
      <c r="E497" s="655"/>
      <c r="F497" s="53"/>
      <c r="G497" s="53"/>
      <c r="H497" s="1"/>
      <c r="I497" s="1"/>
    </row>
    <row r="498" ht="14.25" customHeight="1">
      <c r="A498" s="52"/>
      <c r="B498" s="52"/>
      <c r="C498" s="52"/>
      <c r="D498" s="52"/>
      <c r="E498" s="655"/>
      <c r="F498" s="53"/>
      <c r="G498" s="53"/>
      <c r="H498" s="1"/>
      <c r="I498" s="1"/>
    </row>
    <row r="499" ht="14.25" customHeight="1">
      <c r="A499" s="52"/>
      <c r="B499" s="52"/>
      <c r="C499" s="52"/>
      <c r="D499" s="52"/>
      <c r="E499" s="655"/>
      <c r="F499" s="53"/>
      <c r="G499" s="53"/>
      <c r="H499" s="1"/>
      <c r="I499" s="1"/>
    </row>
    <row r="500" ht="14.25" customHeight="1">
      <c r="A500" s="52"/>
      <c r="B500" s="52"/>
      <c r="C500" s="52"/>
      <c r="D500" s="52"/>
      <c r="E500" s="655"/>
      <c r="F500" s="53"/>
      <c r="G500" s="53"/>
      <c r="H500" s="1"/>
      <c r="I500" s="1"/>
    </row>
    <row r="501" ht="14.25" customHeight="1">
      <c r="A501" s="52"/>
      <c r="B501" s="52"/>
      <c r="C501" s="52"/>
      <c r="D501" s="52"/>
      <c r="E501" s="655"/>
      <c r="F501" s="53"/>
      <c r="G501" s="53"/>
      <c r="H501" s="1"/>
      <c r="I501" s="1"/>
    </row>
    <row r="502" ht="14.25" customHeight="1">
      <c r="A502" s="52"/>
      <c r="B502" s="52"/>
      <c r="C502" s="52"/>
      <c r="D502" s="52"/>
      <c r="E502" s="655"/>
      <c r="F502" s="53"/>
      <c r="G502" s="53"/>
      <c r="H502" s="1"/>
      <c r="I502" s="1"/>
    </row>
    <row r="503" ht="14.25" customHeight="1">
      <c r="A503" s="52"/>
      <c r="B503" s="52"/>
      <c r="C503" s="52"/>
      <c r="D503" s="52"/>
      <c r="E503" s="655"/>
      <c r="F503" s="53"/>
      <c r="G503" s="53"/>
      <c r="H503" s="1"/>
      <c r="I503" s="1"/>
    </row>
    <row r="504" ht="14.25" customHeight="1">
      <c r="A504" s="52"/>
      <c r="B504" s="52"/>
      <c r="C504" s="52"/>
      <c r="D504" s="52"/>
      <c r="E504" s="655"/>
      <c r="F504" s="53"/>
      <c r="G504" s="53"/>
      <c r="H504" s="1"/>
      <c r="I504" s="1"/>
    </row>
    <row r="505" ht="14.25" customHeight="1">
      <c r="A505" s="52"/>
      <c r="B505" s="52"/>
      <c r="C505" s="52"/>
      <c r="D505" s="52"/>
      <c r="E505" s="655"/>
      <c r="F505" s="53"/>
      <c r="G505" s="53"/>
      <c r="H505" s="1"/>
      <c r="I505" s="1"/>
    </row>
    <row r="506" ht="14.25" customHeight="1">
      <c r="A506" s="52"/>
      <c r="B506" s="52"/>
      <c r="C506" s="52"/>
      <c r="D506" s="52"/>
      <c r="E506" s="655"/>
      <c r="F506" s="53"/>
      <c r="G506" s="53"/>
      <c r="H506" s="1"/>
      <c r="I506" s="1"/>
    </row>
    <row r="507" ht="14.25" customHeight="1">
      <c r="A507" s="52"/>
      <c r="B507" s="52"/>
      <c r="C507" s="52"/>
      <c r="D507" s="52"/>
      <c r="E507" s="655"/>
      <c r="F507" s="53"/>
      <c r="G507" s="53"/>
      <c r="H507" s="1"/>
      <c r="I507" s="1"/>
    </row>
    <row r="508" ht="14.25" customHeight="1">
      <c r="A508" s="52"/>
      <c r="B508" s="52"/>
      <c r="C508" s="52"/>
      <c r="D508" s="52"/>
      <c r="E508" s="655"/>
      <c r="F508" s="53"/>
      <c r="G508" s="53"/>
      <c r="H508" s="1"/>
      <c r="I508" s="1"/>
    </row>
    <row r="509" ht="14.25" customHeight="1">
      <c r="A509" s="52"/>
      <c r="B509" s="52"/>
      <c r="C509" s="52"/>
      <c r="D509" s="52"/>
      <c r="E509" s="655"/>
      <c r="F509" s="53"/>
      <c r="G509" s="53"/>
      <c r="H509" s="1"/>
      <c r="I509" s="1"/>
    </row>
    <row r="510" ht="14.25" customHeight="1">
      <c r="A510" s="52"/>
      <c r="B510" s="52"/>
      <c r="C510" s="52"/>
      <c r="D510" s="52"/>
      <c r="E510" s="655"/>
      <c r="F510" s="53"/>
      <c r="G510" s="53"/>
      <c r="H510" s="1"/>
      <c r="I510" s="1"/>
    </row>
    <row r="511" ht="14.25" customHeight="1">
      <c r="A511" s="52"/>
      <c r="B511" s="52"/>
      <c r="C511" s="52"/>
      <c r="D511" s="52"/>
      <c r="E511" s="655"/>
      <c r="F511" s="53"/>
      <c r="G511" s="53"/>
      <c r="H511" s="1"/>
      <c r="I511" s="1"/>
    </row>
    <row r="512" ht="14.25" customHeight="1">
      <c r="A512" s="52"/>
      <c r="B512" s="52"/>
      <c r="C512" s="52"/>
      <c r="D512" s="52"/>
      <c r="E512" s="655"/>
      <c r="F512" s="53"/>
      <c r="G512" s="53"/>
      <c r="H512" s="1"/>
      <c r="I512" s="1"/>
    </row>
    <row r="513" ht="14.25" customHeight="1">
      <c r="A513" s="52"/>
      <c r="B513" s="52"/>
      <c r="C513" s="52"/>
      <c r="D513" s="52"/>
      <c r="E513" s="655"/>
      <c r="F513" s="53"/>
      <c r="G513" s="53"/>
      <c r="H513" s="1"/>
      <c r="I513" s="1"/>
    </row>
    <row r="514" ht="14.25" customHeight="1">
      <c r="A514" s="52"/>
      <c r="B514" s="52"/>
      <c r="C514" s="52"/>
      <c r="D514" s="52"/>
      <c r="E514" s="655"/>
      <c r="F514" s="53"/>
      <c r="G514" s="53"/>
      <c r="H514" s="1"/>
      <c r="I514" s="1"/>
    </row>
    <row r="515" ht="14.25" customHeight="1">
      <c r="A515" s="52"/>
      <c r="B515" s="52"/>
      <c r="C515" s="52"/>
      <c r="D515" s="52"/>
      <c r="E515" s="655"/>
      <c r="F515" s="53"/>
      <c r="G515" s="53"/>
      <c r="H515" s="1"/>
      <c r="I515" s="1"/>
    </row>
    <row r="516" ht="14.25" customHeight="1">
      <c r="A516" s="52"/>
      <c r="B516" s="52"/>
      <c r="C516" s="52"/>
      <c r="D516" s="52"/>
      <c r="E516" s="655"/>
      <c r="F516" s="53"/>
      <c r="G516" s="53"/>
      <c r="H516" s="1"/>
      <c r="I516" s="1"/>
    </row>
    <row r="517" ht="14.25" customHeight="1">
      <c r="A517" s="52"/>
      <c r="B517" s="52"/>
      <c r="C517" s="52"/>
      <c r="D517" s="52"/>
      <c r="E517" s="655"/>
      <c r="F517" s="53"/>
      <c r="G517" s="53"/>
      <c r="H517" s="1"/>
      <c r="I517" s="1"/>
    </row>
    <row r="518" ht="14.25" customHeight="1">
      <c r="A518" s="52"/>
      <c r="B518" s="52"/>
      <c r="C518" s="52"/>
      <c r="D518" s="52"/>
      <c r="E518" s="655"/>
      <c r="F518" s="53"/>
      <c r="G518" s="53"/>
      <c r="H518" s="1"/>
      <c r="I518" s="1"/>
    </row>
    <row r="519" ht="14.25" customHeight="1">
      <c r="A519" s="52"/>
      <c r="B519" s="52"/>
      <c r="C519" s="52"/>
      <c r="D519" s="52"/>
      <c r="E519" s="655"/>
      <c r="F519" s="53"/>
      <c r="G519" s="53"/>
      <c r="H519" s="1"/>
      <c r="I519" s="1"/>
    </row>
    <row r="520" ht="14.25" customHeight="1">
      <c r="A520" s="52"/>
      <c r="B520" s="52"/>
      <c r="C520" s="52"/>
      <c r="D520" s="52"/>
      <c r="E520" s="655"/>
      <c r="F520" s="53"/>
      <c r="G520" s="53"/>
      <c r="H520" s="1"/>
      <c r="I520" s="1"/>
    </row>
    <row r="521" ht="14.25" customHeight="1">
      <c r="A521" s="52"/>
      <c r="B521" s="52"/>
      <c r="C521" s="52"/>
      <c r="D521" s="52"/>
      <c r="E521" s="655"/>
      <c r="F521" s="53"/>
      <c r="G521" s="53"/>
      <c r="H521" s="1"/>
      <c r="I521" s="1"/>
    </row>
    <row r="522" ht="14.25" customHeight="1">
      <c r="A522" s="52"/>
      <c r="B522" s="52"/>
      <c r="C522" s="52"/>
      <c r="D522" s="52"/>
      <c r="E522" s="655"/>
      <c r="F522" s="53"/>
      <c r="G522" s="53"/>
      <c r="H522" s="1"/>
      <c r="I522" s="1"/>
    </row>
    <row r="523" ht="14.25" customHeight="1">
      <c r="A523" s="52"/>
      <c r="B523" s="52"/>
      <c r="C523" s="52"/>
      <c r="D523" s="52"/>
      <c r="E523" s="655"/>
      <c r="F523" s="53"/>
      <c r="G523" s="53"/>
      <c r="H523" s="1"/>
      <c r="I523" s="1"/>
    </row>
    <row r="524" ht="14.25" customHeight="1">
      <c r="A524" s="52"/>
      <c r="B524" s="52"/>
      <c r="C524" s="52"/>
      <c r="D524" s="52"/>
      <c r="E524" s="655"/>
      <c r="F524" s="53"/>
      <c r="G524" s="53"/>
      <c r="H524" s="1"/>
      <c r="I524" s="1"/>
    </row>
    <row r="525" ht="14.25" customHeight="1">
      <c r="A525" s="52"/>
      <c r="B525" s="52"/>
      <c r="C525" s="52"/>
      <c r="D525" s="52"/>
      <c r="E525" s="655"/>
      <c r="F525" s="53"/>
      <c r="G525" s="53"/>
      <c r="H525" s="1"/>
      <c r="I525" s="1"/>
    </row>
    <row r="526" ht="14.25" customHeight="1">
      <c r="A526" s="52"/>
      <c r="B526" s="52"/>
      <c r="C526" s="52"/>
      <c r="D526" s="52"/>
      <c r="E526" s="655"/>
      <c r="F526" s="53"/>
      <c r="G526" s="53"/>
      <c r="H526" s="1"/>
      <c r="I526" s="1"/>
    </row>
    <row r="527" ht="14.25" customHeight="1">
      <c r="A527" s="52"/>
      <c r="B527" s="52"/>
      <c r="C527" s="52"/>
      <c r="D527" s="52"/>
      <c r="E527" s="655"/>
      <c r="F527" s="53"/>
      <c r="G527" s="53"/>
      <c r="H527" s="1"/>
      <c r="I527" s="1"/>
    </row>
    <row r="528" ht="14.25" customHeight="1">
      <c r="A528" s="52"/>
      <c r="B528" s="52"/>
      <c r="C528" s="52"/>
      <c r="D528" s="52"/>
      <c r="E528" s="655"/>
      <c r="F528" s="53"/>
      <c r="G528" s="53"/>
      <c r="H528" s="1"/>
      <c r="I528" s="1"/>
    </row>
    <row r="529" ht="14.25" customHeight="1">
      <c r="A529" s="52"/>
      <c r="B529" s="52"/>
      <c r="C529" s="52"/>
      <c r="D529" s="52"/>
      <c r="E529" s="655"/>
      <c r="F529" s="53"/>
      <c r="G529" s="53"/>
      <c r="H529" s="1"/>
      <c r="I529" s="1"/>
    </row>
    <row r="530" ht="14.25" customHeight="1">
      <c r="A530" s="52"/>
      <c r="B530" s="52"/>
      <c r="C530" s="52"/>
      <c r="D530" s="52"/>
      <c r="E530" s="655"/>
      <c r="F530" s="53"/>
      <c r="G530" s="53"/>
      <c r="H530" s="1"/>
      <c r="I530" s="1"/>
    </row>
    <row r="531" ht="14.25" customHeight="1">
      <c r="A531" s="52"/>
      <c r="B531" s="52"/>
      <c r="C531" s="52"/>
      <c r="D531" s="52"/>
      <c r="E531" s="655"/>
      <c r="F531" s="53"/>
      <c r="G531" s="53"/>
      <c r="H531" s="1"/>
      <c r="I531" s="1"/>
    </row>
    <row r="532" ht="14.25" customHeight="1">
      <c r="A532" s="52"/>
      <c r="B532" s="52"/>
      <c r="C532" s="52"/>
      <c r="D532" s="52"/>
      <c r="E532" s="655"/>
      <c r="F532" s="53"/>
      <c r="G532" s="53"/>
      <c r="H532" s="1"/>
      <c r="I532" s="1"/>
    </row>
    <row r="533" ht="14.25" customHeight="1">
      <c r="A533" s="52"/>
      <c r="B533" s="52"/>
      <c r="C533" s="52"/>
      <c r="D533" s="52"/>
      <c r="E533" s="655"/>
      <c r="F533" s="53"/>
      <c r="G533" s="53"/>
      <c r="H533" s="1"/>
      <c r="I533" s="1"/>
    </row>
    <row r="534" ht="14.25" customHeight="1">
      <c r="A534" s="52"/>
      <c r="B534" s="52"/>
      <c r="C534" s="52"/>
      <c r="D534" s="52"/>
      <c r="E534" s="655"/>
      <c r="F534" s="53"/>
      <c r="G534" s="53"/>
      <c r="H534" s="1"/>
      <c r="I534" s="1"/>
    </row>
    <row r="535" ht="14.25" customHeight="1">
      <c r="A535" s="52"/>
      <c r="B535" s="52"/>
      <c r="C535" s="52"/>
      <c r="D535" s="52"/>
      <c r="E535" s="655"/>
      <c r="F535" s="53"/>
      <c r="G535" s="53"/>
      <c r="H535" s="1"/>
      <c r="I535" s="1"/>
    </row>
    <row r="536" ht="14.25" customHeight="1">
      <c r="A536" s="52"/>
      <c r="B536" s="52"/>
      <c r="C536" s="52"/>
      <c r="D536" s="52"/>
      <c r="E536" s="655"/>
      <c r="F536" s="53"/>
      <c r="G536" s="53"/>
      <c r="H536" s="1"/>
      <c r="I536" s="1"/>
    </row>
    <row r="537" ht="14.25" customHeight="1">
      <c r="A537" s="52"/>
      <c r="B537" s="52"/>
      <c r="C537" s="52"/>
      <c r="D537" s="52"/>
      <c r="E537" s="655"/>
      <c r="F537" s="53"/>
      <c r="G537" s="53"/>
      <c r="H537" s="1"/>
      <c r="I537" s="1"/>
    </row>
    <row r="538" ht="14.25" customHeight="1">
      <c r="A538" s="52"/>
      <c r="B538" s="52"/>
      <c r="C538" s="52"/>
      <c r="D538" s="52"/>
      <c r="E538" s="655"/>
      <c r="F538" s="53"/>
      <c r="G538" s="53"/>
      <c r="H538" s="1"/>
      <c r="I538" s="1"/>
    </row>
    <row r="539" ht="14.25" customHeight="1">
      <c r="A539" s="52"/>
      <c r="B539" s="52"/>
      <c r="C539" s="52"/>
      <c r="D539" s="52"/>
      <c r="E539" s="655"/>
      <c r="F539" s="53"/>
      <c r="G539" s="53"/>
      <c r="H539" s="1"/>
      <c r="I539" s="1"/>
    </row>
    <row r="540" ht="14.25" customHeight="1">
      <c r="A540" s="52"/>
      <c r="B540" s="52"/>
      <c r="C540" s="52"/>
      <c r="D540" s="52"/>
      <c r="E540" s="655"/>
      <c r="F540" s="53"/>
      <c r="G540" s="53"/>
      <c r="H540" s="1"/>
      <c r="I540" s="1"/>
    </row>
    <row r="541" ht="14.25" customHeight="1">
      <c r="A541" s="52"/>
      <c r="B541" s="52"/>
      <c r="C541" s="52"/>
      <c r="D541" s="52"/>
      <c r="E541" s="655"/>
      <c r="F541" s="53"/>
      <c r="G541" s="53"/>
      <c r="H541" s="1"/>
      <c r="I541" s="1"/>
    </row>
    <row r="542" ht="14.25" customHeight="1">
      <c r="A542" s="52"/>
      <c r="B542" s="52"/>
      <c r="C542" s="52"/>
      <c r="D542" s="52"/>
      <c r="E542" s="655"/>
      <c r="F542" s="53"/>
      <c r="G542" s="53"/>
      <c r="H542" s="1"/>
      <c r="I542" s="1"/>
    </row>
    <row r="543" ht="14.25" customHeight="1">
      <c r="A543" s="52"/>
      <c r="B543" s="52"/>
      <c r="C543" s="52"/>
      <c r="D543" s="52"/>
      <c r="E543" s="655"/>
      <c r="F543" s="53"/>
      <c r="G543" s="53"/>
      <c r="H543" s="1"/>
      <c r="I543" s="1"/>
    </row>
    <row r="544" ht="14.25" customHeight="1">
      <c r="A544" s="52"/>
      <c r="B544" s="52"/>
      <c r="C544" s="52"/>
      <c r="D544" s="52"/>
      <c r="E544" s="655"/>
      <c r="F544" s="53"/>
      <c r="G544" s="53"/>
      <c r="H544" s="1"/>
      <c r="I544" s="1"/>
    </row>
    <row r="545" ht="14.25" customHeight="1">
      <c r="A545" s="52"/>
      <c r="B545" s="52"/>
      <c r="C545" s="52"/>
      <c r="D545" s="52"/>
      <c r="E545" s="655"/>
      <c r="F545" s="53"/>
      <c r="G545" s="53"/>
      <c r="H545" s="1"/>
      <c r="I545" s="1"/>
    </row>
    <row r="546" ht="14.25" customHeight="1">
      <c r="A546" s="52"/>
      <c r="B546" s="52"/>
      <c r="C546" s="52"/>
      <c r="D546" s="52"/>
      <c r="E546" s="655"/>
      <c r="F546" s="53"/>
      <c r="G546" s="53"/>
      <c r="H546" s="1"/>
      <c r="I546" s="1"/>
    </row>
    <row r="547" ht="14.25" customHeight="1">
      <c r="A547" s="52"/>
      <c r="B547" s="52"/>
      <c r="C547" s="52"/>
      <c r="D547" s="52"/>
      <c r="E547" s="655"/>
      <c r="F547" s="53"/>
      <c r="G547" s="53"/>
      <c r="H547" s="1"/>
      <c r="I547" s="1"/>
    </row>
    <row r="548" ht="14.25" customHeight="1">
      <c r="A548" s="52"/>
      <c r="B548" s="52"/>
      <c r="C548" s="52"/>
      <c r="D548" s="52"/>
      <c r="E548" s="655"/>
      <c r="F548" s="53"/>
      <c r="G548" s="53"/>
      <c r="H548" s="1"/>
      <c r="I548" s="1"/>
    </row>
    <row r="549" ht="14.25" customHeight="1">
      <c r="A549" s="52"/>
      <c r="B549" s="52"/>
      <c r="C549" s="52"/>
      <c r="D549" s="52"/>
      <c r="E549" s="655"/>
      <c r="F549" s="53"/>
      <c r="G549" s="53"/>
      <c r="H549" s="1"/>
      <c r="I549" s="1"/>
    </row>
    <row r="550" ht="14.25" customHeight="1">
      <c r="A550" s="52"/>
      <c r="B550" s="52"/>
      <c r="C550" s="52"/>
      <c r="D550" s="52"/>
      <c r="E550" s="655"/>
      <c r="F550" s="53"/>
      <c r="G550" s="53"/>
      <c r="H550" s="1"/>
      <c r="I550" s="1"/>
    </row>
    <row r="551" ht="14.25" customHeight="1">
      <c r="A551" s="52"/>
      <c r="B551" s="52"/>
      <c r="C551" s="52"/>
      <c r="D551" s="52"/>
      <c r="E551" s="655"/>
      <c r="F551" s="53"/>
      <c r="G551" s="53"/>
      <c r="H551" s="1"/>
      <c r="I551" s="1"/>
    </row>
    <row r="552" ht="14.25" customHeight="1">
      <c r="A552" s="52"/>
      <c r="B552" s="52"/>
      <c r="C552" s="52"/>
      <c r="D552" s="52"/>
      <c r="E552" s="655"/>
      <c r="F552" s="53"/>
      <c r="G552" s="53"/>
      <c r="H552" s="1"/>
      <c r="I552" s="1"/>
    </row>
    <row r="553" ht="14.25" customHeight="1">
      <c r="A553" s="52"/>
      <c r="B553" s="52"/>
      <c r="C553" s="52"/>
      <c r="D553" s="52"/>
      <c r="E553" s="655"/>
      <c r="F553" s="53"/>
      <c r="G553" s="53"/>
      <c r="H553" s="1"/>
      <c r="I553" s="1"/>
    </row>
    <row r="554" ht="14.25" customHeight="1">
      <c r="A554" s="52"/>
      <c r="B554" s="52"/>
      <c r="C554" s="52"/>
      <c r="D554" s="52"/>
      <c r="E554" s="655"/>
      <c r="F554" s="53"/>
      <c r="G554" s="53"/>
      <c r="H554" s="1"/>
      <c r="I554" s="1"/>
    </row>
    <row r="555" ht="14.25" customHeight="1">
      <c r="A555" s="52"/>
      <c r="B555" s="52"/>
      <c r="C555" s="52"/>
      <c r="D555" s="52"/>
      <c r="E555" s="655"/>
      <c r="F555" s="53"/>
      <c r="G555" s="53"/>
      <c r="H555" s="1"/>
      <c r="I555" s="1"/>
    </row>
    <row r="556" ht="14.25" customHeight="1">
      <c r="A556" s="52"/>
      <c r="B556" s="52"/>
      <c r="C556" s="52"/>
      <c r="D556" s="52"/>
      <c r="E556" s="655"/>
      <c r="F556" s="53"/>
      <c r="G556" s="53"/>
      <c r="H556" s="1"/>
      <c r="I556" s="1"/>
    </row>
    <row r="557" ht="14.25" customHeight="1">
      <c r="A557" s="52"/>
      <c r="B557" s="52"/>
      <c r="C557" s="52"/>
      <c r="D557" s="52"/>
      <c r="E557" s="655"/>
      <c r="F557" s="53"/>
      <c r="G557" s="53"/>
      <c r="H557" s="1"/>
      <c r="I557" s="1"/>
    </row>
    <row r="558" ht="14.25" customHeight="1">
      <c r="A558" s="52"/>
      <c r="B558" s="52"/>
      <c r="C558" s="52"/>
      <c r="D558" s="52"/>
      <c r="E558" s="655"/>
      <c r="F558" s="53"/>
      <c r="G558" s="53"/>
      <c r="H558" s="1"/>
      <c r="I558" s="1"/>
    </row>
    <row r="559" ht="14.25" customHeight="1">
      <c r="A559" s="52"/>
      <c r="B559" s="52"/>
      <c r="C559" s="52"/>
      <c r="D559" s="52"/>
      <c r="E559" s="655"/>
      <c r="F559" s="53"/>
      <c r="G559" s="53"/>
      <c r="H559" s="1"/>
      <c r="I559" s="1"/>
    </row>
    <row r="560" ht="14.25" customHeight="1">
      <c r="A560" s="52"/>
      <c r="B560" s="52"/>
      <c r="C560" s="52"/>
      <c r="D560" s="52"/>
      <c r="E560" s="655"/>
      <c r="F560" s="53"/>
      <c r="G560" s="53"/>
      <c r="H560" s="1"/>
      <c r="I560" s="1"/>
    </row>
    <row r="561" ht="14.25" customHeight="1">
      <c r="A561" s="52"/>
      <c r="B561" s="52"/>
      <c r="C561" s="52"/>
      <c r="D561" s="52"/>
      <c r="E561" s="655"/>
      <c r="F561" s="53"/>
      <c r="G561" s="53"/>
      <c r="H561" s="1"/>
      <c r="I561" s="1"/>
    </row>
    <row r="562" ht="14.25" customHeight="1">
      <c r="A562" s="52"/>
      <c r="B562" s="52"/>
      <c r="C562" s="52"/>
      <c r="D562" s="52"/>
      <c r="E562" s="655"/>
      <c r="F562" s="53"/>
      <c r="G562" s="53"/>
      <c r="H562" s="1"/>
      <c r="I562" s="1"/>
    </row>
    <row r="563" ht="14.25" customHeight="1">
      <c r="A563" s="52"/>
      <c r="B563" s="52"/>
      <c r="C563" s="52"/>
      <c r="D563" s="52"/>
      <c r="E563" s="655"/>
      <c r="F563" s="53"/>
      <c r="G563" s="53"/>
      <c r="H563" s="1"/>
      <c r="I563" s="1"/>
    </row>
    <row r="564" ht="14.25" customHeight="1">
      <c r="A564" s="52"/>
      <c r="B564" s="52"/>
      <c r="C564" s="52"/>
      <c r="D564" s="52"/>
      <c r="E564" s="655"/>
      <c r="F564" s="53"/>
      <c r="G564" s="53"/>
      <c r="H564" s="1"/>
      <c r="I564" s="1"/>
    </row>
    <row r="565" ht="14.25" customHeight="1">
      <c r="A565" s="52"/>
      <c r="B565" s="52"/>
      <c r="C565" s="52"/>
      <c r="D565" s="52"/>
      <c r="E565" s="655"/>
      <c r="F565" s="53"/>
      <c r="G565" s="53"/>
      <c r="H565" s="1"/>
      <c r="I565" s="1"/>
    </row>
    <row r="566" ht="14.25" customHeight="1">
      <c r="A566" s="52"/>
      <c r="B566" s="52"/>
      <c r="C566" s="52"/>
      <c r="D566" s="52"/>
      <c r="E566" s="655"/>
      <c r="F566" s="53"/>
      <c r="G566" s="53"/>
      <c r="H566" s="1"/>
      <c r="I566" s="1"/>
    </row>
    <row r="567" ht="14.25" customHeight="1">
      <c r="A567" s="52"/>
      <c r="B567" s="52"/>
      <c r="C567" s="52"/>
      <c r="D567" s="52"/>
      <c r="E567" s="655"/>
      <c r="F567" s="53"/>
      <c r="G567" s="53"/>
      <c r="H567" s="1"/>
      <c r="I567" s="1"/>
    </row>
    <row r="568" ht="14.25" customHeight="1">
      <c r="A568" s="52"/>
      <c r="B568" s="52"/>
      <c r="C568" s="52"/>
      <c r="D568" s="52"/>
      <c r="E568" s="655"/>
      <c r="F568" s="53"/>
      <c r="G568" s="53"/>
      <c r="H568" s="1"/>
      <c r="I568" s="1"/>
    </row>
    <row r="569" ht="14.25" customHeight="1">
      <c r="A569" s="52"/>
      <c r="B569" s="52"/>
      <c r="C569" s="52"/>
      <c r="D569" s="52"/>
      <c r="E569" s="655"/>
      <c r="F569" s="53"/>
      <c r="G569" s="53"/>
      <c r="H569" s="1"/>
      <c r="I569" s="1"/>
    </row>
    <row r="570" ht="14.25" customHeight="1">
      <c r="A570" s="52"/>
      <c r="B570" s="52"/>
      <c r="C570" s="52"/>
      <c r="D570" s="52"/>
      <c r="E570" s="655"/>
      <c r="F570" s="53"/>
      <c r="G570" s="53"/>
      <c r="H570" s="1"/>
      <c r="I570" s="1"/>
    </row>
    <row r="571" ht="14.25" customHeight="1">
      <c r="A571" s="52"/>
      <c r="B571" s="52"/>
      <c r="C571" s="52"/>
      <c r="D571" s="52"/>
      <c r="E571" s="655"/>
      <c r="F571" s="53"/>
      <c r="G571" s="53"/>
      <c r="H571" s="1"/>
      <c r="I571" s="1"/>
    </row>
    <row r="572" ht="14.25" customHeight="1">
      <c r="A572" s="52"/>
      <c r="B572" s="52"/>
      <c r="C572" s="52"/>
      <c r="D572" s="52"/>
      <c r="E572" s="655"/>
      <c r="F572" s="53"/>
      <c r="G572" s="53"/>
      <c r="H572" s="1"/>
      <c r="I572" s="1"/>
    </row>
    <row r="573" ht="14.25" customHeight="1">
      <c r="A573" s="52"/>
      <c r="B573" s="52"/>
      <c r="C573" s="52"/>
      <c r="D573" s="52"/>
      <c r="E573" s="655"/>
      <c r="F573" s="53"/>
      <c r="G573" s="53"/>
      <c r="H573" s="1"/>
      <c r="I573" s="1"/>
    </row>
    <row r="574" ht="14.25" customHeight="1">
      <c r="A574" s="52"/>
      <c r="B574" s="52"/>
      <c r="C574" s="52"/>
      <c r="D574" s="52"/>
      <c r="E574" s="655"/>
      <c r="F574" s="53"/>
      <c r="G574" s="53"/>
      <c r="H574" s="1"/>
      <c r="I574" s="1"/>
    </row>
    <row r="575" ht="14.25" customHeight="1">
      <c r="A575" s="52"/>
      <c r="B575" s="52"/>
      <c r="C575" s="52"/>
      <c r="D575" s="52"/>
      <c r="E575" s="655"/>
      <c r="F575" s="53"/>
      <c r="G575" s="53"/>
      <c r="H575" s="1"/>
      <c r="I575" s="1"/>
    </row>
    <row r="576" ht="14.25" customHeight="1">
      <c r="A576" s="52"/>
      <c r="B576" s="52"/>
      <c r="C576" s="52"/>
      <c r="D576" s="52"/>
      <c r="E576" s="655"/>
      <c r="F576" s="53"/>
      <c r="G576" s="53"/>
      <c r="H576" s="1"/>
      <c r="I576" s="1"/>
    </row>
    <row r="577" ht="14.25" customHeight="1">
      <c r="A577" s="52"/>
      <c r="B577" s="52"/>
      <c r="C577" s="52"/>
      <c r="D577" s="52"/>
      <c r="E577" s="655"/>
      <c r="F577" s="53"/>
      <c r="G577" s="53"/>
      <c r="H577" s="1"/>
      <c r="I577" s="1"/>
    </row>
    <row r="578" ht="14.25" customHeight="1">
      <c r="A578" s="52"/>
      <c r="B578" s="52"/>
      <c r="C578" s="52"/>
      <c r="D578" s="52"/>
      <c r="E578" s="655"/>
      <c r="F578" s="53"/>
      <c r="G578" s="53"/>
      <c r="H578" s="1"/>
      <c r="I578" s="1"/>
    </row>
    <row r="579" ht="14.25" customHeight="1">
      <c r="A579" s="52"/>
      <c r="B579" s="52"/>
      <c r="C579" s="52"/>
      <c r="D579" s="52"/>
      <c r="E579" s="655"/>
      <c r="F579" s="53"/>
      <c r="G579" s="53"/>
      <c r="H579" s="1"/>
      <c r="I579" s="1"/>
    </row>
    <row r="580" ht="14.25" customHeight="1">
      <c r="A580" s="52"/>
      <c r="B580" s="52"/>
      <c r="C580" s="52"/>
      <c r="D580" s="52"/>
      <c r="E580" s="655"/>
      <c r="F580" s="53"/>
      <c r="G580" s="53"/>
      <c r="H580" s="1"/>
      <c r="I580" s="1"/>
    </row>
    <row r="581" ht="14.25" customHeight="1">
      <c r="A581" s="52"/>
      <c r="B581" s="52"/>
      <c r="C581" s="52"/>
      <c r="D581" s="52"/>
      <c r="E581" s="655"/>
      <c r="F581" s="53"/>
      <c r="G581" s="53"/>
      <c r="H581" s="1"/>
      <c r="I581" s="1"/>
    </row>
    <row r="582" ht="14.25" customHeight="1">
      <c r="A582" s="52"/>
      <c r="B582" s="52"/>
      <c r="C582" s="52"/>
      <c r="D582" s="52"/>
      <c r="E582" s="655"/>
      <c r="F582" s="53"/>
      <c r="G582" s="53"/>
      <c r="H582" s="1"/>
      <c r="I582" s="1"/>
    </row>
    <row r="583" ht="14.25" customHeight="1">
      <c r="A583" s="52"/>
      <c r="B583" s="52"/>
      <c r="C583" s="52"/>
      <c r="D583" s="52"/>
      <c r="E583" s="655"/>
      <c r="F583" s="53"/>
      <c r="G583" s="53"/>
      <c r="H583" s="1"/>
      <c r="I583" s="1"/>
    </row>
    <row r="584" ht="14.25" customHeight="1">
      <c r="A584" s="52"/>
      <c r="B584" s="52"/>
      <c r="C584" s="52"/>
      <c r="D584" s="52"/>
      <c r="E584" s="655"/>
      <c r="F584" s="53"/>
      <c r="G584" s="53"/>
      <c r="H584" s="1"/>
      <c r="I584" s="1"/>
    </row>
    <row r="585" ht="14.25" customHeight="1">
      <c r="A585" s="52"/>
      <c r="B585" s="52"/>
      <c r="C585" s="52"/>
      <c r="D585" s="52"/>
      <c r="E585" s="655"/>
      <c r="F585" s="53"/>
      <c r="G585" s="53"/>
      <c r="H585" s="1"/>
      <c r="I585" s="1"/>
    </row>
    <row r="586" ht="14.25" customHeight="1">
      <c r="A586" s="52"/>
      <c r="B586" s="52"/>
      <c r="C586" s="52"/>
      <c r="D586" s="52"/>
      <c r="E586" s="655"/>
      <c r="F586" s="53"/>
      <c r="G586" s="53"/>
      <c r="H586" s="1"/>
      <c r="I586" s="1"/>
    </row>
    <row r="587" ht="14.25" customHeight="1">
      <c r="A587" s="52"/>
      <c r="B587" s="52"/>
      <c r="C587" s="52"/>
      <c r="D587" s="52"/>
      <c r="E587" s="655"/>
      <c r="F587" s="53"/>
      <c r="G587" s="53"/>
      <c r="H587" s="1"/>
      <c r="I587" s="1"/>
    </row>
    <row r="588" ht="14.25" customHeight="1">
      <c r="A588" s="52"/>
      <c r="B588" s="52"/>
      <c r="C588" s="52"/>
      <c r="D588" s="52"/>
      <c r="E588" s="655"/>
      <c r="F588" s="53"/>
      <c r="G588" s="53"/>
      <c r="H588" s="1"/>
      <c r="I588" s="1"/>
    </row>
    <row r="589" ht="14.25" customHeight="1">
      <c r="A589" s="52"/>
      <c r="B589" s="52"/>
      <c r="C589" s="52"/>
      <c r="D589" s="52"/>
      <c r="E589" s="655"/>
      <c r="F589" s="53"/>
      <c r="G589" s="53"/>
      <c r="H589" s="1"/>
      <c r="I589" s="1"/>
    </row>
    <row r="590" ht="14.25" customHeight="1">
      <c r="A590" s="52"/>
      <c r="B590" s="52"/>
      <c r="C590" s="52"/>
      <c r="D590" s="52"/>
      <c r="E590" s="655"/>
      <c r="F590" s="53"/>
      <c r="G590" s="53"/>
      <c r="H590" s="1"/>
      <c r="I590" s="1"/>
    </row>
    <row r="591" ht="14.25" customHeight="1">
      <c r="A591" s="52"/>
      <c r="B591" s="52"/>
      <c r="C591" s="52"/>
      <c r="D591" s="52"/>
      <c r="E591" s="655"/>
      <c r="F591" s="53"/>
      <c r="G591" s="53"/>
      <c r="H591" s="1"/>
      <c r="I591" s="1"/>
    </row>
    <row r="592" ht="14.25" customHeight="1">
      <c r="A592" s="52"/>
      <c r="B592" s="52"/>
      <c r="C592" s="52"/>
      <c r="D592" s="52"/>
      <c r="E592" s="655"/>
      <c r="F592" s="53"/>
      <c r="G592" s="53"/>
      <c r="H592" s="1"/>
      <c r="I592" s="1"/>
    </row>
    <row r="593" ht="14.25" customHeight="1">
      <c r="A593" s="52"/>
      <c r="B593" s="52"/>
      <c r="C593" s="52"/>
      <c r="D593" s="52"/>
      <c r="E593" s="655"/>
      <c r="F593" s="53"/>
      <c r="G593" s="53"/>
      <c r="H593" s="1"/>
      <c r="I593" s="1"/>
    </row>
    <row r="594" ht="14.25" customHeight="1">
      <c r="A594" s="52"/>
      <c r="B594" s="52"/>
      <c r="C594" s="52"/>
      <c r="D594" s="52"/>
      <c r="E594" s="655"/>
      <c r="F594" s="53"/>
      <c r="G594" s="53"/>
      <c r="H594" s="1"/>
      <c r="I594" s="1"/>
    </row>
    <row r="595" ht="14.25" customHeight="1">
      <c r="A595" s="52"/>
      <c r="B595" s="52"/>
      <c r="C595" s="52"/>
      <c r="D595" s="52"/>
      <c r="E595" s="655"/>
      <c r="F595" s="53"/>
      <c r="G595" s="53"/>
      <c r="H595" s="1"/>
      <c r="I595" s="1"/>
    </row>
    <row r="596" ht="14.25" customHeight="1">
      <c r="A596" s="52"/>
      <c r="B596" s="52"/>
      <c r="C596" s="52"/>
      <c r="D596" s="52"/>
      <c r="E596" s="655"/>
      <c r="F596" s="53"/>
      <c r="G596" s="53"/>
      <c r="H596" s="1"/>
      <c r="I596" s="1"/>
    </row>
    <row r="597" ht="14.25" customHeight="1">
      <c r="A597" s="52"/>
      <c r="B597" s="52"/>
      <c r="C597" s="52"/>
      <c r="D597" s="52"/>
      <c r="E597" s="655"/>
      <c r="F597" s="53"/>
      <c r="G597" s="53"/>
      <c r="H597" s="1"/>
      <c r="I597" s="1"/>
    </row>
    <row r="598" ht="14.25" customHeight="1">
      <c r="A598" s="52"/>
      <c r="B598" s="52"/>
      <c r="C598" s="52"/>
      <c r="D598" s="52"/>
      <c r="E598" s="655"/>
      <c r="F598" s="53"/>
      <c r="G598" s="53"/>
      <c r="H598" s="1"/>
      <c r="I598" s="1"/>
    </row>
    <row r="599" ht="14.25" customHeight="1">
      <c r="A599" s="52"/>
      <c r="B599" s="52"/>
      <c r="C599" s="52"/>
      <c r="D599" s="52"/>
      <c r="E599" s="655"/>
      <c r="F599" s="53"/>
      <c r="G599" s="53"/>
      <c r="H599" s="1"/>
      <c r="I599" s="1"/>
    </row>
    <row r="600" ht="14.25" customHeight="1">
      <c r="A600" s="52"/>
      <c r="B600" s="52"/>
      <c r="C600" s="52"/>
      <c r="D600" s="52"/>
      <c r="E600" s="655"/>
      <c r="F600" s="53"/>
      <c r="G600" s="53"/>
      <c r="H600" s="1"/>
      <c r="I600" s="1"/>
    </row>
    <row r="601" ht="14.25" customHeight="1">
      <c r="A601" s="52"/>
      <c r="B601" s="52"/>
      <c r="C601" s="52"/>
      <c r="D601" s="52"/>
      <c r="E601" s="655"/>
      <c r="F601" s="53"/>
      <c r="G601" s="53"/>
      <c r="H601" s="1"/>
      <c r="I601" s="1"/>
    </row>
    <row r="602" ht="14.25" customHeight="1">
      <c r="A602" s="52"/>
      <c r="B602" s="52"/>
      <c r="C602" s="52"/>
      <c r="D602" s="52"/>
      <c r="E602" s="655"/>
      <c r="F602" s="53"/>
      <c r="G602" s="53"/>
      <c r="H602" s="1"/>
      <c r="I602" s="1"/>
    </row>
    <row r="603" ht="14.25" customHeight="1">
      <c r="A603" s="52"/>
      <c r="B603" s="52"/>
      <c r="C603" s="52"/>
      <c r="D603" s="52"/>
      <c r="E603" s="655"/>
      <c r="F603" s="53"/>
      <c r="G603" s="53"/>
      <c r="H603" s="1"/>
      <c r="I603" s="1"/>
    </row>
    <row r="604" ht="14.25" customHeight="1">
      <c r="A604" s="52"/>
      <c r="B604" s="52"/>
      <c r="C604" s="52"/>
      <c r="D604" s="52"/>
      <c r="E604" s="655"/>
      <c r="F604" s="53"/>
      <c r="G604" s="53"/>
      <c r="H604" s="1"/>
      <c r="I604" s="1"/>
    </row>
    <row r="605" ht="14.25" customHeight="1">
      <c r="A605" s="52"/>
      <c r="B605" s="52"/>
      <c r="C605" s="52"/>
      <c r="D605" s="52"/>
      <c r="E605" s="655"/>
      <c r="F605" s="53"/>
      <c r="G605" s="53"/>
      <c r="H605" s="1"/>
      <c r="I605" s="1"/>
    </row>
    <row r="606" ht="14.25" customHeight="1">
      <c r="A606" s="52"/>
      <c r="B606" s="52"/>
      <c r="C606" s="52"/>
      <c r="D606" s="52"/>
      <c r="E606" s="655"/>
      <c r="F606" s="53"/>
      <c r="G606" s="53"/>
      <c r="H606" s="1"/>
      <c r="I606" s="1"/>
    </row>
    <row r="607" ht="14.25" customHeight="1">
      <c r="A607" s="52"/>
      <c r="B607" s="52"/>
      <c r="C607" s="52"/>
      <c r="D607" s="52"/>
      <c r="E607" s="655"/>
      <c r="F607" s="53"/>
      <c r="G607" s="53"/>
      <c r="H607" s="1"/>
      <c r="I607" s="1"/>
    </row>
    <row r="608" ht="14.25" customHeight="1">
      <c r="A608" s="52"/>
      <c r="B608" s="52"/>
      <c r="C608" s="52"/>
      <c r="D608" s="52"/>
      <c r="E608" s="655"/>
      <c r="F608" s="53"/>
      <c r="G608" s="53"/>
      <c r="H608" s="1"/>
      <c r="I608" s="1"/>
    </row>
    <row r="609" ht="14.25" customHeight="1">
      <c r="A609" s="52"/>
      <c r="B609" s="52"/>
      <c r="C609" s="52"/>
      <c r="D609" s="52"/>
      <c r="E609" s="655"/>
      <c r="F609" s="53"/>
      <c r="G609" s="53"/>
      <c r="H609" s="1"/>
      <c r="I609" s="1"/>
    </row>
    <row r="610" ht="14.25" customHeight="1">
      <c r="A610" s="52"/>
      <c r="B610" s="52"/>
      <c r="C610" s="52"/>
      <c r="D610" s="52"/>
      <c r="E610" s="655"/>
      <c r="F610" s="53"/>
      <c r="G610" s="53"/>
      <c r="H610" s="1"/>
      <c r="I610" s="1"/>
    </row>
    <row r="611" ht="14.25" customHeight="1">
      <c r="A611" s="52"/>
      <c r="B611" s="52"/>
      <c r="C611" s="52"/>
      <c r="D611" s="52"/>
      <c r="E611" s="655"/>
      <c r="F611" s="53"/>
      <c r="G611" s="53"/>
      <c r="H611" s="1"/>
      <c r="I611" s="1"/>
    </row>
    <row r="612" ht="14.25" customHeight="1">
      <c r="A612" s="52"/>
      <c r="B612" s="52"/>
      <c r="C612" s="52"/>
      <c r="D612" s="52"/>
      <c r="E612" s="655"/>
      <c r="F612" s="53"/>
      <c r="G612" s="53"/>
      <c r="H612" s="1"/>
      <c r="I612" s="1"/>
    </row>
    <row r="613" ht="14.25" customHeight="1">
      <c r="A613" s="52"/>
      <c r="B613" s="52"/>
      <c r="C613" s="52"/>
      <c r="D613" s="52"/>
      <c r="E613" s="655"/>
      <c r="F613" s="53"/>
      <c r="G613" s="53"/>
      <c r="H613" s="1"/>
      <c r="I613" s="1"/>
    </row>
    <row r="614" ht="14.25" customHeight="1">
      <c r="A614" s="52"/>
      <c r="B614" s="52"/>
      <c r="C614" s="52"/>
      <c r="D614" s="52"/>
      <c r="E614" s="655"/>
      <c r="F614" s="53"/>
      <c r="G614" s="53"/>
      <c r="H614" s="1"/>
      <c r="I614" s="1"/>
    </row>
    <row r="615" ht="14.25" customHeight="1">
      <c r="A615" s="52"/>
      <c r="B615" s="52"/>
      <c r="C615" s="52"/>
      <c r="D615" s="52"/>
      <c r="E615" s="655"/>
      <c r="F615" s="53"/>
      <c r="G615" s="53"/>
      <c r="H615" s="1"/>
      <c r="I615" s="1"/>
    </row>
    <row r="616" ht="14.25" customHeight="1">
      <c r="A616" s="52"/>
      <c r="B616" s="52"/>
      <c r="C616" s="52"/>
      <c r="D616" s="52"/>
      <c r="E616" s="655"/>
      <c r="F616" s="53"/>
      <c r="G616" s="53"/>
      <c r="H616" s="1"/>
      <c r="I616" s="1"/>
    </row>
    <row r="617" ht="14.25" customHeight="1">
      <c r="A617" s="52"/>
      <c r="B617" s="52"/>
      <c r="C617" s="52"/>
      <c r="D617" s="52"/>
      <c r="E617" s="655"/>
      <c r="F617" s="53"/>
      <c r="G617" s="53"/>
      <c r="H617" s="1"/>
      <c r="I617" s="1"/>
    </row>
    <row r="618" ht="14.25" customHeight="1">
      <c r="A618" s="52"/>
      <c r="B618" s="52"/>
      <c r="C618" s="52"/>
      <c r="D618" s="52"/>
      <c r="E618" s="655"/>
      <c r="F618" s="53"/>
      <c r="G618" s="53"/>
      <c r="H618" s="1"/>
      <c r="I618" s="1"/>
    </row>
    <row r="619" ht="14.25" customHeight="1">
      <c r="A619" s="52"/>
      <c r="B619" s="52"/>
      <c r="C619" s="52"/>
      <c r="D619" s="52"/>
      <c r="E619" s="655"/>
      <c r="F619" s="53"/>
      <c r="G619" s="53"/>
      <c r="H619" s="1"/>
      <c r="I619" s="1"/>
    </row>
    <row r="620" ht="14.25" customHeight="1">
      <c r="A620" s="52"/>
      <c r="B620" s="52"/>
      <c r="C620" s="52"/>
      <c r="D620" s="52"/>
      <c r="E620" s="655"/>
      <c r="F620" s="53"/>
      <c r="G620" s="53"/>
      <c r="H620" s="1"/>
      <c r="I620" s="1"/>
    </row>
    <row r="621" ht="14.25" customHeight="1">
      <c r="A621" s="52"/>
      <c r="B621" s="52"/>
      <c r="C621" s="52"/>
      <c r="D621" s="52"/>
      <c r="E621" s="655"/>
      <c r="F621" s="53"/>
      <c r="G621" s="53"/>
      <c r="H621" s="1"/>
      <c r="I621" s="1"/>
    </row>
    <row r="622" ht="14.25" customHeight="1">
      <c r="A622" s="52"/>
      <c r="B622" s="52"/>
      <c r="C622" s="52"/>
      <c r="D622" s="52"/>
      <c r="E622" s="655"/>
      <c r="F622" s="53"/>
      <c r="G622" s="53"/>
      <c r="H622" s="1"/>
      <c r="I622" s="1"/>
    </row>
    <row r="623" ht="14.25" customHeight="1">
      <c r="A623" s="52"/>
      <c r="B623" s="52"/>
      <c r="C623" s="52"/>
      <c r="D623" s="52"/>
      <c r="E623" s="655"/>
      <c r="F623" s="53"/>
      <c r="G623" s="53"/>
      <c r="H623" s="1"/>
      <c r="I623" s="1"/>
    </row>
    <row r="624" ht="14.25" customHeight="1">
      <c r="A624" s="52"/>
      <c r="B624" s="52"/>
      <c r="C624" s="52"/>
      <c r="D624" s="52"/>
      <c r="E624" s="655"/>
      <c r="F624" s="53"/>
      <c r="G624" s="53"/>
      <c r="H624" s="1"/>
      <c r="I624" s="1"/>
    </row>
    <row r="625" ht="14.25" customHeight="1">
      <c r="A625" s="52"/>
      <c r="B625" s="52"/>
      <c r="C625" s="52"/>
      <c r="D625" s="52"/>
      <c r="E625" s="655"/>
      <c r="F625" s="53"/>
      <c r="G625" s="53"/>
      <c r="H625" s="1"/>
      <c r="I625" s="1"/>
    </row>
    <row r="626" ht="14.25" customHeight="1">
      <c r="A626" s="52"/>
      <c r="B626" s="52"/>
      <c r="C626" s="52"/>
      <c r="D626" s="52"/>
      <c r="E626" s="655"/>
      <c r="F626" s="53"/>
      <c r="G626" s="53"/>
      <c r="H626" s="1"/>
      <c r="I626" s="1"/>
    </row>
    <row r="627" ht="14.25" customHeight="1">
      <c r="A627" s="52"/>
      <c r="B627" s="52"/>
      <c r="C627" s="52"/>
      <c r="D627" s="52"/>
      <c r="E627" s="655"/>
      <c r="F627" s="53"/>
      <c r="G627" s="53"/>
      <c r="H627" s="1"/>
      <c r="I627" s="1"/>
    </row>
    <row r="628" ht="14.25" customHeight="1">
      <c r="A628" s="52"/>
      <c r="B628" s="52"/>
      <c r="C628" s="52"/>
      <c r="D628" s="52"/>
      <c r="E628" s="655"/>
      <c r="F628" s="53"/>
      <c r="G628" s="53"/>
      <c r="H628" s="1"/>
      <c r="I628" s="1"/>
    </row>
    <row r="629" ht="14.25" customHeight="1">
      <c r="A629" s="52"/>
      <c r="B629" s="52"/>
      <c r="C629" s="52"/>
      <c r="D629" s="52"/>
      <c r="E629" s="655"/>
      <c r="F629" s="53"/>
      <c r="G629" s="53"/>
      <c r="H629" s="1"/>
      <c r="I629" s="1"/>
    </row>
    <row r="630" ht="14.25" customHeight="1">
      <c r="A630" s="52"/>
      <c r="B630" s="52"/>
      <c r="C630" s="52"/>
      <c r="D630" s="52"/>
      <c r="E630" s="655"/>
      <c r="F630" s="53"/>
      <c r="G630" s="53"/>
      <c r="H630" s="1"/>
      <c r="I630" s="1"/>
    </row>
    <row r="631" ht="14.25" customHeight="1">
      <c r="A631" s="52"/>
      <c r="B631" s="52"/>
      <c r="C631" s="52"/>
      <c r="D631" s="52"/>
      <c r="E631" s="655"/>
      <c r="F631" s="53"/>
      <c r="G631" s="53"/>
      <c r="H631" s="1"/>
      <c r="I631" s="1"/>
    </row>
    <row r="632" ht="14.25" customHeight="1">
      <c r="A632" s="52"/>
      <c r="B632" s="52"/>
      <c r="C632" s="52"/>
      <c r="D632" s="52"/>
      <c r="E632" s="655"/>
      <c r="F632" s="53"/>
      <c r="G632" s="53"/>
      <c r="H632" s="1"/>
      <c r="I632" s="1"/>
    </row>
    <row r="633" ht="14.25" customHeight="1">
      <c r="A633" s="52"/>
      <c r="B633" s="52"/>
      <c r="C633" s="52"/>
      <c r="D633" s="52"/>
      <c r="E633" s="655"/>
      <c r="F633" s="53"/>
      <c r="G633" s="53"/>
      <c r="H633" s="1"/>
      <c r="I633" s="1"/>
    </row>
    <row r="634" ht="14.25" customHeight="1">
      <c r="A634" s="52"/>
      <c r="B634" s="52"/>
      <c r="C634" s="52"/>
      <c r="D634" s="52"/>
      <c r="E634" s="655"/>
      <c r="F634" s="53"/>
      <c r="G634" s="53"/>
      <c r="H634" s="1"/>
      <c r="I634" s="1"/>
    </row>
    <row r="635" ht="14.25" customHeight="1">
      <c r="A635" s="52"/>
      <c r="B635" s="52"/>
      <c r="C635" s="52"/>
      <c r="D635" s="52"/>
      <c r="E635" s="655"/>
      <c r="F635" s="53"/>
      <c r="G635" s="53"/>
      <c r="H635" s="1"/>
      <c r="I635" s="1"/>
    </row>
    <row r="636" ht="14.25" customHeight="1">
      <c r="A636" s="52"/>
      <c r="B636" s="52"/>
      <c r="C636" s="52"/>
      <c r="D636" s="52"/>
      <c r="E636" s="655"/>
      <c r="F636" s="53"/>
      <c r="G636" s="53"/>
      <c r="H636" s="1"/>
      <c r="I636" s="1"/>
    </row>
    <row r="637" ht="14.25" customHeight="1">
      <c r="A637" s="52"/>
      <c r="B637" s="52"/>
      <c r="C637" s="52"/>
      <c r="D637" s="52"/>
      <c r="E637" s="655"/>
      <c r="F637" s="53"/>
      <c r="G637" s="53"/>
      <c r="H637" s="1"/>
      <c r="I637" s="1"/>
    </row>
    <row r="638" ht="14.25" customHeight="1">
      <c r="A638" s="52"/>
      <c r="B638" s="52"/>
      <c r="C638" s="52"/>
      <c r="D638" s="52"/>
      <c r="E638" s="655"/>
      <c r="F638" s="53"/>
      <c r="G638" s="53"/>
      <c r="H638" s="1"/>
      <c r="I638" s="1"/>
    </row>
    <row r="639" ht="14.25" customHeight="1">
      <c r="A639" s="52"/>
      <c r="B639" s="52"/>
      <c r="C639" s="52"/>
      <c r="D639" s="52"/>
      <c r="E639" s="655"/>
      <c r="F639" s="53"/>
      <c r="G639" s="53"/>
      <c r="H639" s="1"/>
      <c r="I639" s="1"/>
    </row>
    <row r="640" ht="14.25" customHeight="1">
      <c r="A640" s="52"/>
      <c r="B640" s="52"/>
      <c r="C640" s="52"/>
      <c r="D640" s="52"/>
      <c r="E640" s="655"/>
      <c r="F640" s="53"/>
      <c r="G640" s="53"/>
      <c r="H640" s="1"/>
      <c r="I640" s="1"/>
    </row>
    <row r="641" ht="14.25" customHeight="1">
      <c r="A641" s="52"/>
      <c r="B641" s="52"/>
      <c r="C641" s="52"/>
      <c r="D641" s="52"/>
      <c r="E641" s="655"/>
      <c r="F641" s="53"/>
      <c r="G641" s="53"/>
      <c r="H641" s="1"/>
      <c r="I641" s="1"/>
    </row>
    <row r="642" ht="14.25" customHeight="1">
      <c r="A642" s="52"/>
      <c r="B642" s="52"/>
      <c r="C642" s="52"/>
      <c r="D642" s="52"/>
      <c r="E642" s="655"/>
      <c r="F642" s="53"/>
      <c r="G642" s="53"/>
      <c r="H642" s="1"/>
      <c r="I642" s="1"/>
    </row>
    <row r="643" ht="14.25" customHeight="1">
      <c r="A643" s="52"/>
      <c r="B643" s="52"/>
      <c r="C643" s="52"/>
      <c r="D643" s="52"/>
      <c r="E643" s="655"/>
      <c r="F643" s="53"/>
      <c r="G643" s="53"/>
      <c r="H643" s="1"/>
      <c r="I643" s="1"/>
    </row>
    <row r="644" ht="14.25" customHeight="1">
      <c r="A644" s="52"/>
      <c r="B644" s="52"/>
      <c r="C644" s="52"/>
      <c r="D644" s="52"/>
      <c r="E644" s="655"/>
      <c r="F644" s="53"/>
      <c r="G644" s="53"/>
      <c r="H644" s="1"/>
      <c r="I644" s="1"/>
    </row>
    <row r="645" ht="14.25" customHeight="1">
      <c r="A645" s="52"/>
      <c r="B645" s="52"/>
      <c r="C645" s="52"/>
      <c r="D645" s="52"/>
      <c r="E645" s="655"/>
      <c r="F645" s="53"/>
      <c r="G645" s="53"/>
      <c r="H645" s="1"/>
      <c r="I645" s="1"/>
    </row>
    <row r="646" ht="14.25" customHeight="1">
      <c r="A646" s="52"/>
      <c r="B646" s="52"/>
      <c r="C646" s="52"/>
      <c r="D646" s="52"/>
      <c r="E646" s="655"/>
      <c r="F646" s="53"/>
      <c r="G646" s="53"/>
      <c r="H646" s="1"/>
      <c r="I646" s="1"/>
    </row>
    <row r="647" ht="14.25" customHeight="1">
      <c r="A647" s="52"/>
      <c r="B647" s="52"/>
      <c r="C647" s="52"/>
      <c r="D647" s="52"/>
      <c r="E647" s="655"/>
      <c r="F647" s="53"/>
      <c r="G647" s="53"/>
      <c r="H647" s="1"/>
      <c r="I647" s="1"/>
    </row>
    <row r="648" ht="14.25" customHeight="1">
      <c r="A648" s="52"/>
      <c r="B648" s="52"/>
      <c r="C648" s="52"/>
      <c r="D648" s="52"/>
      <c r="E648" s="655"/>
      <c r="F648" s="53"/>
      <c r="G648" s="53"/>
      <c r="H648" s="1"/>
      <c r="I648" s="1"/>
    </row>
    <row r="649" ht="14.25" customHeight="1">
      <c r="A649" s="52"/>
      <c r="B649" s="52"/>
      <c r="C649" s="52"/>
      <c r="D649" s="52"/>
      <c r="E649" s="655"/>
      <c r="F649" s="53"/>
      <c r="G649" s="53"/>
      <c r="H649" s="1"/>
      <c r="I649" s="1"/>
    </row>
    <row r="650" ht="14.25" customHeight="1">
      <c r="A650" s="52"/>
      <c r="B650" s="52"/>
      <c r="C650" s="52"/>
      <c r="D650" s="52"/>
      <c r="E650" s="655"/>
      <c r="F650" s="53"/>
      <c r="G650" s="53"/>
      <c r="H650" s="1"/>
      <c r="I650" s="1"/>
    </row>
    <row r="651" ht="14.25" customHeight="1">
      <c r="A651" s="52"/>
      <c r="B651" s="52"/>
      <c r="C651" s="52"/>
      <c r="D651" s="52"/>
      <c r="E651" s="655"/>
      <c r="F651" s="53"/>
      <c r="G651" s="53"/>
      <c r="H651" s="1"/>
      <c r="I651" s="1"/>
    </row>
    <row r="652" ht="14.25" customHeight="1">
      <c r="A652" s="52"/>
      <c r="B652" s="52"/>
      <c r="C652" s="52"/>
      <c r="D652" s="52"/>
      <c r="E652" s="655"/>
      <c r="F652" s="53"/>
      <c r="G652" s="53"/>
      <c r="H652" s="1"/>
      <c r="I652" s="1"/>
    </row>
    <row r="653" ht="14.25" customHeight="1">
      <c r="A653" s="52"/>
      <c r="B653" s="52"/>
      <c r="C653" s="52"/>
      <c r="D653" s="52"/>
      <c r="E653" s="655"/>
      <c r="F653" s="53"/>
      <c r="G653" s="53"/>
      <c r="H653" s="1"/>
      <c r="I653" s="1"/>
    </row>
    <row r="654" ht="14.25" customHeight="1">
      <c r="A654" s="52"/>
      <c r="B654" s="52"/>
      <c r="C654" s="52"/>
      <c r="D654" s="52"/>
      <c r="E654" s="655"/>
      <c r="F654" s="53"/>
      <c r="G654" s="53"/>
      <c r="H654" s="1"/>
      <c r="I654" s="1"/>
    </row>
    <row r="655" ht="14.25" customHeight="1">
      <c r="A655" s="52"/>
      <c r="B655" s="52"/>
      <c r="C655" s="52"/>
      <c r="D655" s="52"/>
      <c r="E655" s="655"/>
      <c r="F655" s="53"/>
      <c r="G655" s="53"/>
      <c r="H655" s="1"/>
      <c r="I655" s="1"/>
    </row>
    <row r="656" ht="14.25" customHeight="1">
      <c r="A656" s="52"/>
      <c r="B656" s="52"/>
      <c r="C656" s="52"/>
      <c r="D656" s="52"/>
      <c r="E656" s="655"/>
      <c r="F656" s="53"/>
      <c r="G656" s="53"/>
      <c r="H656" s="1"/>
      <c r="I656" s="1"/>
    </row>
    <row r="657" ht="14.25" customHeight="1">
      <c r="A657" s="52"/>
      <c r="B657" s="52"/>
      <c r="C657" s="52"/>
      <c r="D657" s="52"/>
      <c r="E657" s="655"/>
      <c r="F657" s="53"/>
      <c r="G657" s="53"/>
      <c r="H657" s="1"/>
      <c r="I657" s="1"/>
    </row>
    <row r="658" ht="14.25" customHeight="1">
      <c r="A658" s="52"/>
      <c r="B658" s="52"/>
      <c r="C658" s="52"/>
      <c r="D658" s="52"/>
      <c r="E658" s="655"/>
      <c r="F658" s="53"/>
      <c r="G658" s="53"/>
      <c r="H658" s="1"/>
      <c r="I658" s="1"/>
    </row>
    <row r="659" ht="14.25" customHeight="1">
      <c r="A659" s="52"/>
      <c r="B659" s="52"/>
      <c r="C659" s="52"/>
      <c r="D659" s="52"/>
      <c r="E659" s="655"/>
      <c r="F659" s="53"/>
      <c r="G659" s="53"/>
      <c r="H659" s="1"/>
      <c r="I659" s="1"/>
    </row>
    <row r="660" ht="14.25" customHeight="1">
      <c r="A660" s="52"/>
      <c r="B660" s="52"/>
      <c r="C660" s="52"/>
      <c r="D660" s="52"/>
      <c r="E660" s="655"/>
      <c r="F660" s="53"/>
      <c r="G660" s="53"/>
      <c r="H660" s="1"/>
      <c r="I660" s="1"/>
    </row>
    <row r="661" ht="14.25" customHeight="1">
      <c r="A661" s="52"/>
      <c r="B661" s="52"/>
      <c r="C661" s="52"/>
      <c r="D661" s="52"/>
      <c r="E661" s="655"/>
      <c r="F661" s="53"/>
      <c r="G661" s="53"/>
      <c r="H661" s="1"/>
      <c r="I661" s="1"/>
    </row>
    <row r="662" ht="14.25" customHeight="1">
      <c r="A662" s="52"/>
      <c r="B662" s="52"/>
      <c r="C662" s="52"/>
      <c r="D662" s="52"/>
      <c r="E662" s="655"/>
      <c r="F662" s="53"/>
      <c r="G662" s="53"/>
      <c r="H662" s="1"/>
      <c r="I662" s="1"/>
    </row>
    <row r="663" ht="14.25" customHeight="1">
      <c r="A663" s="52"/>
      <c r="B663" s="52"/>
      <c r="C663" s="52"/>
      <c r="D663" s="52"/>
      <c r="E663" s="655"/>
      <c r="F663" s="53"/>
      <c r="G663" s="53"/>
      <c r="H663" s="1"/>
      <c r="I663" s="1"/>
    </row>
    <row r="664" ht="14.25" customHeight="1">
      <c r="A664" s="52"/>
      <c r="B664" s="52"/>
      <c r="C664" s="52"/>
      <c r="D664" s="52"/>
      <c r="E664" s="655"/>
      <c r="F664" s="53"/>
      <c r="G664" s="53"/>
      <c r="H664" s="1"/>
      <c r="I664" s="1"/>
    </row>
    <row r="665" ht="14.25" customHeight="1">
      <c r="A665" s="52"/>
      <c r="B665" s="52"/>
      <c r="C665" s="52"/>
      <c r="D665" s="52"/>
      <c r="E665" s="655"/>
      <c r="F665" s="53"/>
      <c r="G665" s="53"/>
      <c r="H665" s="1"/>
      <c r="I665" s="1"/>
    </row>
    <row r="666" ht="14.25" customHeight="1">
      <c r="A666" s="52"/>
      <c r="B666" s="52"/>
      <c r="C666" s="52"/>
      <c r="D666" s="52"/>
      <c r="E666" s="655"/>
      <c r="F666" s="53"/>
      <c r="G666" s="53"/>
      <c r="H666" s="1"/>
      <c r="I666" s="1"/>
    </row>
    <row r="667" ht="14.25" customHeight="1">
      <c r="A667" s="52"/>
      <c r="B667" s="52"/>
      <c r="C667" s="52"/>
      <c r="D667" s="52"/>
      <c r="E667" s="655"/>
      <c r="F667" s="53"/>
      <c r="G667" s="53"/>
      <c r="H667" s="1"/>
      <c r="I667" s="1"/>
    </row>
    <row r="668" ht="14.25" customHeight="1">
      <c r="A668" s="52"/>
      <c r="B668" s="52"/>
      <c r="C668" s="52"/>
      <c r="D668" s="52"/>
      <c r="E668" s="655"/>
      <c r="F668" s="53"/>
      <c r="G668" s="53"/>
      <c r="H668" s="1"/>
      <c r="I668" s="1"/>
    </row>
    <row r="669" ht="14.25" customHeight="1">
      <c r="A669" s="52"/>
      <c r="B669" s="52"/>
      <c r="C669" s="52"/>
      <c r="D669" s="52"/>
      <c r="E669" s="655"/>
      <c r="F669" s="53"/>
      <c r="G669" s="53"/>
      <c r="H669" s="1"/>
      <c r="I669" s="1"/>
    </row>
    <row r="670" ht="14.25" customHeight="1">
      <c r="A670" s="52"/>
      <c r="B670" s="52"/>
      <c r="C670" s="52"/>
      <c r="D670" s="52"/>
      <c r="E670" s="655"/>
      <c r="F670" s="53"/>
      <c r="G670" s="53"/>
      <c r="H670" s="1"/>
      <c r="I670" s="1"/>
    </row>
    <row r="671" ht="14.25" customHeight="1">
      <c r="A671" s="52"/>
      <c r="B671" s="52"/>
      <c r="C671" s="52"/>
      <c r="D671" s="52"/>
      <c r="E671" s="655"/>
      <c r="F671" s="53"/>
      <c r="G671" s="53"/>
      <c r="H671" s="1"/>
      <c r="I671" s="1"/>
    </row>
    <row r="672" ht="14.25" customHeight="1">
      <c r="A672" s="52"/>
      <c r="B672" s="52"/>
      <c r="C672" s="52"/>
      <c r="D672" s="52"/>
      <c r="E672" s="655"/>
      <c r="F672" s="53"/>
      <c r="G672" s="53"/>
      <c r="H672" s="1"/>
      <c r="I672" s="1"/>
    </row>
    <row r="673" ht="14.25" customHeight="1">
      <c r="A673" s="52"/>
      <c r="B673" s="52"/>
      <c r="C673" s="52"/>
      <c r="D673" s="52"/>
      <c r="E673" s="655"/>
      <c r="F673" s="53"/>
      <c r="G673" s="53"/>
      <c r="H673" s="1"/>
      <c r="I673" s="1"/>
    </row>
    <row r="674" ht="14.25" customHeight="1">
      <c r="A674" s="52"/>
      <c r="B674" s="52"/>
      <c r="C674" s="52"/>
      <c r="D674" s="52"/>
      <c r="E674" s="655"/>
      <c r="F674" s="53"/>
      <c r="G674" s="53"/>
      <c r="H674" s="1"/>
      <c r="I674" s="1"/>
    </row>
    <row r="675" ht="14.25" customHeight="1">
      <c r="A675" s="52"/>
      <c r="B675" s="52"/>
      <c r="C675" s="52"/>
      <c r="D675" s="52"/>
      <c r="E675" s="655"/>
      <c r="F675" s="53"/>
      <c r="G675" s="53"/>
      <c r="H675" s="1"/>
      <c r="I675" s="1"/>
    </row>
    <row r="676" ht="14.25" customHeight="1">
      <c r="A676" s="52"/>
      <c r="B676" s="52"/>
      <c r="C676" s="52"/>
      <c r="D676" s="52"/>
      <c r="E676" s="655"/>
      <c r="F676" s="53"/>
      <c r="G676" s="53"/>
      <c r="H676" s="1"/>
      <c r="I676" s="1"/>
    </row>
    <row r="677" ht="14.25" customHeight="1">
      <c r="A677" s="52"/>
      <c r="B677" s="52"/>
      <c r="C677" s="52"/>
      <c r="D677" s="52"/>
      <c r="E677" s="655"/>
      <c r="F677" s="53"/>
      <c r="G677" s="53"/>
      <c r="H677" s="1"/>
      <c r="I677" s="1"/>
    </row>
    <row r="678" ht="14.25" customHeight="1">
      <c r="A678" s="52"/>
      <c r="B678" s="52"/>
      <c r="C678" s="52"/>
      <c r="D678" s="52"/>
      <c r="E678" s="655"/>
      <c r="F678" s="53"/>
      <c r="G678" s="53"/>
      <c r="H678" s="1"/>
      <c r="I678" s="1"/>
    </row>
    <row r="679" ht="14.25" customHeight="1">
      <c r="A679" s="52"/>
      <c r="B679" s="52"/>
      <c r="C679" s="52"/>
      <c r="D679" s="52"/>
      <c r="E679" s="655"/>
      <c r="F679" s="53"/>
      <c r="G679" s="53"/>
      <c r="H679" s="1"/>
      <c r="I679" s="1"/>
    </row>
    <row r="680" ht="14.25" customHeight="1">
      <c r="A680" s="52"/>
      <c r="B680" s="52"/>
      <c r="C680" s="52"/>
      <c r="D680" s="52"/>
      <c r="E680" s="655"/>
      <c r="F680" s="53"/>
      <c r="G680" s="53"/>
      <c r="H680" s="1"/>
      <c r="I680" s="1"/>
    </row>
    <row r="681" ht="14.25" customHeight="1">
      <c r="A681" s="52"/>
      <c r="B681" s="52"/>
      <c r="C681" s="52"/>
      <c r="D681" s="52"/>
      <c r="E681" s="655"/>
      <c r="F681" s="53"/>
      <c r="G681" s="53"/>
      <c r="H681" s="1"/>
      <c r="I681" s="1"/>
    </row>
    <row r="682" ht="14.25" customHeight="1">
      <c r="A682" s="52"/>
      <c r="B682" s="52"/>
      <c r="C682" s="52"/>
      <c r="D682" s="52"/>
      <c r="E682" s="655"/>
      <c r="F682" s="53"/>
      <c r="G682" s="53"/>
      <c r="H682" s="1"/>
      <c r="I682" s="1"/>
    </row>
    <row r="683" ht="14.25" customHeight="1">
      <c r="A683" s="52"/>
      <c r="B683" s="52"/>
      <c r="C683" s="52"/>
      <c r="D683" s="52"/>
      <c r="E683" s="655"/>
      <c r="F683" s="53"/>
      <c r="G683" s="53"/>
      <c r="H683" s="1"/>
      <c r="I683" s="1"/>
    </row>
    <row r="684" ht="14.25" customHeight="1">
      <c r="A684" s="52"/>
      <c r="B684" s="52"/>
      <c r="C684" s="52"/>
      <c r="D684" s="52"/>
      <c r="E684" s="655"/>
      <c r="F684" s="53"/>
      <c r="G684" s="53"/>
      <c r="H684" s="1"/>
      <c r="I684" s="1"/>
    </row>
    <row r="685" ht="14.25" customHeight="1">
      <c r="A685" s="52"/>
      <c r="B685" s="52"/>
      <c r="C685" s="52"/>
      <c r="D685" s="52"/>
      <c r="E685" s="655"/>
      <c r="F685" s="53"/>
      <c r="G685" s="53"/>
      <c r="H685" s="1"/>
      <c r="I685" s="1"/>
    </row>
    <row r="686" ht="14.25" customHeight="1">
      <c r="A686" s="52"/>
      <c r="B686" s="52"/>
      <c r="C686" s="52"/>
      <c r="D686" s="52"/>
      <c r="E686" s="655"/>
      <c r="F686" s="53"/>
      <c r="G686" s="53"/>
      <c r="H686" s="1"/>
      <c r="I686" s="1"/>
    </row>
    <row r="687" ht="14.25" customHeight="1">
      <c r="A687" s="52"/>
      <c r="B687" s="52"/>
      <c r="C687" s="52"/>
      <c r="D687" s="52"/>
      <c r="E687" s="655"/>
      <c r="F687" s="53"/>
      <c r="G687" s="53"/>
      <c r="H687" s="1"/>
      <c r="I687" s="1"/>
    </row>
    <row r="688" ht="14.25" customHeight="1">
      <c r="A688" s="52"/>
      <c r="B688" s="52"/>
      <c r="C688" s="52"/>
      <c r="D688" s="52"/>
      <c r="E688" s="655"/>
      <c r="F688" s="53"/>
      <c r="G688" s="53"/>
      <c r="H688" s="1"/>
      <c r="I688" s="1"/>
    </row>
    <row r="689" ht="14.25" customHeight="1">
      <c r="A689" s="52"/>
      <c r="B689" s="52"/>
      <c r="C689" s="52"/>
      <c r="D689" s="52"/>
      <c r="E689" s="655"/>
      <c r="F689" s="53"/>
      <c r="G689" s="53"/>
      <c r="H689" s="1"/>
      <c r="I689" s="1"/>
    </row>
    <row r="690" ht="14.25" customHeight="1">
      <c r="A690" s="52"/>
      <c r="B690" s="52"/>
      <c r="C690" s="52"/>
      <c r="D690" s="52"/>
      <c r="E690" s="655"/>
      <c r="F690" s="53"/>
      <c r="G690" s="53"/>
      <c r="H690" s="1"/>
      <c r="I690" s="1"/>
    </row>
    <row r="691" ht="14.25" customHeight="1">
      <c r="A691" s="52"/>
      <c r="B691" s="52"/>
      <c r="C691" s="52"/>
      <c r="D691" s="52"/>
      <c r="E691" s="655"/>
      <c r="F691" s="53"/>
      <c r="G691" s="53"/>
      <c r="H691" s="1"/>
      <c r="I691" s="1"/>
    </row>
    <row r="692" ht="14.25" customHeight="1">
      <c r="A692" s="52"/>
      <c r="B692" s="52"/>
      <c r="C692" s="52"/>
      <c r="D692" s="52"/>
      <c r="E692" s="655"/>
      <c r="F692" s="53"/>
      <c r="G692" s="53"/>
      <c r="H692" s="1"/>
      <c r="I692" s="1"/>
    </row>
    <row r="693" ht="14.25" customHeight="1">
      <c r="A693" s="52"/>
      <c r="B693" s="52"/>
      <c r="C693" s="52"/>
      <c r="D693" s="52"/>
      <c r="E693" s="655"/>
      <c r="F693" s="53"/>
      <c r="G693" s="53"/>
      <c r="H693" s="1"/>
      <c r="I693" s="1"/>
    </row>
    <row r="694" ht="14.25" customHeight="1">
      <c r="A694" s="52"/>
      <c r="B694" s="52"/>
      <c r="C694" s="52"/>
      <c r="D694" s="52"/>
      <c r="E694" s="655"/>
      <c r="F694" s="53"/>
      <c r="G694" s="53"/>
      <c r="H694" s="1"/>
      <c r="I694" s="1"/>
    </row>
    <row r="695" ht="14.25" customHeight="1">
      <c r="A695" s="52"/>
      <c r="B695" s="52"/>
      <c r="C695" s="52"/>
      <c r="D695" s="52"/>
      <c r="E695" s="655"/>
      <c r="F695" s="53"/>
      <c r="G695" s="53"/>
      <c r="H695" s="1"/>
      <c r="I695" s="1"/>
    </row>
    <row r="696" ht="14.25" customHeight="1">
      <c r="A696" s="52"/>
      <c r="B696" s="52"/>
      <c r="C696" s="52"/>
      <c r="D696" s="52"/>
      <c r="E696" s="655"/>
      <c r="F696" s="53"/>
      <c r="G696" s="53"/>
      <c r="H696" s="1"/>
      <c r="I696" s="1"/>
    </row>
    <row r="697" ht="14.25" customHeight="1">
      <c r="A697" s="52"/>
      <c r="B697" s="52"/>
      <c r="C697" s="52"/>
      <c r="D697" s="52"/>
      <c r="E697" s="655"/>
      <c r="F697" s="53"/>
      <c r="G697" s="53"/>
      <c r="H697" s="1"/>
      <c r="I697" s="1"/>
    </row>
    <row r="698" ht="14.25" customHeight="1">
      <c r="A698" s="52"/>
      <c r="B698" s="52"/>
      <c r="C698" s="52"/>
      <c r="D698" s="52"/>
      <c r="E698" s="655"/>
      <c r="F698" s="53"/>
      <c r="G698" s="53"/>
      <c r="H698" s="1"/>
      <c r="I698" s="1"/>
    </row>
    <row r="699" ht="14.25" customHeight="1">
      <c r="A699" s="52"/>
      <c r="B699" s="52"/>
      <c r="C699" s="52"/>
      <c r="D699" s="52"/>
      <c r="E699" s="655"/>
      <c r="F699" s="53"/>
      <c r="G699" s="53"/>
      <c r="H699" s="1"/>
      <c r="I699" s="1"/>
    </row>
    <row r="700" ht="14.25" customHeight="1">
      <c r="A700" s="52"/>
      <c r="B700" s="52"/>
      <c r="C700" s="52"/>
      <c r="D700" s="52"/>
      <c r="E700" s="655"/>
      <c r="F700" s="53"/>
      <c r="G700" s="53"/>
      <c r="H700" s="1"/>
      <c r="I700" s="1"/>
    </row>
    <row r="701" ht="14.25" customHeight="1">
      <c r="A701" s="52"/>
      <c r="B701" s="52"/>
      <c r="C701" s="52"/>
      <c r="D701" s="52"/>
      <c r="E701" s="655"/>
      <c r="F701" s="53"/>
      <c r="G701" s="53"/>
      <c r="H701" s="1"/>
      <c r="I701" s="1"/>
    </row>
    <row r="702" ht="14.25" customHeight="1">
      <c r="A702" s="52"/>
      <c r="B702" s="52"/>
      <c r="C702" s="52"/>
      <c r="D702" s="52"/>
      <c r="E702" s="655"/>
      <c r="F702" s="53"/>
      <c r="G702" s="53"/>
      <c r="H702" s="1"/>
      <c r="I702" s="1"/>
    </row>
    <row r="703" ht="14.25" customHeight="1">
      <c r="A703" s="52"/>
      <c r="B703" s="52"/>
      <c r="C703" s="52"/>
      <c r="D703" s="52"/>
      <c r="E703" s="655"/>
      <c r="F703" s="53"/>
      <c r="G703" s="53"/>
      <c r="H703" s="1"/>
      <c r="I703" s="1"/>
    </row>
    <row r="704" ht="14.25" customHeight="1">
      <c r="A704" s="52"/>
      <c r="B704" s="52"/>
      <c r="C704" s="52"/>
      <c r="D704" s="52"/>
      <c r="E704" s="655"/>
      <c r="F704" s="53"/>
      <c r="G704" s="53"/>
      <c r="H704" s="1"/>
      <c r="I704" s="1"/>
    </row>
    <row r="705" ht="14.25" customHeight="1">
      <c r="A705" s="52"/>
      <c r="B705" s="52"/>
      <c r="C705" s="52"/>
      <c r="D705" s="52"/>
      <c r="E705" s="655"/>
      <c r="F705" s="53"/>
      <c r="G705" s="53"/>
      <c r="H705" s="1"/>
      <c r="I705" s="1"/>
    </row>
    <row r="706" ht="14.25" customHeight="1">
      <c r="A706" s="52"/>
      <c r="B706" s="52"/>
      <c r="C706" s="52"/>
      <c r="D706" s="52"/>
      <c r="E706" s="655"/>
      <c r="F706" s="53"/>
      <c r="G706" s="53"/>
      <c r="H706" s="1"/>
      <c r="I706" s="1"/>
    </row>
    <row r="707" ht="14.25" customHeight="1">
      <c r="A707" s="52"/>
      <c r="B707" s="52"/>
      <c r="C707" s="52"/>
      <c r="D707" s="52"/>
      <c r="E707" s="655"/>
      <c r="F707" s="53"/>
      <c r="G707" s="53"/>
      <c r="H707" s="1"/>
      <c r="I707" s="1"/>
    </row>
    <row r="708" ht="14.25" customHeight="1">
      <c r="A708" s="52"/>
      <c r="B708" s="52"/>
      <c r="C708" s="52"/>
      <c r="D708" s="52"/>
      <c r="E708" s="655"/>
      <c r="F708" s="53"/>
      <c r="G708" s="53"/>
      <c r="H708" s="1"/>
      <c r="I708" s="1"/>
    </row>
    <row r="709" ht="14.25" customHeight="1">
      <c r="A709" s="52"/>
      <c r="B709" s="52"/>
      <c r="C709" s="52"/>
      <c r="D709" s="52"/>
      <c r="E709" s="655"/>
      <c r="F709" s="53"/>
      <c r="G709" s="53"/>
      <c r="H709" s="1"/>
      <c r="I709" s="1"/>
    </row>
    <row r="710" ht="14.25" customHeight="1">
      <c r="A710" s="52"/>
      <c r="B710" s="52"/>
      <c r="C710" s="52"/>
      <c r="D710" s="52"/>
      <c r="E710" s="655"/>
      <c r="F710" s="53"/>
      <c r="G710" s="53"/>
      <c r="H710" s="1"/>
      <c r="I710" s="1"/>
    </row>
    <row r="711" ht="14.25" customHeight="1">
      <c r="A711" s="52"/>
      <c r="B711" s="52"/>
      <c r="C711" s="52"/>
      <c r="D711" s="52"/>
      <c r="E711" s="655"/>
      <c r="F711" s="53"/>
      <c r="G711" s="53"/>
      <c r="H711" s="1"/>
      <c r="I711" s="1"/>
    </row>
    <row r="712" ht="14.25" customHeight="1">
      <c r="A712" s="52"/>
      <c r="B712" s="52"/>
      <c r="C712" s="52"/>
      <c r="D712" s="52"/>
      <c r="E712" s="655"/>
      <c r="F712" s="53"/>
      <c r="G712" s="53"/>
      <c r="H712" s="1"/>
      <c r="I712" s="1"/>
    </row>
    <row r="713" ht="14.25" customHeight="1">
      <c r="A713" s="52"/>
      <c r="B713" s="52"/>
      <c r="C713" s="52"/>
      <c r="D713" s="52"/>
      <c r="E713" s="655"/>
      <c r="F713" s="53"/>
      <c r="G713" s="53"/>
      <c r="H713" s="1"/>
      <c r="I713" s="1"/>
    </row>
    <row r="714" ht="14.25" customHeight="1">
      <c r="A714" s="52"/>
      <c r="B714" s="52"/>
      <c r="C714" s="52"/>
      <c r="D714" s="52"/>
      <c r="E714" s="655"/>
      <c r="F714" s="53"/>
      <c r="G714" s="53"/>
      <c r="H714" s="1"/>
      <c r="I714" s="1"/>
    </row>
    <row r="715" ht="14.25" customHeight="1">
      <c r="A715" s="52"/>
      <c r="B715" s="52"/>
      <c r="C715" s="52"/>
      <c r="D715" s="52"/>
      <c r="E715" s="655"/>
      <c r="F715" s="53"/>
      <c r="G715" s="53"/>
      <c r="H715" s="1"/>
      <c r="I715" s="1"/>
    </row>
    <row r="716" ht="14.25" customHeight="1">
      <c r="A716" s="52"/>
      <c r="B716" s="52"/>
      <c r="C716" s="52"/>
      <c r="D716" s="52"/>
      <c r="E716" s="655"/>
      <c r="F716" s="53"/>
      <c r="G716" s="53"/>
      <c r="H716" s="1"/>
      <c r="I716" s="1"/>
    </row>
    <row r="717" ht="14.25" customHeight="1">
      <c r="A717" s="52"/>
      <c r="B717" s="52"/>
      <c r="C717" s="52"/>
      <c r="D717" s="52"/>
      <c r="E717" s="655"/>
      <c r="F717" s="53"/>
      <c r="G717" s="53"/>
      <c r="H717" s="1"/>
      <c r="I717" s="1"/>
    </row>
    <row r="718" ht="14.25" customHeight="1">
      <c r="A718" s="52"/>
      <c r="B718" s="52"/>
      <c r="C718" s="52"/>
      <c r="D718" s="52"/>
      <c r="E718" s="655"/>
      <c r="F718" s="53"/>
      <c r="G718" s="53"/>
      <c r="H718" s="1"/>
      <c r="I718" s="1"/>
    </row>
    <row r="719" ht="14.25" customHeight="1">
      <c r="A719" s="52"/>
      <c r="B719" s="52"/>
      <c r="C719" s="52"/>
      <c r="D719" s="52"/>
      <c r="E719" s="655"/>
      <c r="F719" s="53"/>
      <c r="G719" s="53"/>
      <c r="H719" s="1"/>
      <c r="I719" s="1"/>
    </row>
    <row r="720" ht="14.25" customHeight="1">
      <c r="A720" s="52"/>
      <c r="B720" s="52"/>
      <c r="C720" s="52"/>
      <c r="D720" s="52"/>
      <c r="E720" s="655"/>
      <c r="F720" s="53"/>
      <c r="G720" s="53"/>
      <c r="H720" s="1"/>
      <c r="I720" s="1"/>
    </row>
    <row r="721" ht="14.25" customHeight="1">
      <c r="A721" s="52"/>
      <c r="B721" s="52"/>
      <c r="C721" s="52"/>
      <c r="D721" s="52"/>
      <c r="E721" s="655"/>
      <c r="F721" s="53"/>
      <c r="G721" s="53"/>
      <c r="H721" s="1"/>
      <c r="I721" s="1"/>
    </row>
    <row r="722" ht="14.25" customHeight="1">
      <c r="A722" s="52"/>
      <c r="B722" s="52"/>
      <c r="C722" s="52"/>
      <c r="D722" s="52"/>
      <c r="E722" s="655"/>
      <c r="F722" s="53"/>
      <c r="G722" s="53"/>
      <c r="H722" s="1"/>
      <c r="I722" s="1"/>
    </row>
    <row r="723" ht="14.25" customHeight="1">
      <c r="A723" s="52"/>
      <c r="B723" s="52"/>
      <c r="C723" s="52"/>
      <c r="D723" s="52"/>
      <c r="E723" s="655"/>
      <c r="F723" s="53"/>
      <c r="G723" s="53"/>
      <c r="H723" s="1"/>
      <c r="I723" s="1"/>
    </row>
    <row r="724" ht="14.25" customHeight="1">
      <c r="A724" s="52"/>
      <c r="B724" s="52"/>
      <c r="C724" s="52"/>
      <c r="D724" s="52"/>
      <c r="E724" s="655"/>
      <c r="F724" s="53"/>
      <c r="G724" s="53"/>
      <c r="H724" s="1"/>
      <c r="I724" s="1"/>
    </row>
    <row r="725" ht="14.25" customHeight="1">
      <c r="A725" s="52"/>
      <c r="B725" s="52"/>
      <c r="C725" s="52"/>
      <c r="D725" s="52"/>
      <c r="E725" s="655"/>
      <c r="F725" s="53"/>
      <c r="G725" s="53"/>
      <c r="H725" s="1"/>
      <c r="I725" s="1"/>
    </row>
    <row r="726" ht="14.25" customHeight="1">
      <c r="A726" s="52"/>
      <c r="B726" s="52"/>
      <c r="C726" s="52"/>
      <c r="D726" s="52"/>
      <c r="E726" s="655"/>
      <c r="F726" s="53"/>
      <c r="G726" s="53"/>
      <c r="H726" s="1"/>
      <c r="I726" s="1"/>
    </row>
    <row r="727" ht="14.25" customHeight="1">
      <c r="A727" s="52"/>
      <c r="B727" s="52"/>
      <c r="C727" s="52"/>
      <c r="D727" s="52"/>
      <c r="E727" s="655"/>
      <c r="F727" s="53"/>
      <c r="G727" s="53"/>
      <c r="H727" s="1"/>
      <c r="I727" s="1"/>
    </row>
    <row r="728" ht="14.25" customHeight="1">
      <c r="A728" s="52"/>
      <c r="B728" s="52"/>
      <c r="C728" s="52"/>
      <c r="D728" s="52"/>
      <c r="E728" s="655"/>
      <c r="F728" s="53"/>
      <c r="G728" s="53"/>
      <c r="H728" s="1"/>
      <c r="I728" s="1"/>
    </row>
    <row r="729" ht="14.25" customHeight="1">
      <c r="A729" s="52"/>
      <c r="B729" s="52"/>
      <c r="C729" s="52"/>
      <c r="D729" s="52"/>
      <c r="E729" s="655"/>
      <c r="F729" s="53"/>
      <c r="G729" s="53"/>
      <c r="H729" s="1"/>
      <c r="I729" s="1"/>
    </row>
    <row r="730" ht="14.25" customHeight="1">
      <c r="A730" s="52"/>
      <c r="B730" s="52"/>
      <c r="C730" s="52"/>
      <c r="D730" s="52"/>
      <c r="E730" s="655"/>
      <c r="F730" s="53"/>
      <c r="G730" s="53"/>
      <c r="H730" s="1"/>
      <c r="I730" s="1"/>
    </row>
    <row r="731" ht="14.25" customHeight="1">
      <c r="A731" s="52"/>
      <c r="B731" s="52"/>
      <c r="C731" s="52"/>
      <c r="D731" s="52"/>
      <c r="E731" s="655"/>
      <c r="F731" s="53"/>
      <c r="G731" s="53"/>
      <c r="H731" s="1"/>
      <c r="I731" s="1"/>
    </row>
    <row r="732" ht="14.25" customHeight="1">
      <c r="A732" s="52"/>
      <c r="B732" s="52"/>
      <c r="C732" s="52"/>
      <c r="D732" s="52"/>
      <c r="E732" s="655"/>
      <c r="F732" s="53"/>
      <c r="G732" s="53"/>
      <c r="H732" s="1"/>
      <c r="I732" s="1"/>
    </row>
    <row r="733" ht="14.25" customHeight="1">
      <c r="A733" s="52"/>
      <c r="B733" s="52"/>
      <c r="C733" s="52"/>
      <c r="D733" s="52"/>
      <c r="E733" s="655"/>
      <c r="F733" s="53"/>
      <c r="G733" s="53"/>
      <c r="H733" s="1"/>
      <c r="I733" s="1"/>
    </row>
    <row r="734" ht="14.25" customHeight="1">
      <c r="A734" s="52"/>
      <c r="B734" s="52"/>
      <c r="C734" s="52"/>
      <c r="D734" s="52"/>
      <c r="E734" s="655"/>
      <c r="F734" s="53"/>
      <c r="G734" s="53"/>
      <c r="H734" s="1"/>
      <c r="I734" s="1"/>
    </row>
    <row r="735" ht="14.25" customHeight="1">
      <c r="A735" s="52"/>
      <c r="B735" s="52"/>
      <c r="C735" s="52"/>
      <c r="D735" s="52"/>
      <c r="E735" s="655"/>
      <c r="F735" s="53"/>
      <c r="G735" s="53"/>
      <c r="H735" s="1"/>
      <c r="I735" s="1"/>
    </row>
    <row r="736" ht="14.25" customHeight="1">
      <c r="A736" s="52"/>
      <c r="B736" s="52"/>
      <c r="C736" s="52"/>
      <c r="D736" s="52"/>
      <c r="E736" s="655"/>
      <c r="F736" s="53"/>
      <c r="G736" s="53"/>
      <c r="H736" s="1"/>
      <c r="I736" s="1"/>
    </row>
    <row r="737" ht="14.25" customHeight="1">
      <c r="A737" s="52"/>
      <c r="B737" s="52"/>
      <c r="C737" s="52"/>
      <c r="D737" s="52"/>
      <c r="E737" s="655"/>
      <c r="F737" s="53"/>
      <c r="G737" s="53"/>
      <c r="H737" s="1"/>
      <c r="I737" s="1"/>
    </row>
    <row r="738" ht="14.25" customHeight="1">
      <c r="A738" s="52"/>
      <c r="B738" s="52"/>
      <c r="C738" s="52"/>
      <c r="D738" s="52"/>
      <c r="E738" s="655"/>
      <c r="F738" s="53"/>
      <c r="G738" s="53"/>
      <c r="H738" s="1"/>
      <c r="I738" s="1"/>
    </row>
    <row r="739" ht="14.25" customHeight="1">
      <c r="A739" s="52"/>
      <c r="B739" s="52"/>
      <c r="C739" s="52"/>
      <c r="D739" s="52"/>
      <c r="E739" s="655"/>
      <c r="F739" s="53"/>
      <c r="G739" s="53"/>
      <c r="H739" s="1"/>
      <c r="I739" s="1"/>
    </row>
    <row r="740" ht="14.25" customHeight="1">
      <c r="A740" s="52"/>
      <c r="B740" s="52"/>
      <c r="C740" s="52"/>
      <c r="D740" s="52"/>
      <c r="E740" s="655"/>
      <c r="F740" s="53"/>
      <c r="G740" s="53"/>
      <c r="H740" s="1"/>
      <c r="I740" s="1"/>
    </row>
    <row r="741" ht="14.25" customHeight="1">
      <c r="A741" s="52"/>
      <c r="B741" s="52"/>
      <c r="C741" s="52"/>
      <c r="D741" s="52"/>
      <c r="E741" s="655"/>
      <c r="F741" s="53"/>
      <c r="G741" s="53"/>
      <c r="H741" s="1"/>
      <c r="I741" s="1"/>
    </row>
    <row r="742" ht="14.25" customHeight="1">
      <c r="A742" s="52"/>
      <c r="B742" s="52"/>
      <c r="C742" s="52"/>
      <c r="D742" s="52"/>
      <c r="E742" s="655"/>
      <c r="F742" s="53"/>
      <c r="G742" s="53"/>
      <c r="H742" s="1"/>
      <c r="I742" s="1"/>
    </row>
    <row r="743" ht="14.25" customHeight="1">
      <c r="A743" s="52"/>
      <c r="B743" s="52"/>
      <c r="C743" s="52"/>
      <c r="D743" s="52"/>
      <c r="E743" s="655"/>
      <c r="F743" s="53"/>
      <c r="G743" s="53"/>
      <c r="H743" s="1"/>
      <c r="I743" s="1"/>
    </row>
    <row r="744" ht="14.25" customHeight="1">
      <c r="A744" s="52"/>
      <c r="B744" s="52"/>
      <c r="C744" s="52"/>
      <c r="D744" s="52"/>
      <c r="E744" s="655"/>
      <c r="F744" s="53"/>
      <c r="G744" s="53"/>
      <c r="H744" s="1"/>
      <c r="I744" s="1"/>
    </row>
    <row r="745" ht="14.25" customHeight="1">
      <c r="A745" s="52"/>
      <c r="B745" s="52"/>
      <c r="C745" s="52"/>
      <c r="D745" s="52"/>
      <c r="E745" s="655"/>
      <c r="F745" s="53"/>
      <c r="G745" s="53"/>
      <c r="H745" s="1"/>
      <c r="I745" s="1"/>
    </row>
    <row r="746" ht="14.25" customHeight="1">
      <c r="A746" s="52"/>
      <c r="B746" s="52"/>
      <c r="C746" s="52"/>
      <c r="D746" s="52"/>
      <c r="E746" s="655"/>
      <c r="F746" s="53"/>
      <c r="G746" s="53"/>
      <c r="H746" s="1"/>
      <c r="I746" s="1"/>
    </row>
    <row r="747" ht="14.25" customHeight="1">
      <c r="A747" s="52"/>
      <c r="B747" s="52"/>
      <c r="C747" s="52"/>
      <c r="D747" s="52"/>
      <c r="E747" s="655"/>
      <c r="F747" s="53"/>
      <c r="G747" s="53"/>
      <c r="H747" s="1"/>
      <c r="I747" s="1"/>
    </row>
    <row r="748" ht="14.25" customHeight="1">
      <c r="A748" s="52"/>
      <c r="B748" s="52"/>
      <c r="C748" s="52"/>
      <c r="D748" s="52"/>
      <c r="E748" s="655"/>
      <c r="F748" s="53"/>
      <c r="G748" s="53"/>
      <c r="H748" s="1"/>
      <c r="I748" s="1"/>
    </row>
    <row r="749" ht="14.25" customHeight="1">
      <c r="A749" s="52"/>
      <c r="B749" s="52"/>
      <c r="C749" s="52"/>
      <c r="D749" s="52"/>
      <c r="E749" s="655"/>
      <c r="F749" s="53"/>
      <c r="G749" s="53"/>
      <c r="H749" s="1"/>
      <c r="I749" s="1"/>
    </row>
    <row r="750" ht="14.25" customHeight="1">
      <c r="A750" s="52"/>
      <c r="B750" s="52"/>
      <c r="C750" s="52"/>
      <c r="D750" s="52"/>
      <c r="E750" s="655"/>
      <c r="F750" s="53"/>
      <c r="G750" s="53"/>
      <c r="H750" s="1"/>
      <c r="I750" s="1"/>
    </row>
    <row r="751" ht="14.25" customHeight="1">
      <c r="A751" s="52"/>
      <c r="B751" s="52"/>
      <c r="C751" s="52"/>
      <c r="D751" s="52"/>
      <c r="E751" s="655"/>
      <c r="F751" s="53"/>
      <c r="G751" s="53"/>
      <c r="H751" s="1"/>
      <c r="I751" s="1"/>
    </row>
    <row r="752" ht="14.25" customHeight="1">
      <c r="A752" s="52"/>
      <c r="B752" s="52"/>
      <c r="C752" s="52"/>
      <c r="D752" s="52"/>
      <c r="E752" s="655"/>
      <c r="F752" s="53"/>
      <c r="G752" s="53"/>
      <c r="H752" s="1"/>
      <c r="I752" s="1"/>
    </row>
    <row r="753" ht="14.25" customHeight="1">
      <c r="A753" s="52"/>
      <c r="B753" s="52"/>
      <c r="C753" s="52"/>
      <c r="D753" s="52"/>
      <c r="E753" s="655"/>
      <c r="F753" s="53"/>
      <c r="G753" s="53"/>
      <c r="H753" s="1"/>
      <c r="I753" s="1"/>
    </row>
    <row r="754" ht="14.25" customHeight="1">
      <c r="A754" s="52"/>
      <c r="B754" s="52"/>
      <c r="C754" s="52"/>
      <c r="D754" s="52"/>
      <c r="E754" s="655"/>
      <c r="F754" s="53"/>
      <c r="G754" s="53"/>
      <c r="H754" s="1"/>
      <c r="I754" s="1"/>
    </row>
    <row r="755" ht="14.25" customHeight="1">
      <c r="A755" s="52"/>
      <c r="B755" s="52"/>
      <c r="C755" s="52"/>
      <c r="D755" s="52"/>
      <c r="E755" s="655"/>
      <c r="F755" s="53"/>
      <c r="G755" s="53"/>
      <c r="H755" s="1"/>
      <c r="I755" s="1"/>
    </row>
    <row r="756" ht="14.25" customHeight="1">
      <c r="A756" s="52"/>
      <c r="B756" s="52"/>
      <c r="C756" s="52"/>
      <c r="D756" s="52"/>
      <c r="E756" s="655"/>
      <c r="F756" s="53"/>
      <c r="G756" s="53"/>
      <c r="H756" s="1"/>
      <c r="I756" s="1"/>
    </row>
    <row r="757" ht="14.25" customHeight="1">
      <c r="A757" s="52"/>
      <c r="B757" s="52"/>
      <c r="C757" s="52"/>
      <c r="D757" s="52"/>
      <c r="E757" s="655"/>
      <c r="F757" s="53"/>
      <c r="G757" s="53"/>
      <c r="H757" s="1"/>
      <c r="I757" s="1"/>
    </row>
    <row r="758" ht="14.25" customHeight="1">
      <c r="A758" s="52"/>
      <c r="B758" s="52"/>
      <c r="C758" s="52"/>
      <c r="D758" s="52"/>
      <c r="E758" s="655"/>
      <c r="F758" s="53"/>
      <c r="G758" s="53"/>
      <c r="H758" s="1"/>
      <c r="I758" s="1"/>
    </row>
    <row r="759" ht="14.25" customHeight="1">
      <c r="A759" s="52"/>
      <c r="B759" s="52"/>
      <c r="C759" s="52"/>
      <c r="D759" s="52"/>
      <c r="E759" s="655"/>
      <c r="F759" s="53"/>
      <c r="G759" s="53"/>
      <c r="H759" s="1"/>
      <c r="I759" s="1"/>
    </row>
    <row r="760" ht="14.25" customHeight="1">
      <c r="A760" s="52"/>
      <c r="B760" s="52"/>
      <c r="C760" s="52"/>
      <c r="D760" s="52"/>
      <c r="E760" s="655"/>
      <c r="F760" s="53"/>
      <c r="G760" s="53"/>
      <c r="H760" s="1"/>
      <c r="I760" s="1"/>
    </row>
    <row r="761" ht="14.25" customHeight="1">
      <c r="A761" s="52"/>
      <c r="B761" s="52"/>
      <c r="C761" s="52"/>
      <c r="D761" s="52"/>
      <c r="E761" s="655"/>
      <c r="F761" s="53"/>
      <c r="G761" s="53"/>
      <c r="H761" s="1"/>
      <c r="I761" s="1"/>
    </row>
    <row r="762" ht="14.25" customHeight="1">
      <c r="A762" s="52"/>
      <c r="B762" s="52"/>
      <c r="C762" s="52"/>
      <c r="D762" s="52"/>
      <c r="E762" s="655"/>
      <c r="F762" s="53"/>
      <c r="G762" s="53"/>
      <c r="H762" s="1"/>
      <c r="I762" s="1"/>
    </row>
    <row r="763" ht="14.25" customHeight="1">
      <c r="A763" s="52"/>
      <c r="B763" s="52"/>
      <c r="C763" s="52"/>
      <c r="D763" s="52"/>
      <c r="E763" s="655"/>
      <c r="F763" s="53"/>
      <c r="G763" s="53"/>
      <c r="H763" s="1"/>
      <c r="I763" s="1"/>
    </row>
    <row r="764" ht="14.25" customHeight="1">
      <c r="A764" s="52"/>
      <c r="B764" s="52"/>
      <c r="C764" s="52"/>
      <c r="D764" s="52"/>
      <c r="E764" s="655"/>
      <c r="F764" s="53"/>
      <c r="G764" s="53"/>
      <c r="H764" s="1"/>
      <c r="I764" s="1"/>
    </row>
    <row r="765" ht="14.25" customHeight="1">
      <c r="A765" s="52"/>
      <c r="B765" s="52"/>
      <c r="C765" s="52"/>
      <c r="D765" s="52"/>
      <c r="E765" s="655"/>
      <c r="F765" s="53"/>
      <c r="G765" s="53"/>
      <c r="H765" s="1"/>
      <c r="I765" s="1"/>
    </row>
    <row r="766" ht="14.25" customHeight="1">
      <c r="A766" s="52"/>
      <c r="B766" s="52"/>
      <c r="C766" s="52"/>
      <c r="D766" s="52"/>
      <c r="E766" s="655"/>
      <c r="F766" s="53"/>
      <c r="G766" s="53"/>
      <c r="H766" s="1"/>
      <c r="I766" s="1"/>
    </row>
    <row r="767" ht="14.25" customHeight="1">
      <c r="A767" s="52"/>
      <c r="B767" s="52"/>
      <c r="C767" s="52"/>
      <c r="D767" s="52"/>
      <c r="E767" s="655"/>
      <c r="F767" s="53"/>
      <c r="G767" s="53"/>
      <c r="H767" s="1"/>
      <c r="I767" s="1"/>
    </row>
    <row r="768" ht="14.25" customHeight="1">
      <c r="A768" s="52"/>
      <c r="B768" s="52"/>
      <c r="C768" s="52"/>
      <c r="D768" s="52"/>
      <c r="E768" s="655"/>
      <c r="F768" s="53"/>
      <c r="G768" s="53"/>
      <c r="H768" s="1"/>
      <c r="I768" s="1"/>
    </row>
    <row r="769" ht="14.25" customHeight="1">
      <c r="A769" s="52"/>
      <c r="B769" s="52"/>
      <c r="C769" s="52"/>
      <c r="D769" s="52"/>
      <c r="E769" s="655"/>
      <c r="F769" s="53"/>
      <c r="G769" s="53"/>
      <c r="H769" s="1"/>
      <c r="I769" s="1"/>
    </row>
    <row r="770" ht="14.25" customHeight="1">
      <c r="A770" s="52"/>
      <c r="B770" s="52"/>
      <c r="C770" s="52"/>
      <c r="D770" s="52"/>
      <c r="E770" s="655"/>
      <c r="F770" s="53"/>
      <c r="G770" s="53"/>
      <c r="H770" s="1"/>
      <c r="I770" s="1"/>
    </row>
    <row r="771" ht="14.25" customHeight="1">
      <c r="A771" s="52"/>
      <c r="B771" s="52"/>
      <c r="C771" s="52"/>
      <c r="D771" s="52"/>
      <c r="E771" s="655"/>
      <c r="F771" s="53"/>
      <c r="G771" s="53"/>
      <c r="H771" s="1"/>
      <c r="I771" s="1"/>
    </row>
    <row r="772" ht="14.25" customHeight="1">
      <c r="A772" s="52"/>
      <c r="B772" s="52"/>
      <c r="C772" s="52"/>
      <c r="D772" s="52"/>
      <c r="E772" s="655"/>
      <c r="F772" s="53"/>
      <c r="G772" s="53"/>
      <c r="H772" s="1"/>
      <c r="I772" s="1"/>
    </row>
    <row r="773" ht="14.25" customHeight="1">
      <c r="A773" s="52"/>
      <c r="B773" s="52"/>
      <c r="C773" s="52"/>
      <c r="D773" s="52"/>
      <c r="E773" s="655"/>
      <c r="F773" s="53"/>
      <c r="G773" s="53"/>
      <c r="H773" s="1"/>
      <c r="I773" s="1"/>
    </row>
    <row r="774" ht="14.25" customHeight="1">
      <c r="A774" s="52"/>
      <c r="B774" s="52"/>
      <c r="C774" s="52"/>
      <c r="D774" s="52"/>
      <c r="E774" s="655"/>
      <c r="F774" s="53"/>
      <c r="G774" s="53"/>
      <c r="H774" s="1"/>
      <c r="I774" s="1"/>
    </row>
    <row r="775" ht="14.25" customHeight="1">
      <c r="A775" s="52"/>
      <c r="B775" s="52"/>
      <c r="C775" s="52"/>
      <c r="D775" s="52"/>
      <c r="E775" s="655"/>
      <c r="F775" s="53"/>
      <c r="G775" s="53"/>
      <c r="H775" s="1"/>
      <c r="I775" s="1"/>
    </row>
    <row r="776" ht="14.25" customHeight="1">
      <c r="A776" s="52"/>
      <c r="B776" s="52"/>
      <c r="C776" s="52"/>
      <c r="D776" s="52"/>
      <c r="E776" s="655"/>
      <c r="F776" s="53"/>
      <c r="G776" s="53"/>
      <c r="H776" s="1"/>
      <c r="I776" s="1"/>
    </row>
    <row r="777" ht="14.25" customHeight="1">
      <c r="A777" s="52"/>
      <c r="B777" s="52"/>
      <c r="C777" s="52"/>
      <c r="D777" s="52"/>
      <c r="E777" s="655"/>
      <c r="F777" s="53"/>
      <c r="G777" s="53"/>
      <c r="H777" s="1"/>
      <c r="I777" s="1"/>
    </row>
    <row r="778" ht="14.25" customHeight="1">
      <c r="A778" s="52"/>
      <c r="B778" s="52"/>
      <c r="C778" s="52"/>
      <c r="D778" s="52"/>
      <c r="E778" s="655"/>
      <c r="F778" s="53"/>
      <c r="G778" s="53"/>
      <c r="H778" s="1"/>
      <c r="I778" s="1"/>
    </row>
    <row r="779" ht="14.25" customHeight="1">
      <c r="A779" s="52"/>
      <c r="B779" s="52"/>
      <c r="C779" s="52"/>
      <c r="D779" s="52"/>
      <c r="E779" s="655"/>
      <c r="F779" s="53"/>
      <c r="G779" s="53"/>
      <c r="H779" s="1"/>
      <c r="I779" s="1"/>
    </row>
    <row r="780" ht="14.25" customHeight="1">
      <c r="A780" s="52"/>
      <c r="B780" s="52"/>
      <c r="C780" s="52"/>
      <c r="D780" s="52"/>
      <c r="E780" s="655"/>
      <c r="F780" s="53"/>
      <c r="G780" s="53"/>
      <c r="H780" s="1"/>
      <c r="I780" s="1"/>
    </row>
    <row r="781" ht="14.25" customHeight="1">
      <c r="A781" s="52"/>
      <c r="B781" s="52"/>
      <c r="C781" s="52"/>
      <c r="D781" s="52"/>
      <c r="E781" s="655"/>
      <c r="F781" s="53"/>
      <c r="G781" s="53"/>
      <c r="H781" s="1"/>
      <c r="I781" s="1"/>
    </row>
    <row r="782" ht="14.25" customHeight="1">
      <c r="A782" s="52"/>
      <c r="B782" s="52"/>
      <c r="C782" s="52"/>
      <c r="D782" s="52"/>
      <c r="E782" s="655"/>
      <c r="F782" s="53"/>
      <c r="G782" s="53"/>
      <c r="H782" s="1"/>
      <c r="I782" s="1"/>
    </row>
    <row r="783" ht="14.25" customHeight="1">
      <c r="A783" s="52"/>
      <c r="B783" s="52"/>
      <c r="C783" s="52"/>
      <c r="D783" s="52"/>
      <c r="E783" s="655"/>
      <c r="F783" s="53"/>
      <c r="G783" s="53"/>
      <c r="H783" s="1"/>
      <c r="I783" s="1"/>
    </row>
    <row r="784" ht="14.25" customHeight="1">
      <c r="A784" s="52"/>
      <c r="B784" s="52"/>
      <c r="C784" s="52"/>
      <c r="D784" s="52"/>
      <c r="E784" s="655"/>
      <c r="F784" s="53"/>
      <c r="G784" s="53"/>
      <c r="H784" s="1"/>
      <c r="I784" s="1"/>
    </row>
    <row r="785" ht="14.25" customHeight="1">
      <c r="A785" s="52"/>
      <c r="B785" s="52"/>
      <c r="C785" s="52"/>
      <c r="D785" s="52"/>
      <c r="E785" s="655"/>
      <c r="F785" s="53"/>
      <c r="G785" s="53"/>
      <c r="H785" s="1"/>
      <c r="I785" s="1"/>
    </row>
    <row r="786" ht="14.25" customHeight="1">
      <c r="A786" s="52"/>
      <c r="B786" s="52"/>
      <c r="C786" s="52"/>
      <c r="D786" s="52"/>
      <c r="E786" s="655"/>
      <c r="F786" s="53"/>
      <c r="G786" s="53"/>
      <c r="H786" s="1"/>
      <c r="I786" s="1"/>
    </row>
    <row r="787" ht="14.25" customHeight="1">
      <c r="A787" s="52"/>
      <c r="B787" s="52"/>
      <c r="C787" s="52"/>
      <c r="D787" s="52"/>
      <c r="E787" s="655"/>
      <c r="F787" s="53"/>
      <c r="G787" s="53"/>
      <c r="H787" s="1"/>
      <c r="I787" s="1"/>
    </row>
    <row r="788" ht="14.25" customHeight="1">
      <c r="A788" s="52"/>
      <c r="B788" s="52"/>
      <c r="C788" s="52"/>
      <c r="D788" s="52"/>
      <c r="E788" s="655"/>
      <c r="F788" s="53"/>
      <c r="G788" s="53"/>
      <c r="H788" s="1"/>
      <c r="I788" s="1"/>
    </row>
    <row r="789" ht="14.25" customHeight="1">
      <c r="A789" s="52"/>
      <c r="B789" s="52"/>
      <c r="C789" s="52"/>
      <c r="D789" s="52"/>
      <c r="E789" s="655"/>
      <c r="F789" s="53"/>
      <c r="G789" s="53"/>
      <c r="H789" s="1"/>
      <c r="I789" s="1"/>
    </row>
    <row r="790" ht="14.25" customHeight="1">
      <c r="A790" s="52"/>
      <c r="B790" s="52"/>
      <c r="C790" s="52"/>
      <c r="D790" s="52"/>
      <c r="E790" s="655"/>
      <c r="F790" s="53"/>
      <c r="G790" s="53"/>
      <c r="H790" s="1"/>
      <c r="I790" s="1"/>
    </row>
    <row r="791" ht="14.25" customHeight="1">
      <c r="A791" s="52"/>
      <c r="B791" s="52"/>
      <c r="C791" s="52"/>
      <c r="D791" s="52"/>
      <c r="E791" s="655"/>
      <c r="F791" s="53"/>
      <c r="G791" s="53"/>
      <c r="H791" s="1"/>
      <c r="I791" s="1"/>
    </row>
    <row r="792" ht="14.25" customHeight="1">
      <c r="A792" s="52"/>
      <c r="B792" s="52"/>
      <c r="C792" s="52"/>
      <c r="D792" s="52"/>
      <c r="E792" s="655"/>
      <c r="F792" s="53"/>
      <c r="G792" s="53"/>
      <c r="H792" s="1"/>
      <c r="I792" s="1"/>
    </row>
    <row r="793" ht="14.25" customHeight="1">
      <c r="A793" s="52"/>
      <c r="B793" s="52"/>
      <c r="C793" s="52"/>
      <c r="D793" s="52"/>
      <c r="E793" s="655"/>
      <c r="F793" s="53"/>
      <c r="G793" s="53"/>
      <c r="H793" s="1"/>
      <c r="I793" s="1"/>
    </row>
    <row r="794" ht="14.25" customHeight="1">
      <c r="A794" s="52"/>
      <c r="B794" s="52"/>
      <c r="C794" s="52"/>
      <c r="D794" s="52"/>
      <c r="E794" s="655"/>
      <c r="F794" s="53"/>
      <c r="G794" s="53"/>
      <c r="H794" s="1"/>
      <c r="I794" s="1"/>
    </row>
    <row r="795" ht="14.25" customHeight="1">
      <c r="A795" s="52"/>
      <c r="B795" s="52"/>
      <c r="C795" s="52"/>
      <c r="D795" s="52"/>
      <c r="E795" s="655"/>
      <c r="F795" s="53"/>
      <c r="G795" s="53"/>
      <c r="H795" s="1"/>
      <c r="I795" s="1"/>
    </row>
    <row r="796" ht="14.25" customHeight="1">
      <c r="A796" s="52"/>
      <c r="B796" s="52"/>
      <c r="C796" s="52"/>
      <c r="D796" s="52"/>
      <c r="E796" s="655"/>
      <c r="F796" s="53"/>
      <c r="G796" s="53"/>
      <c r="H796" s="1"/>
      <c r="I796" s="1"/>
    </row>
    <row r="797" ht="14.25" customHeight="1">
      <c r="A797" s="52"/>
      <c r="B797" s="52"/>
      <c r="C797" s="52"/>
      <c r="D797" s="52"/>
      <c r="E797" s="655"/>
      <c r="F797" s="53"/>
      <c r="G797" s="53"/>
      <c r="H797" s="1"/>
      <c r="I797" s="1"/>
    </row>
    <row r="798" ht="14.25" customHeight="1">
      <c r="A798" s="52"/>
      <c r="B798" s="52"/>
      <c r="C798" s="52"/>
      <c r="D798" s="52"/>
      <c r="E798" s="655"/>
      <c r="F798" s="53"/>
      <c r="G798" s="53"/>
      <c r="H798" s="1"/>
      <c r="I798" s="1"/>
    </row>
    <row r="799" ht="14.25" customHeight="1">
      <c r="A799" s="52"/>
      <c r="B799" s="52"/>
      <c r="C799" s="52"/>
      <c r="D799" s="52"/>
      <c r="E799" s="655"/>
      <c r="F799" s="53"/>
      <c r="G799" s="53"/>
      <c r="H799" s="1"/>
      <c r="I799" s="1"/>
    </row>
    <row r="800" ht="14.25" customHeight="1">
      <c r="A800" s="52"/>
      <c r="B800" s="52"/>
      <c r="C800" s="52"/>
      <c r="D800" s="52"/>
      <c r="E800" s="655"/>
      <c r="F800" s="53"/>
      <c r="G800" s="53"/>
      <c r="H800" s="1"/>
      <c r="I800" s="1"/>
    </row>
    <row r="801" ht="14.25" customHeight="1">
      <c r="A801" s="52"/>
      <c r="B801" s="52"/>
      <c r="C801" s="52"/>
      <c r="D801" s="52"/>
      <c r="E801" s="655"/>
      <c r="F801" s="53"/>
      <c r="G801" s="53"/>
      <c r="H801" s="1"/>
      <c r="I801" s="1"/>
    </row>
    <row r="802" ht="14.25" customHeight="1">
      <c r="A802" s="52"/>
      <c r="B802" s="52"/>
      <c r="C802" s="52"/>
      <c r="D802" s="52"/>
      <c r="E802" s="655"/>
      <c r="F802" s="53"/>
      <c r="G802" s="53"/>
      <c r="H802" s="1"/>
      <c r="I802" s="1"/>
    </row>
    <row r="803" ht="14.25" customHeight="1">
      <c r="A803" s="52"/>
      <c r="B803" s="52"/>
      <c r="C803" s="52"/>
      <c r="D803" s="52"/>
      <c r="E803" s="655"/>
      <c r="F803" s="53"/>
      <c r="G803" s="53"/>
      <c r="H803" s="1"/>
      <c r="I803" s="1"/>
    </row>
    <row r="804" ht="14.25" customHeight="1">
      <c r="A804" s="52"/>
      <c r="B804" s="52"/>
      <c r="C804" s="52"/>
      <c r="D804" s="52"/>
      <c r="E804" s="655"/>
      <c r="F804" s="53"/>
      <c r="G804" s="53"/>
      <c r="H804" s="1"/>
      <c r="I804" s="1"/>
    </row>
    <row r="805" ht="14.25" customHeight="1">
      <c r="A805" s="52"/>
      <c r="B805" s="52"/>
      <c r="C805" s="52"/>
      <c r="D805" s="52"/>
      <c r="E805" s="655"/>
      <c r="F805" s="53"/>
      <c r="G805" s="53"/>
      <c r="H805" s="1"/>
      <c r="I805" s="1"/>
    </row>
    <row r="806" ht="14.25" customHeight="1">
      <c r="A806" s="52"/>
      <c r="B806" s="52"/>
      <c r="C806" s="52"/>
      <c r="D806" s="52"/>
      <c r="E806" s="655"/>
      <c r="F806" s="53"/>
      <c r="G806" s="53"/>
      <c r="H806" s="1"/>
      <c r="I806" s="1"/>
    </row>
    <row r="807" ht="14.25" customHeight="1">
      <c r="A807" s="52"/>
      <c r="B807" s="52"/>
      <c r="C807" s="52"/>
      <c r="D807" s="52"/>
      <c r="E807" s="655"/>
      <c r="F807" s="53"/>
      <c r="G807" s="53"/>
      <c r="H807" s="1"/>
      <c r="I807" s="1"/>
    </row>
    <row r="808" ht="14.25" customHeight="1">
      <c r="A808" s="52"/>
      <c r="B808" s="52"/>
      <c r="C808" s="52"/>
      <c r="D808" s="52"/>
      <c r="E808" s="655"/>
      <c r="F808" s="53"/>
      <c r="G808" s="53"/>
      <c r="H808" s="1"/>
      <c r="I808" s="1"/>
    </row>
    <row r="809" ht="14.25" customHeight="1">
      <c r="A809" s="52"/>
      <c r="B809" s="52"/>
      <c r="C809" s="52"/>
      <c r="D809" s="52"/>
      <c r="E809" s="655"/>
      <c r="F809" s="53"/>
      <c r="G809" s="53"/>
      <c r="H809" s="1"/>
      <c r="I809" s="1"/>
    </row>
    <row r="810" ht="14.25" customHeight="1">
      <c r="A810" s="52"/>
      <c r="B810" s="52"/>
      <c r="C810" s="52"/>
      <c r="D810" s="52"/>
      <c r="E810" s="655"/>
      <c r="F810" s="53"/>
      <c r="G810" s="53"/>
      <c r="H810" s="1"/>
      <c r="I810" s="1"/>
    </row>
    <row r="811" ht="14.25" customHeight="1">
      <c r="A811" s="52"/>
      <c r="B811" s="52"/>
      <c r="C811" s="52"/>
      <c r="D811" s="52"/>
      <c r="E811" s="655"/>
      <c r="F811" s="53"/>
      <c r="G811" s="53"/>
      <c r="H811" s="1"/>
      <c r="I811" s="1"/>
    </row>
    <row r="812" ht="14.25" customHeight="1">
      <c r="A812" s="52"/>
      <c r="B812" s="52"/>
      <c r="C812" s="52"/>
      <c r="D812" s="52"/>
      <c r="E812" s="655"/>
      <c r="F812" s="53"/>
      <c r="G812" s="53"/>
      <c r="H812" s="1"/>
      <c r="I812" s="1"/>
    </row>
    <row r="813" ht="14.25" customHeight="1">
      <c r="A813" s="52"/>
      <c r="B813" s="52"/>
      <c r="C813" s="52"/>
      <c r="D813" s="52"/>
      <c r="E813" s="655"/>
      <c r="F813" s="53"/>
      <c r="G813" s="53"/>
      <c r="H813" s="1"/>
      <c r="I813" s="1"/>
    </row>
    <row r="814" ht="14.25" customHeight="1">
      <c r="A814" s="52"/>
      <c r="B814" s="52"/>
      <c r="C814" s="52"/>
      <c r="D814" s="52"/>
      <c r="E814" s="655"/>
      <c r="F814" s="53"/>
      <c r="G814" s="53"/>
      <c r="H814" s="1"/>
      <c r="I814" s="1"/>
    </row>
    <row r="815" ht="14.25" customHeight="1">
      <c r="A815" s="52"/>
      <c r="B815" s="52"/>
      <c r="C815" s="52"/>
      <c r="D815" s="52"/>
      <c r="E815" s="655"/>
      <c r="F815" s="53"/>
      <c r="G815" s="53"/>
      <c r="H815" s="1"/>
      <c r="I815" s="1"/>
    </row>
    <row r="816" ht="14.25" customHeight="1">
      <c r="A816" s="52"/>
      <c r="B816" s="52"/>
      <c r="C816" s="52"/>
      <c r="D816" s="52"/>
      <c r="E816" s="655"/>
      <c r="F816" s="53"/>
      <c r="G816" s="53"/>
      <c r="H816" s="1"/>
      <c r="I816" s="1"/>
    </row>
    <row r="817" ht="14.25" customHeight="1">
      <c r="A817" s="52"/>
      <c r="B817" s="52"/>
      <c r="C817" s="52"/>
      <c r="D817" s="52"/>
      <c r="E817" s="655"/>
      <c r="F817" s="53"/>
      <c r="G817" s="53"/>
      <c r="H817" s="1"/>
      <c r="I817" s="1"/>
    </row>
    <row r="818" ht="14.25" customHeight="1">
      <c r="A818" s="52"/>
      <c r="B818" s="52"/>
      <c r="C818" s="52"/>
      <c r="D818" s="52"/>
      <c r="E818" s="655"/>
      <c r="F818" s="53"/>
      <c r="G818" s="53"/>
      <c r="H818" s="1"/>
      <c r="I818" s="1"/>
    </row>
    <row r="819" ht="14.25" customHeight="1">
      <c r="A819" s="52"/>
      <c r="B819" s="52"/>
      <c r="C819" s="52"/>
      <c r="D819" s="52"/>
      <c r="E819" s="655"/>
      <c r="F819" s="53"/>
      <c r="G819" s="53"/>
      <c r="H819" s="1"/>
      <c r="I819" s="1"/>
    </row>
    <row r="820" ht="14.25" customHeight="1">
      <c r="A820" s="52"/>
      <c r="B820" s="52"/>
      <c r="C820" s="52"/>
      <c r="D820" s="52"/>
      <c r="E820" s="655"/>
      <c r="F820" s="53"/>
      <c r="G820" s="53"/>
      <c r="H820" s="1"/>
      <c r="I820" s="1"/>
    </row>
    <row r="821" ht="14.25" customHeight="1">
      <c r="A821" s="52"/>
      <c r="B821" s="52"/>
      <c r="C821" s="52"/>
      <c r="D821" s="52"/>
      <c r="E821" s="655"/>
      <c r="F821" s="53"/>
      <c r="G821" s="53"/>
      <c r="H821" s="1"/>
      <c r="I821" s="1"/>
    </row>
    <row r="822" ht="14.25" customHeight="1">
      <c r="A822" s="52"/>
      <c r="B822" s="52"/>
      <c r="C822" s="52"/>
      <c r="D822" s="52"/>
      <c r="E822" s="655"/>
      <c r="F822" s="53"/>
      <c r="G822" s="53"/>
      <c r="H822" s="1"/>
      <c r="I822" s="1"/>
    </row>
    <row r="823" ht="14.25" customHeight="1">
      <c r="A823" s="52"/>
      <c r="B823" s="52"/>
      <c r="C823" s="52"/>
      <c r="D823" s="52"/>
      <c r="E823" s="655"/>
      <c r="F823" s="53"/>
      <c r="G823" s="53"/>
      <c r="H823" s="1"/>
      <c r="I823" s="1"/>
    </row>
    <row r="824" ht="14.25" customHeight="1">
      <c r="A824" s="52"/>
      <c r="B824" s="52"/>
      <c r="C824" s="52"/>
      <c r="D824" s="52"/>
      <c r="E824" s="655"/>
      <c r="F824" s="53"/>
      <c r="G824" s="53"/>
      <c r="H824" s="1"/>
      <c r="I824" s="1"/>
    </row>
    <row r="825" ht="14.25" customHeight="1">
      <c r="A825" s="52"/>
      <c r="B825" s="52"/>
      <c r="C825" s="52"/>
      <c r="D825" s="52"/>
      <c r="E825" s="655"/>
      <c r="F825" s="53"/>
      <c r="G825" s="53"/>
      <c r="H825" s="1"/>
      <c r="I825" s="1"/>
    </row>
    <row r="826" ht="14.25" customHeight="1">
      <c r="A826" s="52"/>
      <c r="B826" s="52"/>
      <c r="C826" s="52"/>
      <c r="D826" s="52"/>
      <c r="E826" s="655"/>
      <c r="F826" s="53"/>
      <c r="G826" s="53"/>
      <c r="H826" s="1"/>
      <c r="I826" s="1"/>
    </row>
    <row r="827" ht="14.25" customHeight="1">
      <c r="A827" s="52"/>
      <c r="B827" s="52"/>
      <c r="C827" s="52"/>
      <c r="D827" s="52"/>
      <c r="E827" s="655"/>
      <c r="F827" s="53"/>
      <c r="G827" s="53"/>
      <c r="H827" s="1"/>
      <c r="I827" s="1"/>
    </row>
    <row r="828" ht="14.25" customHeight="1">
      <c r="A828" s="52"/>
      <c r="B828" s="52"/>
      <c r="C828" s="52"/>
      <c r="D828" s="52"/>
      <c r="E828" s="655"/>
      <c r="F828" s="53"/>
      <c r="G828" s="53"/>
      <c r="H828" s="1"/>
      <c r="I828" s="1"/>
    </row>
    <row r="829" ht="14.25" customHeight="1">
      <c r="A829" s="52"/>
      <c r="B829" s="52"/>
      <c r="C829" s="52"/>
      <c r="D829" s="52"/>
      <c r="E829" s="655"/>
      <c r="F829" s="53"/>
      <c r="G829" s="53"/>
      <c r="H829" s="1"/>
      <c r="I829" s="1"/>
    </row>
    <row r="830" ht="14.25" customHeight="1">
      <c r="A830" s="52"/>
      <c r="B830" s="52"/>
      <c r="C830" s="52"/>
      <c r="D830" s="52"/>
      <c r="E830" s="655"/>
      <c r="F830" s="53"/>
      <c r="G830" s="53"/>
      <c r="H830" s="1"/>
      <c r="I830" s="1"/>
    </row>
    <row r="831" ht="14.25" customHeight="1">
      <c r="A831" s="52"/>
      <c r="B831" s="52"/>
      <c r="C831" s="52"/>
      <c r="D831" s="52"/>
      <c r="E831" s="655"/>
      <c r="F831" s="53"/>
      <c r="G831" s="53"/>
      <c r="H831" s="1"/>
      <c r="I831" s="1"/>
    </row>
    <row r="832" ht="14.25" customHeight="1">
      <c r="A832" s="52"/>
      <c r="B832" s="52"/>
      <c r="C832" s="52"/>
      <c r="D832" s="52"/>
      <c r="E832" s="655"/>
      <c r="F832" s="53"/>
      <c r="G832" s="53"/>
      <c r="H832" s="1"/>
      <c r="I832" s="1"/>
    </row>
    <row r="833" ht="14.25" customHeight="1">
      <c r="A833" s="52"/>
      <c r="B833" s="52"/>
      <c r="C833" s="52"/>
      <c r="D833" s="52"/>
      <c r="E833" s="655"/>
      <c r="F833" s="53"/>
      <c r="G833" s="53"/>
      <c r="H833" s="1"/>
      <c r="I833" s="1"/>
    </row>
    <row r="834" ht="14.25" customHeight="1">
      <c r="A834" s="52"/>
      <c r="B834" s="52"/>
      <c r="C834" s="52"/>
      <c r="D834" s="52"/>
      <c r="E834" s="655"/>
      <c r="F834" s="53"/>
      <c r="G834" s="53"/>
      <c r="H834" s="1"/>
      <c r="I834" s="1"/>
    </row>
    <row r="835" ht="14.25" customHeight="1">
      <c r="A835" s="52"/>
      <c r="B835" s="52"/>
      <c r="C835" s="52"/>
      <c r="D835" s="52"/>
      <c r="E835" s="655"/>
      <c r="F835" s="53"/>
      <c r="G835" s="53"/>
      <c r="H835" s="1"/>
      <c r="I835" s="1"/>
    </row>
    <row r="836" ht="14.25" customHeight="1">
      <c r="A836" s="52"/>
      <c r="B836" s="52"/>
      <c r="C836" s="52"/>
      <c r="D836" s="52"/>
      <c r="E836" s="655"/>
      <c r="F836" s="53"/>
      <c r="G836" s="53"/>
      <c r="H836" s="1"/>
      <c r="I836" s="1"/>
    </row>
    <row r="837" ht="14.25" customHeight="1">
      <c r="A837" s="52"/>
      <c r="B837" s="52"/>
      <c r="C837" s="52"/>
      <c r="D837" s="52"/>
      <c r="E837" s="655"/>
      <c r="F837" s="53"/>
      <c r="G837" s="53"/>
      <c r="H837" s="1"/>
      <c r="I837" s="1"/>
    </row>
    <row r="838" ht="14.25" customHeight="1">
      <c r="A838" s="52"/>
      <c r="B838" s="52"/>
      <c r="C838" s="52"/>
      <c r="D838" s="52"/>
      <c r="E838" s="655"/>
      <c r="F838" s="53"/>
      <c r="G838" s="53"/>
      <c r="H838" s="1"/>
      <c r="I838" s="1"/>
    </row>
    <row r="839" ht="14.25" customHeight="1">
      <c r="A839" s="52"/>
      <c r="B839" s="52"/>
      <c r="C839" s="52"/>
      <c r="D839" s="52"/>
      <c r="E839" s="655"/>
      <c r="F839" s="53"/>
      <c r="G839" s="53"/>
      <c r="H839" s="1"/>
      <c r="I839" s="1"/>
    </row>
    <row r="840" ht="14.25" customHeight="1">
      <c r="A840" s="52"/>
      <c r="B840" s="52"/>
      <c r="C840" s="52"/>
      <c r="D840" s="52"/>
      <c r="E840" s="655"/>
      <c r="F840" s="53"/>
      <c r="G840" s="53"/>
      <c r="H840" s="1"/>
      <c r="I840" s="1"/>
    </row>
    <row r="841" ht="14.25" customHeight="1">
      <c r="A841" s="52"/>
      <c r="B841" s="52"/>
      <c r="C841" s="52"/>
      <c r="D841" s="52"/>
      <c r="E841" s="655"/>
      <c r="F841" s="53"/>
      <c r="G841" s="53"/>
      <c r="H841" s="1"/>
      <c r="I841" s="1"/>
    </row>
    <row r="842" ht="14.25" customHeight="1">
      <c r="A842" s="52"/>
      <c r="B842" s="52"/>
      <c r="C842" s="52"/>
      <c r="D842" s="52"/>
      <c r="E842" s="655"/>
      <c r="F842" s="53"/>
      <c r="G842" s="53"/>
      <c r="H842" s="1"/>
      <c r="I842" s="1"/>
    </row>
    <row r="843" ht="14.25" customHeight="1">
      <c r="A843" s="52"/>
      <c r="B843" s="52"/>
      <c r="C843" s="52"/>
      <c r="D843" s="52"/>
      <c r="E843" s="655"/>
      <c r="F843" s="53"/>
      <c r="G843" s="53"/>
      <c r="H843" s="1"/>
      <c r="I843" s="1"/>
    </row>
    <row r="844" ht="14.25" customHeight="1">
      <c r="A844" s="52"/>
      <c r="B844" s="52"/>
      <c r="C844" s="52"/>
      <c r="D844" s="52"/>
      <c r="E844" s="655"/>
      <c r="F844" s="53"/>
      <c r="G844" s="53"/>
      <c r="H844" s="1"/>
      <c r="I844" s="1"/>
    </row>
    <row r="845" ht="14.25" customHeight="1">
      <c r="A845" s="52"/>
      <c r="B845" s="52"/>
      <c r="C845" s="52"/>
      <c r="D845" s="52"/>
      <c r="E845" s="655"/>
      <c r="F845" s="53"/>
      <c r="G845" s="53"/>
      <c r="H845" s="1"/>
      <c r="I845" s="1"/>
    </row>
    <row r="846" ht="14.25" customHeight="1">
      <c r="A846" s="52"/>
      <c r="B846" s="52"/>
      <c r="C846" s="52"/>
      <c r="D846" s="52"/>
      <c r="E846" s="655"/>
      <c r="F846" s="53"/>
      <c r="G846" s="53"/>
      <c r="H846" s="1"/>
      <c r="I846" s="1"/>
    </row>
    <row r="847" ht="14.25" customHeight="1">
      <c r="A847" s="52"/>
      <c r="B847" s="52"/>
      <c r="C847" s="52"/>
      <c r="D847" s="52"/>
      <c r="E847" s="655"/>
      <c r="F847" s="53"/>
      <c r="G847" s="53"/>
      <c r="H847" s="1"/>
      <c r="I847" s="1"/>
    </row>
    <row r="848" ht="14.25" customHeight="1">
      <c r="A848" s="52"/>
      <c r="B848" s="52"/>
      <c r="C848" s="52"/>
      <c r="D848" s="52"/>
      <c r="E848" s="655"/>
      <c r="F848" s="53"/>
      <c r="G848" s="53"/>
      <c r="H848" s="1"/>
      <c r="I848" s="1"/>
    </row>
    <row r="849" ht="14.25" customHeight="1">
      <c r="A849" s="52"/>
      <c r="B849" s="52"/>
      <c r="C849" s="52"/>
      <c r="D849" s="52"/>
      <c r="E849" s="655"/>
      <c r="F849" s="53"/>
      <c r="G849" s="53"/>
      <c r="H849" s="1"/>
      <c r="I849" s="1"/>
    </row>
    <row r="850" ht="14.25" customHeight="1">
      <c r="A850" s="52"/>
      <c r="B850" s="52"/>
      <c r="C850" s="52"/>
      <c r="D850" s="52"/>
      <c r="E850" s="655"/>
      <c r="F850" s="53"/>
      <c r="G850" s="53"/>
      <c r="H850" s="1"/>
      <c r="I850" s="1"/>
    </row>
    <row r="851" ht="14.25" customHeight="1">
      <c r="A851" s="52"/>
      <c r="B851" s="52"/>
      <c r="C851" s="52"/>
      <c r="D851" s="52"/>
      <c r="E851" s="655"/>
      <c r="F851" s="53"/>
      <c r="G851" s="53"/>
      <c r="H851" s="1"/>
      <c r="I851" s="1"/>
    </row>
    <row r="852" ht="14.25" customHeight="1">
      <c r="A852" s="52"/>
      <c r="B852" s="52"/>
      <c r="C852" s="52"/>
      <c r="D852" s="52"/>
      <c r="E852" s="655"/>
      <c r="F852" s="53"/>
      <c r="G852" s="53"/>
      <c r="H852" s="1"/>
      <c r="I852" s="1"/>
    </row>
    <row r="853" ht="14.25" customHeight="1">
      <c r="A853" s="52"/>
      <c r="B853" s="52"/>
      <c r="C853" s="52"/>
      <c r="D853" s="52"/>
      <c r="E853" s="655"/>
      <c r="F853" s="53"/>
      <c r="G853" s="53"/>
      <c r="H853" s="1"/>
      <c r="I853" s="1"/>
    </row>
    <row r="854" ht="14.25" customHeight="1">
      <c r="A854" s="52"/>
      <c r="B854" s="52"/>
      <c r="C854" s="52"/>
      <c r="D854" s="52"/>
      <c r="E854" s="655"/>
      <c r="F854" s="53"/>
      <c r="G854" s="53"/>
      <c r="H854" s="1"/>
      <c r="I854" s="1"/>
    </row>
    <row r="855" ht="14.25" customHeight="1">
      <c r="A855" s="52"/>
      <c r="B855" s="52"/>
      <c r="C855" s="52"/>
      <c r="D855" s="52"/>
      <c r="E855" s="655"/>
      <c r="F855" s="53"/>
      <c r="G855" s="53"/>
      <c r="H855" s="1"/>
      <c r="I855" s="1"/>
    </row>
    <row r="856" ht="14.25" customHeight="1">
      <c r="A856" s="52"/>
      <c r="B856" s="52"/>
      <c r="C856" s="52"/>
      <c r="D856" s="52"/>
      <c r="E856" s="655"/>
      <c r="F856" s="53"/>
      <c r="G856" s="53"/>
      <c r="H856" s="1"/>
      <c r="I856" s="1"/>
    </row>
    <row r="857" ht="14.25" customHeight="1">
      <c r="A857" s="52"/>
      <c r="B857" s="52"/>
      <c r="C857" s="52"/>
      <c r="D857" s="52"/>
      <c r="E857" s="655"/>
      <c r="F857" s="53"/>
      <c r="G857" s="53"/>
      <c r="H857" s="1"/>
      <c r="I857" s="1"/>
    </row>
    <row r="858" ht="14.25" customHeight="1">
      <c r="A858" s="52"/>
      <c r="B858" s="52"/>
      <c r="C858" s="52"/>
      <c r="D858" s="52"/>
      <c r="E858" s="655"/>
      <c r="F858" s="53"/>
      <c r="G858" s="53"/>
      <c r="H858" s="1"/>
      <c r="I858" s="1"/>
    </row>
    <row r="859" ht="14.25" customHeight="1">
      <c r="A859" s="52"/>
      <c r="B859" s="52"/>
      <c r="C859" s="52"/>
      <c r="D859" s="52"/>
      <c r="E859" s="655"/>
      <c r="F859" s="53"/>
      <c r="G859" s="53"/>
      <c r="H859" s="1"/>
      <c r="I859" s="1"/>
    </row>
    <row r="860" ht="14.25" customHeight="1">
      <c r="A860" s="52"/>
      <c r="B860" s="52"/>
      <c r="C860" s="52"/>
      <c r="D860" s="52"/>
      <c r="E860" s="655"/>
      <c r="F860" s="53"/>
      <c r="G860" s="53"/>
      <c r="H860" s="1"/>
      <c r="I860" s="1"/>
    </row>
    <row r="861" ht="14.25" customHeight="1">
      <c r="A861" s="52"/>
      <c r="B861" s="52"/>
      <c r="C861" s="52"/>
      <c r="D861" s="52"/>
      <c r="E861" s="655"/>
      <c r="F861" s="53"/>
      <c r="G861" s="53"/>
      <c r="H861" s="1"/>
      <c r="I861" s="1"/>
    </row>
    <row r="862" ht="14.25" customHeight="1">
      <c r="A862" s="52"/>
      <c r="B862" s="52"/>
      <c r="C862" s="52"/>
      <c r="D862" s="52"/>
      <c r="E862" s="655"/>
      <c r="F862" s="53"/>
      <c r="G862" s="53"/>
      <c r="H862" s="1"/>
      <c r="I862" s="1"/>
    </row>
    <row r="863" ht="14.25" customHeight="1">
      <c r="A863" s="52"/>
      <c r="B863" s="52"/>
      <c r="C863" s="52"/>
      <c r="D863" s="52"/>
      <c r="E863" s="655"/>
      <c r="F863" s="53"/>
      <c r="G863" s="53"/>
      <c r="H863" s="1"/>
      <c r="I863" s="1"/>
    </row>
    <row r="864" ht="14.25" customHeight="1">
      <c r="A864" s="52"/>
      <c r="B864" s="52"/>
      <c r="C864" s="52"/>
      <c r="D864" s="52"/>
      <c r="E864" s="655"/>
      <c r="F864" s="53"/>
      <c r="G864" s="53"/>
      <c r="H864" s="1"/>
      <c r="I864" s="1"/>
    </row>
    <row r="865" ht="14.25" customHeight="1">
      <c r="A865" s="52"/>
      <c r="B865" s="52"/>
      <c r="C865" s="52"/>
      <c r="D865" s="52"/>
      <c r="E865" s="655"/>
      <c r="F865" s="53"/>
      <c r="G865" s="53"/>
      <c r="H865" s="1"/>
      <c r="I865" s="1"/>
    </row>
    <row r="866" ht="14.25" customHeight="1">
      <c r="A866" s="52"/>
      <c r="B866" s="52"/>
      <c r="C866" s="52"/>
      <c r="D866" s="52"/>
      <c r="E866" s="655"/>
      <c r="F866" s="53"/>
      <c r="G866" s="53"/>
      <c r="H866" s="1"/>
      <c r="I866" s="1"/>
    </row>
    <row r="867" ht="14.25" customHeight="1">
      <c r="A867" s="52"/>
      <c r="B867" s="52"/>
      <c r="C867" s="52"/>
      <c r="D867" s="52"/>
      <c r="E867" s="655"/>
      <c r="F867" s="53"/>
      <c r="G867" s="53"/>
      <c r="H867" s="1"/>
      <c r="I867" s="1"/>
    </row>
    <row r="868" ht="14.25" customHeight="1">
      <c r="A868" s="52"/>
      <c r="B868" s="52"/>
      <c r="C868" s="52"/>
      <c r="D868" s="52"/>
      <c r="E868" s="655"/>
      <c r="F868" s="53"/>
      <c r="G868" s="53"/>
      <c r="H868" s="1"/>
      <c r="I868" s="1"/>
    </row>
    <row r="869" ht="14.25" customHeight="1">
      <c r="A869" s="52"/>
      <c r="B869" s="52"/>
      <c r="C869" s="52"/>
      <c r="D869" s="52"/>
      <c r="E869" s="655"/>
      <c r="F869" s="53"/>
      <c r="G869" s="53"/>
      <c r="H869" s="1"/>
      <c r="I869" s="1"/>
    </row>
    <row r="870" ht="14.25" customHeight="1">
      <c r="A870" s="52"/>
      <c r="B870" s="52"/>
      <c r="C870" s="52"/>
      <c r="D870" s="52"/>
      <c r="E870" s="655"/>
      <c r="F870" s="53"/>
      <c r="G870" s="53"/>
      <c r="H870" s="1"/>
      <c r="I870" s="1"/>
    </row>
    <row r="871" ht="14.25" customHeight="1">
      <c r="A871" s="52"/>
      <c r="B871" s="52"/>
      <c r="C871" s="52"/>
      <c r="D871" s="52"/>
      <c r="E871" s="655"/>
      <c r="F871" s="53"/>
      <c r="G871" s="53"/>
      <c r="H871" s="1"/>
      <c r="I871" s="1"/>
    </row>
    <row r="872" ht="14.25" customHeight="1">
      <c r="A872" s="52"/>
      <c r="B872" s="52"/>
      <c r="C872" s="52"/>
      <c r="D872" s="52"/>
      <c r="E872" s="655"/>
      <c r="F872" s="53"/>
      <c r="G872" s="53"/>
      <c r="H872" s="1"/>
      <c r="I872" s="1"/>
    </row>
    <row r="873" ht="14.25" customHeight="1">
      <c r="A873" s="52"/>
      <c r="B873" s="52"/>
      <c r="C873" s="52"/>
      <c r="D873" s="52"/>
      <c r="E873" s="655"/>
      <c r="F873" s="53"/>
      <c r="G873" s="53"/>
      <c r="H873" s="1"/>
      <c r="I873" s="1"/>
    </row>
    <row r="874" ht="14.25" customHeight="1">
      <c r="A874" s="52"/>
      <c r="B874" s="52"/>
      <c r="C874" s="52"/>
      <c r="D874" s="52"/>
      <c r="E874" s="655"/>
      <c r="F874" s="53"/>
      <c r="G874" s="53"/>
      <c r="H874" s="1"/>
      <c r="I874" s="1"/>
    </row>
    <row r="875" ht="14.25" customHeight="1">
      <c r="A875" s="52"/>
      <c r="B875" s="52"/>
      <c r="C875" s="52"/>
      <c r="D875" s="52"/>
      <c r="E875" s="655"/>
      <c r="F875" s="53"/>
      <c r="G875" s="53"/>
      <c r="H875" s="1"/>
      <c r="I875" s="1"/>
    </row>
    <row r="876" ht="14.25" customHeight="1">
      <c r="A876" s="52"/>
      <c r="B876" s="52"/>
      <c r="C876" s="52"/>
      <c r="D876" s="52"/>
      <c r="E876" s="655"/>
      <c r="F876" s="53"/>
      <c r="G876" s="53"/>
      <c r="H876" s="1"/>
      <c r="I876" s="1"/>
    </row>
    <row r="877" ht="14.25" customHeight="1">
      <c r="A877" s="52"/>
      <c r="B877" s="52"/>
      <c r="C877" s="52"/>
      <c r="D877" s="52"/>
      <c r="E877" s="655"/>
      <c r="F877" s="53"/>
      <c r="G877" s="53"/>
      <c r="H877" s="1"/>
      <c r="I877" s="1"/>
    </row>
    <row r="878" ht="14.25" customHeight="1">
      <c r="A878" s="52"/>
      <c r="B878" s="52"/>
      <c r="C878" s="52"/>
      <c r="D878" s="52"/>
      <c r="E878" s="655"/>
      <c r="F878" s="53"/>
      <c r="G878" s="53"/>
      <c r="H878" s="1"/>
      <c r="I878" s="1"/>
    </row>
    <row r="879" ht="14.25" customHeight="1">
      <c r="A879" s="52"/>
      <c r="B879" s="52"/>
      <c r="C879" s="52"/>
      <c r="D879" s="52"/>
      <c r="E879" s="655"/>
      <c r="F879" s="53"/>
      <c r="G879" s="53"/>
      <c r="H879" s="1"/>
      <c r="I879" s="1"/>
    </row>
    <row r="880" ht="14.25" customHeight="1">
      <c r="A880" s="52"/>
      <c r="B880" s="52"/>
      <c r="C880" s="52"/>
      <c r="D880" s="52"/>
      <c r="E880" s="655"/>
      <c r="F880" s="53"/>
      <c r="G880" s="53"/>
      <c r="H880" s="1"/>
      <c r="I880" s="1"/>
    </row>
    <row r="881" ht="14.25" customHeight="1">
      <c r="A881" s="52"/>
      <c r="B881" s="52"/>
      <c r="C881" s="52"/>
      <c r="D881" s="52"/>
      <c r="E881" s="655"/>
      <c r="F881" s="53"/>
      <c r="G881" s="53"/>
      <c r="H881" s="1"/>
      <c r="I881" s="1"/>
    </row>
    <row r="882" ht="14.25" customHeight="1">
      <c r="A882" s="52"/>
      <c r="B882" s="52"/>
      <c r="C882" s="52"/>
      <c r="D882" s="52"/>
      <c r="E882" s="655"/>
      <c r="F882" s="53"/>
      <c r="G882" s="53"/>
      <c r="H882" s="1"/>
      <c r="I882" s="1"/>
    </row>
    <row r="883" ht="14.25" customHeight="1">
      <c r="A883" s="52"/>
      <c r="B883" s="52"/>
      <c r="C883" s="52"/>
      <c r="D883" s="52"/>
      <c r="E883" s="655"/>
      <c r="F883" s="53"/>
      <c r="G883" s="53"/>
      <c r="H883" s="1"/>
      <c r="I883" s="1"/>
    </row>
    <row r="884" ht="14.25" customHeight="1">
      <c r="A884" s="52"/>
      <c r="B884" s="52"/>
      <c r="C884" s="52"/>
      <c r="D884" s="52"/>
      <c r="E884" s="655"/>
      <c r="F884" s="53"/>
      <c r="G884" s="53"/>
      <c r="H884" s="1"/>
      <c r="I884" s="1"/>
    </row>
    <row r="885" ht="14.25" customHeight="1">
      <c r="A885" s="52"/>
      <c r="B885" s="52"/>
      <c r="C885" s="52"/>
      <c r="D885" s="52"/>
      <c r="E885" s="655"/>
      <c r="F885" s="53"/>
      <c r="G885" s="53"/>
      <c r="H885" s="1"/>
      <c r="I885" s="1"/>
    </row>
    <row r="886" ht="14.25" customHeight="1">
      <c r="A886" s="52"/>
      <c r="B886" s="52"/>
      <c r="C886" s="52"/>
      <c r="D886" s="52"/>
      <c r="E886" s="655"/>
      <c r="F886" s="53"/>
      <c r="G886" s="53"/>
      <c r="H886" s="1"/>
      <c r="I886" s="1"/>
    </row>
    <row r="887" ht="14.25" customHeight="1">
      <c r="A887" s="52"/>
      <c r="B887" s="52"/>
      <c r="C887" s="52"/>
      <c r="D887" s="52"/>
      <c r="E887" s="655"/>
      <c r="F887" s="53"/>
      <c r="G887" s="53"/>
      <c r="H887" s="1"/>
      <c r="I887" s="1"/>
    </row>
    <row r="888" ht="14.25" customHeight="1">
      <c r="A888" s="52"/>
      <c r="B888" s="52"/>
      <c r="C888" s="52"/>
      <c r="D888" s="52"/>
      <c r="E888" s="655"/>
      <c r="F888" s="53"/>
      <c r="G888" s="53"/>
      <c r="H888" s="1"/>
      <c r="I888" s="1"/>
    </row>
    <row r="889" ht="14.25" customHeight="1">
      <c r="A889" s="52"/>
      <c r="B889" s="52"/>
      <c r="C889" s="52"/>
      <c r="D889" s="52"/>
      <c r="E889" s="655"/>
      <c r="F889" s="53"/>
      <c r="G889" s="53"/>
      <c r="H889" s="1"/>
      <c r="I889" s="1"/>
    </row>
    <row r="890" ht="14.25" customHeight="1">
      <c r="A890" s="52"/>
      <c r="B890" s="52"/>
      <c r="C890" s="52"/>
      <c r="D890" s="52"/>
      <c r="E890" s="655"/>
      <c r="F890" s="53"/>
      <c r="G890" s="53"/>
      <c r="H890" s="1"/>
      <c r="I890" s="1"/>
    </row>
    <row r="891" ht="14.25" customHeight="1">
      <c r="A891" s="52"/>
      <c r="B891" s="52"/>
      <c r="C891" s="52"/>
      <c r="D891" s="52"/>
      <c r="E891" s="655"/>
      <c r="F891" s="53"/>
      <c r="G891" s="53"/>
      <c r="H891" s="1"/>
      <c r="I891" s="1"/>
    </row>
    <row r="892" ht="14.25" customHeight="1">
      <c r="A892" s="52"/>
      <c r="B892" s="52"/>
      <c r="C892" s="52"/>
      <c r="D892" s="52"/>
      <c r="E892" s="655"/>
      <c r="F892" s="53"/>
      <c r="G892" s="53"/>
      <c r="H892" s="1"/>
      <c r="I892" s="1"/>
    </row>
    <row r="893" ht="14.25" customHeight="1">
      <c r="A893" s="52"/>
      <c r="B893" s="52"/>
      <c r="C893" s="52"/>
      <c r="D893" s="52"/>
      <c r="E893" s="655"/>
      <c r="F893" s="53"/>
      <c r="G893" s="53"/>
      <c r="H893" s="1"/>
      <c r="I893" s="1"/>
    </row>
    <row r="894" ht="14.25" customHeight="1">
      <c r="A894" s="52"/>
      <c r="B894" s="52"/>
      <c r="C894" s="52"/>
      <c r="D894" s="52"/>
      <c r="E894" s="655"/>
      <c r="F894" s="53"/>
      <c r="G894" s="53"/>
      <c r="H894" s="1"/>
      <c r="I894" s="1"/>
    </row>
    <row r="895" ht="14.25" customHeight="1">
      <c r="A895" s="52"/>
      <c r="B895" s="52"/>
      <c r="C895" s="52"/>
      <c r="D895" s="52"/>
      <c r="E895" s="655"/>
      <c r="F895" s="53"/>
      <c r="G895" s="53"/>
      <c r="H895" s="1"/>
      <c r="I895" s="1"/>
    </row>
    <row r="896" ht="14.25" customHeight="1">
      <c r="A896" s="52"/>
      <c r="B896" s="52"/>
      <c r="C896" s="52"/>
      <c r="D896" s="52"/>
      <c r="E896" s="655"/>
      <c r="F896" s="53"/>
      <c r="G896" s="53"/>
      <c r="H896" s="1"/>
      <c r="I896" s="1"/>
    </row>
    <row r="897" ht="14.25" customHeight="1">
      <c r="A897" s="52"/>
      <c r="B897" s="52"/>
      <c r="C897" s="52"/>
      <c r="D897" s="52"/>
      <c r="E897" s="655"/>
      <c r="F897" s="53"/>
      <c r="G897" s="53"/>
      <c r="H897" s="1"/>
      <c r="I897" s="1"/>
    </row>
    <row r="898" ht="14.25" customHeight="1">
      <c r="A898" s="52"/>
      <c r="B898" s="52"/>
      <c r="C898" s="52"/>
      <c r="D898" s="52"/>
      <c r="E898" s="655"/>
      <c r="F898" s="53"/>
      <c r="G898" s="53"/>
      <c r="H898" s="1"/>
      <c r="I898" s="1"/>
    </row>
    <row r="899" ht="14.25" customHeight="1">
      <c r="A899" s="52"/>
      <c r="B899" s="52"/>
      <c r="C899" s="52"/>
      <c r="D899" s="52"/>
      <c r="E899" s="655"/>
      <c r="F899" s="53"/>
      <c r="G899" s="53"/>
      <c r="H899" s="1"/>
      <c r="I899" s="1"/>
    </row>
    <row r="900" ht="14.25" customHeight="1">
      <c r="A900" s="52"/>
      <c r="B900" s="52"/>
      <c r="C900" s="52"/>
      <c r="D900" s="52"/>
      <c r="E900" s="655"/>
      <c r="F900" s="53"/>
      <c r="G900" s="53"/>
      <c r="H900" s="1"/>
      <c r="I900" s="1"/>
    </row>
    <row r="901" ht="14.25" customHeight="1">
      <c r="A901" s="52"/>
      <c r="B901" s="52"/>
      <c r="C901" s="52"/>
      <c r="D901" s="52"/>
      <c r="E901" s="655"/>
      <c r="F901" s="53"/>
      <c r="G901" s="53"/>
      <c r="H901" s="1"/>
      <c r="I901" s="1"/>
    </row>
    <row r="902" ht="14.25" customHeight="1">
      <c r="A902" s="52"/>
      <c r="B902" s="52"/>
      <c r="C902" s="52"/>
      <c r="D902" s="52"/>
      <c r="E902" s="655"/>
      <c r="F902" s="53"/>
      <c r="G902" s="53"/>
      <c r="H902" s="1"/>
      <c r="I902" s="1"/>
    </row>
    <row r="903" ht="14.25" customHeight="1">
      <c r="A903" s="52"/>
      <c r="B903" s="52"/>
      <c r="C903" s="52"/>
      <c r="D903" s="52"/>
      <c r="E903" s="655"/>
      <c r="F903" s="53"/>
      <c r="G903" s="53"/>
      <c r="H903" s="1"/>
      <c r="I903" s="1"/>
    </row>
    <row r="904" ht="14.25" customHeight="1">
      <c r="A904" s="52"/>
      <c r="B904" s="52"/>
      <c r="C904" s="52"/>
      <c r="D904" s="52"/>
      <c r="E904" s="655"/>
      <c r="F904" s="53"/>
      <c r="G904" s="53"/>
      <c r="H904" s="1"/>
      <c r="I904" s="1"/>
    </row>
    <row r="905" ht="14.25" customHeight="1">
      <c r="A905" s="52"/>
      <c r="B905" s="52"/>
      <c r="C905" s="52"/>
      <c r="D905" s="52"/>
      <c r="E905" s="655"/>
      <c r="F905" s="53"/>
      <c r="G905" s="53"/>
      <c r="H905" s="1"/>
      <c r="I905" s="1"/>
    </row>
    <row r="906" ht="14.25" customHeight="1">
      <c r="A906" s="52"/>
      <c r="B906" s="52"/>
      <c r="C906" s="52"/>
      <c r="D906" s="52"/>
      <c r="E906" s="655"/>
      <c r="F906" s="53"/>
      <c r="G906" s="53"/>
      <c r="H906" s="1"/>
      <c r="I906" s="1"/>
    </row>
    <row r="907" ht="14.25" customHeight="1">
      <c r="A907" s="52"/>
      <c r="B907" s="52"/>
      <c r="C907" s="52"/>
      <c r="D907" s="52"/>
      <c r="E907" s="655"/>
      <c r="F907" s="53"/>
      <c r="G907" s="53"/>
      <c r="H907" s="1"/>
      <c r="I907" s="1"/>
    </row>
    <row r="908" ht="14.25" customHeight="1">
      <c r="A908" s="52"/>
      <c r="B908" s="52"/>
      <c r="C908" s="52"/>
      <c r="D908" s="52"/>
      <c r="E908" s="655"/>
      <c r="F908" s="53"/>
      <c r="G908" s="53"/>
      <c r="H908" s="1"/>
      <c r="I908" s="1"/>
    </row>
    <row r="909" ht="14.25" customHeight="1">
      <c r="A909" s="52"/>
      <c r="B909" s="52"/>
      <c r="C909" s="52"/>
      <c r="D909" s="52"/>
      <c r="E909" s="655"/>
      <c r="F909" s="53"/>
      <c r="G909" s="53"/>
      <c r="H909" s="1"/>
      <c r="I909" s="1"/>
    </row>
    <row r="910" ht="14.25" customHeight="1">
      <c r="A910" s="52"/>
      <c r="B910" s="52"/>
      <c r="C910" s="52"/>
      <c r="D910" s="52"/>
      <c r="E910" s="655"/>
      <c r="F910" s="53"/>
      <c r="G910" s="53"/>
      <c r="H910" s="1"/>
      <c r="I910" s="1"/>
    </row>
    <row r="911" ht="14.25" customHeight="1">
      <c r="A911" s="52"/>
      <c r="B911" s="52"/>
      <c r="C911" s="52"/>
      <c r="D911" s="52"/>
      <c r="E911" s="655"/>
      <c r="F911" s="53"/>
      <c r="G911" s="53"/>
      <c r="H911" s="1"/>
      <c r="I911" s="1"/>
    </row>
    <row r="912" ht="14.25" customHeight="1">
      <c r="A912" s="52"/>
      <c r="B912" s="52"/>
      <c r="C912" s="52"/>
      <c r="D912" s="52"/>
      <c r="E912" s="655"/>
      <c r="F912" s="53"/>
      <c r="G912" s="53"/>
      <c r="H912" s="1"/>
      <c r="I912" s="1"/>
    </row>
    <row r="913" ht="14.25" customHeight="1">
      <c r="A913" s="52"/>
      <c r="B913" s="52"/>
      <c r="C913" s="52"/>
      <c r="D913" s="52"/>
      <c r="E913" s="655"/>
      <c r="F913" s="53"/>
      <c r="G913" s="53"/>
      <c r="H913" s="1"/>
      <c r="I913" s="1"/>
    </row>
    <row r="914" ht="14.25" customHeight="1">
      <c r="A914" s="52"/>
      <c r="B914" s="52"/>
      <c r="C914" s="52"/>
      <c r="D914" s="52"/>
      <c r="E914" s="655"/>
      <c r="F914" s="53"/>
      <c r="G914" s="53"/>
      <c r="H914" s="1"/>
      <c r="I914" s="1"/>
    </row>
    <row r="915" ht="14.25" customHeight="1">
      <c r="A915" s="52"/>
      <c r="B915" s="52"/>
      <c r="C915" s="52"/>
      <c r="D915" s="52"/>
      <c r="E915" s="655"/>
      <c r="F915" s="53"/>
      <c r="G915" s="53"/>
      <c r="H915" s="1"/>
      <c r="I915" s="1"/>
    </row>
    <row r="916" ht="14.25" customHeight="1">
      <c r="A916" s="52"/>
      <c r="B916" s="52"/>
      <c r="C916" s="52"/>
      <c r="D916" s="52"/>
      <c r="E916" s="655"/>
      <c r="F916" s="53"/>
      <c r="G916" s="53"/>
      <c r="H916" s="1"/>
      <c r="I916" s="1"/>
    </row>
    <row r="917" ht="14.25" customHeight="1">
      <c r="A917" s="52"/>
      <c r="B917" s="52"/>
      <c r="C917" s="52"/>
      <c r="D917" s="52"/>
      <c r="E917" s="655"/>
      <c r="F917" s="53"/>
      <c r="G917" s="53"/>
      <c r="H917" s="1"/>
      <c r="I917" s="1"/>
    </row>
    <row r="918" ht="14.25" customHeight="1">
      <c r="A918" s="52"/>
      <c r="B918" s="52"/>
      <c r="C918" s="52"/>
      <c r="D918" s="52"/>
      <c r="E918" s="655"/>
      <c r="F918" s="53"/>
      <c r="G918" s="53"/>
      <c r="H918" s="1"/>
      <c r="I918" s="1"/>
    </row>
    <row r="919" ht="14.25" customHeight="1">
      <c r="A919" s="52"/>
      <c r="B919" s="52"/>
      <c r="C919" s="52"/>
      <c r="D919" s="52"/>
      <c r="E919" s="655"/>
      <c r="F919" s="53"/>
      <c r="G919" s="53"/>
      <c r="H919" s="1"/>
      <c r="I919" s="1"/>
    </row>
    <row r="920" ht="14.25" customHeight="1">
      <c r="A920" s="52"/>
      <c r="B920" s="52"/>
      <c r="C920" s="52"/>
      <c r="D920" s="52"/>
      <c r="E920" s="655"/>
      <c r="F920" s="53"/>
      <c r="G920" s="53"/>
      <c r="H920" s="1"/>
      <c r="I920" s="1"/>
    </row>
    <row r="921" ht="14.25" customHeight="1">
      <c r="A921" s="52"/>
      <c r="B921" s="52"/>
      <c r="C921" s="52"/>
      <c r="D921" s="52"/>
      <c r="E921" s="655"/>
      <c r="F921" s="53"/>
      <c r="G921" s="53"/>
      <c r="H921" s="1"/>
      <c r="I921" s="1"/>
    </row>
    <row r="922" ht="14.25" customHeight="1">
      <c r="A922" s="52"/>
      <c r="B922" s="52"/>
      <c r="C922" s="52"/>
      <c r="D922" s="52"/>
      <c r="E922" s="655"/>
      <c r="F922" s="53"/>
      <c r="G922" s="53"/>
      <c r="H922" s="1"/>
      <c r="I922" s="1"/>
    </row>
    <row r="923" ht="14.25" customHeight="1">
      <c r="A923" s="52"/>
      <c r="B923" s="52"/>
      <c r="C923" s="52"/>
      <c r="D923" s="52"/>
      <c r="E923" s="655"/>
      <c r="F923" s="53"/>
      <c r="G923" s="53"/>
      <c r="H923" s="1"/>
      <c r="I923" s="1"/>
    </row>
    <row r="924" ht="14.25" customHeight="1">
      <c r="A924" s="52"/>
      <c r="B924" s="52"/>
      <c r="C924" s="52"/>
      <c r="D924" s="52"/>
      <c r="E924" s="655"/>
      <c r="F924" s="53"/>
      <c r="G924" s="53"/>
      <c r="H924" s="1"/>
      <c r="I924" s="1"/>
    </row>
    <row r="925" ht="14.25" customHeight="1">
      <c r="A925" s="52"/>
      <c r="B925" s="52"/>
      <c r="C925" s="52"/>
      <c r="D925" s="52"/>
      <c r="E925" s="655"/>
      <c r="F925" s="53"/>
      <c r="G925" s="53"/>
      <c r="H925" s="1"/>
      <c r="I925" s="1"/>
    </row>
    <row r="926" ht="14.25" customHeight="1">
      <c r="A926" s="52"/>
      <c r="B926" s="52"/>
      <c r="C926" s="52"/>
      <c r="D926" s="52"/>
      <c r="E926" s="655"/>
      <c r="F926" s="53"/>
      <c r="G926" s="53"/>
      <c r="H926" s="1"/>
      <c r="I926" s="1"/>
    </row>
    <row r="927" ht="14.25" customHeight="1">
      <c r="A927" s="52"/>
      <c r="B927" s="52"/>
      <c r="C927" s="52"/>
      <c r="D927" s="52"/>
      <c r="E927" s="655"/>
      <c r="F927" s="53"/>
      <c r="G927" s="53"/>
      <c r="H927" s="1"/>
      <c r="I927" s="1"/>
    </row>
    <row r="928" ht="14.25" customHeight="1">
      <c r="A928" s="52"/>
      <c r="B928" s="52"/>
      <c r="C928" s="52"/>
      <c r="D928" s="52"/>
      <c r="E928" s="655"/>
      <c r="F928" s="53"/>
      <c r="G928" s="53"/>
      <c r="H928" s="1"/>
      <c r="I928" s="1"/>
    </row>
    <row r="929" ht="14.25" customHeight="1">
      <c r="A929" s="52"/>
      <c r="B929" s="52"/>
      <c r="C929" s="52"/>
      <c r="D929" s="52"/>
      <c r="E929" s="655"/>
      <c r="F929" s="53"/>
      <c r="G929" s="53"/>
      <c r="H929" s="1"/>
      <c r="I929" s="1"/>
    </row>
    <row r="930" ht="14.25" customHeight="1">
      <c r="A930" s="52"/>
      <c r="B930" s="52"/>
      <c r="C930" s="52"/>
      <c r="D930" s="52"/>
      <c r="E930" s="655"/>
      <c r="F930" s="53"/>
      <c r="G930" s="53"/>
      <c r="H930" s="1"/>
      <c r="I930" s="1"/>
    </row>
    <row r="931" ht="14.25" customHeight="1">
      <c r="A931" s="52"/>
      <c r="B931" s="52"/>
      <c r="C931" s="52"/>
      <c r="D931" s="52"/>
      <c r="E931" s="655"/>
      <c r="F931" s="53"/>
      <c r="G931" s="53"/>
      <c r="H931" s="1"/>
      <c r="I931" s="1"/>
    </row>
    <row r="932" ht="14.25" customHeight="1">
      <c r="A932" s="52"/>
      <c r="B932" s="52"/>
      <c r="C932" s="52"/>
      <c r="D932" s="52"/>
      <c r="E932" s="655"/>
      <c r="F932" s="53"/>
      <c r="G932" s="53"/>
      <c r="H932" s="1"/>
      <c r="I932" s="1"/>
    </row>
    <row r="933" ht="14.25" customHeight="1">
      <c r="A933" s="52"/>
      <c r="B933" s="52"/>
      <c r="C933" s="52"/>
      <c r="D933" s="52"/>
      <c r="E933" s="655"/>
      <c r="F933" s="53"/>
      <c r="G933" s="53"/>
      <c r="H933" s="1"/>
      <c r="I933" s="1"/>
    </row>
    <row r="934" ht="14.25" customHeight="1">
      <c r="A934" s="52"/>
      <c r="B934" s="52"/>
      <c r="C934" s="52"/>
      <c r="D934" s="52"/>
      <c r="E934" s="655"/>
      <c r="F934" s="53"/>
      <c r="G934" s="53"/>
      <c r="H934" s="1"/>
      <c r="I934" s="1"/>
    </row>
    <row r="935" ht="14.25" customHeight="1">
      <c r="A935" s="52"/>
      <c r="B935" s="52"/>
      <c r="C935" s="52"/>
      <c r="D935" s="52"/>
      <c r="E935" s="655"/>
      <c r="F935" s="53"/>
      <c r="G935" s="53"/>
      <c r="H935" s="1"/>
      <c r="I935" s="1"/>
    </row>
    <row r="936" ht="14.25" customHeight="1">
      <c r="A936" s="52"/>
      <c r="B936" s="52"/>
      <c r="C936" s="52"/>
      <c r="D936" s="52"/>
      <c r="E936" s="655"/>
      <c r="F936" s="53"/>
      <c r="G936" s="53"/>
      <c r="H936" s="1"/>
      <c r="I936" s="1"/>
    </row>
    <row r="937" ht="14.25" customHeight="1">
      <c r="A937" s="52"/>
      <c r="B937" s="52"/>
      <c r="C937" s="52"/>
      <c r="D937" s="52"/>
      <c r="E937" s="655"/>
      <c r="F937" s="53"/>
      <c r="G937" s="53"/>
      <c r="H937" s="1"/>
      <c r="I937" s="1"/>
    </row>
    <row r="938" ht="14.25" customHeight="1">
      <c r="A938" s="52"/>
      <c r="B938" s="52"/>
      <c r="C938" s="52"/>
      <c r="D938" s="52"/>
      <c r="E938" s="655"/>
      <c r="F938" s="53"/>
      <c r="G938" s="53"/>
      <c r="H938" s="1"/>
      <c r="I938" s="1"/>
    </row>
    <row r="939" ht="14.25" customHeight="1">
      <c r="A939" s="52"/>
      <c r="B939" s="52"/>
      <c r="C939" s="52"/>
      <c r="D939" s="52"/>
      <c r="E939" s="655"/>
      <c r="F939" s="53"/>
      <c r="G939" s="53"/>
      <c r="H939" s="1"/>
      <c r="I939" s="1"/>
    </row>
    <row r="940" ht="14.25" customHeight="1">
      <c r="A940" s="52"/>
      <c r="B940" s="52"/>
      <c r="C940" s="52"/>
      <c r="D940" s="52"/>
      <c r="E940" s="655"/>
      <c r="F940" s="53"/>
      <c r="G940" s="53"/>
      <c r="H940" s="1"/>
      <c r="I940" s="1"/>
    </row>
    <row r="941" ht="14.25" customHeight="1">
      <c r="A941" s="52"/>
      <c r="B941" s="52"/>
      <c r="C941" s="52"/>
      <c r="D941" s="52"/>
      <c r="E941" s="655"/>
      <c r="F941" s="53"/>
      <c r="G941" s="53"/>
      <c r="H941" s="1"/>
      <c r="I941" s="1"/>
    </row>
    <row r="942" ht="14.25" customHeight="1">
      <c r="A942" s="52"/>
      <c r="B942" s="52"/>
      <c r="C942" s="52"/>
      <c r="D942" s="52"/>
      <c r="E942" s="655"/>
      <c r="F942" s="53"/>
      <c r="G942" s="53"/>
      <c r="H942" s="1"/>
      <c r="I942" s="1"/>
    </row>
    <row r="943" ht="14.25" customHeight="1">
      <c r="A943" s="52"/>
      <c r="B943" s="52"/>
      <c r="C943" s="52"/>
      <c r="D943" s="52"/>
      <c r="E943" s="655"/>
      <c r="F943" s="53"/>
      <c r="G943" s="53"/>
      <c r="H943" s="1"/>
      <c r="I943" s="1"/>
    </row>
    <row r="944" ht="14.25" customHeight="1">
      <c r="A944" s="52"/>
      <c r="B944" s="52"/>
      <c r="C944" s="52"/>
      <c r="D944" s="52"/>
      <c r="E944" s="655"/>
      <c r="F944" s="53"/>
      <c r="G944" s="53"/>
      <c r="H944" s="1"/>
      <c r="I944" s="1"/>
    </row>
    <row r="945" ht="14.25" customHeight="1">
      <c r="A945" s="52"/>
      <c r="B945" s="52"/>
      <c r="C945" s="52"/>
      <c r="D945" s="52"/>
      <c r="E945" s="655"/>
      <c r="F945" s="53"/>
      <c r="G945" s="53"/>
      <c r="H945" s="1"/>
      <c r="I945" s="1"/>
    </row>
    <row r="946" ht="14.25" customHeight="1">
      <c r="A946" s="52"/>
      <c r="B946" s="52"/>
      <c r="C946" s="52"/>
      <c r="D946" s="52"/>
      <c r="E946" s="655"/>
      <c r="F946" s="53"/>
      <c r="G946" s="53"/>
      <c r="H946" s="1"/>
      <c r="I946" s="1"/>
    </row>
    <row r="947" ht="14.25" customHeight="1">
      <c r="A947" s="52"/>
      <c r="B947" s="52"/>
      <c r="C947" s="52"/>
      <c r="D947" s="52"/>
      <c r="E947" s="655"/>
      <c r="F947" s="53"/>
      <c r="G947" s="53"/>
      <c r="H947" s="1"/>
      <c r="I947" s="1"/>
    </row>
    <row r="948" ht="14.25" customHeight="1">
      <c r="A948" s="52"/>
      <c r="B948" s="52"/>
      <c r="C948" s="52"/>
      <c r="D948" s="52"/>
      <c r="E948" s="655"/>
      <c r="F948" s="53"/>
      <c r="G948" s="53"/>
      <c r="H948" s="1"/>
      <c r="I948" s="1"/>
    </row>
    <row r="949" ht="14.25" customHeight="1">
      <c r="A949" s="52"/>
      <c r="B949" s="52"/>
      <c r="C949" s="52"/>
      <c r="D949" s="52"/>
      <c r="E949" s="655"/>
      <c r="F949" s="53"/>
      <c r="G949" s="53"/>
      <c r="H949" s="1"/>
      <c r="I949" s="1"/>
    </row>
    <row r="950" ht="14.25" customHeight="1">
      <c r="A950" s="52"/>
      <c r="B950" s="52"/>
      <c r="C950" s="52"/>
      <c r="D950" s="52"/>
      <c r="E950" s="655"/>
      <c r="F950" s="53"/>
      <c r="G950" s="53"/>
      <c r="H950" s="1"/>
      <c r="I950" s="1"/>
    </row>
    <row r="951" ht="14.25" customHeight="1">
      <c r="A951" s="52"/>
      <c r="B951" s="52"/>
      <c r="C951" s="52"/>
      <c r="D951" s="52"/>
      <c r="E951" s="655"/>
      <c r="F951" s="53"/>
      <c r="G951" s="53"/>
      <c r="H951" s="1"/>
      <c r="I951" s="1"/>
    </row>
    <row r="952" ht="14.25" customHeight="1">
      <c r="A952" s="52"/>
      <c r="B952" s="52"/>
      <c r="C952" s="52"/>
      <c r="D952" s="52"/>
      <c r="E952" s="655"/>
      <c r="F952" s="53"/>
      <c r="G952" s="53"/>
      <c r="H952" s="1"/>
      <c r="I952" s="1"/>
    </row>
    <row r="953" ht="14.25" customHeight="1">
      <c r="A953" s="52"/>
      <c r="B953" s="52"/>
      <c r="C953" s="52"/>
      <c r="D953" s="52"/>
      <c r="E953" s="655"/>
      <c r="F953" s="53"/>
      <c r="G953" s="53"/>
      <c r="H953" s="1"/>
      <c r="I953" s="1"/>
    </row>
    <row r="954" ht="14.25" customHeight="1">
      <c r="A954" s="52"/>
      <c r="B954" s="52"/>
      <c r="C954" s="52"/>
      <c r="D954" s="52"/>
      <c r="E954" s="655"/>
      <c r="F954" s="53"/>
      <c r="G954" s="53"/>
      <c r="H954" s="1"/>
      <c r="I954" s="1"/>
    </row>
    <row r="955" ht="14.25" customHeight="1">
      <c r="A955" s="52"/>
      <c r="B955" s="52"/>
      <c r="C955" s="52"/>
      <c r="D955" s="52"/>
      <c r="E955" s="655"/>
      <c r="F955" s="53"/>
      <c r="G955" s="53"/>
      <c r="H955" s="1"/>
      <c r="I955" s="1"/>
    </row>
    <row r="956" ht="14.25" customHeight="1">
      <c r="A956" s="52"/>
      <c r="B956" s="52"/>
      <c r="C956" s="52"/>
      <c r="D956" s="52"/>
      <c r="E956" s="655"/>
      <c r="F956" s="53"/>
      <c r="G956" s="53"/>
      <c r="H956" s="1"/>
      <c r="I956" s="1"/>
    </row>
    <row r="957" ht="14.25" customHeight="1">
      <c r="A957" s="52"/>
      <c r="B957" s="52"/>
      <c r="C957" s="52"/>
      <c r="D957" s="52"/>
      <c r="E957" s="655"/>
      <c r="F957" s="53"/>
      <c r="G957" s="53"/>
      <c r="H957" s="1"/>
      <c r="I957" s="1"/>
    </row>
    <row r="958" ht="14.25" customHeight="1">
      <c r="A958" s="52"/>
      <c r="B958" s="52"/>
      <c r="C958" s="52"/>
      <c r="D958" s="52"/>
      <c r="E958" s="655"/>
      <c r="F958" s="53"/>
      <c r="G958" s="53"/>
      <c r="H958" s="1"/>
      <c r="I958" s="1"/>
    </row>
    <row r="959" ht="14.25" customHeight="1">
      <c r="A959" s="52"/>
      <c r="B959" s="52"/>
      <c r="C959" s="52"/>
      <c r="D959" s="52"/>
      <c r="E959" s="655"/>
      <c r="F959" s="53"/>
      <c r="G959" s="53"/>
      <c r="H959" s="1"/>
      <c r="I959" s="1"/>
    </row>
    <row r="960" ht="14.25" customHeight="1">
      <c r="A960" s="52"/>
      <c r="B960" s="52"/>
      <c r="C960" s="52"/>
      <c r="D960" s="52"/>
      <c r="E960" s="655"/>
      <c r="F960" s="53"/>
      <c r="G960" s="53"/>
      <c r="H960" s="1"/>
      <c r="I960" s="1"/>
    </row>
    <row r="961" ht="14.25" customHeight="1">
      <c r="A961" s="52"/>
      <c r="B961" s="52"/>
      <c r="C961" s="52"/>
      <c r="D961" s="52"/>
      <c r="E961" s="655"/>
      <c r="F961" s="53"/>
      <c r="G961" s="53"/>
      <c r="H961" s="1"/>
      <c r="I961" s="1"/>
    </row>
    <row r="962" ht="14.25" customHeight="1">
      <c r="A962" s="52"/>
      <c r="B962" s="52"/>
      <c r="C962" s="52"/>
      <c r="D962" s="52"/>
      <c r="E962" s="655"/>
      <c r="F962" s="53"/>
      <c r="G962" s="53"/>
      <c r="H962" s="1"/>
      <c r="I962" s="1"/>
    </row>
    <row r="963" ht="14.25" customHeight="1">
      <c r="A963" s="52"/>
      <c r="B963" s="52"/>
      <c r="C963" s="52"/>
      <c r="D963" s="52"/>
      <c r="E963" s="655"/>
      <c r="F963" s="53"/>
      <c r="G963" s="53"/>
      <c r="H963" s="1"/>
      <c r="I963" s="1"/>
    </row>
    <row r="964" ht="14.25" customHeight="1">
      <c r="A964" s="52"/>
      <c r="B964" s="52"/>
      <c r="C964" s="52"/>
      <c r="D964" s="52"/>
      <c r="E964" s="655"/>
      <c r="F964" s="53"/>
      <c r="G964" s="53"/>
      <c r="H964" s="1"/>
      <c r="I964" s="1"/>
    </row>
    <row r="965" ht="14.25" customHeight="1">
      <c r="A965" s="52"/>
      <c r="B965" s="52"/>
      <c r="C965" s="52"/>
      <c r="D965" s="52"/>
      <c r="E965" s="655"/>
      <c r="F965" s="53"/>
      <c r="G965" s="53"/>
      <c r="H965" s="1"/>
      <c r="I965" s="1"/>
    </row>
    <row r="966" ht="14.25" customHeight="1">
      <c r="A966" s="52"/>
      <c r="B966" s="52"/>
      <c r="C966" s="52"/>
      <c r="D966" s="52"/>
      <c r="E966" s="655"/>
      <c r="F966" s="53"/>
      <c r="G966" s="53"/>
      <c r="H966" s="1"/>
      <c r="I966" s="1"/>
    </row>
    <row r="967" ht="14.25" customHeight="1">
      <c r="A967" s="52"/>
      <c r="B967" s="52"/>
      <c r="C967" s="52"/>
      <c r="D967" s="52"/>
      <c r="E967" s="655"/>
      <c r="F967" s="53"/>
      <c r="G967" s="53"/>
      <c r="H967" s="1"/>
      <c r="I967" s="1"/>
    </row>
    <row r="968" ht="14.25" customHeight="1">
      <c r="A968" s="52"/>
      <c r="B968" s="52"/>
      <c r="C968" s="52"/>
      <c r="D968" s="52"/>
      <c r="E968" s="655"/>
      <c r="F968" s="53"/>
      <c r="G968" s="53"/>
      <c r="H968" s="1"/>
      <c r="I968" s="1"/>
    </row>
    <row r="969" ht="14.25" customHeight="1">
      <c r="A969" s="52"/>
      <c r="B969" s="52"/>
      <c r="C969" s="52"/>
      <c r="D969" s="52"/>
      <c r="E969" s="655"/>
      <c r="F969" s="53"/>
      <c r="G969" s="53"/>
      <c r="H969" s="1"/>
      <c r="I969" s="1"/>
    </row>
    <row r="970" ht="14.25" customHeight="1">
      <c r="A970" s="52"/>
      <c r="B970" s="52"/>
      <c r="C970" s="52"/>
      <c r="D970" s="52"/>
      <c r="E970" s="655"/>
      <c r="F970" s="53"/>
      <c r="G970" s="53"/>
      <c r="H970" s="1"/>
      <c r="I970" s="1"/>
    </row>
    <row r="971" ht="14.25" customHeight="1">
      <c r="A971" s="52"/>
      <c r="B971" s="52"/>
      <c r="C971" s="52"/>
      <c r="D971" s="52"/>
      <c r="E971" s="655"/>
      <c r="F971" s="53"/>
      <c r="G971" s="53"/>
      <c r="H971" s="1"/>
      <c r="I971" s="1"/>
    </row>
    <row r="972" ht="14.25" customHeight="1">
      <c r="A972" s="52"/>
      <c r="B972" s="52"/>
      <c r="C972" s="52"/>
      <c r="D972" s="52"/>
      <c r="E972" s="655"/>
      <c r="F972" s="53"/>
      <c r="G972" s="53"/>
      <c r="H972" s="1"/>
      <c r="I972" s="1"/>
    </row>
    <row r="973" ht="14.25" customHeight="1">
      <c r="A973" s="52"/>
      <c r="B973" s="52"/>
      <c r="C973" s="52"/>
      <c r="D973" s="52"/>
      <c r="E973" s="655"/>
      <c r="F973" s="53"/>
      <c r="G973" s="53"/>
      <c r="H973" s="1"/>
      <c r="I973" s="1"/>
    </row>
    <row r="974" ht="14.25" customHeight="1">
      <c r="A974" s="52"/>
      <c r="B974" s="52"/>
      <c r="C974" s="52"/>
      <c r="D974" s="52"/>
      <c r="E974" s="655"/>
      <c r="F974" s="53"/>
      <c r="G974" s="53"/>
      <c r="H974" s="1"/>
      <c r="I974" s="1"/>
    </row>
    <row r="975" ht="14.25" customHeight="1">
      <c r="A975" s="52"/>
      <c r="B975" s="52"/>
      <c r="C975" s="52"/>
      <c r="D975" s="52"/>
      <c r="E975" s="655"/>
      <c r="F975" s="53"/>
      <c r="G975" s="53"/>
      <c r="H975" s="1"/>
      <c r="I975" s="1"/>
    </row>
    <row r="976" ht="14.25" customHeight="1">
      <c r="A976" s="52"/>
      <c r="B976" s="52"/>
      <c r="C976" s="52"/>
      <c r="D976" s="52"/>
      <c r="E976" s="655"/>
      <c r="F976" s="53"/>
      <c r="G976" s="53"/>
      <c r="H976" s="1"/>
      <c r="I976" s="1"/>
    </row>
    <row r="977" ht="14.25" customHeight="1">
      <c r="A977" s="52"/>
      <c r="B977" s="52"/>
      <c r="C977" s="52"/>
      <c r="D977" s="52"/>
      <c r="E977" s="655"/>
      <c r="F977" s="53"/>
      <c r="G977" s="53"/>
      <c r="H977" s="1"/>
      <c r="I977" s="1"/>
    </row>
    <row r="978" ht="14.25" customHeight="1">
      <c r="A978" s="52"/>
      <c r="B978" s="52"/>
      <c r="C978" s="52"/>
      <c r="D978" s="52"/>
      <c r="E978" s="655"/>
      <c r="F978" s="53"/>
      <c r="G978" s="53"/>
      <c r="H978" s="1"/>
      <c r="I978" s="1"/>
    </row>
    <row r="979" ht="14.25" customHeight="1">
      <c r="A979" s="52"/>
      <c r="B979" s="52"/>
      <c r="C979" s="52"/>
      <c r="D979" s="52"/>
      <c r="E979" s="655"/>
      <c r="F979" s="53"/>
      <c r="G979" s="53"/>
      <c r="H979" s="1"/>
      <c r="I979" s="1"/>
    </row>
    <row r="980" ht="14.25" customHeight="1">
      <c r="A980" s="52"/>
      <c r="B980" s="52"/>
      <c r="C980" s="52"/>
      <c r="D980" s="52"/>
      <c r="E980" s="655"/>
      <c r="F980" s="53"/>
      <c r="G980" s="53"/>
      <c r="H980" s="1"/>
      <c r="I980" s="1"/>
    </row>
    <row r="981" ht="14.25" customHeight="1">
      <c r="A981" s="52"/>
      <c r="B981" s="52"/>
      <c r="C981" s="52"/>
      <c r="D981" s="52"/>
      <c r="E981" s="655"/>
      <c r="F981" s="53"/>
      <c r="G981" s="53"/>
      <c r="H981" s="1"/>
      <c r="I981" s="1"/>
    </row>
    <row r="982" ht="14.25" customHeight="1">
      <c r="A982" s="52"/>
      <c r="B982" s="52"/>
      <c r="C982" s="52"/>
      <c r="D982" s="52"/>
      <c r="E982" s="655"/>
      <c r="F982" s="53"/>
      <c r="G982" s="53"/>
      <c r="H982" s="1"/>
      <c r="I982" s="1"/>
    </row>
    <row r="983" ht="14.25" customHeight="1">
      <c r="A983" s="52"/>
      <c r="B983" s="52"/>
      <c r="C983" s="52"/>
      <c r="D983" s="52"/>
      <c r="E983" s="655"/>
      <c r="F983" s="53"/>
      <c r="G983" s="53"/>
      <c r="H983" s="1"/>
      <c r="I983" s="1"/>
    </row>
    <row r="984" ht="14.25" customHeight="1">
      <c r="A984" s="52"/>
      <c r="B984" s="52"/>
      <c r="C984" s="52"/>
      <c r="D984" s="52"/>
      <c r="E984" s="655"/>
      <c r="F984" s="53"/>
      <c r="G984" s="53"/>
      <c r="H984" s="1"/>
      <c r="I984" s="1"/>
    </row>
    <row r="985" ht="14.25" customHeight="1">
      <c r="A985" s="52"/>
      <c r="B985" s="52"/>
      <c r="C985" s="52"/>
      <c r="D985" s="52"/>
      <c r="E985" s="655"/>
      <c r="F985" s="53"/>
      <c r="G985" s="53"/>
      <c r="H985" s="1"/>
      <c r="I985" s="1"/>
    </row>
    <row r="986" ht="14.25" customHeight="1">
      <c r="A986" s="52"/>
      <c r="B986" s="52"/>
      <c r="C986" s="52"/>
      <c r="D986" s="52"/>
      <c r="E986" s="655"/>
      <c r="F986" s="53"/>
      <c r="G986" s="53"/>
      <c r="H986" s="1"/>
      <c r="I986" s="1"/>
    </row>
    <row r="987" ht="14.25" customHeight="1">
      <c r="A987" s="52"/>
      <c r="B987" s="52"/>
      <c r="C987" s="52"/>
      <c r="D987" s="52"/>
      <c r="E987" s="655"/>
      <c r="F987" s="53"/>
      <c r="G987" s="53"/>
      <c r="H987" s="1"/>
      <c r="I987" s="1"/>
    </row>
    <row r="988" ht="14.25" customHeight="1">
      <c r="A988" s="52"/>
      <c r="B988" s="52"/>
      <c r="C988" s="52"/>
      <c r="D988" s="52"/>
      <c r="E988" s="655"/>
      <c r="F988" s="53"/>
      <c r="G988" s="53"/>
      <c r="H988" s="1"/>
      <c r="I988" s="1"/>
    </row>
    <row r="989" ht="14.25" customHeight="1">
      <c r="A989" s="52"/>
      <c r="B989" s="52"/>
      <c r="C989" s="52"/>
      <c r="D989" s="52"/>
      <c r="E989" s="655"/>
      <c r="F989" s="53"/>
      <c r="G989" s="53"/>
      <c r="H989" s="1"/>
      <c r="I989" s="1"/>
    </row>
    <row r="990" ht="14.25" customHeight="1">
      <c r="A990" s="52"/>
      <c r="B990" s="52"/>
      <c r="C990" s="52"/>
      <c r="D990" s="52"/>
      <c r="E990" s="655"/>
      <c r="F990" s="53"/>
      <c r="G990" s="53"/>
      <c r="H990" s="1"/>
      <c r="I990" s="1"/>
    </row>
    <row r="991" ht="14.25" customHeight="1">
      <c r="A991" s="52"/>
      <c r="B991" s="52"/>
      <c r="C991" s="52"/>
      <c r="D991" s="52"/>
      <c r="E991" s="655"/>
      <c r="F991" s="53"/>
      <c r="G991" s="53"/>
      <c r="H991" s="1"/>
      <c r="I991" s="1"/>
    </row>
    <row r="992" ht="14.25" customHeight="1">
      <c r="A992" s="52"/>
      <c r="B992" s="52"/>
      <c r="C992" s="52"/>
      <c r="D992" s="52"/>
      <c r="E992" s="655"/>
      <c r="F992" s="53"/>
      <c r="G992" s="53"/>
      <c r="H992" s="1"/>
      <c r="I992" s="1"/>
    </row>
    <row r="993" ht="14.25" customHeight="1">
      <c r="A993" s="52"/>
      <c r="B993" s="52"/>
      <c r="C993" s="52"/>
      <c r="D993" s="52"/>
      <c r="E993" s="655"/>
      <c r="F993" s="53"/>
      <c r="G993" s="53"/>
      <c r="H993" s="1"/>
      <c r="I993" s="1"/>
    </row>
    <row r="994" ht="14.25" customHeight="1">
      <c r="A994" s="52"/>
      <c r="B994" s="52"/>
      <c r="C994" s="52"/>
      <c r="D994" s="52"/>
      <c r="E994" s="655"/>
      <c r="F994" s="53"/>
      <c r="G994" s="53"/>
      <c r="H994" s="1"/>
      <c r="I994" s="1"/>
    </row>
    <row r="995" ht="14.25" customHeight="1">
      <c r="A995" s="52"/>
      <c r="B995" s="52"/>
      <c r="C995" s="52"/>
      <c r="D995" s="52"/>
      <c r="E995" s="655"/>
      <c r="F995" s="53"/>
      <c r="G995" s="53"/>
      <c r="H995" s="1"/>
      <c r="I995" s="1"/>
    </row>
    <row r="996" ht="14.25" customHeight="1">
      <c r="A996" s="52"/>
      <c r="B996" s="52"/>
      <c r="C996" s="52"/>
      <c r="D996" s="52"/>
      <c r="E996" s="655"/>
      <c r="F996" s="53"/>
      <c r="G996" s="53"/>
      <c r="H996" s="1"/>
      <c r="I996" s="1"/>
    </row>
    <row r="997" ht="14.25" customHeight="1">
      <c r="A997" s="52"/>
      <c r="B997" s="52"/>
      <c r="C997" s="52"/>
      <c r="D997" s="52"/>
      <c r="E997" s="655"/>
      <c r="F997" s="53"/>
      <c r="G997" s="53"/>
      <c r="H997" s="1"/>
      <c r="I997" s="1"/>
    </row>
    <row r="998" ht="14.25" customHeight="1">
      <c r="A998" s="52"/>
      <c r="B998" s="52"/>
      <c r="C998" s="52"/>
      <c r="D998" s="52"/>
      <c r="E998" s="655"/>
      <c r="F998" s="53"/>
      <c r="G998" s="53"/>
      <c r="H998" s="1"/>
      <c r="I998" s="1"/>
    </row>
    <row r="999" ht="14.25" customHeight="1">
      <c r="A999" s="52"/>
      <c r="B999" s="52"/>
      <c r="C999" s="52"/>
      <c r="D999" s="52"/>
      <c r="E999" s="655"/>
      <c r="F999" s="53"/>
      <c r="G999" s="53"/>
      <c r="H999" s="1"/>
      <c r="I999" s="1"/>
    </row>
    <row r="1000" ht="14.25" customHeight="1">
      <c r="A1000" s="52"/>
      <c r="B1000" s="52"/>
      <c r="C1000" s="52"/>
      <c r="D1000" s="52"/>
      <c r="E1000" s="655"/>
      <c r="F1000" s="53"/>
      <c r="G1000" s="53"/>
      <c r="H1000" s="1"/>
      <c r="I1000" s="1"/>
    </row>
  </sheetData>
  <mergeCells count="10">
    <mergeCell ref="A10:J10"/>
    <mergeCell ref="A11:J11"/>
    <mergeCell ref="A63:J63"/>
    <mergeCell ref="A2:J2"/>
    <mergeCell ref="A4:J4"/>
    <mergeCell ref="A5:J5"/>
    <mergeCell ref="A6:J6"/>
    <mergeCell ref="A7:J7"/>
    <mergeCell ref="A8:J8"/>
    <mergeCell ref="A9:J9"/>
  </mergeCells>
  <hyperlinks>
    <hyperlink r:id="rId1" ref="G14"/>
    <hyperlink r:id="rId2" ref="G22"/>
    <hyperlink r:id="rId3" ref="G23"/>
    <hyperlink r:id="rId4" ref="G24"/>
    <hyperlink r:id="rId5" ref="G26"/>
    <hyperlink r:id="rId6" ref="G27"/>
  </hyperlinks>
  <printOptions/>
  <pageMargins bottom="0.75" footer="0.0" header="0.0" left="0.7" right="0.7" top="0.75"/>
  <pageSetup orientation="landscape"/>
  <drawing r:id="rId7"/>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14"/>
    <col customWidth="1" min="2" max="2" width="25.43"/>
    <col customWidth="1" min="3" max="3" width="11.43"/>
    <col customWidth="1" min="4" max="4" width="19.43"/>
    <col customWidth="1" min="5" max="5" width="8.71"/>
    <col customWidth="1" min="6" max="6" width="8.0"/>
    <col customWidth="1" min="7" max="7" width="9.86"/>
    <col customWidth="1" min="8" max="8" width="7.14"/>
    <col customWidth="1" min="9" max="9" width="9.14"/>
    <col customWidth="1" min="10" max="11" width="8.86"/>
    <col customWidth="1" min="12" max="12" width="20.86"/>
    <col customWidth="1" min="13" max="26" width="10.0"/>
  </cols>
  <sheetData>
    <row r="1" ht="14.25" customHeight="1">
      <c r="A1" s="52"/>
      <c r="B1" s="52"/>
      <c r="C1" s="53"/>
      <c r="D1" s="53"/>
      <c r="E1" s="53"/>
      <c r="F1" s="53"/>
      <c r="G1" s="53"/>
      <c r="H1" s="1"/>
      <c r="I1" s="1"/>
    </row>
    <row r="2" ht="15.0" customHeight="1">
      <c r="A2" s="54" t="s">
        <v>4818</v>
      </c>
      <c r="B2" s="55"/>
      <c r="C2" s="55"/>
      <c r="D2" s="55"/>
      <c r="E2" s="55"/>
      <c r="F2" s="55"/>
      <c r="G2" s="55"/>
      <c r="H2" s="55"/>
      <c r="I2" s="55"/>
      <c r="J2" s="55"/>
      <c r="K2" s="56"/>
    </row>
    <row r="3" ht="15.0" customHeight="1">
      <c r="A3" s="156"/>
      <c r="B3" s="156"/>
      <c r="C3" s="156"/>
      <c r="D3" s="156"/>
      <c r="E3" s="156"/>
      <c r="F3" s="156"/>
      <c r="G3" s="156"/>
      <c r="H3" s="156"/>
      <c r="I3" s="57"/>
    </row>
    <row r="4" ht="82.5" customHeight="1">
      <c r="A4" s="60" t="s">
        <v>4819</v>
      </c>
      <c r="B4" s="55"/>
      <c r="C4" s="55"/>
      <c r="D4" s="55"/>
      <c r="E4" s="55"/>
      <c r="F4" s="55"/>
      <c r="G4" s="55"/>
      <c r="H4" s="55"/>
      <c r="I4" s="55"/>
      <c r="J4" s="55"/>
      <c r="K4" s="56"/>
    </row>
    <row r="5" ht="14.25" customHeight="1">
      <c r="A5" s="52"/>
      <c r="B5" s="52"/>
      <c r="C5" s="53"/>
      <c r="D5" s="53"/>
      <c r="E5" s="53"/>
      <c r="F5" s="53"/>
      <c r="G5" s="53"/>
      <c r="H5" s="1"/>
      <c r="I5" s="1"/>
    </row>
    <row r="6" ht="54.75" customHeight="1">
      <c r="A6" s="203" t="s">
        <v>194</v>
      </c>
      <c r="B6" s="203" t="s">
        <v>1291</v>
      </c>
      <c r="C6" s="203" t="s">
        <v>196</v>
      </c>
      <c r="D6" s="119" t="s">
        <v>197</v>
      </c>
      <c r="E6" s="64" t="s">
        <v>4820</v>
      </c>
      <c r="F6" s="119" t="s">
        <v>4821</v>
      </c>
      <c r="G6" s="64" t="s">
        <v>204</v>
      </c>
      <c r="H6" s="64" t="s">
        <v>205</v>
      </c>
      <c r="I6" s="63" t="s">
        <v>388</v>
      </c>
      <c r="J6" s="63" t="s">
        <v>208</v>
      </c>
      <c r="K6" s="63" t="s">
        <v>209</v>
      </c>
      <c r="L6" s="65" t="s">
        <v>210</v>
      </c>
    </row>
    <row r="7" ht="54.75" customHeight="1">
      <c r="A7" s="68" t="s">
        <v>4822</v>
      </c>
      <c r="B7" s="69" t="s">
        <v>4823</v>
      </c>
      <c r="C7" s="68" t="s">
        <v>38</v>
      </c>
      <c r="D7" s="68" t="s">
        <v>4824</v>
      </c>
      <c r="E7" s="69" t="s">
        <v>4825</v>
      </c>
      <c r="F7" s="704"/>
      <c r="G7" s="704" t="s">
        <v>4826</v>
      </c>
      <c r="H7" s="207">
        <v>2020.0</v>
      </c>
      <c r="I7" s="207" t="s">
        <v>4827</v>
      </c>
      <c r="J7" s="76">
        <v>20.0</v>
      </c>
      <c r="K7" s="180">
        <v>10.0</v>
      </c>
      <c r="L7" s="77" t="s">
        <v>46</v>
      </c>
    </row>
    <row r="8" ht="27.0" customHeight="1">
      <c r="A8" s="68" t="s">
        <v>726</v>
      </c>
      <c r="B8" s="69" t="s">
        <v>460</v>
      </c>
      <c r="C8" s="68" t="s">
        <v>38</v>
      </c>
      <c r="D8" s="68" t="s">
        <v>4828</v>
      </c>
      <c r="E8" s="705" t="s">
        <v>4829</v>
      </c>
      <c r="F8" s="704" t="s">
        <v>4830</v>
      </c>
      <c r="G8" s="704" t="s">
        <v>4831</v>
      </c>
      <c r="H8" s="207">
        <v>2020.0</v>
      </c>
      <c r="I8" s="207" t="s">
        <v>4832</v>
      </c>
      <c r="J8" s="76">
        <v>20.0</v>
      </c>
      <c r="K8" s="180">
        <v>20.0</v>
      </c>
      <c r="L8" s="77" t="s">
        <v>51</v>
      </c>
    </row>
    <row r="9" ht="41.25" customHeight="1">
      <c r="A9" s="68" t="s">
        <v>4833</v>
      </c>
      <c r="B9" s="69" t="s">
        <v>460</v>
      </c>
      <c r="C9" s="68" t="s">
        <v>38</v>
      </c>
      <c r="D9" s="68" t="s">
        <v>4828</v>
      </c>
      <c r="E9" s="69" t="s">
        <v>4834</v>
      </c>
      <c r="F9" s="704" t="s">
        <v>4830</v>
      </c>
      <c r="G9" s="704" t="s">
        <v>4835</v>
      </c>
      <c r="H9" s="207">
        <v>2020.0</v>
      </c>
      <c r="I9" s="207" t="s">
        <v>4832</v>
      </c>
      <c r="J9" s="209">
        <v>20.0</v>
      </c>
      <c r="K9" s="180">
        <v>20.0</v>
      </c>
      <c r="L9" s="77" t="s">
        <v>51</v>
      </c>
    </row>
    <row r="10" ht="86.25" customHeight="1">
      <c r="A10" s="68" t="s">
        <v>4836</v>
      </c>
      <c r="B10" s="69" t="s">
        <v>740</v>
      </c>
      <c r="C10" s="68" t="s">
        <v>38</v>
      </c>
      <c r="D10" s="68" t="s">
        <v>4837</v>
      </c>
      <c r="E10" s="69" t="s">
        <v>4838</v>
      </c>
      <c r="F10" s="706" t="s">
        <v>4839</v>
      </c>
      <c r="G10" s="704" t="s">
        <v>4840</v>
      </c>
      <c r="H10" s="207">
        <v>2020.0</v>
      </c>
      <c r="I10" s="207" t="s">
        <v>4841</v>
      </c>
      <c r="J10" s="76">
        <v>20.0</v>
      </c>
      <c r="K10" s="180">
        <v>20.0</v>
      </c>
      <c r="L10" s="77" t="s">
        <v>58</v>
      </c>
    </row>
    <row r="11" ht="86.25" customHeight="1">
      <c r="A11" s="68" t="s">
        <v>4842</v>
      </c>
      <c r="B11" s="69" t="s">
        <v>740</v>
      </c>
      <c r="C11" s="68" t="s">
        <v>38</v>
      </c>
      <c r="D11" s="68" t="s">
        <v>4837</v>
      </c>
      <c r="E11" s="69" t="s">
        <v>4843</v>
      </c>
      <c r="F11" s="706" t="s">
        <v>4839</v>
      </c>
      <c r="G11" s="704" t="s">
        <v>4844</v>
      </c>
      <c r="H11" s="207">
        <v>2020.0</v>
      </c>
      <c r="I11" s="207" t="s">
        <v>4841</v>
      </c>
      <c r="J11" s="209">
        <v>20.0</v>
      </c>
      <c r="K11" s="180">
        <v>20.0</v>
      </c>
      <c r="L11" s="77" t="s">
        <v>58</v>
      </c>
    </row>
    <row r="12" ht="54.75" customHeight="1">
      <c r="A12" s="218" t="s">
        <v>4845</v>
      </c>
      <c r="B12" s="69" t="s">
        <v>4846</v>
      </c>
      <c r="C12" s="68" t="s">
        <v>38</v>
      </c>
      <c r="D12" s="68" t="s">
        <v>4847</v>
      </c>
      <c r="E12" s="218" t="s">
        <v>4838</v>
      </c>
      <c r="F12" s="706" t="s">
        <v>4848</v>
      </c>
      <c r="G12" s="704" t="s">
        <v>4849</v>
      </c>
      <c r="H12" s="207">
        <v>2020.0</v>
      </c>
      <c r="I12" s="207" t="s">
        <v>4850</v>
      </c>
      <c r="J12" s="76">
        <v>20.0</v>
      </c>
      <c r="K12" s="180">
        <v>6.66</v>
      </c>
      <c r="L12" s="77" t="s">
        <v>59</v>
      </c>
    </row>
    <row r="13" ht="86.25" customHeight="1">
      <c r="A13" s="68" t="s">
        <v>4822</v>
      </c>
      <c r="B13" s="69" t="s">
        <v>4823</v>
      </c>
      <c r="C13" s="68" t="s">
        <v>38</v>
      </c>
      <c r="D13" s="68" t="s">
        <v>4824</v>
      </c>
      <c r="E13" s="69" t="s">
        <v>4825</v>
      </c>
      <c r="F13" s="706" t="s">
        <v>4851</v>
      </c>
      <c r="G13" s="704" t="s">
        <v>4826</v>
      </c>
      <c r="H13" s="207">
        <v>2020.0</v>
      </c>
      <c r="I13" s="207" t="s">
        <v>4827</v>
      </c>
      <c r="J13" s="76">
        <v>20.0</v>
      </c>
      <c r="K13" s="180">
        <v>10.0</v>
      </c>
      <c r="L13" s="77" t="s">
        <v>61</v>
      </c>
    </row>
    <row r="14" ht="123.75" customHeight="1">
      <c r="A14" s="68" t="s">
        <v>4852</v>
      </c>
      <c r="B14" s="69" t="s">
        <v>1321</v>
      </c>
      <c r="C14" s="68" t="s">
        <v>38</v>
      </c>
      <c r="D14" s="68" t="s">
        <v>4853</v>
      </c>
      <c r="E14" s="69">
        <v>3.0</v>
      </c>
      <c r="F14" s="704" t="s">
        <v>4854</v>
      </c>
      <c r="G14" s="704" t="s">
        <v>4855</v>
      </c>
      <c r="H14" s="207">
        <v>2020.0</v>
      </c>
      <c r="I14" s="207" t="s">
        <v>4856</v>
      </c>
      <c r="J14" s="76">
        <v>20.0</v>
      </c>
      <c r="K14" s="180">
        <v>20.0</v>
      </c>
      <c r="L14" s="77" t="s">
        <v>64</v>
      </c>
    </row>
    <row r="15" ht="151.5" customHeight="1">
      <c r="A15" s="707" t="s">
        <v>4857</v>
      </c>
      <c r="B15" s="491" t="s">
        <v>4858</v>
      </c>
      <c r="C15" s="68" t="s">
        <v>38</v>
      </c>
      <c r="D15" s="68" t="s">
        <v>4859</v>
      </c>
      <c r="E15" s="69">
        <v>29.0</v>
      </c>
      <c r="F15" s="704" t="s">
        <v>4860</v>
      </c>
      <c r="G15" s="704"/>
      <c r="H15" s="207">
        <v>2020.0</v>
      </c>
      <c r="I15" s="207" t="s">
        <v>4861</v>
      </c>
      <c r="J15" s="76">
        <v>20.0</v>
      </c>
      <c r="K15" s="180">
        <v>3.33</v>
      </c>
      <c r="L15" s="77" t="s">
        <v>66</v>
      </c>
    </row>
    <row r="16" ht="69.0" customHeight="1">
      <c r="A16" s="99" t="s">
        <v>4862</v>
      </c>
      <c r="B16" s="69" t="s">
        <v>4863</v>
      </c>
      <c r="C16" s="99" t="s">
        <v>38</v>
      </c>
      <c r="D16" s="99" t="s">
        <v>4864</v>
      </c>
      <c r="E16" s="69">
        <v>13.0</v>
      </c>
      <c r="F16" s="704"/>
      <c r="G16" s="704" t="s">
        <v>4865</v>
      </c>
      <c r="H16" s="207">
        <v>2020.0</v>
      </c>
      <c r="I16" s="207" t="s">
        <v>4866</v>
      </c>
      <c r="J16" s="76">
        <v>20.0</v>
      </c>
      <c r="K16" s="180">
        <v>20.0</v>
      </c>
      <c r="L16" s="77" t="s">
        <v>71</v>
      </c>
    </row>
    <row r="17" ht="54.75" customHeight="1">
      <c r="A17" s="99" t="s">
        <v>4867</v>
      </c>
      <c r="B17" s="69" t="s">
        <v>4863</v>
      </c>
      <c r="C17" s="99" t="s">
        <v>38</v>
      </c>
      <c r="D17" s="99" t="s">
        <v>4868</v>
      </c>
      <c r="E17" s="69" t="s">
        <v>4869</v>
      </c>
      <c r="F17" s="704"/>
      <c r="G17" s="704" t="s">
        <v>4870</v>
      </c>
      <c r="H17" s="207">
        <v>2020.0</v>
      </c>
      <c r="I17" s="207" t="s">
        <v>4871</v>
      </c>
      <c r="J17" s="209">
        <v>20.0</v>
      </c>
      <c r="K17" s="180">
        <v>20.0</v>
      </c>
      <c r="L17" s="77" t="s">
        <v>71</v>
      </c>
    </row>
    <row r="18" ht="84.0" customHeight="1">
      <c r="A18" s="244" t="s">
        <v>4872</v>
      </c>
      <c r="B18" s="147" t="s">
        <v>877</v>
      </c>
      <c r="C18" s="147" t="s">
        <v>73</v>
      </c>
      <c r="D18" s="146" t="s">
        <v>4873</v>
      </c>
      <c r="E18" s="147">
        <v>3.0</v>
      </c>
      <c r="F18" s="708" t="s">
        <v>4874</v>
      </c>
      <c r="G18" s="602"/>
      <c r="H18" s="148">
        <v>2020.0</v>
      </c>
      <c r="I18" s="148" t="s">
        <v>1628</v>
      </c>
      <c r="J18" s="232">
        <v>20.0</v>
      </c>
      <c r="K18" s="574">
        <v>20.0</v>
      </c>
      <c r="L18" s="154" t="s">
        <v>882</v>
      </c>
    </row>
    <row r="19" ht="105.0" customHeight="1">
      <c r="A19" s="244" t="s">
        <v>4875</v>
      </c>
      <c r="B19" s="147" t="s">
        <v>877</v>
      </c>
      <c r="C19" s="147" t="s">
        <v>73</v>
      </c>
      <c r="D19" s="146" t="s">
        <v>4876</v>
      </c>
      <c r="E19" s="147" t="s">
        <v>253</v>
      </c>
      <c r="F19" s="709" t="s">
        <v>253</v>
      </c>
      <c r="G19" s="709" t="s">
        <v>4877</v>
      </c>
      <c r="H19" s="263">
        <v>2020.0</v>
      </c>
      <c r="I19" s="710" t="s">
        <v>4878</v>
      </c>
      <c r="J19" s="232">
        <v>20.0</v>
      </c>
      <c r="K19" s="574">
        <v>20.0</v>
      </c>
      <c r="L19" s="154" t="s">
        <v>882</v>
      </c>
    </row>
    <row r="20" ht="84.0" customHeight="1">
      <c r="A20" s="146" t="s">
        <v>4879</v>
      </c>
      <c r="B20" s="147" t="s">
        <v>84</v>
      </c>
      <c r="C20" s="147" t="s">
        <v>4880</v>
      </c>
      <c r="D20" s="711" t="s">
        <v>4881</v>
      </c>
      <c r="E20" s="147">
        <v>13.0</v>
      </c>
      <c r="F20" s="712" t="s">
        <v>4882</v>
      </c>
      <c r="G20" s="709" t="s">
        <v>4883</v>
      </c>
      <c r="H20" s="263">
        <v>2020.0</v>
      </c>
      <c r="I20" s="263" t="s">
        <v>4884</v>
      </c>
      <c r="J20" s="232">
        <v>20.0</v>
      </c>
      <c r="K20" s="574">
        <v>20.0</v>
      </c>
      <c r="L20" s="154" t="s">
        <v>4520</v>
      </c>
    </row>
    <row r="21" ht="144.75" customHeight="1">
      <c r="A21" s="170" t="s">
        <v>4885</v>
      </c>
      <c r="B21" s="148" t="s">
        <v>84</v>
      </c>
      <c r="C21" s="148" t="s">
        <v>73</v>
      </c>
      <c r="D21" s="162" t="s">
        <v>4886</v>
      </c>
      <c r="E21" s="244" t="s">
        <v>4887</v>
      </c>
      <c r="F21" s="713" t="s">
        <v>4888</v>
      </c>
      <c r="G21" s="151" t="s">
        <v>4889</v>
      </c>
      <c r="H21" s="714">
        <v>2020.0</v>
      </c>
      <c r="I21" s="714" t="s">
        <v>4890</v>
      </c>
      <c r="J21" s="232">
        <v>20.0</v>
      </c>
      <c r="K21" s="574">
        <v>20.0</v>
      </c>
      <c r="L21" s="154" t="s">
        <v>4520</v>
      </c>
    </row>
    <row r="22" ht="48.0" customHeight="1">
      <c r="A22" s="170" t="s">
        <v>4891</v>
      </c>
      <c r="B22" s="148" t="s">
        <v>84</v>
      </c>
      <c r="C22" s="148" t="s">
        <v>73</v>
      </c>
      <c r="D22" s="162" t="s">
        <v>4886</v>
      </c>
      <c r="E22" s="148" t="s">
        <v>4892</v>
      </c>
      <c r="F22" s="715" t="s">
        <v>4888</v>
      </c>
      <c r="G22" s="151" t="s">
        <v>4893</v>
      </c>
      <c r="H22" s="714">
        <v>2020.0</v>
      </c>
      <c r="I22" s="714" t="s">
        <v>4890</v>
      </c>
      <c r="J22" s="232">
        <v>20.0</v>
      </c>
      <c r="K22" s="574">
        <v>20.0</v>
      </c>
      <c r="L22" s="154" t="s">
        <v>4520</v>
      </c>
    </row>
    <row r="23" ht="41.25" customHeight="1">
      <c r="A23" s="68" t="s">
        <v>4894</v>
      </c>
      <c r="B23" s="147" t="s">
        <v>4895</v>
      </c>
      <c r="C23" s="146" t="s">
        <v>73</v>
      </c>
      <c r="D23" s="146" t="s">
        <v>4896</v>
      </c>
      <c r="E23" s="716" t="s">
        <v>4897</v>
      </c>
      <c r="F23" s="717"/>
      <c r="G23" s="709" t="s">
        <v>4898</v>
      </c>
      <c r="H23" s="263">
        <v>2020.0</v>
      </c>
      <c r="I23" s="263"/>
      <c r="J23" s="232">
        <v>20.0</v>
      </c>
      <c r="K23" s="574">
        <v>20.0</v>
      </c>
      <c r="L23" s="154" t="s">
        <v>85</v>
      </c>
    </row>
    <row r="24" ht="84.0" customHeight="1">
      <c r="A24" s="146" t="s">
        <v>4899</v>
      </c>
      <c r="B24" s="147" t="s">
        <v>1641</v>
      </c>
      <c r="C24" s="146" t="s">
        <v>4016</v>
      </c>
      <c r="D24" s="146" t="s">
        <v>4900</v>
      </c>
      <c r="E24" s="147" t="s">
        <v>4901</v>
      </c>
      <c r="F24" s="717" t="s">
        <v>4902</v>
      </c>
      <c r="G24" s="709" t="s">
        <v>4903</v>
      </c>
      <c r="H24" s="263" t="s">
        <v>4904</v>
      </c>
      <c r="I24" s="263" t="s">
        <v>4905</v>
      </c>
      <c r="J24" s="232">
        <v>20.0</v>
      </c>
      <c r="K24" s="574">
        <v>20.0</v>
      </c>
      <c r="L24" s="154" t="s">
        <v>89</v>
      </c>
    </row>
    <row r="25" ht="144.75" customHeight="1">
      <c r="A25" s="146" t="s">
        <v>4906</v>
      </c>
      <c r="B25" s="147" t="s">
        <v>90</v>
      </c>
      <c r="C25" s="146" t="s">
        <v>2211</v>
      </c>
      <c r="D25" s="718" t="s">
        <v>4907</v>
      </c>
      <c r="E25" s="147"/>
      <c r="F25" s="709" t="s">
        <v>4908</v>
      </c>
      <c r="G25" s="709" t="s">
        <v>4909</v>
      </c>
      <c r="H25" s="263">
        <v>2020.0</v>
      </c>
      <c r="I25" s="263"/>
      <c r="J25" s="232">
        <v>20.0</v>
      </c>
      <c r="K25" s="574">
        <v>20.0</v>
      </c>
      <c r="L25" s="154" t="s">
        <v>90</v>
      </c>
    </row>
    <row r="26" ht="105.0" customHeight="1">
      <c r="A26" s="146" t="s">
        <v>4910</v>
      </c>
      <c r="B26" s="147" t="s">
        <v>934</v>
      </c>
      <c r="C26" s="147" t="s">
        <v>73</v>
      </c>
      <c r="D26" s="146" t="s">
        <v>4911</v>
      </c>
      <c r="E26" s="147" t="s">
        <v>253</v>
      </c>
      <c r="F26" s="709" t="s">
        <v>253</v>
      </c>
      <c r="G26" s="709" t="s">
        <v>4912</v>
      </c>
      <c r="H26" s="263">
        <v>2020.0</v>
      </c>
      <c r="I26" s="263" t="s">
        <v>4878</v>
      </c>
      <c r="J26" s="232">
        <v>20.0</v>
      </c>
      <c r="K26" s="574">
        <v>20.0</v>
      </c>
      <c r="L26" s="154" t="s">
        <v>98</v>
      </c>
    </row>
    <row r="27" ht="144.75" customHeight="1">
      <c r="A27" s="719" t="s">
        <v>4913</v>
      </c>
      <c r="B27" s="147" t="s">
        <v>934</v>
      </c>
      <c r="C27" s="147" t="s">
        <v>73</v>
      </c>
      <c r="D27" s="146" t="s">
        <v>4873</v>
      </c>
      <c r="E27" s="147">
        <v>3.0</v>
      </c>
      <c r="F27" s="148" t="s">
        <v>4908</v>
      </c>
      <c r="G27" s="602"/>
      <c r="H27" s="148">
        <v>2020.0</v>
      </c>
      <c r="I27" s="148" t="s">
        <v>1628</v>
      </c>
      <c r="J27" s="235">
        <v>20.0</v>
      </c>
      <c r="K27" s="574">
        <v>20.0</v>
      </c>
      <c r="L27" s="154" t="s">
        <v>98</v>
      </c>
    </row>
    <row r="28" ht="96.0" customHeight="1">
      <c r="A28" s="141" t="s">
        <v>4914</v>
      </c>
      <c r="B28" s="121" t="s">
        <v>913</v>
      </c>
      <c r="C28" s="2" t="s">
        <v>73</v>
      </c>
      <c r="D28" s="73" t="s">
        <v>4915</v>
      </c>
      <c r="E28" s="414" t="s">
        <v>4916</v>
      </c>
      <c r="F28" s="101" t="s">
        <v>4917</v>
      </c>
      <c r="G28" s="123" t="s">
        <v>4918</v>
      </c>
      <c r="H28" s="121">
        <v>2020.0</v>
      </c>
      <c r="I28" s="143" t="s">
        <v>4919</v>
      </c>
      <c r="K28" s="2">
        <v>20.0</v>
      </c>
      <c r="L28" s="77" t="s">
        <v>919</v>
      </c>
    </row>
    <row r="29" ht="27.0" customHeight="1">
      <c r="A29" s="99" t="s">
        <v>4920</v>
      </c>
      <c r="B29" s="69" t="s">
        <v>136</v>
      </c>
      <c r="C29" s="99" t="s">
        <v>123</v>
      </c>
      <c r="D29" s="99" t="s">
        <v>4921</v>
      </c>
      <c r="E29" s="69" t="s">
        <v>4922</v>
      </c>
      <c r="F29" s="704">
        <v>0.0</v>
      </c>
      <c r="G29" s="704" t="s">
        <v>4923</v>
      </c>
      <c r="H29" s="207">
        <v>2020.0</v>
      </c>
      <c r="I29" s="207" t="s">
        <v>4924</v>
      </c>
      <c r="J29" s="209">
        <v>20.0</v>
      </c>
      <c r="K29" s="180">
        <v>20.0</v>
      </c>
      <c r="L29" s="77" t="s">
        <v>136</v>
      </c>
    </row>
    <row r="30" ht="82.5" customHeight="1">
      <c r="A30" s="99" t="s">
        <v>4925</v>
      </c>
      <c r="B30" s="69" t="s">
        <v>4926</v>
      </c>
      <c r="C30" s="99" t="s">
        <v>123</v>
      </c>
      <c r="D30" s="99" t="s">
        <v>4927</v>
      </c>
      <c r="E30" s="69" t="s">
        <v>4928</v>
      </c>
      <c r="F30" s="704" t="s">
        <v>4929</v>
      </c>
      <c r="G30" s="704" t="s">
        <v>4930</v>
      </c>
      <c r="H30" s="207">
        <v>2020.0</v>
      </c>
      <c r="I30" s="207" t="s">
        <v>4931</v>
      </c>
      <c r="J30" s="209">
        <v>20.0</v>
      </c>
      <c r="K30" s="180">
        <v>10.0</v>
      </c>
      <c r="L30" s="77" t="s">
        <v>138</v>
      </c>
    </row>
    <row r="31" ht="96.0" customHeight="1">
      <c r="A31" s="68" t="s">
        <v>4932</v>
      </c>
      <c r="B31" s="69" t="s">
        <v>151</v>
      </c>
      <c r="C31" s="68" t="s">
        <v>142</v>
      </c>
      <c r="D31" s="68" t="s">
        <v>4933</v>
      </c>
      <c r="E31" s="69" t="s">
        <v>4934</v>
      </c>
      <c r="F31" s="704" t="s">
        <v>4935</v>
      </c>
      <c r="G31" s="704" t="s">
        <v>4936</v>
      </c>
      <c r="H31" s="207">
        <v>2020.0</v>
      </c>
      <c r="I31" s="207" t="s">
        <v>4937</v>
      </c>
      <c r="J31" s="76">
        <v>20.0</v>
      </c>
      <c r="K31" s="180">
        <v>20.0</v>
      </c>
      <c r="L31" s="77" t="s">
        <v>151</v>
      </c>
    </row>
    <row r="32" ht="110.25" customHeight="1">
      <c r="A32" s="68" t="s">
        <v>4938</v>
      </c>
      <c r="B32" s="69" t="s">
        <v>171</v>
      </c>
      <c r="C32" s="68" t="s">
        <v>142</v>
      </c>
      <c r="D32" s="68" t="s">
        <v>4939</v>
      </c>
      <c r="E32" s="69">
        <v>4.0</v>
      </c>
      <c r="F32" s="704" t="s">
        <v>4940</v>
      </c>
      <c r="G32" s="704" t="s">
        <v>4941</v>
      </c>
      <c r="H32" s="207">
        <v>2019.0</v>
      </c>
      <c r="I32" s="207" t="s">
        <v>4942</v>
      </c>
      <c r="J32" s="76">
        <v>20.0</v>
      </c>
      <c r="K32" s="180">
        <v>20.0</v>
      </c>
      <c r="L32" s="77" t="s">
        <v>171</v>
      </c>
    </row>
    <row r="33" ht="96.0" customHeight="1">
      <c r="A33" s="68" t="s">
        <v>4943</v>
      </c>
      <c r="B33" s="69" t="s">
        <v>1265</v>
      </c>
      <c r="C33" s="68" t="s">
        <v>142</v>
      </c>
      <c r="D33" s="68" t="s">
        <v>4944</v>
      </c>
      <c r="E33" s="69" t="s">
        <v>4945</v>
      </c>
      <c r="F33" s="704" t="s">
        <v>4935</v>
      </c>
      <c r="G33" s="704" t="s">
        <v>4946</v>
      </c>
      <c r="H33" s="207">
        <v>2020.0</v>
      </c>
      <c r="I33" s="207" t="s">
        <v>4937</v>
      </c>
      <c r="J33" s="76">
        <v>20.0</v>
      </c>
      <c r="K33" s="180">
        <v>20.0</v>
      </c>
      <c r="L33" s="77" t="s">
        <v>177</v>
      </c>
    </row>
    <row r="34" ht="96.0" customHeight="1">
      <c r="A34" s="68" t="s">
        <v>4947</v>
      </c>
      <c r="B34" s="69" t="s">
        <v>4948</v>
      </c>
      <c r="C34" s="68" t="s">
        <v>142</v>
      </c>
      <c r="D34" s="68" t="s">
        <v>4944</v>
      </c>
      <c r="E34" s="69" t="s">
        <v>4945</v>
      </c>
      <c r="F34" s="704" t="s">
        <v>4949</v>
      </c>
      <c r="G34" s="704" t="s">
        <v>4950</v>
      </c>
      <c r="H34" s="207">
        <v>2020.0</v>
      </c>
      <c r="I34" s="207" t="s">
        <v>4937</v>
      </c>
      <c r="J34" s="76">
        <v>20.0</v>
      </c>
      <c r="K34" s="180">
        <v>10.0</v>
      </c>
      <c r="L34" s="77" t="s">
        <v>177</v>
      </c>
    </row>
    <row r="35" ht="14.25" customHeight="1">
      <c r="A35" s="101"/>
      <c r="B35" s="75"/>
      <c r="C35" s="75"/>
      <c r="D35" s="75"/>
      <c r="E35" s="75"/>
      <c r="F35" s="102"/>
      <c r="G35" s="102"/>
      <c r="H35" s="720"/>
      <c r="I35" s="720"/>
      <c r="J35" s="209"/>
      <c r="K35" s="180"/>
      <c r="L35" s="77"/>
    </row>
    <row r="36" ht="14.25" customHeight="1">
      <c r="A36" s="101"/>
      <c r="B36" s="75"/>
      <c r="C36" s="75"/>
      <c r="D36" s="75"/>
      <c r="E36" s="75"/>
      <c r="F36" s="102"/>
      <c r="G36" s="102"/>
      <c r="H36" s="720"/>
      <c r="I36" s="720"/>
      <c r="J36" s="209"/>
      <c r="K36" s="180"/>
      <c r="L36" s="77"/>
    </row>
    <row r="37" ht="14.25" customHeight="1">
      <c r="A37" s="104" t="s">
        <v>180</v>
      </c>
      <c r="B37" s="104"/>
      <c r="C37" s="53"/>
      <c r="D37" s="53"/>
      <c r="E37" s="53"/>
      <c r="F37" s="1"/>
      <c r="G37" s="1"/>
      <c r="H37" s="1"/>
      <c r="I37" s="1"/>
      <c r="J37" s="57"/>
      <c r="K37" s="533">
        <f>SUM(K7:K36)</f>
        <v>489.99</v>
      </c>
    </row>
    <row r="38" ht="14.25" customHeight="1">
      <c r="A38" s="52"/>
      <c r="B38" s="52"/>
      <c r="C38" s="53"/>
      <c r="D38" s="53"/>
      <c r="E38" s="53"/>
      <c r="F38" s="53"/>
      <c r="G38" s="53"/>
      <c r="H38" s="1"/>
      <c r="I38" s="1"/>
    </row>
    <row r="39" ht="14.25" customHeight="1">
      <c r="A39" s="52"/>
      <c r="B39" s="53"/>
      <c r="C39" s="53"/>
      <c r="D39" s="53"/>
      <c r="E39" s="53"/>
      <c r="F39" s="53"/>
      <c r="G39" s="1"/>
    </row>
    <row r="40" ht="15.0" customHeight="1">
      <c r="A40" s="534" t="s">
        <v>330</v>
      </c>
      <c r="B40" s="107"/>
      <c r="C40" s="107"/>
      <c r="D40" s="107"/>
      <c r="E40" s="107"/>
      <c r="F40" s="107"/>
      <c r="G40" s="107"/>
      <c r="H40" s="107"/>
      <c r="I40" s="107"/>
      <c r="J40" s="107"/>
      <c r="K40" s="108"/>
    </row>
    <row r="41" ht="14.25" customHeight="1">
      <c r="A41" s="52"/>
      <c r="B41" s="52"/>
      <c r="C41" s="53"/>
      <c r="D41" s="53"/>
      <c r="E41" s="53"/>
      <c r="F41" s="53"/>
      <c r="G41" s="53"/>
      <c r="H41" s="1"/>
      <c r="I41" s="1"/>
    </row>
    <row r="42" ht="14.25" customHeight="1">
      <c r="A42" s="52"/>
      <c r="B42" s="52"/>
      <c r="C42" s="53"/>
      <c r="D42" s="53"/>
      <c r="E42" s="53"/>
      <c r="F42" s="53"/>
      <c r="G42" s="53"/>
      <c r="H42" s="1"/>
      <c r="I42" s="1"/>
    </row>
    <row r="43" ht="14.25" customHeight="1">
      <c r="A43" s="52"/>
      <c r="B43" s="52"/>
      <c r="C43" s="53"/>
      <c r="D43" s="53"/>
      <c r="E43" s="53"/>
      <c r="F43" s="53"/>
      <c r="G43" s="53"/>
      <c r="H43" s="1"/>
      <c r="I43" s="1"/>
    </row>
    <row r="44" ht="14.25" customHeight="1">
      <c r="A44" s="52"/>
      <c r="B44" s="52"/>
      <c r="C44" s="53"/>
      <c r="D44" s="53"/>
      <c r="E44" s="53"/>
      <c r="F44" s="53"/>
      <c r="G44" s="53"/>
      <c r="H44" s="1"/>
      <c r="I44" s="1"/>
    </row>
    <row r="45" ht="14.25" customHeight="1">
      <c r="A45" s="52"/>
      <c r="B45" s="52"/>
      <c r="C45" s="53"/>
      <c r="D45" s="53"/>
      <c r="E45" s="53"/>
      <c r="F45" s="53"/>
      <c r="G45" s="53"/>
      <c r="H45" s="1"/>
      <c r="I45" s="1"/>
    </row>
    <row r="46" ht="14.25" customHeight="1">
      <c r="A46" s="52"/>
      <c r="B46" s="52"/>
      <c r="C46" s="53"/>
      <c r="D46" s="53"/>
      <c r="E46" s="53"/>
      <c r="F46" s="53"/>
      <c r="G46" s="53"/>
      <c r="H46" s="1"/>
      <c r="I46" s="1"/>
    </row>
    <row r="47" ht="14.25" customHeight="1">
      <c r="A47" s="52"/>
      <c r="B47" s="52"/>
      <c r="C47" s="53"/>
      <c r="D47" s="53"/>
      <c r="E47" s="53"/>
      <c r="F47" s="53"/>
      <c r="G47" s="53"/>
      <c r="H47" s="1"/>
      <c r="I47" s="1"/>
    </row>
    <row r="48" ht="14.25" customHeight="1">
      <c r="A48" s="52"/>
      <c r="B48" s="52"/>
      <c r="C48" s="53"/>
      <c r="D48" s="53"/>
      <c r="E48" s="53"/>
      <c r="F48" s="53"/>
      <c r="G48" s="53"/>
      <c r="H48" s="1"/>
      <c r="I48" s="1"/>
    </row>
    <row r="49" ht="14.25" customHeight="1">
      <c r="A49" s="52"/>
      <c r="B49" s="52"/>
      <c r="C49" s="53"/>
      <c r="D49" s="53"/>
      <c r="E49" s="53"/>
      <c r="F49" s="53"/>
      <c r="G49" s="53"/>
      <c r="H49" s="1"/>
      <c r="I49" s="1"/>
    </row>
    <row r="50" ht="14.25" customHeight="1">
      <c r="A50" s="52"/>
      <c r="B50" s="52"/>
      <c r="C50" s="53"/>
      <c r="D50" s="53"/>
      <c r="E50" s="53"/>
      <c r="F50" s="53"/>
      <c r="G50" s="53"/>
      <c r="H50" s="1"/>
      <c r="I50" s="1"/>
    </row>
    <row r="51" ht="14.25" customHeight="1">
      <c r="A51" s="52"/>
      <c r="B51" s="52"/>
      <c r="C51" s="53"/>
      <c r="D51" s="53"/>
      <c r="E51" s="53"/>
      <c r="F51" s="53"/>
      <c r="G51" s="53"/>
      <c r="H51" s="1"/>
      <c r="I51" s="1"/>
    </row>
    <row r="52" ht="14.25" customHeight="1">
      <c r="A52" s="52"/>
      <c r="B52" s="52"/>
      <c r="C52" s="53"/>
      <c r="D52" s="53"/>
      <c r="E52" s="53"/>
      <c r="F52" s="53"/>
      <c r="G52" s="53"/>
      <c r="H52" s="1"/>
      <c r="I52" s="1"/>
    </row>
    <row r="53" ht="14.25" customHeight="1">
      <c r="A53" s="52"/>
      <c r="B53" s="52"/>
      <c r="C53" s="53"/>
      <c r="D53" s="53"/>
      <c r="E53" s="53"/>
      <c r="F53" s="53"/>
      <c r="G53" s="53"/>
      <c r="H53" s="1"/>
      <c r="I53" s="1"/>
    </row>
    <row r="54" ht="14.25" customHeight="1">
      <c r="A54" s="52"/>
      <c r="B54" s="52"/>
      <c r="C54" s="53"/>
      <c r="D54" s="53"/>
      <c r="E54" s="53"/>
      <c r="F54" s="53"/>
      <c r="G54" s="53"/>
      <c r="H54" s="1"/>
      <c r="I54" s="1"/>
    </row>
    <row r="55" ht="14.25" customHeight="1">
      <c r="A55" s="52"/>
      <c r="B55" s="52"/>
      <c r="C55" s="53"/>
      <c r="D55" s="53"/>
      <c r="E55" s="53"/>
      <c r="F55" s="53"/>
      <c r="G55" s="53"/>
      <c r="H55" s="1"/>
      <c r="I55" s="1"/>
    </row>
    <row r="56" ht="14.25" customHeight="1">
      <c r="A56" s="52"/>
      <c r="B56" s="52"/>
      <c r="C56" s="53"/>
      <c r="D56" s="53"/>
      <c r="E56" s="53"/>
      <c r="F56" s="53"/>
      <c r="G56" s="53"/>
      <c r="H56" s="1"/>
      <c r="I56" s="1"/>
    </row>
    <row r="57" ht="14.25" customHeight="1">
      <c r="A57" s="52"/>
      <c r="B57" s="52"/>
      <c r="C57" s="53"/>
      <c r="D57" s="53"/>
      <c r="E57" s="53"/>
      <c r="F57" s="53"/>
      <c r="G57" s="53"/>
      <c r="H57" s="1"/>
      <c r="I57" s="1"/>
    </row>
    <row r="58" ht="14.25" customHeight="1">
      <c r="A58" s="52"/>
      <c r="B58" s="52"/>
      <c r="C58" s="53"/>
      <c r="D58" s="53"/>
      <c r="E58" s="53"/>
      <c r="F58" s="53"/>
      <c r="G58" s="53"/>
      <c r="H58" s="1"/>
      <c r="I58" s="1"/>
    </row>
    <row r="59" ht="14.25" customHeight="1">
      <c r="A59" s="52"/>
      <c r="B59" s="52"/>
      <c r="C59" s="53"/>
      <c r="D59" s="53"/>
      <c r="E59" s="53"/>
      <c r="F59" s="53"/>
      <c r="G59" s="53"/>
      <c r="H59" s="1"/>
      <c r="I59" s="1"/>
    </row>
    <row r="60" ht="14.25" customHeight="1">
      <c r="A60" s="52"/>
      <c r="B60" s="52"/>
      <c r="C60" s="53"/>
      <c r="D60" s="53"/>
      <c r="E60" s="53"/>
      <c r="F60" s="53"/>
      <c r="G60" s="53"/>
      <c r="H60" s="1"/>
      <c r="I60" s="1"/>
    </row>
    <row r="61" ht="14.25" customHeight="1">
      <c r="A61" s="52"/>
      <c r="B61" s="52"/>
      <c r="C61" s="53"/>
      <c r="D61" s="53"/>
      <c r="E61" s="53"/>
      <c r="F61" s="53"/>
      <c r="G61" s="53"/>
      <c r="H61" s="1"/>
      <c r="I61" s="1"/>
    </row>
    <row r="62" ht="14.25" customHeight="1">
      <c r="A62" s="52"/>
      <c r="B62" s="52"/>
      <c r="C62" s="53"/>
      <c r="D62" s="53"/>
      <c r="E62" s="53"/>
      <c r="F62" s="53"/>
      <c r="G62" s="53"/>
      <c r="H62" s="1"/>
      <c r="I62" s="1"/>
    </row>
    <row r="63" ht="14.25" customHeight="1">
      <c r="A63" s="52"/>
      <c r="B63" s="52"/>
      <c r="C63" s="53"/>
      <c r="D63" s="53"/>
      <c r="E63" s="53"/>
      <c r="F63" s="53"/>
      <c r="G63" s="53"/>
      <c r="H63" s="1"/>
      <c r="I63" s="1"/>
    </row>
    <row r="64" ht="14.25" customHeight="1">
      <c r="A64" s="52"/>
      <c r="B64" s="52"/>
      <c r="C64" s="53"/>
      <c r="D64" s="53"/>
      <c r="E64" s="53"/>
      <c r="F64" s="53"/>
      <c r="G64" s="53"/>
      <c r="H64" s="1"/>
      <c r="I64" s="1"/>
    </row>
    <row r="65" ht="14.25" customHeight="1">
      <c r="A65" s="52"/>
      <c r="B65" s="52"/>
      <c r="C65" s="53"/>
      <c r="D65" s="53"/>
      <c r="E65" s="53"/>
      <c r="F65" s="53"/>
      <c r="G65" s="53"/>
      <c r="H65" s="1"/>
      <c r="I65" s="1"/>
    </row>
    <row r="66" ht="14.25" customHeight="1">
      <c r="A66" s="52"/>
      <c r="B66" s="52"/>
      <c r="C66" s="53"/>
      <c r="D66" s="53"/>
      <c r="E66" s="53"/>
      <c r="F66" s="53"/>
      <c r="G66" s="53"/>
      <c r="H66" s="1"/>
      <c r="I66" s="1"/>
    </row>
    <row r="67" ht="14.25" customHeight="1">
      <c r="A67" s="52"/>
      <c r="B67" s="52"/>
      <c r="C67" s="53"/>
      <c r="D67" s="53"/>
      <c r="E67" s="53"/>
      <c r="F67" s="53"/>
      <c r="G67" s="53"/>
      <c r="H67" s="1"/>
      <c r="I67" s="1"/>
    </row>
    <row r="68" ht="14.25" customHeight="1">
      <c r="A68" s="52"/>
      <c r="B68" s="52"/>
      <c r="C68" s="53"/>
      <c r="D68" s="53"/>
      <c r="E68" s="53"/>
      <c r="F68" s="53"/>
      <c r="G68" s="53"/>
      <c r="H68" s="1"/>
      <c r="I68" s="1"/>
    </row>
    <row r="69" ht="14.25" customHeight="1">
      <c r="A69" s="52"/>
      <c r="B69" s="52"/>
      <c r="C69" s="53"/>
      <c r="D69" s="53"/>
      <c r="E69" s="53"/>
      <c r="F69" s="53"/>
      <c r="G69" s="53"/>
      <c r="H69" s="1"/>
      <c r="I69" s="1"/>
    </row>
    <row r="70" ht="14.25" customHeight="1">
      <c r="A70" s="52"/>
      <c r="B70" s="52"/>
      <c r="C70" s="53"/>
      <c r="D70" s="53"/>
      <c r="E70" s="53"/>
      <c r="F70" s="53"/>
      <c r="G70" s="53"/>
      <c r="H70" s="1"/>
      <c r="I70" s="1"/>
    </row>
    <row r="71" ht="14.25" customHeight="1">
      <c r="A71" s="52"/>
      <c r="B71" s="52"/>
      <c r="C71" s="53"/>
      <c r="D71" s="53"/>
      <c r="E71" s="53"/>
      <c r="F71" s="53"/>
      <c r="G71" s="53"/>
      <c r="H71" s="1"/>
      <c r="I71" s="1"/>
    </row>
    <row r="72" ht="14.25" customHeight="1">
      <c r="A72" s="52"/>
      <c r="B72" s="52"/>
      <c r="C72" s="53"/>
      <c r="D72" s="53"/>
      <c r="E72" s="53"/>
      <c r="F72" s="53"/>
      <c r="G72" s="53"/>
      <c r="H72" s="1"/>
      <c r="I72" s="1"/>
    </row>
    <row r="73" ht="14.25" customHeight="1">
      <c r="A73" s="52"/>
      <c r="B73" s="52"/>
      <c r="C73" s="53"/>
      <c r="D73" s="53"/>
      <c r="E73" s="53"/>
      <c r="F73" s="53"/>
      <c r="G73" s="53"/>
      <c r="H73" s="1"/>
      <c r="I73" s="1"/>
    </row>
    <row r="74" ht="14.25" customHeight="1">
      <c r="A74" s="52"/>
      <c r="B74" s="52"/>
      <c r="C74" s="53"/>
      <c r="D74" s="53"/>
      <c r="E74" s="53"/>
      <c r="F74" s="53"/>
      <c r="G74" s="53"/>
      <c r="H74" s="1"/>
      <c r="I74" s="1"/>
    </row>
    <row r="75" ht="14.25" customHeight="1">
      <c r="A75" s="52"/>
      <c r="B75" s="52"/>
      <c r="C75" s="53"/>
      <c r="D75" s="53"/>
      <c r="E75" s="53"/>
      <c r="F75" s="53"/>
      <c r="G75" s="53"/>
      <c r="H75" s="1"/>
      <c r="I75" s="1"/>
    </row>
    <row r="76" ht="14.25" customHeight="1">
      <c r="A76" s="52"/>
      <c r="B76" s="52"/>
      <c r="C76" s="53"/>
      <c r="D76" s="53"/>
      <c r="E76" s="53"/>
      <c r="F76" s="53"/>
      <c r="G76" s="53"/>
      <c r="H76" s="1"/>
      <c r="I76" s="1"/>
    </row>
    <row r="77" ht="14.25" customHeight="1">
      <c r="A77" s="52"/>
      <c r="B77" s="52"/>
      <c r="C77" s="53"/>
      <c r="D77" s="53"/>
      <c r="E77" s="53"/>
      <c r="F77" s="53"/>
      <c r="G77" s="53"/>
      <c r="H77" s="1"/>
      <c r="I77" s="1"/>
    </row>
    <row r="78" ht="14.25" customHeight="1">
      <c r="A78" s="52"/>
      <c r="B78" s="52"/>
      <c r="C78" s="53"/>
      <c r="D78" s="53"/>
      <c r="E78" s="53"/>
      <c r="F78" s="53"/>
      <c r="G78" s="53"/>
      <c r="H78" s="1"/>
      <c r="I78" s="1"/>
    </row>
    <row r="79" ht="14.25" customHeight="1">
      <c r="A79" s="52"/>
      <c r="B79" s="52"/>
      <c r="C79" s="53"/>
      <c r="D79" s="53"/>
      <c r="E79" s="53"/>
      <c r="F79" s="53"/>
      <c r="G79" s="53"/>
      <c r="H79" s="1"/>
      <c r="I79" s="1"/>
    </row>
    <row r="80" ht="14.25" customHeight="1">
      <c r="A80" s="52"/>
      <c r="B80" s="52"/>
      <c r="C80" s="53"/>
      <c r="D80" s="53"/>
      <c r="E80" s="53"/>
      <c r="F80" s="53"/>
      <c r="G80" s="53"/>
      <c r="H80" s="1"/>
      <c r="I80" s="1"/>
    </row>
    <row r="81" ht="14.25" customHeight="1">
      <c r="A81" s="52"/>
      <c r="B81" s="52"/>
      <c r="C81" s="53"/>
      <c r="D81" s="53"/>
      <c r="E81" s="53"/>
      <c r="F81" s="53"/>
      <c r="G81" s="53"/>
      <c r="H81" s="1"/>
      <c r="I81" s="1"/>
    </row>
    <row r="82" ht="14.25" customHeight="1">
      <c r="A82" s="52"/>
      <c r="B82" s="52"/>
      <c r="C82" s="53"/>
      <c r="D82" s="53"/>
      <c r="E82" s="53"/>
      <c r="F82" s="53"/>
      <c r="G82" s="53"/>
      <c r="H82" s="1"/>
      <c r="I82" s="1"/>
    </row>
    <row r="83" ht="14.25" customHeight="1">
      <c r="A83" s="52"/>
      <c r="B83" s="52"/>
      <c r="C83" s="53"/>
      <c r="D83" s="53"/>
      <c r="E83" s="53"/>
      <c r="F83" s="53"/>
      <c r="G83" s="53"/>
      <c r="H83" s="1"/>
      <c r="I83" s="1"/>
    </row>
    <row r="84" ht="14.25" customHeight="1">
      <c r="A84" s="52"/>
      <c r="B84" s="52"/>
      <c r="C84" s="53"/>
      <c r="D84" s="53"/>
      <c r="E84" s="53"/>
      <c r="F84" s="53"/>
      <c r="G84" s="53"/>
      <c r="H84" s="1"/>
      <c r="I84" s="1"/>
    </row>
    <row r="85" ht="14.25" customHeight="1">
      <c r="A85" s="52"/>
      <c r="B85" s="52"/>
      <c r="C85" s="53"/>
      <c r="D85" s="53"/>
      <c r="E85" s="53"/>
      <c r="F85" s="53"/>
      <c r="G85" s="53"/>
      <c r="H85" s="1"/>
      <c r="I85" s="1"/>
    </row>
    <row r="86" ht="14.25" customHeight="1">
      <c r="A86" s="52"/>
      <c r="B86" s="52"/>
      <c r="C86" s="53"/>
      <c r="D86" s="53"/>
      <c r="E86" s="53"/>
      <c r="F86" s="53"/>
      <c r="G86" s="53"/>
      <c r="H86" s="1"/>
      <c r="I86" s="1"/>
    </row>
    <row r="87" ht="14.25" customHeight="1">
      <c r="A87" s="52"/>
      <c r="B87" s="52"/>
      <c r="C87" s="53"/>
      <c r="D87" s="53"/>
      <c r="E87" s="53"/>
      <c r="F87" s="53"/>
      <c r="G87" s="53"/>
      <c r="H87" s="1"/>
      <c r="I87" s="1"/>
    </row>
    <row r="88" ht="14.25" customHeight="1">
      <c r="A88" s="52"/>
      <c r="B88" s="52"/>
      <c r="C88" s="53"/>
      <c r="D88" s="53"/>
      <c r="E88" s="53"/>
      <c r="F88" s="53"/>
      <c r="G88" s="53"/>
      <c r="H88" s="1"/>
      <c r="I88" s="1"/>
    </row>
    <row r="89" ht="14.25" customHeight="1">
      <c r="A89" s="52"/>
      <c r="B89" s="52"/>
      <c r="C89" s="53"/>
      <c r="D89" s="53"/>
      <c r="E89" s="53"/>
      <c r="F89" s="53"/>
      <c r="G89" s="53"/>
      <c r="H89" s="1"/>
      <c r="I89" s="1"/>
    </row>
    <row r="90" ht="14.25" customHeight="1">
      <c r="A90" s="52"/>
      <c r="B90" s="52"/>
      <c r="C90" s="53"/>
      <c r="D90" s="53"/>
      <c r="E90" s="53"/>
      <c r="F90" s="53"/>
      <c r="G90" s="53"/>
      <c r="H90" s="1"/>
      <c r="I90" s="1"/>
    </row>
    <row r="91" ht="14.25" customHeight="1">
      <c r="A91" s="52"/>
      <c r="B91" s="52"/>
      <c r="C91" s="53"/>
      <c r="D91" s="53"/>
      <c r="E91" s="53"/>
      <c r="F91" s="53"/>
      <c r="G91" s="53"/>
      <c r="H91" s="1"/>
      <c r="I91" s="1"/>
    </row>
    <row r="92" ht="14.25" customHeight="1">
      <c r="A92" s="52"/>
      <c r="B92" s="52"/>
      <c r="C92" s="53"/>
      <c r="D92" s="53"/>
      <c r="E92" s="53"/>
      <c r="F92" s="53"/>
      <c r="G92" s="53"/>
      <c r="H92" s="1"/>
      <c r="I92" s="1"/>
    </row>
    <row r="93" ht="14.25" customHeight="1">
      <c r="A93" s="52"/>
      <c r="B93" s="52"/>
      <c r="C93" s="53"/>
      <c r="D93" s="53"/>
      <c r="E93" s="53"/>
      <c r="F93" s="53"/>
      <c r="G93" s="53"/>
      <c r="H93" s="1"/>
      <c r="I93" s="1"/>
    </row>
    <row r="94" ht="14.25" customHeight="1">
      <c r="A94" s="52"/>
      <c r="B94" s="52"/>
      <c r="C94" s="53"/>
      <c r="D94" s="53"/>
      <c r="E94" s="53"/>
      <c r="F94" s="53"/>
      <c r="G94" s="53"/>
      <c r="H94" s="1"/>
      <c r="I94" s="1"/>
    </row>
    <row r="95" ht="14.25" customHeight="1">
      <c r="A95" s="52"/>
      <c r="B95" s="52"/>
      <c r="C95" s="53"/>
      <c r="D95" s="53"/>
      <c r="E95" s="53"/>
      <c r="F95" s="53"/>
      <c r="G95" s="53"/>
      <c r="H95" s="1"/>
      <c r="I95" s="1"/>
    </row>
    <row r="96" ht="14.25" customHeight="1">
      <c r="A96" s="52"/>
      <c r="B96" s="52"/>
      <c r="C96" s="53"/>
      <c r="D96" s="53"/>
      <c r="E96" s="53"/>
      <c r="F96" s="53"/>
      <c r="G96" s="53"/>
      <c r="H96" s="1"/>
      <c r="I96" s="1"/>
    </row>
    <row r="97" ht="14.25" customHeight="1">
      <c r="A97" s="52"/>
      <c r="B97" s="52"/>
      <c r="C97" s="53"/>
      <c r="D97" s="53"/>
      <c r="E97" s="53"/>
      <c r="F97" s="53"/>
      <c r="G97" s="53"/>
      <c r="H97" s="1"/>
      <c r="I97" s="1"/>
    </row>
    <row r="98" ht="14.25" customHeight="1">
      <c r="A98" s="52"/>
      <c r="B98" s="52"/>
      <c r="C98" s="53"/>
      <c r="D98" s="53"/>
      <c r="E98" s="53"/>
      <c r="F98" s="53"/>
      <c r="G98" s="53"/>
      <c r="H98" s="1"/>
      <c r="I98" s="1"/>
    </row>
    <row r="99" ht="14.25" customHeight="1">
      <c r="A99" s="52"/>
      <c r="B99" s="52"/>
      <c r="C99" s="53"/>
      <c r="D99" s="53"/>
      <c r="E99" s="53"/>
      <c r="F99" s="53"/>
      <c r="G99" s="53"/>
      <c r="H99" s="1"/>
      <c r="I99" s="1"/>
    </row>
    <row r="100" ht="14.25" customHeight="1">
      <c r="A100" s="52"/>
      <c r="B100" s="52"/>
      <c r="C100" s="53"/>
      <c r="D100" s="53"/>
      <c r="E100" s="53"/>
      <c r="F100" s="53"/>
      <c r="G100" s="53"/>
      <c r="H100" s="1"/>
      <c r="I100" s="1"/>
    </row>
    <row r="101" ht="14.25" customHeight="1">
      <c r="A101" s="52"/>
      <c r="B101" s="52"/>
      <c r="C101" s="53"/>
      <c r="D101" s="53"/>
      <c r="E101" s="53"/>
      <c r="F101" s="53"/>
      <c r="G101" s="53"/>
      <c r="H101" s="1"/>
      <c r="I101" s="1"/>
    </row>
    <row r="102" ht="14.25" customHeight="1">
      <c r="A102" s="52"/>
      <c r="B102" s="52"/>
      <c r="C102" s="53"/>
      <c r="D102" s="53"/>
      <c r="E102" s="53"/>
      <c r="F102" s="53"/>
      <c r="G102" s="53"/>
      <c r="H102" s="1"/>
      <c r="I102" s="1"/>
    </row>
    <row r="103" ht="14.25" customHeight="1">
      <c r="A103" s="52"/>
      <c r="B103" s="52"/>
      <c r="C103" s="53"/>
      <c r="D103" s="53"/>
      <c r="E103" s="53"/>
      <c r="F103" s="53"/>
      <c r="G103" s="53"/>
      <c r="H103" s="1"/>
      <c r="I103" s="1"/>
    </row>
    <row r="104" ht="14.25" customHeight="1">
      <c r="A104" s="52"/>
      <c r="B104" s="52"/>
      <c r="C104" s="53"/>
      <c r="D104" s="53"/>
      <c r="E104" s="53"/>
      <c r="F104" s="53"/>
      <c r="G104" s="53"/>
      <c r="H104" s="1"/>
      <c r="I104" s="1"/>
    </row>
    <row r="105" ht="14.25" customHeight="1">
      <c r="A105" s="52"/>
      <c r="B105" s="52"/>
      <c r="C105" s="53"/>
      <c r="D105" s="53"/>
      <c r="E105" s="53"/>
      <c r="F105" s="53"/>
      <c r="G105" s="53"/>
      <c r="H105" s="1"/>
      <c r="I105" s="1"/>
    </row>
    <row r="106" ht="14.25" customHeight="1">
      <c r="A106" s="52"/>
      <c r="B106" s="52"/>
      <c r="C106" s="53"/>
      <c r="D106" s="53"/>
      <c r="E106" s="53"/>
      <c r="F106" s="53"/>
      <c r="G106" s="53"/>
      <c r="H106" s="1"/>
      <c r="I106" s="1"/>
    </row>
    <row r="107" ht="14.25" customHeight="1">
      <c r="A107" s="52"/>
      <c r="B107" s="52"/>
      <c r="C107" s="53"/>
      <c r="D107" s="53"/>
      <c r="E107" s="53"/>
      <c r="F107" s="53"/>
      <c r="G107" s="53"/>
      <c r="H107" s="1"/>
      <c r="I107" s="1"/>
    </row>
    <row r="108" ht="14.25" customHeight="1">
      <c r="A108" s="52"/>
      <c r="B108" s="52"/>
      <c r="C108" s="53"/>
      <c r="D108" s="53"/>
      <c r="E108" s="53"/>
      <c r="F108" s="53"/>
      <c r="G108" s="53"/>
      <c r="H108" s="1"/>
      <c r="I108" s="1"/>
    </row>
    <row r="109" ht="14.25" customHeight="1">
      <c r="A109" s="52"/>
      <c r="B109" s="52"/>
      <c r="C109" s="53"/>
      <c r="D109" s="53"/>
      <c r="E109" s="53"/>
      <c r="F109" s="53"/>
      <c r="G109" s="53"/>
      <c r="H109" s="1"/>
      <c r="I109" s="1"/>
    </row>
    <row r="110" ht="14.25" customHeight="1">
      <c r="A110" s="52"/>
      <c r="B110" s="52"/>
      <c r="C110" s="53"/>
      <c r="D110" s="53"/>
      <c r="E110" s="53"/>
      <c r="F110" s="53"/>
      <c r="G110" s="53"/>
      <c r="H110" s="1"/>
      <c r="I110" s="1"/>
    </row>
    <row r="111" ht="14.25" customHeight="1">
      <c r="A111" s="52"/>
      <c r="B111" s="52"/>
      <c r="C111" s="53"/>
      <c r="D111" s="53"/>
      <c r="E111" s="53"/>
      <c r="F111" s="53"/>
      <c r="G111" s="53"/>
      <c r="H111" s="1"/>
      <c r="I111" s="1"/>
    </row>
    <row r="112" ht="14.25" customHeight="1">
      <c r="A112" s="52"/>
      <c r="B112" s="52"/>
      <c r="C112" s="53"/>
      <c r="D112" s="53"/>
      <c r="E112" s="53"/>
      <c r="F112" s="53"/>
      <c r="G112" s="53"/>
      <c r="H112" s="1"/>
      <c r="I112" s="1"/>
    </row>
    <row r="113" ht="14.25" customHeight="1">
      <c r="A113" s="52"/>
      <c r="B113" s="52"/>
      <c r="C113" s="53"/>
      <c r="D113" s="53"/>
      <c r="E113" s="53"/>
      <c r="F113" s="53"/>
      <c r="G113" s="53"/>
      <c r="H113" s="1"/>
      <c r="I113" s="1"/>
    </row>
    <row r="114" ht="14.25" customHeight="1">
      <c r="A114" s="52"/>
      <c r="B114" s="52"/>
      <c r="C114" s="53"/>
      <c r="D114" s="53"/>
      <c r="E114" s="53"/>
      <c r="F114" s="53"/>
      <c r="G114" s="53"/>
      <c r="H114" s="1"/>
      <c r="I114" s="1"/>
    </row>
    <row r="115" ht="14.25" customHeight="1">
      <c r="A115" s="52"/>
      <c r="B115" s="52"/>
      <c r="C115" s="53"/>
      <c r="D115" s="53"/>
      <c r="E115" s="53"/>
      <c r="F115" s="53"/>
      <c r="G115" s="53"/>
      <c r="H115" s="1"/>
      <c r="I115" s="1"/>
    </row>
    <row r="116" ht="14.25" customHeight="1">
      <c r="A116" s="52"/>
      <c r="B116" s="52"/>
      <c r="C116" s="53"/>
      <c r="D116" s="53"/>
      <c r="E116" s="53"/>
      <c r="F116" s="53"/>
      <c r="G116" s="53"/>
      <c r="H116" s="1"/>
      <c r="I116" s="1"/>
    </row>
    <row r="117" ht="14.25" customHeight="1">
      <c r="A117" s="52"/>
      <c r="B117" s="52"/>
      <c r="C117" s="53"/>
      <c r="D117" s="53"/>
      <c r="E117" s="53"/>
      <c r="F117" s="53"/>
      <c r="G117" s="53"/>
      <c r="H117" s="1"/>
      <c r="I117" s="1"/>
    </row>
    <row r="118" ht="14.25" customHeight="1">
      <c r="A118" s="52"/>
      <c r="B118" s="52"/>
      <c r="C118" s="53"/>
      <c r="D118" s="53"/>
      <c r="E118" s="53"/>
      <c r="F118" s="53"/>
      <c r="G118" s="53"/>
      <c r="H118" s="1"/>
      <c r="I118" s="1"/>
    </row>
    <row r="119" ht="14.25" customHeight="1">
      <c r="A119" s="52"/>
      <c r="B119" s="52"/>
      <c r="C119" s="53"/>
      <c r="D119" s="53"/>
      <c r="E119" s="53"/>
      <c r="F119" s="53"/>
      <c r="G119" s="53"/>
      <c r="H119" s="1"/>
      <c r="I119" s="1"/>
    </row>
    <row r="120" ht="14.25" customHeight="1">
      <c r="A120" s="52"/>
      <c r="B120" s="52"/>
      <c r="C120" s="53"/>
      <c r="D120" s="53"/>
      <c r="E120" s="53"/>
      <c r="F120" s="53"/>
      <c r="G120" s="53"/>
      <c r="H120" s="1"/>
      <c r="I120" s="1"/>
    </row>
    <row r="121" ht="14.25" customHeight="1">
      <c r="A121" s="52"/>
      <c r="B121" s="52"/>
      <c r="C121" s="53"/>
      <c r="D121" s="53"/>
      <c r="E121" s="53"/>
      <c r="F121" s="53"/>
      <c r="G121" s="53"/>
      <c r="H121" s="1"/>
      <c r="I121" s="1"/>
    </row>
    <row r="122" ht="14.25" customHeight="1">
      <c r="A122" s="52"/>
      <c r="B122" s="52"/>
      <c r="C122" s="53"/>
      <c r="D122" s="53"/>
      <c r="E122" s="53"/>
      <c r="F122" s="53"/>
      <c r="G122" s="53"/>
      <c r="H122" s="1"/>
      <c r="I122" s="1"/>
    </row>
    <row r="123" ht="14.25" customHeight="1">
      <c r="A123" s="52"/>
      <c r="B123" s="52"/>
      <c r="C123" s="53"/>
      <c r="D123" s="53"/>
      <c r="E123" s="53"/>
      <c r="F123" s="53"/>
      <c r="G123" s="53"/>
      <c r="H123" s="1"/>
      <c r="I123" s="1"/>
    </row>
    <row r="124" ht="14.25" customHeight="1">
      <c r="A124" s="52"/>
      <c r="B124" s="52"/>
      <c r="C124" s="53"/>
      <c r="D124" s="53"/>
      <c r="E124" s="53"/>
      <c r="F124" s="53"/>
      <c r="G124" s="53"/>
      <c r="H124" s="1"/>
      <c r="I124" s="1"/>
    </row>
    <row r="125" ht="14.25" customHeight="1">
      <c r="A125" s="52"/>
      <c r="B125" s="52"/>
      <c r="C125" s="53"/>
      <c r="D125" s="53"/>
      <c r="E125" s="53"/>
      <c r="F125" s="53"/>
      <c r="G125" s="53"/>
      <c r="H125" s="1"/>
      <c r="I125" s="1"/>
    </row>
    <row r="126" ht="14.25" customHeight="1">
      <c r="A126" s="52"/>
      <c r="B126" s="52"/>
      <c r="C126" s="53"/>
      <c r="D126" s="53"/>
      <c r="E126" s="53"/>
      <c r="F126" s="53"/>
      <c r="G126" s="53"/>
      <c r="H126" s="1"/>
      <c r="I126" s="1"/>
    </row>
    <row r="127" ht="14.25" customHeight="1">
      <c r="A127" s="52"/>
      <c r="B127" s="52"/>
      <c r="C127" s="53"/>
      <c r="D127" s="53"/>
      <c r="E127" s="53"/>
      <c r="F127" s="53"/>
      <c r="G127" s="53"/>
      <c r="H127" s="1"/>
      <c r="I127" s="1"/>
    </row>
    <row r="128" ht="14.25" customHeight="1">
      <c r="A128" s="52"/>
      <c r="B128" s="52"/>
      <c r="C128" s="53"/>
      <c r="D128" s="53"/>
      <c r="E128" s="53"/>
      <c r="F128" s="53"/>
      <c r="G128" s="53"/>
      <c r="H128" s="1"/>
      <c r="I128" s="1"/>
    </row>
    <row r="129" ht="14.25" customHeight="1">
      <c r="A129" s="52"/>
      <c r="B129" s="52"/>
      <c r="C129" s="53"/>
      <c r="D129" s="53"/>
      <c r="E129" s="53"/>
      <c r="F129" s="53"/>
      <c r="G129" s="53"/>
      <c r="H129" s="1"/>
      <c r="I129" s="1"/>
    </row>
    <row r="130" ht="14.25" customHeight="1">
      <c r="A130" s="52"/>
      <c r="B130" s="52"/>
      <c r="C130" s="53"/>
      <c r="D130" s="53"/>
      <c r="E130" s="53"/>
      <c r="F130" s="53"/>
      <c r="G130" s="53"/>
      <c r="H130" s="1"/>
      <c r="I130" s="1"/>
    </row>
    <row r="131" ht="14.25" customHeight="1">
      <c r="A131" s="52"/>
      <c r="B131" s="52"/>
      <c r="C131" s="53"/>
      <c r="D131" s="53"/>
      <c r="E131" s="53"/>
      <c r="F131" s="53"/>
      <c r="G131" s="53"/>
      <c r="H131" s="1"/>
      <c r="I131" s="1"/>
    </row>
    <row r="132" ht="14.25" customHeight="1">
      <c r="A132" s="52"/>
      <c r="B132" s="52"/>
      <c r="C132" s="53"/>
      <c r="D132" s="53"/>
      <c r="E132" s="53"/>
      <c r="F132" s="53"/>
      <c r="G132" s="53"/>
      <c r="H132" s="1"/>
      <c r="I132" s="1"/>
    </row>
    <row r="133" ht="14.25" customHeight="1">
      <c r="A133" s="52"/>
      <c r="B133" s="52"/>
      <c r="C133" s="53"/>
      <c r="D133" s="53"/>
      <c r="E133" s="53"/>
      <c r="F133" s="53"/>
      <c r="G133" s="53"/>
      <c r="H133" s="1"/>
      <c r="I133" s="1"/>
    </row>
    <row r="134" ht="14.25" customHeight="1">
      <c r="A134" s="52"/>
      <c r="B134" s="52"/>
      <c r="C134" s="53"/>
      <c r="D134" s="53"/>
      <c r="E134" s="53"/>
      <c r="F134" s="53"/>
      <c r="G134" s="53"/>
      <c r="H134" s="1"/>
      <c r="I134" s="1"/>
    </row>
    <row r="135" ht="14.25" customHeight="1">
      <c r="A135" s="52"/>
      <c r="B135" s="52"/>
      <c r="C135" s="53"/>
      <c r="D135" s="53"/>
      <c r="E135" s="53"/>
      <c r="F135" s="53"/>
      <c r="G135" s="53"/>
      <c r="H135" s="1"/>
      <c r="I135" s="1"/>
    </row>
    <row r="136" ht="14.25" customHeight="1">
      <c r="A136" s="52"/>
      <c r="B136" s="52"/>
      <c r="C136" s="53"/>
      <c r="D136" s="53"/>
      <c r="E136" s="53"/>
      <c r="F136" s="53"/>
      <c r="G136" s="53"/>
      <c r="H136" s="1"/>
      <c r="I136" s="1"/>
    </row>
    <row r="137" ht="14.25" customHeight="1">
      <c r="A137" s="52"/>
      <c r="B137" s="52"/>
      <c r="C137" s="53"/>
      <c r="D137" s="53"/>
      <c r="E137" s="53"/>
      <c r="F137" s="53"/>
      <c r="G137" s="53"/>
      <c r="H137" s="1"/>
      <c r="I137" s="1"/>
    </row>
    <row r="138" ht="14.25" customHeight="1">
      <c r="A138" s="52"/>
      <c r="B138" s="52"/>
      <c r="C138" s="53"/>
      <c r="D138" s="53"/>
      <c r="E138" s="53"/>
      <c r="F138" s="53"/>
      <c r="G138" s="53"/>
      <c r="H138" s="1"/>
      <c r="I138" s="1"/>
    </row>
    <row r="139" ht="14.25" customHeight="1">
      <c r="A139" s="52"/>
      <c r="B139" s="52"/>
      <c r="C139" s="53"/>
      <c r="D139" s="53"/>
      <c r="E139" s="53"/>
      <c r="F139" s="53"/>
      <c r="G139" s="53"/>
      <c r="H139" s="1"/>
      <c r="I139" s="1"/>
    </row>
    <row r="140" ht="14.25" customHeight="1">
      <c r="A140" s="52"/>
      <c r="B140" s="52"/>
      <c r="C140" s="53"/>
      <c r="D140" s="53"/>
      <c r="E140" s="53"/>
      <c r="F140" s="53"/>
      <c r="G140" s="53"/>
      <c r="H140" s="1"/>
      <c r="I140" s="1"/>
    </row>
    <row r="141" ht="14.25" customHeight="1">
      <c r="A141" s="52"/>
      <c r="B141" s="52"/>
      <c r="C141" s="53"/>
      <c r="D141" s="53"/>
      <c r="E141" s="53"/>
      <c r="F141" s="53"/>
      <c r="G141" s="53"/>
      <c r="H141" s="1"/>
      <c r="I141" s="1"/>
    </row>
    <row r="142" ht="14.25" customHeight="1">
      <c r="A142" s="52"/>
      <c r="B142" s="52"/>
      <c r="C142" s="53"/>
      <c r="D142" s="53"/>
      <c r="E142" s="53"/>
      <c r="F142" s="53"/>
      <c r="G142" s="53"/>
      <c r="H142" s="1"/>
      <c r="I142" s="1"/>
    </row>
    <row r="143" ht="14.25" customHeight="1">
      <c r="A143" s="52"/>
      <c r="B143" s="52"/>
      <c r="C143" s="53"/>
      <c r="D143" s="53"/>
      <c r="E143" s="53"/>
      <c r="F143" s="53"/>
      <c r="G143" s="53"/>
      <c r="H143" s="1"/>
      <c r="I143" s="1"/>
    </row>
    <row r="144" ht="14.25" customHeight="1">
      <c r="A144" s="52"/>
      <c r="B144" s="52"/>
      <c r="C144" s="53"/>
      <c r="D144" s="53"/>
      <c r="E144" s="53"/>
      <c r="F144" s="53"/>
      <c r="G144" s="53"/>
      <c r="H144" s="1"/>
      <c r="I144" s="1"/>
    </row>
    <row r="145" ht="14.25" customHeight="1">
      <c r="A145" s="52"/>
      <c r="B145" s="52"/>
      <c r="C145" s="53"/>
      <c r="D145" s="53"/>
      <c r="E145" s="53"/>
      <c r="F145" s="53"/>
      <c r="G145" s="53"/>
      <c r="H145" s="1"/>
      <c r="I145" s="1"/>
    </row>
    <row r="146" ht="14.25" customHeight="1">
      <c r="A146" s="52"/>
      <c r="B146" s="52"/>
      <c r="C146" s="53"/>
      <c r="D146" s="53"/>
      <c r="E146" s="53"/>
      <c r="F146" s="53"/>
      <c r="G146" s="53"/>
      <c r="H146" s="1"/>
      <c r="I146" s="1"/>
    </row>
    <row r="147" ht="14.25" customHeight="1">
      <c r="A147" s="52"/>
      <c r="B147" s="52"/>
      <c r="C147" s="53"/>
      <c r="D147" s="53"/>
      <c r="E147" s="53"/>
      <c r="F147" s="53"/>
      <c r="G147" s="53"/>
      <c r="H147" s="1"/>
      <c r="I147" s="1"/>
    </row>
    <row r="148" ht="14.25" customHeight="1">
      <c r="A148" s="52"/>
      <c r="B148" s="52"/>
      <c r="C148" s="53"/>
      <c r="D148" s="53"/>
      <c r="E148" s="53"/>
      <c r="F148" s="53"/>
      <c r="G148" s="53"/>
      <c r="H148" s="1"/>
      <c r="I148" s="1"/>
    </row>
    <row r="149" ht="14.25" customHeight="1">
      <c r="A149" s="52"/>
      <c r="B149" s="52"/>
      <c r="C149" s="53"/>
      <c r="D149" s="53"/>
      <c r="E149" s="53"/>
      <c r="F149" s="53"/>
      <c r="G149" s="53"/>
      <c r="H149" s="1"/>
      <c r="I149" s="1"/>
    </row>
    <row r="150" ht="14.25" customHeight="1">
      <c r="A150" s="52"/>
      <c r="B150" s="52"/>
      <c r="C150" s="53"/>
      <c r="D150" s="53"/>
      <c r="E150" s="53"/>
      <c r="F150" s="53"/>
      <c r="G150" s="53"/>
      <c r="H150" s="1"/>
      <c r="I150" s="1"/>
    </row>
    <row r="151" ht="14.25" customHeight="1">
      <c r="A151" s="52"/>
      <c r="B151" s="52"/>
      <c r="C151" s="53"/>
      <c r="D151" s="53"/>
      <c r="E151" s="53"/>
      <c r="F151" s="53"/>
      <c r="G151" s="53"/>
      <c r="H151" s="1"/>
      <c r="I151" s="1"/>
    </row>
    <row r="152" ht="14.25" customHeight="1">
      <c r="A152" s="52"/>
      <c r="B152" s="52"/>
      <c r="C152" s="53"/>
      <c r="D152" s="53"/>
      <c r="E152" s="53"/>
      <c r="F152" s="53"/>
      <c r="G152" s="53"/>
      <c r="H152" s="1"/>
      <c r="I152" s="1"/>
    </row>
    <row r="153" ht="14.25" customHeight="1">
      <c r="A153" s="52"/>
      <c r="B153" s="52"/>
      <c r="C153" s="53"/>
      <c r="D153" s="53"/>
      <c r="E153" s="53"/>
      <c r="F153" s="53"/>
      <c r="G153" s="53"/>
      <c r="H153" s="1"/>
      <c r="I153" s="1"/>
    </row>
    <row r="154" ht="14.25" customHeight="1">
      <c r="A154" s="52"/>
      <c r="B154" s="52"/>
      <c r="C154" s="53"/>
      <c r="D154" s="53"/>
      <c r="E154" s="53"/>
      <c r="F154" s="53"/>
      <c r="G154" s="53"/>
      <c r="H154" s="1"/>
      <c r="I154" s="1"/>
    </row>
    <row r="155" ht="14.25" customHeight="1">
      <c r="A155" s="52"/>
      <c r="B155" s="52"/>
      <c r="C155" s="53"/>
      <c r="D155" s="53"/>
      <c r="E155" s="53"/>
      <c r="F155" s="53"/>
      <c r="G155" s="53"/>
      <c r="H155" s="1"/>
      <c r="I155" s="1"/>
    </row>
    <row r="156" ht="14.25" customHeight="1">
      <c r="A156" s="52"/>
      <c r="B156" s="52"/>
      <c r="C156" s="53"/>
      <c r="D156" s="53"/>
      <c r="E156" s="53"/>
      <c r="F156" s="53"/>
      <c r="G156" s="53"/>
      <c r="H156" s="1"/>
      <c r="I156" s="1"/>
    </row>
    <row r="157" ht="14.25" customHeight="1">
      <c r="A157" s="52"/>
      <c r="B157" s="52"/>
      <c r="C157" s="53"/>
      <c r="D157" s="53"/>
      <c r="E157" s="53"/>
      <c r="F157" s="53"/>
      <c r="G157" s="53"/>
      <c r="H157" s="1"/>
      <c r="I157" s="1"/>
    </row>
    <row r="158" ht="14.25" customHeight="1">
      <c r="A158" s="52"/>
      <c r="B158" s="52"/>
      <c r="C158" s="53"/>
      <c r="D158" s="53"/>
      <c r="E158" s="53"/>
      <c r="F158" s="53"/>
      <c r="G158" s="53"/>
      <c r="H158" s="1"/>
      <c r="I158" s="1"/>
    </row>
    <row r="159" ht="14.25" customHeight="1">
      <c r="A159" s="52"/>
      <c r="B159" s="52"/>
      <c r="C159" s="53"/>
      <c r="D159" s="53"/>
      <c r="E159" s="53"/>
      <c r="F159" s="53"/>
      <c r="G159" s="53"/>
      <c r="H159" s="1"/>
      <c r="I159" s="1"/>
    </row>
    <row r="160" ht="14.25" customHeight="1">
      <c r="A160" s="52"/>
      <c r="B160" s="52"/>
      <c r="C160" s="53"/>
      <c r="D160" s="53"/>
      <c r="E160" s="53"/>
      <c r="F160" s="53"/>
      <c r="G160" s="53"/>
      <c r="H160" s="1"/>
      <c r="I160" s="1"/>
    </row>
    <row r="161" ht="14.25" customHeight="1">
      <c r="A161" s="52"/>
      <c r="B161" s="52"/>
      <c r="C161" s="53"/>
      <c r="D161" s="53"/>
      <c r="E161" s="53"/>
      <c r="F161" s="53"/>
      <c r="G161" s="53"/>
      <c r="H161" s="1"/>
      <c r="I161" s="1"/>
    </row>
    <row r="162" ht="14.25" customHeight="1">
      <c r="A162" s="52"/>
      <c r="B162" s="52"/>
      <c r="C162" s="53"/>
      <c r="D162" s="53"/>
      <c r="E162" s="53"/>
      <c r="F162" s="53"/>
      <c r="G162" s="53"/>
      <c r="H162" s="1"/>
      <c r="I162" s="1"/>
    </row>
    <row r="163" ht="14.25" customHeight="1">
      <c r="A163" s="52"/>
      <c r="B163" s="52"/>
      <c r="C163" s="53"/>
      <c r="D163" s="53"/>
      <c r="E163" s="53"/>
      <c r="F163" s="53"/>
      <c r="G163" s="53"/>
      <c r="H163" s="1"/>
      <c r="I163" s="1"/>
    </row>
    <row r="164" ht="14.25" customHeight="1">
      <c r="A164" s="52"/>
      <c r="B164" s="52"/>
      <c r="C164" s="53"/>
      <c r="D164" s="53"/>
      <c r="E164" s="53"/>
      <c r="F164" s="53"/>
      <c r="G164" s="53"/>
      <c r="H164" s="1"/>
      <c r="I164" s="1"/>
    </row>
    <row r="165" ht="14.25" customHeight="1">
      <c r="A165" s="52"/>
      <c r="B165" s="52"/>
      <c r="C165" s="53"/>
      <c r="D165" s="53"/>
      <c r="E165" s="53"/>
      <c r="F165" s="53"/>
      <c r="G165" s="53"/>
      <c r="H165" s="1"/>
      <c r="I165" s="1"/>
    </row>
    <row r="166" ht="14.25" customHeight="1">
      <c r="A166" s="52"/>
      <c r="B166" s="52"/>
      <c r="C166" s="53"/>
      <c r="D166" s="53"/>
      <c r="E166" s="53"/>
      <c r="F166" s="53"/>
      <c r="G166" s="53"/>
      <c r="H166" s="1"/>
      <c r="I166" s="1"/>
    </row>
    <row r="167" ht="14.25" customHeight="1">
      <c r="A167" s="52"/>
      <c r="B167" s="52"/>
      <c r="C167" s="53"/>
      <c r="D167" s="53"/>
      <c r="E167" s="53"/>
      <c r="F167" s="53"/>
      <c r="G167" s="53"/>
      <c r="H167" s="1"/>
      <c r="I167" s="1"/>
    </row>
    <row r="168" ht="14.25" customHeight="1">
      <c r="A168" s="52"/>
      <c r="B168" s="52"/>
      <c r="C168" s="53"/>
      <c r="D168" s="53"/>
      <c r="E168" s="53"/>
      <c r="F168" s="53"/>
      <c r="G168" s="53"/>
      <c r="H168" s="1"/>
      <c r="I168" s="1"/>
    </row>
    <row r="169" ht="14.25" customHeight="1">
      <c r="A169" s="52"/>
      <c r="B169" s="52"/>
      <c r="C169" s="53"/>
      <c r="D169" s="53"/>
      <c r="E169" s="53"/>
      <c r="F169" s="53"/>
      <c r="G169" s="53"/>
      <c r="H169" s="1"/>
      <c r="I169" s="1"/>
    </row>
    <row r="170" ht="14.25" customHeight="1">
      <c r="A170" s="52"/>
      <c r="B170" s="52"/>
      <c r="C170" s="53"/>
      <c r="D170" s="53"/>
      <c r="E170" s="53"/>
      <c r="F170" s="53"/>
      <c r="G170" s="53"/>
      <c r="H170" s="1"/>
      <c r="I170" s="1"/>
    </row>
    <row r="171" ht="14.25" customHeight="1">
      <c r="A171" s="52"/>
      <c r="B171" s="52"/>
      <c r="C171" s="53"/>
      <c r="D171" s="53"/>
      <c r="E171" s="53"/>
      <c r="F171" s="53"/>
      <c r="G171" s="53"/>
      <c r="H171" s="1"/>
      <c r="I171" s="1"/>
    </row>
    <row r="172" ht="14.25" customHeight="1">
      <c r="A172" s="52"/>
      <c r="B172" s="52"/>
      <c r="C172" s="53"/>
      <c r="D172" s="53"/>
      <c r="E172" s="53"/>
      <c r="F172" s="53"/>
      <c r="G172" s="53"/>
      <c r="H172" s="1"/>
      <c r="I172" s="1"/>
    </row>
    <row r="173" ht="14.25" customHeight="1">
      <c r="A173" s="52"/>
      <c r="B173" s="52"/>
      <c r="C173" s="53"/>
      <c r="D173" s="53"/>
      <c r="E173" s="53"/>
      <c r="F173" s="53"/>
      <c r="G173" s="53"/>
      <c r="H173" s="1"/>
      <c r="I173" s="1"/>
    </row>
    <row r="174" ht="14.25" customHeight="1">
      <c r="A174" s="52"/>
      <c r="B174" s="52"/>
      <c r="C174" s="53"/>
      <c r="D174" s="53"/>
      <c r="E174" s="53"/>
      <c r="F174" s="53"/>
      <c r="G174" s="53"/>
      <c r="H174" s="1"/>
      <c r="I174" s="1"/>
    </row>
    <row r="175" ht="14.25" customHeight="1">
      <c r="A175" s="52"/>
      <c r="B175" s="52"/>
      <c r="C175" s="53"/>
      <c r="D175" s="53"/>
      <c r="E175" s="53"/>
      <c r="F175" s="53"/>
      <c r="G175" s="53"/>
      <c r="H175" s="1"/>
      <c r="I175" s="1"/>
    </row>
    <row r="176" ht="14.25" customHeight="1">
      <c r="A176" s="52"/>
      <c r="B176" s="52"/>
      <c r="C176" s="53"/>
      <c r="D176" s="53"/>
      <c r="E176" s="53"/>
      <c r="F176" s="53"/>
      <c r="G176" s="53"/>
      <c r="H176" s="1"/>
      <c r="I176" s="1"/>
    </row>
    <row r="177" ht="14.25" customHeight="1">
      <c r="A177" s="52"/>
      <c r="B177" s="52"/>
      <c r="C177" s="53"/>
      <c r="D177" s="53"/>
      <c r="E177" s="53"/>
      <c r="F177" s="53"/>
      <c r="G177" s="53"/>
      <c r="H177" s="1"/>
      <c r="I177" s="1"/>
    </row>
    <row r="178" ht="14.25" customHeight="1">
      <c r="A178" s="52"/>
      <c r="B178" s="52"/>
      <c r="C178" s="53"/>
      <c r="D178" s="53"/>
      <c r="E178" s="53"/>
      <c r="F178" s="53"/>
      <c r="G178" s="53"/>
      <c r="H178" s="1"/>
      <c r="I178" s="1"/>
    </row>
    <row r="179" ht="14.25" customHeight="1">
      <c r="A179" s="52"/>
      <c r="B179" s="52"/>
      <c r="C179" s="53"/>
      <c r="D179" s="53"/>
      <c r="E179" s="53"/>
      <c r="F179" s="53"/>
      <c r="G179" s="53"/>
      <c r="H179" s="1"/>
      <c r="I179" s="1"/>
    </row>
    <row r="180" ht="14.25" customHeight="1">
      <c r="A180" s="52"/>
      <c r="B180" s="52"/>
      <c r="C180" s="53"/>
      <c r="D180" s="53"/>
      <c r="E180" s="53"/>
      <c r="F180" s="53"/>
      <c r="G180" s="53"/>
      <c r="H180" s="1"/>
      <c r="I180" s="1"/>
    </row>
    <row r="181" ht="14.25" customHeight="1">
      <c r="A181" s="52"/>
      <c r="B181" s="52"/>
      <c r="C181" s="53"/>
      <c r="D181" s="53"/>
      <c r="E181" s="53"/>
      <c r="F181" s="53"/>
      <c r="G181" s="53"/>
      <c r="H181" s="1"/>
      <c r="I181" s="1"/>
    </row>
    <row r="182" ht="14.25" customHeight="1">
      <c r="A182" s="52"/>
      <c r="B182" s="52"/>
      <c r="C182" s="53"/>
      <c r="D182" s="53"/>
      <c r="E182" s="53"/>
      <c r="F182" s="53"/>
      <c r="G182" s="53"/>
      <c r="H182" s="1"/>
      <c r="I182" s="1"/>
    </row>
    <row r="183" ht="14.25" customHeight="1">
      <c r="A183" s="52"/>
      <c r="B183" s="52"/>
      <c r="C183" s="53"/>
      <c r="D183" s="53"/>
      <c r="E183" s="53"/>
      <c r="F183" s="53"/>
      <c r="G183" s="53"/>
      <c r="H183" s="1"/>
      <c r="I183" s="1"/>
    </row>
    <row r="184" ht="14.25" customHeight="1">
      <c r="A184" s="52"/>
      <c r="B184" s="52"/>
      <c r="C184" s="53"/>
      <c r="D184" s="53"/>
      <c r="E184" s="53"/>
      <c r="F184" s="53"/>
      <c r="G184" s="53"/>
      <c r="H184" s="1"/>
      <c r="I184" s="1"/>
    </row>
    <row r="185" ht="14.25" customHeight="1">
      <c r="A185" s="52"/>
      <c r="B185" s="52"/>
      <c r="C185" s="53"/>
      <c r="D185" s="53"/>
      <c r="E185" s="53"/>
      <c r="F185" s="53"/>
      <c r="G185" s="53"/>
      <c r="H185" s="1"/>
      <c r="I185" s="1"/>
    </row>
    <row r="186" ht="14.25" customHeight="1">
      <c r="A186" s="52"/>
      <c r="B186" s="52"/>
      <c r="C186" s="53"/>
      <c r="D186" s="53"/>
      <c r="E186" s="53"/>
      <c r="F186" s="53"/>
      <c r="G186" s="53"/>
      <c r="H186" s="1"/>
      <c r="I186" s="1"/>
    </row>
    <row r="187" ht="14.25" customHeight="1">
      <c r="A187" s="52"/>
      <c r="B187" s="52"/>
      <c r="C187" s="53"/>
      <c r="D187" s="53"/>
      <c r="E187" s="53"/>
      <c r="F187" s="53"/>
      <c r="G187" s="53"/>
      <c r="H187" s="1"/>
      <c r="I187" s="1"/>
    </row>
    <row r="188" ht="14.25" customHeight="1">
      <c r="A188" s="52"/>
      <c r="B188" s="52"/>
      <c r="C188" s="53"/>
      <c r="D188" s="53"/>
      <c r="E188" s="53"/>
      <c r="F188" s="53"/>
      <c r="G188" s="53"/>
      <c r="H188" s="1"/>
      <c r="I188" s="1"/>
    </row>
    <row r="189" ht="14.25" customHeight="1">
      <c r="A189" s="52"/>
      <c r="B189" s="52"/>
      <c r="C189" s="53"/>
      <c r="D189" s="53"/>
      <c r="E189" s="53"/>
      <c r="F189" s="53"/>
      <c r="G189" s="53"/>
      <c r="H189" s="1"/>
      <c r="I189" s="1"/>
    </row>
    <row r="190" ht="14.25" customHeight="1">
      <c r="A190" s="52"/>
      <c r="B190" s="52"/>
      <c r="C190" s="53"/>
      <c r="D190" s="53"/>
      <c r="E190" s="53"/>
      <c r="F190" s="53"/>
      <c r="G190" s="53"/>
      <c r="H190" s="1"/>
      <c r="I190" s="1"/>
    </row>
    <row r="191" ht="14.25" customHeight="1">
      <c r="A191" s="52"/>
      <c r="B191" s="52"/>
      <c r="C191" s="53"/>
      <c r="D191" s="53"/>
      <c r="E191" s="53"/>
      <c r="F191" s="53"/>
      <c r="G191" s="53"/>
      <c r="H191" s="1"/>
      <c r="I191" s="1"/>
    </row>
    <row r="192" ht="14.25" customHeight="1">
      <c r="A192" s="52"/>
      <c r="B192" s="52"/>
      <c r="C192" s="53"/>
      <c r="D192" s="53"/>
      <c r="E192" s="53"/>
      <c r="F192" s="53"/>
      <c r="G192" s="53"/>
      <c r="H192" s="1"/>
      <c r="I192" s="1"/>
    </row>
    <row r="193" ht="14.25" customHeight="1">
      <c r="A193" s="52"/>
      <c r="B193" s="52"/>
      <c r="C193" s="53"/>
      <c r="D193" s="53"/>
      <c r="E193" s="53"/>
      <c r="F193" s="53"/>
      <c r="G193" s="53"/>
      <c r="H193" s="1"/>
      <c r="I193" s="1"/>
    </row>
    <row r="194" ht="14.25" customHeight="1">
      <c r="A194" s="52"/>
      <c r="B194" s="52"/>
      <c r="C194" s="53"/>
      <c r="D194" s="53"/>
      <c r="E194" s="53"/>
      <c r="F194" s="53"/>
      <c r="G194" s="53"/>
      <c r="H194" s="1"/>
      <c r="I194" s="1"/>
    </row>
    <row r="195" ht="14.25" customHeight="1">
      <c r="A195" s="52"/>
      <c r="B195" s="52"/>
      <c r="C195" s="53"/>
      <c r="D195" s="53"/>
      <c r="E195" s="53"/>
      <c r="F195" s="53"/>
      <c r="G195" s="53"/>
      <c r="H195" s="1"/>
      <c r="I195" s="1"/>
    </row>
    <row r="196" ht="14.25" customHeight="1">
      <c r="A196" s="52"/>
      <c r="B196" s="52"/>
      <c r="C196" s="53"/>
      <c r="D196" s="53"/>
      <c r="E196" s="53"/>
      <c r="F196" s="53"/>
      <c r="G196" s="53"/>
      <c r="H196" s="1"/>
      <c r="I196" s="1"/>
    </row>
    <row r="197" ht="14.25" customHeight="1">
      <c r="A197" s="52"/>
      <c r="B197" s="52"/>
      <c r="C197" s="53"/>
      <c r="D197" s="53"/>
      <c r="E197" s="53"/>
      <c r="F197" s="53"/>
      <c r="G197" s="53"/>
      <c r="H197" s="1"/>
      <c r="I197" s="1"/>
    </row>
    <row r="198" ht="14.25" customHeight="1">
      <c r="A198" s="52"/>
      <c r="B198" s="52"/>
      <c r="C198" s="53"/>
      <c r="D198" s="53"/>
      <c r="E198" s="53"/>
      <c r="F198" s="53"/>
      <c r="G198" s="53"/>
      <c r="H198" s="1"/>
      <c r="I198" s="1"/>
    </row>
    <row r="199" ht="14.25" customHeight="1">
      <c r="A199" s="52"/>
      <c r="B199" s="52"/>
      <c r="C199" s="53"/>
      <c r="D199" s="53"/>
      <c r="E199" s="53"/>
      <c r="F199" s="53"/>
      <c r="G199" s="53"/>
      <c r="H199" s="1"/>
      <c r="I199" s="1"/>
    </row>
    <row r="200" ht="14.25" customHeight="1">
      <c r="A200" s="52"/>
      <c r="B200" s="52"/>
      <c r="C200" s="53"/>
      <c r="D200" s="53"/>
      <c r="E200" s="53"/>
      <c r="F200" s="53"/>
      <c r="G200" s="53"/>
      <c r="H200" s="1"/>
      <c r="I200" s="1"/>
    </row>
    <row r="201" ht="14.25" customHeight="1">
      <c r="A201" s="52"/>
      <c r="B201" s="52"/>
      <c r="C201" s="53"/>
      <c r="D201" s="53"/>
      <c r="E201" s="53"/>
      <c r="F201" s="53"/>
      <c r="G201" s="53"/>
      <c r="H201" s="1"/>
      <c r="I201" s="1"/>
    </row>
    <row r="202" ht="14.25" customHeight="1">
      <c r="A202" s="52"/>
      <c r="B202" s="52"/>
      <c r="C202" s="53"/>
      <c r="D202" s="53"/>
      <c r="E202" s="53"/>
      <c r="F202" s="53"/>
      <c r="G202" s="53"/>
      <c r="H202" s="1"/>
      <c r="I202" s="1"/>
    </row>
    <row r="203" ht="14.25" customHeight="1">
      <c r="A203" s="52"/>
      <c r="B203" s="52"/>
      <c r="C203" s="53"/>
      <c r="D203" s="53"/>
      <c r="E203" s="53"/>
      <c r="F203" s="53"/>
      <c r="G203" s="53"/>
      <c r="H203" s="1"/>
      <c r="I203" s="1"/>
    </row>
    <row r="204" ht="14.25" customHeight="1">
      <c r="A204" s="52"/>
      <c r="B204" s="52"/>
      <c r="C204" s="53"/>
      <c r="D204" s="53"/>
      <c r="E204" s="53"/>
      <c r="F204" s="53"/>
      <c r="G204" s="53"/>
      <c r="H204" s="1"/>
      <c r="I204" s="1"/>
    </row>
    <row r="205" ht="14.25" customHeight="1">
      <c r="A205" s="52"/>
      <c r="B205" s="52"/>
      <c r="C205" s="53"/>
      <c r="D205" s="53"/>
      <c r="E205" s="53"/>
      <c r="F205" s="53"/>
      <c r="G205" s="53"/>
      <c r="H205" s="1"/>
      <c r="I205" s="1"/>
    </row>
    <row r="206" ht="14.25" customHeight="1">
      <c r="A206" s="52"/>
      <c r="B206" s="52"/>
      <c r="C206" s="53"/>
      <c r="D206" s="53"/>
      <c r="E206" s="53"/>
      <c r="F206" s="53"/>
      <c r="G206" s="53"/>
      <c r="H206" s="1"/>
      <c r="I206" s="1"/>
    </row>
    <row r="207" ht="14.25" customHeight="1">
      <c r="A207" s="52"/>
      <c r="B207" s="52"/>
      <c r="C207" s="53"/>
      <c r="D207" s="53"/>
      <c r="E207" s="53"/>
      <c r="F207" s="53"/>
      <c r="G207" s="53"/>
      <c r="H207" s="1"/>
      <c r="I207" s="1"/>
    </row>
    <row r="208" ht="14.25" customHeight="1">
      <c r="A208" s="52"/>
      <c r="B208" s="52"/>
      <c r="C208" s="53"/>
      <c r="D208" s="53"/>
      <c r="E208" s="53"/>
      <c r="F208" s="53"/>
      <c r="G208" s="53"/>
      <c r="H208" s="1"/>
      <c r="I208" s="1"/>
    </row>
    <row r="209" ht="14.25" customHeight="1">
      <c r="A209" s="52"/>
      <c r="B209" s="52"/>
      <c r="C209" s="53"/>
      <c r="D209" s="53"/>
      <c r="E209" s="53"/>
      <c r="F209" s="53"/>
      <c r="G209" s="53"/>
      <c r="H209" s="1"/>
      <c r="I209" s="1"/>
    </row>
    <row r="210" ht="14.25" customHeight="1">
      <c r="A210" s="52"/>
      <c r="B210" s="52"/>
      <c r="C210" s="53"/>
      <c r="D210" s="53"/>
      <c r="E210" s="53"/>
      <c r="F210" s="53"/>
      <c r="G210" s="53"/>
      <c r="H210" s="1"/>
      <c r="I210" s="1"/>
    </row>
    <row r="211" ht="14.25" customHeight="1">
      <c r="A211" s="52"/>
      <c r="B211" s="52"/>
      <c r="C211" s="53"/>
      <c r="D211" s="53"/>
      <c r="E211" s="53"/>
      <c r="F211" s="53"/>
      <c r="G211" s="53"/>
      <c r="H211" s="1"/>
      <c r="I211" s="1"/>
    </row>
    <row r="212" ht="14.25" customHeight="1">
      <c r="A212" s="52"/>
      <c r="B212" s="52"/>
      <c r="C212" s="53"/>
      <c r="D212" s="53"/>
      <c r="E212" s="53"/>
      <c r="F212" s="53"/>
      <c r="G212" s="53"/>
      <c r="H212" s="1"/>
      <c r="I212" s="1"/>
    </row>
    <row r="213" ht="14.25" customHeight="1">
      <c r="A213" s="52"/>
      <c r="B213" s="52"/>
      <c r="C213" s="53"/>
      <c r="D213" s="53"/>
      <c r="E213" s="53"/>
      <c r="F213" s="53"/>
      <c r="G213" s="53"/>
      <c r="H213" s="1"/>
      <c r="I213" s="1"/>
    </row>
    <row r="214" ht="14.25" customHeight="1">
      <c r="A214" s="52"/>
      <c r="B214" s="52"/>
      <c r="C214" s="53"/>
      <c r="D214" s="53"/>
      <c r="E214" s="53"/>
      <c r="F214" s="53"/>
      <c r="G214" s="53"/>
      <c r="H214" s="1"/>
      <c r="I214" s="1"/>
    </row>
    <row r="215" ht="14.25" customHeight="1">
      <c r="A215" s="52"/>
      <c r="B215" s="52"/>
      <c r="C215" s="53"/>
      <c r="D215" s="53"/>
      <c r="E215" s="53"/>
      <c r="F215" s="53"/>
      <c r="G215" s="53"/>
      <c r="H215" s="1"/>
      <c r="I215" s="1"/>
    </row>
    <row r="216" ht="14.25" customHeight="1">
      <c r="A216" s="52"/>
      <c r="B216" s="52"/>
      <c r="C216" s="53"/>
      <c r="D216" s="53"/>
      <c r="E216" s="53"/>
      <c r="F216" s="53"/>
      <c r="G216" s="53"/>
      <c r="H216" s="1"/>
      <c r="I216" s="1"/>
    </row>
    <row r="217" ht="14.25" customHeight="1">
      <c r="A217" s="52"/>
      <c r="B217" s="52"/>
      <c r="C217" s="53"/>
      <c r="D217" s="53"/>
      <c r="E217" s="53"/>
      <c r="F217" s="53"/>
      <c r="G217" s="53"/>
      <c r="H217" s="1"/>
      <c r="I217" s="1"/>
    </row>
    <row r="218" ht="14.25" customHeight="1">
      <c r="A218" s="52"/>
      <c r="B218" s="52"/>
      <c r="C218" s="53"/>
      <c r="D218" s="53"/>
      <c r="E218" s="53"/>
      <c r="F218" s="53"/>
      <c r="G218" s="53"/>
      <c r="H218" s="1"/>
      <c r="I218" s="1"/>
    </row>
    <row r="219" ht="14.25" customHeight="1">
      <c r="A219" s="52"/>
      <c r="B219" s="52"/>
      <c r="C219" s="53"/>
      <c r="D219" s="53"/>
      <c r="E219" s="53"/>
      <c r="F219" s="53"/>
      <c r="G219" s="53"/>
      <c r="H219" s="1"/>
      <c r="I219" s="1"/>
    </row>
    <row r="220" ht="14.25" customHeight="1">
      <c r="A220" s="52"/>
      <c r="B220" s="52"/>
      <c r="C220" s="53"/>
      <c r="D220" s="53"/>
      <c r="E220" s="53"/>
      <c r="F220" s="53"/>
      <c r="G220" s="53"/>
      <c r="H220" s="1"/>
      <c r="I220" s="1"/>
    </row>
    <row r="221" ht="14.25" customHeight="1">
      <c r="A221" s="52"/>
      <c r="B221" s="52"/>
      <c r="C221" s="53"/>
      <c r="D221" s="53"/>
      <c r="E221" s="53"/>
      <c r="F221" s="53"/>
      <c r="G221" s="53"/>
      <c r="H221" s="1"/>
      <c r="I221" s="1"/>
    </row>
    <row r="222" ht="14.25" customHeight="1">
      <c r="A222" s="52"/>
      <c r="B222" s="52"/>
      <c r="C222" s="53"/>
      <c r="D222" s="53"/>
      <c r="E222" s="53"/>
      <c r="F222" s="53"/>
      <c r="G222" s="53"/>
      <c r="H222" s="1"/>
      <c r="I222" s="1"/>
    </row>
    <row r="223" ht="14.25" customHeight="1">
      <c r="A223" s="52"/>
      <c r="B223" s="52"/>
      <c r="C223" s="53"/>
      <c r="D223" s="53"/>
      <c r="E223" s="53"/>
      <c r="F223" s="53"/>
      <c r="G223" s="53"/>
      <c r="H223" s="1"/>
      <c r="I223" s="1"/>
    </row>
    <row r="224" ht="14.25" customHeight="1">
      <c r="A224" s="52"/>
      <c r="B224" s="52"/>
      <c r="C224" s="53"/>
      <c r="D224" s="53"/>
      <c r="E224" s="53"/>
      <c r="F224" s="53"/>
      <c r="G224" s="53"/>
      <c r="H224" s="1"/>
      <c r="I224" s="1"/>
    </row>
    <row r="225" ht="14.25" customHeight="1">
      <c r="A225" s="52"/>
      <c r="B225" s="52"/>
      <c r="C225" s="53"/>
      <c r="D225" s="53"/>
      <c r="E225" s="53"/>
      <c r="F225" s="53"/>
      <c r="G225" s="53"/>
      <c r="H225" s="1"/>
      <c r="I225" s="1"/>
    </row>
    <row r="226" ht="14.25" customHeight="1">
      <c r="A226" s="52"/>
      <c r="B226" s="52"/>
      <c r="C226" s="53"/>
      <c r="D226" s="53"/>
      <c r="E226" s="53"/>
      <c r="F226" s="53"/>
      <c r="G226" s="53"/>
      <c r="H226" s="1"/>
      <c r="I226" s="1"/>
    </row>
    <row r="227" ht="14.25" customHeight="1">
      <c r="A227" s="52"/>
      <c r="B227" s="52"/>
      <c r="C227" s="53"/>
      <c r="D227" s="53"/>
      <c r="E227" s="53"/>
      <c r="F227" s="53"/>
      <c r="G227" s="53"/>
      <c r="H227" s="1"/>
      <c r="I227" s="1"/>
    </row>
    <row r="228" ht="14.25" customHeight="1">
      <c r="A228" s="52"/>
      <c r="B228" s="52"/>
      <c r="C228" s="53"/>
      <c r="D228" s="53"/>
      <c r="E228" s="53"/>
      <c r="F228" s="53"/>
      <c r="G228" s="53"/>
      <c r="H228" s="1"/>
      <c r="I228" s="1"/>
    </row>
    <row r="229" ht="14.25" customHeight="1">
      <c r="A229" s="52"/>
      <c r="B229" s="52"/>
      <c r="C229" s="53"/>
      <c r="D229" s="53"/>
      <c r="E229" s="53"/>
      <c r="F229" s="53"/>
      <c r="G229" s="53"/>
      <c r="H229" s="1"/>
      <c r="I229" s="1"/>
    </row>
    <row r="230" ht="14.25" customHeight="1">
      <c r="A230" s="52"/>
      <c r="B230" s="52"/>
      <c r="C230" s="53"/>
      <c r="D230" s="53"/>
      <c r="E230" s="53"/>
      <c r="F230" s="53"/>
      <c r="G230" s="53"/>
      <c r="H230" s="1"/>
      <c r="I230" s="1"/>
    </row>
    <row r="231" ht="14.25" customHeight="1">
      <c r="A231" s="52"/>
      <c r="B231" s="52"/>
      <c r="C231" s="53"/>
      <c r="D231" s="53"/>
      <c r="E231" s="53"/>
      <c r="F231" s="53"/>
      <c r="G231" s="53"/>
      <c r="H231" s="1"/>
      <c r="I231" s="1"/>
    </row>
    <row r="232" ht="14.25" customHeight="1">
      <c r="A232" s="52"/>
      <c r="B232" s="52"/>
      <c r="C232" s="53"/>
      <c r="D232" s="53"/>
      <c r="E232" s="53"/>
      <c r="F232" s="53"/>
      <c r="G232" s="53"/>
      <c r="H232" s="1"/>
      <c r="I232" s="1"/>
    </row>
    <row r="233" ht="14.25" customHeight="1">
      <c r="A233" s="52"/>
      <c r="B233" s="52"/>
      <c r="C233" s="53"/>
      <c r="D233" s="53"/>
      <c r="E233" s="53"/>
      <c r="F233" s="53"/>
      <c r="G233" s="53"/>
      <c r="H233" s="1"/>
      <c r="I233" s="1"/>
    </row>
    <row r="234" ht="14.25" customHeight="1">
      <c r="A234" s="52"/>
      <c r="B234" s="52"/>
      <c r="C234" s="53"/>
      <c r="D234" s="53"/>
      <c r="E234" s="53"/>
      <c r="F234" s="53"/>
      <c r="G234" s="53"/>
      <c r="H234" s="1"/>
      <c r="I234" s="1"/>
    </row>
    <row r="235" ht="14.25" customHeight="1">
      <c r="A235" s="52"/>
      <c r="B235" s="52"/>
      <c r="C235" s="53"/>
      <c r="D235" s="53"/>
      <c r="E235" s="53"/>
      <c r="F235" s="53"/>
      <c r="G235" s="53"/>
      <c r="H235" s="1"/>
      <c r="I235" s="1"/>
    </row>
    <row r="236" ht="14.25" customHeight="1">
      <c r="A236" s="52"/>
      <c r="B236" s="52"/>
      <c r="C236" s="53"/>
      <c r="D236" s="53"/>
      <c r="E236" s="53"/>
      <c r="F236" s="53"/>
      <c r="G236" s="53"/>
      <c r="H236" s="1"/>
      <c r="I236" s="1"/>
    </row>
    <row r="237" ht="14.25" customHeight="1">
      <c r="A237" s="52"/>
      <c r="B237" s="52"/>
      <c r="C237" s="53"/>
      <c r="D237" s="53"/>
      <c r="E237" s="53"/>
      <c r="F237" s="53"/>
      <c r="G237" s="53"/>
      <c r="H237" s="1"/>
      <c r="I237" s="1"/>
    </row>
    <row r="238" ht="14.25" customHeight="1">
      <c r="A238" s="52"/>
      <c r="B238" s="52"/>
      <c r="C238" s="53"/>
      <c r="D238" s="53"/>
      <c r="E238" s="53"/>
      <c r="F238" s="53"/>
      <c r="G238" s="53"/>
      <c r="H238" s="1"/>
      <c r="I238" s="1"/>
    </row>
    <row r="239" ht="14.25" customHeight="1">
      <c r="A239" s="52"/>
      <c r="B239" s="52"/>
      <c r="C239" s="53"/>
      <c r="D239" s="53"/>
      <c r="E239" s="53"/>
      <c r="F239" s="53"/>
      <c r="G239" s="53"/>
      <c r="H239" s="1"/>
      <c r="I239" s="1"/>
    </row>
    <row r="240" ht="14.25" customHeight="1">
      <c r="A240" s="52"/>
      <c r="B240" s="52"/>
      <c r="C240" s="53"/>
      <c r="D240" s="53"/>
      <c r="E240" s="53"/>
      <c r="F240" s="53"/>
      <c r="G240" s="53"/>
      <c r="H240" s="1"/>
      <c r="I240" s="1"/>
    </row>
    <row r="241" ht="14.25" customHeight="1">
      <c r="A241" s="52"/>
      <c r="B241" s="52"/>
      <c r="C241" s="53"/>
      <c r="D241" s="53"/>
      <c r="E241" s="53"/>
      <c r="F241" s="53"/>
      <c r="G241" s="53"/>
      <c r="H241" s="1"/>
      <c r="I241" s="1"/>
    </row>
    <row r="242" ht="14.25" customHeight="1">
      <c r="A242" s="52"/>
      <c r="B242" s="52"/>
      <c r="C242" s="53"/>
      <c r="D242" s="53"/>
      <c r="E242" s="53"/>
      <c r="F242" s="53"/>
      <c r="G242" s="53"/>
      <c r="H242" s="1"/>
      <c r="I242" s="1"/>
    </row>
    <row r="243" ht="14.25" customHeight="1">
      <c r="A243" s="52"/>
      <c r="B243" s="52"/>
      <c r="C243" s="53"/>
      <c r="D243" s="53"/>
      <c r="E243" s="53"/>
      <c r="F243" s="53"/>
      <c r="G243" s="53"/>
      <c r="H243" s="1"/>
      <c r="I243" s="1"/>
    </row>
    <row r="244" ht="14.25" customHeight="1">
      <c r="A244" s="52"/>
      <c r="B244" s="52"/>
      <c r="C244" s="53"/>
      <c r="D244" s="53"/>
      <c r="E244" s="53"/>
      <c r="F244" s="53"/>
      <c r="G244" s="53"/>
      <c r="H244" s="1"/>
      <c r="I244" s="1"/>
    </row>
    <row r="245" ht="14.25" customHeight="1">
      <c r="A245" s="52"/>
      <c r="B245" s="52"/>
      <c r="C245" s="53"/>
      <c r="D245" s="53"/>
      <c r="E245" s="53"/>
      <c r="F245" s="53"/>
      <c r="G245" s="53"/>
      <c r="H245" s="1"/>
      <c r="I245" s="1"/>
    </row>
    <row r="246" ht="14.25" customHeight="1">
      <c r="A246" s="52"/>
      <c r="B246" s="52"/>
      <c r="C246" s="53"/>
      <c r="D246" s="53"/>
      <c r="E246" s="53"/>
      <c r="F246" s="53"/>
      <c r="G246" s="53"/>
      <c r="H246" s="1"/>
      <c r="I246" s="1"/>
    </row>
    <row r="247" ht="14.25" customHeight="1">
      <c r="A247" s="52"/>
      <c r="B247" s="52"/>
      <c r="C247" s="53"/>
      <c r="D247" s="53"/>
      <c r="E247" s="53"/>
      <c r="F247" s="53"/>
      <c r="G247" s="53"/>
      <c r="H247" s="1"/>
      <c r="I247" s="1"/>
    </row>
    <row r="248" ht="14.25" customHeight="1">
      <c r="A248" s="52"/>
      <c r="B248" s="52"/>
      <c r="C248" s="53"/>
      <c r="D248" s="53"/>
      <c r="E248" s="53"/>
      <c r="F248" s="53"/>
      <c r="G248" s="53"/>
      <c r="H248" s="1"/>
      <c r="I248" s="1"/>
    </row>
    <row r="249" ht="14.25" customHeight="1">
      <c r="A249" s="52"/>
      <c r="B249" s="52"/>
      <c r="C249" s="53"/>
      <c r="D249" s="53"/>
      <c r="E249" s="53"/>
      <c r="F249" s="53"/>
      <c r="G249" s="53"/>
      <c r="H249" s="1"/>
      <c r="I249" s="1"/>
    </row>
    <row r="250" ht="14.25" customHeight="1">
      <c r="A250" s="52"/>
      <c r="B250" s="52"/>
      <c r="C250" s="53"/>
      <c r="D250" s="53"/>
      <c r="E250" s="53"/>
      <c r="F250" s="53"/>
      <c r="G250" s="53"/>
      <c r="H250" s="1"/>
      <c r="I250" s="1"/>
    </row>
    <row r="251" ht="14.25" customHeight="1">
      <c r="A251" s="52"/>
      <c r="B251" s="52"/>
      <c r="C251" s="53"/>
      <c r="D251" s="53"/>
      <c r="E251" s="53"/>
      <c r="F251" s="53"/>
      <c r="G251" s="53"/>
      <c r="H251" s="1"/>
      <c r="I251" s="1"/>
    </row>
    <row r="252" ht="14.25" customHeight="1">
      <c r="A252" s="52"/>
      <c r="B252" s="52"/>
      <c r="C252" s="53"/>
      <c r="D252" s="53"/>
      <c r="E252" s="53"/>
      <c r="F252" s="53"/>
      <c r="G252" s="53"/>
      <c r="H252" s="1"/>
      <c r="I252" s="1"/>
    </row>
    <row r="253" ht="14.25" customHeight="1">
      <c r="A253" s="52"/>
      <c r="B253" s="52"/>
      <c r="C253" s="53"/>
      <c r="D253" s="53"/>
      <c r="E253" s="53"/>
      <c r="F253" s="53"/>
      <c r="G253" s="53"/>
      <c r="H253" s="1"/>
      <c r="I253" s="1"/>
    </row>
    <row r="254" ht="14.25" customHeight="1">
      <c r="A254" s="52"/>
      <c r="B254" s="52"/>
      <c r="C254" s="53"/>
      <c r="D254" s="53"/>
      <c r="E254" s="53"/>
      <c r="F254" s="53"/>
      <c r="G254" s="53"/>
      <c r="H254" s="1"/>
      <c r="I254" s="1"/>
    </row>
    <row r="255" ht="14.25" customHeight="1">
      <c r="A255" s="52"/>
      <c r="B255" s="52"/>
      <c r="C255" s="53"/>
      <c r="D255" s="53"/>
      <c r="E255" s="53"/>
      <c r="F255" s="53"/>
      <c r="G255" s="53"/>
      <c r="H255" s="1"/>
      <c r="I255" s="1"/>
    </row>
    <row r="256" ht="14.25" customHeight="1">
      <c r="A256" s="52"/>
      <c r="B256" s="52"/>
      <c r="C256" s="53"/>
      <c r="D256" s="53"/>
      <c r="E256" s="53"/>
      <c r="F256" s="53"/>
      <c r="G256" s="53"/>
      <c r="H256" s="1"/>
      <c r="I256" s="1"/>
    </row>
    <row r="257" ht="14.25" customHeight="1">
      <c r="A257" s="52"/>
      <c r="B257" s="52"/>
      <c r="C257" s="53"/>
      <c r="D257" s="53"/>
      <c r="E257" s="53"/>
      <c r="F257" s="53"/>
      <c r="G257" s="53"/>
      <c r="H257" s="1"/>
      <c r="I257" s="1"/>
    </row>
    <row r="258" ht="14.25" customHeight="1">
      <c r="A258" s="52"/>
      <c r="B258" s="52"/>
      <c r="C258" s="53"/>
      <c r="D258" s="53"/>
      <c r="E258" s="53"/>
      <c r="F258" s="53"/>
      <c r="G258" s="53"/>
      <c r="H258" s="1"/>
      <c r="I258" s="1"/>
    </row>
    <row r="259" ht="14.25" customHeight="1">
      <c r="A259" s="52"/>
      <c r="B259" s="52"/>
      <c r="C259" s="53"/>
      <c r="D259" s="53"/>
      <c r="E259" s="53"/>
      <c r="F259" s="53"/>
      <c r="G259" s="53"/>
      <c r="H259" s="1"/>
      <c r="I259" s="1"/>
    </row>
    <row r="260" ht="14.25" customHeight="1">
      <c r="A260" s="52"/>
      <c r="B260" s="52"/>
      <c r="C260" s="53"/>
      <c r="D260" s="53"/>
      <c r="E260" s="53"/>
      <c r="F260" s="53"/>
      <c r="G260" s="53"/>
      <c r="H260" s="1"/>
      <c r="I260" s="1"/>
    </row>
    <row r="261" ht="14.25" customHeight="1">
      <c r="A261" s="52"/>
      <c r="B261" s="52"/>
      <c r="C261" s="53"/>
      <c r="D261" s="53"/>
      <c r="E261" s="53"/>
      <c r="F261" s="53"/>
      <c r="G261" s="53"/>
      <c r="H261" s="1"/>
      <c r="I261" s="1"/>
    </row>
    <row r="262" ht="14.25" customHeight="1">
      <c r="A262" s="52"/>
      <c r="B262" s="52"/>
      <c r="C262" s="53"/>
      <c r="D262" s="53"/>
      <c r="E262" s="53"/>
      <c r="F262" s="53"/>
      <c r="G262" s="53"/>
      <c r="H262" s="1"/>
      <c r="I262" s="1"/>
    </row>
    <row r="263" ht="14.25" customHeight="1">
      <c r="A263" s="52"/>
      <c r="B263" s="52"/>
      <c r="C263" s="53"/>
      <c r="D263" s="53"/>
      <c r="E263" s="53"/>
      <c r="F263" s="53"/>
      <c r="G263" s="53"/>
      <c r="H263" s="1"/>
      <c r="I263" s="1"/>
    </row>
    <row r="264" ht="14.25" customHeight="1">
      <c r="A264" s="52"/>
      <c r="B264" s="52"/>
      <c r="C264" s="53"/>
      <c r="D264" s="53"/>
      <c r="E264" s="53"/>
      <c r="F264" s="53"/>
      <c r="G264" s="53"/>
      <c r="H264" s="1"/>
      <c r="I264" s="1"/>
    </row>
    <row r="265" ht="14.25" customHeight="1">
      <c r="A265" s="52"/>
      <c r="B265" s="52"/>
      <c r="C265" s="53"/>
      <c r="D265" s="53"/>
      <c r="E265" s="53"/>
      <c r="F265" s="53"/>
      <c r="G265" s="53"/>
      <c r="H265" s="1"/>
      <c r="I265" s="1"/>
    </row>
    <row r="266" ht="14.25" customHeight="1">
      <c r="A266" s="52"/>
      <c r="B266" s="52"/>
      <c r="C266" s="53"/>
      <c r="D266" s="53"/>
      <c r="E266" s="53"/>
      <c r="F266" s="53"/>
      <c r="G266" s="53"/>
      <c r="H266" s="1"/>
      <c r="I266" s="1"/>
    </row>
    <row r="267" ht="14.25" customHeight="1">
      <c r="A267" s="52"/>
      <c r="B267" s="52"/>
      <c r="C267" s="53"/>
      <c r="D267" s="53"/>
      <c r="E267" s="53"/>
      <c r="F267" s="53"/>
      <c r="G267" s="53"/>
      <c r="H267" s="1"/>
      <c r="I267" s="1"/>
    </row>
    <row r="268" ht="14.25" customHeight="1">
      <c r="A268" s="52"/>
      <c r="B268" s="52"/>
      <c r="C268" s="53"/>
      <c r="D268" s="53"/>
      <c r="E268" s="53"/>
      <c r="F268" s="53"/>
      <c r="G268" s="53"/>
      <c r="H268" s="1"/>
      <c r="I268" s="1"/>
    </row>
    <row r="269" ht="14.25" customHeight="1">
      <c r="A269" s="52"/>
      <c r="B269" s="52"/>
      <c r="C269" s="53"/>
      <c r="D269" s="53"/>
      <c r="E269" s="53"/>
      <c r="F269" s="53"/>
      <c r="G269" s="53"/>
      <c r="H269" s="1"/>
      <c r="I269" s="1"/>
    </row>
    <row r="270" ht="14.25" customHeight="1">
      <c r="A270" s="52"/>
      <c r="B270" s="52"/>
      <c r="C270" s="53"/>
      <c r="D270" s="53"/>
      <c r="E270" s="53"/>
      <c r="F270" s="53"/>
      <c r="G270" s="53"/>
      <c r="H270" s="1"/>
      <c r="I270" s="1"/>
    </row>
    <row r="271" ht="14.25" customHeight="1">
      <c r="A271" s="52"/>
      <c r="B271" s="52"/>
      <c r="C271" s="53"/>
      <c r="D271" s="53"/>
      <c r="E271" s="53"/>
      <c r="F271" s="53"/>
      <c r="G271" s="53"/>
      <c r="H271" s="1"/>
      <c r="I271" s="1"/>
    </row>
    <row r="272" ht="14.25" customHeight="1">
      <c r="A272" s="52"/>
      <c r="B272" s="52"/>
      <c r="C272" s="53"/>
      <c r="D272" s="53"/>
      <c r="E272" s="53"/>
      <c r="F272" s="53"/>
      <c r="G272" s="53"/>
      <c r="H272" s="1"/>
      <c r="I272" s="1"/>
    </row>
    <row r="273" ht="14.25" customHeight="1">
      <c r="A273" s="52"/>
      <c r="B273" s="52"/>
      <c r="C273" s="53"/>
      <c r="D273" s="53"/>
      <c r="E273" s="53"/>
      <c r="F273" s="53"/>
      <c r="G273" s="53"/>
      <c r="H273" s="1"/>
      <c r="I273" s="1"/>
    </row>
    <row r="274" ht="14.25" customHeight="1">
      <c r="A274" s="52"/>
      <c r="B274" s="52"/>
      <c r="C274" s="53"/>
      <c r="D274" s="53"/>
      <c r="E274" s="53"/>
      <c r="F274" s="53"/>
      <c r="G274" s="53"/>
      <c r="H274" s="1"/>
      <c r="I274" s="1"/>
    </row>
    <row r="275" ht="14.25" customHeight="1">
      <c r="A275" s="52"/>
      <c r="B275" s="52"/>
      <c r="C275" s="53"/>
      <c r="D275" s="53"/>
      <c r="E275" s="53"/>
      <c r="F275" s="53"/>
      <c r="G275" s="53"/>
      <c r="H275" s="1"/>
      <c r="I275" s="1"/>
    </row>
    <row r="276" ht="14.25" customHeight="1">
      <c r="A276" s="52"/>
      <c r="B276" s="52"/>
      <c r="C276" s="53"/>
      <c r="D276" s="53"/>
      <c r="E276" s="53"/>
      <c r="F276" s="53"/>
      <c r="G276" s="53"/>
      <c r="H276" s="1"/>
      <c r="I276" s="1"/>
    </row>
    <row r="277" ht="14.25" customHeight="1">
      <c r="A277" s="52"/>
      <c r="B277" s="52"/>
      <c r="C277" s="53"/>
      <c r="D277" s="53"/>
      <c r="E277" s="53"/>
      <c r="F277" s="53"/>
      <c r="G277" s="53"/>
      <c r="H277" s="1"/>
      <c r="I277" s="1"/>
    </row>
    <row r="278" ht="14.25" customHeight="1">
      <c r="A278" s="52"/>
      <c r="B278" s="52"/>
      <c r="C278" s="53"/>
      <c r="D278" s="53"/>
      <c r="E278" s="53"/>
      <c r="F278" s="53"/>
      <c r="G278" s="53"/>
      <c r="H278" s="1"/>
      <c r="I278" s="1"/>
    </row>
    <row r="279" ht="14.25" customHeight="1">
      <c r="A279" s="52"/>
      <c r="B279" s="52"/>
      <c r="C279" s="53"/>
      <c r="D279" s="53"/>
      <c r="E279" s="53"/>
      <c r="F279" s="53"/>
      <c r="G279" s="53"/>
      <c r="H279" s="1"/>
      <c r="I279" s="1"/>
    </row>
    <row r="280" ht="14.25" customHeight="1">
      <c r="A280" s="52"/>
      <c r="B280" s="52"/>
      <c r="C280" s="53"/>
      <c r="D280" s="53"/>
      <c r="E280" s="53"/>
      <c r="F280" s="53"/>
      <c r="G280" s="53"/>
      <c r="H280" s="1"/>
      <c r="I280" s="1"/>
    </row>
    <row r="281" ht="14.25" customHeight="1">
      <c r="A281" s="52"/>
      <c r="B281" s="52"/>
      <c r="C281" s="53"/>
      <c r="D281" s="53"/>
      <c r="E281" s="53"/>
      <c r="F281" s="53"/>
      <c r="G281" s="53"/>
      <c r="H281" s="1"/>
      <c r="I281" s="1"/>
    </row>
    <row r="282" ht="14.25" customHeight="1">
      <c r="A282" s="52"/>
      <c r="B282" s="52"/>
      <c r="C282" s="53"/>
      <c r="D282" s="53"/>
      <c r="E282" s="53"/>
      <c r="F282" s="53"/>
      <c r="G282" s="53"/>
      <c r="H282" s="1"/>
      <c r="I282" s="1"/>
    </row>
    <row r="283" ht="14.25" customHeight="1">
      <c r="A283" s="52"/>
      <c r="B283" s="52"/>
      <c r="C283" s="53"/>
      <c r="D283" s="53"/>
      <c r="E283" s="53"/>
      <c r="F283" s="53"/>
      <c r="G283" s="53"/>
      <c r="H283" s="1"/>
      <c r="I283" s="1"/>
    </row>
    <row r="284" ht="14.25" customHeight="1">
      <c r="A284" s="52"/>
      <c r="B284" s="52"/>
      <c r="C284" s="53"/>
      <c r="D284" s="53"/>
      <c r="E284" s="53"/>
      <c r="F284" s="53"/>
      <c r="G284" s="53"/>
      <c r="H284" s="1"/>
      <c r="I284" s="1"/>
    </row>
    <row r="285" ht="14.25" customHeight="1">
      <c r="A285" s="52"/>
      <c r="B285" s="52"/>
      <c r="C285" s="53"/>
      <c r="D285" s="53"/>
      <c r="E285" s="53"/>
      <c r="F285" s="53"/>
      <c r="G285" s="53"/>
      <c r="H285" s="1"/>
      <c r="I285" s="1"/>
    </row>
    <row r="286" ht="14.25" customHeight="1">
      <c r="A286" s="52"/>
      <c r="B286" s="52"/>
      <c r="C286" s="53"/>
      <c r="D286" s="53"/>
      <c r="E286" s="53"/>
      <c r="F286" s="53"/>
      <c r="G286" s="53"/>
      <c r="H286" s="1"/>
      <c r="I286" s="1"/>
    </row>
    <row r="287" ht="14.25" customHeight="1">
      <c r="A287" s="52"/>
      <c r="B287" s="52"/>
      <c r="C287" s="53"/>
      <c r="D287" s="53"/>
      <c r="E287" s="53"/>
      <c r="F287" s="53"/>
      <c r="G287" s="53"/>
      <c r="H287" s="1"/>
      <c r="I287" s="1"/>
    </row>
    <row r="288" ht="14.25" customHeight="1">
      <c r="A288" s="52"/>
      <c r="B288" s="52"/>
      <c r="C288" s="53"/>
      <c r="D288" s="53"/>
      <c r="E288" s="53"/>
      <c r="F288" s="53"/>
      <c r="G288" s="53"/>
      <c r="H288" s="1"/>
      <c r="I288" s="1"/>
    </row>
    <row r="289" ht="14.25" customHeight="1">
      <c r="A289" s="52"/>
      <c r="B289" s="52"/>
      <c r="C289" s="53"/>
      <c r="D289" s="53"/>
      <c r="E289" s="53"/>
      <c r="F289" s="53"/>
      <c r="G289" s="53"/>
      <c r="H289" s="1"/>
      <c r="I289" s="1"/>
    </row>
    <row r="290" ht="14.25" customHeight="1">
      <c r="A290" s="52"/>
      <c r="B290" s="52"/>
      <c r="C290" s="53"/>
      <c r="D290" s="53"/>
      <c r="E290" s="53"/>
      <c r="F290" s="53"/>
      <c r="G290" s="53"/>
      <c r="H290" s="1"/>
      <c r="I290" s="1"/>
    </row>
    <row r="291" ht="14.25" customHeight="1">
      <c r="A291" s="52"/>
      <c r="B291" s="52"/>
      <c r="C291" s="53"/>
      <c r="D291" s="53"/>
      <c r="E291" s="53"/>
      <c r="F291" s="53"/>
      <c r="G291" s="53"/>
      <c r="H291" s="1"/>
      <c r="I291" s="1"/>
    </row>
    <row r="292" ht="14.25" customHeight="1">
      <c r="A292" s="52"/>
      <c r="B292" s="52"/>
      <c r="C292" s="53"/>
      <c r="D292" s="53"/>
      <c r="E292" s="53"/>
      <c r="F292" s="53"/>
      <c r="G292" s="53"/>
      <c r="H292" s="1"/>
      <c r="I292" s="1"/>
    </row>
    <row r="293" ht="14.25" customHeight="1">
      <c r="A293" s="52"/>
      <c r="B293" s="52"/>
      <c r="C293" s="53"/>
      <c r="D293" s="53"/>
      <c r="E293" s="53"/>
      <c r="F293" s="53"/>
      <c r="G293" s="53"/>
      <c r="H293" s="1"/>
      <c r="I293" s="1"/>
    </row>
    <row r="294" ht="14.25" customHeight="1">
      <c r="A294" s="52"/>
      <c r="B294" s="52"/>
      <c r="C294" s="53"/>
      <c r="D294" s="53"/>
      <c r="E294" s="53"/>
      <c r="F294" s="53"/>
      <c r="G294" s="53"/>
      <c r="H294" s="1"/>
      <c r="I294" s="1"/>
    </row>
    <row r="295" ht="14.25" customHeight="1">
      <c r="A295" s="52"/>
      <c r="B295" s="52"/>
      <c r="C295" s="53"/>
      <c r="D295" s="53"/>
      <c r="E295" s="53"/>
      <c r="F295" s="53"/>
      <c r="G295" s="53"/>
      <c r="H295" s="1"/>
      <c r="I295" s="1"/>
    </row>
    <row r="296" ht="14.25" customHeight="1">
      <c r="A296" s="52"/>
      <c r="B296" s="52"/>
      <c r="C296" s="53"/>
      <c r="D296" s="53"/>
      <c r="E296" s="53"/>
      <c r="F296" s="53"/>
      <c r="G296" s="53"/>
      <c r="H296" s="1"/>
      <c r="I296" s="1"/>
    </row>
    <row r="297" ht="14.25" customHeight="1">
      <c r="A297" s="52"/>
      <c r="B297" s="52"/>
      <c r="C297" s="53"/>
      <c r="D297" s="53"/>
      <c r="E297" s="53"/>
      <c r="F297" s="53"/>
      <c r="G297" s="53"/>
      <c r="H297" s="1"/>
      <c r="I297" s="1"/>
    </row>
    <row r="298" ht="14.25" customHeight="1">
      <c r="A298" s="52"/>
      <c r="B298" s="52"/>
      <c r="C298" s="53"/>
      <c r="D298" s="53"/>
      <c r="E298" s="53"/>
      <c r="F298" s="53"/>
      <c r="G298" s="53"/>
      <c r="H298" s="1"/>
      <c r="I298" s="1"/>
    </row>
    <row r="299" ht="14.25" customHeight="1">
      <c r="A299" s="52"/>
      <c r="B299" s="52"/>
      <c r="C299" s="53"/>
      <c r="D299" s="53"/>
      <c r="E299" s="53"/>
      <c r="F299" s="53"/>
      <c r="G299" s="53"/>
      <c r="H299" s="1"/>
      <c r="I299" s="1"/>
    </row>
    <row r="300" ht="14.25" customHeight="1">
      <c r="A300" s="52"/>
      <c r="B300" s="52"/>
      <c r="C300" s="53"/>
      <c r="D300" s="53"/>
      <c r="E300" s="53"/>
      <c r="F300" s="53"/>
      <c r="G300" s="53"/>
      <c r="H300" s="1"/>
      <c r="I300" s="1"/>
    </row>
    <row r="301" ht="14.25" customHeight="1">
      <c r="A301" s="52"/>
      <c r="B301" s="52"/>
      <c r="C301" s="53"/>
      <c r="D301" s="53"/>
      <c r="E301" s="53"/>
      <c r="F301" s="53"/>
      <c r="G301" s="53"/>
      <c r="H301" s="1"/>
      <c r="I301" s="1"/>
    </row>
    <row r="302" ht="14.25" customHeight="1">
      <c r="A302" s="52"/>
      <c r="B302" s="52"/>
      <c r="C302" s="53"/>
      <c r="D302" s="53"/>
      <c r="E302" s="53"/>
      <c r="F302" s="53"/>
      <c r="G302" s="53"/>
      <c r="H302" s="1"/>
      <c r="I302" s="1"/>
    </row>
    <row r="303" ht="14.25" customHeight="1">
      <c r="A303" s="52"/>
      <c r="B303" s="52"/>
      <c r="C303" s="53"/>
      <c r="D303" s="53"/>
      <c r="E303" s="53"/>
      <c r="F303" s="53"/>
      <c r="G303" s="53"/>
      <c r="H303" s="1"/>
      <c r="I303" s="1"/>
    </row>
    <row r="304" ht="14.25" customHeight="1">
      <c r="A304" s="52"/>
      <c r="B304" s="52"/>
      <c r="C304" s="53"/>
      <c r="D304" s="53"/>
      <c r="E304" s="53"/>
      <c r="F304" s="53"/>
      <c r="G304" s="53"/>
      <c r="H304" s="1"/>
      <c r="I304" s="1"/>
    </row>
    <row r="305" ht="14.25" customHeight="1">
      <c r="A305" s="52"/>
      <c r="B305" s="52"/>
      <c r="C305" s="53"/>
      <c r="D305" s="53"/>
      <c r="E305" s="53"/>
      <c r="F305" s="53"/>
      <c r="G305" s="53"/>
      <c r="H305" s="1"/>
      <c r="I305" s="1"/>
    </row>
    <row r="306" ht="14.25" customHeight="1">
      <c r="A306" s="52"/>
      <c r="B306" s="52"/>
      <c r="C306" s="53"/>
      <c r="D306" s="53"/>
      <c r="E306" s="53"/>
      <c r="F306" s="53"/>
      <c r="G306" s="53"/>
      <c r="H306" s="1"/>
      <c r="I306" s="1"/>
    </row>
    <row r="307" ht="14.25" customHeight="1">
      <c r="A307" s="52"/>
      <c r="B307" s="52"/>
      <c r="C307" s="53"/>
      <c r="D307" s="53"/>
      <c r="E307" s="53"/>
      <c r="F307" s="53"/>
      <c r="G307" s="53"/>
      <c r="H307" s="1"/>
      <c r="I307" s="1"/>
    </row>
    <row r="308" ht="14.25" customHeight="1">
      <c r="A308" s="52"/>
      <c r="B308" s="52"/>
      <c r="C308" s="53"/>
      <c r="D308" s="53"/>
      <c r="E308" s="53"/>
      <c r="F308" s="53"/>
      <c r="G308" s="53"/>
      <c r="H308" s="1"/>
      <c r="I308" s="1"/>
    </row>
    <row r="309" ht="14.25" customHeight="1">
      <c r="A309" s="52"/>
      <c r="B309" s="52"/>
      <c r="C309" s="53"/>
      <c r="D309" s="53"/>
      <c r="E309" s="53"/>
      <c r="F309" s="53"/>
      <c r="G309" s="53"/>
      <c r="H309" s="1"/>
      <c r="I309" s="1"/>
    </row>
    <row r="310" ht="14.25" customHeight="1">
      <c r="A310" s="52"/>
      <c r="B310" s="52"/>
      <c r="C310" s="53"/>
      <c r="D310" s="53"/>
      <c r="E310" s="53"/>
      <c r="F310" s="53"/>
      <c r="G310" s="53"/>
      <c r="H310" s="1"/>
      <c r="I310" s="1"/>
    </row>
    <row r="311" ht="14.25" customHeight="1">
      <c r="A311" s="52"/>
      <c r="B311" s="52"/>
      <c r="C311" s="53"/>
      <c r="D311" s="53"/>
      <c r="E311" s="53"/>
      <c r="F311" s="53"/>
      <c r="G311" s="53"/>
      <c r="H311" s="1"/>
      <c r="I311" s="1"/>
    </row>
    <row r="312" ht="14.25" customHeight="1">
      <c r="A312" s="52"/>
      <c r="B312" s="52"/>
      <c r="C312" s="53"/>
      <c r="D312" s="53"/>
      <c r="E312" s="53"/>
      <c r="F312" s="53"/>
      <c r="G312" s="53"/>
      <c r="H312" s="1"/>
      <c r="I312" s="1"/>
    </row>
    <row r="313" ht="14.25" customHeight="1">
      <c r="A313" s="52"/>
      <c r="B313" s="52"/>
      <c r="C313" s="53"/>
      <c r="D313" s="53"/>
      <c r="E313" s="53"/>
      <c r="F313" s="53"/>
      <c r="G313" s="53"/>
      <c r="H313" s="1"/>
      <c r="I313" s="1"/>
    </row>
    <row r="314" ht="14.25" customHeight="1">
      <c r="A314" s="52"/>
      <c r="B314" s="52"/>
      <c r="C314" s="53"/>
      <c r="D314" s="53"/>
      <c r="E314" s="53"/>
      <c r="F314" s="53"/>
      <c r="G314" s="53"/>
      <c r="H314" s="1"/>
      <c r="I314" s="1"/>
    </row>
    <row r="315" ht="14.25" customHeight="1">
      <c r="A315" s="52"/>
      <c r="B315" s="52"/>
      <c r="C315" s="53"/>
      <c r="D315" s="53"/>
      <c r="E315" s="53"/>
      <c r="F315" s="53"/>
      <c r="G315" s="53"/>
      <c r="H315" s="1"/>
      <c r="I315" s="1"/>
    </row>
    <row r="316" ht="14.25" customHeight="1">
      <c r="A316" s="52"/>
      <c r="B316" s="52"/>
      <c r="C316" s="53"/>
      <c r="D316" s="53"/>
      <c r="E316" s="53"/>
      <c r="F316" s="53"/>
      <c r="G316" s="53"/>
      <c r="H316" s="1"/>
      <c r="I316" s="1"/>
    </row>
    <row r="317" ht="14.25" customHeight="1">
      <c r="A317" s="52"/>
      <c r="B317" s="52"/>
      <c r="C317" s="53"/>
      <c r="D317" s="53"/>
      <c r="E317" s="53"/>
      <c r="F317" s="53"/>
      <c r="G317" s="53"/>
      <c r="H317" s="1"/>
      <c r="I317" s="1"/>
    </row>
    <row r="318" ht="14.25" customHeight="1">
      <c r="A318" s="52"/>
      <c r="B318" s="52"/>
      <c r="C318" s="53"/>
      <c r="D318" s="53"/>
      <c r="E318" s="53"/>
      <c r="F318" s="53"/>
      <c r="G318" s="53"/>
      <c r="H318" s="1"/>
      <c r="I318" s="1"/>
    </row>
    <row r="319" ht="14.25" customHeight="1">
      <c r="A319" s="52"/>
      <c r="B319" s="52"/>
      <c r="C319" s="53"/>
      <c r="D319" s="53"/>
      <c r="E319" s="53"/>
      <c r="F319" s="53"/>
      <c r="G319" s="53"/>
      <c r="H319" s="1"/>
      <c r="I319" s="1"/>
    </row>
    <row r="320" ht="14.25" customHeight="1">
      <c r="A320" s="52"/>
      <c r="B320" s="52"/>
      <c r="C320" s="53"/>
      <c r="D320" s="53"/>
      <c r="E320" s="53"/>
      <c r="F320" s="53"/>
      <c r="G320" s="53"/>
      <c r="H320" s="1"/>
      <c r="I320" s="1"/>
    </row>
    <row r="321" ht="14.25" customHeight="1">
      <c r="A321" s="52"/>
      <c r="B321" s="52"/>
      <c r="C321" s="53"/>
      <c r="D321" s="53"/>
      <c r="E321" s="53"/>
      <c r="F321" s="53"/>
      <c r="G321" s="53"/>
      <c r="H321" s="1"/>
      <c r="I321" s="1"/>
    </row>
    <row r="322" ht="14.25" customHeight="1">
      <c r="A322" s="52"/>
      <c r="B322" s="52"/>
      <c r="C322" s="53"/>
      <c r="D322" s="53"/>
      <c r="E322" s="53"/>
      <c r="F322" s="53"/>
      <c r="G322" s="53"/>
      <c r="H322" s="1"/>
      <c r="I322" s="1"/>
    </row>
    <row r="323" ht="14.25" customHeight="1">
      <c r="A323" s="52"/>
      <c r="B323" s="52"/>
      <c r="C323" s="53"/>
      <c r="D323" s="53"/>
      <c r="E323" s="53"/>
      <c r="F323" s="53"/>
      <c r="G323" s="53"/>
      <c r="H323" s="1"/>
      <c r="I323" s="1"/>
    </row>
    <row r="324" ht="14.25" customHeight="1">
      <c r="A324" s="52"/>
      <c r="B324" s="52"/>
      <c r="C324" s="53"/>
      <c r="D324" s="53"/>
      <c r="E324" s="53"/>
      <c r="F324" s="53"/>
      <c r="G324" s="53"/>
      <c r="H324" s="1"/>
      <c r="I324" s="1"/>
    </row>
    <row r="325" ht="14.25" customHeight="1">
      <c r="A325" s="52"/>
      <c r="B325" s="52"/>
      <c r="C325" s="53"/>
      <c r="D325" s="53"/>
      <c r="E325" s="53"/>
      <c r="F325" s="53"/>
      <c r="G325" s="53"/>
      <c r="H325" s="1"/>
      <c r="I325" s="1"/>
    </row>
    <row r="326" ht="14.25" customHeight="1">
      <c r="A326" s="52"/>
      <c r="B326" s="52"/>
      <c r="C326" s="53"/>
      <c r="D326" s="53"/>
      <c r="E326" s="53"/>
      <c r="F326" s="53"/>
      <c r="G326" s="53"/>
      <c r="H326" s="1"/>
      <c r="I326" s="1"/>
    </row>
    <row r="327" ht="14.25" customHeight="1">
      <c r="A327" s="52"/>
      <c r="B327" s="52"/>
      <c r="C327" s="53"/>
      <c r="D327" s="53"/>
      <c r="E327" s="53"/>
      <c r="F327" s="53"/>
      <c r="G327" s="53"/>
      <c r="H327" s="1"/>
      <c r="I327" s="1"/>
    </row>
    <row r="328" ht="14.25" customHeight="1">
      <c r="A328" s="52"/>
      <c r="B328" s="52"/>
      <c r="C328" s="53"/>
      <c r="D328" s="53"/>
      <c r="E328" s="53"/>
      <c r="F328" s="53"/>
      <c r="G328" s="53"/>
      <c r="H328" s="1"/>
      <c r="I328" s="1"/>
    </row>
    <row r="329" ht="14.25" customHeight="1">
      <c r="A329" s="52"/>
      <c r="B329" s="52"/>
      <c r="C329" s="53"/>
      <c r="D329" s="53"/>
      <c r="E329" s="53"/>
      <c r="F329" s="53"/>
      <c r="G329" s="53"/>
      <c r="H329" s="1"/>
      <c r="I329" s="1"/>
    </row>
    <row r="330" ht="14.25" customHeight="1">
      <c r="A330" s="52"/>
      <c r="B330" s="52"/>
      <c r="C330" s="53"/>
      <c r="D330" s="53"/>
      <c r="E330" s="53"/>
      <c r="F330" s="53"/>
      <c r="G330" s="53"/>
      <c r="H330" s="1"/>
      <c r="I330" s="1"/>
    </row>
    <row r="331" ht="14.25" customHeight="1">
      <c r="A331" s="52"/>
      <c r="B331" s="52"/>
      <c r="C331" s="53"/>
      <c r="D331" s="53"/>
      <c r="E331" s="53"/>
      <c r="F331" s="53"/>
      <c r="G331" s="53"/>
      <c r="H331" s="1"/>
      <c r="I331" s="1"/>
    </row>
    <row r="332" ht="14.25" customHeight="1">
      <c r="A332" s="52"/>
      <c r="B332" s="52"/>
      <c r="C332" s="53"/>
      <c r="D332" s="53"/>
      <c r="E332" s="53"/>
      <c r="F332" s="53"/>
      <c r="G332" s="53"/>
      <c r="H332" s="1"/>
      <c r="I332" s="1"/>
    </row>
    <row r="333" ht="14.25" customHeight="1">
      <c r="A333" s="52"/>
      <c r="B333" s="52"/>
      <c r="C333" s="53"/>
      <c r="D333" s="53"/>
      <c r="E333" s="53"/>
      <c r="F333" s="53"/>
      <c r="G333" s="53"/>
      <c r="H333" s="1"/>
      <c r="I333" s="1"/>
    </row>
    <row r="334" ht="14.25" customHeight="1">
      <c r="A334" s="52"/>
      <c r="B334" s="52"/>
      <c r="C334" s="53"/>
      <c r="D334" s="53"/>
      <c r="E334" s="53"/>
      <c r="F334" s="53"/>
      <c r="G334" s="53"/>
      <c r="H334" s="1"/>
      <c r="I334" s="1"/>
    </row>
    <row r="335" ht="14.25" customHeight="1">
      <c r="A335" s="52"/>
      <c r="B335" s="52"/>
      <c r="C335" s="53"/>
      <c r="D335" s="53"/>
      <c r="E335" s="53"/>
      <c r="F335" s="53"/>
      <c r="G335" s="53"/>
      <c r="H335" s="1"/>
      <c r="I335" s="1"/>
    </row>
    <row r="336" ht="14.25" customHeight="1">
      <c r="A336" s="52"/>
      <c r="B336" s="52"/>
      <c r="C336" s="53"/>
      <c r="D336" s="53"/>
      <c r="E336" s="53"/>
      <c r="F336" s="53"/>
      <c r="G336" s="53"/>
      <c r="H336" s="1"/>
      <c r="I336" s="1"/>
    </row>
    <row r="337" ht="14.25" customHeight="1">
      <c r="A337" s="52"/>
      <c r="B337" s="52"/>
      <c r="C337" s="53"/>
      <c r="D337" s="53"/>
      <c r="E337" s="53"/>
      <c r="F337" s="53"/>
      <c r="G337" s="53"/>
      <c r="H337" s="1"/>
      <c r="I337" s="1"/>
    </row>
    <row r="338" ht="14.25" customHeight="1">
      <c r="A338" s="52"/>
      <c r="B338" s="52"/>
      <c r="C338" s="53"/>
      <c r="D338" s="53"/>
      <c r="E338" s="53"/>
      <c r="F338" s="53"/>
      <c r="G338" s="53"/>
      <c r="H338" s="1"/>
      <c r="I338" s="1"/>
    </row>
    <row r="339" ht="14.25" customHeight="1">
      <c r="A339" s="52"/>
      <c r="B339" s="52"/>
      <c r="C339" s="53"/>
      <c r="D339" s="53"/>
      <c r="E339" s="53"/>
      <c r="F339" s="53"/>
      <c r="G339" s="53"/>
      <c r="H339" s="1"/>
      <c r="I339" s="1"/>
    </row>
    <row r="340" ht="14.25" customHeight="1">
      <c r="A340" s="52"/>
      <c r="B340" s="52"/>
      <c r="C340" s="53"/>
      <c r="D340" s="53"/>
      <c r="E340" s="53"/>
      <c r="F340" s="53"/>
      <c r="G340" s="53"/>
      <c r="H340" s="1"/>
      <c r="I340" s="1"/>
    </row>
    <row r="341" ht="14.25" customHeight="1">
      <c r="A341" s="52"/>
      <c r="B341" s="52"/>
      <c r="C341" s="53"/>
      <c r="D341" s="53"/>
      <c r="E341" s="53"/>
      <c r="F341" s="53"/>
      <c r="G341" s="53"/>
      <c r="H341" s="1"/>
      <c r="I341" s="1"/>
    </row>
    <row r="342" ht="14.25" customHeight="1">
      <c r="A342" s="52"/>
      <c r="B342" s="52"/>
      <c r="C342" s="53"/>
      <c r="D342" s="53"/>
      <c r="E342" s="53"/>
      <c r="F342" s="53"/>
      <c r="G342" s="53"/>
      <c r="H342" s="1"/>
      <c r="I342" s="1"/>
    </row>
    <row r="343" ht="14.25" customHeight="1">
      <c r="A343" s="52"/>
      <c r="B343" s="52"/>
      <c r="C343" s="53"/>
      <c r="D343" s="53"/>
      <c r="E343" s="53"/>
      <c r="F343" s="53"/>
      <c r="G343" s="53"/>
      <c r="H343" s="1"/>
      <c r="I343" s="1"/>
    </row>
    <row r="344" ht="14.25" customHeight="1">
      <c r="A344" s="52"/>
      <c r="B344" s="52"/>
      <c r="C344" s="53"/>
      <c r="D344" s="53"/>
      <c r="E344" s="53"/>
      <c r="F344" s="53"/>
      <c r="G344" s="53"/>
      <c r="H344" s="1"/>
      <c r="I344" s="1"/>
    </row>
    <row r="345" ht="14.25" customHeight="1">
      <c r="A345" s="52"/>
      <c r="B345" s="52"/>
      <c r="C345" s="53"/>
      <c r="D345" s="53"/>
      <c r="E345" s="53"/>
      <c r="F345" s="53"/>
      <c r="G345" s="53"/>
      <c r="H345" s="1"/>
      <c r="I345" s="1"/>
    </row>
    <row r="346" ht="14.25" customHeight="1">
      <c r="A346" s="52"/>
      <c r="B346" s="52"/>
      <c r="C346" s="53"/>
      <c r="D346" s="53"/>
      <c r="E346" s="53"/>
      <c r="F346" s="53"/>
      <c r="G346" s="53"/>
      <c r="H346" s="1"/>
      <c r="I346" s="1"/>
    </row>
    <row r="347" ht="14.25" customHeight="1">
      <c r="A347" s="52"/>
      <c r="B347" s="52"/>
      <c r="C347" s="53"/>
      <c r="D347" s="53"/>
      <c r="E347" s="53"/>
      <c r="F347" s="53"/>
      <c r="G347" s="53"/>
      <c r="H347" s="1"/>
      <c r="I347" s="1"/>
    </row>
    <row r="348" ht="14.25" customHeight="1">
      <c r="A348" s="52"/>
      <c r="B348" s="52"/>
      <c r="C348" s="53"/>
      <c r="D348" s="53"/>
      <c r="E348" s="53"/>
      <c r="F348" s="53"/>
      <c r="G348" s="53"/>
      <c r="H348" s="1"/>
      <c r="I348" s="1"/>
    </row>
    <row r="349" ht="14.25" customHeight="1">
      <c r="A349" s="52"/>
      <c r="B349" s="52"/>
      <c r="C349" s="53"/>
      <c r="D349" s="53"/>
      <c r="E349" s="53"/>
      <c r="F349" s="53"/>
      <c r="G349" s="53"/>
      <c r="H349" s="1"/>
      <c r="I349" s="1"/>
    </row>
    <row r="350" ht="14.25" customHeight="1">
      <c r="A350" s="52"/>
      <c r="B350" s="52"/>
      <c r="C350" s="53"/>
      <c r="D350" s="53"/>
      <c r="E350" s="53"/>
      <c r="F350" s="53"/>
      <c r="G350" s="53"/>
      <c r="H350" s="1"/>
      <c r="I350" s="1"/>
    </row>
    <row r="351" ht="14.25" customHeight="1">
      <c r="A351" s="52"/>
      <c r="B351" s="52"/>
      <c r="C351" s="53"/>
      <c r="D351" s="53"/>
      <c r="E351" s="53"/>
      <c r="F351" s="53"/>
      <c r="G351" s="53"/>
      <c r="H351" s="1"/>
      <c r="I351" s="1"/>
    </row>
    <row r="352" ht="14.25" customHeight="1">
      <c r="A352" s="52"/>
      <c r="B352" s="52"/>
      <c r="C352" s="53"/>
      <c r="D352" s="53"/>
      <c r="E352" s="53"/>
      <c r="F352" s="53"/>
      <c r="G352" s="53"/>
      <c r="H352" s="1"/>
      <c r="I352" s="1"/>
    </row>
    <row r="353" ht="14.25" customHeight="1">
      <c r="A353" s="52"/>
      <c r="B353" s="52"/>
      <c r="C353" s="53"/>
      <c r="D353" s="53"/>
      <c r="E353" s="53"/>
      <c r="F353" s="53"/>
      <c r="G353" s="53"/>
      <c r="H353" s="1"/>
      <c r="I353" s="1"/>
    </row>
    <row r="354" ht="14.25" customHeight="1">
      <c r="A354" s="52"/>
      <c r="B354" s="52"/>
      <c r="C354" s="53"/>
      <c r="D354" s="53"/>
      <c r="E354" s="53"/>
      <c r="F354" s="53"/>
      <c r="G354" s="53"/>
      <c r="H354" s="1"/>
      <c r="I354" s="1"/>
    </row>
    <row r="355" ht="14.25" customHeight="1">
      <c r="A355" s="52"/>
      <c r="B355" s="52"/>
      <c r="C355" s="53"/>
      <c r="D355" s="53"/>
      <c r="E355" s="53"/>
      <c r="F355" s="53"/>
      <c r="G355" s="53"/>
      <c r="H355" s="1"/>
      <c r="I355" s="1"/>
    </row>
    <row r="356" ht="14.25" customHeight="1">
      <c r="A356" s="52"/>
      <c r="B356" s="52"/>
      <c r="C356" s="53"/>
      <c r="D356" s="53"/>
      <c r="E356" s="53"/>
      <c r="F356" s="53"/>
      <c r="G356" s="53"/>
      <c r="H356" s="1"/>
      <c r="I356" s="1"/>
    </row>
    <row r="357" ht="14.25" customHeight="1">
      <c r="A357" s="52"/>
      <c r="B357" s="52"/>
      <c r="C357" s="53"/>
      <c r="D357" s="53"/>
      <c r="E357" s="53"/>
      <c r="F357" s="53"/>
      <c r="G357" s="53"/>
      <c r="H357" s="1"/>
      <c r="I357" s="1"/>
    </row>
    <row r="358" ht="14.25" customHeight="1">
      <c r="A358" s="52"/>
      <c r="B358" s="52"/>
      <c r="C358" s="53"/>
      <c r="D358" s="53"/>
      <c r="E358" s="53"/>
      <c r="F358" s="53"/>
      <c r="G358" s="53"/>
      <c r="H358" s="1"/>
      <c r="I358" s="1"/>
    </row>
    <row r="359" ht="14.25" customHeight="1">
      <c r="A359" s="52"/>
      <c r="B359" s="52"/>
      <c r="C359" s="53"/>
      <c r="D359" s="53"/>
      <c r="E359" s="53"/>
      <c r="F359" s="53"/>
      <c r="G359" s="53"/>
      <c r="H359" s="1"/>
      <c r="I359" s="1"/>
    </row>
    <row r="360" ht="14.25" customHeight="1">
      <c r="A360" s="52"/>
      <c r="B360" s="52"/>
      <c r="C360" s="53"/>
      <c r="D360" s="53"/>
      <c r="E360" s="53"/>
      <c r="F360" s="53"/>
      <c r="G360" s="53"/>
      <c r="H360" s="1"/>
      <c r="I360" s="1"/>
    </row>
    <row r="361" ht="14.25" customHeight="1">
      <c r="A361" s="52"/>
      <c r="B361" s="52"/>
      <c r="C361" s="53"/>
      <c r="D361" s="53"/>
      <c r="E361" s="53"/>
      <c r="F361" s="53"/>
      <c r="G361" s="53"/>
      <c r="H361" s="1"/>
      <c r="I361" s="1"/>
    </row>
    <row r="362" ht="14.25" customHeight="1">
      <c r="A362" s="52"/>
      <c r="B362" s="52"/>
      <c r="C362" s="53"/>
      <c r="D362" s="53"/>
      <c r="E362" s="53"/>
      <c r="F362" s="53"/>
      <c r="G362" s="53"/>
      <c r="H362" s="1"/>
      <c r="I362" s="1"/>
    </row>
    <row r="363" ht="14.25" customHeight="1">
      <c r="A363" s="52"/>
      <c r="B363" s="52"/>
      <c r="C363" s="53"/>
      <c r="D363" s="53"/>
      <c r="E363" s="53"/>
      <c r="F363" s="53"/>
      <c r="G363" s="53"/>
      <c r="H363" s="1"/>
      <c r="I363" s="1"/>
    </row>
    <row r="364" ht="14.25" customHeight="1">
      <c r="A364" s="52"/>
      <c r="B364" s="52"/>
      <c r="C364" s="53"/>
      <c r="D364" s="53"/>
      <c r="E364" s="53"/>
      <c r="F364" s="53"/>
      <c r="G364" s="53"/>
      <c r="H364" s="1"/>
      <c r="I364" s="1"/>
    </row>
    <row r="365" ht="14.25" customHeight="1">
      <c r="A365" s="52"/>
      <c r="B365" s="52"/>
      <c r="C365" s="53"/>
      <c r="D365" s="53"/>
      <c r="E365" s="53"/>
      <c r="F365" s="53"/>
      <c r="G365" s="53"/>
      <c r="H365" s="1"/>
      <c r="I365" s="1"/>
    </row>
    <row r="366" ht="14.25" customHeight="1">
      <c r="A366" s="52"/>
      <c r="B366" s="52"/>
      <c r="C366" s="53"/>
      <c r="D366" s="53"/>
      <c r="E366" s="53"/>
      <c r="F366" s="53"/>
      <c r="G366" s="53"/>
      <c r="H366" s="1"/>
      <c r="I366" s="1"/>
    </row>
    <row r="367" ht="14.25" customHeight="1">
      <c r="A367" s="52"/>
      <c r="B367" s="52"/>
      <c r="C367" s="53"/>
      <c r="D367" s="53"/>
      <c r="E367" s="53"/>
      <c r="F367" s="53"/>
      <c r="G367" s="53"/>
      <c r="H367" s="1"/>
      <c r="I367" s="1"/>
    </row>
    <row r="368" ht="14.25" customHeight="1">
      <c r="A368" s="52"/>
      <c r="B368" s="52"/>
      <c r="C368" s="53"/>
      <c r="D368" s="53"/>
      <c r="E368" s="53"/>
      <c r="F368" s="53"/>
      <c r="G368" s="53"/>
      <c r="H368" s="1"/>
      <c r="I368" s="1"/>
    </row>
    <row r="369" ht="14.25" customHeight="1">
      <c r="A369" s="52"/>
      <c r="B369" s="52"/>
      <c r="C369" s="53"/>
      <c r="D369" s="53"/>
      <c r="E369" s="53"/>
      <c r="F369" s="53"/>
      <c r="G369" s="53"/>
      <c r="H369" s="1"/>
      <c r="I369" s="1"/>
    </row>
    <row r="370" ht="14.25" customHeight="1">
      <c r="A370" s="52"/>
      <c r="B370" s="52"/>
      <c r="C370" s="53"/>
      <c r="D370" s="53"/>
      <c r="E370" s="53"/>
      <c r="F370" s="53"/>
      <c r="G370" s="53"/>
      <c r="H370" s="1"/>
      <c r="I370" s="1"/>
    </row>
    <row r="371" ht="14.25" customHeight="1">
      <c r="A371" s="52"/>
      <c r="B371" s="52"/>
      <c r="C371" s="53"/>
      <c r="D371" s="53"/>
      <c r="E371" s="53"/>
      <c r="F371" s="53"/>
      <c r="G371" s="53"/>
      <c r="H371" s="1"/>
      <c r="I371" s="1"/>
    </row>
    <row r="372" ht="14.25" customHeight="1">
      <c r="A372" s="52"/>
      <c r="B372" s="52"/>
      <c r="C372" s="53"/>
      <c r="D372" s="53"/>
      <c r="E372" s="53"/>
      <c r="F372" s="53"/>
      <c r="G372" s="53"/>
      <c r="H372" s="1"/>
      <c r="I372" s="1"/>
    </row>
    <row r="373" ht="14.25" customHeight="1">
      <c r="A373" s="52"/>
      <c r="B373" s="52"/>
      <c r="C373" s="53"/>
      <c r="D373" s="53"/>
      <c r="E373" s="53"/>
      <c r="F373" s="53"/>
      <c r="G373" s="53"/>
      <c r="H373" s="1"/>
      <c r="I373" s="1"/>
    </row>
    <row r="374" ht="14.25" customHeight="1">
      <c r="A374" s="52"/>
      <c r="B374" s="52"/>
      <c r="C374" s="53"/>
      <c r="D374" s="53"/>
      <c r="E374" s="53"/>
      <c r="F374" s="53"/>
      <c r="G374" s="53"/>
      <c r="H374" s="1"/>
      <c r="I374" s="1"/>
    </row>
    <row r="375" ht="14.25" customHeight="1">
      <c r="A375" s="52"/>
      <c r="B375" s="52"/>
      <c r="C375" s="53"/>
      <c r="D375" s="53"/>
      <c r="E375" s="53"/>
      <c r="F375" s="53"/>
      <c r="G375" s="53"/>
      <c r="H375" s="1"/>
      <c r="I375" s="1"/>
    </row>
    <row r="376" ht="14.25" customHeight="1">
      <c r="A376" s="52"/>
      <c r="B376" s="52"/>
      <c r="C376" s="53"/>
      <c r="D376" s="53"/>
      <c r="E376" s="53"/>
      <c r="F376" s="53"/>
      <c r="G376" s="53"/>
      <c r="H376" s="1"/>
      <c r="I376" s="1"/>
    </row>
    <row r="377" ht="14.25" customHeight="1">
      <c r="A377" s="52"/>
      <c r="B377" s="52"/>
      <c r="C377" s="53"/>
      <c r="D377" s="53"/>
      <c r="E377" s="53"/>
      <c r="F377" s="53"/>
      <c r="G377" s="53"/>
      <c r="H377" s="1"/>
      <c r="I377" s="1"/>
    </row>
    <row r="378" ht="14.25" customHeight="1">
      <c r="A378" s="52"/>
      <c r="B378" s="52"/>
      <c r="C378" s="53"/>
      <c r="D378" s="53"/>
      <c r="E378" s="53"/>
      <c r="F378" s="53"/>
      <c r="G378" s="53"/>
      <c r="H378" s="1"/>
      <c r="I378" s="1"/>
    </row>
    <row r="379" ht="14.25" customHeight="1">
      <c r="A379" s="52"/>
      <c r="B379" s="52"/>
      <c r="C379" s="53"/>
      <c r="D379" s="53"/>
      <c r="E379" s="53"/>
      <c r="F379" s="53"/>
      <c r="G379" s="53"/>
      <c r="H379" s="1"/>
      <c r="I379" s="1"/>
    </row>
    <row r="380" ht="14.25" customHeight="1">
      <c r="A380" s="52"/>
      <c r="B380" s="52"/>
      <c r="C380" s="53"/>
      <c r="D380" s="53"/>
      <c r="E380" s="53"/>
      <c r="F380" s="53"/>
      <c r="G380" s="53"/>
      <c r="H380" s="1"/>
      <c r="I380" s="1"/>
    </row>
    <row r="381" ht="14.25" customHeight="1">
      <c r="A381" s="52"/>
      <c r="B381" s="52"/>
      <c r="C381" s="53"/>
      <c r="D381" s="53"/>
      <c r="E381" s="53"/>
      <c r="F381" s="53"/>
      <c r="G381" s="53"/>
      <c r="H381" s="1"/>
      <c r="I381" s="1"/>
    </row>
    <row r="382" ht="14.25" customHeight="1">
      <c r="A382" s="52"/>
      <c r="B382" s="52"/>
      <c r="C382" s="53"/>
      <c r="D382" s="53"/>
      <c r="E382" s="53"/>
      <c r="F382" s="53"/>
      <c r="G382" s="53"/>
      <c r="H382" s="1"/>
      <c r="I382" s="1"/>
    </row>
    <row r="383" ht="14.25" customHeight="1">
      <c r="A383" s="52"/>
      <c r="B383" s="52"/>
      <c r="C383" s="53"/>
      <c r="D383" s="53"/>
      <c r="E383" s="53"/>
      <c r="F383" s="53"/>
      <c r="G383" s="53"/>
      <c r="H383" s="1"/>
      <c r="I383" s="1"/>
    </row>
    <row r="384" ht="14.25" customHeight="1">
      <c r="A384" s="52"/>
      <c r="B384" s="52"/>
      <c r="C384" s="53"/>
      <c r="D384" s="53"/>
      <c r="E384" s="53"/>
      <c r="F384" s="53"/>
      <c r="G384" s="53"/>
      <c r="H384" s="1"/>
      <c r="I384" s="1"/>
    </row>
    <row r="385" ht="14.25" customHeight="1">
      <c r="A385" s="52"/>
      <c r="B385" s="52"/>
      <c r="C385" s="53"/>
      <c r="D385" s="53"/>
      <c r="E385" s="53"/>
      <c r="F385" s="53"/>
      <c r="G385" s="53"/>
      <c r="H385" s="1"/>
      <c r="I385" s="1"/>
    </row>
    <row r="386" ht="14.25" customHeight="1">
      <c r="A386" s="52"/>
      <c r="B386" s="52"/>
      <c r="C386" s="53"/>
      <c r="D386" s="53"/>
      <c r="E386" s="53"/>
      <c r="F386" s="53"/>
      <c r="G386" s="53"/>
      <c r="H386" s="1"/>
      <c r="I386" s="1"/>
    </row>
    <row r="387" ht="14.25" customHeight="1">
      <c r="A387" s="52"/>
      <c r="B387" s="52"/>
      <c r="C387" s="53"/>
      <c r="D387" s="53"/>
      <c r="E387" s="53"/>
      <c r="F387" s="53"/>
      <c r="G387" s="53"/>
      <c r="H387" s="1"/>
      <c r="I387" s="1"/>
    </row>
    <row r="388" ht="14.25" customHeight="1">
      <c r="A388" s="52"/>
      <c r="B388" s="52"/>
      <c r="C388" s="53"/>
      <c r="D388" s="53"/>
      <c r="E388" s="53"/>
      <c r="F388" s="53"/>
      <c r="G388" s="53"/>
      <c r="H388" s="1"/>
      <c r="I388" s="1"/>
    </row>
    <row r="389" ht="14.25" customHeight="1">
      <c r="A389" s="52"/>
      <c r="B389" s="52"/>
      <c r="C389" s="53"/>
      <c r="D389" s="53"/>
      <c r="E389" s="53"/>
      <c r="F389" s="53"/>
      <c r="G389" s="53"/>
      <c r="H389" s="1"/>
      <c r="I389" s="1"/>
    </row>
    <row r="390" ht="14.25" customHeight="1">
      <c r="A390" s="52"/>
      <c r="B390" s="52"/>
      <c r="C390" s="53"/>
      <c r="D390" s="53"/>
      <c r="E390" s="53"/>
      <c r="F390" s="53"/>
      <c r="G390" s="53"/>
      <c r="H390" s="1"/>
      <c r="I390" s="1"/>
    </row>
    <row r="391" ht="14.25" customHeight="1">
      <c r="A391" s="52"/>
      <c r="B391" s="52"/>
      <c r="C391" s="53"/>
      <c r="D391" s="53"/>
      <c r="E391" s="53"/>
      <c r="F391" s="53"/>
      <c r="G391" s="53"/>
      <c r="H391" s="1"/>
      <c r="I391" s="1"/>
    </row>
    <row r="392" ht="14.25" customHeight="1">
      <c r="A392" s="52"/>
      <c r="B392" s="52"/>
      <c r="C392" s="53"/>
      <c r="D392" s="53"/>
      <c r="E392" s="53"/>
      <c r="F392" s="53"/>
      <c r="G392" s="53"/>
      <c r="H392" s="1"/>
      <c r="I392" s="1"/>
    </row>
    <row r="393" ht="14.25" customHeight="1">
      <c r="A393" s="52"/>
      <c r="B393" s="52"/>
      <c r="C393" s="53"/>
      <c r="D393" s="53"/>
      <c r="E393" s="53"/>
      <c r="F393" s="53"/>
      <c r="G393" s="53"/>
      <c r="H393" s="1"/>
      <c r="I393" s="1"/>
    </row>
    <row r="394" ht="14.25" customHeight="1">
      <c r="A394" s="52"/>
      <c r="B394" s="52"/>
      <c r="C394" s="53"/>
      <c r="D394" s="53"/>
      <c r="E394" s="53"/>
      <c r="F394" s="53"/>
      <c r="G394" s="53"/>
      <c r="H394" s="1"/>
      <c r="I394" s="1"/>
    </row>
    <row r="395" ht="14.25" customHeight="1">
      <c r="A395" s="52"/>
      <c r="B395" s="52"/>
      <c r="C395" s="53"/>
      <c r="D395" s="53"/>
      <c r="E395" s="53"/>
      <c r="F395" s="53"/>
      <c r="G395" s="53"/>
      <c r="H395" s="1"/>
      <c r="I395" s="1"/>
    </row>
    <row r="396" ht="14.25" customHeight="1">
      <c r="A396" s="52"/>
      <c r="B396" s="52"/>
      <c r="C396" s="53"/>
      <c r="D396" s="53"/>
      <c r="E396" s="53"/>
      <c r="F396" s="53"/>
      <c r="G396" s="53"/>
      <c r="H396" s="1"/>
      <c r="I396" s="1"/>
    </row>
    <row r="397" ht="14.25" customHeight="1">
      <c r="A397" s="52"/>
      <c r="B397" s="52"/>
      <c r="C397" s="53"/>
      <c r="D397" s="53"/>
      <c r="E397" s="53"/>
      <c r="F397" s="53"/>
      <c r="G397" s="53"/>
      <c r="H397" s="1"/>
      <c r="I397" s="1"/>
    </row>
    <row r="398" ht="14.25" customHeight="1">
      <c r="A398" s="52"/>
      <c r="B398" s="52"/>
      <c r="C398" s="53"/>
      <c r="D398" s="53"/>
      <c r="E398" s="53"/>
      <c r="F398" s="53"/>
      <c r="G398" s="53"/>
      <c r="H398" s="1"/>
      <c r="I398" s="1"/>
    </row>
    <row r="399" ht="14.25" customHeight="1">
      <c r="A399" s="52"/>
      <c r="B399" s="52"/>
      <c r="C399" s="53"/>
      <c r="D399" s="53"/>
      <c r="E399" s="53"/>
      <c r="F399" s="53"/>
      <c r="G399" s="53"/>
      <c r="H399" s="1"/>
      <c r="I399" s="1"/>
    </row>
    <row r="400" ht="14.25" customHeight="1">
      <c r="A400" s="52"/>
      <c r="B400" s="52"/>
      <c r="C400" s="53"/>
      <c r="D400" s="53"/>
      <c r="E400" s="53"/>
      <c r="F400" s="53"/>
      <c r="G400" s="53"/>
      <c r="H400" s="1"/>
      <c r="I400" s="1"/>
    </row>
    <row r="401" ht="14.25" customHeight="1">
      <c r="A401" s="52"/>
      <c r="B401" s="52"/>
      <c r="C401" s="53"/>
      <c r="D401" s="53"/>
      <c r="E401" s="53"/>
      <c r="F401" s="53"/>
      <c r="G401" s="53"/>
      <c r="H401" s="1"/>
      <c r="I401" s="1"/>
    </row>
    <row r="402" ht="14.25" customHeight="1">
      <c r="A402" s="52"/>
      <c r="B402" s="52"/>
      <c r="C402" s="53"/>
      <c r="D402" s="53"/>
      <c r="E402" s="53"/>
      <c r="F402" s="53"/>
      <c r="G402" s="53"/>
      <c r="H402" s="1"/>
      <c r="I402" s="1"/>
    </row>
    <row r="403" ht="14.25" customHeight="1">
      <c r="A403" s="52"/>
      <c r="B403" s="52"/>
      <c r="C403" s="53"/>
      <c r="D403" s="53"/>
      <c r="E403" s="53"/>
      <c r="F403" s="53"/>
      <c r="G403" s="53"/>
      <c r="H403" s="1"/>
      <c r="I403" s="1"/>
    </row>
    <row r="404" ht="14.25" customHeight="1">
      <c r="A404" s="52"/>
      <c r="B404" s="52"/>
      <c r="C404" s="53"/>
      <c r="D404" s="53"/>
      <c r="E404" s="53"/>
      <c r="F404" s="53"/>
      <c r="G404" s="53"/>
      <c r="H404" s="1"/>
      <c r="I404" s="1"/>
    </row>
    <row r="405" ht="14.25" customHeight="1">
      <c r="A405" s="52"/>
      <c r="B405" s="52"/>
      <c r="C405" s="53"/>
      <c r="D405" s="53"/>
      <c r="E405" s="53"/>
      <c r="F405" s="53"/>
      <c r="G405" s="53"/>
      <c r="H405" s="1"/>
      <c r="I405" s="1"/>
    </row>
    <row r="406" ht="14.25" customHeight="1">
      <c r="A406" s="52"/>
      <c r="B406" s="52"/>
      <c r="C406" s="53"/>
      <c r="D406" s="53"/>
      <c r="E406" s="53"/>
      <c r="F406" s="53"/>
      <c r="G406" s="53"/>
      <c r="H406" s="1"/>
      <c r="I406" s="1"/>
    </row>
    <row r="407" ht="14.25" customHeight="1">
      <c r="A407" s="52"/>
      <c r="B407" s="52"/>
      <c r="C407" s="53"/>
      <c r="D407" s="53"/>
      <c r="E407" s="53"/>
      <c r="F407" s="53"/>
      <c r="G407" s="53"/>
      <c r="H407" s="1"/>
      <c r="I407" s="1"/>
    </row>
    <row r="408" ht="14.25" customHeight="1">
      <c r="A408" s="52"/>
      <c r="B408" s="52"/>
      <c r="C408" s="53"/>
      <c r="D408" s="53"/>
      <c r="E408" s="53"/>
      <c r="F408" s="53"/>
      <c r="G408" s="53"/>
      <c r="H408" s="1"/>
      <c r="I408" s="1"/>
    </row>
    <row r="409" ht="14.25" customHeight="1">
      <c r="A409" s="52"/>
      <c r="B409" s="52"/>
      <c r="C409" s="53"/>
      <c r="D409" s="53"/>
      <c r="E409" s="53"/>
      <c r="F409" s="53"/>
      <c r="G409" s="53"/>
      <c r="H409" s="1"/>
      <c r="I409" s="1"/>
    </row>
    <row r="410" ht="14.25" customHeight="1">
      <c r="A410" s="52"/>
      <c r="B410" s="52"/>
      <c r="C410" s="53"/>
      <c r="D410" s="53"/>
      <c r="E410" s="53"/>
      <c r="F410" s="53"/>
      <c r="G410" s="53"/>
      <c r="H410" s="1"/>
      <c r="I410" s="1"/>
    </row>
    <row r="411" ht="14.25" customHeight="1">
      <c r="A411" s="52"/>
      <c r="B411" s="52"/>
      <c r="C411" s="53"/>
      <c r="D411" s="53"/>
      <c r="E411" s="53"/>
      <c r="F411" s="53"/>
      <c r="G411" s="53"/>
      <c r="H411" s="1"/>
      <c r="I411" s="1"/>
    </row>
    <row r="412" ht="14.25" customHeight="1">
      <c r="A412" s="52"/>
      <c r="B412" s="52"/>
      <c r="C412" s="53"/>
      <c r="D412" s="53"/>
      <c r="E412" s="53"/>
      <c r="F412" s="53"/>
      <c r="G412" s="53"/>
      <c r="H412" s="1"/>
      <c r="I412" s="1"/>
    </row>
    <row r="413" ht="14.25" customHeight="1">
      <c r="A413" s="52"/>
      <c r="B413" s="52"/>
      <c r="C413" s="53"/>
      <c r="D413" s="53"/>
      <c r="E413" s="53"/>
      <c r="F413" s="53"/>
      <c r="G413" s="53"/>
      <c r="H413" s="1"/>
      <c r="I413" s="1"/>
    </row>
    <row r="414" ht="14.25" customHeight="1">
      <c r="A414" s="52"/>
      <c r="B414" s="52"/>
      <c r="C414" s="53"/>
      <c r="D414" s="53"/>
      <c r="E414" s="53"/>
      <c r="F414" s="53"/>
      <c r="G414" s="53"/>
      <c r="H414" s="1"/>
      <c r="I414" s="1"/>
    </row>
    <row r="415" ht="14.25" customHeight="1">
      <c r="A415" s="52"/>
      <c r="B415" s="52"/>
      <c r="C415" s="53"/>
      <c r="D415" s="53"/>
      <c r="E415" s="53"/>
      <c r="F415" s="53"/>
      <c r="G415" s="53"/>
      <c r="H415" s="1"/>
      <c r="I415" s="1"/>
    </row>
    <row r="416" ht="14.25" customHeight="1">
      <c r="A416" s="52"/>
      <c r="B416" s="52"/>
      <c r="C416" s="53"/>
      <c r="D416" s="53"/>
      <c r="E416" s="53"/>
      <c r="F416" s="53"/>
      <c r="G416" s="53"/>
      <c r="H416" s="1"/>
      <c r="I416" s="1"/>
    </row>
    <row r="417" ht="14.25" customHeight="1">
      <c r="A417" s="52"/>
      <c r="B417" s="52"/>
      <c r="C417" s="53"/>
      <c r="D417" s="53"/>
      <c r="E417" s="53"/>
      <c r="F417" s="53"/>
      <c r="G417" s="53"/>
      <c r="H417" s="1"/>
      <c r="I417" s="1"/>
    </row>
    <row r="418" ht="14.25" customHeight="1">
      <c r="A418" s="52"/>
      <c r="B418" s="52"/>
      <c r="C418" s="53"/>
      <c r="D418" s="53"/>
      <c r="E418" s="53"/>
      <c r="F418" s="53"/>
      <c r="G418" s="53"/>
      <c r="H418" s="1"/>
      <c r="I418" s="1"/>
    </row>
    <row r="419" ht="14.25" customHeight="1">
      <c r="A419" s="52"/>
      <c r="B419" s="52"/>
      <c r="C419" s="53"/>
      <c r="D419" s="53"/>
      <c r="E419" s="53"/>
      <c r="F419" s="53"/>
      <c r="G419" s="53"/>
      <c r="H419" s="1"/>
      <c r="I419" s="1"/>
    </row>
    <row r="420" ht="14.25" customHeight="1">
      <c r="A420" s="52"/>
      <c r="B420" s="52"/>
      <c r="C420" s="53"/>
      <c r="D420" s="53"/>
      <c r="E420" s="53"/>
      <c r="F420" s="53"/>
      <c r="G420" s="53"/>
      <c r="H420" s="1"/>
      <c r="I420" s="1"/>
    </row>
    <row r="421" ht="14.25" customHeight="1">
      <c r="A421" s="52"/>
      <c r="B421" s="52"/>
      <c r="C421" s="53"/>
      <c r="D421" s="53"/>
      <c r="E421" s="53"/>
      <c r="F421" s="53"/>
      <c r="G421" s="53"/>
      <c r="H421" s="1"/>
      <c r="I421" s="1"/>
    </row>
    <row r="422" ht="14.25" customHeight="1">
      <c r="A422" s="52"/>
      <c r="B422" s="52"/>
      <c r="C422" s="53"/>
      <c r="D422" s="53"/>
      <c r="E422" s="53"/>
      <c r="F422" s="53"/>
      <c r="G422" s="53"/>
      <c r="H422" s="1"/>
      <c r="I422" s="1"/>
    </row>
    <row r="423" ht="14.25" customHeight="1">
      <c r="A423" s="52"/>
      <c r="B423" s="52"/>
      <c r="C423" s="53"/>
      <c r="D423" s="53"/>
      <c r="E423" s="53"/>
      <c r="F423" s="53"/>
      <c r="G423" s="53"/>
      <c r="H423" s="1"/>
      <c r="I423" s="1"/>
    </row>
    <row r="424" ht="14.25" customHeight="1">
      <c r="A424" s="52"/>
      <c r="B424" s="52"/>
      <c r="C424" s="53"/>
      <c r="D424" s="53"/>
      <c r="E424" s="53"/>
      <c r="F424" s="53"/>
      <c r="G424" s="53"/>
      <c r="H424" s="1"/>
      <c r="I424" s="1"/>
    </row>
    <row r="425" ht="14.25" customHeight="1">
      <c r="A425" s="52"/>
      <c r="B425" s="52"/>
      <c r="C425" s="53"/>
      <c r="D425" s="53"/>
      <c r="E425" s="53"/>
      <c r="F425" s="53"/>
      <c r="G425" s="53"/>
      <c r="H425" s="1"/>
      <c r="I425" s="1"/>
    </row>
    <row r="426" ht="14.25" customHeight="1">
      <c r="A426" s="52"/>
      <c r="B426" s="52"/>
      <c r="C426" s="53"/>
      <c r="D426" s="53"/>
      <c r="E426" s="53"/>
      <c r="F426" s="53"/>
      <c r="G426" s="53"/>
      <c r="H426" s="1"/>
      <c r="I426" s="1"/>
    </row>
    <row r="427" ht="14.25" customHeight="1">
      <c r="A427" s="52"/>
      <c r="B427" s="52"/>
      <c r="C427" s="53"/>
      <c r="D427" s="53"/>
      <c r="E427" s="53"/>
      <c r="F427" s="53"/>
      <c r="G427" s="53"/>
      <c r="H427" s="1"/>
      <c r="I427" s="1"/>
    </row>
    <row r="428" ht="14.25" customHeight="1">
      <c r="A428" s="52"/>
      <c r="B428" s="52"/>
      <c r="C428" s="53"/>
      <c r="D428" s="53"/>
      <c r="E428" s="53"/>
      <c r="F428" s="53"/>
      <c r="G428" s="53"/>
      <c r="H428" s="1"/>
      <c r="I428" s="1"/>
    </row>
    <row r="429" ht="14.25" customHeight="1">
      <c r="A429" s="52"/>
      <c r="B429" s="52"/>
      <c r="C429" s="53"/>
      <c r="D429" s="53"/>
      <c r="E429" s="53"/>
      <c r="F429" s="53"/>
      <c r="G429" s="53"/>
      <c r="H429" s="1"/>
      <c r="I429" s="1"/>
    </row>
    <row r="430" ht="14.25" customHeight="1">
      <c r="A430" s="52"/>
      <c r="B430" s="52"/>
      <c r="C430" s="53"/>
      <c r="D430" s="53"/>
      <c r="E430" s="53"/>
      <c r="F430" s="53"/>
      <c r="G430" s="53"/>
      <c r="H430" s="1"/>
      <c r="I430" s="1"/>
    </row>
    <row r="431" ht="14.25" customHeight="1">
      <c r="A431" s="52"/>
      <c r="B431" s="52"/>
      <c r="C431" s="53"/>
      <c r="D431" s="53"/>
      <c r="E431" s="53"/>
      <c r="F431" s="53"/>
      <c r="G431" s="53"/>
      <c r="H431" s="1"/>
      <c r="I431" s="1"/>
    </row>
    <row r="432" ht="14.25" customHeight="1">
      <c r="A432" s="52"/>
      <c r="B432" s="52"/>
      <c r="C432" s="53"/>
      <c r="D432" s="53"/>
      <c r="E432" s="53"/>
      <c r="F432" s="53"/>
      <c r="G432" s="53"/>
      <c r="H432" s="1"/>
      <c r="I432" s="1"/>
    </row>
    <row r="433" ht="14.25" customHeight="1">
      <c r="A433" s="52"/>
      <c r="B433" s="52"/>
      <c r="C433" s="53"/>
      <c r="D433" s="53"/>
      <c r="E433" s="53"/>
      <c r="F433" s="53"/>
      <c r="G433" s="53"/>
      <c r="H433" s="1"/>
      <c r="I433" s="1"/>
    </row>
    <row r="434" ht="14.25" customHeight="1">
      <c r="A434" s="52"/>
      <c r="B434" s="52"/>
      <c r="C434" s="53"/>
      <c r="D434" s="53"/>
      <c r="E434" s="53"/>
      <c r="F434" s="53"/>
      <c r="G434" s="53"/>
      <c r="H434" s="1"/>
      <c r="I434" s="1"/>
    </row>
    <row r="435" ht="14.25" customHeight="1">
      <c r="A435" s="52"/>
      <c r="B435" s="52"/>
      <c r="C435" s="53"/>
      <c r="D435" s="53"/>
      <c r="E435" s="53"/>
      <c r="F435" s="53"/>
      <c r="G435" s="53"/>
      <c r="H435" s="1"/>
      <c r="I435" s="1"/>
    </row>
    <row r="436" ht="14.25" customHeight="1">
      <c r="A436" s="52"/>
      <c r="B436" s="52"/>
      <c r="C436" s="53"/>
      <c r="D436" s="53"/>
      <c r="E436" s="53"/>
      <c r="F436" s="53"/>
      <c r="G436" s="53"/>
      <c r="H436" s="1"/>
      <c r="I436" s="1"/>
    </row>
    <row r="437" ht="14.25" customHeight="1">
      <c r="A437" s="52"/>
      <c r="B437" s="52"/>
      <c r="C437" s="53"/>
      <c r="D437" s="53"/>
      <c r="E437" s="53"/>
      <c r="F437" s="53"/>
      <c r="G437" s="53"/>
      <c r="H437" s="1"/>
      <c r="I437" s="1"/>
    </row>
    <row r="438" ht="14.25" customHeight="1">
      <c r="A438" s="52"/>
      <c r="B438" s="52"/>
      <c r="C438" s="53"/>
      <c r="D438" s="53"/>
      <c r="E438" s="53"/>
      <c r="F438" s="53"/>
      <c r="G438" s="53"/>
      <c r="H438" s="1"/>
      <c r="I438" s="1"/>
    </row>
    <row r="439" ht="14.25" customHeight="1">
      <c r="A439" s="52"/>
      <c r="B439" s="52"/>
      <c r="C439" s="53"/>
      <c r="D439" s="53"/>
      <c r="E439" s="53"/>
      <c r="F439" s="53"/>
      <c r="G439" s="53"/>
      <c r="H439" s="1"/>
      <c r="I439" s="1"/>
    </row>
    <row r="440" ht="14.25" customHeight="1">
      <c r="A440" s="52"/>
      <c r="B440" s="52"/>
      <c r="C440" s="53"/>
      <c r="D440" s="53"/>
      <c r="E440" s="53"/>
      <c r="F440" s="53"/>
      <c r="G440" s="53"/>
      <c r="H440" s="1"/>
      <c r="I440" s="1"/>
    </row>
    <row r="441" ht="14.25" customHeight="1">
      <c r="A441" s="52"/>
      <c r="B441" s="52"/>
      <c r="C441" s="53"/>
      <c r="D441" s="53"/>
      <c r="E441" s="53"/>
      <c r="F441" s="53"/>
      <c r="G441" s="53"/>
      <c r="H441" s="1"/>
      <c r="I441" s="1"/>
    </row>
    <row r="442" ht="14.25" customHeight="1">
      <c r="A442" s="52"/>
      <c r="B442" s="52"/>
      <c r="C442" s="53"/>
      <c r="D442" s="53"/>
      <c r="E442" s="53"/>
      <c r="F442" s="53"/>
      <c r="G442" s="53"/>
      <c r="H442" s="1"/>
      <c r="I442" s="1"/>
    </row>
    <row r="443" ht="14.25" customHeight="1">
      <c r="A443" s="52"/>
      <c r="B443" s="52"/>
      <c r="C443" s="53"/>
      <c r="D443" s="53"/>
      <c r="E443" s="53"/>
      <c r="F443" s="53"/>
      <c r="G443" s="53"/>
      <c r="H443" s="1"/>
      <c r="I443" s="1"/>
    </row>
    <row r="444" ht="14.25" customHeight="1">
      <c r="A444" s="52"/>
      <c r="B444" s="52"/>
      <c r="C444" s="53"/>
      <c r="D444" s="53"/>
      <c r="E444" s="53"/>
      <c r="F444" s="53"/>
      <c r="G444" s="53"/>
      <c r="H444" s="1"/>
      <c r="I444" s="1"/>
    </row>
    <row r="445" ht="14.25" customHeight="1">
      <c r="A445" s="52"/>
      <c r="B445" s="52"/>
      <c r="C445" s="53"/>
      <c r="D445" s="53"/>
      <c r="E445" s="53"/>
      <c r="F445" s="53"/>
      <c r="G445" s="53"/>
      <c r="H445" s="1"/>
      <c r="I445" s="1"/>
    </row>
    <row r="446" ht="14.25" customHeight="1">
      <c r="A446" s="52"/>
      <c r="B446" s="52"/>
      <c r="C446" s="53"/>
      <c r="D446" s="53"/>
      <c r="E446" s="53"/>
      <c r="F446" s="53"/>
      <c r="G446" s="53"/>
      <c r="H446" s="1"/>
      <c r="I446" s="1"/>
    </row>
    <row r="447" ht="14.25" customHeight="1">
      <c r="A447" s="52"/>
      <c r="B447" s="52"/>
      <c r="C447" s="53"/>
      <c r="D447" s="53"/>
      <c r="E447" s="53"/>
      <c r="F447" s="53"/>
      <c r="G447" s="53"/>
      <c r="H447" s="1"/>
      <c r="I447" s="1"/>
    </row>
    <row r="448" ht="14.25" customHeight="1">
      <c r="A448" s="52"/>
      <c r="B448" s="52"/>
      <c r="C448" s="53"/>
      <c r="D448" s="53"/>
      <c r="E448" s="53"/>
      <c r="F448" s="53"/>
      <c r="G448" s="53"/>
      <c r="H448" s="1"/>
      <c r="I448" s="1"/>
    </row>
    <row r="449" ht="14.25" customHeight="1">
      <c r="A449" s="52"/>
      <c r="B449" s="52"/>
      <c r="C449" s="53"/>
      <c r="D449" s="53"/>
      <c r="E449" s="53"/>
      <c r="F449" s="53"/>
      <c r="G449" s="53"/>
      <c r="H449" s="1"/>
      <c r="I449" s="1"/>
    </row>
    <row r="450" ht="14.25" customHeight="1">
      <c r="A450" s="52"/>
      <c r="B450" s="52"/>
      <c r="C450" s="53"/>
      <c r="D450" s="53"/>
      <c r="E450" s="53"/>
      <c r="F450" s="53"/>
      <c r="G450" s="53"/>
      <c r="H450" s="1"/>
      <c r="I450" s="1"/>
    </row>
    <row r="451" ht="14.25" customHeight="1">
      <c r="A451" s="52"/>
      <c r="B451" s="52"/>
      <c r="C451" s="53"/>
      <c r="D451" s="53"/>
      <c r="E451" s="53"/>
      <c r="F451" s="53"/>
      <c r="G451" s="53"/>
      <c r="H451" s="1"/>
      <c r="I451" s="1"/>
    </row>
    <row r="452" ht="14.25" customHeight="1">
      <c r="A452" s="52"/>
      <c r="B452" s="52"/>
      <c r="C452" s="53"/>
      <c r="D452" s="53"/>
      <c r="E452" s="53"/>
      <c r="F452" s="53"/>
      <c r="G452" s="53"/>
      <c r="H452" s="1"/>
      <c r="I452" s="1"/>
    </row>
    <row r="453" ht="14.25" customHeight="1">
      <c r="A453" s="52"/>
      <c r="B453" s="52"/>
      <c r="C453" s="53"/>
      <c r="D453" s="53"/>
      <c r="E453" s="53"/>
      <c r="F453" s="53"/>
      <c r="G453" s="53"/>
      <c r="H453" s="1"/>
      <c r="I453" s="1"/>
    </row>
    <row r="454" ht="14.25" customHeight="1">
      <c r="A454" s="52"/>
      <c r="B454" s="52"/>
      <c r="C454" s="53"/>
      <c r="D454" s="53"/>
      <c r="E454" s="53"/>
      <c r="F454" s="53"/>
      <c r="G454" s="53"/>
      <c r="H454" s="1"/>
      <c r="I454" s="1"/>
    </row>
    <row r="455" ht="14.25" customHeight="1">
      <c r="A455" s="52"/>
      <c r="B455" s="52"/>
      <c r="C455" s="53"/>
      <c r="D455" s="53"/>
      <c r="E455" s="53"/>
      <c r="F455" s="53"/>
      <c r="G455" s="53"/>
      <c r="H455" s="1"/>
      <c r="I455" s="1"/>
    </row>
    <row r="456" ht="14.25" customHeight="1">
      <c r="A456" s="52"/>
      <c r="B456" s="52"/>
      <c r="C456" s="53"/>
      <c r="D456" s="53"/>
      <c r="E456" s="53"/>
      <c r="F456" s="53"/>
      <c r="G456" s="53"/>
      <c r="H456" s="1"/>
      <c r="I456" s="1"/>
    </row>
    <row r="457" ht="14.25" customHeight="1">
      <c r="A457" s="52"/>
      <c r="B457" s="52"/>
      <c r="C457" s="53"/>
      <c r="D457" s="53"/>
      <c r="E457" s="53"/>
      <c r="F457" s="53"/>
      <c r="G457" s="53"/>
      <c r="H457" s="1"/>
      <c r="I457" s="1"/>
    </row>
    <row r="458" ht="14.25" customHeight="1">
      <c r="A458" s="52"/>
      <c r="B458" s="52"/>
      <c r="C458" s="53"/>
      <c r="D458" s="53"/>
      <c r="E458" s="53"/>
      <c r="F458" s="53"/>
      <c r="G458" s="53"/>
      <c r="H458" s="1"/>
      <c r="I458" s="1"/>
    </row>
    <row r="459" ht="14.25" customHeight="1">
      <c r="A459" s="52"/>
      <c r="B459" s="52"/>
      <c r="C459" s="53"/>
      <c r="D459" s="53"/>
      <c r="E459" s="53"/>
      <c r="F459" s="53"/>
      <c r="G459" s="53"/>
      <c r="H459" s="1"/>
      <c r="I459" s="1"/>
    </row>
    <row r="460" ht="14.25" customHeight="1">
      <c r="A460" s="52"/>
      <c r="B460" s="52"/>
      <c r="C460" s="53"/>
      <c r="D460" s="53"/>
      <c r="E460" s="53"/>
      <c r="F460" s="53"/>
      <c r="G460" s="53"/>
      <c r="H460" s="1"/>
      <c r="I460" s="1"/>
    </row>
    <row r="461" ht="14.25" customHeight="1">
      <c r="A461" s="52"/>
      <c r="B461" s="52"/>
      <c r="C461" s="53"/>
      <c r="D461" s="53"/>
      <c r="E461" s="53"/>
      <c r="F461" s="53"/>
      <c r="G461" s="53"/>
      <c r="H461" s="1"/>
      <c r="I461" s="1"/>
    </row>
    <row r="462" ht="14.25" customHeight="1">
      <c r="A462" s="52"/>
      <c r="B462" s="52"/>
      <c r="C462" s="53"/>
      <c r="D462" s="53"/>
      <c r="E462" s="53"/>
      <c r="F462" s="53"/>
      <c r="G462" s="53"/>
      <c r="H462" s="1"/>
      <c r="I462" s="1"/>
    </row>
    <row r="463" ht="14.25" customHeight="1">
      <c r="A463" s="52"/>
      <c r="B463" s="52"/>
      <c r="C463" s="53"/>
      <c r="D463" s="53"/>
      <c r="E463" s="53"/>
      <c r="F463" s="53"/>
      <c r="G463" s="53"/>
      <c r="H463" s="1"/>
      <c r="I463" s="1"/>
    </row>
    <row r="464" ht="14.25" customHeight="1">
      <c r="A464" s="52"/>
      <c r="B464" s="52"/>
      <c r="C464" s="53"/>
      <c r="D464" s="53"/>
      <c r="E464" s="53"/>
      <c r="F464" s="53"/>
      <c r="G464" s="53"/>
      <c r="H464" s="1"/>
      <c r="I464" s="1"/>
    </row>
    <row r="465" ht="14.25" customHeight="1">
      <c r="A465" s="52"/>
      <c r="B465" s="52"/>
      <c r="C465" s="53"/>
      <c r="D465" s="53"/>
      <c r="E465" s="53"/>
      <c r="F465" s="53"/>
      <c r="G465" s="53"/>
      <c r="H465" s="1"/>
      <c r="I465" s="1"/>
    </row>
    <row r="466" ht="14.25" customHeight="1">
      <c r="A466" s="52"/>
      <c r="B466" s="52"/>
      <c r="C466" s="53"/>
      <c r="D466" s="53"/>
      <c r="E466" s="53"/>
      <c r="F466" s="53"/>
      <c r="G466" s="53"/>
      <c r="H466" s="1"/>
      <c r="I466" s="1"/>
    </row>
    <row r="467" ht="14.25" customHeight="1">
      <c r="A467" s="52"/>
      <c r="B467" s="52"/>
      <c r="C467" s="53"/>
      <c r="D467" s="53"/>
      <c r="E467" s="53"/>
      <c r="F467" s="53"/>
      <c r="G467" s="53"/>
      <c r="H467" s="1"/>
      <c r="I467" s="1"/>
    </row>
    <row r="468" ht="14.25" customHeight="1">
      <c r="A468" s="52"/>
      <c r="B468" s="52"/>
      <c r="C468" s="53"/>
      <c r="D468" s="53"/>
      <c r="E468" s="53"/>
      <c r="F468" s="53"/>
      <c r="G468" s="53"/>
      <c r="H468" s="1"/>
      <c r="I468" s="1"/>
    </row>
    <row r="469" ht="14.25" customHeight="1">
      <c r="A469" s="52"/>
      <c r="B469" s="52"/>
      <c r="C469" s="53"/>
      <c r="D469" s="53"/>
      <c r="E469" s="53"/>
      <c r="F469" s="53"/>
      <c r="G469" s="53"/>
      <c r="H469" s="1"/>
      <c r="I469" s="1"/>
    </row>
    <row r="470" ht="14.25" customHeight="1">
      <c r="A470" s="52"/>
      <c r="B470" s="52"/>
      <c r="C470" s="53"/>
      <c r="D470" s="53"/>
      <c r="E470" s="53"/>
      <c r="F470" s="53"/>
      <c r="G470" s="53"/>
      <c r="H470" s="1"/>
      <c r="I470" s="1"/>
    </row>
    <row r="471" ht="14.25" customHeight="1">
      <c r="A471" s="52"/>
      <c r="B471" s="52"/>
      <c r="C471" s="53"/>
      <c r="D471" s="53"/>
      <c r="E471" s="53"/>
      <c r="F471" s="53"/>
      <c r="G471" s="53"/>
      <c r="H471" s="1"/>
      <c r="I471" s="1"/>
    </row>
    <row r="472" ht="14.25" customHeight="1">
      <c r="A472" s="52"/>
      <c r="B472" s="52"/>
      <c r="C472" s="53"/>
      <c r="D472" s="53"/>
      <c r="E472" s="53"/>
      <c r="F472" s="53"/>
      <c r="G472" s="53"/>
      <c r="H472" s="1"/>
      <c r="I472" s="1"/>
    </row>
    <row r="473" ht="14.25" customHeight="1">
      <c r="A473" s="52"/>
      <c r="B473" s="52"/>
      <c r="C473" s="53"/>
      <c r="D473" s="53"/>
      <c r="E473" s="53"/>
      <c r="F473" s="53"/>
      <c r="G473" s="53"/>
      <c r="H473" s="1"/>
      <c r="I473" s="1"/>
    </row>
    <row r="474" ht="14.25" customHeight="1">
      <c r="A474" s="52"/>
      <c r="B474" s="52"/>
      <c r="C474" s="53"/>
      <c r="D474" s="53"/>
      <c r="E474" s="53"/>
      <c r="F474" s="53"/>
      <c r="G474" s="53"/>
      <c r="H474" s="1"/>
      <c r="I474" s="1"/>
    </row>
    <row r="475" ht="14.25" customHeight="1">
      <c r="A475" s="52"/>
      <c r="B475" s="52"/>
      <c r="C475" s="53"/>
      <c r="D475" s="53"/>
      <c r="E475" s="53"/>
      <c r="F475" s="53"/>
      <c r="G475" s="53"/>
      <c r="H475" s="1"/>
      <c r="I475" s="1"/>
    </row>
    <row r="476" ht="14.25" customHeight="1">
      <c r="A476" s="52"/>
      <c r="B476" s="52"/>
      <c r="C476" s="53"/>
      <c r="D476" s="53"/>
      <c r="E476" s="53"/>
      <c r="F476" s="53"/>
      <c r="G476" s="53"/>
      <c r="H476" s="1"/>
      <c r="I476" s="1"/>
    </row>
    <row r="477" ht="14.25" customHeight="1">
      <c r="A477" s="52"/>
      <c r="B477" s="52"/>
      <c r="C477" s="53"/>
      <c r="D477" s="53"/>
      <c r="E477" s="53"/>
      <c r="F477" s="53"/>
      <c r="G477" s="53"/>
      <c r="H477" s="1"/>
      <c r="I477" s="1"/>
    </row>
    <row r="478" ht="14.25" customHeight="1">
      <c r="A478" s="52"/>
      <c r="B478" s="52"/>
      <c r="C478" s="53"/>
      <c r="D478" s="53"/>
      <c r="E478" s="53"/>
      <c r="F478" s="53"/>
      <c r="G478" s="53"/>
      <c r="H478" s="1"/>
      <c r="I478" s="1"/>
    </row>
    <row r="479" ht="14.25" customHeight="1">
      <c r="A479" s="52"/>
      <c r="B479" s="52"/>
      <c r="C479" s="53"/>
      <c r="D479" s="53"/>
      <c r="E479" s="53"/>
      <c r="F479" s="53"/>
      <c r="G479" s="53"/>
      <c r="H479" s="1"/>
      <c r="I479" s="1"/>
    </row>
    <row r="480" ht="14.25" customHeight="1">
      <c r="A480" s="52"/>
      <c r="B480" s="52"/>
      <c r="C480" s="53"/>
      <c r="D480" s="53"/>
      <c r="E480" s="53"/>
      <c r="F480" s="53"/>
      <c r="G480" s="53"/>
      <c r="H480" s="1"/>
      <c r="I480" s="1"/>
    </row>
    <row r="481" ht="14.25" customHeight="1">
      <c r="A481" s="52"/>
      <c r="B481" s="52"/>
      <c r="C481" s="53"/>
      <c r="D481" s="53"/>
      <c r="E481" s="53"/>
      <c r="F481" s="53"/>
      <c r="G481" s="53"/>
      <c r="H481" s="1"/>
      <c r="I481" s="1"/>
    </row>
    <row r="482" ht="14.25" customHeight="1">
      <c r="A482" s="52"/>
      <c r="B482" s="52"/>
      <c r="C482" s="53"/>
      <c r="D482" s="53"/>
      <c r="E482" s="53"/>
      <c r="F482" s="53"/>
      <c r="G482" s="53"/>
      <c r="H482" s="1"/>
      <c r="I482" s="1"/>
    </row>
    <row r="483" ht="14.25" customHeight="1">
      <c r="A483" s="52"/>
      <c r="B483" s="52"/>
      <c r="C483" s="53"/>
      <c r="D483" s="53"/>
      <c r="E483" s="53"/>
      <c r="F483" s="53"/>
      <c r="G483" s="53"/>
      <c r="H483" s="1"/>
      <c r="I483" s="1"/>
    </row>
    <row r="484" ht="14.25" customHeight="1">
      <c r="A484" s="52"/>
      <c r="B484" s="52"/>
      <c r="C484" s="53"/>
      <c r="D484" s="53"/>
      <c r="E484" s="53"/>
      <c r="F484" s="53"/>
      <c r="G484" s="53"/>
      <c r="H484" s="1"/>
      <c r="I484" s="1"/>
    </row>
    <row r="485" ht="14.25" customHeight="1">
      <c r="A485" s="52"/>
      <c r="B485" s="52"/>
      <c r="C485" s="53"/>
      <c r="D485" s="53"/>
      <c r="E485" s="53"/>
      <c r="F485" s="53"/>
      <c r="G485" s="53"/>
      <c r="H485" s="1"/>
      <c r="I485" s="1"/>
    </row>
    <row r="486" ht="14.25" customHeight="1">
      <c r="A486" s="52"/>
      <c r="B486" s="52"/>
      <c r="C486" s="53"/>
      <c r="D486" s="53"/>
      <c r="E486" s="53"/>
      <c r="F486" s="53"/>
      <c r="G486" s="53"/>
      <c r="H486" s="1"/>
      <c r="I486" s="1"/>
    </row>
    <row r="487" ht="14.25" customHeight="1">
      <c r="A487" s="52"/>
      <c r="B487" s="52"/>
      <c r="C487" s="53"/>
      <c r="D487" s="53"/>
      <c r="E487" s="53"/>
      <c r="F487" s="53"/>
      <c r="G487" s="53"/>
      <c r="H487" s="1"/>
      <c r="I487" s="1"/>
    </row>
    <row r="488" ht="14.25" customHeight="1">
      <c r="A488" s="52"/>
      <c r="B488" s="52"/>
      <c r="C488" s="53"/>
      <c r="D488" s="53"/>
      <c r="E488" s="53"/>
      <c r="F488" s="53"/>
      <c r="G488" s="53"/>
      <c r="H488" s="1"/>
      <c r="I488" s="1"/>
    </row>
    <row r="489" ht="14.25" customHeight="1">
      <c r="A489" s="52"/>
      <c r="B489" s="52"/>
      <c r="C489" s="53"/>
      <c r="D489" s="53"/>
      <c r="E489" s="53"/>
      <c r="F489" s="53"/>
      <c r="G489" s="53"/>
      <c r="H489" s="1"/>
      <c r="I489" s="1"/>
    </row>
    <row r="490" ht="14.25" customHeight="1">
      <c r="A490" s="52"/>
      <c r="B490" s="52"/>
      <c r="C490" s="53"/>
      <c r="D490" s="53"/>
      <c r="E490" s="53"/>
      <c r="F490" s="53"/>
      <c r="G490" s="53"/>
      <c r="H490" s="1"/>
      <c r="I490" s="1"/>
    </row>
    <row r="491" ht="14.25" customHeight="1">
      <c r="A491" s="52"/>
      <c r="B491" s="52"/>
      <c r="C491" s="53"/>
      <c r="D491" s="53"/>
      <c r="E491" s="53"/>
      <c r="F491" s="53"/>
      <c r="G491" s="53"/>
      <c r="H491" s="1"/>
      <c r="I491" s="1"/>
    </row>
    <row r="492" ht="14.25" customHeight="1">
      <c r="A492" s="52"/>
      <c r="B492" s="52"/>
      <c r="C492" s="53"/>
      <c r="D492" s="53"/>
      <c r="E492" s="53"/>
      <c r="F492" s="53"/>
      <c r="G492" s="53"/>
      <c r="H492" s="1"/>
      <c r="I492" s="1"/>
    </row>
    <row r="493" ht="14.25" customHeight="1">
      <c r="A493" s="52"/>
      <c r="B493" s="52"/>
      <c r="C493" s="53"/>
      <c r="D493" s="53"/>
      <c r="E493" s="53"/>
      <c r="F493" s="53"/>
      <c r="G493" s="53"/>
      <c r="H493" s="1"/>
      <c r="I493" s="1"/>
    </row>
    <row r="494" ht="14.25" customHeight="1">
      <c r="A494" s="52"/>
      <c r="B494" s="52"/>
      <c r="C494" s="53"/>
      <c r="D494" s="53"/>
      <c r="E494" s="53"/>
      <c r="F494" s="53"/>
      <c r="G494" s="53"/>
      <c r="H494" s="1"/>
      <c r="I494" s="1"/>
    </row>
    <row r="495" ht="14.25" customHeight="1">
      <c r="A495" s="52"/>
      <c r="B495" s="52"/>
      <c r="C495" s="53"/>
      <c r="D495" s="53"/>
      <c r="E495" s="53"/>
      <c r="F495" s="53"/>
      <c r="G495" s="53"/>
      <c r="H495" s="1"/>
      <c r="I495" s="1"/>
    </row>
    <row r="496" ht="14.25" customHeight="1">
      <c r="A496" s="52"/>
      <c r="B496" s="52"/>
      <c r="C496" s="53"/>
      <c r="D496" s="53"/>
      <c r="E496" s="53"/>
      <c r="F496" s="53"/>
      <c r="G496" s="53"/>
      <c r="H496" s="1"/>
      <c r="I496" s="1"/>
    </row>
    <row r="497" ht="14.25" customHeight="1">
      <c r="A497" s="52"/>
      <c r="B497" s="52"/>
      <c r="C497" s="53"/>
      <c r="D497" s="53"/>
      <c r="E497" s="53"/>
      <c r="F497" s="53"/>
      <c r="G497" s="53"/>
      <c r="H497" s="1"/>
      <c r="I497" s="1"/>
    </row>
    <row r="498" ht="14.25" customHeight="1">
      <c r="A498" s="52"/>
      <c r="B498" s="52"/>
      <c r="C498" s="53"/>
      <c r="D498" s="53"/>
      <c r="E498" s="53"/>
      <c r="F498" s="53"/>
      <c r="G498" s="53"/>
      <c r="H498" s="1"/>
      <c r="I498" s="1"/>
    </row>
    <row r="499" ht="14.25" customHeight="1">
      <c r="A499" s="52"/>
      <c r="B499" s="52"/>
      <c r="C499" s="53"/>
      <c r="D499" s="53"/>
      <c r="E499" s="53"/>
      <c r="F499" s="53"/>
      <c r="G499" s="53"/>
      <c r="H499" s="1"/>
      <c r="I499" s="1"/>
    </row>
    <row r="500" ht="14.25" customHeight="1">
      <c r="A500" s="52"/>
      <c r="B500" s="52"/>
      <c r="C500" s="53"/>
      <c r="D500" s="53"/>
      <c r="E500" s="53"/>
      <c r="F500" s="53"/>
      <c r="G500" s="53"/>
      <c r="H500" s="1"/>
      <c r="I500" s="1"/>
    </row>
    <row r="501" ht="14.25" customHeight="1">
      <c r="A501" s="52"/>
      <c r="B501" s="52"/>
      <c r="C501" s="53"/>
      <c r="D501" s="53"/>
      <c r="E501" s="53"/>
      <c r="F501" s="53"/>
      <c r="G501" s="53"/>
      <c r="H501" s="1"/>
      <c r="I501" s="1"/>
    </row>
    <row r="502" ht="14.25" customHeight="1">
      <c r="A502" s="52"/>
      <c r="B502" s="52"/>
      <c r="C502" s="53"/>
      <c r="D502" s="53"/>
      <c r="E502" s="53"/>
      <c r="F502" s="53"/>
      <c r="G502" s="53"/>
      <c r="H502" s="1"/>
      <c r="I502" s="1"/>
    </row>
    <row r="503" ht="14.25" customHeight="1">
      <c r="A503" s="52"/>
      <c r="B503" s="52"/>
      <c r="C503" s="53"/>
      <c r="D503" s="53"/>
      <c r="E503" s="53"/>
      <c r="F503" s="53"/>
      <c r="G503" s="53"/>
      <c r="H503" s="1"/>
      <c r="I503" s="1"/>
    </row>
    <row r="504" ht="14.25" customHeight="1">
      <c r="A504" s="52"/>
      <c r="B504" s="52"/>
      <c r="C504" s="53"/>
      <c r="D504" s="53"/>
      <c r="E504" s="53"/>
      <c r="F504" s="53"/>
      <c r="G504" s="53"/>
      <c r="H504" s="1"/>
      <c r="I504" s="1"/>
    </row>
    <row r="505" ht="14.25" customHeight="1">
      <c r="A505" s="52"/>
      <c r="B505" s="52"/>
      <c r="C505" s="53"/>
      <c r="D505" s="53"/>
      <c r="E505" s="53"/>
      <c r="F505" s="53"/>
      <c r="G505" s="53"/>
      <c r="H505" s="1"/>
      <c r="I505" s="1"/>
    </row>
    <row r="506" ht="14.25" customHeight="1">
      <c r="A506" s="52"/>
      <c r="B506" s="52"/>
      <c r="C506" s="53"/>
      <c r="D506" s="53"/>
      <c r="E506" s="53"/>
      <c r="F506" s="53"/>
      <c r="G506" s="53"/>
      <c r="H506" s="1"/>
      <c r="I506" s="1"/>
    </row>
    <row r="507" ht="14.25" customHeight="1">
      <c r="A507" s="52"/>
      <c r="B507" s="52"/>
      <c r="C507" s="53"/>
      <c r="D507" s="53"/>
      <c r="E507" s="53"/>
      <c r="F507" s="53"/>
      <c r="G507" s="53"/>
      <c r="H507" s="1"/>
      <c r="I507" s="1"/>
    </row>
    <row r="508" ht="14.25" customHeight="1">
      <c r="A508" s="52"/>
      <c r="B508" s="52"/>
      <c r="C508" s="53"/>
      <c r="D508" s="53"/>
      <c r="E508" s="53"/>
      <c r="F508" s="53"/>
      <c r="G508" s="53"/>
      <c r="H508" s="1"/>
      <c r="I508" s="1"/>
    </row>
    <row r="509" ht="14.25" customHeight="1">
      <c r="A509" s="52"/>
      <c r="B509" s="52"/>
      <c r="C509" s="53"/>
      <c r="D509" s="53"/>
      <c r="E509" s="53"/>
      <c r="F509" s="53"/>
      <c r="G509" s="53"/>
      <c r="H509" s="1"/>
      <c r="I509" s="1"/>
    </row>
    <row r="510" ht="14.25" customHeight="1">
      <c r="A510" s="52"/>
      <c r="B510" s="52"/>
      <c r="C510" s="53"/>
      <c r="D510" s="53"/>
      <c r="E510" s="53"/>
      <c r="F510" s="53"/>
      <c r="G510" s="53"/>
      <c r="H510" s="1"/>
      <c r="I510" s="1"/>
    </row>
    <row r="511" ht="14.25" customHeight="1">
      <c r="A511" s="52"/>
      <c r="B511" s="52"/>
      <c r="C511" s="53"/>
      <c r="D511" s="53"/>
      <c r="E511" s="53"/>
      <c r="F511" s="53"/>
      <c r="G511" s="53"/>
      <c r="H511" s="1"/>
      <c r="I511" s="1"/>
    </row>
    <row r="512" ht="14.25" customHeight="1">
      <c r="A512" s="52"/>
      <c r="B512" s="52"/>
      <c r="C512" s="53"/>
      <c r="D512" s="53"/>
      <c r="E512" s="53"/>
      <c r="F512" s="53"/>
      <c r="G512" s="53"/>
      <c r="H512" s="1"/>
      <c r="I512" s="1"/>
    </row>
    <row r="513" ht="14.25" customHeight="1">
      <c r="A513" s="52"/>
      <c r="B513" s="52"/>
      <c r="C513" s="53"/>
      <c r="D513" s="53"/>
      <c r="E513" s="53"/>
      <c r="F513" s="53"/>
      <c r="G513" s="53"/>
      <c r="H513" s="1"/>
      <c r="I513" s="1"/>
    </row>
    <row r="514" ht="14.25" customHeight="1">
      <c r="A514" s="52"/>
      <c r="B514" s="52"/>
      <c r="C514" s="53"/>
      <c r="D514" s="53"/>
      <c r="E514" s="53"/>
      <c r="F514" s="53"/>
      <c r="G514" s="53"/>
      <c r="H514" s="1"/>
      <c r="I514" s="1"/>
    </row>
    <row r="515" ht="14.25" customHeight="1">
      <c r="A515" s="52"/>
      <c r="B515" s="52"/>
      <c r="C515" s="53"/>
      <c r="D515" s="53"/>
      <c r="E515" s="53"/>
      <c r="F515" s="53"/>
      <c r="G515" s="53"/>
      <c r="H515" s="1"/>
      <c r="I515" s="1"/>
    </row>
    <row r="516" ht="14.25" customHeight="1">
      <c r="A516" s="52"/>
      <c r="B516" s="52"/>
      <c r="C516" s="53"/>
      <c r="D516" s="53"/>
      <c r="E516" s="53"/>
      <c r="F516" s="53"/>
      <c r="G516" s="53"/>
      <c r="H516" s="1"/>
      <c r="I516" s="1"/>
    </row>
    <row r="517" ht="14.25" customHeight="1">
      <c r="A517" s="52"/>
      <c r="B517" s="52"/>
      <c r="C517" s="53"/>
      <c r="D517" s="53"/>
      <c r="E517" s="53"/>
      <c r="F517" s="53"/>
      <c r="G517" s="53"/>
      <c r="H517" s="1"/>
      <c r="I517" s="1"/>
    </row>
    <row r="518" ht="14.25" customHeight="1">
      <c r="A518" s="52"/>
      <c r="B518" s="52"/>
      <c r="C518" s="53"/>
      <c r="D518" s="53"/>
      <c r="E518" s="53"/>
      <c r="F518" s="53"/>
      <c r="G518" s="53"/>
      <c r="H518" s="1"/>
      <c r="I518" s="1"/>
    </row>
    <row r="519" ht="14.25" customHeight="1">
      <c r="A519" s="52"/>
      <c r="B519" s="52"/>
      <c r="C519" s="53"/>
      <c r="D519" s="53"/>
      <c r="E519" s="53"/>
      <c r="F519" s="53"/>
      <c r="G519" s="53"/>
      <c r="H519" s="1"/>
      <c r="I519" s="1"/>
    </row>
    <row r="520" ht="14.25" customHeight="1">
      <c r="A520" s="52"/>
      <c r="B520" s="52"/>
      <c r="C520" s="53"/>
      <c r="D520" s="53"/>
      <c r="E520" s="53"/>
      <c r="F520" s="53"/>
      <c r="G520" s="53"/>
      <c r="H520" s="1"/>
      <c r="I520" s="1"/>
    </row>
    <row r="521" ht="14.25" customHeight="1">
      <c r="A521" s="52"/>
      <c r="B521" s="52"/>
      <c r="C521" s="53"/>
      <c r="D521" s="53"/>
      <c r="E521" s="53"/>
      <c r="F521" s="53"/>
      <c r="G521" s="53"/>
      <c r="H521" s="1"/>
      <c r="I521" s="1"/>
    </row>
    <row r="522" ht="14.25" customHeight="1">
      <c r="A522" s="52"/>
      <c r="B522" s="52"/>
      <c r="C522" s="53"/>
      <c r="D522" s="53"/>
      <c r="E522" s="53"/>
      <c r="F522" s="53"/>
      <c r="G522" s="53"/>
      <c r="H522" s="1"/>
      <c r="I522" s="1"/>
    </row>
    <row r="523" ht="14.25" customHeight="1">
      <c r="A523" s="52"/>
      <c r="B523" s="52"/>
      <c r="C523" s="53"/>
      <c r="D523" s="53"/>
      <c r="E523" s="53"/>
      <c r="F523" s="53"/>
      <c r="G523" s="53"/>
      <c r="H523" s="1"/>
      <c r="I523" s="1"/>
    </row>
    <row r="524" ht="14.25" customHeight="1">
      <c r="A524" s="52"/>
      <c r="B524" s="52"/>
      <c r="C524" s="53"/>
      <c r="D524" s="53"/>
      <c r="E524" s="53"/>
      <c r="F524" s="53"/>
      <c r="G524" s="53"/>
      <c r="H524" s="1"/>
      <c r="I524" s="1"/>
    </row>
    <row r="525" ht="14.25" customHeight="1">
      <c r="A525" s="52"/>
      <c r="B525" s="52"/>
      <c r="C525" s="53"/>
      <c r="D525" s="53"/>
      <c r="E525" s="53"/>
      <c r="F525" s="53"/>
      <c r="G525" s="53"/>
      <c r="H525" s="1"/>
      <c r="I525" s="1"/>
    </row>
    <row r="526" ht="14.25" customHeight="1">
      <c r="A526" s="52"/>
      <c r="B526" s="52"/>
      <c r="C526" s="53"/>
      <c r="D526" s="53"/>
      <c r="E526" s="53"/>
      <c r="F526" s="53"/>
      <c r="G526" s="53"/>
      <c r="H526" s="1"/>
      <c r="I526" s="1"/>
    </row>
    <row r="527" ht="14.25" customHeight="1">
      <c r="A527" s="52"/>
      <c r="B527" s="52"/>
      <c r="C527" s="53"/>
      <c r="D527" s="53"/>
      <c r="E527" s="53"/>
      <c r="F527" s="53"/>
      <c r="G527" s="53"/>
      <c r="H527" s="1"/>
      <c r="I527" s="1"/>
    </row>
    <row r="528" ht="14.25" customHeight="1">
      <c r="A528" s="52"/>
      <c r="B528" s="52"/>
      <c r="C528" s="53"/>
      <c r="D528" s="53"/>
      <c r="E528" s="53"/>
      <c r="F528" s="53"/>
      <c r="G528" s="53"/>
      <c r="H528" s="1"/>
      <c r="I528" s="1"/>
    </row>
    <row r="529" ht="14.25" customHeight="1">
      <c r="A529" s="52"/>
      <c r="B529" s="52"/>
      <c r="C529" s="53"/>
      <c r="D529" s="53"/>
      <c r="E529" s="53"/>
      <c r="F529" s="53"/>
      <c r="G529" s="53"/>
      <c r="H529" s="1"/>
      <c r="I529" s="1"/>
    </row>
    <row r="530" ht="14.25" customHeight="1">
      <c r="A530" s="52"/>
      <c r="B530" s="52"/>
      <c r="C530" s="53"/>
      <c r="D530" s="53"/>
      <c r="E530" s="53"/>
      <c r="F530" s="53"/>
      <c r="G530" s="53"/>
      <c r="H530" s="1"/>
      <c r="I530" s="1"/>
    </row>
    <row r="531" ht="14.25" customHeight="1">
      <c r="A531" s="52"/>
      <c r="B531" s="52"/>
      <c r="C531" s="53"/>
      <c r="D531" s="53"/>
      <c r="E531" s="53"/>
      <c r="F531" s="53"/>
      <c r="G531" s="53"/>
      <c r="H531" s="1"/>
      <c r="I531" s="1"/>
    </row>
    <row r="532" ht="14.25" customHeight="1">
      <c r="A532" s="52"/>
      <c r="B532" s="52"/>
      <c r="C532" s="53"/>
      <c r="D532" s="53"/>
      <c r="E532" s="53"/>
      <c r="F532" s="53"/>
      <c r="G532" s="53"/>
      <c r="H532" s="1"/>
      <c r="I532" s="1"/>
    </row>
    <row r="533" ht="14.25" customHeight="1">
      <c r="A533" s="52"/>
      <c r="B533" s="52"/>
      <c r="C533" s="53"/>
      <c r="D533" s="53"/>
      <c r="E533" s="53"/>
      <c r="F533" s="53"/>
      <c r="G533" s="53"/>
      <c r="H533" s="1"/>
      <c r="I533" s="1"/>
    </row>
    <row r="534" ht="14.25" customHeight="1">
      <c r="A534" s="52"/>
      <c r="B534" s="52"/>
      <c r="C534" s="53"/>
      <c r="D534" s="53"/>
      <c r="E534" s="53"/>
      <c r="F534" s="53"/>
      <c r="G534" s="53"/>
      <c r="H534" s="1"/>
      <c r="I534" s="1"/>
    </row>
    <row r="535" ht="14.25" customHeight="1">
      <c r="A535" s="52"/>
      <c r="B535" s="52"/>
      <c r="C535" s="53"/>
      <c r="D535" s="53"/>
      <c r="E535" s="53"/>
      <c r="F535" s="53"/>
      <c r="G535" s="53"/>
      <c r="H535" s="1"/>
      <c r="I535" s="1"/>
    </row>
    <row r="536" ht="14.25" customHeight="1">
      <c r="A536" s="52"/>
      <c r="B536" s="52"/>
      <c r="C536" s="53"/>
      <c r="D536" s="53"/>
      <c r="E536" s="53"/>
      <c r="F536" s="53"/>
      <c r="G536" s="53"/>
      <c r="H536" s="1"/>
      <c r="I536" s="1"/>
    </row>
    <row r="537" ht="14.25" customHeight="1">
      <c r="A537" s="52"/>
      <c r="B537" s="52"/>
      <c r="C537" s="53"/>
      <c r="D537" s="53"/>
      <c r="E537" s="53"/>
      <c r="F537" s="53"/>
      <c r="G537" s="53"/>
      <c r="H537" s="1"/>
      <c r="I537" s="1"/>
    </row>
    <row r="538" ht="14.25" customHeight="1">
      <c r="A538" s="52"/>
      <c r="B538" s="52"/>
      <c r="C538" s="53"/>
      <c r="D538" s="53"/>
      <c r="E538" s="53"/>
      <c r="F538" s="53"/>
      <c r="G538" s="53"/>
      <c r="H538" s="1"/>
      <c r="I538" s="1"/>
    </row>
    <row r="539" ht="14.25" customHeight="1">
      <c r="A539" s="52"/>
      <c r="B539" s="52"/>
      <c r="C539" s="53"/>
      <c r="D539" s="53"/>
      <c r="E539" s="53"/>
      <c r="F539" s="53"/>
      <c r="G539" s="53"/>
      <c r="H539" s="1"/>
      <c r="I539" s="1"/>
    </row>
    <row r="540" ht="14.25" customHeight="1">
      <c r="A540" s="52"/>
      <c r="B540" s="52"/>
      <c r="C540" s="53"/>
      <c r="D540" s="53"/>
      <c r="E540" s="53"/>
      <c r="F540" s="53"/>
      <c r="G540" s="53"/>
      <c r="H540" s="1"/>
      <c r="I540" s="1"/>
    </row>
    <row r="541" ht="14.25" customHeight="1">
      <c r="A541" s="52"/>
      <c r="B541" s="52"/>
      <c r="C541" s="53"/>
      <c r="D541" s="53"/>
      <c r="E541" s="53"/>
      <c r="F541" s="53"/>
      <c r="G541" s="53"/>
      <c r="H541" s="1"/>
      <c r="I541" s="1"/>
    </row>
    <row r="542" ht="14.25" customHeight="1">
      <c r="A542" s="52"/>
      <c r="B542" s="52"/>
      <c r="C542" s="53"/>
      <c r="D542" s="53"/>
      <c r="E542" s="53"/>
      <c r="F542" s="53"/>
      <c r="G542" s="53"/>
      <c r="H542" s="1"/>
      <c r="I542" s="1"/>
    </row>
    <row r="543" ht="14.25" customHeight="1">
      <c r="A543" s="52"/>
      <c r="B543" s="52"/>
      <c r="C543" s="53"/>
      <c r="D543" s="53"/>
      <c r="E543" s="53"/>
      <c r="F543" s="53"/>
      <c r="G543" s="53"/>
      <c r="H543" s="1"/>
      <c r="I543" s="1"/>
    </row>
    <row r="544" ht="14.25" customHeight="1">
      <c r="A544" s="52"/>
      <c r="B544" s="52"/>
      <c r="C544" s="53"/>
      <c r="D544" s="53"/>
      <c r="E544" s="53"/>
      <c r="F544" s="53"/>
      <c r="G544" s="53"/>
      <c r="H544" s="1"/>
      <c r="I544" s="1"/>
    </row>
    <row r="545" ht="14.25" customHeight="1">
      <c r="A545" s="52"/>
      <c r="B545" s="52"/>
      <c r="C545" s="53"/>
      <c r="D545" s="53"/>
      <c r="E545" s="53"/>
      <c r="F545" s="53"/>
      <c r="G545" s="53"/>
      <c r="H545" s="1"/>
      <c r="I545" s="1"/>
    </row>
    <row r="546" ht="14.25" customHeight="1">
      <c r="A546" s="52"/>
      <c r="B546" s="52"/>
      <c r="C546" s="53"/>
      <c r="D546" s="53"/>
      <c r="E546" s="53"/>
      <c r="F546" s="53"/>
      <c r="G546" s="53"/>
      <c r="H546" s="1"/>
      <c r="I546" s="1"/>
    </row>
    <row r="547" ht="14.25" customHeight="1">
      <c r="A547" s="52"/>
      <c r="B547" s="52"/>
      <c r="C547" s="53"/>
      <c r="D547" s="53"/>
      <c r="E547" s="53"/>
      <c r="F547" s="53"/>
      <c r="G547" s="53"/>
      <c r="H547" s="1"/>
      <c r="I547" s="1"/>
    </row>
    <row r="548" ht="14.25" customHeight="1">
      <c r="A548" s="52"/>
      <c r="B548" s="52"/>
      <c r="C548" s="53"/>
      <c r="D548" s="53"/>
      <c r="E548" s="53"/>
      <c r="F548" s="53"/>
      <c r="G548" s="53"/>
      <c r="H548" s="1"/>
      <c r="I548" s="1"/>
    </row>
    <row r="549" ht="14.25" customHeight="1">
      <c r="A549" s="52"/>
      <c r="B549" s="52"/>
      <c r="C549" s="53"/>
      <c r="D549" s="53"/>
      <c r="E549" s="53"/>
      <c r="F549" s="53"/>
      <c r="G549" s="53"/>
      <c r="H549" s="1"/>
      <c r="I549" s="1"/>
    </row>
    <row r="550" ht="14.25" customHeight="1">
      <c r="A550" s="52"/>
      <c r="B550" s="52"/>
      <c r="C550" s="53"/>
      <c r="D550" s="53"/>
      <c r="E550" s="53"/>
      <c r="F550" s="53"/>
      <c r="G550" s="53"/>
      <c r="H550" s="1"/>
      <c r="I550" s="1"/>
    </row>
    <row r="551" ht="14.25" customHeight="1">
      <c r="A551" s="52"/>
      <c r="B551" s="52"/>
      <c r="C551" s="53"/>
      <c r="D551" s="53"/>
      <c r="E551" s="53"/>
      <c r="F551" s="53"/>
      <c r="G551" s="53"/>
      <c r="H551" s="1"/>
      <c r="I551" s="1"/>
    </row>
    <row r="552" ht="14.25" customHeight="1">
      <c r="A552" s="52"/>
      <c r="B552" s="52"/>
      <c r="C552" s="53"/>
      <c r="D552" s="53"/>
      <c r="E552" s="53"/>
      <c r="F552" s="53"/>
      <c r="G552" s="53"/>
      <c r="H552" s="1"/>
      <c r="I552" s="1"/>
    </row>
    <row r="553" ht="14.25" customHeight="1">
      <c r="A553" s="52"/>
      <c r="B553" s="52"/>
      <c r="C553" s="53"/>
      <c r="D553" s="53"/>
      <c r="E553" s="53"/>
      <c r="F553" s="53"/>
      <c r="G553" s="53"/>
      <c r="H553" s="1"/>
      <c r="I553" s="1"/>
    </row>
    <row r="554" ht="14.25" customHeight="1">
      <c r="A554" s="52"/>
      <c r="B554" s="52"/>
      <c r="C554" s="53"/>
      <c r="D554" s="53"/>
      <c r="E554" s="53"/>
      <c r="F554" s="53"/>
      <c r="G554" s="53"/>
      <c r="H554" s="1"/>
      <c r="I554" s="1"/>
    </row>
    <row r="555" ht="14.25" customHeight="1">
      <c r="A555" s="52"/>
      <c r="B555" s="52"/>
      <c r="C555" s="53"/>
      <c r="D555" s="53"/>
      <c r="E555" s="53"/>
      <c r="F555" s="53"/>
      <c r="G555" s="53"/>
      <c r="H555" s="1"/>
      <c r="I555" s="1"/>
    </row>
    <row r="556" ht="14.25" customHeight="1">
      <c r="A556" s="52"/>
      <c r="B556" s="52"/>
      <c r="C556" s="53"/>
      <c r="D556" s="53"/>
      <c r="E556" s="53"/>
      <c r="F556" s="53"/>
      <c r="G556" s="53"/>
      <c r="H556" s="1"/>
      <c r="I556" s="1"/>
    </row>
    <row r="557" ht="14.25" customHeight="1">
      <c r="A557" s="52"/>
      <c r="B557" s="52"/>
      <c r="C557" s="53"/>
      <c r="D557" s="53"/>
      <c r="E557" s="53"/>
      <c r="F557" s="53"/>
      <c r="G557" s="53"/>
      <c r="H557" s="1"/>
      <c r="I557" s="1"/>
    </row>
    <row r="558" ht="14.25" customHeight="1">
      <c r="A558" s="52"/>
      <c r="B558" s="52"/>
      <c r="C558" s="53"/>
      <c r="D558" s="53"/>
      <c r="E558" s="53"/>
      <c r="F558" s="53"/>
      <c r="G558" s="53"/>
      <c r="H558" s="1"/>
      <c r="I558" s="1"/>
    </row>
    <row r="559" ht="14.25" customHeight="1">
      <c r="A559" s="52"/>
      <c r="B559" s="52"/>
      <c r="C559" s="53"/>
      <c r="D559" s="53"/>
      <c r="E559" s="53"/>
      <c r="F559" s="53"/>
      <c r="G559" s="53"/>
      <c r="H559" s="1"/>
      <c r="I559" s="1"/>
    </row>
    <row r="560" ht="14.25" customHeight="1">
      <c r="A560" s="52"/>
      <c r="B560" s="52"/>
      <c r="C560" s="53"/>
      <c r="D560" s="53"/>
      <c r="E560" s="53"/>
      <c r="F560" s="53"/>
      <c r="G560" s="53"/>
      <c r="H560" s="1"/>
      <c r="I560" s="1"/>
    </row>
    <row r="561" ht="14.25" customHeight="1">
      <c r="A561" s="52"/>
      <c r="B561" s="52"/>
      <c r="C561" s="53"/>
      <c r="D561" s="53"/>
      <c r="E561" s="53"/>
      <c r="F561" s="53"/>
      <c r="G561" s="53"/>
      <c r="H561" s="1"/>
      <c r="I561" s="1"/>
    </row>
    <row r="562" ht="14.25" customHeight="1">
      <c r="A562" s="52"/>
      <c r="B562" s="52"/>
      <c r="C562" s="53"/>
      <c r="D562" s="53"/>
      <c r="E562" s="53"/>
      <c r="F562" s="53"/>
      <c r="G562" s="53"/>
      <c r="H562" s="1"/>
      <c r="I562" s="1"/>
    </row>
    <row r="563" ht="14.25" customHeight="1">
      <c r="A563" s="52"/>
      <c r="B563" s="52"/>
      <c r="C563" s="53"/>
      <c r="D563" s="53"/>
      <c r="E563" s="53"/>
      <c r="F563" s="53"/>
      <c r="G563" s="53"/>
      <c r="H563" s="1"/>
      <c r="I563" s="1"/>
    </row>
    <row r="564" ht="14.25" customHeight="1">
      <c r="A564" s="52"/>
      <c r="B564" s="52"/>
      <c r="C564" s="53"/>
      <c r="D564" s="53"/>
      <c r="E564" s="53"/>
      <c r="F564" s="53"/>
      <c r="G564" s="53"/>
      <c r="H564" s="1"/>
      <c r="I564" s="1"/>
    </row>
    <row r="565" ht="14.25" customHeight="1">
      <c r="A565" s="52"/>
      <c r="B565" s="52"/>
      <c r="C565" s="53"/>
      <c r="D565" s="53"/>
      <c r="E565" s="53"/>
      <c r="F565" s="53"/>
      <c r="G565" s="53"/>
      <c r="H565" s="1"/>
      <c r="I565" s="1"/>
    </row>
    <row r="566" ht="14.25" customHeight="1">
      <c r="A566" s="52"/>
      <c r="B566" s="52"/>
      <c r="C566" s="53"/>
      <c r="D566" s="53"/>
      <c r="E566" s="53"/>
      <c r="F566" s="53"/>
      <c r="G566" s="53"/>
      <c r="H566" s="1"/>
      <c r="I566" s="1"/>
    </row>
    <row r="567" ht="14.25" customHeight="1">
      <c r="A567" s="52"/>
      <c r="B567" s="52"/>
      <c r="C567" s="53"/>
      <c r="D567" s="53"/>
      <c r="E567" s="53"/>
      <c r="F567" s="53"/>
      <c r="G567" s="53"/>
      <c r="H567" s="1"/>
      <c r="I567" s="1"/>
    </row>
    <row r="568" ht="14.25" customHeight="1">
      <c r="A568" s="52"/>
      <c r="B568" s="52"/>
      <c r="C568" s="53"/>
      <c r="D568" s="53"/>
      <c r="E568" s="53"/>
      <c r="F568" s="53"/>
      <c r="G568" s="53"/>
      <c r="H568" s="1"/>
      <c r="I568" s="1"/>
    </row>
    <row r="569" ht="14.25" customHeight="1">
      <c r="A569" s="52"/>
      <c r="B569" s="52"/>
      <c r="C569" s="53"/>
      <c r="D569" s="53"/>
      <c r="E569" s="53"/>
      <c r="F569" s="53"/>
      <c r="G569" s="53"/>
      <c r="H569" s="1"/>
      <c r="I569" s="1"/>
    </row>
    <row r="570" ht="14.25" customHeight="1">
      <c r="A570" s="52"/>
      <c r="B570" s="52"/>
      <c r="C570" s="53"/>
      <c r="D570" s="53"/>
      <c r="E570" s="53"/>
      <c r="F570" s="53"/>
      <c r="G570" s="53"/>
      <c r="H570" s="1"/>
      <c r="I570" s="1"/>
    </row>
    <row r="571" ht="14.25" customHeight="1">
      <c r="A571" s="52"/>
      <c r="B571" s="52"/>
      <c r="C571" s="53"/>
      <c r="D571" s="53"/>
      <c r="E571" s="53"/>
      <c r="F571" s="53"/>
      <c r="G571" s="53"/>
      <c r="H571" s="1"/>
      <c r="I571" s="1"/>
    </row>
    <row r="572" ht="14.25" customHeight="1">
      <c r="A572" s="52"/>
      <c r="B572" s="52"/>
      <c r="C572" s="53"/>
      <c r="D572" s="53"/>
      <c r="E572" s="53"/>
      <c r="F572" s="53"/>
      <c r="G572" s="53"/>
      <c r="H572" s="1"/>
      <c r="I572" s="1"/>
    </row>
    <row r="573" ht="14.25" customHeight="1">
      <c r="A573" s="52"/>
      <c r="B573" s="52"/>
      <c r="C573" s="53"/>
      <c r="D573" s="53"/>
      <c r="E573" s="53"/>
      <c r="F573" s="53"/>
      <c r="G573" s="53"/>
      <c r="H573" s="1"/>
      <c r="I573" s="1"/>
    </row>
    <row r="574" ht="14.25" customHeight="1">
      <c r="A574" s="52"/>
      <c r="B574" s="52"/>
      <c r="C574" s="53"/>
      <c r="D574" s="53"/>
      <c r="E574" s="53"/>
      <c r="F574" s="53"/>
      <c r="G574" s="53"/>
      <c r="H574" s="1"/>
      <c r="I574" s="1"/>
    </row>
    <row r="575" ht="14.25" customHeight="1">
      <c r="A575" s="52"/>
      <c r="B575" s="52"/>
      <c r="C575" s="53"/>
      <c r="D575" s="53"/>
      <c r="E575" s="53"/>
      <c r="F575" s="53"/>
      <c r="G575" s="53"/>
      <c r="H575" s="1"/>
      <c r="I575" s="1"/>
    </row>
    <row r="576" ht="14.25" customHeight="1">
      <c r="A576" s="52"/>
      <c r="B576" s="52"/>
      <c r="C576" s="53"/>
      <c r="D576" s="53"/>
      <c r="E576" s="53"/>
      <c r="F576" s="53"/>
      <c r="G576" s="53"/>
      <c r="H576" s="1"/>
      <c r="I576" s="1"/>
    </row>
    <row r="577" ht="14.25" customHeight="1">
      <c r="A577" s="52"/>
      <c r="B577" s="52"/>
      <c r="C577" s="53"/>
      <c r="D577" s="53"/>
      <c r="E577" s="53"/>
      <c r="F577" s="53"/>
      <c r="G577" s="53"/>
      <c r="H577" s="1"/>
      <c r="I577" s="1"/>
    </row>
    <row r="578" ht="14.25" customHeight="1">
      <c r="A578" s="52"/>
      <c r="B578" s="52"/>
      <c r="C578" s="53"/>
      <c r="D578" s="53"/>
      <c r="E578" s="53"/>
      <c r="F578" s="53"/>
      <c r="G578" s="53"/>
      <c r="H578" s="1"/>
      <c r="I578" s="1"/>
    </row>
    <row r="579" ht="14.25" customHeight="1">
      <c r="A579" s="52"/>
      <c r="B579" s="52"/>
      <c r="C579" s="53"/>
      <c r="D579" s="53"/>
      <c r="E579" s="53"/>
      <c r="F579" s="53"/>
      <c r="G579" s="53"/>
      <c r="H579" s="1"/>
      <c r="I579" s="1"/>
    </row>
    <row r="580" ht="14.25" customHeight="1">
      <c r="A580" s="52"/>
      <c r="B580" s="52"/>
      <c r="C580" s="53"/>
      <c r="D580" s="53"/>
      <c r="E580" s="53"/>
      <c r="F580" s="53"/>
      <c r="G580" s="53"/>
      <c r="H580" s="1"/>
      <c r="I580" s="1"/>
    </row>
    <row r="581" ht="14.25" customHeight="1">
      <c r="A581" s="52"/>
      <c r="B581" s="52"/>
      <c r="C581" s="53"/>
      <c r="D581" s="53"/>
      <c r="E581" s="53"/>
      <c r="F581" s="53"/>
      <c r="G581" s="53"/>
      <c r="H581" s="1"/>
      <c r="I581" s="1"/>
    </row>
    <row r="582" ht="14.25" customHeight="1">
      <c r="A582" s="52"/>
      <c r="B582" s="52"/>
      <c r="C582" s="53"/>
      <c r="D582" s="53"/>
      <c r="E582" s="53"/>
      <c r="F582" s="53"/>
      <c r="G582" s="53"/>
      <c r="H582" s="1"/>
      <c r="I582" s="1"/>
    </row>
    <row r="583" ht="14.25" customHeight="1">
      <c r="A583" s="52"/>
      <c r="B583" s="52"/>
      <c r="C583" s="53"/>
      <c r="D583" s="53"/>
      <c r="E583" s="53"/>
      <c r="F583" s="53"/>
      <c r="G583" s="53"/>
      <c r="H583" s="1"/>
      <c r="I583" s="1"/>
    </row>
    <row r="584" ht="14.25" customHeight="1">
      <c r="A584" s="52"/>
      <c r="B584" s="52"/>
      <c r="C584" s="53"/>
      <c r="D584" s="53"/>
      <c r="E584" s="53"/>
      <c r="F584" s="53"/>
      <c r="G584" s="53"/>
      <c r="H584" s="1"/>
      <c r="I584" s="1"/>
    </row>
    <row r="585" ht="14.25" customHeight="1">
      <c r="A585" s="52"/>
      <c r="B585" s="52"/>
      <c r="C585" s="53"/>
      <c r="D585" s="53"/>
      <c r="E585" s="53"/>
      <c r="F585" s="53"/>
      <c r="G585" s="53"/>
      <c r="H585" s="1"/>
      <c r="I585" s="1"/>
    </row>
    <row r="586" ht="14.25" customHeight="1">
      <c r="A586" s="52"/>
      <c r="B586" s="52"/>
      <c r="C586" s="53"/>
      <c r="D586" s="53"/>
      <c r="E586" s="53"/>
      <c r="F586" s="53"/>
      <c r="G586" s="53"/>
      <c r="H586" s="1"/>
      <c r="I586" s="1"/>
    </row>
    <row r="587" ht="14.25" customHeight="1">
      <c r="A587" s="52"/>
      <c r="B587" s="52"/>
      <c r="C587" s="53"/>
      <c r="D587" s="53"/>
      <c r="E587" s="53"/>
      <c r="F587" s="53"/>
      <c r="G587" s="53"/>
      <c r="H587" s="1"/>
      <c r="I587" s="1"/>
    </row>
    <row r="588" ht="14.25" customHeight="1">
      <c r="A588" s="52"/>
      <c r="B588" s="52"/>
      <c r="C588" s="53"/>
      <c r="D588" s="53"/>
      <c r="E588" s="53"/>
      <c r="F588" s="53"/>
      <c r="G588" s="53"/>
      <c r="H588" s="1"/>
      <c r="I588" s="1"/>
    </row>
    <row r="589" ht="14.25" customHeight="1">
      <c r="A589" s="52"/>
      <c r="B589" s="52"/>
      <c r="C589" s="53"/>
      <c r="D589" s="53"/>
      <c r="E589" s="53"/>
      <c r="F589" s="53"/>
      <c r="G589" s="53"/>
      <c r="H589" s="1"/>
      <c r="I589" s="1"/>
    </row>
    <row r="590" ht="14.25" customHeight="1">
      <c r="A590" s="52"/>
      <c r="B590" s="52"/>
      <c r="C590" s="53"/>
      <c r="D590" s="53"/>
      <c r="E590" s="53"/>
      <c r="F590" s="53"/>
      <c r="G590" s="53"/>
      <c r="H590" s="1"/>
      <c r="I590" s="1"/>
    </row>
    <row r="591" ht="14.25" customHeight="1">
      <c r="A591" s="52"/>
      <c r="B591" s="52"/>
      <c r="C591" s="53"/>
      <c r="D591" s="53"/>
      <c r="E591" s="53"/>
      <c r="F591" s="53"/>
      <c r="G591" s="53"/>
      <c r="H591" s="1"/>
      <c r="I591" s="1"/>
    </row>
    <row r="592" ht="14.25" customHeight="1">
      <c r="A592" s="52"/>
      <c r="B592" s="52"/>
      <c r="C592" s="53"/>
      <c r="D592" s="53"/>
      <c r="E592" s="53"/>
      <c r="F592" s="53"/>
      <c r="G592" s="53"/>
      <c r="H592" s="1"/>
      <c r="I592" s="1"/>
    </row>
    <row r="593" ht="14.25" customHeight="1">
      <c r="A593" s="52"/>
      <c r="B593" s="52"/>
      <c r="C593" s="53"/>
      <c r="D593" s="53"/>
      <c r="E593" s="53"/>
      <c r="F593" s="53"/>
      <c r="G593" s="53"/>
      <c r="H593" s="1"/>
      <c r="I593" s="1"/>
    </row>
    <row r="594" ht="14.25" customHeight="1">
      <c r="A594" s="52"/>
      <c r="B594" s="52"/>
      <c r="C594" s="53"/>
      <c r="D594" s="53"/>
      <c r="E594" s="53"/>
      <c r="F594" s="53"/>
      <c r="G594" s="53"/>
      <c r="H594" s="1"/>
      <c r="I594" s="1"/>
    </row>
    <row r="595" ht="14.25" customHeight="1">
      <c r="A595" s="52"/>
      <c r="B595" s="52"/>
      <c r="C595" s="53"/>
      <c r="D595" s="53"/>
      <c r="E595" s="53"/>
      <c r="F595" s="53"/>
      <c r="G595" s="53"/>
      <c r="H595" s="1"/>
      <c r="I595" s="1"/>
    </row>
    <row r="596" ht="14.25" customHeight="1">
      <c r="A596" s="52"/>
      <c r="B596" s="52"/>
      <c r="C596" s="53"/>
      <c r="D596" s="53"/>
      <c r="E596" s="53"/>
      <c r="F596" s="53"/>
      <c r="G596" s="53"/>
      <c r="H596" s="1"/>
      <c r="I596" s="1"/>
    </row>
    <row r="597" ht="14.25" customHeight="1">
      <c r="A597" s="52"/>
      <c r="B597" s="52"/>
      <c r="C597" s="53"/>
      <c r="D597" s="53"/>
      <c r="E597" s="53"/>
      <c r="F597" s="53"/>
      <c r="G597" s="53"/>
      <c r="H597" s="1"/>
      <c r="I597" s="1"/>
    </row>
    <row r="598" ht="14.25" customHeight="1">
      <c r="A598" s="52"/>
      <c r="B598" s="52"/>
      <c r="C598" s="53"/>
      <c r="D598" s="53"/>
      <c r="E598" s="53"/>
      <c r="F598" s="53"/>
      <c r="G598" s="53"/>
      <c r="H598" s="1"/>
      <c r="I598" s="1"/>
    </row>
    <row r="599" ht="14.25" customHeight="1">
      <c r="A599" s="52"/>
      <c r="B599" s="52"/>
      <c r="C599" s="53"/>
      <c r="D599" s="53"/>
      <c r="E599" s="53"/>
      <c r="F599" s="53"/>
      <c r="G599" s="53"/>
      <c r="H599" s="1"/>
      <c r="I599" s="1"/>
    </row>
    <row r="600" ht="14.25" customHeight="1">
      <c r="A600" s="52"/>
      <c r="B600" s="52"/>
      <c r="C600" s="53"/>
      <c r="D600" s="53"/>
      <c r="E600" s="53"/>
      <c r="F600" s="53"/>
      <c r="G600" s="53"/>
      <c r="H600" s="1"/>
      <c r="I600" s="1"/>
    </row>
    <row r="601" ht="14.25" customHeight="1">
      <c r="A601" s="52"/>
      <c r="B601" s="52"/>
      <c r="C601" s="53"/>
      <c r="D601" s="53"/>
      <c r="E601" s="53"/>
      <c r="F601" s="53"/>
      <c r="G601" s="53"/>
      <c r="H601" s="1"/>
      <c r="I601" s="1"/>
    </row>
    <row r="602" ht="14.25" customHeight="1">
      <c r="A602" s="52"/>
      <c r="B602" s="52"/>
      <c r="C602" s="53"/>
      <c r="D602" s="53"/>
      <c r="E602" s="53"/>
      <c r="F602" s="53"/>
      <c r="G602" s="53"/>
      <c r="H602" s="1"/>
      <c r="I602" s="1"/>
    </row>
    <row r="603" ht="14.25" customHeight="1">
      <c r="A603" s="52"/>
      <c r="B603" s="52"/>
      <c r="C603" s="53"/>
      <c r="D603" s="53"/>
      <c r="E603" s="53"/>
      <c r="F603" s="53"/>
      <c r="G603" s="53"/>
      <c r="H603" s="1"/>
      <c r="I603" s="1"/>
    </row>
    <row r="604" ht="14.25" customHeight="1">
      <c r="A604" s="52"/>
      <c r="B604" s="52"/>
      <c r="C604" s="53"/>
      <c r="D604" s="53"/>
      <c r="E604" s="53"/>
      <c r="F604" s="53"/>
      <c r="G604" s="53"/>
      <c r="H604" s="1"/>
      <c r="I604" s="1"/>
    </row>
    <row r="605" ht="14.25" customHeight="1">
      <c r="A605" s="52"/>
      <c r="B605" s="52"/>
      <c r="C605" s="53"/>
      <c r="D605" s="53"/>
      <c r="E605" s="53"/>
      <c r="F605" s="53"/>
      <c r="G605" s="53"/>
      <c r="H605" s="1"/>
      <c r="I605" s="1"/>
    </row>
    <row r="606" ht="14.25" customHeight="1">
      <c r="A606" s="52"/>
      <c r="B606" s="52"/>
      <c r="C606" s="53"/>
      <c r="D606" s="53"/>
      <c r="E606" s="53"/>
      <c r="F606" s="53"/>
      <c r="G606" s="53"/>
      <c r="H606" s="1"/>
      <c r="I606" s="1"/>
    </row>
    <row r="607" ht="14.25" customHeight="1">
      <c r="A607" s="52"/>
      <c r="B607" s="52"/>
      <c r="C607" s="53"/>
      <c r="D607" s="53"/>
      <c r="E607" s="53"/>
      <c r="F607" s="53"/>
      <c r="G607" s="53"/>
      <c r="H607" s="1"/>
      <c r="I607" s="1"/>
    </row>
    <row r="608" ht="14.25" customHeight="1">
      <c r="A608" s="52"/>
      <c r="B608" s="52"/>
      <c r="C608" s="53"/>
      <c r="D608" s="53"/>
      <c r="E608" s="53"/>
      <c r="F608" s="53"/>
      <c r="G608" s="53"/>
      <c r="H608" s="1"/>
      <c r="I608" s="1"/>
    </row>
    <row r="609" ht="14.25" customHeight="1">
      <c r="A609" s="52"/>
      <c r="B609" s="52"/>
      <c r="C609" s="53"/>
      <c r="D609" s="53"/>
      <c r="E609" s="53"/>
      <c r="F609" s="53"/>
      <c r="G609" s="53"/>
      <c r="H609" s="1"/>
      <c r="I609" s="1"/>
    </row>
    <row r="610" ht="14.25" customHeight="1">
      <c r="A610" s="52"/>
      <c r="B610" s="52"/>
      <c r="C610" s="53"/>
      <c r="D610" s="53"/>
      <c r="E610" s="53"/>
      <c r="F610" s="53"/>
      <c r="G610" s="53"/>
      <c r="H610" s="1"/>
      <c r="I610" s="1"/>
    </row>
    <row r="611" ht="14.25" customHeight="1">
      <c r="A611" s="52"/>
      <c r="B611" s="52"/>
      <c r="C611" s="53"/>
      <c r="D611" s="53"/>
      <c r="E611" s="53"/>
      <c r="F611" s="53"/>
      <c r="G611" s="53"/>
      <c r="H611" s="1"/>
      <c r="I611" s="1"/>
    </row>
    <row r="612" ht="14.25" customHeight="1">
      <c r="A612" s="52"/>
      <c r="B612" s="52"/>
      <c r="C612" s="53"/>
      <c r="D612" s="53"/>
      <c r="E612" s="53"/>
      <c r="F612" s="53"/>
      <c r="G612" s="53"/>
      <c r="H612" s="1"/>
      <c r="I612" s="1"/>
    </row>
    <row r="613" ht="14.25" customHeight="1">
      <c r="A613" s="52"/>
      <c r="B613" s="52"/>
      <c r="C613" s="53"/>
      <c r="D613" s="53"/>
      <c r="E613" s="53"/>
      <c r="F613" s="53"/>
      <c r="G613" s="53"/>
      <c r="H613" s="1"/>
      <c r="I613" s="1"/>
    </row>
    <row r="614" ht="14.25" customHeight="1">
      <c r="A614" s="52"/>
      <c r="B614" s="52"/>
      <c r="C614" s="53"/>
      <c r="D614" s="53"/>
      <c r="E614" s="53"/>
      <c r="F614" s="53"/>
      <c r="G614" s="53"/>
      <c r="H614" s="1"/>
      <c r="I614" s="1"/>
    </row>
    <row r="615" ht="14.25" customHeight="1">
      <c r="A615" s="52"/>
      <c r="B615" s="52"/>
      <c r="C615" s="53"/>
      <c r="D615" s="53"/>
      <c r="E615" s="53"/>
      <c r="F615" s="53"/>
      <c r="G615" s="53"/>
      <c r="H615" s="1"/>
      <c r="I615" s="1"/>
    </row>
    <row r="616" ht="14.25" customHeight="1">
      <c r="A616" s="52"/>
      <c r="B616" s="52"/>
      <c r="C616" s="53"/>
      <c r="D616" s="53"/>
      <c r="E616" s="53"/>
      <c r="F616" s="53"/>
      <c r="G616" s="53"/>
      <c r="H616" s="1"/>
      <c r="I616" s="1"/>
    </row>
    <row r="617" ht="14.25" customHeight="1">
      <c r="A617" s="52"/>
      <c r="B617" s="52"/>
      <c r="C617" s="53"/>
      <c r="D617" s="53"/>
      <c r="E617" s="53"/>
      <c r="F617" s="53"/>
      <c r="G617" s="53"/>
      <c r="H617" s="1"/>
      <c r="I617" s="1"/>
    </row>
    <row r="618" ht="14.25" customHeight="1">
      <c r="A618" s="52"/>
      <c r="B618" s="52"/>
      <c r="C618" s="53"/>
      <c r="D618" s="53"/>
      <c r="E618" s="53"/>
      <c r="F618" s="53"/>
      <c r="G618" s="53"/>
      <c r="H618" s="1"/>
      <c r="I618" s="1"/>
    </row>
    <row r="619" ht="14.25" customHeight="1">
      <c r="A619" s="52"/>
      <c r="B619" s="52"/>
      <c r="C619" s="53"/>
      <c r="D619" s="53"/>
      <c r="E619" s="53"/>
      <c r="F619" s="53"/>
      <c r="G619" s="53"/>
      <c r="H619" s="1"/>
      <c r="I619" s="1"/>
    </row>
    <row r="620" ht="14.25" customHeight="1">
      <c r="A620" s="52"/>
      <c r="B620" s="52"/>
      <c r="C620" s="53"/>
      <c r="D620" s="53"/>
      <c r="E620" s="53"/>
      <c r="F620" s="53"/>
      <c r="G620" s="53"/>
      <c r="H620" s="1"/>
      <c r="I620" s="1"/>
    </row>
    <row r="621" ht="14.25" customHeight="1">
      <c r="A621" s="52"/>
      <c r="B621" s="52"/>
      <c r="C621" s="53"/>
      <c r="D621" s="53"/>
      <c r="E621" s="53"/>
      <c r="F621" s="53"/>
      <c r="G621" s="53"/>
      <c r="H621" s="1"/>
      <c r="I621" s="1"/>
    </row>
    <row r="622" ht="14.25" customHeight="1">
      <c r="A622" s="52"/>
      <c r="B622" s="52"/>
      <c r="C622" s="53"/>
      <c r="D622" s="53"/>
      <c r="E622" s="53"/>
      <c r="F622" s="53"/>
      <c r="G622" s="53"/>
      <c r="H622" s="1"/>
      <c r="I622" s="1"/>
    </row>
    <row r="623" ht="14.25" customHeight="1">
      <c r="A623" s="52"/>
      <c r="B623" s="52"/>
      <c r="C623" s="53"/>
      <c r="D623" s="53"/>
      <c r="E623" s="53"/>
      <c r="F623" s="53"/>
      <c r="G623" s="53"/>
      <c r="H623" s="1"/>
      <c r="I623" s="1"/>
    </row>
    <row r="624" ht="14.25" customHeight="1">
      <c r="A624" s="52"/>
      <c r="B624" s="52"/>
      <c r="C624" s="53"/>
      <c r="D624" s="53"/>
      <c r="E624" s="53"/>
      <c r="F624" s="53"/>
      <c r="G624" s="53"/>
      <c r="H624" s="1"/>
      <c r="I624" s="1"/>
    </row>
    <row r="625" ht="14.25" customHeight="1">
      <c r="A625" s="52"/>
      <c r="B625" s="52"/>
      <c r="C625" s="53"/>
      <c r="D625" s="53"/>
      <c r="E625" s="53"/>
      <c r="F625" s="53"/>
      <c r="G625" s="53"/>
      <c r="H625" s="1"/>
      <c r="I625" s="1"/>
    </row>
    <row r="626" ht="14.25" customHeight="1">
      <c r="A626" s="52"/>
      <c r="B626" s="52"/>
      <c r="C626" s="53"/>
      <c r="D626" s="53"/>
      <c r="E626" s="53"/>
      <c r="F626" s="53"/>
      <c r="G626" s="53"/>
      <c r="H626" s="1"/>
      <c r="I626" s="1"/>
    </row>
    <row r="627" ht="14.25" customHeight="1">
      <c r="A627" s="52"/>
      <c r="B627" s="52"/>
      <c r="C627" s="53"/>
      <c r="D627" s="53"/>
      <c r="E627" s="53"/>
      <c r="F627" s="53"/>
      <c r="G627" s="53"/>
      <c r="H627" s="1"/>
      <c r="I627" s="1"/>
    </row>
    <row r="628" ht="14.25" customHeight="1">
      <c r="A628" s="52"/>
      <c r="B628" s="52"/>
      <c r="C628" s="53"/>
      <c r="D628" s="53"/>
      <c r="E628" s="53"/>
      <c r="F628" s="53"/>
      <c r="G628" s="53"/>
      <c r="H628" s="1"/>
      <c r="I628" s="1"/>
    </row>
    <row r="629" ht="14.25" customHeight="1">
      <c r="A629" s="52"/>
      <c r="B629" s="52"/>
      <c r="C629" s="53"/>
      <c r="D629" s="53"/>
      <c r="E629" s="53"/>
      <c r="F629" s="53"/>
      <c r="G629" s="53"/>
      <c r="H629" s="1"/>
      <c r="I629" s="1"/>
    </row>
    <row r="630" ht="14.25" customHeight="1">
      <c r="A630" s="52"/>
      <c r="B630" s="52"/>
      <c r="C630" s="53"/>
      <c r="D630" s="53"/>
      <c r="E630" s="53"/>
      <c r="F630" s="53"/>
      <c r="G630" s="53"/>
      <c r="H630" s="1"/>
      <c r="I630" s="1"/>
    </row>
    <row r="631" ht="14.25" customHeight="1">
      <c r="A631" s="52"/>
      <c r="B631" s="52"/>
      <c r="C631" s="53"/>
      <c r="D631" s="53"/>
      <c r="E631" s="53"/>
      <c r="F631" s="53"/>
      <c r="G631" s="53"/>
      <c r="H631" s="1"/>
      <c r="I631" s="1"/>
    </row>
    <row r="632" ht="14.25" customHeight="1">
      <c r="A632" s="52"/>
      <c r="B632" s="52"/>
      <c r="C632" s="53"/>
      <c r="D632" s="53"/>
      <c r="E632" s="53"/>
      <c r="F632" s="53"/>
      <c r="G632" s="53"/>
      <c r="H632" s="1"/>
      <c r="I632" s="1"/>
    </row>
    <row r="633" ht="14.25" customHeight="1">
      <c r="A633" s="52"/>
      <c r="B633" s="52"/>
      <c r="C633" s="53"/>
      <c r="D633" s="53"/>
      <c r="E633" s="53"/>
      <c r="F633" s="53"/>
      <c r="G633" s="53"/>
      <c r="H633" s="1"/>
      <c r="I633" s="1"/>
    </row>
    <row r="634" ht="14.25" customHeight="1">
      <c r="A634" s="52"/>
      <c r="B634" s="52"/>
      <c r="C634" s="53"/>
      <c r="D634" s="53"/>
      <c r="E634" s="53"/>
      <c r="F634" s="53"/>
      <c r="G634" s="53"/>
      <c r="H634" s="1"/>
      <c r="I634" s="1"/>
    </row>
    <row r="635" ht="14.25" customHeight="1">
      <c r="A635" s="52"/>
      <c r="B635" s="52"/>
      <c r="C635" s="53"/>
      <c r="D635" s="53"/>
      <c r="E635" s="53"/>
      <c r="F635" s="53"/>
      <c r="G635" s="53"/>
      <c r="H635" s="1"/>
      <c r="I635" s="1"/>
    </row>
    <row r="636" ht="14.25" customHeight="1">
      <c r="A636" s="52"/>
      <c r="B636" s="52"/>
      <c r="C636" s="53"/>
      <c r="D636" s="53"/>
      <c r="E636" s="53"/>
      <c r="F636" s="53"/>
      <c r="G636" s="53"/>
      <c r="H636" s="1"/>
      <c r="I636" s="1"/>
    </row>
    <row r="637" ht="14.25" customHeight="1">
      <c r="A637" s="52"/>
      <c r="B637" s="52"/>
      <c r="C637" s="53"/>
      <c r="D637" s="53"/>
      <c r="E637" s="53"/>
      <c r="F637" s="53"/>
      <c r="G637" s="53"/>
      <c r="H637" s="1"/>
      <c r="I637" s="1"/>
    </row>
    <row r="638" ht="14.25" customHeight="1">
      <c r="A638" s="52"/>
      <c r="B638" s="52"/>
      <c r="C638" s="53"/>
      <c r="D638" s="53"/>
      <c r="E638" s="53"/>
      <c r="F638" s="53"/>
      <c r="G638" s="53"/>
      <c r="H638" s="1"/>
      <c r="I638" s="1"/>
    </row>
    <row r="639" ht="14.25" customHeight="1">
      <c r="A639" s="52"/>
      <c r="B639" s="52"/>
      <c r="C639" s="53"/>
      <c r="D639" s="53"/>
      <c r="E639" s="53"/>
      <c r="F639" s="53"/>
      <c r="G639" s="53"/>
      <c r="H639" s="1"/>
      <c r="I639" s="1"/>
    </row>
    <row r="640" ht="14.25" customHeight="1">
      <c r="A640" s="52"/>
      <c r="B640" s="52"/>
      <c r="C640" s="53"/>
      <c r="D640" s="53"/>
      <c r="E640" s="53"/>
      <c r="F640" s="53"/>
      <c r="G640" s="53"/>
      <c r="H640" s="1"/>
      <c r="I640" s="1"/>
    </row>
    <row r="641" ht="14.25" customHeight="1">
      <c r="A641" s="52"/>
      <c r="B641" s="52"/>
      <c r="C641" s="53"/>
      <c r="D641" s="53"/>
      <c r="E641" s="53"/>
      <c r="F641" s="53"/>
      <c r="G641" s="53"/>
      <c r="H641" s="1"/>
      <c r="I641" s="1"/>
    </row>
    <row r="642" ht="14.25" customHeight="1">
      <c r="A642" s="52"/>
      <c r="B642" s="52"/>
      <c r="C642" s="53"/>
      <c r="D642" s="53"/>
      <c r="E642" s="53"/>
      <c r="F642" s="53"/>
      <c r="G642" s="53"/>
      <c r="H642" s="1"/>
      <c r="I642" s="1"/>
    </row>
    <row r="643" ht="14.25" customHeight="1">
      <c r="A643" s="52"/>
      <c r="B643" s="52"/>
      <c r="C643" s="53"/>
      <c r="D643" s="53"/>
      <c r="E643" s="53"/>
      <c r="F643" s="53"/>
      <c r="G643" s="53"/>
      <c r="H643" s="1"/>
      <c r="I643" s="1"/>
    </row>
    <row r="644" ht="14.25" customHeight="1">
      <c r="A644" s="52"/>
      <c r="B644" s="52"/>
      <c r="C644" s="53"/>
      <c r="D644" s="53"/>
      <c r="E644" s="53"/>
      <c r="F644" s="53"/>
      <c r="G644" s="53"/>
      <c r="H644" s="1"/>
      <c r="I644" s="1"/>
    </row>
    <row r="645" ht="14.25" customHeight="1">
      <c r="A645" s="52"/>
      <c r="B645" s="52"/>
      <c r="C645" s="53"/>
      <c r="D645" s="53"/>
      <c r="E645" s="53"/>
      <c r="F645" s="53"/>
      <c r="G645" s="53"/>
      <c r="H645" s="1"/>
      <c r="I645" s="1"/>
    </row>
    <row r="646" ht="14.25" customHeight="1">
      <c r="A646" s="52"/>
      <c r="B646" s="52"/>
      <c r="C646" s="53"/>
      <c r="D646" s="53"/>
      <c r="E646" s="53"/>
      <c r="F646" s="53"/>
      <c r="G646" s="53"/>
      <c r="H646" s="1"/>
      <c r="I646" s="1"/>
    </row>
    <row r="647" ht="14.25" customHeight="1">
      <c r="A647" s="52"/>
      <c r="B647" s="52"/>
      <c r="C647" s="53"/>
      <c r="D647" s="53"/>
      <c r="E647" s="53"/>
      <c r="F647" s="53"/>
      <c r="G647" s="53"/>
      <c r="H647" s="1"/>
      <c r="I647" s="1"/>
    </row>
    <row r="648" ht="14.25" customHeight="1">
      <c r="A648" s="52"/>
      <c r="B648" s="52"/>
      <c r="C648" s="53"/>
      <c r="D648" s="53"/>
      <c r="E648" s="53"/>
      <c r="F648" s="53"/>
      <c r="G648" s="53"/>
      <c r="H648" s="1"/>
      <c r="I648" s="1"/>
    </row>
    <row r="649" ht="14.25" customHeight="1">
      <c r="A649" s="52"/>
      <c r="B649" s="52"/>
      <c r="C649" s="53"/>
      <c r="D649" s="53"/>
      <c r="E649" s="53"/>
      <c r="F649" s="53"/>
      <c r="G649" s="53"/>
      <c r="H649" s="1"/>
      <c r="I649" s="1"/>
    </row>
    <row r="650" ht="14.25" customHeight="1">
      <c r="A650" s="52"/>
      <c r="B650" s="52"/>
      <c r="C650" s="53"/>
      <c r="D650" s="53"/>
      <c r="E650" s="53"/>
      <c r="F650" s="53"/>
      <c r="G650" s="53"/>
      <c r="H650" s="1"/>
      <c r="I650" s="1"/>
    </row>
    <row r="651" ht="14.25" customHeight="1">
      <c r="A651" s="52"/>
      <c r="B651" s="52"/>
      <c r="C651" s="53"/>
      <c r="D651" s="53"/>
      <c r="E651" s="53"/>
      <c r="F651" s="53"/>
      <c r="G651" s="53"/>
      <c r="H651" s="1"/>
      <c r="I651" s="1"/>
    </row>
    <row r="652" ht="14.25" customHeight="1">
      <c r="A652" s="52"/>
      <c r="B652" s="52"/>
      <c r="C652" s="53"/>
      <c r="D652" s="53"/>
      <c r="E652" s="53"/>
      <c r="F652" s="53"/>
      <c r="G652" s="53"/>
      <c r="H652" s="1"/>
      <c r="I652" s="1"/>
    </row>
    <row r="653" ht="14.25" customHeight="1">
      <c r="A653" s="52"/>
      <c r="B653" s="52"/>
      <c r="C653" s="53"/>
      <c r="D653" s="53"/>
      <c r="E653" s="53"/>
      <c r="F653" s="53"/>
      <c r="G653" s="53"/>
      <c r="H653" s="1"/>
      <c r="I653" s="1"/>
    </row>
    <row r="654" ht="14.25" customHeight="1">
      <c r="A654" s="52"/>
      <c r="B654" s="52"/>
      <c r="C654" s="53"/>
      <c r="D654" s="53"/>
      <c r="E654" s="53"/>
      <c r="F654" s="53"/>
      <c r="G654" s="53"/>
      <c r="H654" s="1"/>
      <c r="I654" s="1"/>
    </row>
    <row r="655" ht="14.25" customHeight="1">
      <c r="A655" s="52"/>
      <c r="B655" s="52"/>
      <c r="C655" s="53"/>
      <c r="D655" s="53"/>
      <c r="E655" s="53"/>
      <c r="F655" s="53"/>
      <c r="G655" s="53"/>
      <c r="H655" s="1"/>
      <c r="I655" s="1"/>
    </row>
    <row r="656" ht="14.25" customHeight="1">
      <c r="A656" s="52"/>
      <c r="B656" s="52"/>
      <c r="C656" s="53"/>
      <c r="D656" s="53"/>
      <c r="E656" s="53"/>
      <c r="F656" s="53"/>
      <c r="G656" s="53"/>
      <c r="H656" s="1"/>
      <c r="I656" s="1"/>
    </row>
    <row r="657" ht="14.25" customHeight="1">
      <c r="A657" s="52"/>
      <c r="B657" s="52"/>
      <c r="C657" s="53"/>
      <c r="D657" s="53"/>
      <c r="E657" s="53"/>
      <c r="F657" s="53"/>
      <c r="G657" s="53"/>
      <c r="H657" s="1"/>
      <c r="I657" s="1"/>
    </row>
    <row r="658" ht="14.25" customHeight="1">
      <c r="A658" s="52"/>
      <c r="B658" s="52"/>
      <c r="C658" s="53"/>
      <c r="D658" s="53"/>
      <c r="E658" s="53"/>
      <c r="F658" s="53"/>
      <c r="G658" s="53"/>
      <c r="H658" s="1"/>
      <c r="I658" s="1"/>
    </row>
    <row r="659" ht="14.25" customHeight="1">
      <c r="A659" s="52"/>
      <c r="B659" s="52"/>
      <c r="C659" s="53"/>
      <c r="D659" s="53"/>
      <c r="E659" s="53"/>
      <c r="F659" s="53"/>
      <c r="G659" s="53"/>
      <c r="H659" s="1"/>
      <c r="I659" s="1"/>
    </row>
    <row r="660" ht="14.25" customHeight="1">
      <c r="A660" s="52"/>
      <c r="B660" s="52"/>
      <c r="C660" s="53"/>
      <c r="D660" s="53"/>
      <c r="E660" s="53"/>
      <c r="F660" s="53"/>
      <c r="G660" s="53"/>
      <c r="H660" s="1"/>
      <c r="I660" s="1"/>
    </row>
    <row r="661" ht="14.25" customHeight="1">
      <c r="A661" s="52"/>
      <c r="B661" s="52"/>
      <c r="C661" s="53"/>
      <c r="D661" s="53"/>
      <c r="E661" s="53"/>
      <c r="F661" s="53"/>
      <c r="G661" s="53"/>
      <c r="H661" s="1"/>
      <c r="I661" s="1"/>
    </row>
    <row r="662" ht="14.25" customHeight="1">
      <c r="A662" s="52"/>
      <c r="B662" s="52"/>
      <c r="C662" s="53"/>
      <c r="D662" s="53"/>
      <c r="E662" s="53"/>
      <c r="F662" s="53"/>
      <c r="G662" s="53"/>
      <c r="H662" s="1"/>
      <c r="I662" s="1"/>
    </row>
    <row r="663" ht="14.25" customHeight="1">
      <c r="A663" s="52"/>
      <c r="B663" s="52"/>
      <c r="C663" s="53"/>
      <c r="D663" s="53"/>
      <c r="E663" s="53"/>
      <c r="F663" s="53"/>
      <c r="G663" s="53"/>
      <c r="H663" s="1"/>
      <c r="I663" s="1"/>
    </row>
    <row r="664" ht="14.25" customHeight="1">
      <c r="A664" s="52"/>
      <c r="B664" s="52"/>
      <c r="C664" s="53"/>
      <c r="D664" s="53"/>
      <c r="E664" s="53"/>
      <c r="F664" s="53"/>
      <c r="G664" s="53"/>
      <c r="H664" s="1"/>
      <c r="I664" s="1"/>
    </row>
    <row r="665" ht="14.25" customHeight="1">
      <c r="A665" s="52"/>
      <c r="B665" s="52"/>
      <c r="C665" s="53"/>
      <c r="D665" s="53"/>
      <c r="E665" s="53"/>
      <c r="F665" s="53"/>
      <c r="G665" s="53"/>
      <c r="H665" s="1"/>
      <c r="I665" s="1"/>
    </row>
    <row r="666" ht="14.25" customHeight="1">
      <c r="A666" s="52"/>
      <c r="B666" s="52"/>
      <c r="C666" s="53"/>
      <c r="D666" s="53"/>
      <c r="E666" s="53"/>
      <c r="F666" s="53"/>
      <c r="G666" s="53"/>
      <c r="H666" s="1"/>
      <c r="I666" s="1"/>
    </row>
    <row r="667" ht="14.25" customHeight="1">
      <c r="A667" s="52"/>
      <c r="B667" s="52"/>
      <c r="C667" s="53"/>
      <c r="D667" s="53"/>
      <c r="E667" s="53"/>
      <c r="F667" s="53"/>
      <c r="G667" s="53"/>
      <c r="H667" s="1"/>
      <c r="I667" s="1"/>
    </row>
    <row r="668" ht="14.25" customHeight="1">
      <c r="A668" s="52"/>
      <c r="B668" s="52"/>
      <c r="C668" s="53"/>
      <c r="D668" s="53"/>
      <c r="E668" s="53"/>
      <c r="F668" s="53"/>
      <c r="G668" s="53"/>
      <c r="H668" s="1"/>
      <c r="I668" s="1"/>
    </row>
    <row r="669" ht="14.25" customHeight="1">
      <c r="A669" s="52"/>
      <c r="B669" s="52"/>
      <c r="C669" s="53"/>
      <c r="D669" s="53"/>
      <c r="E669" s="53"/>
      <c r="F669" s="53"/>
      <c r="G669" s="53"/>
      <c r="H669" s="1"/>
      <c r="I669" s="1"/>
    </row>
    <row r="670" ht="14.25" customHeight="1">
      <c r="A670" s="52"/>
      <c r="B670" s="52"/>
      <c r="C670" s="53"/>
      <c r="D670" s="53"/>
      <c r="E670" s="53"/>
      <c r="F670" s="53"/>
      <c r="G670" s="53"/>
      <c r="H670" s="1"/>
      <c r="I670" s="1"/>
    </row>
    <row r="671" ht="14.25" customHeight="1">
      <c r="A671" s="52"/>
      <c r="B671" s="52"/>
      <c r="C671" s="53"/>
      <c r="D671" s="53"/>
      <c r="E671" s="53"/>
      <c r="F671" s="53"/>
      <c r="G671" s="53"/>
      <c r="H671" s="1"/>
      <c r="I671" s="1"/>
    </row>
    <row r="672" ht="14.25" customHeight="1">
      <c r="A672" s="52"/>
      <c r="B672" s="52"/>
      <c r="C672" s="53"/>
      <c r="D672" s="53"/>
      <c r="E672" s="53"/>
      <c r="F672" s="53"/>
      <c r="G672" s="53"/>
      <c r="H672" s="1"/>
      <c r="I672" s="1"/>
    </row>
    <row r="673" ht="14.25" customHeight="1">
      <c r="A673" s="52"/>
      <c r="B673" s="52"/>
      <c r="C673" s="53"/>
      <c r="D673" s="53"/>
      <c r="E673" s="53"/>
      <c r="F673" s="53"/>
      <c r="G673" s="53"/>
      <c r="H673" s="1"/>
      <c r="I673" s="1"/>
    </row>
    <row r="674" ht="14.25" customHeight="1">
      <c r="A674" s="52"/>
      <c r="B674" s="52"/>
      <c r="C674" s="53"/>
      <c r="D674" s="53"/>
      <c r="E674" s="53"/>
      <c r="F674" s="53"/>
      <c r="G674" s="53"/>
      <c r="H674" s="1"/>
      <c r="I674" s="1"/>
    </row>
    <row r="675" ht="14.25" customHeight="1">
      <c r="A675" s="52"/>
      <c r="B675" s="52"/>
      <c r="C675" s="53"/>
      <c r="D675" s="53"/>
      <c r="E675" s="53"/>
      <c r="F675" s="53"/>
      <c r="G675" s="53"/>
      <c r="H675" s="1"/>
      <c r="I675" s="1"/>
    </row>
    <row r="676" ht="14.25" customHeight="1">
      <c r="A676" s="52"/>
      <c r="B676" s="52"/>
      <c r="C676" s="53"/>
      <c r="D676" s="53"/>
      <c r="E676" s="53"/>
      <c r="F676" s="53"/>
      <c r="G676" s="53"/>
      <c r="H676" s="1"/>
      <c r="I676" s="1"/>
    </row>
    <row r="677" ht="14.25" customHeight="1">
      <c r="A677" s="52"/>
      <c r="B677" s="52"/>
      <c r="C677" s="53"/>
      <c r="D677" s="53"/>
      <c r="E677" s="53"/>
      <c r="F677" s="53"/>
      <c r="G677" s="53"/>
      <c r="H677" s="1"/>
      <c r="I677" s="1"/>
    </row>
    <row r="678" ht="14.25" customHeight="1">
      <c r="A678" s="52"/>
      <c r="B678" s="52"/>
      <c r="C678" s="53"/>
      <c r="D678" s="53"/>
      <c r="E678" s="53"/>
      <c r="F678" s="53"/>
      <c r="G678" s="53"/>
      <c r="H678" s="1"/>
      <c r="I678" s="1"/>
    </row>
    <row r="679" ht="14.25" customHeight="1">
      <c r="A679" s="52"/>
      <c r="B679" s="52"/>
      <c r="C679" s="53"/>
      <c r="D679" s="53"/>
      <c r="E679" s="53"/>
      <c r="F679" s="53"/>
      <c r="G679" s="53"/>
      <c r="H679" s="1"/>
      <c r="I679" s="1"/>
    </row>
    <row r="680" ht="14.25" customHeight="1">
      <c r="A680" s="52"/>
      <c r="B680" s="52"/>
      <c r="C680" s="53"/>
      <c r="D680" s="53"/>
      <c r="E680" s="53"/>
      <c r="F680" s="53"/>
      <c r="G680" s="53"/>
      <c r="H680" s="1"/>
      <c r="I680" s="1"/>
    </row>
    <row r="681" ht="14.25" customHeight="1">
      <c r="A681" s="52"/>
      <c r="B681" s="52"/>
      <c r="C681" s="53"/>
      <c r="D681" s="53"/>
      <c r="E681" s="53"/>
      <c r="F681" s="53"/>
      <c r="G681" s="53"/>
      <c r="H681" s="1"/>
      <c r="I681" s="1"/>
    </row>
    <row r="682" ht="14.25" customHeight="1">
      <c r="A682" s="52"/>
      <c r="B682" s="52"/>
      <c r="C682" s="53"/>
      <c r="D682" s="53"/>
      <c r="E682" s="53"/>
      <c r="F682" s="53"/>
      <c r="G682" s="53"/>
      <c r="H682" s="1"/>
      <c r="I682" s="1"/>
    </row>
    <row r="683" ht="14.25" customHeight="1">
      <c r="A683" s="52"/>
      <c r="B683" s="52"/>
      <c r="C683" s="53"/>
      <c r="D683" s="53"/>
      <c r="E683" s="53"/>
      <c r="F683" s="53"/>
      <c r="G683" s="53"/>
      <c r="H683" s="1"/>
      <c r="I683" s="1"/>
    </row>
    <row r="684" ht="14.25" customHeight="1">
      <c r="A684" s="52"/>
      <c r="B684" s="52"/>
      <c r="C684" s="53"/>
      <c r="D684" s="53"/>
      <c r="E684" s="53"/>
      <c r="F684" s="53"/>
      <c r="G684" s="53"/>
      <c r="H684" s="1"/>
      <c r="I684" s="1"/>
    </row>
    <row r="685" ht="14.25" customHeight="1">
      <c r="A685" s="52"/>
      <c r="B685" s="52"/>
      <c r="C685" s="53"/>
      <c r="D685" s="53"/>
      <c r="E685" s="53"/>
      <c r="F685" s="53"/>
      <c r="G685" s="53"/>
      <c r="H685" s="1"/>
      <c r="I685" s="1"/>
    </row>
    <row r="686" ht="14.25" customHeight="1">
      <c r="A686" s="52"/>
      <c r="B686" s="52"/>
      <c r="C686" s="53"/>
      <c r="D686" s="53"/>
      <c r="E686" s="53"/>
      <c r="F686" s="53"/>
      <c r="G686" s="53"/>
      <c r="H686" s="1"/>
      <c r="I686" s="1"/>
    </row>
    <row r="687" ht="14.25" customHeight="1">
      <c r="A687" s="52"/>
      <c r="B687" s="52"/>
      <c r="C687" s="53"/>
      <c r="D687" s="53"/>
      <c r="E687" s="53"/>
      <c r="F687" s="53"/>
      <c r="G687" s="53"/>
      <c r="H687" s="1"/>
      <c r="I687" s="1"/>
    </row>
    <row r="688" ht="14.25" customHeight="1">
      <c r="A688" s="52"/>
      <c r="B688" s="52"/>
      <c r="C688" s="53"/>
      <c r="D688" s="53"/>
      <c r="E688" s="53"/>
      <c r="F688" s="53"/>
      <c r="G688" s="53"/>
      <c r="H688" s="1"/>
      <c r="I688" s="1"/>
    </row>
    <row r="689" ht="14.25" customHeight="1">
      <c r="A689" s="52"/>
      <c r="B689" s="52"/>
      <c r="C689" s="53"/>
      <c r="D689" s="53"/>
      <c r="E689" s="53"/>
      <c r="F689" s="53"/>
      <c r="G689" s="53"/>
      <c r="H689" s="1"/>
      <c r="I689" s="1"/>
    </row>
    <row r="690" ht="14.25" customHeight="1">
      <c r="A690" s="52"/>
      <c r="B690" s="52"/>
      <c r="C690" s="53"/>
      <c r="D690" s="53"/>
      <c r="E690" s="53"/>
      <c r="F690" s="53"/>
      <c r="G690" s="53"/>
      <c r="H690" s="1"/>
      <c r="I690" s="1"/>
    </row>
    <row r="691" ht="14.25" customHeight="1">
      <c r="A691" s="52"/>
      <c r="B691" s="52"/>
      <c r="C691" s="53"/>
      <c r="D691" s="53"/>
      <c r="E691" s="53"/>
      <c r="F691" s="53"/>
      <c r="G691" s="53"/>
      <c r="H691" s="1"/>
      <c r="I691" s="1"/>
    </row>
    <row r="692" ht="14.25" customHeight="1">
      <c r="A692" s="52"/>
      <c r="B692" s="52"/>
      <c r="C692" s="53"/>
      <c r="D692" s="53"/>
      <c r="E692" s="53"/>
      <c r="F692" s="53"/>
      <c r="G692" s="53"/>
      <c r="H692" s="1"/>
      <c r="I692" s="1"/>
    </row>
    <row r="693" ht="14.25" customHeight="1">
      <c r="A693" s="52"/>
      <c r="B693" s="52"/>
      <c r="C693" s="53"/>
      <c r="D693" s="53"/>
      <c r="E693" s="53"/>
      <c r="F693" s="53"/>
      <c r="G693" s="53"/>
      <c r="H693" s="1"/>
      <c r="I693" s="1"/>
    </row>
    <row r="694" ht="14.25" customHeight="1">
      <c r="A694" s="52"/>
      <c r="B694" s="52"/>
      <c r="C694" s="53"/>
      <c r="D694" s="53"/>
      <c r="E694" s="53"/>
      <c r="F694" s="53"/>
      <c r="G694" s="53"/>
      <c r="H694" s="1"/>
      <c r="I694" s="1"/>
    </row>
    <row r="695" ht="14.25" customHeight="1">
      <c r="A695" s="52"/>
      <c r="B695" s="52"/>
      <c r="C695" s="53"/>
      <c r="D695" s="53"/>
      <c r="E695" s="53"/>
      <c r="F695" s="53"/>
      <c r="G695" s="53"/>
      <c r="H695" s="1"/>
      <c r="I695" s="1"/>
    </row>
    <row r="696" ht="14.25" customHeight="1">
      <c r="A696" s="52"/>
      <c r="B696" s="52"/>
      <c r="C696" s="53"/>
      <c r="D696" s="53"/>
      <c r="E696" s="53"/>
      <c r="F696" s="53"/>
      <c r="G696" s="53"/>
      <c r="H696" s="1"/>
      <c r="I696" s="1"/>
    </row>
    <row r="697" ht="14.25" customHeight="1">
      <c r="A697" s="52"/>
      <c r="B697" s="52"/>
      <c r="C697" s="53"/>
      <c r="D697" s="53"/>
      <c r="E697" s="53"/>
      <c r="F697" s="53"/>
      <c r="G697" s="53"/>
      <c r="H697" s="1"/>
      <c r="I697" s="1"/>
    </row>
    <row r="698" ht="14.25" customHeight="1">
      <c r="A698" s="52"/>
      <c r="B698" s="52"/>
      <c r="C698" s="53"/>
      <c r="D698" s="53"/>
      <c r="E698" s="53"/>
      <c r="F698" s="53"/>
      <c r="G698" s="53"/>
      <c r="H698" s="1"/>
      <c r="I698" s="1"/>
    </row>
    <row r="699" ht="14.25" customHeight="1">
      <c r="A699" s="52"/>
      <c r="B699" s="52"/>
      <c r="C699" s="53"/>
      <c r="D699" s="53"/>
      <c r="E699" s="53"/>
      <c r="F699" s="53"/>
      <c r="G699" s="53"/>
      <c r="H699" s="1"/>
      <c r="I699" s="1"/>
    </row>
    <row r="700" ht="14.25" customHeight="1">
      <c r="A700" s="52"/>
      <c r="B700" s="52"/>
      <c r="C700" s="53"/>
      <c r="D700" s="53"/>
      <c r="E700" s="53"/>
      <c r="F700" s="53"/>
      <c r="G700" s="53"/>
      <c r="H700" s="1"/>
      <c r="I700" s="1"/>
    </row>
    <row r="701" ht="14.25" customHeight="1">
      <c r="A701" s="52"/>
      <c r="B701" s="52"/>
      <c r="C701" s="53"/>
      <c r="D701" s="53"/>
      <c r="E701" s="53"/>
      <c r="F701" s="53"/>
      <c r="G701" s="53"/>
      <c r="H701" s="1"/>
      <c r="I701" s="1"/>
    </row>
    <row r="702" ht="14.25" customHeight="1">
      <c r="A702" s="52"/>
      <c r="B702" s="52"/>
      <c r="C702" s="53"/>
      <c r="D702" s="53"/>
      <c r="E702" s="53"/>
      <c r="F702" s="53"/>
      <c r="G702" s="53"/>
      <c r="H702" s="1"/>
      <c r="I702" s="1"/>
    </row>
    <row r="703" ht="14.25" customHeight="1">
      <c r="A703" s="52"/>
      <c r="B703" s="52"/>
      <c r="C703" s="53"/>
      <c r="D703" s="53"/>
      <c r="E703" s="53"/>
      <c r="F703" s="53"/>
      <c r="G703" s="53"/>
      <c r="H703" s="1"/>
      <c r="I703" s="1"/>
    </row>
    <row r="704" ht="14.25" customHeight="1">
      <c r="A704" s="52"/>
      <c r="B704" s="52"/>
      <c r="C704" s="53"/>
      <c r="D704" s="53"/>
      <c r="E704" s="53"/>
      <c r="F704" s="53"/>
      <c r="G704" s="53"/>
      <c r="H704" s="1"/>
      <c r="I704" s="1"/>
    </row>
    <row r="705" ht="14.25" customHeight="1">
      <c r="A705" s="52"/>
      <c r="B705" s="52"/>
      <c r="C705" s="53"/>
      <c r="D705" s="53"/>
      <c r="E705" s="53"/>
      <c r="F705" s="53"/>
      <c r="G705" s="53"/>
      <c r="H705" s="1"/>
      <c r="I705" s="1"/>
    </row>
    <row r="706" ht="14.25" customHeight="1">
      <c r="A706" s="52"/>
      <c r="B706" s="52"/>
      <c r="C706" s="53"/>
      <c r="D706" s="53"/>
      <c r="E706" s="53"/>
      <c r="F706" s="53"/>
      <c r="G706" s="53"/>
      <c r="H706" s="1"/>
      <c r="I706" s="1"/>
    </row>
    <row r="707" ht="14.25" customHeight="1">
      <c r="A707" s="52"/>
      <c r="B707" s="52"/>
      <c r="C707" s="53"/>
      <c r="D707" s="53"/>
      <c r="E707" s="53"/>
      <c r="F707" s="53"/>
      <c r="G707" s="53"/>
      <c r="H707" s="1"/>
      <c r="I707" s="1"/>
    </row>
    <row r="708" ht="14.25" customHeight="1">
      <c r="A708" s="52"/>
      <c r="B708" s="52"/>
      <c r="C708" s="53"/>
      <c r="D708" s="53"/>
      <c r="E708" s="53"/>
      <c r="F708" s="53"/>
      <c r="G708" s="53"/>
      <c r="H708" s="1"/>
      <c r="I708" s="1"/>
    </row>
    <row r="709" ht="14.25" customHeight="1">
      <c r="A709" s="52"/>
      <c r="B709" s="52"/>
      <c r="C709" s="53"/>
      <c r="D709" s="53"/>
      <c r="E709" s="53"/>
      <c r="F709" s="53"/>
      <c r="G709" s="53"/>
      <c r="H709" s="1"/>
      <c r="I709" s="1"/>
    </row>
    <row r="710" ht="14.25" customHeight="1">
      <c r="A710" s="52"/>
      <c r="B710" s="52"/>
      <c r="C710" s="53"/>
      <c r="D710" s="53"/>
      <c r="E710" s="53"/>
      <c r="F710" s="53"/>
      <c r="G710" s="53"/>
      <c r="H710" s="1"/>
      <c r="I710" s="1"/>
    </row>
    <row r="711" ht="14.25" customHeight="1">
      <c r="A711" s="52"/>
      <c r="B711" s="52"/>
      <c r="C711" s="53"/>
      <c r="D711" s="53"/>
      <c r="E711" s="53"/>
      <c r="F711" s="53"/>
      <c r="G711" s="53"/>
      <c r="H711" s="1"/>
      <c r="I711" s="1"/>
    </row>
    <row r="712" ht="14.25" customHeight="1">
      <c r="A712" s="52"/>
      <c r="B712" s="52"/>
      <c r="C712" s="53"/>
      <c r="D712" s="53"/>
      <c r="E712" s="53"/>
      <c r="F712" s="53"/>
      <c r="G712" s="53"/>
      <c r="H712" s="1"/>
      <c r="I712" s="1"/>
    </row>
    <row r="713" ht="14.25" customHeight="1">
      <c r="A713" s="52"/>
      <c r="B713" s="52"/>
      <c r="C713" s="53"/>
      <c r="D713" s="53"/>
      <c r="E713" s="53"/>
      <c r="F713" s="53"/>
      <c r="G713" s="53"/>
      <c r="H713" s="1"/>
      <c r="I713" s="1"/>
    </row>
    <row r="714" ht="14.25" customHeight="1">
      <c r="A714" s="52"/>
      <c r="B714" s="52"/>
      <c r="C714" s="53"/>
      <c r="D714" s="53"/>
      <c r="E714" s="53"/>
      <c r="F714" s="53"/>
      <c r="G714" s="53"/>
      <c r="H714" s="1"/>
      <c r="I714" s="1"/>
    </row>
    <row r="715" ht="14.25" customHeight="1">
      <c r="A715" s="52"/>
      <c r="B715" s="52"/>
      <c r="C715" s="53"/>
      <c r="D715" s="53"/>
      <c r="E715" s="53"/>
      <c r="F715" s="53"/>
      <c r="G715" s="53"/>
      <c r="H715" s="1"/>
      <c r="I715" s="1"/>
    </row>
    <row r="716" ht="14.25" customHeight="1">
      <c r="A716" s="52"/>
      <c r="B716" s="52"/>
      <c r="C716" s="53"/>
      <c r="D716" s="53"/>
      <c r="E716" s="53"/>
      <c r="F716" s="53"/>
      <c r="G716" s="53"/>
      <c r="H716" s="1"/>
      <c r="I716" s="1"/>
    </row>
    <row r="717" ht="14.25" customHeight="1">
      <c r="A717" s="52"/>
      <c r="B717" s="52"/>
      <c r="C717" s="53"/>
      <c r="D717" s="53"/>
      <c r="E717" s="53"/>
      <c r="F717" s="53"/>
      <c r="G717" s="53"/>
      <c r="H717" s="1"/>
      <c r="I717" s="1"/>
    </row>
    <row r="718" ht="14.25" customHeight="1">
      <c r="A718" s="52"/>
      <c r="B718" s="52"/>
      <c r="C718" s="53"/>
      <c r="D718" s="53"/>
      <c r="E718" s="53"/>
      <c r="F718" s="53"/>
      <c r="G718" s="53"/>
      <c r="H718" s="1"/>
      <c r="I718" s="1"/>
    </row>
    <row r="719" ht="14.25" customHeight="1">
      <c r="A719" s="52"/>
      <c r="B719" s="52"/>
      <c r="C719" s="53"/>
      <c r="D719" s="53"/>
      <c r="E719" s="53"/>
      <c r="F719" s="53"/>
      <c r="G719" s="53"/>
      <c r="H719" s="1"/>
      <c r="I719" s="1"/>
    </row>
    <row r="720" ht="14.25" customHeight="1">
      <c r="A720" s="52"/>
      <c r="B720" s="52"/>
      <c r="C720" s="53"/>
      <c r="D720" s="53"/>
      <c r="E720" s="53"/>
      <c r="F720" s="53"/>
      <c r="G720" s="53"/>
      <c r="H720" s="1"/>
      <c r="I720" s="1"/>
    </row>
    <row r="721" ht="14.25" customHeight="1">
      <c r="A721" s="52"/>
      <c r="B721" s="52"/>
      <c r="C721" s="53"/>
      <c r="D721" s="53"/>
      <c r="E721" s="53"/>
      <c r="F721" s="53"/>
      <c r="G721" s="53"/>
      <c r="H721" s="1"/>
      <c r="I721" s="1"/>
    </row>
    <row r="722" ht="14.25" customHeight="1">
      <c r="A722" s="52"/>
      <c r="B722" s="52"/>
      <c r="C722" s="53"/>
      <c r="D722" s="53"/>
      <c r="E722" s="53"/>
      <c r="F722" s="53"/>
      <c r="G722" s="53"/>
      <c r="H722" s="1"/>
      <c r="I722" s="1"/>
    </row>
    <row r="723" ht="14.25" customHeight="1">
      <c r="A723" s="52"/>
      <c r="B723" s="52"/>
      <c r="C723" s="53"/>
      <c r="D723" s="53"/>
      <c r="E723" s="53"/>
      <c r="F723" s="53"/>
      <c r="G723" s="53"/>
      <c r="H723" s="1"/>
      <c r="I723" s="1"/>
    </row>
    <row r="724" ht="14.25" customHeight="1">
      <c r="A724" s="52"/>
      <c r="B724" s="52"/>
      <c r="C724" s="53"/>
      <c r="D724" s="53"/>
      <c r="E724" s="53"/>
      <c r="F724" s="53"/>
      <c r="G724" s="53"/>
      <c r="H724" s="1"/>
      <c r="I724" s="1"/>
    </row>
    <row r="725" ht="14.25" customHeight="1">
      <c r="A725" s="52"/>
      <c r="B725" s="52"/>
      <c r="C725" s="53"/>
      <c r="D725" s="53"/>
      <c r="E725" s="53"/>
      <c r="F725" s="53"/>
      <c r="G725" s="53"/>
      <c r="H725" s="1"/>
      <c r="I725" s="1"/>
    </row>
    <row r="726" ht="14.25" customHeight="1">
      <c r="A726" s="52"/>
      <c r="B726" s="52"/>
      <c r="C726" s="53"/>
      <c r="D726" s="53"/>
      <c r="E726" s="53"/>
      <c r="F726" s="53"/>
      <c r="G726" s="53"/>
      <c r="H726" s="1"/>
      <c r="I726" s="1"/>
    </row>
    <row r="727" ht="14.25" customHeight="1">
      <c r="A727" s="52"/>
      <c r="B727" s="52"/>
      <c r="C727" s="53"/>
      <c r="D727" s="53"/>
      <c r="E727" s="53"/>
      <c r="F727" s="53"/>
      <c r="G727" s="53"/>
      <c r="H727" s="1"/>
      <c r="I727" s="1"/>
    </row>
    <row r="728" ht="14.25" customHeight="1">
      <c r="A728" s="52"/>
      <c r="B728" s="52"/>
      <c r="C728" s="53"/>
      <c r="D728" s="53"/>
      <c r="E728" s="53"/>
      <c r="F728" s="53"/>
      <c r="G728" s="53"/>
      <c r="H728" s="1"/>
      <c r="I728" s="1"/>
    </row>
    <row r="729" ht="14.25" customHeight="1">
      <c r="A729" s="52"/>
      <c r="B729" s="52"/>
      <c r="C729" s="53"/>
      <c r="D729" s="53"/>
      <c r="E729" s="53"/>
      <c r="F729" s="53"/>
      <c r="G729" s="53"/>
      <c r="H729" s="1"/>
      <c r="I729" s="1"/>
    </row>
    <row r="730" ht="14.25" customHeight="1">
      <c r="A730" s="52"/>
      <c r="B730" s="52"/>
      <c r="C730" s="53"/>
      <c r="D730" s="53"/>
      <c r="E730" s="53"/>
      <c r="F730" s="53"/>
      <c r="G730" s="53"/>
      <c r="H730" s="1"/>
      <c r="I730" s="1"/>
    </row>
    <row r="731" ht="14.25" customHeight="1">
      <c r="A731" s="52"/>
      <c r="B731" s="52"/>
      <c r="C731" s="53"/>
      <c r="D731" s="53"/>
      <c r="E731" s="53"/>
      <c r="F731" s="53"/>
      <c r="G731" s="53"/>
      <c r="H731" s="1"/>
      <c r="I731" s="1"/>
    </row>
    <row r="732" ht="14.25" customHeight="1">
      <c r="A732" s="52"/>
      <c r="B732" s="52"/>
      <c r="C732" s="53"/>
      <c r="D732" s="53"/>
      <c r="E732" s="53"/>
      <c r="F732" s="53"/>
      <c r="G732" s="53"/>
      <c r="H732" s="1"/>
      <c r="I732" s="1"/>
    </row>
    <row r="733" ht="14.25" customHeight="1">
      <c r="A733" s="52"/>
      <c r="B733" s="52"/>
      <c r="C733" s="53"/>
      <c r="D733" s="53"/>
      <c r="E733" s="53"/>
      <c r="F733" s="53"/>
      <c r="G733" s="53"/>
      <c r="H733" s="1"/>
      <c r="I733" s="1"/>
    </row>
    <row r="734" ht="14.25" customHeight="1">
      <c r="A734" s="52"/>
      <c r="B734" s="52"/>
      <c r="C734" s="53"/>
      <c r="D734" s="53"/>
      <c r="E734" s="53"/>
      <c r="F734" s="53"/>
      <c r="G734" s="53"/>
      <c r="H734" s="1"/>
      <c r="I734" s="1"/>
    </row>
    <row r="735" ht="14.25" customHeight="1">
      <c r="A735" s="52"/>
      <c r="B735" s="52"/>
      <c r="C735" s="53"/>
      <c r="D735" s="53"/>
      <c r="E735" s="53"/>
      <c r="F735" s="53"/>
      <c r="G735" s="53"/>
      <c r="H735" s="1"/>
      <c r="I735" s="1"/>
    </row>
    <row r="736" ht="14.25" customHeight="1">
      <c r="A736" s="52"/>
      <c r="B736" s="52"/>
      <c r="C736" s="53"/>
      <c r="D736" s="53"/>
      <c r="E736" s="53"/>
      <c r="F736" s="53"/>
      <c r="G736" s="53"/>
      <c r="H736" s="1"/>
      <c r="I736" s="1"/>
    </row>
    <row r="737" ht="14.25" customHeight="1">
      <c r="A737" s="52"/>
      <c r="B737" s="52"/>
      <c r="C737" s="53"/>
      <c r="D737" s="53"/>
      <c r="E737" s="53"/>
      <c r="F737" s="53"/>
      <c r="G737" s="53"/>
      <c r="H737" s="1"/>
      <c r="I737" s="1"/>
    </row>
    <row r="738" ht="14.25" customHeight="1">
      <c r="A738" s="52"/>
      <c r="B738" s="52"/>
      <c r="C738" s="53"/>
      <c r="D738" s="53"/>
      <c r="E738" s="53"/>
      <c r="F738" s="53"/>
      <c r="G738" s="53"/>
      <c r="H738" s="1"/>
      <c r="I738" s="1"/>
    </row>
    <row r="739" ht="14.25" customHeight="1">
      <c r="A739" s="52"/>
      <c r="B739" s="52"/>
      <c r="C739" s="53"/>
      <c r="D739" s="53"/>
      <c r="E739" s="53"/>
      <c r="F739" s="53"/>
      <c r="G739" s="53"/>
      <c r="H739" s="1"/>
      <c r="I739" s="1"/>
    </row>
    <row r="740" ht="14.25" customHeight="1">
      <c r="A740" s="52"/>
      <c r="B740" s="52"/>
      <c r="C740" s="53"/>
      <c r="D740" s="53"/>
      <c r="E740" s="53"/>
      <c r="F740" s="53"/>
      <c r="G740" s="53"/>
      <c r="H740" s="1"/>
      <c r="I740" s="1"/>
    </row>
    <row r="741" ht="14.25" customHeight="1">
      <c r="A741" s="52"/>
      <c r="B741" s="52"/>
      <c r="C741" s="53"/>
      <c r="D741" s="53"/>
      <c r="E741" s="53"/>
      <c r="F741" s="53"/>
      <c r="G741" s="53"/>
      <c r="H741" s="1"/>
      <c r="I741" s="1"/>
    </row>
    <row r="742" ht="14.25" customHeight="1">
      <c r="A742" s="52"/>
      <c r="B742" s="52"/>
      <c r="C742" s="53"/>
      <c r="D742" s="53"/>
      <c r="E742" s="53"/>
      <c r="F742" s="53"/>
      <c r="G742" s="53"/>
      <c r="H742" s="1"/>
      <c r="I742" s="1"/>
    </row>
    <row r="743" ht="14.25" customHeight="1">
      <c r="A743" s="52"/>
      <c r="B743" s="52"/>
      <c r="C743" s="53"/>
      <c r="D743" s="53"/>
      <c r="E743" s="53"/>
      <c r="F743" s="53"/>
      <c r="G743" s="53"/>
      <c r="H743" s="1"/>
      <c r="I743" s="1"/>
    </row>
    <row r="744" ht="14.25" customHeight="1">
      <c r="A744" s="52"/>
      <c r="B744" s="52"/>
      <c r="C744" s="53"/>
      <c r="D744" s="53"/>
      <c r="E744" s="53"/>
      <c r="F744" s="53"/>
      <c r="G744" s="53"/>
      <c r="H744" s="1"/>
      <c r="I744" s="1"/>
    </row>
    <row r="745" ht="14.25" customHeight="1">
      <c r="A745" s="52"/>
      <c r="B745" s="52"/>
      <c r="C745" s="53"/>
      <c r="D745" s="53"/>
      <c r="E745" s="53"/>
      <c r="F745" s="53"/>
      <c r="G745" s="53"/>
      <c r="H745" s="1"/>
      <c r="I745" s="1"/>
    </row>
    <row r="746" ht="14.25" customHeight="1">
      <c r="A746" s="52"/>
      <c r="B746" s="52"/>
      <c r="C746" s="53"/>
      <c r="D746" s="53"/>
      <c r="E746" s="53"/>
      <c r="F746" s="53"/>
      <c r="G746" s="53"/>
      <c r="H746" s="1"/>
      <c r="I746" s="1"/>
    </row>
    <row r="747" ht="14.25" customHeight="1">
      <c r="A747" s="52"/>
      <c r="B747" s="52"/>
      <c r="C747" s="53"/>
      <c r="D747" s="53"/>
      <c r="E747" s="53"/>
      <c r="F747" s="53"/>
      <c r="G747" s="53"/>
      <c r="H747" s="1"/>
      <c r="I747" s="1"/>
    </row>
    <row r="748" ht="14.25" customHeight="1">
      <c r="A748" s="52"/>
      <c r="B748" s="52"/>
      <c r="C748" s="53"/>
      <c r="D748" s="53"/>
      <c r="E748" s="53"/>
      <c r="F748" s="53"/>
      <c r="G748" s="53"/>
      <c r="H748" s="1"/>
      <c r="I748" s="1"/>
    </row>
    <row r="749" ht="14.25" customHeight="1">
      <c r="A749" s="52"/>
      <c r="B749" s="52"/>
      <c r="C749" s="53"/>
      <c r="D749" s="53"/>
      <c r="E749" s="53"/>
      <c r="F749" s="53"/>
      <c r="G749" s="53"/>
      <c r="H749" s="1"/>
      <c r="I749" s="1"/>
    </row>
    <row r="750" ht="14.25" customHeight="1">
      <c r="A750" s="52"/>
      <c r="B750" s="52"/>
      <c r="C750" s="53"/>
      <c r="D750" s="53"/>
      <c r="E750" s="53"/>
      <c r="F750" s="53"/>
      <c r="G750" s="53"/>
      <c r="H750" s="1"/>
      <c r="I750" s="1"/>
    </row>
    <row r="751" ht="14.25" customHeight="1">
      <c r="A751" s="52"/>
      <c r="B751" s="52"/>
      <c r="C751" s="53"/>
      <c r="D751" s="53"/>
      <c r="E751" s="53"/>
      <c r="F751" s="53"/>
      <c r="G751" s="53"/>
      <c r="H751" s="1"/>
      <c r="I751" s="1"/>
    </row>
    <row r="752" ht="14.25" customHeight="1">
      <c r="A752" s="52"/>
      <c r="B752" s="52"/>
      <c r="C752" s="53"/>
      <c r="D752" s="53"/>
      <c r="E752" s="53"/>
      <c r="F752" s="53"/>
      <c r="G752" s="53"/>
      <c r="H752" s="1"/>
      <c r="I752" s="1"/>
    </row>
    <row r="753" ht="14.25" customHeight="1">
      <c r="A753" s="52"/>
      <c r="B753" s="52"/>
      <c r="C753" s="53"/>
      <c r="D753" s="53"/>
      <c r="E753" s="53"/>
      <c r="F753" s="53"/>
      <c r="G753" s="53"/>
      <c r="H753" s="1"/>
      <c r="I753" s="1"/>
    </row>
    <row r="754" ht="14.25" customHeight="1">
      <c r="A754" s="52"/>
      <c r="B754" s="52"/>
      <c r="C754" s="53"/>
      <c r="D754" s="53"/>
      <c r="E754" s="53"/>
      <c r="F754" s="53"/>
      <c r="G754" s="53"/>
      <c r="H754" s="1"/>
      <c r="I754" s="1"/>
    </row>
    <row r="755" ht="14.25" customHeight="1">
      <c r="A755" s="52"/>
      <c r="B755" s="52"/>
      <c r="C755" s="53"/>
      <c r="D755" s="53"/>
      <c r="E755" s="53"/>
      <c r="F755" s="53"/>
      <c r="G755" s="53"/>
      <c r="H755" s="1"/>
      <c r="I755" s="1"/>
    </row>
    <row r="756" ht="14.25" customHeight="1">
      <c r="A756" s="52"/>
      <c r="B756" s="52"/>
      <c r="C756" s="53"/>
      <c r="D756" s="53"/>
      <c r="E756" s="53"/>
      <c r="F756" s="53"/>
      <c r="G756" s="53"/>
      <c r="H756" s="1"/>
      <c r="I756" s="1"/>
    </row>
    <row r="757" ht="14.25" customHeight="1">
      <c r="A757" s="52"/>
      <c r="B757" s="52"/>
      <c r="C757" s="53"/>
      <c r="D757" s="53"/>
      <c r="E757" s="53"/>
      <c r="F757" s="53"/>
      <c r="G757" s="53"/>
      <c r="H757" s="1"/>
      <c r="I757" s="1"/>
    </row>
    <row r="758" ht="14.25" customHeight="1">
      <c r="A758" s="52"/>
      <c r="B758" s="52"/>
      <c r="C758" s="53"/>
      <c r="D758" s="53"/>
      <c r="E758" s="53"/>
      <c r="F758" s="53"/>
      <c r="G758" s="53"/>
      <c r="H758" s="1"/>
      <c r="I758" s="1"/>
    </row>
    <row r="759" ht="14.25" customHeight="1">
      <c r="A759" s="52"/>
      <c r="B759" s="52"/>
      <c r="C759" s="53"/>
      <c r="D759" s="53"/>
      <c r="E759" s="53"/>
      <c r="F759" s="53"/>
      <c r="G759" s="53"/>
      <c r="H759" s="1"/>
      <c r="I759" s="1"/>
    </row>
    <row r="760" ht="14.25" customHeight="1">
      <c r="A760" s="52"/>
      <c r="B760" s="52"/>
      <c r="C760" s="53"/>
      <c r="D760" s="53"/>
      <c r="E760" s="53"/>
      <c r="F760" s="53"/>
      <c r="G760" s="53"/>
      <c r="H760" s="1"/>
      <c r="I760" s="1"/>
    </row>
    <row r="761" ht="14.25" customHeight="1">
      <c r="A761" s="52"/>
      <c r="B761" s="52"/>
      <c r="C761" s="53"/>
      <c r="D761" s="53"/>
      <c r="E761" s="53"/>
      <c r="F761" s="53"/>
      <c r="G761" s="53"/>
      <c r="H761" s="1"/>
      <c r="I761" s="1"/>
    </row>
    <row r="762" ht="14.25" customHeight="1">
      <c r="A762" s="52"/>
      <c r="B762" s="52"/>
      <c r="C762" s="53"/>
      <c r="D762" s="53"/>
      <c r="E762" s="53"/>
      <c r="F762" s="53"/>
      <c r="G762" s="53"/>
      <c r="H762" s="1"/>
      <c r="I762" s="1"/>
    </row>
    <row r="763" ht="14.25" customHeight="1">
      <c r="A763" s="52"/>
      <c r="B763" s="52"/>
      <c r="C763" s="53"/>
      <c r="D763" s="53"/>
      <c r="E763" s="53"/>
      <c r="F763" s="53"/>
      <c r="G763" s="53"/>
      <c r="H763" s="1"/>
      <c r="I763" s="1"/>
    </row>
    <row r="764" ht="14.25" customHeight="1">
      <c r="A764" s="52"/>
      <c r="B764" s="52"/>
      <c r="C764" s="53"/>
      <c r="D764" s="53"/>
      <c r="E764" s="53"/>
      <c r="F764" s="53"/>
      <c r="G764" s="53"/>
      <c r="H764" s="1"/>
      <c r="I764" s="1"/>
    </row>
    <row r="765" ht="14.25" customHeight="1">
      <c r="A765" s="52"/>
      <c r="B765" s="52"/>
      <c r="C765" s="53"/>
      <c r="D765" s="53"/>
      <c r="E765" s="53"/>
      <c r="F765" s="53"/>
      <c r="G765" s="53"/>
      <c r="H765" s="1"/>
      <c r="I765" s="1"/>
    </row>
    <row r="766" ht="14.25" customHeight="1">
      <c r="A766" s="52"/>
      <c r="B766" s="52"/>
      <c r="C766" s="53"/>
      <c r="D766" s="53"/>
      <c r="E766" s="53"/>
      <c r="F766" s="53"/>
      <c r="G766" s="53"/>
      <c r="H766" s="1"/>
      <c r="I766" s="1"/>
    </row>
    <row r="767" ht="14.25" customHeight="1">
      <c r="A767" s="52"/>
      <c r="B767" s="52"/>
      <c r="C767" s="53"/>
      <c r="D767" s="53"/>
      <c r="E767" s="53"/>
      <c r="F767" s="53"/>
      <c r="G767" s="53"/>
      <c r="H767" s="1"/>
      <c r="I767" s="1"/>
    </row>
    <row r="768" ht="14.25" customHeight="1">
      <c r="A768" s="52"/>
      <c r="B768" s="52"/>
      <c r="C768" s="53"/>
      <c r="D768" s="53"/>
      <c r="E768" s="53"/>
      <c r="F768" s="53"/>
      <c r="G768" s="53"/>
      <c r="H768" s="1"/>
      <c r="I768" s="1"/>
    </row>
    <row r="769" ht="14.25" customHeight="1">
      <c r="A769" s="52"/>
      <c r="B769" s="52"/>
      <c r="C769" s="53"/>
      <c r="D769" s="53"/>
      <c r="E769" s="53"/>
      <c r="F769" s="53"/>
      <c r="G769" s="53"/>
      <c r="H769" s="1"/>
      <c r="I769" s="1"/>
    </row>
    <row r="770" ht="14.25" customHeight="1">
      <c r="A770" s="52"/>
      <c r="B770" s="52"/>
      <c r="C770" s="53"/>
      <c r="D770" s="53"/>
      <c r="E770" s="53"/>
      <c r="F770" s="53"/>
      <c r="G770" s="53"/>
      <c r="H770" s="1"/>
      <c r="I770" s="1"/>
    </row>
    <row r="771" ht="14.25" customHeight="1">
      <c r="A771" s="52"/>
      <c r="B771" s="52"/>
      <c r="C771" s="53"/>
      <c r="D771" s="53"/>
      <c r="E771" s="53"/>
      <c r="F771" s="53"/>
      <c r="G771" s="53"/>
      <c r="H771" s="1"/>
      <c r="I771" s="1"/>
    </row>
    <row r="772" ht="14.25" customHeight="1">
      <c r="A772" s="52"/>
      <c r="B772" s="52"/>
      <c r="C772" s="53"/>
      <c r="D772" s="53"/>
      <c r="E772" s="53"/>
      <c r="F772" s="53"/>
      <c r="G772" s="53"/>
      <c r="H772" s="1"/>
      <c r="I772" s="1"/>
    </row>
    <row r="773" ht="14.25" customHeight="1">
      <c r="A773" s="52"/>
      <c r="B773" s="52"/>
      <c r="C773" s="53"/>
      <c r="D773" s="53"/>
      <c r="E773" s="53"/>
      <c r="F773" s="53"/>
      <c r="G773" s="53"/>
      <c r="H773" s="1"/>
      <c r="I773" s="1"/>
    </row>
    <row r="774" ht="14.25" customHeight="1">
      <c r="A774" s="52"/>
      <c r="B774" s="52"/>
      <c r="C774" s="53"/>
      <c r="D774" s="53"/>
      <c r="E774" s="53"/>
      <c r="F774" s="53"/>
      <c r="G774" s="53"/>
      <c r="H774" s="1"/>
      <c r="I774" s="1"/>
    </row>
    <row r="775" ht="14.25" customHeight="1">
      <c r="A775" s="52"/>
      <c r="B775" s="52"/>
      <c r="C775" s="53"/>
      <c r="D775" s="53"/>
      <c r="E775" s="53"/>
      <c r="F775" s="53"/>
      <c r="G775" s="53"/>
      <c r="H775" s="1"/>
      <c r="I775" s="1"/>
    </row>
    <row r="776" ht="14.25" customHeight="1">
      <c r="A776" s="52"/>
      <c r="B776" s="52"/>
      <c r="C776" s="53"/>
      <c r="D776" s="53"/>
      <c r="E776" s="53"/>
      <c r="F776" s="53"/>
      <c r="G776" s="53"/>
      <c r="H776" s="1"/>
      <c r="I776" s="1"/>
    </row>
    <row r="777" ht="14.25" customHeight="1">
      <c r="A777" s="52"/>
      <c r="B777" s="52"/>
      <c r="C777" s="53"/>
      <c r="D777" s="53"/>
      <c r="E777" s="53"/>
      <c r="F777" s="53"/>
      <c r="G777" s="53"/>
      <c r="H777" s="1"/>
      <c r="I777" s="1"/>
    </row>
    <row r="778" ht="14.25" customHeight="1">
      <c r="A778" s="52"/>
      <c r="B778" s="52"/>
      <c r="C778" s="53"/>
      <c r="D778" s="53"/>
      <c r="E778" s="53"/>
      <c r="F778" s="53"/>
      <c r="G778" s="53"/>
      <c r="H778" s="1"/>
      <c r="I778" s="1"/>
    </row>
    <row r="779" ht="14.25" customHeight="1">
      <c r="A779" s="52"/>
      <c r="B779" s="52"/>
      <c r="C779" s="53"/>
      <c r="D779" s="53"/>
      <c r="E779" s="53"/>
      <c r="F779" s="53"/>
      <c r="G779" s="53"/>
      <c r="H779" s="1"/>
      <c r="I779" s="1"/>
    </row>
    <row r="780" ht="14.25" customHeight="1">
      <c r="A780" s="52"/>
      <c r="B780" s="52"/>
      <c r="C780" s="53"/>
      <c r="D780" s="53"/>
      <c r="E780" s="53"/>
      <c r="F780" s="53"/>
      <c r="G780" s="53"/>
      <c r="H780" s="1"/>
      <c r="I780" s="1"/>
    </row>
    <row r="781" ht="14.25" customHeight="1">
      <c r="A781" s="52"/>
      <c r="B781" s="52"/>
      <c r="C781" s="53"/>
      <c r="D781" s="53"/>
      <c r="E781" s="53"/>
      <c r="F781" s="53"/>
      <c r="G781" s="53"/>
      <c r="H781" s="1"/>
      <c r="I781" s="1"/>
    </row>
    <row r="782" ht="14.25" customHeight="1">
      <c r="A782" s="52"/>
      <c r="B782" s="52"/>
      <c r="C782" s="53"/>
      <c r="D782" s="53"/>
      <c r="E782" s="53"/>
      <c r="F782" s="53"/>
      <c r="G782" s="53"/>
      <c r="H782" s="1"/>
      <c r="I782" s="1"/>
    </row>
    <row r="783" ht="14.25" customHeight="1">
      <c r="A783" s="52"/>
      <c r="B783" s="52"/>
      <c r="C783" s="53"/>
      <c r="D783" s="53"/>
      <c r="E783" s="53"/>
      <c r="F783" s="53"/>
      <c r="G783" s="53"/>
      <c r="H783" s="1"/>
      <c r="I783" s="1"/>
    </row>
    <row r="784" ht="14.25" customHeight="1">
      <c r="A784" s="52"/>
      <c r="B784" s="52"/>
      <c r="C784" s="53"/>
      <c r="D784" s="53"/>
      <c r="E784" s="53"/>
      <c r="F784" s="53"/>
      <c r="G784" s="53"/>
      <c r="H784" s="1"/>
      <c r="I784" s="1"/>
    </row>
    <row r="785" ht="14.25" customHeight="1">
      <c r="A785" s="52"/>
      <c r="B785" s="52"/>
      <c r="C785" s="53"/>
      <c r="D785" s="53"/>
      <c r="E785" s="53"/>
      <c r="F785" s="53"/>
      <c r="G785" s="53"/>
      <c r="H785" s="1"/>
      <c r="I785" s="1"/>
    </row>
    <row r="786" ht="14.25" customHeight="1">
      <c r="A786" s="52"/>
      <c r="B786" s="52"/>
      <c r="C786" s="53"/>
      <c r="D786" s="53"/>
      <c r="E786" s="53"/>
      <c r="F786" s="53"/>
      <c r="G786" s="53"/>
      <c r="H786" s="1"/>
      <c r="I786" s="1"/>
    </row>
    <row r="787" ht="14.25" customHeight="1">
      <c r="A787" s="52"/>
      <c r="B787" s="52"/>
      <c r="C787" s="53"/>
      <c r="D787" s="53"/>
      <c r="E787" s="53"/>
      <c r="F787" s="53"/>
      <c r="G787" s="53"/>
      <c r="H787" s="1"/>
      <c r="I787" s="1"/>
    </row>
    <row r="788" ht="14.25" customHeight="1">
      <c r="A788" s="52"/>
      <c r="B788" s="52"/>
      <c r="C788" s="53"/>
      <c r="D788" s="53"/>
      <c r="E788" s="53"/>
      <c r="F788" s="53"/>
      <c r="G788" s="53"/>
      <c r="H788" s="1"/>
      <c r="I788" s="1"/>
    </row>
    <row r="789" ht="14.25" customHeight="1">
      <c r="A789" s="52"/>
      <c r="B789" s="52"/>
      <c r="C789" s="53"/>
      <c r="D789" s="53"/>
      <c r="E789" s="53"/>
      <c r="F789" s="53"/>
      <c r="G789" s="53"/>
      <c r="H789" s="1"/>
      <c r="I789" s="1"/>
    </row>
    <row r="790" ht="14.25" customHeight="1">
      <c r="A790" s="52"/>
      <c r="B790" s="52"/>
      <c r="C790" s="53"/>
      <c r="D790" s="53"/>
      <c r="E790" s="53"/>
      <c r="F790" s="53"/>
      <c r="G790" s="53"/>
      <c r="H790" s="1"/>
      <c r="I790" s="1"/>
    </row>
    <row r="791" ht="14.25" customHeight="1">
      <c r="A791" s="52"/>
      <c r="B791" s="52"/>
      <c r="C791" s="53"/>
      <c r="D791" s="53"/>
      <c r="E791" s="53"/>
      <c r="F791" s="53"/>
      <c r="G791" s="53"/>
      <c r="H791" s="1"/>
      <c r="I791" s="1"/>
    </row>
    <row r="792" ht="14.25" customHeight="1">
      <c r="A792" s="52"/>
      <c r="B792" s="52"/>
      <c r="C792" s="53"/>
      <c r="D792" s="53"/>
      <c r="E792" s="53"/>
      <c r="F792" s="53"/>
      <c r="G792" s="53"/>
      <c r="H792" s="1"/>
      <c r="I792" s="1"/>
    </row>
    <row r="793" ht="14.25" customHeight="1">
      <c r="A793" s="52"/>
      <c r="B793" s="52"/>
      <c r="C793" s="53"/>
      <c r="D793" s="53"/>
      <c r="E793" s="53"/>
      <c r="F793" s="53"/>
      <c r="G793" s="53"/>
      <c r="H793" s="1"/>
      <c r="I793" s="1"/>
    </row>
    <row r="794" ht="14.25" customHeight="1">
      <c r="A794" s="52"/>
      <c r="B794" s="52"/>
      <c r="C794" s="53"/>
      <c r="D794" s="53"/>
      <c r="E794" s="53"/>
      <c r="F794" s="53"/>
      <c r="G794" s="53"/>
      <c r="H794" s="1"/>
      <c r="I794" s="1"/>
    </row>
    <row r="795" ht="14.25" customHeight="1">
      <c r="A795" s="52"/>
      <c r="B795" s="52"/>
      <c r="C795" s="53"/>
      <c r="D795" s="53"/>
      <c r="E795" s="53"/>
      <c r="F795" s="53"/>
      <c r="G795" s="53"/>
      <c r="H795" s="1"/>
      <c r="I795" s="1"/>
    </row>
    <row r="796" ht="14.25" customHeight="1">
      <c r="A796" s="52"/>
      <c r="B796" s="52"/>
      <c r="C796" s="53"/>
      <c r="D796" s="53"/>
      <c r="E796" s="53"/>
      <c r="F796" s="53"/>
      <c r="G796" s="53"/>
      <c r="H796" s="1"/>
      <c r="I796" s="1"/>
    </row>
    <row r="797" ht="14.25" customHeight="1">
      <c r="A797" s="52"/>
      <c r="B797" s="52"/>
      <c r="C797" s="53"/>
      <c r="D797" s="53"/>
      <c r="E797" s="53"/>
      <c r="F797" s="53"/>
      <c r="G797" s="53"/>
      <c r="H797" s="1"/>
      <c r="I797" s="1"/>
    </row>
    <row r="798" ht="14.25" customHeight="1">
      <c r="A798" s="52"/>
      <c r="B798" s="52"/>
      <c r="C798" s="53"/>
      <c r="D798" s="53"/>
      <c r="E798" s="53"/>
      <c r="F798" s="53"/>
      <c r="G798" s="53"/>
      <c r="H798" s="1"/>
      <c r="I798" s="1"/>
    </row>
    <row r="799" ht="14.25" customHeight="1">
      <c r="A799" s="52"/>
      <c r="B799" s="52"/>
      <c r="C799" s="53"/>
      <c r="D799" s="53"/>
      <c r="E799" s="53"/>
      <c r="F799" s="53"/>
      <c r="G799" s="53"/>
      <c r="H799" s="1"/>
      <c r="I799" s="1"/>
    </row>
    <row r="800" ht="14.25" customHeight="1">
      <c r="A800" s="52"/>
      <c r="B800" s="52"/>
      <c r="C800" s="53"/>
      <c r="D800" s="53"/>
      <c r="E800" s="53"/>
      <c r="F800" s="53"/>
      <c r="G800" s="53"/>
      <c r="H800" s="1"/>
      <c r="I800" s="1"/>
    </row>
    <row r="801" ht="14.25" customHeight="1">
      <c r="A801" s="52"/>
      <c r="B801" s="52"/>
      <c r="C801" s="53"/>
      <c r="D801" s="53"/>
      <c r="E801" s="53"/>
      <c r="F801" s="53"/>
      <c r="G801" s="53"/>
      <c r="H801" s="1"/>
      <c r="I801" s="1"/>
    </row>
    <row r="802" ht="14.25" customHeight="1">
      <c r="A802" s="52"/>
      <c r="B802" s="52"/>
      <c r="C802" s="53"/>
      <c r="D802" s="53"/>
      <c r="E802" s="53"/>
      <c r="F802" s="53"/>
      <c r="G802" s="53"/>
      <c r="H802" s="1"/>
      <c r="I802" s="1"/>
    </row>
    <row r="803" ht="14.25" customHeight="1">
      <c r="A803" s="52"/>
      <c r="B803" s="52"/>
      <c r="C803" s="53"/>
      <c r="D803" s="53"/>
      <c r="E803" s="53"/>
      <c r="F803" s="53"/>
      <c r="G803" s="53"/>
      <c r="H803" s="1"/>
      <c r="I803" s="1"/>
    </row>
    <row r="804" ht="14.25" customHeight="1">
      <c r="A804" s="52"/>
      <c r="B804" s="52"/>
      <c r="C804" s="53"/>
      <c r="D804" s="53"/>
      <c r="E804" s="53"/>
      <c r="F804" s="53"/>
      <c r="G804" s="53"/>
      <c r="H804" s="1"/>
      <c r="I804" s="1"/>
    </row>
    <row r="805" ht="14.25" customHeight="1">
      <c r="A805" s="52"/>
      <c r="B805" s="52"/>
      <c r="C805" s="53"/>
      <c r="D805" s="53"/>
      <c r="E805" s="53"/>
      <c r="F805" s="53"/>
      <c r="G805" s="53"/>
      <c r="H805" s="1"/>
      <c r="I805" s="1"/>
    </row>
    <row r="806" ht="14.25" customHeight="1">
      <c r="A806" s="52"/>
      <c r="B806" s="52"/>
      <c r="C806" s="53"/>
      <c r="D806" s="53"/>
      <c r="E806" s="53"/>
      <c r="F806" s="53"/>
      <c r="G806" s="53"/>
      <c r="H806" s="1"/>
      <c r="I806" s="1"/>
    </row>
    <row r="807" ht="14.25" customHeight="1">
      <c r="A807" s="52"/>
      <c r="B807" s="52"/>
      <c r="C807" s="53"/>
      <c r="D807" s="53"/>
      <c r="E807" s="53"/>
      <c r="F807" s="53"/>
      <c r="G807" s="53"/>
      <c r="H807" s="1"/>
      <c r="I807" s="1"/>
    </row>
    <row r="808" ht="14.25" customHeight="1">
      <c r="A808" s="52"/>
      <c r="B808" s="52"/>
      <c r="C808" s="53"/>
      <c r="D808" s="53"/>
      <c r="E808" s="53"/>
      <c r="F808" s="53"/>
      <c r="G808" s="53"/>
      <c r="H808" s="1"/>
      <c r="I808" s="1"/>
    </row>
    <row r="809" ht="14.25" customHeight="1">
      <c r="A809" s="52"/>
      <c r="B809" s="52"/>
      <c r="C809" s="53"/>
      <c r="D809" s="53"/>
      <c r="E809" s="53"/>
      <c r="F809" s="53"/>
      <c r="G809" s="53"/>
      <c r="H809" s="1"/>
      <c r="I809" s="1"/>
    </row>
    <row r="810" ht="14.25" customHeight="1">
      <c r="A810" s="52"/>
      <c r="B810" s="52"/>
      <c r="C810" s="53"/>
      <c r="D810" s="53"/>
      <c r="E810" s="53"/>
      <c r="F810" s="53"/>
      <c r="G810" s="53"/>
      <c r="H810" s="1"/>
      <c r="I810" s="1"/>
    </row>
    <row r="811" ht="14.25" customHeight="1">
      <c r="A811" s="52"/>
      <c r="B811" s="52"/>
      <c r="C811" s="53"/>
      <c r="D811" s="53"/>
      <c r="E811" s="53"/>
      <c r="F811" s="53"/>
      <c r="G811" s="53"/>
      <c r="H811" s="1"/>
      <c r="I811" s="1"/>
    </row>
    <row r="812" ht="14.25" customHeight="1">
      <c r="A812" s="52"/>
      <c r="B812" s="52"/>
      <c r="C812" s="53"/>
      <c r="D812" s="53"/>
      <c r="E812" s="53"/>
      <c r="F812" s="53"/>
      <c r="G812" s="53"/>
      <c r="H812" s="1"/>
      <c r="I812" s="1"/>
    </row>
    <row r="813" ht="14.25" customHeight="1">
      <c r="A813" s="52"/>
      <c r="B813" s="52"/>
      <c r="C813" s="53"/>
      <c r="D813" s="53"/>
      <c r="E813" s="53"/>
      <c r="F813" s="53"/>
      <c r="G813" s="53"/>
      <c r="H813" s="1"/>
      <c r="I813" s="1"/>
    </row>
    <row r="814" ht="14.25" customHeight="1">
      <c r="A814" s="52"/>
      <c r="B814" s="52"/>
      <c r="C814" s="53"/>
      <c r="D814" s="53"/>
      <c r="E814" s="53"/>
      <c r="F814" s="53"/>
      <c r="G814" s="53"/>
      <c r="H814" s="1"/>
      <c r="I814" s="1"/>
    </row>
    <row r="815" ht="14.25" customHeight="1">
      <c r="A815" s="52"/>
      <c r="B815" s="52"/>
      <c r="C815" s="53"/>
      <c r="D815" s="53"/>
      <c r="E815" s="53"/>
      <c r="F815" s="53"/>
      <c r="G815" s="53"/>
      <c r="H815" s="1"/>
      <c r="I815" s="1"/>
    </row>
    <row r="816" ht="14.25" customHeight="1">
      <c r="A816" s="52"/>
      <c r="B816" s="52"/>
      <c r="C816" s="53"/>
      <c r="D816" s="53"/>
      <c r="E816" s="53"/>
      <c r="F816" s="53"/>
      <c r="G816" s="53"/>
      <c r="H816" s="1"/>
      <c r="I816" s="1"/>
    </row>
    <row r="817" ht="14.25" customHeight="1">
      <c r="A817" s="52"/>
      <c r="B817" s="52"/>
      <c r="C817" s="53"/>
      <c r="D817" s="53"/>
      <c r="E817" s="53"/>
      <c r="F817" s="53"/>
      <c r="G817" s="53"/>
      <c r="H817" s="1"/>
      <c r="I817" s="1"/>
    </row>
    <row r="818" ht="14.25" customHeight="1">
      <c r="A818" s="52"/>
      <c r="B818" s="52"/>
      <c r="C818" s="53"/>
      <c r="D818" s="53"/>
      <c r="E818" s="53"/>
      <c r="F818" s="53"/>
      <c r="G818" s="53"/>
      <c r="H818" s="1"/>
      <c r="I818" s="1"/>
    </row>
    <row r="819" ht="14.25" customHeight="1">
      <c r="A819" s="52"/>
      <c r="B819" s="52"/>
      <c r="C819" s="53"/>
      <c r="D819" s="53"/>
      <c r="E819" s="53"/>
      <c r="F819" s="53"/>
      <c r="G819" s="53"/>
      <c r="H819" s="1"/>
      <c r="I819" s="1"/>
    </row>
    <row r="820" ht="14.25" customHeight="1">
      <c r="A820" s="52"/>
      <c r="B820" s="52"/>
      <c r="C820" s="53"/>
      <c r="D820" s="53"/>
      <c r="E820" s="53"/>
      <c r="F820" s="53"/>
      <c r="G820" s="53"/>
      <c r="H820" s="1"/>
      <c r="I820" s="1"/>
    </row>
    <row r="821" ht="14.25" customHeight="1">
      <c r="A821" s="52"/>
      <c r="B821" s="52"/>
      <c r="C821" s="53"/>
      <c r="D821" s="53"/>
      <c r="E821" s="53"/>
      <c r="F821" s="53"/>
      <c r="G821" s="53"/>
      <c r="H821" s="1"/>
      <c r="I821" s="1"/>
    </row>
    <row r="822" ht="14.25" customHeight="1">
      <c r="A822" s="52"/>
      <c r="B822" s="52"/>
      <c r="C822" s="53"/>
      <c r="D822" s="53"/>
      <c r="E822" s="53"/>
      <c r="F822" s="53"/>
      <c r="G822" s="53"/>
      <c r="H822" s="1"/>
      <c r="I822" s="1"/>
    </row>
    <row r="823" ht="14.25" customHeight="1">
      <c r="A823" s="52"/>
      <c r="B823" s="52"/>
      <c r="C823" s="53"/>
      <c r="D823" s="53"/>
      <c r="E823" s="53"/>
      <c r="F823" s="53"/>
      <c r="G823" s="53"/>
      <c r="H823" s="1"/>
      <c r="I823" s="1"/>
    </row>
    <row r="824" ht="14.25" customHeight="1">
      <c r="A824" s="52"/>
      <c r="B824" s="52"/>
      <c r="C824" s="53"/>
      <c r="D824" s="53"/>
      <c r="E824" s="53"/>
      <c r="F824" s="53"/>
      <c r="G824" s="53"/>
      <c r="H824" s="1"/>
      <c r="I824" s="1"/>
    </row>
    <row r="825" ht="14.25" customHeight="1">
      <c r="A825" s="52"/>
      <c r="B825" s="52"/>
      <c r="C825" s="53"/>
      <c r="D825" s="53"/>
      <c r="E825" s="53"/>
      <c r="F825" s="53"/>
      <c r="G825" s="53"/>
      <c r="H825" s="1"/>
      <c r="I825" s="1"/>
    </row>
    <row r="826" ht="14.25" customHeight="1">
      <c r="A826" s="52"/>
      <c r="B826" s="52"/>
      <c r="C826" s="53"/>
      <c r="D826" s="53"/>
      <c r="E826" s="53"/>
      <c r="F826" s="53"/>
      <c r="G826" s="53"/>
      <c r="H826" s="1"/>
      <c r="I826" s="1"/>
    </row>
    <row r="827" ht="14.25" customHeight="1">
      <c r="A827" s="52"/>
      <c r="B827" s="52"/>
      <c r="C827" s="53"/>
      <c r="D827" s="53"/>
      <c r="E827" s="53"/>
      <c r="F827" s="53"/>
      <c r="G827" s="53"/>
      <c r="H827" s="1"/>
      <c r="I827" s="1"/>
    </row>
    <row r="828" ht="14.25" customHeight="1">
      <c r="A828" s="52"/>
      <c r="B828" s="52"/>
      <c r="C828" s="53"/>
      <c r="D828" s="53"/>
      <c r="E828" s="53"/>
      <c r="F828" s="53"/>
      <c r="G828" s="53"/>
      <c r="H828" s="1"/>
      <c r="I828" s="1"/>
    </row>
    <row r="829" ht="14.25" customHeight="1">
      <c r="A829" s="52"/>
      <c r="B829" s="52"/>
      <c r="C829" s="53"/>
      <c r="D829" s="53"/>
      <c r="E829" s="53"/>
      <c r="F829" s="53"/>
      <c r="G829" s="53"/>
      <c r="H829" s="1"/>
      <c r="I829" s="1"/>
    </row>
    <row r="830" ht="14.25" customHeight="1">
      <c r="A830" s="52"/>
      <c r="B830" s="52"/>
      <c r="C830" s="53"/>
      <c r="D830" s="53"/>
      <c r="E830" s="53"/>
      <c r="F830" s="53"/>
      <c r="G830" s="53"/>
      <c r="H830" s="1"/>
      <c r="I830" s="1"/>
    </row>
    <row r="831" ht="14.25" customHeight="1">
      <c r="A831" s="52"/>
      <c r="B831" s="52"/>
      <c r="C831" s="53"/>
      <c r="D831" s="53"/>
      <c r="E831" s="53"/>
      <c r="F831" s="53"/>
      <c r="G831" s="53"/>
      <c r="H831" s="1"/>
      <c r="I831" s="1"/>
    </row>
    <row r="832" ht="14.25" customHeight="1">
      <c r="A832" s="52"/>
      <c r="B832" s="52"/>
      <c r="C832" s="53"/>
      <c r="D832" s="53"/>
      <c r="E832" s="53"/>
      <c r="F832" s="53"/>
      <c r="G832" s="53"/>
      <c r="H832" s="1"/>
      <c r="I832" s="1"/>
    </row>
    <row r="833" ht="14.25" customHeight="1">
      <c r="A833" s="52"/>
      <c r="B833" s="52"/>
      <c r="C833" s="53"/>
      <c r="D833" s="53"/>
      <c r="E833" s="53"/>
      <c r="F833" s="53"/>
      <c r="G833" s="53"/>
      <c r="H833" s="1"/>
      <c r="I833" s="1"/>
    </row>
    <row r="834" ht="14.25" customHeight="1">
      <c r="A834" s="52"/>
      <c r="B834" s="52"/>
      <c r="C834" s="53"/>
      <c r="D834" s="53"/>
      <c r="E834" s="53"/>
      <c r="F834" s="53"/>
      <c r="G834" s="53"/>
      <c r="H834" s="1"/>
      <c r="I834" s="1"/>
    </row>
    <row r="835" ht="14.25" customHeight="1">
      <c r="A835" s="52"/>
      <c r="B835" s="52"/>
      <c r="C835" s="53"/>
      <c r="D835" s="53"/>
      <c r="E835" s="53"/>
      <c r="F835" s="53"/>
      <c r="G835" s="53"/>
      <c r="H835" s="1"/>
      <c r="I835" s="1"/>
    </row>
    <row r="836" ht="14.25" customHeight="1">
      <c r="A836" s="52"/>
      <c r="B836" s="52"/>
      <c r="C836" s="53"/>
      <c r="D836" s="53"/>
      <c r="E836" s="53"/>
      <c r="F836" s="53"/>
      <c r="G836" s="53"/>
      <c r="H836" s="1"/>
      <c r="I836" s="1"/>
    </row>
    <row r="837" ht="14.25" customHeight="1">
      <c r="A837" s="52"/>
      <c r="B837" s="52"/>
      <c r="C837" s="53"/>
      <c r="D837" s="53"/>
      <c r="E837" s="53"/>
      <c r="F837" s="53"/>
      <c r="G837" s="53"/>
      <c r="H837" s="1"/>
      <c r="I837" s="1"/>
    </row>
    <row r="838" ht="14.25" customHeight="1">
      <c r="A838" s="52"/>
      <c r="B838" s="52"/>
      <c r="C838" s="53"/>
      <c r="D838" s="53"/>
      <c r="E838" s="53"/>
      <c r="F838" s="53"/>
      <c r="G838" s="53"/>
      <c r="H838" s="1"/>
      <c r="I838" s="1"/>
    </row>
    <row r="839" ht="14.25" customHeight="1">
      <c r="A839" s="52"/>
      <c r="B839" s="52"/>
      <c r="C839" s="53"/>
      <c r="D839" s="53"/>
      <c r="E839" s="53"/>
      <c r="F839" s="53"/>
      <c r="G839" s="53"/>
      <c r="H839" s="1"/>
      <c r="I839" s="1"/>
    </row>
    <row r="840" ht="14.25" customHeight="1">
      <c r="A840" s="52"/>
      <c r="B840" s="52"/>
      <c r="C840" s="53"/>
      <c r="D840" s="53"/>
      <c r="E840" s="53"/>
      <c r="F840" s="53"/>
      <c r="G840" s="53"/>
      <c r="H840" s="1"/>
      <c r="I840" s="1"/>
    </row>
    <row r="841" ht="14.25" customHeight="1">
      <c r="A841" s="52"/>
      <c r="B841" s="52"/>
      <c r="C841" s="53"/>
      <c r="D841" s="53"/>
      <c r="E841" s="53"/>
      <c r="F841" s="53"/>
      <c r="G841" s="53"/>
      <c r="H841" s="1"/>
      <c r="I841" s="1"/>
    </row>
    <row r="842" ht="14.25" customHeight="1">
      <c r="A842" s="52"/>
      <c r="B842" s="52"/>
      <c r="C842" s="53"/>
      <c r="D842" s="53"/>
      <c r="E842" s="53"/>
      <c r="F842" s="53"/>
      <c r="G842" s="53"/>
      <c r="H842" s="1"/>
      <c r="I842" s="1"/>
    </row>
    <row r="843" ht="14.25" customHeight="1">
      <c r="A843" s="52"/>
      <c r="B843" s="52"/>
      <c r="C843" s="53"/>
      <c r="D843" s="53"/>
      <c r="E843" s="53"/>
      <c r="F843" s="53"/>
      <c r="G843" s="53"/>
      <c r="H843" s="1"/>
      <c r="I843" s="1"/>
    </row>
    <row r="844" ht="14.25" customHeight="1">
      <c r="A844" s="52"/>
      <c r="B844" s="52"/>
      <c r="C844" s="53"/>
      <c r="D844" s="53"/>
      <c r="E844" s="53"/>
      <c r="F844" s="53"/>
      <c r="G844" s="53"/>
      <c r="H844" s="1"/>
      <c r="I844" s="1"/>
    </row>
    <row r="845" ht="14.25" customHeight="1">
      <c r="A845" s="52"/>
      <c r="B845" s="52"/>
      <c r="C845" s="53"/>
      <c r="D845" s="53"/>
      <c r="E845" s="53"/>
      <c r="F845" s="53"/>
      <c r="G845" s="53"/>
      <c r="H845" s="1"/>
      <c r="I845" s="1"/>
    </row>
    <row r="846" ht="14.25" customHeight="1">
      <c r="A846" s="52"/>
      <c r="B846" s="52"/>
      <c r="C846" s="53"/>
      <c r="D846" s="53"/>
      <c r="E846" s="53"/>
      <c r="F846" s="53"/>
      <c r="G846" s="53"/>
      <c r="H846" s="1"/>
      <c r="I846" s="1"/>
    </row>
    <row r="847" ht="14.25" customHeight="1">
      <c r="A847" s="52"/>
      <c r="B847" s="52"/>
      <c r="C847" s="53"/>
      <c r="D847" s="53"/>
      <c r="E847" s="53"/>
      <c r="F847" s="53"/>
      <c r="G847" s="53"/>
      <c r="H847" s="1"/>
      <c r="I847" s="1"/>
    </row>
    <row r="848" ht="14.25" customHeight="1">
      <c r="A848" s="52"/>
      <c r="B848" s="52"/>
      <c r="C848" s="53"/>
      <c r="D848" s="53"/>
      <c r="E848" s="53"/>
      <c r="F848" s="53"/>
      <c r="G848" s="53"/>
      <c r="H848" s="1"/>
      <c r="I848" s="1"/>
    </row>
    <row r="849" ht="14.25" customHeight="1">
      <c r="A849" s="52"/>
      <c r="B849" s="52"/>
      <c r="C849" s="53"/>
      <c r="D849" s="53"/>
      <c r="E849" s="53"/>
      <c r="F849" s="53"/>
      <c r="G849" s="53"/>
      <c r="H849" s="1"/>
      <c r="I849" s="1"/>
    </row>
    <row r="850" ht="14.25" customHeight="1">
      <c r="A850" s="52"/>
      <c r="B850" s="52"/>
      <c r="C850" s="53"/>
      <c r="D850" s="53"/>
      <c r="E850" s="53"/>
      <c r="F850" s="53"/>
      <c r="G850" s="53"/>
      <c r="H850" s="1"/>
      <c r="I850" s="1"/>
    </row>
    <row r="851" ht="14.25" customHeight="1">
      <c r="A851" s="52"/>
      <c r="B851" s="52"/>
      <c r="C851" s="53"/>
      <c r="D851" s="53"/>
      <c r="E851" s="53"/>
      <c r="F851" s="53"/>
      <c r="G851" s="53"/>
      <c r="H851" s="1"/>
      <c r="I851" s="1"/>
    </row>
    <row r="852" ht="14.25" customHeight="1">
      <c r="A852" s="52"/>
      <c r="B852" s="52"/>
      <c r="C852" s="53"/>
      <c r="D852" s="53"/>
      <c r="E852" s="53"/>
      <c r="F852" s="53"/>
      <c r="G852" s="53"/>
      <c r="H852" s="1"/>
      <c r="I852" s="1"/>
    </row>
    <row r="853" ht="14.25" customHeight="1">
      <c r="A853" s="52"/>
      <c r="B853" s="52"/>
      <c r="C853" s="53"/>
      <c r="D853" s="53"/>
      <c r="E853" s="53"/>
      <c r="F853" s="53"/>
      <c r="G853" s="53"/>
      <c r="H853" s="1"/>
      <c r="I853" s="1"/>
    </row>
    <row r="854" ht="14.25" customHeight="1">
      <c r="A854" s="52"/>
      <c r="B854" s="52"/>
      <c r="C854" s="53"/>
      <c r="D854" s="53"/>
      <c r="E854" s="53"/>
      <c r="F854" s="53"/>
      <c r="G854" s="53"/>
      <c r="H854" s="1"/>
      <c r="I854" s="1"/>
    </row>
    <row r="855" ht="14.25" customHeight="1">
      <c r="A855" s="52"/>
      <c r="B855" s="52"/>
      <c r="C855" s="53"/>
      <c r="D855" s="53"/>
      <c r="E855" s="53"/>
      <c r="F855" s="53"/>
      <c r="G855" s="53"/>
      <c r="H855" s="1"/>
      <c r="I855" s="1"/>
    </row>
    <row r="856" ht="14.25" customHeight="1">
      <c r="A856" s="52"/>
      <c r="B856" s="52"/>
      <c r="C856" s="53"/>
      <c r="D856" s="53"/>
      <c r="E856" s="53"/>
      <c r="F856" s="53"/>
      <c r="G856" s="53"/>
      <c r="H856" s="1"/>
      <c r="I856" s="1"/>
    </row>
    <row r="857" ht="14.25" customHeight="1">
      <c r="A857" s="52"/>
      <c r="B857" s="52"/>
      <c r="C857" s="53"/>
      <c r="D857" s="53"/>
      <c r="E857" s="53"/>
      <c r="F857" s="53"/>
      <c r="G857" s="53"/>
      <c r="H857" s="1"/>
      <c r="I857" s="1"/>
    </row>
    <row r="858" ht="14.25" customHeight="1">
      <c r="A858" s="52"/>
      <c r="B858" s="52"/>
      <c r="C858" s="53"/>
      <c r="D858" s="53"/>
      <c r="E858" s="53"/>
      <c r="F858" s="53"/>
      <c r="G858" s="53"/>
      <c r="H858" s="1"/>
      <c r="I858" s="1"/>
    </row>
    <row r="859" ht="14.25" customHeight="1">
      <c r="A859" s="52"/>
      <c r="B859" s="52"/>
      <c r="C859" s="53"/>
      <c r="D859" s="53"/>
      <c r="E859" s="53"/>
      <c r="F859" s="53"/>
      <c r="G859" s="53"/>
      <c r="H859" s="1"/>
      <c r="I859" s="1"/>
    </row>
    <row r="860" ht="14.25" customHeight="1">
      <c r="A860" s="52"/>
      <c r="B860" s="52"/>
      <c r="C860" s="53"/>
      <c r="D860" s="53"/>
      <c r="E860" s="53"/>
      <c r="F860" s="53"/>
      <c r="G860" s="53"/>
      <c r="H860" s="1"/>
      <c r="I860" s="1"/>
    </row>
    <row r="861" ht="14.25" customHeight="1">
      <c r="A861" s="52"/>
      <c r="B861" s="52"/>
      <c r="C861" s="53"/>
      <c r="D861" s="53"/>
      <c r="E861" s="53"/>
      <c r="F861" s="53"/>
      <c r="G861" s="53"/>
      <c r="H861" s="1"/>
      <c r="I861" s="1"/>
    </row>
    <row r="862" ht="14.25" customHeight="1">
      <c r="A862" s="52"/>
      <c r="B862" s="52"/>
      <c r="C862" s="53"/>
      <c r="D862" s="53"/>
      <c r="E862" s="53"/>
      <c r="F862" s="53"/>
      <c r="G862" s="53"/>
      <c r="H862" s="1"/>
      <c r="I862" s="1"/>
    </row>
    <row r="863" ht="14.25" customHeight="1">
      <c r="A863" s="52"/>
      <c r="B863" s="52"/>
      <c r="C863" s="53"/>
      <c r="D863" s="53"/>
      <c r="E863" s="53"/>
      <c r="F863" s="53"/>
      <c r="G863" s="53"/>
      <c r="H863" s="1"/>
      <c r="I863" s="1"/>
    </row>
    <row r="864" ht="14.25" customHeight="1">
      <c r="A864" s="52"/>
      <c r="B864" s="52"/>
      <c r="C864" s="53"/>
      <c r="D864" s="53"/>
      <c r="E864" s="53"/>
      <c r="F864" s="53"/>
      <c r="G864" s="53"/>
      <c r="H864" s="1"/>
      <c r="I864" s="1"/>
    </row>
    <row r="865" ht="14.25" customHeight="1">
      <c r="A865" s="52"/>
      <c r="B865" s="52"/>
      <c r="C865" s="53"/>
      <c r="D865" s="53"/>
      <c r="E865" s="53"/>
      <c r="F865" s="53"/>
      <c r="G865" s="53"/>
      <c r="H865" s="1"/>
      <c r="I865" s="1"/>
    </row>
    <row r="866" ht="14.25" customHeight="1">
      <c r="A866" s="52"/>
      <c r="B866" s="52"/>
      <c r="C866" s="53"/>
      <c r="D866" s="53"/>
      <c r="E866" s="53"/>
      <c r="F866" s="53"/>
      <c r="G866" s="53"/>
      <c r="H866" s="1"/>
      <c r="I866" s="1"/>
    </row>
    <row r="867" ht="14.25" customHeight="1">
      <c r="A867" s="52"/>
      <c r="B867" s="52"/>
      <c r="C867" s="53"/>
      <c r="D867" s="53"/>
      <c r="E867" s="53"/>
      <c r="F867" s="53"/>
      <c r="G867" s="53"/>
      <c r="H867" s="1"/>
      <c r="I867" s="1"/>
    </row>
    <row r="868" ht="14.25" customHeight="1">
      <c r="A868" s="52"/>
      <c r="B868" s="52"/>
      <c r="C868" s="53"/>
      <c r="D868" s="53"/>
      <c r="E868" s="53"/>
      <c r="F868" s="53"/>
      <c r="G868" s="53"/>
      <c r="H868" s="1"/>
      <c r="I868" s="1"/>
    </row>
    <row r="869" ht="14.25" customHeight="1">
      <c r="A869" s="52"/>
      <c r="B869" s="52"/>
      <c r="C869" s="53"/>
      <c r="D869" s="53"/>
      <c r="E869" s="53"/>
      <c r="F869" s="53"/>
      <c r="G869" s="53"/>
      <c r="H869" s="1"/>
      <c r="I869" s="1"/>
    </row>
    <row r="870" ht="14.25" customHeight="1">
      <c r="A870" s="52"/>
      <c r="B870" s="52"/>
      <c r="C870" s="53"/>
      <c r="D870" s="53"/>
      <c r="E870" s="53"/>
      <c r="F870" s="53"/>
      <c r="G870" s="53"/>
      <c r="H870" s="1"/>
      <c r="I870" s="1"/>
    </row>
    <row r="871" ht="14.25" customHeight="1">
      <c r="A871" s="52"/>
      <c r="B871" s="52"/>
      <c r="C871" s="53"/>
      <c r="D871" s="53"/>
      <c r="E871" s="53"/>
      <c r="F871" s="53"/>
      <c r="G871" s="53"/>
      <c r="H871" s="1"/>
      <c r="I871" s="1"/>
    </row>
    <row r="872" ht="14.25" customHeight="1">
      <c r="A872" s="52"/>
      <c r="B872" s="52"/>
      <c r="C872" s="53"/>
      <c r="D872" s="53"/>
      <c r="E872" s="53"/>
      <c r="F872" s="53"/>
      <c r="G872" s="53"/>
      <c r="H872" s="1"/>
      <c r="I872" s="1"/>
    </row>
    <row r="873" ht="14.25" customHeight="1">
      <c r="A873" s="52"/>
      <c r="B873" s="52"/>
      <c r="C873" s="53"/>
      <c r="D873" s="53"/>
      <c r="E873" s="53"/>
      <c r="F873" s="53"/>
      <c r="G873" s="53"/>
      <c r="H873" s="1"/>
      <c r="I873" s="1"/>
    </row>
    <row r="874" ht="14.25" customHeight="1">
      <c r="A874" s="52"/>
      <c r="B874" s="52"/>
      <c r="C874" s="53"/>
      <c r="D874" s="53"/>
      <c r="E874" s="53"/>
      <c r="F874" s="53"/>
      <c r="G874" s="53"/>
      <c r="H874" s="1"/>
      <c r="I874" s="1"/>
    </row>
    <row r="875" ht="14.25" customHeight="1">
      <c r="A875" s="52"/>
      <c r="B875" s="52"/>
      <c r="C875" s="53"/>
      <c r="D875" s="53"/>
      <c r="E875" s="53"/>
      <c r="F875" s="53"/>
      <c r="G875" s="53"/>
      <c r="H875" s="1"/>
      <c r="I875" s="1"/>
    </row>
    <row r="876" ht="14.25" customHeight="1">
      <c r="A876" s="52"/>
      <c r="B876" s="52"/>
      <c r="C876" s="53"/>
      <c r="D876" s="53"/>
      <c r="E876" s="53"/>
      <c r="F876" s="53"/>
      <c r="G876" s="53"/>
      <c r="H876" s="1"/>
      <c r="I876" s="1"/>
    </row>
    <row r="877" ht="14.25" customHeight="1">
      <c r="A877" s="52"/>
      <c r="B877" s="52"/>
      <c r="C877" s="53"/>
      <c r="D877" s="53"/>
      <c r="E877" s="53"/>
      <c r="F877" s="53"/>
      <c r="G877" s="53"/>
      <c r="H877" s="1"/>
      <c r="I877" s="1"/>
    </row>
    <row r="878" ht="14.25" customHeight="1">
      <c r="A878" s="52"/>
      <c r="B878" s="52"/>
      <c r="C878" s="53"/>
      <c r="D878" s="53"/>
      <c r="E878" s="53"/>
      <c r="F878" s="53"/>
      <c r="G878" s="53"/>
      <c r="H878" s="1"/>
      <c r="I878" s="1"/>
    </row>
    <row r="879" ht="14.25" customHeight="1">
      <c r="A879" s="52"/>
      <c r="B879" s="52"/>
      <c r="C879" s="53"/>
      <c r="D879" s="53"/>
      <c r="E879" s="53"/>
      <c r="F879" s="53"/>
      <c r="G879" s="53"/>
      <c r="H879" s="1"/>
      <c r="I879" s="1"/>
    </row>
    <row r="880" ht="14.25" customHeight="1">
      <c r="A880" s="52"/>
      <c r="B880" s="52"/>
      <c r="C880" s="53"/>
      <c r="D880" s="53"/>
      <c r="E880" s="53"/>
      <c r="F880" s="53"/>
      <c r="G880" s="53"/>
      <c r="H880" s="1"/>
      <c r="I880" s="1"/>
    </row>
    <row r="881" ht="14.25" customHeight="1">
      <c r="A881" s="52"/>
      <c r="B881" s="52"/>
      <c r="C881" s="53"/>
      <c r="D881" s="53"/>
      <c r="E881" s="53"/>
      <c r="F881" s="53"/>
      <c r="G881" s="53"/>
      <c r="H881" s="1"/>
      <c r="I881" s="1"/>
    </row>
    <row r="882" ht="14.25" customHeight="1">
      <c r="A882" s="52"/>
      <c r="B882" s="52"/>
      <c r="C882" s="53"/>
      <c r="D882" s="53"/>
      <c r="E882" s="53"/>
      <c r="F882" s="53"/>
      <c r="G882" s="53"/>
      <c r="H882" s="1"/>
      <c r="I882" s="1"/>
    </row>
    <row r="883" ht="14.25" customHeight="1">
      <c r="A883" s="52"/>
      <c r="B883" s="52"/>
      <c r="C883" s="53"/>
      <c r="D883" s="53"/>
      <c r="E883" s="53"/>
      <c r="F883" s="53"/>
      <c r="G883" s="53"/>
      <c r="H883" s="1"/>
      <c r="I883" s="1"/>
    </row>
    <row r="884" ht="14.25" customHeight="1">
      <c r="A884" s="52"/>
      <c r="B884" s="52"/>
      <c r="C884" s="53"/>
      <c r="D884" s="53"/>
      <c r="E884" s="53"/>
      <c r="F884" s="53"/>
      <c r="G884" s="53"/>
      <c r="H884" s="1"/>
      <c r="I884" s="1"/>
    </row>
    <row r="885" ht="14.25" customHeight="1">
      <c r="A885" s="52"/>
      <c r="B885" s="52"/>
      <c r="C885" s="53"/>
      <c r="D885" s="53"/>
      <c r="E885" s="53"/>
      <c r="F885" s="53"/>
      <c r="G885" s="53"/>
      <c r="H885" s="1"/>
      <c r="I885" s="1"/>
    </row>
    <row r="886" ht="14.25" customHeight="1">
      <c r="A886" s="52"/>
      <c r="B886" s="52"/>
      <c r="C886" s="53"/>
      <c r="D886" s="53"/>
      <c r="E886" s="53"/>
      <c r="F886" s="53"/>
      <c r="G886" s="53"/>
      <c r="H886" s="1"/>
      <c r="I886" s="1"/>
    </row>
    <row r="887" ht="14.25" customHeight="1">
      <c r="A887" s="52"/>
      <c r="B887" s="52"/>
      <c r="C887" s="53"/>
      <c r="D887" s="53"/>
      <c r="E887" s="53"/>
      <c r="F887" s="53"/>
      <c r="G887" s="53"/>
      <c r="H887" s="1"/>
      <c r="I887" s="1"/>
    </row>
    <row r="888" ht="14.25" customHeight="1">
      <c r="A888" s="52"/>
      <c r="B888" s="52"/>
      <c r="C888" s="53"/>
      <c r="D888" s="53"/>
      <c r="E888" s="53"/>
      <c r="F888" s="53"/>
      <c r="G888" s="53"/>
      <c r="H888" s="1"/>
      <c r="I888" s="1"/>
    </row>
    <row r="889" ht="14.25" customHeight="1">
      <c r="A889" s="52"/>
      <c r="B889" s="52"/>
      <c r="C889" s="53"/>
      <c r="D889" s="53"/>
      <c r="E889" s="53"/>
      <c r="F889" s="53"/>
      <c r="G889" s="53"/>
      <c r="H889" s="1"/>
      <c r="I889" s="1"/>
    </row>
    <row r="890" ht="14.25" customHeight="1">
      <c r="A890" s="52"/>
      <c r="B890" s="52"/>
      <c r="C890" s="53"/>
      <c r="D890" s="53"/>
      <c r="E890" s="53"/>
      <c r="F890" s="53"/>
      <c r="G890" s="53"/>
      <c r="H890" s="1"/>
      <c r="I890" s="1"/>
    </row>
    <row r="891" ht="14.25" customHeight="1">
      <c r="A891" s="52"/>
      <c r="B891" s="52"/>
      <c r="C891" s="53"/>
      <c r="D891" s="53"/>
      <c r="E891" s="53"/>
      <c r="F891" s="53"/>
      <c r="G891" s="53"/>
      <c r="H891" s="1"/>
      <c r="I891" s="1"/>
    </row>
    <row r="892" ht="14.25" customHeight="1">
      <c r="A892" s="52"/>
      <c r="B892" s="52"/>
      <c r="C892" s="53"/>
      <c r="D892" s="53"/>
      <c r="E892" s="53"/>
      <c r="F892" s="53"/>
      <c r="G892" s="53"/>
      <c r="H892" s="1"/>
      <c r="I892" s="1"/>
    </row>
    <row r="893" ht="14.25" customHeight="1">
      <c r="A893" s="52"/>
      <c r="B893" s="52"/>
      <c r="C893" s="53"/>
      <c r="D893" s="53"/>
      <c r="E893" s="53"/>
      <c r="F893" s="53"/>
      <c r="G893" s="53"/>
      <c r="H893" s="1"/>
      <c r="I893" s="1"/>
    </row>
    <row r="894" ht="14.25" customHeight="1">
      <c r="A894" s="52"/>
      <c r="B894" s="52"/>
      <c r="C894" s="53"/>
      <c r="D894" s="53"/>
      <c r="E894" s="53"/>
      <c r="F894" s="53"/>
      <c r="G894" s="53"/>
      <c r="H894" s="1"/>
      <c r="I894" s="1"/>
    </row>
    <row r="895" ht="14.25" customHeight="1">
      <c r="A895" s="52"/>
      <c r="B895" s="52"/>
      <c r="C895" s="53"/>
      <c r="D895" s="53"/>
      <c r="E895" s="53"/>
      <c r="F895" s="53"/>
      <c r="G895" s="53"/>
      <c r="H895" s="1"/>
      <c r="I895" s="1"/>
    </row>
    <row r="896" ht="14.25" customHeight="1">
      <c r="A896" s="52"/>
      <c r="B896" s="52"/>
      <c r="C896" s="53"/>
      <c r="D896" s="53"/>
      <c r="E896" s="53"/>
      <c r="F896" s="53"/>
      <c r="G896" s="53"/>
      <c r="H896" s="1"/>
      <c r="I896" s="1"/>
    </row>
    <row r="897" ht="14.25" customHeight="1">
      <c r="A897" s="52"/>
      <c r="B897" s="52"/>
      <c r="C897" s="53"/>
      <c r="D897" s="53"/>
      <c r="E897" s="53"/>
      <c r="F897" s="53"/>
      <c r="G897" s="53"/>
      <c r="H897" s="1"/>
      <c r="I897" s="1"/>
    </row>
    <row r="898" ht="14.25" customHeight="1">
      <c r="A898" s="52"/>
      <c r="B898" s="52"/>
      <c r="C898" s="53"/>
      <c r="D898" s="53"/>
      <c r="E898" s="53"/>
      <c r="F898" s="53"/>
      <c r="G898" s="53"/>
      <c r="H898" s="1"/>
      <c r="I898" s="1"/>
    </row>
    <row r="899" ht="14.25" customHeight="1">
      <c r="A899" s="52"/>
      <c r="B899" s="52"/>
      <c r="C899" s="53"/>
      <c r="D899" s="53"/>
      <c r="E899" s="53"/>
      <c r="F899" s="53"/>
      <c r="G899" s="53"/>
      <c r="H899" s="1"/>
      <c r="I899" s="1"/>
    </row>
    <row r="900" ht="14.25" customHeight="1">
      <c r="A900" s="52"/>
      <c r="B900" s="52"/>
      <c r="C900" s="53"/>
      <c r="D900" s="53"/>
      <c r="E900" s="53"/>
      <c r="F900" s="53"/>
      <c r="G900" s="53"/>
      <c r="H900" s="1"/>
      <c r="I900" s="1"/>
    </row>
    <row r="901" ht="14.25" customHeight="1">
      <c r="A901" s="52"/>
      <c r="B901" s="52"/>
      <c r="C901" s="53"/>
      <c r="D901" s="53"/>
      <c r="E901" s="53"/>
      <c r="F901" s="53"/>
      <c r="G901" s="53"/>
      <c r="H901" s="1"/>
      <c r="I901" s="1"/>
    </row>
    <row r="902" ht="14.25" customHeight="1">
      <c r="A902" s="52"/>
      <c r="B902" s="52"/>
      <c r="C902" s="53"/>
      <c r="D902" s="53"/>
      <c r="E902" s="53"/>
      <c r="F902" s="53"/>
      <c r="G902" s="53"/>
      <c r="H902" s="1"/>
      <c r="I902" s="1"/>
    </row>
    <row r="903" ht="14.25" customHeight="1">
      <c r="A903" s="52"/>
      <c r="B903" s="52"/>
      <c r="C903" s="53"/>
      <c r="D903" s="53"/>
      <c r="E903" s="53"/>
      <c r="F903" s="53"/>
      <c r="G903" s="53"/>
      <c r="H903" s="1"/>
      <c r="I903" s="1"/>
    </row>
    <row r="904" ht="14.25" customHeight="1">
      <c r="A904" s="52"/>
      <c r="B904" s="52"/>
      <c r="C904" s="53"/>
      <c r="D904" s="53"/>
      <c r="E904" s="53"/>
      <c r="F904" s="53"/>
      <c r="G904" s="53"/>
      <c r="H904" s="1"/>
      <c r="I904" s="1"/>
    </row>
    <row r="905" ht="14.25" customHeight="1">
      <c r="A905" s="52"/>
      <c r="B905" s="52"/>
      <c r="C905" s="53"/>
      <c r="D905" s="53"/>
      <c r="E905" s="53"/>
      <c r="F905" s="53"/>
      <c r="G905" s="53"/>
      <c r="H905" s="1"/>
      <c r="I905" s="1"/>
    </row>
    <row r="906" ht="14.25" customHeight="1">
      <c r="A906" s="52"/>
      <c r="B906" s="52"/>
      <c r="C906" s="53"/>
      <c r="D906" s="53"/>
      <c r="E906" s="53"/>
      <c r="F906" s="53"/>
      <c r="G906" s="53"/>
      <c r="H906" s="1"/>
      <c r="I906" s="1"/>
    </row>
    <row r="907" ht="14.25" customHeight="1">
      <c r="A907" s="52"/>
      <c r="B907" s="52"/>
      <c r="C907" s="53"/>
      <c r="D907" s="53"/>
      <c r="E907" s="53"/>
      <c r="F907" s="53"/>
      <c r="G907" s="53"/>
      <c r="H907" s="1"/>
      <c r="I907" s="1"/>
    </row>
    <row r="908" ht="14.25" customHeight="1">
      <c r="A908" s="52"/>
      <c r="B908" s="52"/>
      <c r="C908" s="53"/>
      <c r="D908" s="53"/>
      <c r="E908" s="53"/>
      <c r="F908" s="53"/>
      <c r="G908" s="53"/>
      <c r="H908" s="1"/>
      <c r="I908" s="1"/>
    </row>
    <row r="909" ht="14.25" customHeight="1">
      <c r="A909" s="52"/>
      <c r="B909" s="52"/>
      <c r="C909" s="53"/>
      <c r="D909" s="53"/>
      <c r="E909" s="53"/>
      <c r="F909" s="53"/>
      <c r="G909" s="53"/>
      <c r="H909" s="1"/>
      <c r="I909" s="1"/>
    </row>
    <row r="910" ht="14.25" customHeight="1">
      <c r="A910" s="52"/>
      <c r="B910" s="52"/>
      <c r="C910" s="53"/>
      <c r="D910" s="53"/>
      <c r="E910" s="53"/>
      <c r="F910" s="53"/>
      <c r="G910" s="53"/>
      <c r="H910" s="1"/>
      <c r="I910" s="1"/>
    </row>
    <row r="911" ht="14.25" customHeight="1">
      <c r="A911" s="52"/>
      <c r="B911" s="52"/>
      <c r="C911" s="53"/>
      <c r="D911" s="53"/>
      <c r="E911" s="53"/>
      <c r="F911" s="53"/>
      <c r="G911" s="53"/>
      <c r="H911" s="1"/>
      <c r="I911" s="1"/>
    </row>
    <row r="912" ht="14.25" customHeight="1">
      <c r="A912" s="52"/>
      <c r="B912" s="52"/>
      <c r="C912" s="53"/>
      <c r="D912" s="53"/>
      <c r="E912" s="53"/>
      <c r="F912" s="53"/>
      <c r="G912" s="53"/>
      <c r="H912" s="1"/>
      <c r="I912" s="1"/>
    </row>
    <row r="913" ht="14.25" customHeight="1">
      <c r="A913" s="52"/>
      <c r="B913" s="52"/>
      <c r="C913" s="53"/>
      <c r="D913" s="53"/>
      <c r="E913" s="53"/>
      <c r="F913" s="53"/>
      <c r="G913" s="53"/>
      <c r="H913" s="1"/>
      <c r="I913" s="1"/>
    </row>
    <row r="914" ht="14.25" customHeight="1">
      <c r="A914" s="52"/>
      <c r="B914" s="52"/>
      <c r="C914" s="53"/>
      <c r="D914" s="53"/>
      <c r="E914" s="53"/>
      <c r="F914" s="53"/>
      <c r="G914" s="53"/>
      <c r="H914" s="1"/>
      <c r="I914" s="1"/>
    </row>
    <row r="915" ht="14.25" customHeight="1">
      <c r="A915" s="52"/>
      <c r="B915" s="52"/>
      <c r="C915" s="53"/>
      <c r="D915" s="53"/>
      <c r="E915" s="53"/>
      <c r="F915" s="53"/>
      <c r="G915" s="53"/>
      <c r="H915" s="1"/>
      <c r="I915" s="1"/>
    </row>
    <row r="916" ht="14.25" customHeight="1">
      <c r="A916" s="52"/>
      <c r="B916" s="52"/>
      <c r="C916" s="53"/>
      <c r="D916" s="53"/>
      <c r="E916" s="53"/>
      <c r="F916" s="53"/>
      <c r="G916" s="53"/>
      <c r="H916" s="1"/>
      <c r="I916" s="1"/>
    </row>
    <row r="917" ht="14.25" customHeight="1">
      <c r="A917" s="52"/>
      <c r="B917" s="52"/>
      <c r="C917" s="53"/>
      <c r="D917" s="53"/>
      <c r="E917" s="53"/>
      <c r="F917" s="53"/>
      <c r="G917" s="53"/>
      <c r="H917" s="1"/>
      <c r="I917" s="1"/>
    </row>
    <row r="918" ht="14.25" customHeight="1">
      <c r="A918" s="52"/>
      <c r="B918" s="52"/>
      <c r="C918" s="53"/>
      <c r="D918" s="53"/>
      <c r="E918" s="53"/>
      <c r="F918" s="53"/>
      <c r="G918" s="53"/>
      <c r="H918" s="1"/>
      <c r="I918" s="1"/>
    </row>
    <row r="919" ht="14.25" customHeight="1">
      <c r="A919" s="52"/>
      <c r="B919" s="52"/>
      <c r="C919" s="53"/>
      <c r="D919" s="53"/>
      <c r="E919" s="53"/>
      <c r="F919" s="53"/>
      <c r="G919" s="53"/>
      <c r="H919" s="1"/>
      <c r="I919" s="1"/>
    </row>
    <row r="920" ht="14.25" customHeight="1">
      <c r="A920" s="52"/>
      <c r="B920" s="52"/>
      <c r="C920" s="53"/>
      <c r="D920" s="53"/>
      <c r="E920" s="53"/>
      <c r="F920" s="53"/>
      <c r="G920" s="53"/>
      <c r="H920" s="1"/>
      <c r="I920" s="1"/>
    </row>
    <row r="921" ht="14.25" customHeight="1">
      <c r="A921" s="52"/>
      <c r="B921" s="52"/>
      <c r="C921" s="53"/>
      <c r="D921" s="53"/>
      <c r="E921" s="53"/>
      <c r="F921" s="53"/>
      <c r="G921" s="53"/>
      <c r="H921" s="1"/>
      <c r="I921" s="1"/>
    </row>
    <row r="922" ht="14.25" customHeight="1">
      <c r="A922" s="52"/>
      <c r="B922" s="52"/>
      <c r="C922" s="53"/>
      <c r="D922" s="53"/>
      <c r="E922" s="53"/>
      <c r="F922" s="53"/>
      <c r="G922" s="53"/>
      <c r="H922" s="1"/>
      <c r="I922" s="1"/>
    </row>
    <row r="923" ht="14.25" customHeight="1">
      <c r="A923" s="52"/>
      <c r="B923" s="52"/>
      <c r="C923" s="53"/>
      <c r="D923" s="53"/>
      <c r="E923" s="53"/>
      <c r="F923" s="53"/>
      <c r="G923" s="53"/>
      <c r="H923" s="1"/>
      <c r="I923" s="1"/>
    </row>
    <row r="924" ht="14.25" customHeight="1">
      <c r="A924" s="52"/>
      <c r="B924" s="52"/>
      <c r="C924" s="53"/>
      <c r="D924" s="53"/>
      <c r="E924" s="53"/>
      <c r="F924" s="53"/>
      <c r="G924" s="53"/>
      <c r="H924" s="1"/>
      <c r="I924" s="1"/>
    </row>
    <row r="925" ht="14.25" customHeight="1">
      <c r="A925" s="52"/>
      <c r="B925" s="52"/>
      <c r="C925" s="53"/>
      <c r="D925" s="53"/>
      <c r="E925" s="53"/>
      <c r="F925" s="53"/>
      <c r="G925" s="53"/>
      <c r="H925" s="1"/>
      <c r="I925" s="1"/>
    </row>
    <row r="926" ht="14.25" customHeight="1">
      <c r="A926" s="52"/>
      <c r="B926" s="52"/>
      <c r="C926" s="53"/>
      <c r="D926" s="53"/>
      <c r="E926" s="53"/>
      <c r="F926" s="53"/>
      <c r="G926" s="53"/>
      <c r="H926" s="1"/>
      <c r="I926" s="1"/>
    </row>
    <row r="927" ht="14.25" customHeight="1">
      <c r="A927" s="52"/>
      <c r="B927" s="52"/>
      <c r="C927" s="53"/>
      <c r="D927" s="53"/>
      <c r="E927" s="53"/>
      <c r="F927" s="53"/>
      <c r="G927" s="53"/>
      <c r="H927" s="1"/>
      <c r="I927" s="1"/>
    </row>
    <row r="928" ht="14.25" customHeight="1">
      <c r="A928" s="52"/>
      <c r="B928" s="52"/>
      <c r="C928" s="53"/>
      <c r="D928" s="53"/>
      <c r="E928" s="53"/>
      <c r="F928" s="53"/>
      <c r="G928" s="53"/>
      <c r="H928" s="1"/>
      <c r="I928" s="1"/>
    </row>
    <row r="929" ht="14.25" customHeight="1">
      <c r="A929" s="52"/>
      <c r="B929" s="52"/>
      <c r="C929" s="53"/>
      <c r="D929" s="53"/>
      <c r="E929" s="53"/>
      <c r="F929" s="53"/>
      <c r="G929" s="53"/>
      <c r="H929" s="1"/>
      <c r="I929" s="1"/>
    </row>
    <row r="930" ht="14.25" customHeight="1">
      <c r="A930" s="52"/>
      <c r="B930" s="52"/>
      <c r="C930" s="53"/>
      <c r="D930" s="53"/>
      <c r="E930" s="53"/>
      <c r="F930" s="53"/>
      <c r="G930" s="53"/>
      <c r="H930" s="1"/>
      <c r="I930" s="1"/>
    </row>
    <row r="931" ht="14.25" customHeight="1">
      <c r="A931" s="52"/>
      <c r="B931" s="52"/>
      <c r="C931" s="53"/>
      <c r="D931" s="53"/>
      <c r="E931" s="53"/>
      <c r="F931" s="53"/>
      <c r="G931" s="53"/>
      <c r="H931" s="1"/>
      <c r="I931" s="1"/>
    </row>
    <row r="932" ht="14.25" customHeight="1">
      <c r="A932" s="52"/>
      <c r="B932" s="52"/>
      <c r="C932" s="53"/>
      <c r="D932" s="53"/>
      <c r="E932" s="53"/>
      <c r="F932" s="53"/>
      <c r="G932" s="53"/>
      <c r="H932" s="1"/>
      <c r="I932" s="1"/>
    </row>
    <row r="933" ht="14.25" customHeight="1">
      <c r="A933" s="52"/>
      <c r="B933" s="52"/>
      <c r="C933" s="53"/>
      <c r="D933" s="53"/>
      <c r="E933" s="53"/>
      <c r="F933" s="53"/>
      <c r="G933" s="53"/>
      <c r="H933" s="1"/>
      <c r="I933" s="1"/>
    </row>
    <row r="934" ht="14.25" customHeight="1">
      <c r="A934" s="52"/>
      <c r="B934" s="52"/>
      <c r="C934" s="53"/>
      <c r="D934" s="53"/>
      <c r="E934" s="53"/>
      <c r="F934" s="53"/>
      <c r="G934" s="53"/>
      <c r="H934" s="1"/>
      <c r="I934" s="1"/>
    </row>
    <row r="935" ht="14.25" customHeight="1">
      <c r="A935" s="52"/>
      <c r="B935" s="52"/>
      <c r="C935" s="53"/>
      <c r="D935" s="53"/>
      <c r="E935" s="53"/>
      <c r="F935" s="53"/>
      <c r="G935" s="53"/>
      <c r="H935" s="1"/>
      <c r="I935" s="1"/>
    </row>
    <row r="936" ht="14.25" customHeight="1">
      <c r="A936" s="52"/>
      <c r="B936" s="52"/>
      <c r="C936" s="53"/>
      <c r="D936" s="53"/>
      <c r="E936" s="53"/>
      <c r="F936" s="53"/>
      <c r="G936" s="53"/>
      <c r="H936" s="1"/>
      <c r="I936" s="1"/>
    </row>
    <row r="937" ht="14.25" customHeight="1">
      <c r="A937" s="52"/>
      <c r="B937" s="52"/>
      <c r="C937" s="53"/>
      <c r="D937" s="53"/>
      <c r="E937" s="53"/>
      <c r="F937" s="53"/>
      <c r="G937" s="53"/>
      <c r="H937" s="1"/>
      <c r="I937" s="1"/>
    </row>
    <row r="938" ht="14.25" customHeight="1">
      <c r="A938" s="52"/>
      <c r="B938" s="52"/>
      <c r="C938" s="53"/>
      <c r="D938" s="53"/>
      <c r="E938" s="53"/>
      <c r="F938" s="53"/>
      <c r="G938" s="53"/>
      <c r="H938" s="1"/>
      <c r="I938" s="1"/>
    </row>
    <row r="939" ht="14.25" customHeight="1">
      <c r="A939" s="52"/>
      <c r="B939" s="52"/>
      <c r="C939" s="53"/>
      <c r="D939" s="53"/>
      <c r="E939" s="53"/>
      <c r="F939" s="53"/>
      <c r="G939" s="53"/>
      <c r="H939" s="1"/>
      <c r="I939" s="1"/>
    </row>
    <row r="940" ht="14.25" customHeight="1">
      <c r="A940" s="52"/>
      <c r="B940" s="52"/>
      <c r="C940" s="53"/>
      <c r="D940" s="53"/>
      <c r="E940" s="53"/>
      <c r="F940" s="53"/>
      <c r="G940" s="53"/>
      <c r="H940" s="1"/>
      <c r="I940" s="1"/>
    </row>
    <row r="941" ht="14.25" customHeight="1">
      <c r="A941" s="52"/>
      <c r="B941" s="52"/>
      <c r="C941" s="53"/>
      <c r="D941" s="53"/>
      <c r="E941" s="53"/>
      <c r="F941" s="53"/>
      <c r="G941" s="53"/>
      <c r="H941" s="1"/>
      <c r="I941" s="1"/>
    </row>
    <row r="942" ht="14.25" customHeight="1">
      <c r="A942" s="52"/>
      <c r="B942" s="52"/>
      <c r="C942" s="53"/>
      <c r="D942" s="53"/>
      <c r="E942" s="53"/>
      <c r="F942" s="53"/>
      <c r="G942" s="53"/>
      <c r="H942" s="1"/>
      <c r="I942" s="1"/>
    </row>
    <row r="943" ht="14.25" customHeight="1">
      <c r="A943" s="52"/>
      <c r="B943" s="52"/>
      <c r="C943" s="53"/>
      <c r="D943" s="53"/>
      <c r="E943" s="53"/>
      <c r="F943" s="53"/>
      <c r="G943" s="53"/>
      <c r="H943" s="1"/>
      <c r="I943" s="1"/>
    </row>
    <row r="944" ht="14.25" customHeight="1">
      <c r="A944" s="52"/>
      <c r="B944" s="52"/>
      <c r="C944" s="53"/>
      <c r="D944" s="53"/>
      <c r="E944" s="53"/>
      <c r="F944" s="53"/>
      <c r="G944" s="53"/>
      <c r="H944" s="1"/>
      <c r="I944" s="1"/>
    </row>
    <row r="945" ht="14.25" customHeight="1">
      <c r="A945" s="52"/>
      <c r="B945" s="52"/>
      <c r="C945" s="53"/>
      <c r="D945" s="53"/>
      <c r="E945" s="53"/>
      <c r="F945" s="53"/>
      <c r="G945" s="53"/>
      <c r="H945" s="1"/>
      <c r="I945" s="1"/>
    </row>
    <row r="946" ht="14.25" customHeight="1">
      <c r="A946" s="52"/>
      <c r="B946" s="52"/>
      <c r="C946" s="53"/>
      <c r="D946" s="53"/>
      <c r="E946" s="53"/>
      <c r="F946" s="53"/>
      <c r="G946" s="53"/>
      <c r="H946" s="1"/>
      <c r="I946" s="1"/>
    </row>
    <row r="947" ht="14.25" customHeight="1">
      <c r="A947" s="52"/>
      <c r="B947" s="52"/>
      <c r="C947" s="53"/>
      <c r="D947" s="53"/>
      <c r="E947" s="53"/>
      <c r="F947" s="53"/>
      <c r="G947" s="53"/>
      <c r="H947" s="1"/>
      <c r="I947" s="1"/>
    </row>
    <row r="948" ht="14.25" customHeight="1">
      <c r="A948" s="52"/>
      <c r="B948" s="52"/>
      <c r="C948" s="53"/>
      <c r="D948" s="53"/>
      <c r="E948" s="53"/>
      <c r="F948" s="53"/>
      <c r="G948" s="53"/>
      <c r="H948" s="1"/>
      <c r="I948" s="1"/>
    </row>
    <row r="949" ht="14.25" customHeight="1">
      <c r="A949" s="52"/>
      <c r="B949" s="52"/>
      <c r="C949" s="53"/>
      <c r="D949" s="53"/>
      <c r="E949" s="53"/>
      <c r="F949" s="53"/>
      <c r="G949" s="53"/>
      <c r="H949" s="1"/>
      <c r="I949" s="1"/>
    </row>
    <row r="950" ht="14.25" customHeight="1">
      <c r="A950" s="52"/>
      <c r="B950" s="52"/>
      <c r="C950" s="53"/>
      <c r="D950" s="53"/>
      <c r="E950" s="53"/>
      <c r="F950" s="53"/>
      <c r="G950" s="53"/>
      <c r="H950" s="1"/>
      <c r="I950" s="1"/>
    </row>
    <row r="951" ht="14.25" customHeight="1">
      <c r="A951" s="52"/>
      <c r="B951" s="52"/>
      <c r="C951" s="53"/>
      <c r="D951" s="53"/>
      <c r="E951" s="53"/>
      <c r="F951" s="53"/>
      <c r="G951" s="53"/>
      <c r="H951" s="1"/>
      <c r="I951" s="1"/>
    </row>
    <row r="952" ht="14.25" customHeight="1">
      <c r="A952" s="52"/>
      <c r="B952" s="52"/>
      <c r="C952" s="53"/>
      <c r="D952" s="53"/>
      <c r="E952" s="53"/>
      <c r="F952" s="53"/>
      <c r="G952" s="53"/>
      <c r="H952" s="1"/>
      <c r="I952" s="1"/>
    </row>
    <row r="953" ht="14.25" customHeight="1">
      <c r="A953" s="52"/>
      <c r="B953" s="52"/>
      <c r="C953" s="53"/>
      <c r="D953" s="53"/>
      <c r="E953" s="53"/>
      <c r="F953" s="53"/>
      <c r="G953" s="53"/>
      <c r="H953" s="1"/>
      <c r="I953" s="1"/>
    </row>
    <row r="954" ht="14.25" customHeight="1">
      <c r="A954" s="52"/>
      <c r="B954" s="52"/>
      <c r="C954" s="53"/>
      <c r="D954" s="53"/>
      <c r="E954" s="53"/>
      <c r="F954" s="53"/>
      <c r="G954" s="53"/>
      <c r="H954" s="1"/>
      <c r="I954" s="1"/>
    </row>
    <row r="955" ht="14.25" customHeight="1">
      <c r="A955" s="52"/>
      <c r="B955" s="52"/>
      <c r="C955" s="53"/>
      <c r="D955" s="53"/>
      <c r="E955" s="53"/>
      <c r="F955" s="53"/>
      <c r="G955" s="53"/>
      <c r="H955" s="1"/>
      <c r="I955" s="1"/>
    </row>
    <row r="956" ht="14.25" customHeight="1">
      <c r="A956" s="52"/>
      <c r="B956" s="52"/>
      <c r="C956" s="53"/>
      <c r="D956" s="53"/>
      <c r="E956" s="53"/>
      <c r="F956" s="53"/>
      <c r="G956" s="53"/>
      <c r="H956" s="1"/>
      <c r="I956" s="1"/>
    </row>
    <row r="957" ht="14.25" customHeight="1">
      <c r="A957" s="52"/>
      <c r="B957" s="52"/>
      <c r="C957" s="53"/>
      <c r="D957" s="53"/>
      <c r="E957" s="53"/>
      <c r="F957" s="53"/>
      <c r="G957" s="53"/>
      <c r="H957" s="1"/>
      <c r="I957" s="1"/>
    </row>
    <row r="958" ht="14.25" customHeight="1">
      <c r="A958" s="52"/>
      <c r="B958" s="52"/>
      <c r="C958" s="53"/>
      <c r="D958" s="53"/>
      <c r="E958" s="53"/>
      <c r="F958" s="53"/>
      <c r="G958" s="53"/>
      <c r="H958" s="1"/>
      <c r="I958" s="1"/>
    </row>
    <row r="959" ht="14.25" customHeight="1">
      <c r="A959" s="52"/>
      <c r="B959" s="52"/>
      <c r="C959" s="53"/>
      <c r="D959" s="53"/>
      <c r="E959" s="53"/>
      <c r="F959" s="53"/>
      <c r="G959" s="53"/>
      <c r="H959" s="1"/>
      <c r="I959" s="1"/>
    </row>
    <row r="960" ht="14.25" customHeight="1">
      <c r="A960" s="52"/>
      <c r="B960" s="52"/>
      <c r="C960" s="53"/>
      <c r="D960" s="53"/>
      <c r="E960" s="53"/>
      <c r="F960" s="53"/>
      <c r="G960" s="53"/>
      <c r="H960" s="1"/>
      <c r="I960" s="1"/>
    </row>
    <row r="961" ht="14.25" customHeight="1">
      <c r="A961" s="52"/>
      <c r="B961" s="52"/>
      <c r="C961" s="53"/>
      <c r="D961" s="53"/>
      <c r="E961" s="53"/>
      <c r="F961" s="53"/>
      <c r="G961" s="53"/>
      <c r="H961" s="1"/>
      <c r="I961" s="1"/>
    </row>
    <row r="962" ht="14.25" customHeight="1">
      <c r="A962" s="52"/>
      <c r="B962" s="52"/>
      <c r="C962" s="53"/>
      <c r="D962" s="53"/>
      <c r="E962" s="53"/>
      <c r="F962" s="53"/>
      <c r="G962" s="53"/>
      <c r="H962" s="1"/>
      <c r="I962" s="1"/>
    </row>
    <row r="963" ht="14.25" customHeight="1">
      <c r="A963" s="52"/>
      <c r="B963" s="52"/>
      <c r="C963" s="53"/>
      <c r="D963" s="53"/>
      <c r="E963" s="53"/>
      <c r="F963" s="53"/>
      <c r="G963" s="53"/>
      <c r="H963" s="1"/>
      <c r="I963" s="1"/>
    </row>
    <row r="964" ht="14.25" customHeight="1">
      <c r="A964" s="52"/>
      <c r="B964" s="52"/>
      <c r="C964" s="53"/>
      <c r="D964" s="53"/>
      <c r="E964" s="53"/>
      <c r="F964" s="53"/>
      <c r="G964" s="53"/>
      <c r="H964" s="1"/>
      <c r="I964" s="1"/>
    </row>
    <row r="965" ht="14.25" customHeight="1">
      <c r="A965" s="52"/>
      <c r="B965" s="52"/>
      <c r="C965" s="53"/>
      <c r="D965" s="53"/>
      <c r="E965" s="53"/>
      <c r="F965" s="53"/>
      <c r="G965" s="53"/>
      <c r="H965" s="1"/>
      <c r="I965" s="1"/>
    </row>
    <row r="966" ht="14.25" customHeight="1">
      <c r="A966" s="52"/>
      <c r="B966" s="52"/>
      <c r="C966" s="53"/>
      <c r="D966" s="53"/>
      <c r="E966" s="53"/>
      <c r="F966" s="53"/>
      <c r="G966" s="53"/>
      <c r="H966" s="1"/>
      <c r="I966" s="1"/>
    </row>
    <row r="967" ht="14.25" customHeight="1">
      <c r="A967" s="52"/>
      <c r="B967" s="52"/>
      <c r="C967" s="53"/>
      <c r="D967" s="53"/>
      <c r="E967" s="53"/>
      <c r="F967" s="53"/>
      <c r="G967" s="53"/>
      <c r="H967" s="1"/>
      <c r="I967" s="1"/>
    </row>
    <row r="968" ht="14.25" customHeight="1">
      <c r="A968" s="52"/>
      <c r="B968" s="52"/>
      <c r="C968" s="53"/>
      <c r="D968" s="53"/>
      <c r="E968" s="53"/>
      <c r="F968" s="53"/>
      <c r="G968" s="53"/>
      <c r="H968" s="1"/>
      <c r="I968" s="1"/>
    </row>
    <row r="969" ht="14.25" customHeight="1">
      <c r="A969" s="52"/>
      <c r="B969" s="52"/>
      <c r="C969" s="53"/>
      <c r="D969" s="53"/>
      <c r="E969" s="53"/>
      <c r="F969" s="53"/>
      <c r="G969" s="53"/>
      <c r="H969" s="1"/>
      <c r="I969" s="1"/>
    </row>
    <row r="970" ht="14.25" customHeight="1">
      <c r="A970" s="52"/>
      <c r="B970" s="52"/>
      <c r="C970" s="53"/>
      <c r="D970" s="53"/>
      <c r="E970" s="53"/>
      <c r="F970" s="53"/>
      <c r="G970" s="53"/>
      <c r="H970" s="1"/>
      <c r="I970" s="1"/>
    </row>
    <row r="971" ht="14.25" customHeight="1">
      <c r="A971" s="52"/>
      <c r="B971" s="52"/>
      <c r="C971" s="53"/>
      <c r="D971" s="53"/>
      <c r="E971" s="53"/>
      <c r="F971" s="53"/>
      <c r="G971" s="53"/>
      <c r="H971" s="1"/>
      <c r="I971" s="1"/>
    </row>
    <row r="972" ht="14.25" customHeight="1">
      <c r="A972" s="52"/>
      <c r="B972" s="52"/>
      <c r="C972" s="53"/>
      <c r="D972" s="53"/>
      <c r="E972" s="53"/>
      <c r="F972" s="53"/>
      <c r="G972" s="53"/>
      <c r="H972" s="1"/>
      <c r="I972" s="1"/>
    </row>
    <row r="973" ht="14.25" customHeight="1">
      <c r="A973" s="52"/>
      <c r="B973" s="52"/>
      <c r="C973" s="53"/>
      <c r="D973" s="53"/>
      <c r="E973" s="53"/>
      <c r="F973" s="53"/>
      <c r="G973" s="53"/>
      <c r="H973" s="1"/>
      <c r="I973" s="1"/>
    </row>
    <row r="974" ht="14.25" customHeight="1">
      <c r="A974" s="52"/>
      <c r="B974" s="52"/>
      <c r="C974" s="53"/>
      <c r="D974" s="53"/>
      <c r="E974" s="53"/>
      <c r="F974" s="53"/>
      <c r="G974" s="53"/>
      <c r="H974" s="1"/>
      <c r="I974" s="1"/>
    </row>
    <row r="975" ht="14.25" customHeight="1">
      <c r="A975" s="52"/>
      <c r="B975" s="52"/>
      <c r="C975" s="53"/>
      <c r="D975" s="53"/>
      <c r="E975" s="53"/>
      <c r="F975" s="53"/>
      <c r="G975" s="53"/>
      <c r="H975" s="1"/>
      <c r="I975" s="1"/>
    </row>
    <row r="976" ht="14.25" customHeight="1">
      <c r="A976" s="52"/>
      <c r="B976" s="52"/>
      <c r="C976" s="53"/>
      <c r="D976" s="53"/>
      <c r="E976" s="53"/>
      <c r="F976" s="53"/>
      <c r="G976" s="53"/>
      <c r="H976" s="1"/>
      <c r="I976" s="1"/>
    </row>
    <row r="977" ht="14.25" customHeight="1">
      <c r="A977" s="52"/>
      <c r="B977" s="52"/>
      <c r="C977" s="53"/>
      <c r="D977" s="53"/>
      <c r="E977" s="53"/>
      <c r="F977" s="53"/>
      <c r="G977" s="53"/>
      <c r="H977" s="1"/>
      <c r="I977" s="1"/>
    </row>
    <row r="978" ht="14.25" customHeight="1">
      <c r="A978" s="52"/>
      <c r="B978" s="52"/>
      <c r="C978" s="53"/>
      <c r="D978" s="53"/>
      <c r="E978" s="53"/>
      <c r="F978" s="53"/>
      <c r="G978" s="53"/>
      <c r="H978" s="1"/>
      <c r="I978" s="1"/>
    </row>
    <row r="979" ht="14.25" customHeight="1">
      <c r="A979" s="52"/>
      <c r="B979" s="52"/>
      <c r="C979" s="53"/>
      <c r="D979" s="53"/>
      <c r="E979" s="53"/>
      <c r="F979" s="53"/>
      <c r="G979" s="53"/>
      <c r="H979" s="1"/>
      <c r="I979" s="1"/>
    </row>
    <row r="980" ht="14.25" customHeight="1">
      <c r="A980" s="52"/>
      <c r="B980" s="52"/>
      <c r="C980" s="53"/>
      <c r="D980" s="53"/>
      <c r="E980" s="53"/>
      <c r="F980" s="53"/>
      <c r="G980" s="53"/>
      <c r="H980" s="1"/>
      <c r="I980" s="1"/>
    </row>
    <row r="981" ht="14.25" customHeight="1">
      <c r="A981" s="52"/>
      <c r="B981" s="52"/>
      <c r="C981" s="53"/>
      <c r="D981" s="53"/>
      <c r="E981" s="53"/>
      <c r="F981" s="53"/>
      <c r="G981" s="53"/>
      <c r="H981" s="1"/>
      <c r="I981" s="1"/>
    </row>
    <row r="982" ht="14.25" customHeight="1">
      <c r="A982" s="52"/>
      <c r="B982" s="52"/>
      <c r="C982" s="53"/>
      <c r="D982" s="53"/>
      <c r="E982" s="53"/>
      <c r="F982" s="53"/>
      <c r="G982" s="53"/>
      <c r="H982" s="1"/>
      <c r="I982" s="1"/>
    </row>
    <row r="983" ht="14.25" customHeight="1">
      <c r="A983" s="52"/>
      <c r="B983" s="52"/>
      <c r="C983" s="53"/>
      <c r="D983" s="53"/>
      <c r="E983" s="53"/>
      <c r="F983" s="53"/>
      <c r="G983" s="53"/>
      <c r="H983" s="1"/>
      <c r="I983" s="1"/>
    </row>
    <row r="984" ht="14.25" customHeight="1">
      <c r="A984" s="52"/>
      <c r="B984" s="52"/>
      <c r="C984" s="53"/>
      <c r="D984" s="53"/>
      <c r="E984" s="53"/>
      <c r="F984" s="53"/>
      <c r="G984" s="53"/>
      <c r="H984" s="1"/>
      <c r="I984" s="1"/>
    </row>
    <row r="985" ht="14.25" customHeight="1">
      <c r="A985" s="52"/>
      <c r="B985" s="52"/>
      <c r="C985" s="53"/>
      <c r="D985" s="53"/>
      <c r="E985" s="53"/>
      <c r="F985" s="53"/>
      <c r="G985" s="53"/>
      <c r="H985" s="1"/>
      <c r="I985" s="1"/>
    </row>
    <row r="986" ht="14.25" customHeight="1">
      <c r="A986" s="52"/>
      <c r="B986" s="52"/>
      <c r="C986" s="53"/>
      <c r="D986" s="53"/>
      <c r="E986" s="53"/>
      <c r="F986" s="53"/>
      <c r="G986" s="53"/>
      <c r="H986" s="1"/>
      <c r="I986" s="1"/>
    </row>
    <row r="987" ht="14.25" customHeight="1">
      <c r="A987" s="52"/>
      <c r="B987" s="52"/>
      <c r="C987" s="53"/>
      <c r="D987" s="53"/>
      <c r="E987" s="53"/>
      <c r="F987" s="53"/>
      <c r="G987" s="53"/>
      <c r="H987" s="1"/>
      <c r="I987" s="1"/>
    </row>
    <row r="988" ht="14.25" customHeight="1">
      <c r="A988" s="52"/>
      <c r="B988" s="52"/>
      <c r="C988" s="53"/>
      <c r="D988" s="53"/>
      <c r="E988" s="53"/>
      <c r="F988" s="53"/>
      <c r="G988" s="53"/>
      <c r="H988" s="1"/>
      <c r="I988" s="1"/>
    </row>
    <row r="989" ht="14.25" customHeight="1">
      <c r="A989" s="52"/>
      <c r="B989" s="52"/>
      <c r="C989" s="53"/>
      <c r="D989" s="53"/>
      <c r="E989" s="53"/>
      <c r="F989" s="53"/>
      <c r="G989" s="53"/>
      <c r="H989" s="1"/>
      <c r="I989" s="1"/>
    </row>
    <row r="990" ht="14.25" customHeight="1">
      <c r="A990" s="52"/>
      <c r="B990" s="52"/>
      <c r="C990" s="53"/>
      <c r="D990" s="53"/>
      <c r="E990" s="53"/>
      <c r="F990" s="53"/>
      <c r="G990" s="53"/>
      <c r="H990" s="1"/>
      <c r="I990" s="1"/>
    </row>
    <row r="991" ht="14.25" customHeight="1">
      <c r="A991" s="52"/>
      <c r="B991" s="52"/>
      <c r="C991" s="53"/>
      <c r="D991" s="53"/>
      <c r="E991" s="53"/>
      <c r="F991" s="53"/>
      <c r="G991" s="53"/>
      <c r="H991" s="1"/>
      <c r="I991" s="1"/>
    </row>
    <row r="992" ht="14.25" customHeight="1">
      <c r="A992" s="52"/>
      <c r="B992" s="52"/>
      <c r="C992" s="53"/>
      <c r="D992" s="53"/>
      <c r="E992" s="53"/>
      <c r="F992" s="53"/>
      <c r="G992" s="53"/>
      <c r="H992" s="1"/>
      <c r="I992" s="1"/>
    </row>
    <row r="993" ht="14.25" customHeight="1">
      <c r="A993" s="52"/>
      <c r="B993" s="52"/>
      <c r="C993" s="53"/>
      <c r="D993" s="53"/>
      <c r="E993" s="53"/>
      <c r="F993" s="53"/>
      <c r="G993" s="53"/>
      <c r="H993" s="1"/>
      <c r="I993" s="1"/>
    </row>
    <row r="994" ht="14.25" customHeight="1">
      <c r="A994" s="52"/>
      <c r="B994" s="52"/>
      <c r="C994" s="53"/>
      <c r="D994" s="53"/>
      <c r="E994" s="53"/>
      <c r="F994" s="53"/>
      <c r="G994" s="53"/>
      <c r="H994" s="1"/>
      <c r="I994" s="1"/>
    </row>
    <row r="995" ht="14.25" customHeight="1">
      <c r="A995" s="52"/>
      <c r="B995" s="52"/>
      <c r="C995" s="53"/>
      <c r="D995" s="53"/>
      <c r="E995" s="53"/>
      <c r="F995" s="53"/>
      <c r="G995" s="53"/>
      <c r="H995" s="1"/>
      <c r="I995" s="1"/>
    </row>
    <row r="996" ht="14.25" customHeight="1">
      <c r="A996" s="52"/>
      <c r="B996" s="52"/>
      <c r="C996" s="53"/>
      <c r="D996" s="53"/>
      <c r="E996" s="53"/>
      <c r="F996" s="53"/>
      <c r="G996" s="53"/>
      <c r="H996" s="1"/>
      <c r="I996" s="1"/>
    </row>
    <row r="997" ht="14.25" customHeight="1">
      <c r="A997" s="52"/>
      <c r="B997" s="52"/>
      <c r="C997" s="53"/>
      <c r="D997" s="53"/>
      <c r="E997" s="53"/>
      <c r="F997" s="53"/>
      <c r="G997" s="53"/>
      <c r="H997" s="1"/>
      <c r="I997" s="1"/>
    </row>
    <row r="998" ht="14.25" customHeight="1">
      <c r="A998" s="52"/>
      <c r="B998" s="52"/>
      <c r="C998" s="53"/>
      <c r="D998" s="53"/>
      <c r="E998" s="53"/>
      <c r="F998" s="53"/>
      <c r="G998" s="53"/>
      <c r="H998" s="1"/>
      <c r="I998" s="1"/>
    </row>
    <row r="999" ht="14.25" customHeight="1">
      <c r="A999" s="52"/>
      <c r="B999" s="52"/>
      <c r="C999" s="53"/>
      <c r="D999" s="53"/>
      <c r="E999" s="53"/>
      <c r="F999" s="53"/>
      <c r="G999" s="53"/>
      <c r="H999" s="1"/>
      <c r="I999" s="1"/>
    </row>
    <row r="1000" ht="14.25" customHeight="1">
      <c r="A1000" s="52"/>
      <c r="B1000" s="52"/>
      <c r="C1000" s="53"/>
      <c r="D1000" s="53"/>
      <c r="E1000" s="53"/>
      <c r="F1000" s="53"/>
      <c r="G1000" s="53"/>
      <c r="H1000" s="1"/>
      <c r="I1000" s="1"/>
    </row>
  </sheetData>
  <mergeCells count="3">
    <mergeCell ref="A2:K2"/>
    <mergeCell ref="A4:K4"/>
    <mergeCell ref="A40:K40"/>
  </mergeCells>
  <hyperlinks>
    <hyperlink r:id="rId1" ref="F10"/>
    <hyperlink r:id="rId2" ref="F11"/>
    <hyperlink r:id="rId3" ref="F12"/>
    <hyperlink r:id="rId4" ref="F13"/>
    <hyperlink r:id="rId5" ref="F18"/>
    <hyperlink r:id="rId6" ref="F20"/>
    <hyperlink r:id="rId7" ref="F24"/>
  </hyperlinks>
  <printOptions/>
  <pageMargins bottom="0.75" footer="0.0" header="0.0" left="0.7" right="0.7" top="0.75"/>
  <pageSetup orientation="landscape"/>
  <drawing r:id="rId8"/>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86"/>
    <col customWidth="1" min="2" max="2" width="20.14"/>
    <col customWidth="1" min="3" max="3" width="15.0"/>
    <col customWidth="1" min="4" max="4" width="28.86"/>
    <col customWidth="1" min="5" max="5" width="16.14"/>
    <col customWidth="1" min="6" max="7" width="12.14"/>
    <col customWidth="1" min="8" max="8" width="10.0"/>
    <col customWidth="1" min="9" max="9" width="21.14"/>
    <col customWidth="1" min="10" max="10" width="9.14"/>
    <col customWidth="1" min="11" max="26" width="10.0"/>
  </cols>
  <sheetData>
    <row r="1" ht="14.25" customHeight="1">
      <c r="A1" s="52"/>
      <c r="B1" s="52"/>
      <c r="C1" s="53"/>
      <c r="D1" s="53"/>
      <c r="E1" s="53"/>
      <c r="F1" s="53"/>
      <c r="G1" s="53"/>
      <c r="H1" s="1"/>
      <c r="I1" s="1"/>
      <c r="J1" s="1"/>
    </row>
    <row r="2" ht="15.0" customHeight="1">
      <c r="A2" s="54" t="s">
        <v>4951</v>
      </c>
      <c r="B2" s="55"/>
      <c r="C2" s="55"/>
      <c r="D2" s="55"/>
      <c r="E2" s="55"/>
      <c r="F2" s="55"/>
      <c r="G2" s="55"/>
      <c r="H2" s="56"/>
      <c r="I2" s="1"/>
      <c r="J2" s="1"/>
    </row>
    <row r="3" ht="15.0" customHeight="1">
      <c r="A3" s="156"/>
      <c r="B3" s="156"/>
      <c r="C3" s="156"/>
      <c r="D3" s="156"/>
      <c r="E3" s="156"/>
      <c r="F3" s="156"/>
      <c r="G3" s="156"/>
      <c r="H3" s="156"/>
      <c r="I3" s="1"/>
      <c r="J3" s="1"/>
    </row>
    <row r="4" ht="97.5" customHeight="1">
      <c r="A4" s="60" t="s">
        <v>4952</v>
      </c>
      <c r="B4" s="55"/>
      <c r="C4" s="55"/>
      <c r="D4" s="55"/>
      <c r="E4" s="55"/>
      <c r="F4" s="55"/>
      <c r="G4" s="55"/>
      <c r="H4" s="56"/>
      <c r="I4" s="1"/>
      <c r="J4" s="1"/>
    </row>
    <row r="5" ht="14.25" customHeight="1">
      <c r="A5" s="61"/>
      <c r="B5" s="61"/>
      <c r="C5" s="62"/>
      <c r="D5" s="62"/>
      <c r="E5" s="62"/>
      <c r="F5" s="62"/>
      <c r="G5" s="62"/>
      <c r="H5" s="61"/>
      <c r="I5" s="1"/>
      <c r="J5" s="1"/>
    </row>
    <row r="6" ht="14.25" customHeight="1">
      <c r="A6" s="61"/>
      <c r="B6" s="61"/>
      <c r="C6" s="62"/>
      <c r="D6" s="62"/>
      <c r="E6" s="62"/>
      <c r="F6" s="62"/>
      <c r="G6" s="61"/>
      <c r="H6" s="1"/>
      <c r="I6" s="1"/>
      <c r="J6" s="1"/>
    </row>
    <row r="7" ht="41.25" customHeight="1">
      <c r="A7" s="203" t="s">
        <v>4953</v>
      </c>
      <c r="B7" s="63" t="s">
        <v>4954</v>
      </c>
      <c r="C7" s="119" t="s">
        <v>9</v>
      </c>
      <c r="D7" s="310" t="s">
        <v>4955</v>
      </c>
      <c r="E7" s="64" t="s">
        <v>4956</v>
      </c>
      <c r="F7" s="203" t="s">
        <v>4957</v>
      </c>
      <c r="G7" s="63" t="s">
        <v>208</v>
      </c>
      <c r="H7" s="203" t="s">
        <v>209</v>
      </c>
      <c r="I7" s="65" t="s">
        <v>210</v>
      </c>
      <c r="J7" s="1"/>
    </row>
    <row r="8" ht="192.75" customHeight="1">
      <c r="A8" s="68" t="s">
        <v>37</v>
      </c>
      <c r="B8" s="68" t="s">
        <v>38</v>
      </c>
      <c r="C8" s="176" t="s">
        <v>4958</v>
      </c>
      <c r="D8" s="100" t="s">
        <v>4959</v>
      </c>
      <c r="E8" s="101" t="s">
        <v>4960</v>
      </c>
      <c r="F8" s="179">
        <v>40.0</v>
      </c>
      <c r="G8" s="101">
        <v>40.0</v>
      </c>
      <c r="H8" s="180">
        <v>40.0</v>
      </c>
      <c r="I8" s="77" t="s">
        <v>37</v>
      </c>
      <c r="J8" s="1"/>
    </row>
    <row r="9" ht="82.5" customHeight="1">
      <c r="A9" s="68" t="s">
        <v>37</v>
      </c>
      <c r="B9" s="300" t="s">
        <v>38</v>
      </c>
      <c r="C9" s="69" t="s">
        <v>4961</v>
      </c>
      <c r="D9" s="101"/>
      <c r="E9" s="604">
        <v>44169.0</v>
      </c>
      <c r="F9" s="721">
        <v>20.0</v>
      </c>
      <c r="G9" s="77">
        <v>20.0</v>
      </c>
      <c r="H9" s="180">
        <v>20.0</v>
      </c>
      <c r="I9" s="77" t="s">
        <v>37</v>
      </c>
      <c r="J9" s="1"/>
    </row>
    <row r="10" ht="110.25" customHeight="1">
      <c r="A10" s="101" t="s">
        <v>4962</v>
      </c>
      <c r="B10" s="68" t="s">
        <v>3868</v>
      </c>
      <c r="C10" s="68" t="s">
        <v>38</v>
      </c>
      <c r="D10" s="176" t="s">
        <v>4963</v>
      </c>
      <c r="E10" s="722" t="s">
        <v>4964</v>
      </c>
      <c r="F10" s="723">
        <v>44155.0</v>
      </c>
      <c r="G10" s="179"/>
      <c r="H10" s="101">
        <v>20.0</v>
      </c>
      <c r="I10" s="77" t="s">
        <v>40</v>
      </c>
      <c r="J10" s="1"/>
    </row>
    <row r="11" ht="27.0" customHeight="1">
      <c r="A11" s="101" t="s">
        <v>4965</v>
      </c>
      <c r="B11" s="68" t="s">
        <v>4966</v>
      </c>
      <c r="C11" s="724" t="s">
        <v>38</v>
      </c>
      <c r="D11" s="75" t="s">
        <v>4967</v>
      </c>
      <c r="E11" s="101"/>
      <c r="F11" s="75" t="s">
        <v>4968</v>
      </c>
      <c r="G11" s="179">
        <v>20.0</v>
      </c>
      <c r="H11" s="179">
        <v>20.0</v>
      </c>
      <c r="I11" s="77" t="s">
        <v>42</v>
      </c>
      <c r="J11" s="1"/>
    </row>
    <row r="12" ht="144.0" customHeight="1">
      <c r="A12" s="101" t="s">
        <v>4969</v>
      </c>
      <c r="B12" s="68" t="s">
        <v>4966</v>
      </c>
      <c r="C12" s="300" t="s">
        <v>38</v>
      </c>
      <c r="D12" s="69" t="s">
        <v>4970</v>
      </c>
      <c r="E12" s="100" t="s">
        <v>4971</v>
      </c>
      <c r="F12" s="622">
        <v>44162.0</v>
      </c>
      <c r="G12" s="721">
        <v>20.0</v>
      </c>
      <c r="H12" s="721">
        <v>20.0</v>
      </c>
      <c r="I12" s="77" t="s">
        <v>42</v>
      </c>
      <c r="J12" s="1"/>
    </row>
    <row r="13" ht="57.0" customHeight="1">
      <c r="A13" s="53" t="s">
        <v>4972</v>
      </c>
      <c r="B13" s="68" t="s">
        <v>4966</v>
      </c>
      <c r="C13" s="68" t="s">
        <v>38</v>
      </c>
      <c r="D13" s="384" t="s">
        <v>4973</v>
      </c>
      <c r="E13" s="100" t="s">
        <v>4974</v>
      </c>
      <c r="F13" s="75" t="s">
        <v>4975</v>
      </c>
      <c r="G13" s="721">
        <v>20.0</v>
      </c>
      <c r="H13" s="721">
        <v>20.0</v>
      </c>
      <c r="I13" s="77" t="s">
        <v>42</v>
      </c>
      <c r="J13" s="1"/>
    </row>
    <row r="14" ht="96.0" customHeight="1">
      <c r="A14" s="725" t="s">
        <v>4976</v>
      </c>
      <c r="B14" s="68" t="s">
        <v>4977</v>
      </c>
      <c r="C14" s="68" t="s">
        <v>38</v>
      </c>
      <c r="D14" s="176" t="s">
        <v>4470</v>
      </c>
      <c r="E14" s="100" t="s">
        <v>4489</v>
      </c>
      <c r="F14" s="101" t="s">
        <v>4474</v>
      </c>
      <c r="G14" s="179">
        <v>20.0</v>
      </c>
      <c r="H14" s="101">
        <v>20.0</v>
      </c>
      <c r="I14" s="77" t="s">
        <v>46</v>
      </c>
      <c r="J14" s="1"/>
    </row>
    <row r="15" ht="69.0" customHeight="1">
      <c r="A15" s="68" t="s">
        <v>4978</v>
      </c>
      <c r="B15" s="68" t="s">
        <v>4977</v>
      </c>
      <c r="C15" s="300" t="s">
        <v>38</v>
      </c>
      <c r="D15" s="69" t="s">
        <v>4979</v>
      </c>
      <c r="E15" s="101" t="s">
        <v>4980</v>
      </c>
      <c r="F15" s="176" t="s">
        <v>4981</v>
      </c>
      <c r="G15" s="721">
        <v>20.0</v>
      </c>
      <c r="H15" s="77">
        <v>20.0</v>
      </c>
      <c r="I15" s="77" t="s">
        <v>46</v>
      </c>
      <c r="J15" s="1"/>
    </row>
    <row r="16" ht="96.0" customHeight="1">
      <c r="A16" s="101" t="s">
        <v>4982</v>
      </c>
      <c r="B16" s="68" t="s">
        <v>719</v>
      </c>
      <c r="C16" s="68" t="s">
        <v>38</v>
      </c>
      <c r="D16" s="176" t="s">
        <v>4983</v>
      </c>
      <c r="E16" s="101"/>
      <c r="F16" s="101" t="s">
        <v>4474</v>
      </c>
      <c r="G16" s="179">
        <v>20.0</v>
      </c>
      <c r="H16" s="101">
        <v>20.0</v>
      </c>
      <c r="I16" s="77" t="s">
        <v>49</v>
      </c>
      <c r="J16" s="1"/>
    </row>
    <row r="17" ht="69.0" customHeight="1">
      <c r="A17" s="131" t="s">
        <v>4984</v>
      </c>
      <c r="B17" s="69" t="s">
        <v>444</v>
      </c>
      <c r="C17" s="69" t="s">
        <v>38</v>
      </c>
      <c r="D17" s="380" t="s">
        <v>4985</v>
      </c>
      <c r="E17" s="726" t="s">
        <v>4986</v>
      </c>
      <c r="F17" s="727" t="s">
        <v>4987</v>
      </c>
      <c r="G17" s="179">
        <v>20.0</v>
      </c>
      <c r="H17" s="75">
        <v>20.0</v>
      </c>
      <c r="I17" s="77" t="s">
        <v>50</v>
      </c>
      <c r="J17" s="1"/>
    </row>
    <row r="18" ht="41.25" customHeight="1">
      <c r="A18" s="101" t="s">
        <v>4988</v>
      </c>
      <c r="B18" s="101" t="s">
        <v>4203</v>
      </c>
      <c r="C18" s="68" t="s">
        <v>38</v>
      </c>
      <c r="D18" s="176" t="s">
        <v>4989</v>
      </c>
      <c r="E18" s="101" t="s">
        <v>4990</v>
      </c>
      <c r="F18" s="75" t="s">
        <v>4991</v>
      </c>
      <c r="G18" s="179">
        <v>40.0</v>
      </c>
      <c r="H18" s="560">
        <v>40.0</v>
      </c>
      <c r="I18" s="77" t="s">
        <v>4992</v>
      </c>
      <c r="J18" s="1"/>
    </row>
    <row r="19" ht="41.25" customHeight="1">
      <c r="A19" s="68" t="s">
        <v>4993</v>
      </c>
      <c r="B19" s="101" t="s">
        <v>4203</v>
      </c>
      <c r="C19" s="68" t="s">
        <v>38</v>
      </c>
      <c r="D19" s="69" t="s">
        <v>4994</v>
      </c>
      <c r="E19" s="101" t="s">
        <v>4995</v>
      </c>
      <c r="F19" s="75" t="s">
        <v>4996</v>
      </c>
      <c r="G19" s="721">
        <v>20.0</v>
      </c>
      <c r="H19" s="77">
        <v>20.0</v>
      </c>
      <c r="I19" s="77" t="s">
        <v>4997</v>
      </c>
      <c r="J19" s="1"/>
    </row>
    <row r="20" ht="82.5" customHeight="1">
      <c r="A20" s="101" t="s">
        <v>4998</v>
      </c>
      <c r="B20" s="68" t="s">
        <v>3901</v>
      </c>
      <c r="C20" s="68" t="s">
        <v>38</v>
      </c>
      <c r="D20" s="176" t="s">
        <v>4999</v>
      </c>
      <c r="E20" s="100" t="s">
        <v>4472</v>
      </c>
      <c r="F20" s="101" t="s">
        <v>4474</v>
      </c>
      <c r="G20" s="179">
        <v>20.0</v>
      </c>
      <c r="H20" s="101">
        <v>20.0</v>
      </c>
      <c r="I20" s="77" t="s">
        <v>53</v>
      </c>
      <c r="J20" s="1"/>
    </row>
    <row r="21" ht="129.0" customHeight="1">
      <c r="A21" s="68" t="s">
        <v>5000</v>
      </c>
      <c r="B21" s="68" t="s">
        <v>3901</v>
      </c>
      <c r="C21" s="300" t="s">
        <v>38</v>
      </c>
      <c r="D21" s="69" t="s">
        <v>5001</v>
      </c>
      <c r="E21" s="100" t="s">
        <v>5002</v>
      </c>
      <c r="F21" s="75" t="s">
        <v>5003</v>
      </c>
      <c r="G21" s="721">
        <v>20.0</v>
      </c>
      <c r="H21" s="77">
        <v>20.0</v>
      </c>
      <c r="I21" s="77" t="s">
        <v>53</v>
      </c>
      <c r="J21" s="1"/>
    </row>
    <row r="22" ht="82.5" customHeight="1">
      <c r="A22" s="101" t="s">
        <v>5004</v>
      </c>
      <c r="B22" s="68" t="s">
        <v>5005</v>
      </c>
      <c r="C22" s="121" t="s">
        <v>38</v>
      </c>
      <c r="D22" s="698" t="s">
        <v>5006</v>
      </c>
      <c r="E22" s="100" t="s">
        <v>4995</v>
      </c>
      <c r="F22" s="101" t="s">
        <v>4474</v>
      </c>
      <c r="G22" s="179">
        <v>20.0</v>
      </c>
      <c r="H22" s="312">
        <v>20.0</v>
      </c>
      <c r="I22" s="77" t="s">
        <v>56</v>
      </c>
      <c r="J22" s="1"/>
    </row>
    <row r="23" ht="114.75" customHeight="1">
      <c r="A23" s="101" t="s">
        <v>5007</v>
      </c>
      <c r="B23" s="728" t="s">
        <v>5008</v>
      </c>
      <c r="C23" s="68" t="s">
        <v>38</v>
      </c>
      <c r="D23" s="176" t="s">
        <v>5009</v>
      </c>
      <c r="E23" s="100" t="s">
        <v>4486</v>
      </c>
      <c r="F23" s="75">
        <v>2020.0</v>
      </c>
      <c r="G23" s="179">
        <v>20.0</v>
      </c>
      <c r="H23" s="312">
        <v>20.0</v>
      </c>
      <c r="I23" s="77" t="s">
        <v>59</v>
      </c>
      <c r="J23" s="1"/>
    </row>
    <row r="24" ht="41.25" customHeight="1">
      <c r="A24" s="68" t="s">
        <v>5010</v>
      </c>
      <c r="B24" s="68" t="s">
        <v>5011</v>
      </c>
      <c r="C24" s="300" t="s">
        <v>38</v>
      </c>
      <c r="D24" s="301" t="s">
        <v>5012</v>
      </c>
      <c r="E24" s="729" t="s">
        <v>4980</v>
      </c>
      <c r="F24" s="75" t="s">
        <v>5013</v>
      </c>
      <c r="G24" s="721">
        <v>20.0</v>
      </c>
      <c r="H24" s="77">
        <v>6.66</v>
      </c>
      <c r="I24" s="77" t="s">
        <v>59</v>
      </c>
      <c r="J24" s="1"/>
    </row>
    <row r="25" ht="54.75" customHeight="1">
      <c r="A25" s="101" t="s">
        <v>5014</v>
      </c>
      <c r="B25" s="68" t="s">
        <v>5015</v>
      </c>
      <c r="C25" s="68" t="s">
        <v>38</v>
      </c>
      <c r="D25" s="69" t="s">
        <v>5016</v>
      </c>
      <c r="E25" s="100" t="s">
        <v>5017</v>
      </c>
      <c r="F25" s="75" t="s">
        <v>5018</v>
      </c>
      <c r="G25" s="721">
        <v>40.0</v>
      </c>
      <c r="H25" s="77">
        <v>20.0</v>
      </c>
      <c r="I25" s="77" t="s">
        <v>59</v>
      </c>
      <c r="J25" s="1"/>
    </row>
    <row r="26" ht="27.0" customHeight="1">
      <c r="A26" s="101" t="s">
        <v>5019</v>
      </c>
      <c r="B26" s="68" t="s">
        <v>491</v>
      </c>
      <c r="C26" s="68" t="s">
        <v>38</v>
      </c>
      <c r="D26" s="176" t="s">
        <v>5020</v>
      </c>
      <c r="E26" s="101"/>
      <c r="F26" s="101" t="s">
        <v>5003</v>
      </c>
      <c r="G26" s="627">
        <v>20.0</v>
      </c>
      <c r="H26" s="77">
        <v>20.0</v>
      </c>
      <c r="I26" s="77" t="s">
        <v>498</v>
      </c>
      <c r="J26" s="1"/>
    </row>
    <row r="27" ht="41.25" customHeight="1">
      <c r="A27" s="68" t="s">
        <v>5021</v>
      </c>
      <c r="B27" s="68" t="s">
        <v>491</v>
      </c>
      <c r="C27" s="68" t="s">
        <v>38</v>
      </c>
      <c r="D27" s="301" t="s">
        <v>5022</v>
      </c>
      <c r="E27" s="101"/>
      <c r="F27" s="176" t="s">
        <v>4474</v>
      </c>
      <c r="G27" s="730">
        <v>20.0</v>
      </c>
      <c r="H27" s="77">
        <v>20.0</v>
      </c>
      <c r="I27" s="77" t="s">
        <v>498</v>
      </c>
      <c r="J27" s="1"/>
    </row>
    <row r="28" ht="41.25" customHeight="1">
      <c r="A28" s="101" t="s">
        <v>5023</v>
      </c>
      <c r="B28" s="68" t="s">
        <v>491</v>
      </c>
      <c r="C28" s="68" t="s">
        <v>38</v>
      </c>
      <c r="D28" s="301" t="s">
        <v>5024</v>
      </c>
      <c r="E28" s="101"/>
      <c r="F28" s="176" t="s">
        <v>5025</v>
      </c>
      <c r="G28" s="730">
        <v>20.0</v>
      </c>
      <c r="H28" s="77">
        <v>20.0</v>
      </c>
      <c r="I28" s="77" t="s">
        <v>498</v>
      </c>
      <c r="J28" s="1"/>
    </row>
    <row r="29" ht="96.0" customHeight="1">
      <c r="A29" s="101" t="s">
        <v>5026</v>
      </c>
      <c r="B29" s="68" t="s">
        <v>760</v>
      </c>
      <c r="C29" s="68" t="s">
        <v>38</v>
      </c>
      <c r="D29" s="176" t="s">
        <v>4470</v>
      </c>
      <c r="E29" s="100" t="s">
        <v>4489</v>
      </c>
      <c r="F29" s="101" t="s">
        <v>4474</v>
      </c>
      <c r="G29" s="179">
        <v>20.0</v>
      </c>
      <c r="H29" s="101">
        <v>20.0</v>
      </c>
      <c r="I29" s="77" t="s">
        <v>61</v>
      </c>
      <c r="J29" s="1"/>
    </row>
    <row r="30" ht="123.75" customHeight="1">
      <c r="A30" s="731" t="s">
        <v>5027</v>
      </c>
      <c r="B30" s="68" t="s">
        <v>522</v>
      </c>
      <c r="C30" s="68" t="s">
        <v>38</v>
      </c>
      <c r="D30" s="176" t="s">
        <v>5028</v>
      </c>
      <c r="E30" s="100" t="s">
        <v>5029</v>
      </c>
      <c r="F30" s="75">
        <v>2020.0</v>
      </c>
      <c r="G30" s="179">
        <v>20.0</v>
      </c>
      <c r="H30" s="101">
        <v>20.0</v>
      </c>
      <c r="I30" s="77" t="s">
        <v>63</v>
      </c>
      <c r="J30" s="1"/>
    </row>
    <row r="31" ht="158.25" customHeight="1">
      <c r="A31" s="68" t="s">
        <v>5030</v>
      </c>
      <c r="B31" s="68" t="s">
        <v>522</v>
      </c>
      <c r="C31" s="300" t="s">
        <v>38</v>
      </c>
      <c r="D31" s="301" t="s">
        <v>5031</v>
      </c>
      <c r="E31" s="100" t="s">
        <v>5032</v>
      </c>
      <c r="F31" s="75">
        <v>2020.0</v>
      </c>
      <c r="G31" s="721">
        <v>20.0</v>
      </c>
      <c r="H31" s="77">
        <v>20.0</v>
      </c>
      <c r="I31" s="77" t="s">
        <v>63</v>
      </c>
      <c r="J31" s="1"/>
    </row>
    <row r="32" ht="171.0" customHeight="1">
      <c r="A32" s="732" t="s">
        <v>5033</v>
      </c>
      <c r="B32" s="101" t="s">
        <v>1321</v>
      </c>
      <c r="C32" s="101" t="s">
        <v>38</v>
      </c>
      <c r="D32" s="733" t="s">
        <v>5034</v>
      </c>
      <c r="E32" s="68" t="s">
        <v>5035</v>
      </c>
      <c r="F32" s="75" t="s">
        <v>5036</v>
      </c>
      <c r="G32" s="179">
        <v>20.0</v>
      </c>
      <c r="H32" s="101">
        <v>20.0</v>
      </c>
      <c r="I32" s="77" t="s">
        <v>64</v>
      </c>
      <c r="J32" s="1"/>
    </row>
    <row r="33" ht="79.5" customHeight="1">
      <c r="A33" s="733" t="s">
        <v>5037</v>
      </c>
      <c r="B33" s="101" t="s">
        <v>1321</v>
      </c>
      <c r="C33" s="101" t="s">
        <v>38</v>
      </c>
      <c r="D33" s="733" t="s">
        <v>5038</v>
      </c>
      <c r="E33" s="101"/>
      <c r="F33" s="75" t="s">
        <v>4474</v>
      </c>
      <c r="G33" s="721">
        <v>20.0</v>
      </c>
      <c r="H33" s="77">
        <v>20.0</v>
      </c>
      <c r="I33" s="77" t="s">
        <v>64</v>
      </c>
      <c r="J33" s="1"/>
    </row>
    <row r="34" ht="33.75" customHeight="1">
      <c r="A34" s="734" t="s">
        <v>5039</v>
      </c>
      <c r="B34" s="101" t="s">
        <v>1321</v>
      </c>
      <c r="C34" s="101" t="s">
        <v>38</v>
      </c>
      <c r="D34" s="733" t="s">
        <v>5040</v>
      </c>
      <c r="E34" s="101"/>
      <c r="F34" s="75" t="s">
        <v>5041</v>
      </c>
      <c r="G34" s="721">
        <v>20.0</v>
      </c>
      <c r="H34" s="77">
        <v>20.0</v>
      </c>
      <c r="I34" s="77" t="s">
        <v>64</v>
      </c>
      <c r="J34" s="1"/>
    </row>
    <row r="35" ht="45.0" customHeight="1">
      <c r="A35" s="734" t="s">
        <v>5042</v>
      </c>
      <c r="B35" s="101" t="s">
        <v>1321</v>
      </c>
      <c r="C35" s="101" t="s">
        <v>38</v>
      </c>
      <c r="D35" s="733" t="s">
        <v>5043</v>
      </c>
      <c r="E35" s="101"/>
      <c r="F35" s="75" t="s">
        <v>5025</v>
      </c>
      <c r="G35" s="721"/>
      <c r="H35" s="77"/>
      <c r="I35" s="77" t="s">
        <v>64</v>
      </c>
      <c r="J35" s="1"/>
    </row>
    <row r="36" ht="78.0" customHeight="1">
      <c r="A36" s="735" t="s">
        <v>5044</v>
      </c>
      <c r="B36" s="68" t="s">
        <v>774</v>
      </c>
      <c r="C36" s="68" t="s">
        <v>213</v>
      </c>
      <c r="D36" s="176" t="s">
        <v>5045</v>
      </c>
      <c r="E36" s="100" t="s">
        <v>5046</v>
      </c>
      <c r="F36" s="215" t="s">
        <v>5025</v>
      </c>
      <c r="G36" s="179">
        <v>20.0</v>
      </c>
      <c r="H36" s="101">
        <v>20.0</v>
      </c>
      <c r="I36" s="77" t="s">
        <v>65</v>
      </c>
      <c r="J36" s="1"/>
    </row>
    <row r="37" ht="41.25" customHeight="1">
      <c r="A37" s="68" t="s">
        <v>5047</v>
      </c>
      <c r="B37" s="68" t="s">
        <v>3999</v>
      </c>
      <c r="C37" s="300" t="s">
        <v>213</v>
      </c>
      <c r="D37" s="69" t="s">
        <v>5048</v>
      </c>
      <c r="E37" s="100" t="s">
        <v>5046</v>
      </c>
      <c r="F37" s="75" t="s">
        <v>4474</v>
      </c>
      <c r="G37" s="721">
        <v>20.0</v>
      </c>
      <c r="H37" s="77">
        <v>20.0</v>
      </c>
      <c r="I37" s="77" t="s">
        <v>65</v>
      </c>
      <c r="J37" s="1"/>
    </row>
    <row r="38" ht="96.0" customHeight="1">
      <c r="A38" s="101" t="s">
        <v>5049</v>
      </c>
      <c r="B38" s="68" t="s">
        <v>3999</v>
      </c>
      <c r="C38" s="68" t="s">
        <v>213</v>
      </c>
      <c r="D38" s="69" t="s">
        <v>5050</v>
      </c>
      <c r="E38" s="100" t="s">
        <v>5046</v>
      </c>
      <c r="F38" s="75" t="s">
        <v>5051</v>
      </c>
      <c r="G38" s="721">
        <v>20.0</v>
      </c>
      <c r="H38" s="77">
        <v>20.0</v>
      </c>
      <c r="I38" s="77" t="s">
        <v>65</v>
      </c>
      <c r="J38" s="1"/>
    </row>
    <row r="39" ht="82.5" customHeight="1">
      <c r="A39" s="736" t="s">
        <v>5052</v>
      </c>
      <c r="B39" s="698" t="s">
        <v>5053</v>
      </c>
      <c r="C39" s="737" t="s">
        <v>38</v>
      </c>
      <c r="D39" s="738" t="s">
        <v>5054</v>
      </c>
      <c r="E39" s="462" t="s">
        <v>5055</v>
      </c>
      <c r="F39" s="215">
        <v>2020.0</v>
      </c>
      <c r="G39" s="739">
        <v>40.0</v>
      </c>
      <c r="H39" s="77">
        <v>20.0</v>
      </c>
      <c r="I39" s="77" t="s">
        <v>66</v>
      </c>
      <c r="J39" s="1"/>
    </row>
    <row r="40" ht="138.0" customHeight="1">
      <c r="A40" s="462" t="s">
        <v>5056</v>
      </c>
      <c r="B40" s="698" t="s">
        <v>5057</v>
      </c>
      <c r="C40" s="698" t="s">
        <v>38</v>
      </c>
      <c r="D40" s="740" t="s">
        <v>5058</v>
      </c>
      <c r="E40" s="462" t="s">
        <v>5059</v>
      </c>
      <c r="F40" s="215" t="s">
        <v>5060</v>
      </c>
      <c r="G40" s="721">
        <v>40.0</v>
      </c>
      <c r="H40" s="77">
        <v>40.0</v>
      </c>
      <c r="I40" s="77" t="s">
        <v>66</v>
      </c>
      <c r="J40" s="1"/>
    </row>
    <row r="41" ht="41.25" customHeight="1">
      <c r="A41" s="68" t="s">
        <v>5061</v>
      </c>
      <c r="B41" s="68" t="s">
        <v>5062</v>
      </c>
      <c r="C41" s="300" t="s">
        <v>38</v>
      </c>
      <c r="D41" s="69" t="s">
        <v>5063</v>
      </c>
      <c r="E41" s="101" t="s">
        <v>4489</v>
      </c>
      <c r="F41" s="604">
        <v>44155.0</v>
      </c>
      <c r="G41" s="721">
        <v>20.0</v>
      </c>
      <c r="H41" s="77">
        <v>20.0</v>
      </c>
      <c r="I41" s="77" t="s">
        <v>68</v>
      </c>
      <c r="J41" s="1"/>
    </row>
    <row r="42" ht="52.5" customHeight="1">
      <c r="A42" s="170" t="s">
        <v>5064</v>
      </c>
      <c r="B42" s="146" t="s">
        <v>5065</v>
      </c>
      <c r="C42" s="602" t="s">
        <v>73</v>
      </c>
      <c r="D42" s="148" t="s">
        <v>5066</v>
      </c>
      <c r="E42" s="741" t="s">
        <v>5067</v>
      </c>
      <c r="F42" s="148" t="s">
        <v>5068</v>
      </c>
      <c r="G42" s="148">
        <v>20.0</v>
      </c>
      <c r="H42" s="154">
        <v>10.0</v>
      </c>
      <c r="I42" s="154" t="s">
        <v>882</v>
      </c>
      <c r="J42" s="1"/>
    </row>
    <row r="43" ht="26.25" customHeight="1">
      <c r="A43" s="170" t="s">
        <v>5069</v>
      </c>
      <c r="B43" s="146" t="s">
        <v>4292</v>
      </c>
      <c r="C43" s="146" t="s">
        <v>73</v>
      </c>
      <c r="D43" s="162" t="s">
        <v>5070</v>
      </c>
      <c r="E43" s="170" t="s">
        <v>4504</v>
      </c>
      <c r="F43" s="170" t="s">
        <v>4535</v>
      </c>
      <c r="G43" s="169">
        <v>20.0</v>
      </c>
      <c r="H43" s="324">
        <v>20.0</v>
      </c>
      <c r="I43" s="154" t="s">
        <v>83</v>
      </c>
      <c r="J43" s="1"/>
    </row>
    <row r="44" ht="78.75" customHeight="1">
      <c r="A44" s="170" t="s">
        <v>5071</v>
      </c>
      <c r="B44" s="146" t="s">
        <v>84</v>
      </c>
      <c r="C44" s="147" t="s">
        <v>73</v>
      </c>
      <c r="D44" s="162" t="s">
        <v>5072</v>
      </c>
      <c r="E44" s="149" t="s">
        <v>4524</v>
      </c>
      <c r="F44" s="148" t="s">
        <v>4450</v>
      </c>
      <c r="G44" s="169">
        <v>20.0</v>
      </c>
      <c r="H44" s="574">
        <v>20.0</v>
      </c>
      <c r="I44" s="154" t="s">
        <v>4520</v>
      </c>
      <c r="J44" s="1"/>
    </row>
    <row r="45" ht="158.25" customHeight="1">
      <c r="A45" s="458" t="s">
        <v>5073</v>
      </c>
      <c r="B45" s="146" t="s">
        <v>5074</v>
      </c>
      <c r="C45" s="146" t="s">
        <v>73</v>
      </c>
      <c r="D45" s="742" t="s">
        <v>5075</v>
      </c>
      <c r="E45" s="741" t="s">
        <v>5076</v>
      </c>
      <c r="F45" s="170" t="s">
        <v>5077</v>
      </c>
      <c r="G45" s="169">
        <v>20.0</v>
      </c>
      <c r="H45" s="170">
        <v>20.0</v>
      </c>
      <c r="I45" s="154" t="s">
        <v>86</v>
      </c>
      <c r="J45" s="1"/>
    </row>
    <row r="46" ht="36.0" customHeight="1">
      <c r="A46" s="170" t="s">
        <v>5078</v>
      </c>
      <c r="B46" s="146" t="s">
        <v>4533</v>
      </c>
      <c r="C46" s="146" t="s">
        <v>4016</v>
      </c>
      <c r="D46" s="162" t="s">
        <v>4506</v>
      </c>
      <c r="E46" s="149" t="s">
        <v>4504</v>
      </c>
      <c r="F46" s="170" t="s">
        <v>4535</v>
      </c>
      <c r="G46" s="169">
        <v>20.0</v>
      </c>
      <c r="H46" s="148">
        <v>20.0</v>
      </c>
      <c r="I46" s="154" t="s">
        <v>89</v>
      </c>
      <c r="J46" s="1"/>
    </row>
    <row r="47" ht="132.0" customHeight="1">
      <c r="A47" s="146" t="s">
        <v>5079</v>
      </c>
      <c r="B47" s="146" t="s">
        <v>4533</v>
      </c>
      <c r="C47" s="175" t="s">
        <v>4016</v>
      </c>
      <c r="D47" s="147" t="s">
        <v>5080</v>
      </c>
      <c r="E47" s="264" t="s">
        <v>5081</v>
      </c>
      <c r="F47" s="148" t="s">
        <v>5082</v>
      </c>
      <c r="G47" s="173">
        <v>20.0</v>
      </c>
      <c r="H47" s="154">
        <v>20.0</v>
      </c>
      <c r="I47" s="154" t="s">
        <v>89</v>
      </c>
      <c r="J47" s="1"/>
    </row>
    <row r="48" ht="66.0" customHeight="1">
      <c r="A48" s="170" t="s">
        <v>5083</v>
      </c>
      <c r="B48" s="146" t="s">
        <v>4533</v>
      </c>
      <c r="C48" s="146" t="s">
        <v>4016</v>
      </c>
      <c r="D48" s="147" t="s">
        <v>5084</v>
      </c>
      <c r="E48" s="264" t="s">
        <v>5085</v>
      </c>
      <c r="F48" s="148" t="s">
        <v>5086</v>
      </c>
      <c r="G48" s="173">
        <v>20.0</v>
      </c>
      <c r="H48" s="154">
        <v>20.0</v>
      </c>
      <c r="I48" s="154" t="s">
        <v>89</v>
      </c>
      <c r="J48" s="1"/>
    </row>
    <row r="49" ht="39.0" customHeight="1">
      <c r="A49" s="146" t="s">
        <v>5087</v>
      </c>
      <c r="B49" s="146" t="s">
        <v>94</v>
      </c>
      <c r="C49" s="148" t="s">
        <v>5088</v>
      </c>
      <c r="D49" s="146" t="s">
        <v>5089</v>
      </c>
      <c r="E49" s="149"/>
      <c r="F49" s="148" t="s">
        <v>5090</v>
      </c>
      <c r="G49" s="173">
        <v>20.0</v>
      </c>
      <c r="H49" s="154">
        <v>20.0</v>
      </c>
      <c r="I49" s="154" t="s">
        <v>94</v>
      </c>
      <c r="J49" s="1"/>
    </row>
    <row r="50" ht="52.5" customHeight="1">
      <c r="A50" s="170" t="s">
        <v>5064</v>
      </c>
      <c r="B50" s="146" t="s">
        <v>5091</v>
      </c>
      <c r="C50" s="602" t="s">
        <v>73</v>
      </c>
      <c r="D50" s="148" t="s">
        <v>5092</v>
      </c>
      <c r="E50" s="369" t="s">
        <v>5067</v>
      </c>
      <c r="F50" s="148" t="s">
        <v>5093</v>
      </c>
      <c r="G50" s="148">
        <v>20.0</v>
      </c>
      <c r="H50" s="154">
        <v>10.0</v>
      </c>
      <c r="I50" s="154" t="s">
        <v>98</v>
      </c>
      <c r="J50" s="1"/>
    </row>
    <row r="51" ht="96.0" customHeight="1">
      <c r="A51" s="87" t="s">
        <v>5094</v>
      </c>
      <c r="B51" s="90" t="s">
        <v>4551</v>
      </c>
      <c r="C51" s="83" t="s">
        <v>100</v>
      </c>
      <c r="D51" s="483" t="s">
        <v>5095</v>
      </c>
      <c r="E51" s="270" t="s">
        <v>4554</v>
      </c>
      <c r="F51" s="87" t="s">
        <v>5096</v>
      </c>
      <c r="G51" s="634">
        <v>20.0</v>
      </c>
      <c r="H51" s="634">
        <v>20.0</v>
      </c>
      <c r="I51" s="345" t="s">
        <v>4551</v>
      </c>
      <c r="J51" s="1"/>
    </row>
    <row r="52" ht="54.75" customHeight="1">
      <c r="A52" s="101" t="s">
        <v>5097</v>
      </c>
      <c r="B52" s="68" t="s">
        <v>5098</v>
      </c>
      <c r="C52" s="68" t="s">
        <v>100</v>
      </c>
      <c r="D52" s="176" t="s">
        <v>4323</v>
      </c>
      <c r="E52" s="100" t="s">
        <v>4324</v>
      </c>
      <c r="F52" s="101" t="s">
        <v>5099</v>
      </c>
      <c r="G52" s="179">
        <v>40.0</v>
      </c>
      <c r="H52" s="101">
        <v>20.0</v>
      </c>
      <c r="I52" s="92" t="s">
        <v>105</v>
      </c>
      <c r="J52" s="1"/>
    </row>
    <row r="53" ht="57.0" customHeight="1">
      <c r="A53" s="99" t="s">
        <v>5100</v>
      </c>
      <c r="B53" s="99" t="s">
        <v>5101</v>
      </c>
      <c r="C53" s="300" t="s">
        <v>100</v>
      </c>
      <c r="D53" s="69" t="s">
        <v>5102</v>
      </c>
      <c r="E53" s="100" t="s">
        <v>5103</v>
      </c>
      <c r="F53" s="75" t="s">
        <v>5104</v>
      </c>
      <c r="G53" s="721">
        <v>20.0</v>
      </c>
      <c r="H53" s="77">
        <v>20.0</v>
      </c>
      <c r="I53" s="92" t="s">
        <v>105</v>
      </c>
      <c r="J53" s="1"/>
    </row>
    <row r="54" ht="52.5" customHeight="1">
      <c r="A54" s="87" t="s">
        <v>5105</v>
      </c>
      <c r="B54" s="90" t="s">
        <v>1653</v>
      </c>
      <c r="C54" s="743" t="s">
        <v>100</v>
      </c>
      <c r="D54" s="83" t="s">
        <v>5106</v>
      </c>
      <c r="E54" s="87" t="s">
        <v>1656</v>
      </c>
      <c r="F54" s="90" t="s">
        <v>4560</v>
      </c>
      <c r="G54" s="634">
        <v>20.0</v>
      </c>
      <c r="H54" s="92">
        <v>20.0</v>
      </c>
      <c r="I54" s="345" t="s">
        <v>1653</v>
      </c>
      <c r="J54" s="1"/>
    </row>
    <row r="55" ht="52.5" customHeight="1">
      <c r="A55" s="744" t="s">
        <v>5107</v>
      </c>
      <c r="B55" s="90" t="s">
        <v>1653</v>
      </c>
      <c r="C55" s="743" t="s">
        <v>100</v>
      </c>
      <c r="D55" s="83" t="s">
        <v>5106</v>
      </c>
      <c r="E55" s="87" t="s">
        <v>1656</v>
      </c>
      <c r="F55" s="90" t="s">
        <v>4560</v>
      </c>
      <c r="G55" s="745">
        <v>20.0</v>
      </c>
      <c r="H55" s="92">
        <v>20.0</v>
      </c>
      <c r="I55" s="345" t="s">
        <v>1653</v>
      </c>
      <c r="J55" s="1"/>
    </row>
    <row r="56" ht="52.5" customHeight="1">
      <c r="A56" s="87" t="s">
        <v>5108</v>
      </c>
      <c r="B56" s="90" t="s">
        <v>1653</v>
      </c>
      <c r="C56" s="743" t="s">
        <v>100</v>
      </c>
      <c r="D56" s="83" t="s">
        <v>5106</v>
      </c>
      <c r="E56" s="87" t="s">
        <v>1656</v>
      </c>
      <c r="F56" s="90" t="s">
        <v>4560</v>
      </c>
      <c r="G56" s="745">
        <v>20.0</v>
      </c>
      <c r="H56" s="92">
        <v>20.0</v>
      </c>
      <c r="I56" s="345" t="s">
        <v>1653</v>
      </c>
      <c r="J56" s="1"/>
    </row>
    <row r="57" ht="52.5" customHeight="1">
      <c r="A57" s="87" t="s">
        <v>5109</v>
      </c>
      <c r="B57" s="83" t="s">
        <v>5110</v>
      </c>
      <c r="C57" s="743" t="s">
        <v>100</v>
      </c>
      <c r="D57" s="746" t="s">
        <v>5109</v>
      </c>
      <c r="E57" s="633" t="s">
        <v>5111</v>
      </c>
      <c r="F57" s="87" t="s">
        <v>5112</v>
      </c>
      <c r="G57" s="634">
        <v>20.0</v>
      </c>
      <c r="H57" s="345">
        <v>20.0</v>
      </c>
      <c r="I57" s="92" t="s">
        <v>108</v>
      </c>
      <c r="J57" s="1"/>
    </row>
    <row r="58" ht="52.5" customHeight="1">
      <c r="A58" s="90" t="s">
        <v>5113</v>
      </c>
      <c r="B58" s="747" t="s">
        <v>4568</v>
      </c>
      <c r="C58" s="743" t="s">
        <v>100</v>
      </c>
      <c r="D58" s="84" t="s">
        <v>5114</v>
      </c>
      <c r="E58" s="371" t="s">
        <v>4324</v>
      </c>
      <c r="F58" s="84" t="s">
        <v>4570</v>
      </c>
      <c r="G58" s="748">
        <v>20.0</v>
      </c>
      <c r="H58" s="748">
        <v>20.0</v>
      </c>
      <c r="I58" s="92" t="s">
        <v>4568</v>
      </c>
      <c r="J58" s="1"/>
    </row>
    <row r="59" ht="78.75" customHeight="1">
      <c r="A59" s="749" t="s">
        <v>5115</v>
      </c>
      <c r="B59" s="747" t="s">
        <v>4568</v>
      </c>
      <c r="C59" s="743" t="s">
        <v>100</v>
      </c>
      <c r="D59" s="83" t="s">
        <v>5116</v>
      </c>
      <c r="E59" s="750" t="s">
        <v>5117</v>
      </c>
      <c r="F59" s="84" t="s">
        <v>4567</v>
      </c>
      <c r="G59" s="748">
        <v>20.0</v>
      </c>
      <c r="H59" s="748">
        <v>20.0</v>
      </c>
      <c r="I59" s="92" t="s">
        <v>4568</v>
      </c>
      <c r="J59" s="1"/>
    </row>
    <row r="60" ht="78.75" customHeight="1">
      <c r="A60" s="84" t="s">
        <v>5118</v>
      </c>
      <c r="B60" s="747" t="s">
        <v>4568</v>
      </c>
      <c r="C60" s="743" t="s">
        <v>100</v>
      </c>
      <c r="D60" s="83" t="s">
        <v>5116</v>
      </c>
      <c r="E60" s="750" t="s">
        <v>5117</v>
      </c>
      <c r="F60" s="84" t="s">
        <v>4567</v>
      </c>
      <c r="G60" s="748">
        <v>20.0</v>
      </c>
      <c r="H60" s="748">
        <v>20.0</v>
      </c>
      <c r="I60" s="92" t="s">
        <v>4568</v>
      </c>
      <c r="J60" s="1"/>
    </row>
    <row r="61" ht="41.25" customHeight="1">
      <c r="A61" s="90" t="s">
        <v>5119</v>
      </c>
      <c r="B61" s="90" t="s">
        <v>4340</v>
      </c>
      <c r="C61" s="743" t="s">
        <v>100</v>
      </c>
      <c r="D61" s="90" t="s">
        <v>5120</v>
      </c>
      <c r="E61" s="270" t="s">
        <v>4594</v>
      </c>
      <c r="F61" s="612">
        <v>44156.0</v>
      </c>
      <c r="G61" s="634">
        <v>20.0</v>
      </c>
      <c r="H61" s="634">
        <v>20.0</v>
      </c>
      <c r="I61" s="345" t="s">
        <v>4340</v>
      </c>
      <c r="J61" s="1"/>
    </row>
    <row r="62" ht="41.25" customHeight="1">
      <c r="A62" s="83" t="s">
        <v>5121</v>
      </c>
      <c r="B62" s="90" t="s">
        <v>4340</v>
      </c>
      <c r="C62" s="743" t="s">
        <v>100</v>
      </c>
      <c r="D62" s="83" t="s">
        <v>5120</v>
      </c>
      <c r="E62" s="270" t="s">
        <v>4594</v>
      </c>
      <c r="F62" s="612">
        <v>44156.0</v>
      </c>
      <c r="G62" s="745">
        <v>20.0</v>
      </c>
      <c r="H62" s="745">
        <v>20.0</v>
      </c>
      <c r="I62" s="345" t="s">
        <v>4340</v>
      </c>
      <c r="J62" s="1"/>
    </row>
    <row r="63" ht="96.0" customHeight="1">
      <c r="A63" s="83" t="s">
        <v>5122</v>
      </c>
      <c r="B63" s="90" t="s">
        <v>4340</v>
      </c>
      <c r="C63" s="743" t="s">
        <v>100</v>
      </c>
      <c r="D63" s="90" t="s">
        <v>4572</v>
      </c>
      <c r="E63" s="636" t="s">
        <v>4573</v>
      </c>
      <c r="F63" s="612">
        <v>44155.0</v>
      </c>
      <c r="G63" s="745">
        <v>20.0</v>
      </c>
      <c r="H63" s="745">
        <v>20.0</v>
      </c>
      <c r="I63" s="345" t="s">
        <v>4340</v>
      </c>
      <c r="J63" s="1"/>
    </row>
    <row r="64" ht="55.5" customHeight="1">
      <c r="A64" s="751" t="s">
        <v>5123</v>
      </c>
      <c r="B64" s="744" t="s">
        <v>4342</v>
      </c>
      <c r="C64" s="743" t="s">
        <v>100</v>
      </c>
      <c r="D64" s="518" t="s">
        <v>4575</v>
      </c>
      <c r="E64" s="752" t="s">
        <v>4557</v>
      </c>
      <c r="F64" s="87" t="s">
        <v>4577</v>
      </c>
      <c r="G64" s="634">
        <v>20.0</v>
      </c>
      <c r="H64" s="634">
        <v>20.0</v>
      </c>
      <c r="I64" s="92" t="s">
        <v>4578</v>
      </c>
      <c r="J64" s="1"/>
    </row>
    <row r="65" ht="39.0" customHeight="1">
      <c r="A65" s="744" t="s">
        <v>5124</v>
      </c>
      <c r="B65" s="744" t="s">
        <v>5125</v>
      </c>
      <c r="C65" s="743" t="s">
        <v>100</v>
      </c>
      <c r="D65" s="83" t="s">
        <v>5126</v>
      </c>
      <c r="E65" s="753" t="s">
        <v>5127</v>
      </c>
      <c r="F65" s="90" t="s">
        <v>5128</v>
      </c>
      <c r="G65" s="745">
        <v>20.0</v>
      </c>
      <c r="H65" s="745">
        <v>20.0</v>
      </c>
      <c r="I65" s="92" t="s">
        <v>120</v>
      </c>
      <c r="J65" s="1"/>
    </row>
    <row r="66" ht="14.25" customHeight="1">
      <c r="A66" s="347" t="s">
        <v>5129</v>
      </c>
      <c r="B66" s="754" t="s">
        <v>5130</v>
      </c>
      <c r="C66" s="754" t="s">
        <v>100</v>
      </c>
      <c r="D66" s="614" t="s">
        <v>5131</v>
      </c>
      <c r="E66" s="755" t="s">
        <v>4324</v>
      </c>
      <c r="F66" s="641" t="s">
        <v>4584</v>
      </c>
      <c r="G66" s="642">
        <v>20.0</v>
      </c>
      <c r="H66" s="643">
        <v>20.0</v>
      </c>
      <c r="I66" s="92" t="s">
        <v>113</v>
      </c>
      <c r="J66" s="1"/>
    </row>
    <row r="67" ht="14.25" customHeight="1">
      <c r="A67" s="756" t="s">
        <v>5132</v>
      </c>
      <c r="B67" s="754" t="s">
        <v>5133</v>
      </c>
      <c r="C67" s="757" t="s">
        <v>100</v>
      </c>
      <c r="D67" s="641" t="s">
        <v>4585</v>
      </c>
      <c r="E67" s="755" t="s">
        <v>5134</v>
      </c>
      <c r="F67" s="613" t="s">
        <v>4567</v>
      </c>
      <c r="G67" s="642">
        <v>20.0</v>
      </c>
      <c r="H67" s="643">
        <v>20.0</v>
      </c>
      <c r="I67" s="92" t="s">
        <v>113</v>
      </c>
      <c r="J67" s="1"/>
    </row>
    <row r="68" ht="14.25" customHeight="1">
      <c r="A68" s="347" t="s">
        <v>5135</v>
      </c>
      <c r="B68" s="754" t="s">
        <v>5130</v>
      </c>
      <c r="C68" s="754" t="s">
        <v>100</v>
      </c>
      <c r="D68" s="614" t="s">
        <v>5136</v>
      </c>
      <c r="E68" s="755" t="s">
        <v>5137</v>
      </c>
      <c r="F68" s="613" t="s">
        <v>4570</v>
      </c>
      <c r="G68" s="642">
        <v>20.0</v>
      </c>
      <c r="H68" s="643">
        <v>20.0</v>
      </c>
      <c r="I68" s="92" t="s">
        <v>113</v>
      </c>
      <c r="J68" s="1"/>
    </row>
    <row r="69" ht="54.75" customHeight="1">
      <c r="A69" s="492" t="s">
        <v>5138</v>
      </c>
      <c r="B69" s="279" t="s">
        <v>4734</v>
      </c>
      <c r="C69" s="279" t="s">
        <v>100</v>
      </c>
      <c r="D69" s="283" t="s">
        <v>4601</v>
      </c>
      <c r="E69" s="648" t="s">
        <v>4562</v>
      </c>
      <c r="F69" s="283" t="s">
        <v>4602</v>
      </c>
      <c r="G69" s="645">
        <v>20.0</v>
      </c>
      <c r="H69" s="584">
        <v>20.0</v>
      </c>
      <c r="I69" s="92" t="s">
        <v>5139</v>
      </c>
      <c r="J69" s="1"/>
    </row>
    <row r="70" ht="96.0" customHeight="1">
      <c r="A70" s="492" t="s">
        <v>5140</v>
      </c>
      <c r="B70" s="279" t="s">
        <v>971</v>
      </c>
      <c r="C70" s="279" t="s">
        <v>100</v>
      </c>
      <c r="D70" s="283" t="s">
        <v>5141</v>
      </c>
      <c r="E70" s="283" t="s">
        <v>5142</v>
      </c>
      <c r="F70" s="283" t="s">
        <v>4559</v>
      </c>
      <c r="G70" s="645">
        <v>20.0</v>
      </c>
      <c r="H70" s="584">
        <v>20.0</v>
      </c>
      <c r="I70" s="92" t="s">
        <v>2661</v>
      </c>
      <c r="J70" s="1"/>
    </row>
    <row r="71" ht="82.5" customHeight="1">
      <c r="A71" s="68" t="s">
        <v>5143</v>
      </c>
      <c r="B71" s="68" t="s">
        <v>122</v>
      </c>
      <c r="C71" s="300" t="s">
        <v>123</v>
      </c>
      <c r="D71" s="69" t="s">
        <v>5144</v>
      </c>
      <c r="E71" s="101" t="s">
        <v>5145</v>
      </c>
      <c r="F71" s="604" t="s">
        <v>5146</v>
      </c>
      <c r="G71" s="721">
        <v>20.0</v>
      </c>
      <c r="H71" s="77">
        <v>20.0</v>
      </c>
      <c r="I71" s="77" t="s">
        <v>122</v>
      </c>
      <c r="J71" s="1"/>
    </row>
    <row r="72" ht="54.75" customHeight="1">
      <c r="A72" s="68" t="s">
        <v>5147</v>
      </c>
      <c r="B72" s="68" t="s">
        <v>5148</v>
      </c>
      <c r="C72" s="300" t="s">
        <v>123</v>
      </c>
      <c r="D72" s="69" t="s">
        <v>5149</v>
      </c>
      <c r="E72" s="101" t="s">
        <v>5150</v>
      </c>
      <c r="F72" s="604">
        <v>43971.0</v>
      </c>
      <c r="G72" s="721">
        <v>20.0</v>
      </c>
      <c r="H72" s="77">
        <v>20.0</v>
      </c>
      <c r="I72" s="77" t="s">
        <v>128</v>
      </c>
      <c r="J72" s="1"/>
    </row>
    <row r="73" ht="234.0" customHeight="1">
      <c r="A73" s="68" t="s">
        <v>5151</v>
      </c>
      <c r="B73" s="68" t="s">
        <v>5152</v>
      </c>
      <c r="C73" s="300" t="s">
        <v>123</v>
      </c>
      <c r="D73" s="69" t="s">
        <v>5153</v>
      </c>
      <c r="E73" s="101" t="s">
        <v>5154</v>
      </c>
      <c r="F73" s="604">
        <v>43971.0</v>
      </c>
      <c r="G73" s="721">
        <v>40.0</v>
      </c>
      <c r="H73" s="77">
        <v>20.0</v>
      </c>
      <c r="I73" s="77" t="s">
        <v>135</v>
      </c>
      <c r="J73" s="1"/>
    </row>
    <row r="74" ht="41.25" customHeight="1">
      <c r="A74" s="101" t="s">
        <v>5155</v>
      </c>
      <c r="B74" s="68" t="s">
        <v>146</v>
      </c>
      <c r="C74" s="68" t="s">
        <v>142</v>
      </c>
      <c r="D74" s="176" t="s">
        <v>5156</v>
      </c>
      <c r="E74" s="101" t="s">
        <v>4557</v>
      </c>
      <c r="F74" s="101" t="s">
        <v>4617</v>
      </c>
      <c r="G74" s="179">
        <v>20.0</v>
      </c>
      <c r="H74" s="180">
        <v>20.0</v>
      </c>
      <c r="I74" s="77" t="s">
        <v>146</v>
      </c>
      <c r="J74" s="1"/>
    </row>
    <row r="75" ht="96.0" customHeight="1">
      <c r="A75" s="101" t="s">
        <v>5157</v>
      </c>
      <c r="B75" s="68" t="s">
        <v>147</v>
      </c>
      <c r="C75" s="181" t="s">
        <v>1109</v>
      </c>
      <c r="D75" s="176" t="s">
        <v>5158</v>
      </c>
      <c r="E75" s="101" t="s">
        <v>5159</v>
      </c>
      <c r="F75" s="101">
        <v>44044.0</v>
      </c>
      <c r="G75" s="179">
        <v>20.0</v>
      </c>
      <c r="H75" s="180">
        <v>20.0</v>
      </c>
      <c r="I75" s="77" t="s">
        <v>147</v>
      </c>
      <c r="J75" s="1"/>
    </row>
    <row r="76" ht="54.75" customHeight="1">
      <c r="A76" s="101" t="s">
        <v>5160</v>
      </c>
      <c r="B76" s="68" t="s">
        <v>149</v>
      </c>
      <c r="C76" s="181" t="s">
        <v>1109</v>
      </c>
      <c r="D76" s="176" t="s">
        <v>4323</v>
      </c>
      <c r="E76" s="101" t="s">
        <v>4557</v>
      </c>
      <c r="F76" s="101" t="s">
        <v>4559</v>
      </c>
      <c r="G76" s="179">
        <v>20.0</v>
      </c>
      <c r="H76" s="180">
        <v>20.0</v>
      </c>
      <c r="I76" s="77" t="s">
        <v>149</v>
      </c>
      <c r="J76" s="1"/>
    </row>
    <row r="77" ht="82.5" customHeight="1">
      <c r="A77" s="101" t="s">
        <v>5161</v>
      </c>
      <c r="B77" s="68" t="s">
        <v>150</v>
      </c>
      <c r="C77" s="181" t="s">
        <v>142</v>
      </c>
      <c r="D77" s="176" t="s">
        <v>4619</v>
      </c>
      <c r="E77" s="101" t="s">
        <v>4625</v>
      </c>
      <c r="F77" s="101" t="s">
        <v>4623</v>
      </c>
      <c r="G77" s="179">
        <v>20.0</v>
      </c>
      <c r="H77" s="180">
        <v>20.0</v>
      </c>
      <c r="I77" s="77" t="s">
        <v>150</v>
      </c>
      <c r="J77" s="1"/>
    </row>
    <row r="78" ht="82.5" customHeight="1">
      <c r="A78" s="101" t="s">
        <v>5162</v>
      </c>
      <c r="B78" s="68" t="s">
        <v>150</v>
      </c>
      <c r="C78" s="181" t="s">
        <v>142</v>
      </c>
      <c r="D78" s="176" t="s">
        <v>5163</v>
      </c>
      <c r="E78" s="101" t="s">
        <v>4621</v>
      </c>
      <c r="F78" s="101" t="s">
        <v>4626</v>
      </c>
      <c r="G78" s="179">
        <v>20.0</v>
      </c>
      <c r="H78" s="180">
        <v>20.0</v>
      </c>
      <c r="I78" s="77" t="s">
        <v>150</v>
      </c>
      <c r="J78" s="1"/>
    </row>
    <row r="79" ht="96.0" customHeight="1">
      <c r="A79" s="101" t="s">
        <v>3063</v>
      </c>
      <c r="B79" s="68" t="s">
        <v>3062</v>
      </c>
      <c r="C79" s="181" t="s">
        <v>142</v>
      </c>
      <c r="D79" s="176" t="s">
        <v>5164</v>
      </c>
      <c r="E79" s="101" t="s">
        <v>5165</v>
      </c>
      <c r="F79" s="101" t="s">
        <v>5166</v>
      </c>
      <c r="G79" s="179">
        <v>40.0</v>
      </c>
      <c r="H79" s="180">
        <v>20.0</v>
      </c>
      <c r="I79" s="77" t="s">
        <v>150</v>
      </c>
      <c r="J79" s="1"/>
    </row>
    <row r="80" ht="27.0" customHeight="1">
      <c r="A80" s="101" t="s">
        <v>5167</v>
      </c>
      <c r="B80" s="68" t="s">
        <v>151</v>
      </c>
      <c r="C80" s="181" t="s">
        <v>142</v>
      </c>
      <c r="D80" s="176" t="s">
        <v>4627</v>
      </c>
      <c r="E80" s="101" t="s">
        <v>5168</v>
      </c>
      <c r="F80" s="101" t="s">
        <v>4629</v>
      </c>
      <c r="G80" s="179">
        <v>40.0</v>
      </c>
      <c r="H80" s="180">
        <v>40.0</v>
      </c>
      <c r="I80" s="77" t="s">
        <v>151</v>
      </c>
      <c r="J80" s="1"/>
    </row>
    <row r="81" ht="54.75" customHeight="1">
      <c r="A81" s="101" t="s">
        <v>5169</v>
      </c>
      <c r="B81" s="68" t="s">
        <v>151</v>
      </c>
      <c r="C81" s="181" t="s">
        <v>142</v>
      </c>
      <c r="D81" s="176" t="s">
        <v>5170</v>
      </c>
      <c r="E81" s="101" t="s">
        <v>4524</v>
      </c>
      <c r="F81" s="555">
        <v>44105.0</v>
      </c>
      <c r="G81" s="179">
        <v>20.0</v>
      </c>
      <c r="H81" s="180">
        <v>20.0</v>
      </c>
      <c r="I81" s="77" t="s">
        <v>151</v>
      </c>
      <c r="J81" s="1"/>
    </row>
    <row r="82" ht="82.5" customHeight="1">
      <c r="A82" s="101" t="s">
        <v>5171</v>
      </c>
      <c r="B82" s="68" t="s">
        <v>153</v>
      </c>
      <c r="C82" s="181" t="s">
        <v>142</v>
      </c>
      <c r="D82" s="176" t="s">
        <v>5172</v>
      </c>
      <c r="E82" s="101" t="s">
        <v>4625</v>
      </c>
      <c r="F82" s="101" t="s">
        <v>5173</v>
      </c>
      <c r="G82" s="179">
        <v>20.0</v>
      </c>
      <c r="H82" s="180">
        <v>20.0</v>
      </c>
      <c r="I82" s="77" t="s">
        <v>153</v>
      </c>
      <c r="J82" s="1"/>
    </row>
    <row r="83" ht="54.75" customHeight="1">
      <c r="A83" s="101" t="s">
        <v>5174</v>
      </c>
      <c r="B83" s="68" t="s">
        <v>155</v>
      </c>
      <c r="C83" s="181" t="s">
        <v>142</v>
      </c>
      <c r="D83" s="176" t="s">
        <v>5175</v>
      </c>
      <c r="E83" s="101" t="s">
        <v>5176</v>
      </c>
      <c r="F83" s="101">
        <v>44156.0</v>
      </c>
      <c r="G83" s="179">
        <v>20.0</v>
      </c>
      <c r="H83" s="180">
        <v>20.0</v>
      </c>
      <c r="I83" s="77" t="s">
        <v>155</v>
      </c>
      <c r="J83" s="1"/>
    </row>
    <row r="84" ht="41.25" customHeight="1">
      <c r="A84" s="101" t="s">
        <v>5177</v>
      </c>
      <c r="B84" s="68" t="s">
        <v>155</v>
      </c>
      <c r="C84" s="181" t="s">
        <v>142</v>
      </c>
      <c r="D84" s="176" t="s">
        <v>5178</v>
      </c>
      <c r="E84" s="101" t="s">
        <v>5179</v>
      </c>
      <c r="F84" s="101" t="s">
        <v>5180</v>
      </c>
      <c r="G84" s="179">
        <v>40.0</v>
      </c>
      <c r="H84" s="180">
        <v>40.0</v>
      </c>
      <c r="I84" s="77" t="s">
        <v>155</v>
      </c>
      <c r="J84" s="1"/>
    </row>
    <row r="85" ht="82.5" customHeight="1">
      <c r="A85" s="101" t="s">
        <v>5181</v>
      </c>
      <c r="B85" s="68" t="s">
        <v>160</v>
      </c>
      <c r="C85" s="181" t="s">
        <v>142</v>
      </c>
      <c r="D85" s="176" t="s">
        <v>5182</v>
      </c>
      <c r="E85" s="101" t="s">
        <v>4625</v>
      </c>
      <c r="F85" s="101" t="s">
        <v>5183</v>
      </c>
      <c r="G85" s="179">
        <v>20.0</v>
      </c>
      <c r="H85" s="180">
        <v>20.0</v>
      </c>
      <c r="I85" s="77" t="s">
        <v>160</v>
      </c>
      <c r="J85" s="1"/>
    </row>
    <row r="86" ht="41.25" customHeight="1">
      <c r="A86" s="101" t="s">
        <v>5184</v>
      </c>
      <c r="B86" s="68" t="s">
        <v>4635</v>
      </c>
      <c r="C86" s="181" t="s">
        <v>142</v>
      </c>
      <c r="D86" s="176" t="s">
        <v>4636</v>
      </c>
      <c r="E86" s="101" t="s">
        <v>4324</v>
      </c>
      <c r="F86" s="101" t="s">
        <v>4637</v>
      </c>
      <c r="G86" s="179">
        <v>20.0</v>
      </c>
      <c r="H86" s="180">
        <v>20.0</v>
      </c>
      <c r="I86" s="77" t="s">
        <v>164</v>
      </c>
      <c r="J86" s="1"/>
    </row>
    <row r="87" ht="54.75" customHeight="1">
      <c r="A87" s="101" t="s">
        <v>5185</v>
      </c>
      <c r="B87" s="68" t="s">
        <v>168</v>
      </c>
      <c r="C87" s="181" t="s">
        <v>142</v>
      </c>
      <c r="D87" s="176" t="s">
        <v>5186</v>
      </c>
      <c r="E87" s="101" t="s">
        <v>5187</v>
      </c>
      <c r="F87" s="101" t="s">
        <v>5188</v>
      </c>
      <c r="G87" s="179">
        <v>40.0</v>
      </c>
      <c r="H87" s="180">
        <v>40.0</v>
      </c>
      <c r="I87" s="77" t="s">
        <v>168</v>
      </c>
      <c r="J87" s="1"/>
    </row>
    <row r="88" ht="82.5" customHeight="1">
      <c r="A88" s="101" t="s">
        <v>5189</v>
      </c>
      <c r="B88" s="68" t="s">
        <v>168</v>
      </c>
      <c r="C88" s="181" t="s">
        <v>142</v>
      </c>
      <c r="D88" s="176" t="s">
        <v>5190</v>
      </c>
      <c r="E88" s="101" t="s">
        <v>4625</v>
      </c>
      <c r="F88" s="101" t="s">
        <v>5191</v>
      </c>
      <c r="G88" s="179">
        <v>20.0</v>
      </c>
      <c r="H88" s="180">
        <v>20.0</v>
      </c>
      <c r="I88" s="77" t="s">
        <v>168</v>
      </c>
      <c r="J88" s="1"/>
    </row>
    <row r="89" ht="96.0" customHeight="1">
      <c r="A89" s="101" t="s">
        <v>5192</v>
      </c>
      <c r="B89" s="68" t="s">
        <v>5193</v>
      </c>
      <c r="C89" s="181" t="s">
        <v>142</v>
      </c>
      <c r="D89" s="176" t="s">
        <v>5194</v>
      </c>
      <c r="E89" s="101" t="s">
        <v>4324</v>
      </c>
      <c r="F89" s="101" t="s">
        <v>5195</v>
      </c>
      <c r="G89" s="179">
        <v>20.0</v>
      </c>
      <c r="H89" s="180">
        <v>0.0</v>
      </c>
      <c r="I89" s="77" t="s">
        <v>168</v>
      </c>
      <c r="J89" s="1"/>
    </row>
    <row r="90" ht="165.0" customHeight="1">
      <c r="A90" s="101" t="s">
        <v>5196</v>
      </c>
      <c r="B90" s="68" t="s">
        <v>4408</v>
      </c>
      <c r="C90" s="181" t="s">
        <v>4016</v>
      </c>
      <c r="D90" s="176" t="s">
        <v>5197</v>
      </c>
      <c r="E90" s="101" t="s">
        <v>5198</v>
      </c>
      <c r="F90" s="604">
        <v>44155.0</v>
      </c>
      <c r="G90" s="179">
        <v>40.0</v>
      </c>
      <c r="H90" s="180">
        <v>40.0</v>
      </c>
      <c r="I90" s="77" t="s">
        <v>169</v>
      </c>
      <c r="J90" s="1"/>
    </row>
    <row r="91" ht="41.25" customHeight="1">
      <c r="A91" s="101" t="s">
        <v>5199</v>
      </c>
      <c r="B91" s="68" t="s">
        <v>170</v>
      </c>
      <c r="C91" s="181" t="s">
        <v>142</v>
      </c>
      <c r="D91" s="176" t="s">
        <v>4643</v>
      </c>
      <c r="E91" s="101" t="s">
        <v>4644</v>
      </c>
      <c r="F91" s="101" t="s">
        <v>4645</v>
      </c>
      <c r="G91" s="179">
        <v>40.0</v>
      </c>
      <c r="H91" s="180">
        <v>40.0</v>
      </c>
      <c r="I91" s="77" t="s">
        <v>170</v>
      </c>
      <c r="J91" s="1"/>
    </row>
    <row r="92" ht="82.5" customHeight="1">
      <c r="A92" s="101" t="s">
        <v>5200</v>
      </c>
      <c r="B92" s="68" t="s">
        <v>5201</v>
      </c>
      <c r="C92" s="181" t="s">
        <v>142</v>
      </c>
      <c r="D92" s="176" t="s">
        <v>4642</v>
      </c>
      <c r="E92" s="101" t="s">
        <v>4573</v>
      </c>
      <c r="F92" s="101" t="s">
        <v>4570</v>
      </c>
      <c r="G92" s="179">
        <v>20.0</v>
      </c>
      <c r="H92" s="180">
        <v>10.0</v>
      </c>
      <c r="I92" s="77" t="s">
        <v>170</v>
      </c>
      <c r="J92" s="1"/>
    </row>
    <row r="93" ht="165.0" customHeight="1">
      <c r="A93" s="101" t="s">
        <v>5202</v>
      </c>
      <c r="B93" s="68" t="s">
        <v>5203</v>
      </c>
      <c r="C93" s="181" t="s">
        <v>142</v>
      </c>
      <c r="D93" s="176" t="s">
        <v>5204</v>
      </c>
      <c r="E93" s="101" t="s">
        <v>5205</v>
      </c>
      <c r="F93" s="101" t="s">
        <v>5206</v>
      </c>
      <c r="G93" s="179">
        <v>20.0</v>
      </c>
      <c r="H93" s="180">
        <v>4.0</v>
      </c>
      <c r="I93" s="77" t="s">
        <v>172</v>
      </c>
      <c r="J93" s="1"/>
    </row>
    <row r="94" ht="69.0" customHeight="1">
      <c r="A94" s="101" t="s">
        <v>5207</v>
      </c>
      <c r="B94" s="68" t="s">
        <v>173</v>
      </c>
      <c r="C94" s="181" t="s">
        <v>142</v>
      </c>
      <c r="D94" s="176" t="s">
        <v>5208</v>
      </c>
      <c r="E94" s="101" t="s">
        <v>5209</v>
      </c>
      <c r="F94" s="101" t="s">
        <v>5210</v>
      </c>
      <c r="G94" s="179">
        <v>20.0</v>
      </c>
      <c r="H94" s="180">
        <v>20.0</v>
      </c>
      <c r="I94" s="77" t="s">
        <v>173</v>
      </c>
      <c r="J94" s="1"/>
    </row>
    <row r="95" ht="69.0" customHeight="1">
      <c r="A95" s="301" t="s">
        <v>5211</v>
      </c>
      <c r="B95" s="301" t="s">
        <v>5212</v>
      </c>
      <c r="C95" s="301" t="s">
        <v>123</v>
      </c>
      <c r="D95" s="525" t="s">
        <v>5213</v>
      </c>
      <c r="E95" s="758" t="s">
        <v>5214</v>
      </c>
      <c r="F95" s="525" t="s">
        <v>5215</v>
      </c>
      <c r="G95" s="759">
        <v>40.0</v>
      </c>
      <c r="H95" s="760">
        <v>40.0</v>
      </c>
      <c r="I95" s="77" t="s">
        <v>179</v>
      </c>
      <c r="J95" s="1"/>
    </row>
    <row r="96" ht="54.75" customHeight="1">
      <c r="A96" s="176" t="s">
        <v>5216</v>
      </c>
      <c r="B96" s="301" t="s">
        <v>1588</v>
      </c>
      <c r="C96" s="301" t="s">
        <v>123</v>
      </c>
      <c r="D96" s="176" t="s">
        <v>5217</v>
      </c>
      <c r="E96" s="758" t="s">
        <v>5218</v>
      </c>
      <c r="F96" s="761">
        <v>44037.0</v>
      </c>
      <c r="G96" s="762">
        <v>20.0</v>
      </c>
      <c r="H96" s="176">
        <v>20.0</v>
      </c>
      <c r="I96" s="77" t="s">
        <v>179</v>
      </c>
      <c r="J96" s="1"/>
    </row>
    <row r="97" ht="123.75" customHeight="1">
      <c r="A97" s="176" t="s">
        <v>5219</v>
      </c>
      <c r="B97" s="176" t="s">
        <v>5220</v>
      </c>
      <c r="C97" s="301" t="s">
        <v>123</v>
      </c>
      <c r="D97" s="176" t="s">
        <v>5221</v>
      </c>
      <c r="E97" s="758" t="s">
        <v>5222</v>
      </c>
      <c r="F97" s="176" t="s">
        <v>5223</v>
      </c>
      <c r="G97" s="759">
        <v>0.0</v>
      </c>
      <c r="H97" s="760">
        <v>0.0</v>
      </c>
      <c r="I97" s="77" t="s">
        <v>179</v>
      </c>
      <c r="J97" s="1"/>
    </row>
    <row r="98" ht="14.25" customHeight="1">
      <c r="A98" s="101"/>
      <c r="B98" s="68"/>
      <c r="C98" s="181"/>
      <c r="D98" s="176"/>
      <c r="E98" s="101"/>
      <c r="F98" s="101"/>
      <c r="G98" s="179"/>
      <c r="H98" s="180"/>
      <c r="I98" s="77"/>
      <c r="J98" s="1"/>
    </row>
    <row r="99" ht="14.25" customHeight="1">
      <c r="A99" s="101"/>
      <c r="B99" s="101"/>
      <c r="C99" s="101"/>
      <c r="D99" s="75"/>
      <c r="E99" s="101"/>
      <c r="F99" s="75"/>
      <c r="G99" s="185"/>
      <c r="H99" s="180"/>
      <c r="I99" s="77"/>
      <c r="J99" s="1"/>
    </row>
    <row r="100" ht="14.25" customHeight="1">
      <c r="A100" s="104" t="s">
        <v>180</v>
      </c>
      <c r="B100" s="53"/>
      <c r="C100" s="53"/>
      <c r="D100" s="1"/>
      <c r="E100" s="1"/>
      <c r="F100" s="1"/>
      <c r="G100" s="57"/>
      <c r="H100" s="186">
        <f>SUM(H8:H99)</f>
        <v>1860.66</v>
      </c>
      <c r="I100" s="1"/>
      <c r="J100" s="1"/>
    </row>
    <row r="101" ht="14.25" customHeight="1">
      <c r="A101" s="52"/>
      <c r="B101" s="52"/>
      <c r="C101" s="53"/>
      <c r="D101" s="53"/>
      <c r="E101" s="53"/>
      <c r="F101" s="53"/>
      <c r="G101" s="53"/>
      <c r="H101" s="1"/>
      <c r="I101" s="1"/>
      <c r="J101" s="1"/>
    </row>
    <row r="102" ht="14.25" customHeight="1">
      <c r="A102" s="52"/>
      <c r="B102" s="53"/>
      <c r="C102" s="53"/>
      <c r="D102" s="53"/>
      <c r="E102" s="53"/>
      <c r="F102" s="53"/>
      <c r="G102" s="1"/>
    </row>
    <row r="103" ht="15.0" customHeight="1">
      <c r="A103" s="534" t="s">
        <v>330</v>
      </c>
      <c r="B103" s="107"/>
      <c r="C103" s="107"/>
      <c r="D103" s="107"/>
      <c r="E103" s="107"/>
      <c r="F103" s="107"/>
      <c r="G103" s="107"/>
      <c r="H103" s="108"/>
    </row>
    <row r="104" ht="14.25" customHeight="1">
      <c r="A104" s="52"/>
      <c r="B104" s="52"/>
      <c r="C104" s="53"/>
      <c r="D104" s="53"/>
      <c r="E104" s="53"/>
      <c r="F104" s="53"/>
      <c r="G104" s="53"/>
      <c r="H104" s="1"/>
      <c r="I104" s="1"/>
      <c r="J104" s="1"/>
    </row>
    <row r="105" ht="14.25" customHeight="1">
      <c r="A105" s="52"/>
      <c r="B105" s="52"/>
      <c r="C105" s="53"/>
      <c r="D105" s="53"/>
      <c r="E105" s="53"/>
      <c r="F105" s="53"/>
      <c r="G105" s="53"/>
      <c r="H105" s="1"/>
      <c r="I105" s="1"/>
      <c r="J105" s="1"/>
    </row>
    <row r="106" ht="14.25" customHeight="1">
      <c r="A106" s="52"/>
      <c r="B106" s="52"/>
      <c r="C106" s="53"/>
      <c r="D106" s="53"/>
      <c r="E106" s="53"/>
      <c r="F106" s="53"/>
      <c r="G106" s="53"/>
      <c r="H106" s="1"/>
      <c r="I106" s="1"/>
      <c r="J106" s="1"/>
    </row>
    <row r="107" ht="14.25" customHeight="1">
      <c r="A107" s="52"/>
      <c r="B107" s="52"/>
      <c r="C107" s="53"/>
      <c r="D107" s="53"/>
      <c r="E107" s="53"/>
      <c r="F107" s="53"/>
      <c r="G107" s="53"/>
      <c r="H107" s="1"/>
      <c r="I107" s="1"/>
      <c r="J107" s="1"/>
    </row>
    <row r="108" ht="14.25" customHeight="1">
      <c r="A108" s="52"/>
      <c r="B108" s="52"/>
      <c r="C108" s="53"/>
      <c r="D108" s="53"/>
      <c r="E108" s="53"/>
      <c r="F108" s="53"/>
      <c r="G108" s="53"/>
      <c r="H108" s="1"/>
      <c r="I108" s="1"/>
      <c r="J108" s="1"/>
    </row>
    <row r="109" ht="14.25" customHeight="1">
      <c r="A109" s="52"/>
      <c r="B109" s="52"/>
      <c r="C109" s="53"/>
      <c r="D109" s="53"/>
      <c r="E109" s="53"/>
      <c r="F109" s="53"/>
      <c r="G109" s="53"/>
      <c r="H109" s="1"/>
      <c r="I109" s="1"/>
      <c r="J109" s="1"/>
    </row>
    <row r="110" ht="14.25" customHeight="1">
      <c r="A110" s="52"/>
      <c r="B110" s="52"/>
      <c r="C110" s="53"/>
      <c r="D110" s="53"/>
      <c r="E110" s="53"/>
      <c r="F110" s="53"/>
      <c r="G110" s="53"/>
      <c r="H110" s="1"/>
      <c r="I110" s="1"/>
      <c r="J110" s="1"/>
    </row>
    <row r="111" ht="14.25" customHeight="1">
      <c r="A111" s="52"/>
      <c r="B111" s="52"/>
      <c r="C111" s="53"/>
      <c r="D111" s="53"/>
      <c r="E111" s="53"/>
      <c r="F111" s="53"/>
      <c r="G111" s="53"/>
      <c r="H111" s="1"/>
      <c r="I111" s="1"/>
      <c r="J111" s="1"/>
    </row>
    <row r="112" ht="14.25" customHeight="1">
      <c r="A112" s="52"/>
      <c r="B112" s="52"/>
      <c r="C112" s="53"/>
      <c r="D112" s="53"/>
      <c r="E112" s="53"/>
      <c r="F112" s="53"/>
      <c r="G112" s="53"/>
      <c r="H112" s="1"/>
      <c r="I112" s="1"/>
      <c r="J112" s="1"/>
    </row>
    <row r="113" ht="14.25" customHeight="1">
      <c r="A113" s="52"/>
      <c r="B113" s="52"/>
      <c r="C113" s="53"/>
      <c r="D113" s="53"/>
      <c r="E113" s="53"/>
      <c r="F113" s="53"/>
      <c r="G113" s="53"/>
      <c r="H113" s="1"/>
      <c r="I113" s="1"/>
      <c r="J113" s="1"/>
    </row>
    <row r="114" ht="14.25" customHeight="1">
      <c r="A114" s="52"/>
      <c r="B114" s="52"/>
      <c r="C114" s="53"/>
      <c r="D114" s="53"/>
      <c r="E114" s="53"/>
      <c r="F114" s="53"/>
      <c r="G114" s="53"/>
      <c r="H114" s="1"/>
      <c r="I114" s="1"/>
      <c r="J114" s="1"/>
    </row>
    <row r="115" ht="14.25" customHeight="1">
      <c r="A115" s="52"/>
      <c r="B115" s="52"/>
      <c r="C115" s="53"/>
      <c r="D115" s="53"/>
      <c r="E115" s="53"/>
      <c r="F115" s="53"/>
      <c r="G115" s="53"/>
      <c r="H115" s="1"/>
      <c r="I115" s="1"/>
      <c r="J115" s="1"/>
    </row>
    <row r="116" ht="14.25" customHeight="1">
      <c r="A116" s="52"/>
      <c r="B116" s="52"/>
      <c r="C116" s="53"/>
      <c r="D116" s="53"/>
      <c r="E116" s="53"/>
      <c r="F116" s="53"/>
      <c r="G116" s="53"/>
      <c r="H116" s="1"/>
      <c r="I116" s="1"/>
      <c r="J116" s="1"/>
    </row>
    <row r="117" ht="14.25" customHeight="1">
      <c r="A117" s="52"/>
      <c r="B117" s="52"/>
      <c r="C117" s="53"/>
      <c r="D117" s="53"/>
      <c r="E117" s="53"/>
      <c r="F117" s="53"/>
      <c r="G117" s="53"/>
      <c r="H117" s="1"/>
      <c r="I117" s="1"/>
      <c r="J117" s="1"/>
    </row>
    <row r="118" ht="14.25" customHeight="1">
      <c r="A118" s="52"/>
      <c r="B118" s="52"/>
      <c r="C118" s="53"/>
      <c r="D118" s="53"/>
      <c r="E118" s="53"/>
      <c r="F118" s="53"/>
      <c r="G118" s="53"/>
      <c r="H118" s="1"/>
      <c r="I118" s="1"/>
      <c r="J118" s="1"/>
    </row>
    <row r="119" ht="14.25" customHeight="1">
      <c r="A119" s="52"/>
      <c r="B119" s="52"/>
      <c r="C119" s="53"/>
      <c r="D119" s="53"/>
      <c r="E119" s="53"/>
      <c r="F119" s="53"/>
      <c r="G119" s="53"/>
      <c r="H119" s="1"/>
      <c r="I119" s="1"/>
      <c r="J119" s="1"/>
    </row>
    <row r="120" ht="14.25" customHeight="1">
      <c r="A120" s="52"/>
      <c r="B120" s="52"/>
      <c r="C120" s="53"/>
      <c r="D120" s="53"/>
      <c r="E120" s="53"/>
      <c r="F120" s="53"/>
      <c r="G120" s="53"/>
      <c r="H120" s="1"/>
      <c r="I120" s="1"/>
      <c r="J120" s="1"/>
    </row>
    <row r="121" ht="14.25" customHeight="1">
      <c r="A121" s="52"/>
      <c r="B121" s="52"/>
      <c r="C121" s="53"/>
      <c r="D121" s="53"/>
      <c r="E121" s="53"/>
      <c r="F121" s="53"/>
      <c r="G121" s="53"/>
      <c r="H121" s="1"/>
      <c r="I121" s="1"/>
      <c r="J121" s="1"/>
    </row>
    <row r="122" ht="14.25" customHeight="1">
      <c r="A122" s="52"/>
      <c r="B122" s="52"/>
      <c r="C122" s="53"/>
      <c r="D122" s="53"/>
      <c r="E122" s="53"/>
      <c r="F122" s="53"/>
      <c r="G122" s="53"/>
      <c r="H122" s="1"/>
      <c r="I122" s="1"/>
      <c r="J122" s="1"/>
    </row>
    <row r="123" ht="14.25" customHeight="1">
      <c r="A123" s="52"/>
      <c r="B123" s="52"/>
      <c r="C123" s="53"/>
      <c r="D123" s="53"/>
      <c r="E123" s="53"/>
      <c r="F123" s="53"/>
      <c r="G123" s="53"/>
      <c r="H123" s="1"/>
      <c r="I123" s="1"/>
      <c r="J123" s="1"/>
    </row>
    <row r="124" ht="14.25" customHeight="1">
      <c r="A124" s="52"/>
      <c r="B124" s="52"/>
      <c r="C124" s="53"/>
      <c r="D124" s="53"/>
      <c r="E124" s="53"/>
      <c r="F124" s="53"/>
      <c r="G124" s="53"/>
      <c r="H124" s="1"/>
      <c r="I124" s="1"/>
      <c r="J124" s="1"/>
    </row>
    <row r="125" ht="14.25" customHeight="1">
      <c r="A125" s="52"/>
      <c r="B125" s="52"/>
      <c r="C125" s="53"/>
      <c r="D125" s="53"/>
      <c r="E125" s="53"/>
      <c r="F125" s="53"/>
      <c r="G125" s="53"/>
      <c r="H125" s="1"/>
      <c r="I125" s="1"/>
      <c r="J125" s="1"/>
    </row>
    <row r="126" ht="14.25" customHeight="1">
      <c r="A126" s="52"/>
      <c r="B126" s="52"/>
      <c r="C126" s="53"/>
      <c r="D126" s="53"/>
      <c r="E126" s="53"/>
      <c r="F126" s="53"/>
      <c r="G126" s="53"/>
      <c r="H126" s="1"/>
      <c r="I126" s="1"/>
      <c r="J126" s="1"/>
    </row>
    <row r="127" ht="14.25" customHeight="1">
      <c r="A127" s="52"/>
      <c r="B127" s="52"/>
      <c r="C127" s="53"/>
      <c r="D127" s="53"/>
      <c r="E127" s="53"/>
      <c r="F127" s="53"/>
      <c r="G127" s="53"/>
      <c r="H127" s="1"/>
      <c r="I127" s="1"/>
      <c r="J127" s="1"/>
    </row>
    <row r="128" ht="14.25" customHeight="1">
      <c r="A128" s="52"/>
      <c r="B128" s="52"/>
      <c r="C128" s="53"/>
      <c r="D128" s="53"/>
      <c r="E128" s="53"/>
      <c r="F128" s="53"/>
      <c r="G128" s="53"/>
      <c r="H128" s="1"/>
      <c r="I128" s="1"/>
      <c r="J128" s="1"/>
    </row>
    <row r="129" ht="14.25" customHeight="1">
      <c r="A129" s="52"/>
      <c r="B129" s="52"/>
      <c r="C129" s="53"/>
      <c r="D129" s="53"/>
      <c r="E129" s="53"/>
      <c r="F129" s="53"/>
      <c r="G129" s="53"/>
      <c r="H129" s="1"/>
      <c r="I129" s="1"/>
      <c r="J129" s="1"/>
    </row>
    <row r="130" ht="14.25" customHeight="1">
      <c r="A130" s="52"/>
      <c r="B130" s="52"/>
      <c r="C130" s="53"/>
      <c r="D130" s="53"/>
      <c r="E130" s="53"/>
      <c r="F130" s="53"/>
      <c r="G130" s="53"/>
      <c r="H130" s="1"/>
      <c r="I130" s="1"/>
      <c r="J130" s="1"/>
    </row>
    <row r="131" ht="14.25" customHeight="1">
      <c r="A131" s="52"/>
      <c r="B131" s="52"/>
      <c r="C131" s="53"/>
      <c r="D131" s="53"/>
      <c r="E131" s="53"/>
      <c r="F131" s="53"/>
      <c r="G131" s="53"/>
      <c r="H131" s="1"/>
      <c r="I131" s="1"/>
      <c r="J131" s="1"/>
    </row>
    <row r="132" ht="14.25" customHeight="1">
      <c r="A132" s="52"/>
      <c r="B132" s="52"/>
      <c r="C132" s="53"/>
      <c r="D132" s="53"/>
      <c r="E132" s="53"/>
      <c r="F132" s="53"/>
      <c r="G132" s="53"/>
      <c r="H132" s="1"/>
      <c r="I132" s="1"/>
      <c r="J132" s="1"/>
    </row>
    <row r="133" ht="14.25" customHeight="1">
      <c r="A133" s="52"/>
      <c r="B133" s="52"/>
      <c r="C133" s="53"/>
      <c r="D133" s="53"/>
      <c r="E133" s="53"/>
      <c r="F133" s="53"/>
      <c r="G133" s="53"/>
      <c r="H133" s="1"/>
      <c r="I133" s="1"/>
      <c r="J133" s="1"/>
    </row>
    <row r="134" ht="14.25" customHeight="1">
      <c r="A134" s="52"/>
      <c r="B134" s="52"/>
      <c r="C134" s="53"/>
      <c r="D134" s="53"/>
      <c r="E134" s="53"/>
      <c r="F134" s="53"/>
      <c r="G134" s="53"/>
      <c r="H134" s="1"/>
      <c r="I134" s="1"/>
      <c r="J134" s="1"/>
    </row>
    <row r="135" ht="14.25" customHeight="1">
      <c r="A135" s="52"/>
      <c r="B135" s="52"/>
      <c r="C135" s="53"/>
      <c r="D135" s="53"/>
      <c r="E135" s="53"/>
      <c r="F135" s="53"/>
      <c r="G135" s="53"/>
      <c r="H135" s="1"/>
      <c r="I135" s="1"/>
      <c r="J135" s="1"/>
    </row>
    <row r="136" ht="14.25" customHeight="1">
      <c r="A136" s="52"/>
      <c r="B136" s="52"/>
      <c r="C136" s="53"/>
      <c r="D136" s="53"/>
      <c r="E136" s="53"/>
      <c r="F136" s="53"/>
      <c r="G136" s="53"/>
      <c r="H136" s="1"/>
      <c r="I136" s="1"/>
      <c r="J136" s="1"/>
    </row>
    <row r="137" ht="14.25" customHeight="1">
      <c r="A137" s="52"/>
      <c r="B137" s="52"/>
      <c r="C137" s="53"/>
      <c r="D137" s="53"/>
      <c r="E137" s="53"/>
      <c r="F137" s="53"/>
      <c r="G137" s="53"/>
      <c r="H137" s="1"/>
      <c r="I137" s="1"/>
      <c r="J137" s="1"/>
    </row>
    <row r="138" ht="14.25" customHeight="1">
      <c r="A138" s="52"/>
      <c r="B138" s="52"/>
      <c r="C138" s="53"/>
      <c r="D138" s="53"/>
      <c r="E138" s="53"/>
      <c r="F138" s="53"/>
      <c r="G138" s="53"/>
      <c r="H138" s="1"/>
      <c r="I138" s="1"/>
      <c r="J138" s="1"/>
    </row>
    <row r="139" ht="14.25" customHeight="1">
      <c r="A139" s="52"/>
      <c r="B139" s="52"/>
      <c r="C139" s="53"/>
      <c r="D139" s="53"/>
      <c r="E139" s="53"/>
      <c r="F139" s="53"/>
      <c r="G139" s="53"/>
      <c r="H139" s="1"/>
      <c r="I139" s="1"/>
      <c r="J139" s="1"/>
    </row>
    <row r="140" ht="14.25" customHeight="1">
      <c r="A140" s="52"/>
      <c r="B140" s="52"/>
      <c r="C140" s="53"/>
      <c r="D140" s="53"/>
      <c r="E140" s="53"/>
      <c r="F140" s="53"/>
      <c r="G140" s="53"/>
      <c r="H140" s="1"/>
      <c r="I140" s="1"/>
      <c r="J140" s="1"/>
    </row>
    <row r="141" ht="14.25" customHeight="1">
      <c r="A141" s="52"/>
      <c r="B141" s="52"/>
      <c r="C141" s="53"/>
      <c r="D141" s="53"/>
      <c r="E141" s="53"/>
      <c r="F141" s="53"/>
      <c r="G141" s="53"/>
      <c r="H141" s="1"/>
      <c r="I141" s="1"/>
      <c r="J141" s="1"/>
    </row>
    <row r="142" ht="14.25" customHeight="1">
      <c r="A142" s="52"/>
      <c r="B142" s="52"/>
      <c r="C142" s="53"/>
      <c r="D142" s="53"/>
      <c r="E142" s="53"/>
      <c r="F142" s="53"/>
      <c r="G142" s="53"/>
      <c r="H142" s="1"/>
      <c r="I142" s="1"/>
      <c r="J142" s="1"/>
    </row>
    <row r="143" ht="14.25" customHeight="1">
      <c r="A143" s="52"/>
      <c r="B143" s="52"/>
      <c r="C143" s="53"/>
      <c r="D143" s="53"/>
      <c r="E143" s="53"/>
      <c r="F143" s="53"/>
      <c r="G143" s="53"/>
      <c r="H143" s="1"/>
      <c r="I143" s="1"/>
      <c r="J143" s="1"/>
    </row>
    <row r="144" ht="14.25" customHeight="1">
      <c r="A144" s="52"/>
      <c r="B144" s="52"/>
      <c r="C144" s="53"/>
      <c r="D144" s="53"/>
      <c r="E144" s="53"/>
      <c r="F144" s="53"/>
      <c r="G144" s="53"/>
      <c r="H144" s="1"/>
      <c r="I144" s="1"/>
      <c r="J144" s="1"/>
    </row>
    <row r="145" ht="14.25" customHeight="1">
      <c r="A145" s="52"/>
      <c r="B145" s="52"/>
      <c r="C145" s="53"/>
      <c r="D145" s="53"/>
      <c r="E145" s="53"/>
      <c r="F145" s="53"/>
      <c r="G145" s="53"/>
      <c r="H145" s="1"/>
      <c r="I145" s="1"/>
      <c r="J145" s="1"/>
    </row>
    <row r="146" ht="14.25" customHeight="1">
      <c r="A146" s="52"/>
      <c r="B146" s="52"/>
      <c r="C146" s="53"/>
      <c r="D146" s="53"/>
      <c r="E146" s="53"/>
      <c r="F146" s="53"/>
      <c r="G146" s="53"/>
      <c r="H146" s="1"/>
      <c r="I146" s="1"/>
      <c r="J146" s="1"/>
    </row>
    <row r="147" ht="14.25" customHeight="1">
      <c r="A147" s="52"/>
      <c r="B147" s="52"/>
      <c r="C147" s="53"/>
      <c r="D147" s="53"/>
      <c r="E147" s="53"/>
      <c r="F147" s="53"/>
      <c r="G147" s="53"/>
      <c r="H147" s="1"/>
      <c r="I147" s="1"/>
      <c r="J147" s="1"/>
    </row>
    <row r="148" ht="14.25" customHeight="1">
      <c r="A148" s="52"/>
      <c r="B148" s="52"/>
      <c r="C148" s="53"/>
      <c r="D148" s="53"/>
      <c r="E148" s="53"/>
      <c r="F148" s="53"/>
      <c r="G148" s="53"/>
      <c r="H148" s="1"/>
      <c r="I148" s="1"/>
      <c r="J148" s="1"/>
    </row>
    <row r="149" ht="14.25" customHeight="1">
      <c r="A149" s="52"/>
      <c r="B149" s="52"/>
      <c r="C149" s="53"/>
      <c r="D149" s="53"/>
      <c r="E149" s="53"/>
      <c r="F149" s="53"/>
      <c r="G149" s="53"/>
      <c r="H149" s="1"/>
      <c r="I149" s="1"/>
      <c r="J149" s="1"/>
    </row>
    <row r="150" ht="14.25" customHeight="1">
      <c r="A150" s="52"/>
      <c r="B150" s="52"/>
      <c r="C150" s="53"/>
      <c r="D150" s="53"/>
      <c r="E150" s="53"/>
      <c r="F150" s="53"/>
      <c r="G150" s="53"/>
      <c r="H150" s="1"/>
      <c r="I150" s="1"/>
      <c r="J150" s="1"/>
    </row>
    <row r="151" ht="14.25" customHeight="1">
      <c r="A151" s="52"/>
      <c r="B151" s="52"/>
      <c r="C151" s="53"/>
      <c r="D151" s="53"/>
      <c r="E151" s="53"/>
      <c r="F151" s="53"/>
      <c r="G151" s="53"/>
      <c r="H151" s="1"/>
      <c r="I151" s="1"/>
      <c r="J151" s="1"/>
    </row>
    <row r="152" ht="14.25" customHeight="1">
      <c r="A152" s="52"/>
      <c r="B152" s="52"/>
      <c r="C152" s="53"/>
      <c r="D152" s="53"/>
      <c r="E152" s="53"/>
      <c r="F152" s="53"/>
      <c r="G152" s="53"/>
      <c r="H152" s="1"/>
      <c r="I152" s="1"/>
      <c r="J152" s="1"/>
    </row>
    <row r="153" ht="14.25" customHeight="1">
      <c r="A153" s="52"/>
      <c r="B153" s="52"/>
      <c r="C153" s="53"/>
      <c r="D153" s="53"/>
      <c r="E153" s="53"/>
      <c r="F153" s="53"/>
      <c r="G153" s="53"/>
      <c r="H153" s="1"/>
      <c r="I153" s="1"/>
      <c r="J153" s="1"/>
    </row>
    <row r="154" ht="14.25" customHeight="1">
      <c r="A154" s="52"/>
      <c r="B154" s="52"/>
      <c r="C154" s="53"/>
      <c r="D154" s="53"/>
      <c r="E154" s="53"/>
      <c r="F154" s="53"/>
      <c r="G154" s="53"/>
      <c r="H154" s="1"/>
      <c r="I154" s="1"/>
      <c r="J154" s="1"/>
    </row>
    <row r="155" ht="14.25" customHeight="1">
      <c r="A155" s="52"/>
      <c r="B155" s="52"/>
      <c r="C155" s="53"/>
      <c r="D155" s="53"/>
      <c r="E155" s="53"/>
      <c r="F155" s="53"/>
      <c r="G155" s="53"/>
      <c r="H155" s="1"/>
      <c r="I155" s="1"/>
      <c r="J155" s="1"/>
    </row>
    <row r="156" ht="14.25" customHeight="1">
      <c r="A156" s="52"/>
      <c r="B156" s="52"/>
      <c r="C156" s="53"/>
      <c r="D156" s="53"/>
      <c r="E156" s="53"/>
      <c r="F156" s="53"/>
      <c r="G156" s="53"/>
      <c r="H156" s="1"/>
      <c r="I156" s="1"/>
      <c r="J156" s="1"/>
    </row>
    <row r="157" ht="14.25" customHeight="1">
      <c r="A157" s="52"/>
      <c r="B157" s="52"/>
      <c r="C157" s="53"/>
      <c r="D157" s="53"/>
      <c r="E157" s="53"/>
      <c r="F157" s="53"/>
      <c r="G157" s="53"/>
      <c r="H157" s="1"/>
      <c r="I157" s="1"/>
      <c r="J157" s="1"/>
    </row>
    <row r="158" ht="14.25" customHeight="1">
      <c r="A158" s="52"/>
      <c r="B158" s="52"/>
      <c r="C158" s="53"/>
      <c r="D158" s="53"/>
      <c r="E158" s="53"/>
      <c r="F158" s="53"/>
      <c r="G158" s="53"/>
      <c r="H158" s="1"/>
      <c r="I158" s="1"/>
      <c r="J158" s="1"/>
    </row>
    <row r="159" ht="14.25" customHeight="1">
      <c r="A159" s="52"/>
      <c r="B159" s="52"/>
      <c r="C159" s="53"/>
      <c r="D159" s="53"/>
      <c r="E159" s="53"/>
      <c r="F159" s="53"/>
      <c r="G159" s="53"/>
      <c r="H159" s="1"/>
      <c r="I159" s="1"/>
      <c r="J159" s="1"/>
    </row>
    <row r="160" ht="14.25" customHeight="1">
      <c r="A160" s="52"/>
      <c r="B160" s="52"/>
      <c r="C160" s="53"/>
      <c r="D160" s="53"/>
      <c r="E160" s="53"/>
      <c r="F160" s="53"/>
      <c r="G160" s="53"/>
      <c r="H160" s="1"/>
      <c r="I160" s="1"/>
      <c r="J160" s="1"/>
    </row>
    <row r="161" ht="14.25" customHeight="1">
      <c r="A161" s="52"/>
      <c r="B161" s="52"/>
      <c r="C161" s="53"/>
      <c r="D161" s="53"/>
      <c r="E161" s="53"/>
      <c r="F161" s="53"/>
      <c r="G161" s="53"/>
      <c r="H161" s="1"/>
      <c r="I161" s="1"/>
      <c r="J161" s="1"/>
    </row>
    <row r="162" ht="14.25" customHeight="1">
      <c r="A162" s="52"/>
      <c r="B162" s="52"/>
      <c r="C162" s="53"/>
      <c r="D162" s="53"/>
      <c r="E162" s="53"/>
      <c r="F162" s="53"/>
      <c r="G162" s="53"/>
      <c r="H162" s="1"/>
      <c r="I162" s="1"/>
      <c r="J162" s="1"/>
    </row>
    <row r="163" ht="14.25" customHeight="1">
      <c r="A163" s="52"/>
      <c r="B163" s="52"/>
      <c r="C163" s="53"/>
      <c r="D163" s="53"/>
      <c r="E163" s="53"/>
      <c r="F163" s="53"/>
      <c r="G163" s="53"/>
      <c r="H163" s="1"/>
      <c r="I163" s="1"/>
      <c r="J163" s="1"/>
    </row>
    <row r="164" ht="14.25" customHeight="1">
      <c r="A164" s="52"/>
      <c r="B164" s="52"/>
      <c r="C164" s="53"/>
      <c r="D164" s="53"/>
      <c r="E164" s="53"/>
      <c r="F164" s="53"/>
      <c r="G164" s="53"/>
      <c r="H164" s="1"/>
      <c r="I164" s="1"/>
      <c r="J164" s="1"/>
    </row>
    <row r="165" ht="14.25" customHeight="1">
      <c r="A165" s="52"/>
      <c r="B165" s="52"/>
      <c r="C165" s="53"/>
      <c r="D165" s="53"/>
      <c r="E165" s="53"/>
      <c r="F165" s="53"/>
      <c r="G165" s="53"/>
      <c r="H165" s="1"/>
      <c r="I165" s="1"/>
      <c r="J165" s="1"/>
    </row>
    <row r="166" ht="14.25" customHeight="1">
      <c r="A166" s="52"/>
      <c r="B166" s="52"/>
      <c r="C166" s="53"/>
      <c r="D166" s="53"/>
      <c r="E166" s="53"/>
      <c r="F166" s="53"/>
      <c r="G166" s="53"/>
      <c r="H166" s="1"/>
      <c r="I166" s="1"/>
      <c r="J166" s="1"/>
    </row>
    <row r="167" ht="14.25" customHeight="1">
      <c r="A167" s="52"/>
      <c r="B167" s="52"/>
      <c r="C167" s="53"/>
      <c r="D167" s="53"/>
      <c r="E167" s="53"/>
      <c r="F167" s="53"/>
      <c r="G167" s="53"/>
      <c r="H167" s="1"/>
      <c r="I167" s="1"/>
      <c r="J167" s="1"/>
    </row>
    <row r="168" ht="14.25" customHeight="1">
      <c r="A168" s="52"/>
      <c r="B168" s="52"/>
      <c r="C168" s="53"/>
      <c r="D168" s="53"/>
      <c r="E168" s="53"/>
      <c r="F168" s="53"/>
      <c r="G168" s="53"/>
      <c r="H168" s="1"/>
      <c r="I168" s="1"/>
      <c r="J168" s="1"/>
    </row>
    <row r="169" ht="14.25" customHeight="1">
      <c r="A169" s="52"/>
      <c r="B169" s="52"/>
      <c r="C169" s="53"/>
      <c r="D169" s="53"/>
      <c r="E169" s="53"/>
      <c r="F169" s="53"/>
      <c r="G169" s="53"/>
      <c r="H169" s="1"/>
      <c r="I169" s="1"/>
      <c r="J169" s="1"/>
    </row>
    <row r="170" ht="14.25" customHeight="1">
      <c r="A170" s="52"/>
      <c r="B170" s="52"/>
      <c r="C170" s="53"/>
      <c r="D170" s="53"/>
      <c r="E170" s="53"/>
      <c r="F170" s="53"/>
      <c r="G170" s="53"/>
      <c r="H170" s="1"/>
      <c r="I170" s="1"/>
      <c r="J170" s="1"/>
    </row>
    <row r="171" ht="14.25" customHeight="1">
      <c r="A171" s="52"/>
      <c r="B171" s="52"/>
      <c r="C171" s="53"/>
      <c r="D171" s="53"/>
      <c r="E171" s="53"/>
      <c r="F171" s="53"/>
      <c r="G171" s="53"/>
      <c r="H171" s="1"/>
      <c r="I171" s="1"/>
      <c r="J171" s="1"/>
    </row>
    <row r="172" ht="14.25" customHeight="1">
      <c r="A172" s="52"/>
      <c r="B172" s="52"/>
      <c r="C172" s="53"/>
      <c r="D172" s="53"/>
      <c r="E172" s="53"/>
      <c r="F172" s="53"/>
      <c r="G172" s="53"/>
      <c r="H172" s="1"/>
      <c r="I172" s="1"/>
      <c r="J172" s="1"/>
    </row>
    <row r="173" ht="14.25" customHeight="1">
      <c r="A173" s="52"/>
      <c r="B173" s="52"/>
      <c r="C173" s="53"/>
      <c r="D173" s="53"/>
      <c r="E173" s="53"/>
      <c r="F173" s="53"/>
      <c r="G173" s="53"/>
      <c r="H173" s="1"/>
      <c r="I173" s="1"/>
      <c r="J173" s="1"/>
    </row>
    <row r="174" ht="14.25" customHeight="1">
      <c r="A174" s="52"/>
      <c r="B174" s="52"/>
      <c r="C174" s="53"/>
      <c r="D174" s="53"/>
      <c r="E174" s="53"/>
      <c r="F174" s="53"/>
      <c r="G174" s="53"/>
      <c r="H174" s="1"/>
      <c r="I174" s="1"/>
      <c r="J174" s="1"/>
    </row>
    <row r="175" ht="14.25" customHeight="1">
      <c r="A175" s="52"/>
      <c r="B175" s="52"/>
      <c r="C175" s="53"/>
      <c r="D175" s="53"/>
      <c r="E175" s="53"/>
      <c r="F175" s="53"/>
      <c r="G175" s="53"/>
      <c r="H175" s="1"/>
      <c r="I175" s="1"/>
      <c r="J175" s="1"/>
    </row>
    <row r="176" ht="14.25" customHeight="1">
      <c r="A176" s="52"/>
      <c r="B176" s="52"/>
      <c r="C176" s="53"/>
      <c r="D176" s="53"/>
      <c r="E176" s="53"/>
      <c r="F176" s="53"/>
      <c r="G176" s="53"/>
      <c r="H176" s="1"/>
      <c r="I176" s="1"/>
      <c r="J176" s="1"/>
    </row>
    <row r="177" ht="14.25" customHeight="1">
      <c r="A177" s="52"/>
      <c r="B177" s="52"/>
      <c r="C177" s="53"/>
      <c r="D177" s="53"/>
      <c r="E177" s="53"/>
      <c r="F177" s="53"/>
      <c r="G177" s="53"/>
      <c r="H177" s="1"/>
      <c r="I177" s="1"/>
      <c r="J177" s="1"/>
    </row>
    <row r="178" ht="14.25" customHeight="1">
      <c r="A178" s="52"/>
      <c r="B178" s="52"/>
      <c r="C178" s="53"/>
      <c r="D178" s="53"/>
      <c r="E178" s="53"/>
      <c r="F178" s="53"/>
      <c r="G178" s="53"/>
      <c r="H178" s="1"/>
      <c r="I178" s="1"/>
      <c r="J178" s="1"/>
    </row>
    <row r="179" ht="14.25" customHeight="1">
      <c r="A179" s="52"/>
      <c r="B179" s="52"/>
      <c r="C179" s="53"/>
      <c r="D179" s="53"/>
      <c r="E179" s="53"/>
      <c r="F179" s="53"/>
      <c r="G179" s="53"/>
      <c r="H179" s="1"/>
      <c r="I179" s="1"/>
      <c r="J179" s="1"/>
    </row>
    <row r="180" ht="14.25" customHeight="1">
      <c r="A180" s="52"/>
      <c r="B180" s="52"/>
      <c r="C180" s="53"/>
      <c r="D180" s="53"/>
      <c r="E180" s="53"/>
      <c r="F180" s="53"/>
      <c r="G180" s="53"/>
      <c r="H180" s="1"/>
      <c r="I180" s="1"/>
      <c r="J180" s="1"/>
    </row>
    <row r="181" ht="14.25" customHeight="1">
      <c r="A181" s="52"/>
      <c r="B181" s="52"/>
      <c r="C181" s="53"/>
      <c r="D181" s="53"/>
      <c r="E181" s="53"/>
      <c r="F181" s="53"/>
      <c r="G181" s="53"/>
      <c r="H181" s="1"/>
      <c r="I181" s="1"/>
      <c r="J181" s="1"/>
    </row>
    <row r="182" ht="14.25" customHeight="1">
      <c r="A182" s="52"/>
      <c r="B182" s="52"/>
      <c r="C182" s="53"/>
      <c r="D182" s="53"/>
      <c r="E182" s="53"/>
      <c r="F182" s="53"/>
      <c r="G182" s="53"/>
      <c r="H182" s="1"/>
      <c r="I182" s="1"/>
      <c r="J182" s="1"/>
    </row>
    <row r="183" ht="14.25" customHeight="1">
      <c r="A183" s="52"/>
      <c r="B183" s="52"/>
      <c r="C183" s="53"/>
      <c r="D183" s="53"/>
      <c r="E183" s="53"/>
      <c r="F183" s="53"/>
      <c r="G183" s="53"/>
      <c r="H183" s="1"/>
      <c r="I183" s="1"/>
      <c r="J183" s="1"/>
    </row>
    <row r="184" ht="14.25" customHeight="1">
      <c r="A184" s="52"/>
      <c r="B184" s="52"/>
      <c r="C184" s="53"/>
      <c r="D184" s="53"/>
      <c r="E184" s="53"/>
      <c r="F184" s="53"/>
      <c r="G184" s="53"/>
      <c r="H184" s="1"/>
      <c r="I184" s="1"/>
      <c r="J184" s="1"/>
    </row>
    <row r="185" ht="14.25" customHeight="1">
      <c r="A185" s="52"/>
      <c r="B185" s="52"/>
      <c r="C185" s="53"/>
      <c r="D185" s="53"/>
      <c r="E185" s="53"/>
      <c r="F185" s="53"/>
      <c r="G185" s="53"/>
      <c r="H185" s="1"/>
      <c r="I185" s="1"/>
      <c r="J185" s="1"/>
    </row>
    <row r="186" ht="14.25" customHeight="1">
      <c r="A186" s="52"/>
      <c r="B186" s="52"/>
      <c r="C186" s="53"/>
      <c r="D186" s="53"/>
      <c r="E186" s="53"/>
      <c r="F186" s="53"/>
      <c r="G186" s="53"/>
      <c r="H186" s="1"/>
      <c r="I186" s="1"/>
      <c r="J186" s="1"/>
    </row>
    <row r="187" ht="14.25" customHeight="1">
      <c r="A187" s="52"/>
      <c r="B187" s="52"/>
      <c r="C187" s="53"/>
      <c r="D187" s="53"/>
      <c r="E187" s="53"/>
      <c r="F187" s="53"/>
      <c r="G187" s="53"/>
      <c r="H187" s="1"/>
      <c r="I187" s="1"/>
      <c r="J187" s="1"/>
    </row>
    <row r="188" ht="14.25" customHeight="1">
      <c r="A188" s="52"/>
      <c r="B188" s="52"/>
      <c r="C188" s="53"/>
      <c r="D188" s="53"/>
      <c r="E188" s="53"/>
      <c r="F188" s="53"/>
      <c r="G188" s="53"/>
      <c r="H188" s="1"/>
      <c r="I188" s="1"/>
      <c r="J188" s="1"/>
    </row>
    <row r="189" ht="14.25" customHeight="1">
      <c r="A189" s="52"/>
      <c r="B189" s="52"/>
      <c r="C189" s="53"/>
      <c r="D189" s="53"/>
      <c r="E189" s="53"/>
      <c r="F189" s="53"/>
      <c r="G189" s="53"/>
      <c r="H189" s="1"/>
      <c r="I189" s="1"/>
      <c r="J189" s="1"/>
    </row>
    <row r="190" ht="14.25" customHeight="1">
      <c r="A190" s="52"/>
      <c r="B190" s="52"/>
      <c r="C190" s="53"/>
      <c r="D190" s="53"/>
      <c r="E190" s="53"/>
      <c r="F190" s="53"/>
      <c r="G190" s="53"/>
      <c r="H190" s="1"/>
      <c r="I190" s="1"/>
      <c r="J190" s="1"/>
    </row>
    <row r="191" ht="14.25" customHeight="1">
      <c r="A191" s="52"/>
      <c r="B191" s="52"/>
      <c r="C191" s="53"/>
      <c r="D191" s="53"/>
      <c r="E191" s="53"/>
      <c r="F191" s="53"/>
      <c r="G191" s="53"/>
      <c r="H191" s="1"/>
      <c r="I191" s="1"/>
      <c r="J191" s="1"/>
    </row>
    <row r="192" ht="14.25" customHeight="1">
      <c r="A192" s="52"/>
      <c r="B192" s="52"/>
      <c r="C192" s="53"/>
      <c r="D192" s="53"/>
      <c r="E192" s="53"/>
      <c r="F192" s="53"/>
      <c r="G192" s="53"/>
      <c r="H192" s="1"/>
      <c r="I192" s="1"/>
      <c r="J192" s="1"/>
    </row>
    <row r="193" ht="14.25" customHeight="1">
      <c r="A193" s="52"/>
      <c r="B193" s="52"/>
      <c r="C193" s="53"/>
      <c r="D193" s="53"/>
      <c r="E193" s="53"/>
      <c r="F193" s="53"/>
      <c r="G193" s="53"/>
      <c r="H193" s="1"/>
      <c r="I193" s="1"/>
      <c r="J193" s="1"/>
    </row>
    <row r="194" ht="14.25" customHeight="1">
      <c r="A194" s="52"/>
      <c r="B194" s="52"/>
      <c r="C194" s="53"/>
      <c r="D194" s="53"/>
      <c r="E194" s="53"/>
      <c r="F194" s="53"/>
      <c r="G194" s="53"/>
      <c r="H194" s="1"/>
      <c r="I194" s="1"/>
      <c r="J194" s="1"/>
    </row>
    <row r="195" ht="14.25" customHeight="1">
      <c r="A195" s="52"/>
      <c r="B195" s="52"/>
      <c r="C195" s="53"/>
      <c r="D195" s="53"/>
      <c r="E195" s="53"/>
      <c r="F195" s="53"/>
      <c r="G195" s="53"/>
      <c r="H195" s="1"/>
      <c r="I195" s="1"/>
      <c r="J195" s="1"/>
    </row>
    <row r="196" ht="14.25" customHeight="1">
      <c r="A196" s="52"/>
      <c r="B196" s="52"/>
      <c r="C196" s="53"/>
      <c r="D196" s="53"/>
      <c r="E196" s="53"/>
      <c r="F196" s="53"/>
      <c r="G196" s="53"/>
      <c r="H196" s="1"/>
      <c r="I196" s="1"/>
      <c r="J196" s="1"/>
    </row>
    <row r="197" ht="14.25" customHeight="1">
      <c r="A197" s="52"/>
      <c r="B197" s="52"/>
      <c r="C197" s="53"/>
      <c r="D197" s="53"/>
      <c r="E197" s="53"/>
      <c r="F197" s="53"/>
      <c r="G197" s="53"/>
      <c r="H197" s="1"/>
      <c r="I197" s="1"/>
      <c r="J197" s="1"/>
    </row>
    <row r="198" ht="14.25" customHeight="1">
      <c r="A198" s="52"/>
      <c r="B198" s="52"/>
      <c r="C198" s="53"/>
      <c r="D198" s="53"/>
      <c r="E198" s="53"/>
      <c r="F198" s="53"/>
      <c r="G198" s="53"/>
      <c r="H198" s="1"/>
      <c r="I198" s="1"/>
      <c r="J198" s="1"/>
    </row>
    <row r="199" ht="14.25" customHeight="1">
      <c r="A199" s="52"/>
      <c r="B199" s="52"/>
      <c r="C199" s="53"/>
      <c r="D199" s="53"/>
      <c r="E199" s="53"/>
      <c r="F199" s="53"/>
      <c r="G199" s="53"/>
      <c r="H199" s="1"/>
      <c r="I199" s="1"/>
      <c r="J199" s="1"/>
    </row>
    <row r="200" ht="14.25" customHeight="1">
      <c r="A200" s="52"/>
      <c r="B200" s="52"/>
      <c r="C200" s="53"/>
      <c r="D200" s="53"/>
      <c r="E200" s="53"/>
      <c r="F200" s="53"/>
      <c r="G200" s="53"/>
      <c r="H200" s="1"/>
      <c r="I200" s="1"/>
      <c r="J200" s="1"/>
    </row>
    <row r="201" ht="14.25" customHeight="1">
      <c r="A201" s="52"/>
      <c r="B201" s="52"/>
      <c r="C201" s="53"/>
      <c r="D201" s="53"/>
      <c r="E201" s="53"/>
      <c r="F201" s="53"/>
      <c r="G201" s="53"/>
      <c r="H201" s="1"/>
      <c r="I201" s="1"/>
      <c r="J201" s="1"/>
    </row>
    <row r="202" ht="14.25" customHeight="1">
      <c r="A202" s="52"/>
      <c r="B202" s="52"/>
      <c r="C202" s="53"/>
      <c r="D202" s="53"/>
      <c r="E202" s="53"/>
      <c r="F202" s="53"/>
      <c r="G202" s="53"/>
      <c r="H202" s="1"/>
      <c r="I202" s="1"/>
      <c r="J202" s="1"/>
    </row>
    <row r="203" ht="14.25" customHeight="1">
      <c r="A203" s="52"/>
      <c r="B203" s="52"/>
      <c r="C203" s="53"/>
      <c r="D203" s="53"/>
      <c r="E203" s="53"/>
      <c r="F203" s="53"/>
      <c r="G203" s="53"/>
      <c r="H203" s="1"/>
      <c r="I203" s="1"/>
      <c r="J203" s="1"/>
    </row>
    <row r="204" ht="14.25" customHeight="1">
      <c r="A204" s="52"/>
      <c r="B204" s="52"/>
      <c r="C204" s="53"/>
      <c r="D204" s="53"/>
      <c r="E204" s="53"/>
      <c r="F204" s="53"/>
      <c r="G204" s="53"/>
      <c r="H204" s="1"/>
      <c r="I204" s="1"/>
      <c r="J204" s="1"/>
    </row>
    <row r="205" ht="14.25" customHeight="1">
      <c r="A205" s="52"/>
      <c r="B205" s="52"/>
      <c r="C205" s="53"/>
      <c r="D205" s="53"/>
      <c r="E205" s="53"/>
      <c r="F205" s="53"/>
      <c r="G205" s="53"/>
      <c r="H205" s="1"/>
      <c r="I205" s="1"/>
      <c r="J205" s="1"/>
    </row>
    <row r="206" ht="14.25" customHeight="1">
      <c r="A206" s="52"/>
      <c r="B206" s="52"/>
      <c r="C206" s="53"/>
      <c r="D206" s="53"/>
      <c r="E206" s="53"/>
      <c r="F206" s="53"/>
      <c r="G206" s="53"/>
      <c r="H206" s="1"/>
      <c r="I206" s="1"/>
      <c r="J206" s="1"/>
    </row>
    <row r="207" ht="14.25" customHeight="1">
      <c r="A207" s="52"/>
      <c r="B207" s="52"/>
      <c r="C207" s="53"/>
      <c r="D207" s="53"/>
      <c r="E207" s="53"/>
      <c r="F207" s="53"/>
      <c r="G207" s="53"/>
      <c r="H207" s="1"/>
      <c r="I207" s="1"/>
      <c r="J207" s="1"/>
    </row>
    <row r="208" ht="14.25" customHeight="1">
      <c r="A208" s="52"/>
      <c r="B208" s="52"/>
      <c r="C208" s="53"/>
      <c r="D208" s="53"/>
      <c r="E208" s="53"/>
      <c r="F208" s="53"/>
      <c r="G208" s="53"/>
      <c r="H208" s="1"/>
      <c r="I208" s="1"/>
      <c r="J208" s="1"/>
    </row>
    <row r="209" ht="14.25" customHeight="1">
      <c r="A209" s="52"/>
      <c r="B209" s="52"/>
      <c r="C209" s="53"/>
      <c r="D209" s="53"/>
      <c r="E209" s="53"/>
      <c r="F209" s="53"/>
      <c r="G209" s="53"/>
      <c r="H209" s="1"/>
      <c r="I209" s="1"/>
      <c r="J209" s="1"/>
    </row>
    <row r="210" ht="14.25" customHeight="1">
      <c r="A210" s="52"/>
      <c r="B210" s="52"/>
      <c r="C210" s="53"/>
      <c r="D210" s="53"/>
      <c r="E210" s="53"/>
      <c r="F210" s="53"/>
      <c r="G210" s="53"/>
      <c r="H210" s="1"/>
      <c r="I210" s="1"/>
      <c r="J210" s="1"/>
    </row>
    <row r="211" ht="14.25" customHeight="1">
      <c r="A211" s="52"/>
      <c r="B211" s="52"/>
      <c r="C211" s="53"/>
      <c r="D211" s="53"/>
      <c r="E211" s="53"/>
      <c r="F211" s="53"/>
      <c r="G211" s="53"/>
      <c r="H211" s="1"/>
      <c r="I211" s="1"/>
      <c r="J211" s="1"/>
    </row>
    <row r="212" ht="14.25" customHeight="1">
      <c r="A212" s="52"/>
      <c r="B212" s="52"/>
      <c r="C212" s="53"/>
      <c r="D212" s="53"/>
      <c r="E212" s="53"/>
      <c r="F212" s="53"/>
      <c r="G212" s="53"/>
      <c r="H212" s="1"/>
      <c r="I212" s="1"/>
      <c r="J212" s="1"/>
    </row>
    <row r="213" ht="14.25" customHeight="1">
      <c r="A213" s="52"/>
      <c r="B213" s="52"/>
      <c r="C213" s="53"/>
      <c r="D213" s="53"/>
      <c r="E213" s="53"/>
      <c r="F213" s="53"/>
      <c r="G213" s="53"/>
      <c r="H213" s="1"/>
      <c r="I213" s="1"/>
      <c r="J213" s="1"/>
    </row>
    <row r="214" ht="14.25" customHeight="1">
      <c r="A214" s="52"/>
      <c r="B214" s="52"/>
      <c r="C214" s="53"/>
      <c r="D214" s="53"/>
      <c r="E214" s="53"/>
      <c r="F214" s="53"/>
      <c r="G214" s="53"/>
      <c r="H214" s="1"/>
      <c r="I214" s="1"/>
      <c r="J214" s="1"/>
    </row>
    <row r="215" ht="14.25" customHeight="1">
      <c r="A215" s="52"/>
      <c r="B215" s="52"/>
      <c r="C215" s="53"/>
      <c r="D215" s="53"/>
      <c r="E215" s="53"/>
      <c r="F215" s="53"/>
      <c r="G215" s="53"/>
      <c r="H215" s="1"/>
      <c r="I215" s="1"/>
      <c r="J215" s="1"/>
    </row>
    <row r="216" ht="14.25" customHeight="1">
      <c r="A216" s="52"/>
      <c r="B216" s="52"/>
      <c r="C216" s="53"/>
      <c r="D216" s="53"/>
      <c r="E216" s="53"/>
      <c r="F216" s="53"/>
      <c r="G216" s="53"/>
      <c r="H216" s="1"/>
      <c r="I216" s="1"/>
      <c r="J216" s="1"/>
    </row>
    <row r="217" ht="14.25" customHeight="1">
      <c r="A217" s="52"/>
      <c r="B217" s="52"/>
      <c r="C217" s="53"/>
      <c r="D217" s="53"/>
      <c r="E217" s="53"/>
      <c r="F217" s="53"/>
      <c r="G217" s="53"/>
      <c r="H217" s="1"/>
      <c r="I217" s="1"/>
      <c r="J217" s="1"/>
    </row>
    <row r="218" ht="14.25" customHeight="1">
      <c r="A218" s="52"/>
      <c r="B218" s="52"/>
      <c r="C218" s="53"/>
      <c r="D218" s="53"/>
      <c r="E218" s="53"/>
      <c r="F218" s="53"/>
      <c r="G218" s="53"/>
      <c r="H218" s="1"/>
      <c r="I218" s="1"/>
      <c r="J218" s="1"/>
    </row>
    <row r="219" ht="14.25" customHeight="1">
      <c r="A219" s="52"/>
      <c r="B219" s="52"/>
      <c r="C219" s="53"/>
      <c r="D219" s="53"/>
      <c r="E219" s="53"/>
      <c r="F219" s="53"/>
      <c r="G219" s="53"/>
      <c r="H219" s="1"/>
      <c r="I219" s="1"/>
      <c r="J219" s="1"/>
    </row>
    <row r="220" ht="14.25" customHeight="1">
      <c r="A220" s="52"/>
      <c r="B220" s="52"/>
      <c r="C220" s="53"/>
      <c r="D220" s="53"/>
      <c r="E220" s="53"/>
      <c r="F220" s="53"/>
      <c r="G220" s="53"/>
      <c r="H220" s="1"/>
      <c r="I220" s="1"/>
      <c r="J220" s="1"/>
    </row>
    <row r="221" ht="14.25" customHeight="1">
      <c r="A221" s="52"/>
      <c r="B221" s="52"/>
      <c r="C221" s="53"/>
      <c r="D221" s="53"/>
      <c r="E221" s="53"/>
      <c r="F221" s="53"/>
      <c r="G221" s="53"/>
      <c r="H221" s="1"/>
      <c r="I221" s="1"/>
      <c r="J221" s="1"/>
    </row>
    <row r="222" ht="14.25" customHeight="1">
      <c r="A222" s="52"/>
      <c r="B222" s="52"/>
      <c r="C222" s="53"/>
      <c r="D222" s="53"/>
      <c r="E222" s="53"/>
      <c r="F222" s="53"/>
      <c r="G222" s="53"/>
      <c r="H222" s="1"/>
      <c r="I222" s="1"/>
      <c r="J222" s="1"/>
    </row>
    <row r="223" ht="14.25" customHeight="1">
      <c r="A223" s="52"/>
      <c r="B223" s="52"/>
      <c r="C223" s="53"/>
      <c r="D223" s="53"/>
      <c r="E223" s="53"/>
      <c r="F223" s="53"/>
      <c r="G223" s="53"/>
      <c r="H223" s="1"/>
      <c r="I223" s="1"/>
      <c r="J223" s="1"/>
    </row>
    <row r="224" ht="14.25" customHeight="1">
      <c r="A224" s="52"/>
      <c r="B224" s="52"/>
      <c r="C224" s="53"/>
      <c r="D224" s="53"/>
      <c r="E224" s="53"/>
      <c r="F224" s="53"/>
      <c r="G224" s="53"/>
      <c r="H224" s="1"/>
      <c r="I224" s="1"/>
      <c r="J224" s="1"/>
    </row>
    <row r="225" ht="14.25" customHeight="1">
      <c r="A225" s="52"/>
      <c r="B225" s="52"/>
      <c r="C225" s="53"/>
      <c r="D225" s="53"/>
      <c r="E225" s="53"/>
      <c r="F225" s="53"/>
      <c r="G225" s="53"/>
      <c r="H225" s="1"/>
      <c r="I225" s="1"/>
      <c r="J225" s="1"/>
    </row>
    <row r="226" ht="14.25" customHeight="1">
      <c r="A226" s="52"/>
      <c r="B226" s="52"/>
      <c r="C226" s="53"/>
      <c r="D226" s="53"/>
      <c r="E226" s="53"/>
      <c r="F226" s="53"/>
      <c r="G226" s="53"/>
      <c r="H226" s="1"/>
      <c r="I226" s="1"/>
      <c r="J226" s="1"/>
    </row>
    <row r="227" ht="14.25" customHeight="1">
      <c r="A227" s="52"/>
      <c r="B227" s="52"/>
      <c r="C227" s="53"/>
      <c r="D227" s="53"/>
      <c r="E227" s="53"/>
      <c r="F227" s="53"/>
      <c r="G227" s="53"/>
      <c r="H227" s="1"/>
      <c r="I227" s="1"/>
      <c r="J227" s="1"/>
    </row>
    <row r="228" ht="14.25" customHeight="1">
      <c r="A228" s="52"/>
      <c r="B228" s="52"/>
      <c r="C228" s="53"/>
      <c r="D228" s="53"/>
      <c r="E228" s="53"/>
      <c r="F228" s="53"/>
      <c r="G228" s="53"/>
      <c r="H228" s="1"/>
      <c r="I228" s="1"/>
      <c r="J228" s="1"/>
    </row>
    <row r="229" ht="14.25" customHeight="1">
      <c r="A229" s="52"/>
      <c r="B229" s="52"/>
      <c r="C229" s="53"/>
      <c r="D229" s="53"/>
      <c r="E229" s="53"/>
      <c r="F229" s="53"/>
      <c r="G229" s="53"/>
      <c r="H229" s="1"/>
      <c r="I229" s="1"/>
      <c r="J229" s="1"/>
    </row>
    <row r="230" ht="14.25" customHeight="1">
      <c r="A230" s="52"/>
      <c r="B230" s="52"/>
      <c r="C230" s="53"/>
      <c r="D230" s="53"/>
      <c r="E230" s="53"/>
      <c r="F230" s="53"/>
      <c r="G230" s="53"/>
      <c r="H230" s="1"/>
      <c r="I230" s="1"/>
      <c r="J230" s="1"/>
    </row>
    <row r="231" ht="14.25" customHeight="1">
      <c r="A231" s="52"/>
      <c r="B231" s="52"/>
      <c r="C231" s="53"/>
      <c r="D231" s="53"/>
      <c r="E231" s="53"/>
      <c r="F231" s="53"/>
      <c r="G231" s="53"/>
      <c r="H231" s="1"/>
      <c r="I231" s="1"/>
      <c r="J231" s="1"/>
    </row>
    <row r="232" ht="14.25" customHeight="1">
      <c r="A232" s="52"/>
      <c r="B232" s="52"/>
      <c r="C232" s="53"/>
      <c r="D232" s="53"/>
      <c r="E232" s="53"/>
      <c r="F232" s="53"/>
      <c r="G232" s="53"/>
      <c r="H232" s="1"/>
      <c r="I232" s="1"/>
      <c r="J232" s="1"/>
    </row>
    <row r="233" ht="14.25" customHeight="1">
      <c r="A233" s="52"/>
      <c r="B233" s="52"/>
      <c r="C233" s="53"/>
      <c r="D233" s="53"/>
      <c r="E233" s="53"/>
      <c r="F233" s="53"/>
      <c r="G233" s="53"/>
      <c r="H233" s="1"/>
      <c r="I233" s="1"/>
      <c r="J233" s="1"/>
    </row>
    <row r="234" ht="14.25" customHeight="1">
      <c r="A234" s="52"/>
      <c r="B234" s="52"/>
      <c r="C234" s="53"/>
      <c r="D234" s="53"/>
      <c r="E234" s="53"/>
      <c r="F234" s="53"/>
      <c r="G234" s="53"/>
      <c r="H234" s="1"/>
      <c r="I234" s="1"/>
      <c r="J234" s="1"/>
    </row>
    <row r="235" ht="14.25" customHeight="1">
      <c r="A235" s="52"/>
      <c r="B235" s="52"/>
      <c r="C235" s="53"/>
      <c r="D235" s="53"/>
      <c r="E235" s="53"/>
      <c r="F235" s="53"/>
      <c r="G235" s="53"/>
      <c r="H235" s="1"/>
      <c r="I235" s="1"/>
      <c r="J235" s="1"/>
    </row>
    <row r="236" ht="14.25" customHeight="1">
      <c r="A236" s="52"/>
      <c r="B236" s="52"/>
      <c r="C236" s="53"/>
      <c r="D236" s="53"/>
      <c r="E236" s="53"/>
      <c r="F236" s="53"/>
      <c r="G236" s="53"/>
      <c r="H236" s="1"/>
      <c r="I236" s="1"/>
      <c r="J236" s="1"/>
    </row>
    <row r="237" ht="14.25" customHeight="1">
      <c r="A237" s="52"/>
      <c r="B237" s="52"/>
      <c r="C237" s="53"/>
      <c r="D237" s="53"/>
      <c r="E237" s="53"/>
      <c r="F237" s="53"/>
      <c r="G237" s="53"/>
      <c r="H237" s="1"/>
      <c r="I237" s="1"/>
      <c r="J237" s="1"/>
    </row>
    <row r="238" ht="14.25" customHeight="1">
      <c r="A238" s="52"/>
      <c r="B238" s="52"/>
      <c r="C238" s="53"/>
      <c r="D238" s="53"/>
      <c r="E238" s="53"/>
      <c r="F238" s="53"/>
      <c r="G238" s="53"/>
      <c r="H238" s="1"/>
      <c r="I238" s="1"/>
      <c r="J238" s="1"/>
    </row>
    <row r="239" ht="14.25" customHeight="1">
      <c r="A239" s="52"/>
      <c r="B239" s="52"/>
      <c r="C239" s="53"/>
      <c r="D239" s="53"/>
      <c r="E239" s="53"/>
      <c r="F239" s="53"/>
      <c r="G239" s="53"/>
      <c r="H239" s="1"/>
      <c r="I239" s="1"/>
      <c r="J239" s="1"/>
    </row>
    <row r="240" ht="14.25" customHeight="1">
      <c r="A240" s="52"/>
      <c r="B240" s="52"/>
      <c r="C240" s="53"/>
      <c r="D240" s="53"/>
      <c r="E240" s="53"/>
      <c r="F240" s="53"/>
      <c r="G240" s="53"/>
      <c r="H240" s="1"/>
      <c r="I240" s="1"/>
      <c r="J240" s="1"/>
    </row>
    <row r="241" ht="14.25" customHeight="1">
      <c r="A241" s="52"/>
      <c r="B241" s="52"/>
      <c r="C241" s="53"/>
      <c r="D241" s="53"/>
      <c r="E241" s="53"/>
      <c r="F241" s="53"/>
      <c r="G241" s="53"/>
      <c r="H241" s="1"/>
      <c r="I241" s="1"/>
      <c r="J241" s="1"/>
    </row>
    <row r="242" ht="14.25" customHeight="1">
      <c r="A242" s="52"/>
      <c r="B242" s="52"/>
      <c r="C242" s="53"/>
      <c r="D242" s="53"/>
      <c r="E242" s="53"/>
      <c r="F242" s="53"/>
      <c r="G242" s="53"/>
      <c r="H242" s="1"/>
      <c r="I242" s="1"/>
      <c r="J242" s="1"/>
    </row>
    <row r="243" ht="14.25" customHeight="1">
      <c r="A243" s="52"/>
      <c r="B243" s="52"/>
      <c r="C243" s="53"/>
      <c r="D243" s="53"/>
      <c r="E243" s="53"/>
      <c r="F243" s="53"/>
      <c r="G243" s="53"/>
      <c r="H243" s="1"/>
      <c r="I243" s="1"/>
      <c r="J243" s="1"/>
    </row>
    <row r="244" ht="14.25" customHeight="1">
      <c r="A244" s="52"/>
      <c r="B244" s="52"/>
      <c r="C244" s="53"/>
      <c r="D244" s="53"/>
      <c r="E244" s="53"/>
      <c r="F244" s="53"/>
      <c r="G244" s="53"/>
      <c r="H244" s="1"/>
      <c r="I244" s="1"/>
      <c r="J244" s="1"/>
    </row>
    <row r="245" ht="14.25" customHeight="1">
      <c r="A245" s="52"/>
      <c r="B245" s="52"/>
      <c r="C245" s="53"/>
      <c r="D245" s="53"/>
      <c r="E245" s="53"/>
      <c r="F245" s="53"/>
      <c r="G245" s="53"/>
      <c r="H245" s="1"/>
      <c r="I245" s="1"/>
      <c r="J245" s="1"/>
    </row>
    <row r="246" ht="14.25" customHeight="1">
      <c r="A246" s="52"/>
      <c r="B246" s="52"/>
      <c r="C246" s="53"/>
      <c r="D246" s="53"/>
      <c r="E246" s="53"/>
      <c r="F246" s="53"/>
      <c r="G246" s="53"/>
      <c r="H246" s="1"/>
      <c r="I246" s="1"/>
      <c r="J246" s="1"/>
    </row>
    <row r="247" ht="14.25" customHeight="1">
      <c r="A247" s="52"/>
      <c r="B247" s="52"/>
      <c r="C247" s="53"/>
      <c r="D247" s="53"/>
      <c r="E247" s="53"/>
      <c r="F247" s="53"/>
      <c r="G247" s="53"/>
      <c r="H247" s="1"/>
      <c r="I247" s="1"/>
      <c r="J247" s="1"/>
    </row>
    <row r="248" ht="14.25" customHeight="1">
      <c r="A248" s="52"/>
      <c r="B248" s="52"/>
      <c r="C248" s="53"/>
      <c r="D248" s="53"/>
      <c r="E248" s="53"/>
      <c r="F248" s="53"/>
      <c r="G248" s="53"/>
      <c r="H248" s="1"/>
      <c r="I248" s="1"/>
      <c r="J248" s="1"/>
    </row>
    <row r="249" ht="14.25" customHeight="1">
      <c r="A249" s="52"/>
      <c r="B249" s="52"/>
      <c r="C249" s="53"/>
      <c r="D249" s="53"/>
      <c r="E249" s="53"/>
      <c r="F249" s="53"/>
      <c r="G249" s="53"/>
      <c r="H249" s="1"/>
      <c r="I249" s="1"/>
      <c r="J249" s="1"/>
    </row>
    <row r="250" ht="14.25" customHeight="1">
      <c r="A250" s="52"/>
      <c r="B250" s="52"/>
      <c r="C250" s="53"/>
      <c r="D250" s="53"/>
      <c r="E250" s="53"/>
      <c r="F250" s="53"/>
      <c r="G250" s="53"/>
      <c r="H250" s="1"/>
      <c r="I250" s="1"/>
      <c r="J250" s="1"/>
    </row>
    <row r="251" ht="14.25" customHeight="1">
      <c r="A251" s="52"/>
      <c r="B251" s="52"/>
      <c r="C251" s="53"/>
      <c r="D251" s="53"/>
      <c r="E251" s="53"/>
      <c r="F251" s="53"/>
      <c r="G251" s="53"/>
      <c r="H251" s="1"/>
      <c r="I251" s="1"/>
      <c r="J251" s="1"/>
    </row>
    <row r="252" ht="14.25" customHeight="1">
      <c r="A252" s="52"/>
      <c r="B252" s="52"/>
      <c r="C252" s="53"/>
      <c r="D252" s="53"/>
      <c r="E252" s="53"/>
      <c r="F252" s="53"/>
      <c r="G252" s="53"/>
      <c r="H252" s="1"/>
      <c r="I252" s="1"/>
      <c r="J252" s="1"/>
    </row>
    <row r="253" ht="14.25" customHeight="1">
      <c r="A253" s="52"/>
      <c r="B253" s="52"/>
      <c r="C253" s="53"/>
      <c r="D253" s="53"/>
      <c r="E253" s="53"/>
      <c r="F253" s="53"/>
      <c r="G253" s="53"/>
      <c r="H253" s="1"/>
      <c r="I253" s="1"/>
      <c r="J253" s="1"/>
    </row>
    <row r="254" ht="14.25" customHeight="1">
      <c r="A254" s="52"/>
      <c r="B254" s="52"/>
      <c r="C254" s="53"/>
      <c r="D254" s="53"/>
      <c r="E254" s="53"/>
      <c r="F254" s="53"/>
      <c r="G254" s="53"/>
      <c r="H254" s="1"/>
      <c r="I254" s="1"/>
      <c r="J254" s="1"/>
    </row>
    <row r="255" ht="14.25" customHeight="1">
      <c r="A255" s="52"/>
      <c r="B255" s="52"/>
      <c r="C255" s="53"/>
      <c r="D255" s="53"/>
      <c r="E255" s="53"/>
      <c r="F255" s="53"/>
      <c r="G255" s="53"/>
      <c r="H255" s="1"/>
      <c r="I255" s="1"/>
      <c r="J255" s="1"/>
    </row>
    <row r="256" ht="14.25" customHeight="1">
      <c r="A256" s="52"/>
      <c r="B256" s="52"/>
      <c r="C256" s="53"/>
      <c r="D256" s="53"/>
      <c r="E256" s="53"/>
      <c r="F256" s="53"/>
      <c r="G256" s="53"/>
      <c r="H256" s="1"/>
      <c r="I256" s="1"/>
      <c r="J256" s="1"/>
    </row>
    <row r="257" ht="14.25" customHeight="1">
      <c r="A257" s="52"/>
      <c r="B257" s="52"/>
      <c r="C257" s="53"/>
      <c r="D257" s="53"/>
      <c r="E257" s="53"/>
      <c r="F257" s="53"/>
      <c r="G257" s="53"/>
      <c r="H257" s="1"/>
      <c r="I257" s="1"/>
      <c r="J257" s="1"/>
    </row>
    <row r="258" ht="14.25" customHeight="1">
      <c r="A258" s="52"/>
      <c r="B258" s="52"/>
      <c r="C258" s="53"/>
      <c r="D258" s="53"/>
      <c r="E258" s="53"/>
      <c r="F258" s="53"/>
      <c r="G258" s="53"/>
      <c r="H258" s="1"/>
      <c r="I258" s="1"/>
      <c r="J258" s="1"/>
    </row>
    <row r="259" ht="14.25" customHeight="1">
      <c r="A259" s="52"/>
      <c r="B259" s="52"/>
      <c r="C259" s="53"/>
      <c r="D259" s="53"/>
      <c r="E259" s="53"/>
      <c r="F259" s="53"/>
      <c r="G259" s="53"/>
      <c r="H259" s="1"/>
      <c r="I259" s="1"/>
      <c r="J259" s="1"/>
    </row>
    <row r="260" ht="14.25" customHeight="1">
      <c r="A260" s="52"/>
      <c r="B260" s="52"/>
      <c r="C260" s="53"/>
      <c r="D260" s="53"/>
      <c r="E260" s="53"/>
      <c r="F260" s="53"/>
      <c r="G260" s="53"/>
      <c r="H260" s="1"/>
      <c r="I260" s="1"/>
      <c r="J260" s="1"/>
    </row>
    <row r="261" ht="14.25" customHeight="1">
      <c r="A261" s="52"/>
      <c r="B261" s="52"/>
      <c r="C261" s="53"/>
      <c r="D261" s="53"/>
      <c r="E261" s="53"/>
      <c r="F261" s="53"/>
      <c r="G261" s="53"/>
      <c r="H261" s="1"/>
      <c r="I261" s="1"/>
      <c r="J261" s="1"/>
    </row>
    <row r="262" ht="14.25" customHeight="1">
      <c r="A262" s="52"/>
      <c r="B262" s="52"/>
      <c r="C262" s="53"/>
      <c r="D262" s="53"/>
      <c r="E262" s="53"/>
      <c r="F262" s="53"/>
      <c r="G262" s="53"/>
      <c r="H262" s="1"/>
      <c r="I262" s="1"/>
      <c r="J262" s="1"/>
    </row>
    <row r="263" ht="14.25" customHeight="1">
      <c r="A263" s="52"/>
      <c r="B263" s="52"/>
      <c r="C263" s="53"/>
      <c r="D263" s="53"/>
      <c r="E263" s="53"/>
      <c r="F263" s="53"/>
      <c r="G263" s="53"/>
      <c r="H263" s="1"/>
      <c r="I263" s="1"/>
      <c r="J263" s="1"/>
    </row>
    <row r="264" ht="14.25" customHeight="1">
      <c r="A264" s="52"/>
      <c r="B264" s="52"/>
      <c r="C264" s="53"/>
      <c r="D264" s="53"/>
      <c r="E264" s="53"/>
      <c r="F264" s="53"/>
      <c r="G264" s="53"/>
      <c r="H264" s="1"/>
      <c r="I264" s="1"/>
      <c r="J264" s="1"/>
    </row>
    <row r="265" ht="14.25" customHeight="1">
      <c r="A265" s="52"/>
      <c r="B265" s="52"/>
      <c r="C265" s="53"/>
      <c r="D265" s="53"/>
      <c r="E265" s="53"/>
      <c r="F265" s="53"/>
      <c r="G265" s="53"/>
      <c r="H265" s="1"/>
      <c r="I265" s="1"/>
      <c r="J265" s="1"/>
    </row>
    <row r="266" ht="14.25" customHeight="1">
      <c r="A266" s="52"/>
      <c r="B266" s="52"/>
      <c r="C266" s="53"/>
      <c r="D266" s="53"/>
      <c r="E266" s="53"/>
      <c r="F266" s="53"/>
      <c r="G266" s="53"/>
      <c r="H266" s="1"/>
      <c r="I266" s="1"/>
      <c r="J266" s="1"/>
    </row>
    <row r="267" ht="14.25" customHeight="1">
      <c r="A267" s="52"/>
      <c r="B267" s="52"/>
      <c r="C267" s="53"/>
      <c r="D267" s="53"/>
      <c r="E267" s="53"/>
      <c r="F267" s="53"/>
      <c r="G267" s="53"/>
      <c r="H267" s="1"/>
      <c r="I267" s="1"/>
      <c r="J267" s="1"/>
    </row>
    <row r="268" ht="14.25" customHeight="1">
      <c r="A268" s="52"/>
      <c r="B268" s="52"/>
      <c r="C268" s="53"/>
      <c r="D268" s="53"/>
      <c r="E268" s="53"/>
      <c r="F268" s="53"/>
      <c r="G268" s="53"/>
      <c r="H268" s="1"/>
      <c r="I268" s="1"/>
      <c r="J268" s="1"/>
    </row>
    <row r="269" ht="14.25" customHeight="1">
      <c r="A269" s="52"/>
      <c r="B269" s="52"/>
      <c r="C269" s="53"/>
      <c r="D269" s="53"/>
      <c r="E269" s="53"/>
      <c r="F269" s="53"/>
      <c r="G269" s="53"/>
      <c r="H269" s="1"/>
      <c r="I269" s="1"/>
      <c r="J269" s="1"/>
    </row>
    <row r="270" ht="14.25" customHeight="1">
      <c r="A270" s="52"/>
      <c r="B270" s="52"/>
      <c r="C270" s="53"/>
      <c r="D270" s="53"/>
      <c r="E270" s="53"/>
      <c r="F270" s="53"/>
      <c r="G270" s="53"/>
      <c r="H270" s="1"/>
      <c r="I270" s="1"/>
      <c r="J270" s="1"/>
    </row>
    <row r="271" ht="14.25" customHeight="1">
      <c r="A271" s="52"/>
      <c r="B271" s="52"/>
      <c r="C271" s="53"/>
      <c r="D271" s="53"/>
      <c r="E271" s="53"/>
      <c r="F271" s="53"/>
      <c r="G271" s="53"/>
      <c r="H271" s="1"/>
      <c r="I271" s="1"/>
      <c r="J271" s="1"/>
    </row>
    <row r="272" ht="14.25" customHeight="1">
      <c r="A272" s="52"/>
      <c r="B272" s="52"/>
      <c r="C272" s="53"/>
      <c r="D272" s="53"/>
      <c r="E272" s="53"/>
      <c r="F272" s="53"/>
      <c r="G272" s="53"/>
      <c r="H272" s="1"/>
      <c r="I272" s="1"/>
      <c r="J272" s="1"/>
    </row>
    <row r="273" ht="14.25" customHeight="1">
      <c r="A273" s="52"/>
      <c r="B273" s="52"/>
      <c r="C273" s="53"/>
      <c r="D273" s="53"/>
      <c r="E273" s="53"/>
      <c r="F273" s="53"/>
      <c r="G273" s="53"/>
      <c r="H273" s="1"/>
      <c r="I273" s="1"/>
      <c r="J273" s="1"/>
    </row>
    <row r="274" ht="14.25" customHeight="1">
      <c r="A274" s="52"/>
      <c r="B274" s="52"/>
      <c r="C274" s="53"/>
      <c r="D274" s="53"/>
      <c r="E274" s="53"/>
      <c r="F274" s="53"/>
      <c r="G274" s="53"/>
      <c r="H274" s="1"/>
      <c r="I274" s="1"/>
      <c r="J274" s="1"/>
    </row>
    <row r="275" ht="14.25" customHeight="1">
      <c r="A275" s="52"/>
      <c r="B275" s="52"/>
      <c r="C275" s="53"/>
      <c r="D275" s="53"/>
      <c r="E275" s="53"/>
      <c r="F275" s="53"/>
      <c r="G275" s="53"/>
      <c r="H275" s="1"/>
      <c r="I275" s="1"/>
      <c r="J275" s="1"/>
    </row>
    <row r="276" ht="14.25" customHeight="1">
      <c r="A276" s="52"/>
      <c r="B276" s="52"/>
      <c r="C276" s="53"/>
      <c r="D276" s="53"/>
      <c r="E276" s="53"/>
      <c r="F276" s="53"/>
      <c r="G276" s="53"/>
      <c r="H276" s="1"/>
      <c r="I276" s="1"/>
      <c r="J276" s="1"/>
    </row>
    <row r="277" ht="14.25" customHeight="1">
      <c r="A277" s="52"/>
      <c r="B277" s="52"/>
      <c r="C277" s="53"/>
      <c r="D277" s="53"/>
      <c r="E277" s="53"/>
      <c r="F277" s="53"/>
      <c r="G277" s="53"/>
      <c r="H277" s="1"/>
      <c r="I277" s="1"/>
      <c r="J277" s="1"/>
    </row>
    <row r="278" ht="14.25" customHeight="1">
      <c r="A278" s="52"/>
      <c r="B278" s="52"/>
      <c r="C278" s="53"/>
      <c r="D278" s="53"/>
      <c r="E278" s="53"/>
      <c r="F278" s="53"/>
      <c r="G278" s="53"/>
      <c r="H278" s="1"/>
      <c r="I278" s="1"/>
      <c r="J278" s="1"/>
    </row>
    <row r="279" ht="14.25" customHeight="1">
      <c r="A279" s="52"/>
      <c r="B279" s="52"/>
      <c r="C279" s="53"/>
      <c r="D279" s="53"/>
      <c r="E279" s="53"/>
      <c r="F279" s="53"/>
      <c r="G279" s="53"/>
      <c r="H279" s="1"/>
      <c r="I279" s="1"/>
      <c r="J279" s="1"/>
    </row>
    <row r="280" ht="14.25" customHeight="1">
      <c r="A280" s="52"/>
      <c r="B280" s="52"/>
      <c r="C280" s="53"/>
      <c r="D280" s="53"/>
      <c r="E280" s="53"/>
      <c r="F280" s="53"/>
      <c r="G280" s="53"/>
      <c r="H280" s="1"/>
      <c r="I280" s="1"/>
      <c r="J280" s="1"/>
    </row>
    <row r="281" ht="14.25" customHeight="1">
      <c r="A281" s="52"/>
      <c r="B281" s="52"/>
      <c r="C281" s="53"/>
      <c r="D281" s="53"/>
      <c r="E281" s="53"/>
      <c r="F281" s="53"/>
      <c r="G281" s="53"/>
      <c r="H281" s="1"/>
      <c r="I281" s="1"/>
      <c r="J281" s="1"/>
    </row>
    <row r="282" ht="14.25" customHeight="1">
      <c r="A282" s="52"/>
      <c r="B282" s="52"/>
      <c r="C282" s="53"/>
      <c r="D282" s="53"/>
      <c r="E282" s="53"/>
      <c r="F282" s="53"/>
      <c r="G282" s="53"/>
      <c r="H282" s="1"/>
      <c r="I282" s="1"/>
      <c r="J282" s="1"/>
    </row>
    <row r="283" ht="14.25" customHeight="1">
      <c r="A283" s="52"/>
      <c r="B283" s="52"/>
      <c r="C283" s="53"/>
      <c r="D283" s="53"/>
      <c r="E283" s="53"/>
      <c r="F283" s="53"/>
      <c r="G283" s="53"/>
      <c r="H283" s="1"/>
      <c r="I283" s="1"/>
      <c r="J283" s="1"/>
    </row>
    <row r="284" ht="14.25" customHeight="1">
      <c r="A284" s="52"/>
      <c r="B284" s="52"/>
      <c r="C284" s="53"/>
      <c r="D284" s="53"/>
      <c r="E284" s="53"/>
      <c r="F284" s="53"/>
      <c r="G284" s="53"/>
      <c r="H284" s="1"/>
      <c r="I284" s="1"/>
      <c r="J284" s="1"/>
    </row>
    <row r="285" ht="14.25" customHeight="1">
      <c r="A285" s="52"/>
      <c r="B285" s="52"/>
      <c r="C285" s="53"/>
      <c r="D285" s="53"/>
      <c r="E285" s="53"/>
      <c r="F285" s="53"/>
      <c r="G285" s="53"/>
      <c r="H285" s="1"/>
      <c r="I285" s="1"/>
      <c r="J285" s="1"/>
    </row>
    <row r="286" ht="14.25" customHeight="1">
      <c r="A286" s="52"/>
      <c r="B286" s="52"/>
      <c r="C286" s="53"/>
      <c r="D286" s="53"/>
      <c r="E286" s="53"/>
      <c r="F286" s="53"/>
      <c r="G286" s="53"/>
      <c r="H286" s="1"/>
      <c r="I286" s="1"/>
      <c r="J286" s="1"/>
    </row>
    <row r="287" ht="14.25" customHeight="1">
      <c r="A287" s="52"/>
      <c r="B287" s="52"/>
      <c r="C287" s="53"/>
      <c r="D287" s="53"/>
      <c r="E287" s="53"/>
      <c r="F287" s="53"/>
      <c r="G287" s="53"/>
      <c r="H287" s="1"/>
      <c r="I287" s="1"/>
      <c r="J287" s="1"/>
    </row>
    <row r="288" ht="14.25" customHeight="1">
      <c r="A288" s="52"/>
      <c r="B288" s="52"/>
      <c r="C288" s="53"/>
      <c r="D288" s="53"/>
      <c r="E288" s="53"/>
      <c r="F288" s="53"/>
      <c r="G288" s="53"/>
      <c r="H288" s="1"/>
      <c r="I288" s="1"/>
      <c r="J288" s="1"/>
    </row>
    <row r="289" ht="14.25" customHeight="1">
      <c r="A289" s="52"/>
      <c r="B289" s="52"/>
      <c r="C289" s="53"/>
      <c r="D289" s="53"/>
      <c r="E289" s="53"/>
      <c r="F289" s="53"/>
      <c r="G289" s="53"/>
      <c r="H289" s="1"/>
      <c r="I289" s="1"/>
      <c r="J289" s="1"/>
    </row>
    <row r="290" ht="14.25" customHeight="1">
      <c r="A290" s="52"/>
      <c r="B290" s="52"/>
      <c r="C290" s="53"/>
      <c r="D290" s="53"/>
      <c r="E290" s="53"/>
      <c r="F290" s="53"/>
      <c r="G290" s="53"/>
      <c r="H290" s="1"/>
      <c r="I290" s="1"/>
      <c r="J290" s="1"/>
    </row>
    <row r="291" ht="14.25" customHeight="1">
      <c r="A291" s="52"/>
      <c r="B291" s="52"/>
      <c r="C291" s="53"/>
      <c r="D291" s="53"/>
      <c r="E291" s="53"/>
      <c r="F291" s="53"/>
      <c r="G291" s="53"/>
      <c r="H291" s="1"/>
      <c r="I291" s="1"/>
      <c r="J291" s="1"/>
    </row>
    <row r="292" ht="14.25" customHeight="1">
      <c r="A292" s="52"/>
      <c r="B292" s="52"/>
      <c r="C292" s="53"/>
      <c r="D292" s="53"/>
      <c r="E292" s="53"/>
      <c r="F292" s="53"/>
      <c r="G292" s="53"/>
      <c r="H292" s="1"/>
      <c r="I292" s="1"/>
      <c r="J292" s="1"/>
    </row>
    <row r="293" ht="14.25" customHeight="1">
      <c r="A293" s="52"/>
      <c r="B293" s="52"/>
      <c r="C293" s="53"/>
      <c r="D293" s="53"/>
      <c r="E293" s="53"/>
      <c r="F293" s="53"/>
      <c r="G293" s="53"/>
      <c r="H293" s="1"/>
      <c r="I293" s="1"/>
      <c r="J293" s="1"/>
    </row>
    <row r="294" ht="14.25" customHeight="1">
      <c r="A294" s="52"/>
      <c r="B294" s="52"/>
      <c r="C294" s="53"/>
      <c r="D294" s="53"/>
      <c r="E294" s="53"/>
      <c r="F294" s="53"/>
      <c r="G294" s="53"/>
      <c r="H294" s="1"/>
      <c r="I294" s="1"/>
      <c r="J294" s="1"/>
    </row>
    <row r="295" ht="14.25" customHeight="1">
      <c r="A295" s="52"/>
      <c r="B295" s="52"/>
      <c r="C295" s="53"/>
      <c r="D295" s="53"/>
      <c r="E295" s="53"/>
      <c r="F295" s="53"/>
      <c r="G295" s="53"/>
      <c r="H295" s="1"/>
      <c r="I295" s="1"/>
      <c r="J295" s="1"/>
    </row>
    <row r="296" ht="14.25" customHeight="1">
      <c r="A296" s="52"/>
      <c r="B296" s="52"/>
      <c r="C296" s="53"/>
      <c r="D296" s="53"/>
      <c r="E296" s="53"/>
      <c r="F296" s="53"/>
      <c r="G296" s="53"/>
      <c r="H296" s="1"/>
      <c r="I296" s="1"/>
      <c r="J296" s="1"/>
    </row>
    <row r="297" ht="14.25" customHeight="1">
      <c r="A297" s="52"/>
      <c r="B297" s="52"/>
      <c r="C297" s="53"/>
      <c r="D297" s="53"/>
      <c r="E297" s="53"/>
      <c r="F297" s="53"/>
      <c r="G297" s="53"/>
      <c r="H297" s="1"/>
      <c r="I297" s="1"/>
      <c r="J297" s="1"/>
    </row>
    <row r="298" ht="14.25" customHeight="1">
      <c r="A298" s="52"/>
      <c r="B298" s="52"/>
      <c r="C298" s="53"/>
      <c r="D298" s="53"/>
      <c r="E298" s="53"/>
      <c r="F298" s="53"/>
      <c r="G298" s="53"/>
      <c r="H298" s="1"/>
      <c r="I298" s="1"/>
      <c r="J298" s="1"/>
    </row>
    <row r="299" ht="14.25" customHeight="1">
      <c r="A299" s="52"/>
      <c r="B299" s="52"/>
      <c r="C299" s="53"/>
      <c r="D299" s="53"/>
      <c r="E299" s="53"/>
      <c r="F299" s="53"/>
      <c r="G299" s="53"/>
      <c r="H299" s="1"/>
      <c r="I299" s="1"/>
      <c r="J299" s="1"/>
    </row>
    <row r="300" ht="14.25" customHeight="1">
      <c r="A300" s="52"/>
      <c r="B300" s="52"/>
      <c r="C300" s="53"/>
      <c r="D300" s="53"/>
      <c r="E300" s="53"/>
      <c r="F300" s="53"/>
      <c r="G300" s="53"/>
      <c r="H300" s="1"/>
      <c r="I300" s="1"/>
      <c r="J300" s="1"/>
    </row>
    <row r="301" ht="14.25" customHeight="1">
      <c r="A301" s="52"/>
      <c r="B301" s="52"/>
      <c r="C301" s="53"/>
      <c r="D301" s="53"/>
      <c r="E301" s="53"/>
      <c r="F301" s="53"/>
      <c r="G301" s="53"/>
      <c r="H301" s="1"/>
      <c r="I301" s="1"/>
      <c r="J301" s="1"/>
    </row>
    <row r="302" ht="14.25" customHeight="1">
      <c r="A302" s="52"/>
      <c r="B302" s="52"/>
      <c r="C302" s="53"/>
      <c r="D302" s="53"/>
      <c r="E302" s="53"/>
      <c r="F302" s="53"/>
      <c r="G302" s="53"/>
      <c r="H302" s="1"/>
      <c r="I302" s="1"/>
      <c r="J302" s="1"/>
    </row>
    <row r="303" ht="14.25" customHeight="1">
      <c r="A303" s="52"/>
      <c r="B303" s="52"/>
      <c r="C303" s="53"/>
      <c r="D303" s="53"/>
      <c r="E303" s="53"/>
      <c r="F303" s="53"/>
      <c r="G303" s="53"/>
      <c r="H303" s="1"/>
      <c r="I303" s="1"/>
      <c r="J303" s="1"/>
    </row>
    <row r="304" ht="14.25" customHeight="1">
      <c r="A304" s="52"/>
      <c r="B304" s="52"/>
      <c r="C304" s="53"/>
      <c r="D304" s="53"/>
      <c r="E304" s="53"/>
      <c r="F304" s="53"/>
      <c r="G304" s="53"/>
      <c r="H304" s="1"/>
      <c r="I304" s="1"/>
      <c r="J304" s="1"/>
    </row>
    <row r="305" ht="14.25" customHeight="1">
      <c r="A305" s="52"/>
      <c r="B305" s="52"/>
      <c r="C305" s="53"/>
      <c r="D305" s="53"/>
      <c r="E305" s="53"/>
      <c r="F305" s="53"/>
      <c r="G305" s="53"/>
      <c r="H305" s="1"/>
      <c r="I305" s="1"/>
      <c r="J305" s="1"/>
    </row>
    <row r="306" ht="14.25" customHeight="1">
      <c r="A306" s="52"/>
      <c r="B306" s="52"/>
      <c r="C306" s="53"/>
      <c r="D306" s="53"/>
      <c r="E306" s="53"/>
      <c r="F306" s="53"/>
      <c r="G306" s="53"/>
      <c r="H306" s="1"/>
      <c r="I306" s="1"/>
      <c r="J306" s="1"/>
    </row>
    <row r="307" ht="14.25" customHeight="1">
      <c r="A307" s="52"/>
      <c r="B307" s="52"/>
      <c r="C307" s="53"/>
      <c r="D307" s="53"/>
      <c r="E307" s="53"/>
      <c r="F307" s="53"/>
      <c r="G307" s="53"/>
      <c r="H307" s="1"/>
      <c r="I307" s="1"/>
      <c r="J307" s="1"/>
    </row>
    <row r="308" ht="14.25" customHeight="1">
      <c r="A308" s="52"/>
      <c r="B308" s="52"/>
      <c r="C308" s="53"/>
      <c r="D308" s="53"/>
      <c r="E308" s="53"/>
      <c r="F308" s="53"/>
      <c r="G308" s="53"/>
      <c r="H308" s="1"/>
      <c r="I308" s="1"/>
      <c r="J308" s="1"/>
    </row>
    <row r="309" ht="14.25" customHeight="1">
      <c r="A309" s="52"/>
      <c r="B309" s="52"/>
      <c r="C309" s="53"/>
      <c r="D309" s="53"/>
      <c r="E309" s="53"/>
      <c r="F309" s="53"/>
      <c r="G309" s="53"/>
      <c r="H309" s="1"/>
      <c r="I309" s="1"/>
      <c r="J309" s="1"/>
    </row>
    <row r="310" ht="14.25" customHeight="1">
      <c r="A310" s="52"/>
      <c r="B310" s="52"/>
      <c r="C310" s="53"/>
      <c r="D310" s="53"/>
      <c r="E310" s="53"/>
      <c r="F310" s="53"/>
      <c r="G310" s="53"/>
      <c r="H310" s="1"/>
      <c r="I310" s="1"/>
      <c r="J310" s="1"/>
    </row>
    <row r="311" ht="14.25" customHeight="1">
      <c r="A311" s="52"/>
      <c r="B311" s="52"/>
      <c r="C311" s="53"/>
      <c r="D311" s="53"/>
      <c r="E311" s="53"/>
      <c r="F311" s="53"/>
      <c r="G311" s="53"/>
      <c r="H311" s="1"/>
      <c r="I311" s="1"/>
      <c r="J311" s="1"/>
    </row>
    <row r="312" ht="14.25" customHeight="1">
      <c r="A312" s="52"/>
      <c r="B312" s="52"/>
      <c r="C312" s="53"/>
      <c r="D312" s="53"/>
      <c r="E312" s="53"/>
      <c r="F312" s="53"/>
      <c r="G312" s="53"/>
      <c r="H312" s="1"/>
      <c r="I312" s="1"/>
      <c r="J312" s="1"/>
    </row>
    <row r="313" ht="14.25" customHeight="1">
      <c r="A313" s="52"/>
      <c r="B313" s="52"/>
      <c r="C313" s="53"/>
      <c r="D313" s="53"/>
      <c r="E313" s="53"/>
      <c r="F313" s="53"/>
      <c r="G313" s="53"/>
      <c r="H313" s="1"/>
      <c r="I313" s="1"/>
      <c r="J313" s="1"/>
    </row>
    <row r="314" ht="14.25" customHeight="1">
      <c r="A314" s="52"/>
      <c r="B314" s="52"/>
      <c r="C314" s="53"/>
      <c r="D314" s="53"/>
      <c r="E314" s="53"/>
      <c r="F314" s="53"/>
      <c r="G314" s="53"/>
      <c r="H314" s="1"/>
      <c r="I314" s="1"/>
      <c r="J314" s="1"/>
    </row>
    <row r="315" ht="14.25" customHeight="1">
      <c r="A315" s="52"/>
      <c r="B315" s="52"/>
      <c r="C315" s="53"/>
      <c r="D315" s="53"/>
      <c r="E315" s="53"/>
      <c r="F315" s="53"/>
      <c r="G315" s="53"/>
      <c r="H315" s="1"/>
      <c r="I315" s="1"/>
      <c r="J315" s="1"/>
    </row>
    <row r="316" ht="14.25" customHeight="1">
      <c r="A316" s="52"/>
      <c r="B316" s="52"/>
      <c r="C316" s="53"/>
      <c r="D316" s="53"/>
      <c r="E316" s="53"/>
      <c r="F316" s="53"/>
      <c r="G316" s="53"/>
      <c r="H316" s="1"/>
      <c r="I316" s="1"/>
      <c r="J316" s="1"/>
    </row>
    <row r="317" ht="14.25" customHeight="1">
      <c r="A317" s="52"/>
      <c r="B317" s="52"/>
      <c r="C317" s="53"/>
      <c r="D317" s="53"/>
      <c r="E317" s="53"/>
      <c r="F317" s="53"/>
      <c r="G317" s="53"/>
      <c r="H317" s="1"/>
      <c r="I317" s="1"/>
      <c r="J317" s="1"/>
    </row>
    <row r="318" ht="14.25" customHeight="1">
      <c r="A318" s="52"/>
      <c r="B318" s="52"/>
      <c r="C318" s="53"/>
      <c r="D318" s="53"/>
      <c r="E318" s="53"/>
      <c r="F318" s="53"/>
      <c r="G318" s="53"/>
      <c r="H318" s="1"/>
      <c r="I318" s="1"/>
      <c r="J318" s="1"/>
    </row>
    <row r="319" ht="14.25" customHeight="1">
      <c r="A319" s="52"/>
      <c r="B319" s="52"/>
      <c r="C319" s="53"/>
      <c r="D319" s="53"/>
      <c r="E319" s="53"/>
      <c r="F319" s="53"/>
      <c r="G319" s="53"/>
      <c r="H319" s="1"/>
      <c r="I319" s="1"/>
      <c r="J319" s="1"/>
    </row>
    <row r="320" ht="14.25" customHeight="1">
      <c r="A320" s="52"/>
      <c r="B320" s="52"/>
      <c r="C320" s="53"/>
      <c r="D320" s="53"/>
      <c r="E320" s="53"/>
      <c r="F320" s="53"/>
      <c r="G320" s="53"/>
      <c r="H320" s="1"/>
      <c r="I320" s="1"/>
      <c r="J320" s="1"/>
    </row>
    <row r="321" ht="14.25" customHeight="1">
      <c r="A321" s="52"/>
      <c r="B321" s="52"/>
      <c r="C321" s="53"/>
      <c r="D321" s="53"/>
      <c r="E321" s="53"/>
      <c r="F321" s="53"/>
      <c r="G321" s="53"/>
      <c r="H321" s="1"/>
      <c r="I321" s="1"/>
      <c r="J321" s="1"/>
    </row>
    <row r="322" ht="14.25" customHeight="1">
      <c r="A322" s="52"/>
      <c r="B322" s="52"/>
      <c r="C322" s="53"/>
      <c r="D322" s="53"/>
      <c r="E322" s="53"/>
      <c r="F322" s="53"/>
      <c r="G322" s="53"/>
      <c r="H322" s="1"/>
      <c r="I322" s="1"/>
      <c r="J322" s="1"/>
    </row>
    <row r="323" ht="14.25" customHeight="1">
      <c r="A323" s="52"/>
      <c r="B323" s="52"/>
      <c r="C323" s="53"/>
      <c r="D323" s="53"/>
      <c r="E323" s="53"/>
      <c r="F323" s="53"/>
      <c r="G323" s="53"/>
      <c r="H323" s="1"/>
      <c r="I323" s="1"/>
      <c r="J323" s="1"/>
    </row>
    <row r="324" ht="14.25" customHeight="1">
      <c r="A324" s="52"/>
      <c r="B324" s="52"/>
      <c r="C324" s="53"/>
      <c r="D324" s="53"/>
      <c r="E324" s="53"/>
      <c r="F324" s="53"/>
      <c r="G324" s="53"/>
      <c r="H324" s="1"/>
      <c r="I324" s="1"/>
      <c r="J324" s="1"/>
    </row>
    <row r="325" ht="14.25" customHeight="1">
      <c r="A325" s="52"/>
      <c r="B325" s="52"/>
      <c r="C325" s="53"/>
      <c r="D325" s="53"/>
      <c r="E325" s="53"/>
      <c r="F325" s="53"/>
      <c r="G325" s="53"/>
      <c r="H325" s="1"/>
      <c r="I325" s="1"/>
      <c r="J325" s="1"/>
    </row>
    <row r="326" ht="14.25" customHeight="1">
      <c r="A326" s="52"/>
      <c r="B326" s="52"/>
      <c r="C326" s="53"/>
      <c r="D326" s="53"/>
      <c r="E326" s="53"/>
      <c r="F326" s="53"/>
      <c r="G326" s="53"/>
      <c r="H326" s="1"/>
      <c r="I326" s="1"/>
      <c r="J326" s="1"/>
    </row>
    <row r="327" ht="14.25" customHeight="1">
      <c r="A327" s="52"/>
      <c r="B327" s="52"/>
      <c r="C327" s="53"/>
      <c r="D327" s="53"/>
      <c r="E327" s="53"/>
      <c r="F327" s="53"/>
      <c r="G327" s="53"/>
      <c r="H327" s="1"/>
      <c r="I327" s="1"/>
      <c r="J327" s="1"/>
    </row>
    <row r="328" ht="14.25" customHeight="1">
      <c r="A328" s="52"/>
      <c r="B328" s="52"/>
      <c r="C328" s="53"/>
      <c r="D328" s="53"/>
      <c r="E328" s="53"/>
      <c r="F328" s="53"/>
      <c r="G328" s="53"/>
      <c r="H328" s="1"/>
      <c r="I328" s="1"/>
      <c r="J328" s="1"/>
    </row>
    <row r="329" ht="14.25" customHeight="1">
      <c r="A329" s="52"/>
      <c r="B329" s="52"/>
      <c r="C329" s="53"/>
      <c r="D329" s="53"/>
      <c r="E329" s="53"/>
      <c r="F329" s="53"/>
      <c r="G329" s="53"/>
      <c r="H329" s="1"/>
      <c r="I329" s="1"/>
      <c r="J329" s="1"/>
    </row>
    <row r="330" ht="14.25" customHeight="1">
      <c r="A330" s="52"/>
      <c r="B330" s="52"/>
      <c r="C330" s="53"/>
      <c r="D330" s="53"/>
      <c r="E330" s="53"/>
      <c r="F330" s="53"/>
      <c r="G330" s="53"/>
      <c r="H330" s="1"/>
      <c r="I330" s="1"/>
      <c r="J330" s="1"/>
    </row>
    <row r="331" ht="14.25" customHeight="1">
      <c r="A331" s="52"/>
      <c r="B331" s="52"/>
      <c r="C331" s="53"/>
      <c r="D331" s="53"/>
      <c r="E331" s="53"/>
      <c r="F331" s="53"/>
      <c r="G331" s="53"/>
      <c r="H331" s="1"/>
      <c r="I331" s="1"/>
      <c r="J331" s="1"/>
    </row>
    <row r="332" ht="14.25" customHeight="1">
      <c r="A332" s="52"/>
      <c r="B332" s="52"/>
      <c r="C332" s="53"/>
      <c r="D332" s="53"/>
      <c r="E332" s="53"/>
      <c r="F332" s="53"/>
      <c r="G332" s="53"/>
      <c r="H332" s="1"/>
      <c r="I332" s="1"/>
      <c r="J332" s="1"/>
    </row>
    <row r="333" ht="14.25" customHeight="1">
      <c r="A333" s="52"/>
      <c r="B333" s="52"/>
      <c r="C333" s="53"/>
      <c r="D333" s="53"/>
      <c r="E333" s="53"/>
      <c r="F333" s="53"/>
      <c r="G333" s="53"/>
      <c r="H333" s="1"/>
      <c r="I333" s="1"/>
      <c r="J333" s="1"/>
    </row>
    <row r="334" ht="14.25" customHeight="1">
      <c r="A334" s="52"/>
      <c r="B334" s="52"/>
      <c r="C334" s="53"/>
      <c r="D334" s="53"/>
      <c r="E334" s="53"/>
      <c r="F334" s="53"/>
      <c r="G334" s="53"/>
      <c r="H334" s="1"/>
      <c r="I334" s="1"/>
      <c r="J334" s="1"/>
    </row>
    <row r="335" ht="14.25" customHeight="1">
      <c r="A335" s="52"/>
      <c r="B335" s="52"/>
      <c r="C335" s="53"/>
      <c r="D335" s="53"/>
      <c r="E335" s="53"/>
      <c r="F335" s="53"/>
      <c r="G335" s="53"/>
      <c r="H335" s="1"/>
      <c r="I335" s="1"/>
      <c r="J335" s="1"/>
    </row>
    <row r="336" ht="14.25" customHeight="1">
      <c r="A336" s="52"/>
      <c r="B336" s="52"/>
      <c r="C336" s="53"/>
      <c r="D336" s="53"/>
      <c r="E336" s="53"/>
      <c r="F336" s="53"/>
      <c r="G336" s="53"/>
      <c r="H336" s="1"/>
      <c r="I336" s="1"/>
      <c r="J336" s="1"/>
    </row>
    <row r="337" ht="14.25" customHeight="1">
      <c r="A337" s="52"/>
      <c r="B337" s="52"/>
      <c r="C337" s="53"/>
      <c r="D337" s="53"/>
      <c r="E337" s="53"/>
      <c r="F337" s="53"/>
      <c r="G337" s="53"/>
      <c r="H337" s="1"/>
      <c r="I337" s="1"/>
      <c r="J337" s="1"/>
    </row>
    <row r="338" ht="14.25" customHeight="1">
      <c r="A338" s="52"/>
      <c r="B338" s="52"/>
      <c r="C338" s="53"/>
      <c r="D338" s="53"/>
      <c r="E338" s="53"/>
      <c r="F338" s="53"/>
      <c r="G338" s="53"/>
      <c r="H338" s="1"/>
      <c r="I338" s="1"/>
      <c r="J338" s="1"/>
    </row>
    <row r="339" ht="14.25" customHeight="1">
      <c r="A339" s="52"/>
      <c r="B339" s="52"/>
      <c r="C339" s="53"/>
      <c r="D339" s="53"/>
      <c r="E339" s="53"/>
      <c r="F339" s="53"/>
      <c r="G339" s="53"/>
      <c r="H339" s="1"/>
      <c r="I339" s="1"/>
      <c r="J339" s="1"/>
    </row>
    <row r="340" ht="14.25" customHeight="1">
      <c r="A340" s="52"/>
      <c r="B340" s="52"/>
      <c r="C340" s="53"/>
      <c r="D340" s="53"/>
      <c r="E340" s="53"/>
      <c r="F340" s="53"/>
      <c r="G340" s="53"/>
      <c r="H340" s="1"/>
      <c r="I340" s="1"/>
      <c r="J340" s="1"/>
    </row>
    <row r="341" ht="14.25" customHeight="1">
      <c r="A341" s="52"/>
      <c r="B341" s="52"/>
      <c r="C341" s="53"/>
      <c r="D341" s="53"/>
      <c r="E341" s="53"/>
      <c r="F341" s="53"/>
      <c r="G341" s="53"/>
      <c r="H341" s="1"/>
      <c r="I341" s="1"/>
      <c r="J341" s="1"/>
    </row>
    <row r="342" ht="14.25" customHeight="1">
      <c r="A342" s="52"/>
      <c r="B342" s="52"/>
      <c r="C342" s="53"/>
      <c r="D342" s="53"/>
      <c r="E342" s="53"/>
      <c r="F342" s="53"/>
      <c r="G342" s="53"/>
      <c r="H342" s="1"/>
      <c r="I342" s="1"/>
      <c r="J342" s="1"/>
    </row>
    <row r="343" ht="14.25" customHeight="1">
      <c r="A343" s="52"/>
      <c r="B343" s="52"/>
      <c r="C343" s="53"/>
      <c r="D343" s="53"/>
      <c r="E343" s="53"/>
      <c r="F343" s="53"/>
      <c r="G343" s="53"/>
      <c r="H343" s="1"/>
      <c r="I343" s="1"/>
      <c r="J343" s="1"/>
    </row>
    <row r="344" ht="14.25" customHeight="1">
      <c r="A344" s="52"/>
      <c r="B344" s="52"/>
      <c r="C344" s="53"/>
      <c r="D344" s="53"/>
      <c r="E344" s="53"/>
      <c r="F344" s="53"/>
      <c r="G344" s="53"/>
      <c r="H344" s="1"/>
      <c r="I344" s="1"/>
      <c r="J344" s="1"/>
    </row>
    <row r="345" ht="14.25" customHeight="1">
      <c r="A345" s="52"/>
      <c r="B345" s="52"/>
      <c r="C345" s="53"/>
      <c r="D345" s="53"/>
      <c r="E345" s="53"/>
      <c r="F345" s="53"/>
      <c r="G345" s="53"/>
      <c r="H345" s="1"/>
      <c r="I345" s="1"/>
      <c r="J345" s="1"/>
    </row>
    <row r="346" ht="14.25" customHeight="1">
      <c r="A346" s="52"/>
      <c r="B346" s="52"/>
      <c r="C346" s="53"/>
      <c r="D346" s="53"/>
      <c r="E346" s="53"/>
      <c r="F346" s="53"/>
      <c r="G346" s="53"/>
      <c r="H346" s="1"/>
      <c r="I346" s="1"/>
      <c r="J346" s="1"/>
    </row>
    <row r="347" ht="14.25" customHeight="1">
      <c r="A347" s="52"/>
      <c r="B347" s="52"/>
      <c r="C347" s="53"/>
      <c r="D347" s="53"/>
      <c r="E347" s="53"/>
      <c r="F347" s="53"/>
      <c r="G347" s="53"/>
      <c r="H347" s="1"/>
      <c r="I347" s="1"/>
      <c r="J347" s="1"/>
    </row>
    <row r="348" ht="14.25" customHeight="1">
      <c r="A348" s="52"/>
      <c r="B348" s="52"/>
      <c r="C348" s="53"/>
      <c r="D348" s="53"/>
      <c r="E348" s="53"/>
      <c r="F348" s="53"/>
      <c r="G348" s="53"/>
      <c r="H348" s="1"/>
      <c r="I348" s="1"/>
      <c r="J348" s="1"/>
    </row>
    <row r="349" ht="14.25" customHeight="1">
      <c r="A349" s="52"/>
      <c r="B349" s="52"/>
      <c r="C349" s="53"/>
      <c r="D349" s="53"/>
      <c r="E349" s="53"/>
      <c r="F349" s="53"/>
      <c r="G349" s="53"/>
      <c r="H349" s="1"/>
      <c r="I349" s="1"/>
      <c r="J349" s="1"/>
    </row>
    <row r="350" ht="14.25" customHeight="1">
      <c r="A350" s="52"/>
      <c r="B350" s="52"/>
      <c r="C350" s="53"/>
      <c r="D350" s="53"/>
      <c r="E350" s="53"/>
      <c r="F350" s="53"/>
      <c r="G350" s="53"/>
      <c r="H350" s="1"/>
      <c r="I350" s="1"/>
      <c r="J350" s="1"/>
    </row>
    <row r="351" ht="14.25" customHeight="1">
      <c r="A351" s="52"/>
      <c r="B351" s="52"/>
      <c r="C351" s="53"/>
      <c r="D351" s="53"/>
      <c r="E351" s="53"/>
      <c r="F351" s="53"/>
      <c r="G351" s="53"/>
      <c r="H351" s="1"/>
      <c r="I351" s="1"/>
      <c r="J351" s="1"/>
    </row>
    <row r="352" ht="14.25" customHeight="1">
      <c r="A352" s="52"/>
      <c r="B352" s="52"/>
      <c r="C352" s="53"/>
      <c r="D352" s="53"/>
      <c r="E352" s="53"/>
      <c r="F352" s="53"/>
      <c r="G352" s="53"/>
      <c r="H352" s="1"/>
      <c r="I352" s="1"/>
      <c r="J352" s="1"/>
    </row>
    <row r="353" ht="14.25" customHeight="1">
      <c r="A353" s="52"/>
      <c r="B353" s="52"/>
      <c r="C353" s="53"/>
      <c r="D353" s="53"/>
      <c r="E353" s="53"/>
      <c r="F353" s="53"/>
      <c r="G353" s="53"/>
      <c r="H353" s="1"/>
      <c r="I353" s="1"/>
      <c r="J353" s="1"/>
    </row>
    <row r="354" ht="14.25" customHeight="1">
      <c r="A354" s="52"/>
      <c r="B354" s="52"/>
      <c r="C354" s="53"/>
      <c r="D354" s="53"/>
      <c r="E354" s="53"/>
      <c r="F354" s="53"/>
      <c r="G354" s="53"/>
      <c r="H354" s="1"/>
      <c r="I354" s="1"/>
      <c r="J354" s="1"/>
    </row>
    <row r="355" ht="14.25" customHeight="1">
      <c r="A355" s="52"/>
      <c r="B355" s="52"/>
      <c r="C355" s="53"/>
      <c r="D355" s="53"/>
      <c r="E355" s="53"/>
      <c r="F355" s="53"/>
      <c r="G355" s="53"/>
      <c r="H355" s="1"/>
      <c r="I355" s="1"/>
      <c r="J355" s="1"/>
    </row>
    <row r="356" ht="14.25" customHeight="1">
      <c r="A356" s="52"/>
      <c r="B356" s="52"/>
      <c r="C356" s="53"/>
      <c r="D356" s="53"/>
      <c r="E356" s="53"/>
      <c r="F356" s="53"/>
      <c r="G356" s="53"/>
      <c r="H356" s="1"/>
      <c r="I356" s="1"/>
      <c r="J356" s="1"/>
    </row>
    <row r="357" ht="14.25" customHeight="1">
      <c r="A357" s="52"/>
      <c r="B357" s="52"/>
      <c r="C357" s="53"/>
      <c r="D357" s="53"/>
      <c r="E357" s="53"/>
      <c r="F357" s="53"/>
      <c r="G357" s="53"/>
      <c r="H357" s="1"/>
      <c r="I357" s="1"/>
      <c r="J357" s="1"/>
    </row>
    <row r="358" ht="14.25" customHeight="1">
      <c r="A358" s="52"/>
      <c r="B358" s="52"/>
      <c r="C358" s="53"/>
      <c r="D358" s="53"/>
      <c r="E358" s="53"/>
      <c r="F358" s="53"/>
      <c r="G358" s="53"/>
      <c r="H358" s="1"/>
      <c r="I358" s="1"/>
      <c r="J358" s="1"/>
    </row>
    <row r="359" ht="14.25" customHeight="1">
      <c r="A359" s="52"/>
      <c r="B359" s="52"/>
      <c r="C359" s="53"/>
      <c r="D359" s="53"/>
      <c r="E359" s="53"/>
      <c r="F359" s="53"/>
      <c r="G359" s="53"/>
      <c r="H359" s="1"/>
      <c r="I359" s="1"/>
      <c r="J359" s="1"/>
    </row>
    <row r="360" ht="14.25" customHeight="1">
      <c r="A360" s="52"/>
      <c r="B360" s="52"/>
      <c r="C360" s="53"/>
      <c r="D360" s="53"/>
      <c r="E360" s="53"/>
      <c r="F360" s="53"/>
      <c r="G360" s="53"/>
      <c r="H360" s="1"/>
      <c r="I360" s="1"/>
      <c r="J360" s="1"/>
    </row>
    <row r="361" ht="14.25" customHeight="1">
      <c r="A361" s="52"/>
      <c r="B361" s="52"/>
      <c r="C361" s="53"/>
      <c r="D361" s="53"/>
      <c r="E361" s="53"/>
      <c r="F361" s="53"/>
      <c r="G361" s="53"/>
      <c r="H361" s="1"/>
      <c r="I361" s="1"/>
      <c r="J361" s="1"/>
    </row>
    <row r="362" ht="14.25" customHeight="1">
      <c r="A362" s="52"/>
      <c r="B362" s="52"/>
      <c r="C362" s="53"/>
      <c r="D362" s="53"/>
      <c r="E362" s="53"/>
      <c r="F362" s="53"/>
      <c r="G362" s="53"/>
      <c r="H362" s="1"/>
      <c r="I362" s="1"/>
      <c r="J362" s="1"/>
    </row>
    <row r="363" ht="14.25" customHeight="1">
      <c r="A363" s="52"/>
      <c r="B363" s="52"/>
      <c r="C363" s="53"/>
      <c r="D363" s="53"/>
      <c r="E363" s="53"/>
      <c r="F363" s="53"/>
      <c r="G363" s="53"/>
      <c r="H363" s="1"/>
      <c r="I363" s="1"/>
      <c r="J363" s="1"/>
    </row>
    <row r="364" ht="14.25" customHeight="1">
      <c r="A364" s="52"/>
      <c r="B364" s="52"/>
      <c r="C364" s="53"/>
      <c r="D364" s="53"/>
      <c r="E364" s="53"/>
      <c r="F364" s="53"/>
      <c r="G364" s="53"/>
      <c r="H364" s="1"/>
      <c r="I364" s="1"/>
      <c r="J364" s="1"/>
    </row>
    <row r="365" ht="14.25" customHeight="1">
      <c r="A365" s="52"/>
      <c r="B365" s="52"/>
      <c r="C365" s="53"/>
      <c r="D365" s="53"/>
      <c r="E365" s="53"/>
      <c r="F365" s="53"/>
      <c r="G365" s="53"/>
      <c r="H365" s="1"/>
      <c r="I365" s="1"/>
      <c r="J365" s="1"/>
    </row>
    <row r="366" ht="14.25" customHeight="1">
      <c r="A366" s="52"/>
      <c r="B366" s="52"/>
      <c r="C366" s="53"/>
      <c r="D366" s="53"/>
      <c r="E366" s="53"/>
      <c r="F366" s="53"/>
      <c r="G366" s="53"/>
      <c r="H366" s="1"/>
      <c r="I366" s="1"/>
      <c r="J366" s="1"/>
    </row>
    <row r="367" ht="14.25" customHeight="1">
      <c r="A367" s="52"/>
      <c r="B367" s="52"/>
      <c r="C367" s="53"/>
      <c r="D367" s="53"/>
      <c r="E367" s="53"/>
      <c r="F367" s="53"/>
      <c r="G367" s="53"/>
      <c r="H367" s="1"/>
      <c r="I367" s="1"/>
      <c r="J367" s="1"/>
    </row>
    <row r="368" ht="14.25" customHeight="1">
      <c r="A368" s="52"/>
      <c r="B368" s="52"/>
      <c r="C368" s="53"/>
      <c r="D368" s="53"/>
      <c r="E368" s="53"/>
      <c r="F368" s="53"/>
      <c r="G368" s="53"/>
      <c r="H368" s="1"/>
      <c r="I368" s="1"/>
      <c r="J368" s="1"/>
    </row>
    <row r="369" ht="14.25" customHeight="1">
      <c r="A369" s="52"/>
      <c r="B369" s="52"/>
      <c r="C369" s="53"/>
      <c r="D369" s="53"/>
      <c r="E369" s="53"/>
      <c r="F369" s="53"/>
      <c r="G369" s="53"/>
      <c r="H369" s="1"/>
      <c r="I369" s="1"/>
      <c r="J369" s="1"/>
    </row>
    <row r="370" ht="14.25" customHeight="1">
      <c r="A370" s="52"/>
      <c r="B370" s="52"/>
      <c r="C370" s="53"/>
      <c r="D370" s="53"/>
      <c r="E370" s="53"/>
      <c r="F370" s="53"/>
      <c r="G370" s="53"/>
      <c r="H370" s="1"/>
      <c r="I370" s="1"/>
      <c r="J370" s="1"/>
    </row>
    <row r="371" ht="14.25" customHeight="1">
      <c r="A371" s="52"/>
      <c r="B371" s="52"/>
      <c r="C371" s="53"/>
      <c r="D371" s="53"/>
      <c r="E371" s="53"/>
      <c r="F371" s="53"/>
      <c r="G371" s="53"/>
      <c r="H371" s="1"/>
      <c r="I371" s="1"/>
      <c r="J371" s="1"/>
    </row>
    <row r="372" ht="14.25" customHeight="1">
      <c r="A372" s="52"/>
      <c r="B372" s="52"/>
      <c r="C372" s="53"/>
      <c r="D372" s="53"/>
      <c r="E372" s="53"/>
      <c r="F372" s="53"/>
      <c r="G372" s="53"/>
      <c r="H372" s="1"/>
      <c r="I372" s="1"/>
      <c r="J372" s="1"/>
    </row>
    <row r="373" ht="14.25" customHeight="1">
      <c r="A373" s="52"/>
      <c r="B373" s="52"/>
      <c r="C373" s="53"/>
      <c r="D373" s="53"/>
      <c r="E373" s="53"/>
      <c r="F373" s="53"/>
      <c r="G373" s="53"/>
      <c r="H373" s="1"/>
      <c r="I373" s="1"/>
      <c r="J373" s="1"/>
    </row>
    <row r="374" ht="14.25" customHeight="1">
      <c r="A374" s="52"/>
      <c r="B374" s="52"/>
      <c r="C374" s="53"/>
      <c r="D374" s="53"/>
      <c r="E374" s="53"/>
      <c r="F374" s="53"/>
      <c r="G374" s="53"/>
      <c r="H374" s="1"/>
      <c r="I374" s="1"/>
      <c r="J374" s="1"/>
    </row>
    <row r="375" ht="14.25" customHeight="1">
      <c r="A375" s="52"/>
      <c r="B375" s="52"/>
      <c r="C375" s="53"/>
      <c r="D375" s="53"/>
      <c r="E375" s="53"/>
      <c r="F375" s="53"/>
      <c r="G375" s="53"/>
      <c r="H375" s="1"/>
      <c r="I375" s="1"/>
      <c r="J375" s="1"/>
    </row>
    <row r="376" ht="14.25" customHeight="1">
      <c r="A376" s="52"/>
      <c r="B376" s="52"/>
      <c r="C376" s="53"/>
      <c r="D376" s="53"/>
      <c r="E376" s="53"/>
      <c r="F376" s="53"/>
      <c r="G376" s="53"/>
      <c r="H376" s="1"/>
      <c r="I376" s="1"/>
      <c r="J376" s="1"/>
    </row>
    <row r="377" ht="14.25" customHeight="1">
      <c r="A377" s="52"/>
      <c r="B377" s="52"/>
      <c r="C377" s="53"/>
      <c r="D377" s="53"/>
      <c r="E377" s="53"/>
      <c r="F377" s="53"/>
      <c r="G377" s="53"/>
      <c r="H377" s="1"/>
      <c r="I377" s="1"/>
      <c r="J377" s="1"/>
    </row>
    <row r="378" ht="14.25" customHeight="1">
      <c r="A378" s="52"/>
      <c r="B378" s="52"/>
      <c r="C378" s="53"/>
      <c r="D378" s="53"/>
      <c r="E378" s="53"/>
      <c r="F378" s="53"/>
      <c r="G378" s="53"/>
      <c r="H378" s="1"/>
      <c r="I378" s="1"/>
      <c r="J378" s="1"/>
    </row>
    <row r="379" ht="14.25" customHeight="1">
      <c r="A379" s="52"/>
      <c r="B379" s="52"/>
      <c r="C379" s="53"/>
      <c r="D379" s="53"/>
      <c r="E379" s="53"/>
      <c r="F379" s="53"/>
      <c r="G379" s="53"/>
      <c r="H379" s="1"/>
      <c r="I379" s="1"/>
      <c r="J379" s="1"/>
    </row>
    <row r="380" ht="14.25" customHeight="1">
      <c r="A380" s="52"/>
      <c r="B380" s="52"/>
      <c r="C380" s="53"/>
      <c r="D380" s="53"/>
      <c r="E380" s="53"/>
      <c r="F380" s="53"/>
      <c r="G380" s="53"/>
      <c r="H380" s="1"/>
      <c r="I380" s="1"/>
      <c r="J380" s="1"/>
    </row>
    <row r="381" ht="14.25" customHeight="1">
      <c r="A381" s="52"/>
      <c r="B381" s="52"/>
      <c r="C381" s="53"/>
      <c r="D381" s="53"/>
      <c r="E381" s="53"/>
      <c r="F381" s="53"/>
      <c r="G381" s="53"/>
      <c r="H381" s="1"/>
      <c r="I381" s="1"/>
      <c r="J381" s="1"/>
    </row>
    <row r="382" ht="14.25" customHeight="1">
      <c r="A382" s="52"/>
      <c r="B382" s="52"/>
      <c r="C382" s="53"/>
      <c r="D382" s="53"/>
      <c r="E382" s="53"/>
      <c r="F382" s="53"/>
      <c r="G382" s="53"/>
      <c r="H382" s="1"/>
      <c r="I382" s="1"/>
      <c r="J382" s="1"/>
    </row>
    <row r="383" ht="14.25" customHeight="1">
      <c r="A383" s="52"/>
      <c r="B383" s="52"/>
      <c r="C383" s="53"/>
      <c r="D383" s="53"/>
      <c r="E383" s="53"/>
      <c r="F383" s="53"/>
      <c r="G383" s="53"/>
      <c r="H383" s="1"/>
      <c r="I383" s="1"/>
      <c r="J383" s="1"/>
    </row>
    <row r="384" ht="14.25" customHeight="1">
      <c r="A384" s="52"/>
      <c r="B384" s="52"/>
      <c r="C384" s="53"/>
      <c r="D384" s="53"/>
      <c r="E384" s="53"/>
      <c r="F384" s="53"/>
      <c r="G384" s="53"/>
      <c r="H384" s="1"/>
      <c r="I384" s="1"/>
      <c r="J384" s="1"/>
    </row>
    <row r="385" ht="14.25" customHeight="1">
      <c r="A385" s="52"/>
      <c r="B385" s="52"/>
      <c r="C385" s="53"/>
      <c r="D385" s="53"/>
      <c r="E385" s="53"/>
      <c r="F385" s="53"/>
      <c r="G385" s="53"/>
      <c r="H385" s="1"/>
      <c r="I385" s="1"/>
      <c r="J385" s="1"/>
    </row>
    <row r="386" ht="14.25" customHeight="1">
      <c r="A386" s="52"/>
      <c r="B386" s="52"/>
      <c r="C386" s="53"/>
      <c r="D386" s="53"/>
      <c r="E386" s="53"/>
      <c r="F386" s="53"/>
      <c r="G386" s="53"/>
      <c r="H386" s="1"/>
      <c r="I386" s="1"/>
      <c r="J386" s="1"/>
    </row>
    <row r="387" ht="14.25" customHeight="1">
      <c r="A387" s="52"/>
      <c r="B387" s="52"/>
      <c r="C387" s="53"/>
      <c r="D387" s="53"/>
      <c r="E387" s="53"/>
      <c r="F387" s="53"/>
      <c r="G387" s="53"/>
      <c r="H387" s="1"/>
      <c r="I387" s="1"/>
      <c r="J387" s="1"/>
    </row>
    <row r="388" ht="14.25" customHeight="1">
      <c r="A388" s="52"/>
      <c r="B388" s="52"/>
      <c r="C388" s="53"/>
      <c r="D388" s="53"/>
      <c r="E388" s="53"/>
      <c r="F388" s="53"/>
      <c r="G388" s="53"/>
      <c r="H388" s="1"/>
      <c r="I388" s="1"/>
      <c r="J388" s="1"/>
    </row>
    <row r="389" ht="14.25" customHeight="1">
      <c r="A389" s="52"/>
      <c r="B389" s="52"/>
      <c r="C389" s="53"/>
      <c r="D389" s="53"/>
      <c r="E389" s="53"/>
      <c r="F389" s="53"/>
      <c r="G389" s="53"/>
      <c r="H389" s="1"/>
      <c r="I389" s="1"/>
      <c r="J389" s="1"/>
    </row>
    <row r="390" ht="14.25" customHeight="1">
      <c r="A390" s="52"/>
      <c r="B390" s="52"/>
      <c r="C390" s="53"/>
      <c r="D390" s="53"/>
      <c r="E390" s="53"/>
      <c r="F390" s="53"/>
      <c r="G390" s="53"/>
      <c r="H390" s="1"/>
      <c r="I390" s="1"/>
      <c r="J390" s="1"/>
    </row>
    <row r="391" ht="14.25" customHeight="1">
      <c r="A391" s="52"/>
      <c r="B391" s="52"/>
      <c r="C391" s="53"/>
      <c r="D391" s="53"/>
      <c r="E391" s="53"/>
      <c r="F391" s="53"/>
      <c r="G391" s="53"/>
      <c r="H391" s="1"/>
      <c r="I391" s="1"/>
      <c r="J391" s="1"/>
    </row>
    <row r="392" ht="14.25" customHeight="1">
      <c r="A392" s="52"/>
      <c r="B392" s="52"/>
      <c r="C392" s="53"/>
      <c r="D392" s="53"/>
      <c r="E392" s="53"/>
      <c r="F392" s="53"/>
      <c r="G392" s="53"/>
      <c r="H392" s="1"/>
      <c r="I392" s="1"/>
      <c r="J392" s="1"/>
    </row>
    <row r="393" ht="14.25" customHeight="1">
      <c r="A393" s="52"/>
      <c r="B393" s="52"/>
      <c r="C393" s="53"/>
      <c r="D393" s="53"/>
      <c r="E393" s="53"/>
      <c r="F393" s="53"/>
      <c r="G393" s="53"/>
      <c r="H393" s="1"/>
      <c r="I393" s="1"/>
      <c r="J393" s="1"/>
    </row>
    <row r="394" ht="14.25" customHeight="1">
      <c r="A394" s="52"/>
      <c r="B394" s="52"/>
      <c r="C394" s="53"/>
      <c r="D394" s="53"/>
      <c r="E394" s="53"/>
      <c r="F394" s="53"/>
      <c r="G394" s="53"/>
      <c r="H394" s="1"/>
      <c r="I394" s="1"/>
      <c r="J394" s="1"/>
    </row>
    <row r="395" ht="14.25" customHeight="1">
      <c r="A395" s="52"/>
      <c r="B395" s="52"/>
      <c r="C395" s="53"/>
      <c r="D395" s="53"/>
      <c r="E395" s="53"/>
      <c r="F395" s="53"/>
      <c r="G395" s="53"/>
      <c r="H395" s="1"/>
      <c r="I395" s="1"/>
      <c r="J395" s="1"/>
    </row>
    <row r="396" ht="14.25" customHeight="1">
      <c r="A396" s="52"/>
      <c r="B396" s="52"/>
      <c r="C396" s="53"/>
      <c r="D396" s="53"/>
      <c r="E396" s="53"/>
      <c r="F396" s="53"/>
      <c r="G396" s="53"/>
      <c r="H396" s="1"/>
      <c r="I396" s="1"/>
      <c r="J396" s="1"/>
    </row>
    <row r="397" ht="14.25" customHeight="1">
      <c r="A397" s="52"/>
      <c r="B397" s="52"/>
      <c r="C397" s="53"/>
      <c r="D397" s="53"/>
      <c r="E397" s="53"/>
      <c r="F397" s="53"/>
      <c r="G397" s="53"/>
      <c r="H397" s="1"/>
      <c r="I397" s="1"/>
      <c r="J397" s="1"/>
    </row>
    <row r="398" ht="14.25" customHeight="1">
      <c r="A398" s="52"/>
      <c r="B398" s="52"/>
      <c r="C398" s="53"/>
      <c r="D398" s="53"/>
      <c r="E398" s="53"/>
      <c r="F398" s="53"/>
      <c r="G398" s="53"/>
      <c r="H398" s="1"/>
      <c r="I398" s="1"/>
      <c r="J398" s="1"/>
    </row>
    <row r="399" ht="14.25" customHeight="1">
      <c r="A399" s="52"/>
      <c r="B399" s="52"/>
      <c r="C399" s="53"/>
      <c r="D399" s="53"/>
      <c r="E399" s="53"/>
      <c r="F399" s="53"/>
      <c r="G399" s="53"/>
      <c r="H399" s="1"/>
      <c r="I399" s="1"/>
      <c r="J399" s="1"/>
    </row>
    <row r="400" ht="14.25" customHeight="1">
      <c r="A400" s="52"/>
      <c r="B400" s="52"/>
      <c r="C400" s="53"/>
      <c r="D400" s="53"/>
      <c r="E400" s="53"/>
      <c r="F400" s="53"/>
      <c r="G400" s="53"/>
      <c r="H400" s="1"/>
      <c r="I400" s="1"/>
      <c r="J400" s="1"/>
    </row>
    <row r="401" ht="14.25" customHeight="1">
      <c r="A401" s="52"/>
      <c r="B401" s="52"/>
      <c r="C401" s="53"/>
      <c r="D401" s="53"/>
      <c r="E401" s="53"/>
      <c r="F401" s="53"/>
      <c r="G401" s="53"/>
      <c r="H401" s="1"/>
      <c r="I401" s="1"/>
      <c r="J401" s="1"/>
    </row>
    <row r="402" ht="14.25" customHeight="1">
      <c r="A402" s="52"/>
      <c r="B402" s="52"/>
      <c r="C402" s="53"/>
      <c r="D402" s="53"/>
      <c r="E402" s="53"/>
      <c r="F402" s="53"/>
      <c r="G402" s="53"/>
      <c r="H402" s="1"/>
      <c r="I402" s="1"/>
      <c r="J402" s="1"/>
    </row>
    <row r="403" ht="14.25" customHeight="1">
      <c r="A403" s="52"/>
      <c r="B403" s="52"/>
      <c r="C403" s="53"/>
      <c r="D403" s="53"/>
      <c r="E403" s="53"/>
      <c r="F403" s="53"/>
      <c r="G403" s="53"/>
      <c r="H403" s="1"/>
      <c r="I403" s="1"/>
      <c r="J403" s="1"/>
    </row>
    <row r="404" ht="14.25" customHeight="1">
      <c r="A404" s="52"/>
      <c r="B404" s="52"/>
      <c r="C404" s="53"/>
      <c r="D404" s="53"/>
      <c r="E404" s="53"/>
      <c r="F404" s="53"/>
      <c r="G404" s="53"/>
      <c r="H404" s="1"/>
      <c r="I404" s="1"/>
      <c r="J404" s="1"/>
    </row>
    <row r="405" ht="14.25" customHeight="1">
      <c r="A405" s="52"/>
      <c r="B405" s="52"/>
      <c r="C405" s="53"/>
      <c r="D405" s="53"/>
      <c r="E405" s="53"/>
      <c r="F405" s="53"/>
      <c r="G405" s="53"/>
      <c r="H405" s="1"/>
      <c r="I405" s="1"/>
      <c r="J405" s="1"/>
    </row>
    <row r="406" ht="14.25" customHeight="1">
      <c r="A406" s="52"/>
      <c r="B406" s="52"/>
      <c r="C406" s="53"/>
      <c r="D406" s="53"/>
      <c r="E406" s="53"/>
      <c r="F406" s="53"/>
      <c r="G406" s="53"/>
      <c r="H406" s="1"/>
      <c r="I406" s="1"/>
      <c r="J406" s="1"/>
    </row>
    <row r="407" ht="14.25" customHeight="1">
      <c r="A407" s="52"/>
      <c r="B407" s="52"/>
      <c r="C407" s="53"/>
      <c r="D407" s="53"/>
      <c r="E407" s="53"/>
      <c r="F407" s="53"/>
      <c r="G407" s="53"/>
      <c r="H407" s="1"/>
      <c r="I407" s="1"/>
      <c r="J407" s="1"/>
    </row>
    <row r="408" ht="14.25" customHeight="1">
      <c r="A408" s="52"/>
      <c r="B408" s="52"/>
      <c r="C408" s="53"/>
      <c r="D408" s="53"/>
      <c r="E408" s="53"/>
      <c r="F408" s="53"/>
      <c r="G408" s="53"/>
      <c r="H408" s="1"/>
      <c r="I408" s="1"/>
      <c r="J408" s="1"/>
    </row>
    <row r="409" ht="14.25" customHeight="1">
      <c r="A409" s="52"/>
      <c r="B409" s="52"/>
      <c r="C409" s="53"/>
      <c r="D409" s="53"/>
      <c r="E409" s="53"/>
      <c r="F409" s="53"/>
      <c r="G409" s="53"/>
      <c r="H409" s="1"/>
      <c r="I409" s="1"/>
      <c r="J409" s="1"/>
    </row>
    <row r="410" ht="14.25" customHeight="1">
      <c r="A410" s="52"/>
      <c r="B410" s="52"/>
      <c r="C410" s="53"/>
      <c r="D410" s="53"/>
      <c r="E410" s="53"/>
      <c r="F410" s="53"/>
      <c r="G410" s="53"/>
      <c r="H410" s="1"/>
      <c r="I410" s="1"/>
      <c r="J410" s="1"/>
    </row>
    <row r="411" ht="14.25" customHeight="1">
      <c r="A411" s="52"/>
      <c r="B411" s="52"/>
      <c r="C411" s="53"/>
      <c r="D411" s="53"/>
      <c r="E411" s="53"/>
      <c r="F411" s="53"/>
      <c r="G411" s="53"/>
      <c r="H411" s="1"/>
      <c r="I411" s="1"/>
      <c r="J411" s="1"/>
    </row>
    <row r="412" ht="14.25" customHeight="1">
      <c r="A412" s="52"/>
      <c r="B412" s="52"/>
      <c r="C412" s="53"/>
      <c r="D412" s="53"/>
      <c r="E412" s="53"/>
      <c r="F412" s="53"/>
      <c r="G412" s="53"/>
      <c r="H412" s="1"/>
      <c r="I412" s="1"/>
      <c r="J412" s="1"/>
    </row>
    <row r="413" ht="14.25" customHeight="1">
      <c r="A413" s="52"/>
      <c r="B413" s="52"/>
      <c r="C413" s="53"/>
      <c r="D413" s="53"/>
      <c r="E413" s="53"/>
      <c r="F413" s="53"/>
      <c r="G413" s="53"/>
      <c r="H413" s="1"/>
      <c r="I413" s="1"/>
      <c r="J413" s="1"/>
    </row>
    <row r="414" ht="14.25" customHeight="1">
      <c r="A414" s="52"/>
      <c r="B414" s="52"/>
      <c r="C414" s="53"/>
      <c r="D414" s="53"/>
      <c r="E414" s="53"/>
      <c r="F414" s="53"/>
      <c r="G414" s="53"/>
      <c r="H414" s="1"/>
      <c r="I414" s="1"/>
      <c r="J414" s="1"/>
    </row>
    <row r="415" ht="14.25" customHeight="1">
      <c r="A415" s="52"/>
      <c r="B415" s="52"/>
      <c r="C415" s="53"/>
      <c r="D415" s="53"/>
      <c r="E415" s="53"/>
      <c r="F415" s="53"/>
      <c r="G415" s="53"/>
      <c r="H415" s="1"/>
      <c r="I415" s="1"/>
      <c r="J415" s="1"/>
    </row>
    <row r="416" ht="14.25" customHeight="1">
      <c r="A416" s="52"/>
      <c r="B416" s="52"/>
      <c r="C416" s="53"/>
      <c r="D416" s="53"/>
      <c r="E416" s="53"/>
      <c r="F416" s="53"/>
      <c r="G416" s="53"/>
      <c r="H416" s="1"/>
      <c r="I416" s="1"/>
      <c r="J416" s="1"/>
    </row>
    <row r="417" ht="14.25" customHeight="1">
      <c r="A417" s="52"/>
      <c r="B417" s="52"/>
      <c r="C417" s="53"/>
      <c r="D417" s="53"/>
      <c r="E417" s="53"/>
      <c r="F417" s="53"/>
      <c r="G417" s="53"/>
      <c r="H417" s="1"/>
      <c r="I417" s="1"/>
      <c r="J417" s="1"/>
    </row>
    <row r="418" ht="14.25" customHeight="1">
      <c r="A418" s="52"/>
      <c r="B418" s="52"/>
      <c r="C418" s="53"/>
      <c r="D418" s="53"/>
      <c r="E418" s="53"/>
      <c r="F418" s="53"/>
      <c r="G418" s="53"/>
      <c r="H418" s="1"/>
      <c r="I418" s="1"/>
      <c r="J418" s="1"/>
    </row>
    <row r="419" ht="14.25" customHeight="1">
      <c r="A419" s="52"/>
      <c r="B419" s="52"/>
      <c r="C419" s="53"/>
      <c r="D419" s="53"/>
      <c r="E419" s="53"/>
      <c r="F419" s="53"/>
      <c r="G419" s="53"/>
      <c r="H419" s="1"/>
      <c r="I419" s="1"/>
      <c r="J419" s="1"/>
    </row>
    <row r="420" ht="14.25" customHeight="1">
      <c r="A420" s="52"/>
      <c r="B420" s="52"/>
      <c r="C420" s="53"/>
      <c r="D420" s="53"/>
      <c r="E420" s="53"/>
      <c r="F420" s="53"/>
      <c r="G420" s="53"/>
      <c r="H420" s="1"/>
      <c r="I420" s="1"/>
      <c r="J420" s="1"/>
    </row>
    <row r="421" ht="14.25" customHeight="1">
      <c r="A421" s="52"/>
      <c r="B421" s="52"/>
      <c r="C421" s="53"/>
      <c r="D421" s="53"/>
      <c r="E421" s="53"/>
      <c r="F421" s="53"/>
      <c r="G421" s="53"/>
      <c r="H421" s="1"/>
      <c r="I421" s="1"/>
      <c r="J421" s="1"/>
    </row>
    <row r="422" ht="14.25" customHeight="1">
      <c r="A422" s="52"/>
      <c r="B422" s="52"/>
      <c r="C422" s="53"/>
      <c r="D422" s="53"/>
      <c r="E422" s="53"/>
      <c r="F422" s="53"/>
      <c r="G422" s="53"/>
      <c r="H422" s="1"/>
      <c r="I422" s="1"/>
      <c r="J422" s="1"/>
    </row>
    <row r="423" ht="14.25" customHeight="1">
      <c r="A423" s="52"/>
      <c r="B423" s="52"/>
      <c r="C423" s="53"/>
      <c r="D423" s="53"/>
      <c r="E423" s="53"/>
      <c r="F423" s="53"/>
      <c r="G423" s="53"/>
      <c r="H423" s="1"/>
      <c r="I423" s="1"/>
      <c r="J423" s="1"/>
    </row>
    <row r="424" ht="14.25" customHeight="1">
      <c r="A424" s="52"/>
      <c r="B424" s="52"/>
      <c r="C424" s="53"/>
      <c r="D424" s="53"/>
      <c r="E424" s="53"/>
      <c r="F424" s="53"/>
      <c r="G424" s="53"/>
      <c r="H424" s="1"/>
      <c r="I424" s="1"/>
      <c r="J424" s="1"/>
    </row>
    <row r="425" ht="14.25" customHeight="1">
      <c r="A425" s="52"/>
      <c r="B425" s="52"/>
      <c r="C425" s="53"/>
      <c r="D425" s="53"/>
      <c r="E425" s="53"/>
      <c r="F425" s="53"/>
      <c r="G425" s="53"/>
      <c r="H425" s="1"/>
      <c r="I425" s="1"/>
      <c r="J425" s="1"/>
    </row>
    <row r="426" ht="14.25" customHeight="1">
      <c r="A426" s="52"/>
      <c r="B426" s="52"/>
      <c r="C426" s="53"/>
      <c r="D426" s="53"/>
      <c r="E426" s="53"/>
      <c r="F426" s="53"/>
      <c r="G426" s="53"/>
      <c r="H426" s="1"/>
      <c r="I426" s="1"/>
      <c r="J426" s="1"/>
    </row>
    <row r="427" ht="14.25" customHeight="1">
      <c r="A427" s="52"/>
      <c r="B427" s="52"/>
      <c r="C427" s="53"/>
      <c r="D427" s="53"/>
      <c r="E427" s="53"/>
      <c r="F427" s="53"/>
      <c r="G427" s="53"/>
      <c r="H427" s="1"/>
      <c r="I427" s="1"/>
      <c r="J427" s="1"/>
    </row>
    <row r="428" ht="14.25" customHeight="1">
      <c r="A428" s="52"/>
      <c r="B428" s="52"/>
      <c r="C428" s="53"/>
      <c r="D428" s="53"/>
      <c r="E428" s="53"/>
      <c r="F428" s="53"/>
      <c r="G428" s="53"/>
      <c r="H428" s="1"/>
      <c r="I428" s="1"/>
      <c r="J428" s="1"/>
    </row>
    <row r="429" ht="14.25" customHeight="1">
      <c r="A429" s="52"/>
      <c r="B429" s="52"/>
      <c r="C429" s="53"/>
      <c r="D429" s="53"/>
      <c r="E429" s="53"/>
      <c r="F429" s="53"/>
      <c r="G429" s="53"/>
      <c r="H429" s="1"/>
      <c r="I429" s="1"/>
      <c r="J429" s="1"/>
    </row>
    <row r="430" ht="14.25" customHeight="1">
      <c r="A430" s="52"/>
      <c r="B430" s="52"/>
      <c r="C430" s="53"/>
      <c r="D430" s="53"/>
      <c r="E430" s="53"/>
      <c r="F430" s="53"/>
      <c r="G430" s="53"/>
      <c r="H430" s="1"/>
      <c r="I430" s="1"/>
      <c r="J430" s="1"/>
    </row>
    <row r="431" ht="14.25" customHeight="1">
      <c r="A431" s="52"/>
      <c r="B431" s="52"/>
      <c r="C431" s="53"/>
      <c r="D431" s="53"/>
      <c r="E431" s="53"/>
      <c r="F431" s="53"/>
      <c r="G431" s="53"/>
      <c r="H431" s="1"/>
      <c r="I431" s="1"/>
      <c r="J431" s="1"/>
    </row>
    <row r="432" ht="14.25" customHeight="1">
      <c r="A432" s="52"/>
      <c r="B432" s="52"/>
      <c r="C432" s="53"/>
      <c r="D432" s="53"/>
      <c r="E432" s="53"/>
      <c r="F432" s="53"/>
      <c r="G432" s="53"/>
      <c r="H432" s="1"/>
      <c r="I432" s="1"/>
      <c r="J432" s="1"/>
    </row>
    <row r="433" ht="14.25" customHeight="1">
      <c r="A433" s="52"/>
      <c r="B433" s="52"/>
      <c r="C433" s="53"/>
      <c r="D433" s="53"/>
      <c r="E433" s="53"/>
      <c r="F433" s="53"/>
      <c r="G433" s="53"/>
      <c r="H433" s="1"/>
      <c r="I433" s="1"/>
      <c r="J433" s="1"/>
    </row>
    <row r="434" ht="14.25" customHeight="1">
      <c r="A434" s="52"/>
      <c r="B434" s="52"/>
      <c r="C434" s="53"/>
      <c r="D434" s="53"/>
      <c r="E434" s="53"/>
      <c r="F434" s="53"/>
      <c r="G434" s="53"/>
      <c r="H434" s="1"/>
      <c r="I434" s="1"/>
      <c r="J434" s="1"/>
    </row>
    <row r="435" ht="14.25" customHeight="1">
      <c r="A435" s="52"/>
      <c r="B435" s="52"/>
      <c r="C435" s="53"/>
      <c r="D435" s="53"/>
      <c r="E435" s="53"/>
      <c r="F435" s="53"/>
      <c r="G435" s="53"/>
      <c r="H435" s="1"/>
      <c r="I435" s="1"/>
      <c r="J435" s="1"/>
    </row>
    <row r="436" ht="14.25" customHeight="1">
      <c r="A436" s="52"/>
      <c r="B436" s="52"/>
      <c r="C436" s="53"/>
      <c r="D436" s="53"/>
      <c r="E436" s="53"/>
      <c r="F436" s="53"/>
      <c r="G436" s="53"/>
      <c r="H436" s="1"/>
      <c r="I436" s="1"/>
      <c r="J436" s="1"/>
    </row>
    <row r="437" ht="14.25" customHeight="1">
      <c r="A437" s="52"/>
      <c r="B437" s="52"/>
      <c r="C437" s="53"/>
      <c r="D437" s="53"/>
      <c r="E437" s="53"/>
      <c r="F437" s="53"/>
      <c r="G437" s="53"/>
      <c r="H437" s="1"/>
      <c r="I437" s="1"/>
      <c r="J437" s="1"/>
    </row>
    <row r="438" ht="14.25" customHeight="1">
      <c r="A438" s="52"/>
      <c r="B438" s="52"/>
      <c r="C438" s="53"/>
      <c r="D438" s="53"/>
      <c r="E438" s="53"/>
      <c r="F438" s="53"/>
      <c r="G438" s="53"/>
      <c r="H438" s="1"/>
      <c r="I438" s="1"/>
      <c r="J438" s="1"/>
    </row>
    <row r="439" ht="14.25" customHeight="1">
      <c r="A439" s="52"/>
      <c r="B439" s="52"/>
      <c r="C439" s="53"/>
      <c r="D439" s="53"/>
      <c r="E439" s="53"/>
      <c r="F439" s="53"/>
      <c r="G439" s="53"/>
      <c r="H439" s="1"/>
      <c r="I439" s="1"/>
      <c r="J439" s="1"/>
    </row>
    <row r="440" ht="14.25" customHeight="1">
      <c r="A440" s="52"/>
      <c r="B440" s="52"/>
      <c r="C440" s="53"/>
      <c r="D440" s="53"/>
      <c r="E440" s="53"/>
      <c r="F440" s="53"/>
      <c r="G440" s="53"/>
      <c r="H440" s="1"/>
      <c r="I440" s="1"/>
      <c r="J440" s="1"/>
    </row>
    <row r="441" ht="14.25" customHeight="1">
      <c r="A441" s="52"/>
      <c r="B441" s="52"/>
      <c r="C441" s="53"/>
      <c r="D441" s="53"/>
      <c r="E441" s="53"/>
      <c r="F441" s="53"/>
      <c r="G441" s="53"/>
      <c r="H441" s="1"/>
      <c r="I441" s="1"/>
      <c r="J441" s="1"/>
    </row>
    <row r="442" ht="14.25" customHeight="1">
      <c r="A442" s="52"/>
      <c r="B442" s="52"/>
      <c r="C442" s="53"/>
      <c r="D442" s="53"/>
      <c r="E442" s="53"/>
      <c r="F442" s="53"/>
      <c r="G442" s="53"/>
      <c r="H442" s="1"/>
      <c r="I442" s="1"/>
      <c r="J442" s="1"/>
    </row>
    <row r="443" ht="14.25" customHeight="1">
      <c r="A443" s="52"/>
      <c r="B443" s="52"/>
      <c r="C443" s="53"/>
      <c r="D443" s="53"/>
      <c r="E443" s="53"/>
      <c r="F443" s="53"/>
      <c r="G443" s="53"/>
      <c r="H443" s="1"/>
      <c r="I443" s="1"/>
      <c r="J443" s="1"/>
    </row>
    <row r="444" ht="14.25" customHeight="1">
      <c r="A444" s="52"/>
      <c r="B444" s="52"/>
      <c r="C444" s="53"/>
      <c r="D444" s="53"/>
      <c r="E444" s="53"/>
      <c r="F444" s="53"/>
      <c r="G444" s="53"/>
      <c r="H444" s="1"/>
      <c r="I444" s="1"/>
      <c r="J444" s="1"/>
    </row>
    <row r="445" ht="14.25" customHeight="1">
      <c r="A445" s="52"/>
      <c r="B445" s="52"/>
      <c r="C445" s="53"/>
      <c r="D445" s="53"/>
      <c r="E445" s="53"/>
      <c r="F445" s="53"/>
      <c r="G445" s="53"/>
      <c r="H445" s="1"/>
      <c r="I445" s="1"/>
      <c r="J445" s="1"/>
    </row>
    <row r="446" ht="14.25" customHeight="1">
      <c r="A446" s="52"/>
      <c r="B446" s="52"/>
      <c r="C446" s="53"/>
      <c r="D446" s="53"/>
      <c r="E446" s="53"/>
      <c r="F446" s="53"/>
      <c r="G446" s="53"/>
      <c r="H446" s="1"/>
      <c r="I446" s="1"/>
      <c r="J446" s="1"/>
    </row>
    <row r="447" ht="14.25" customHeight="1">
      <c r="A447" s="52"/>
      <c r="B447" s="52"/>
      <c r="C447" s="53"/>
      <c r="D447" s="53"/>
      <c r="E447" s="53"/>
      <c r="F447" s="53"/>
      <c r="G447" s="53"/>
      <c r="H447" s="1"/>
      <c r="I447" s="1"/>
      <c r="J447" s="1"/>
    </row>
    <row r="448" ht="14.25" customHeight="1">
      <c r="A448" s="52"/>
      <c r="B448" s="52"/>
      <c r="C448" s="53"/>
      <c r="D448" s="53"/>
      <c r="E448" s="53"/>
      <c r="F448" s="53"/>
      <c r="G448" s="53"/>
      <c r="H448" s="1"/>
      <c r="I448" s="1"/>
      <c r="J448" s="1"/>
    </row>
    <row r="449" ht="14.25" customHeight="1">
      <c r="A449" s="52"/>
      <c r="B449" s="52"/>
      <c r="C449" s="53"/>
      <c r="D449" s="53"/>
      <c r="E449" s="53"/>
      <c r="F449" s="53"/>
      <c r="G449" s="53"/>
      <c r="H449" s="1"/>
      <c r="I449" s="1"/>
      <c r="J449" s="1"/>
    </row>
    <row r="450" ht="14.25" customHeight="1">
      <c r="A450" s="52"/>
      <c r="B450" s="52"/>
      <c r="C450" s="53"/>
      <c r="D450" s="53"/>
      <c r="E450" s="53"/>
      <c r="F450" s="53"/>
      <c r="G450" s="53"/>
      <c r="H450" s="1"/>
      <c r="I450" s="1"/>
      <c r="J450" s="1"/>
    </row>
    <row r="451" ht="14.25" customHeight="1">
      <c r="A451" s="52"/>
      <c r="B451" s="52"/>
      <c r="C451" s="53"/>
      <c r="D451" s="53"/>
      <c r="E451" s="53"/>
      <c r="F451" s="53"/>
      <c r="G451" s="53"/>
      <c r="H451" s="1"/>
      <c r="I451" s="1"/>
      <c r="J451" s="1"/>
    </row>
    <row r="452" ht="14.25" customHeight="1">
      <c r="A452" s="52"/>
      <c r="B452" s="52"/>
      <c r="C452" s="53"/>
      <c r="D452" s="53"/>
      <c r="E452" s="53"/>
      <c r="F452" s="53"/>
      <c r="G452" s="53"/>
      <c r="H452" s="1"/>
      <c r="I452" s="1"/>
      <c r="J452" s="1"/>
    </row>
    <row r="453" ht="14.25" customHeight="1">
      <c r="A453" s="52"/>
      <c r="B453" s="52"/>
      <c r="C453" s="53"/>
      <c r="D453" s="53"/>
      <c r="E453" s="53"/>
      <c r="F453" s="53"/>
      <c r="G453" s="53"/>
      <c r="H453" s="1"/>
      <c r="I453" s="1"/>
      <c r="J453" s="1"/>
    </row>
    <row r="454" ht="14.25" customHeight="1">
      <c r="A454" s="52"/>
      <c r="B454" s="52"/>
      <c r="C454" s="53"/>
      <c r="D454" s="53"/>
      <c r="E454" s="53"/>
      <c r="F454" s="53"/>
      <c r="G454" s="53"/>
      <c r="H454" s="1"/>
      <c r="I454" s="1"/>
      <c r="J454" s="1"/>
    </row>
    <row r="455" ht="14.25" customHeight="1">
      <c r="A455" s="52"/>
      <c r="B455" s="52"/>
      <c r="C455" s="53"/>
      <c r="D455" s="53"/>
      <c r="E455" s="53"/>
      <c r="F455" s="53"/>
      <c r="G455" s="53"/>
      <c r="H455" s="1"/>
      <c r="I455" s="1"/>
      <c r="J455" s="1"/>
    </row>
    <row r="456" ht="14.25" customHeight="1">
      <c r="A456" s="52"/>
      <c r="B456" s="52"/>
      <c r="C456" s="53"/>
      <c r="D456" s="53"/>
      <c r="E456" s="53"/>
      <c r="F456" s="53"/>
      <c r="G456" s="53"/>
      <c r="H456" s="1"/>
      <c r="I456" s="1"/>
      <c r="J456" s="1"/>
    </row>
    <row r="457" ht="14.25" customHeight="1">
      <c r="A457" s="52"/>
      <c r="B457" s="52"/>
      <c r="C457" s="53"/>
      <c r="D457" s="53"/>
      <c r="E457" s="53"/>
      <c r="F457" s="53"/>
      <c r="G457" s="53"/>
      <c r="H457" s="1"/>
      <c r="I457" s="1"/>
      <c r="J457" s="1"/>
    </row>
    <row r="458" ht="14.25" customHeight="1">
      <c r="A458" s="52"/>
      <c r="B458" s="52"/>
      <c r="C458" s="53"/>
      <c r="D458" s="53"/>
      <c r="E458" s="53"/>
      <c r="F458" s="53"/>
      <c r="G458" s="53"/>
      <c r="H458" s="1"/>
      <c r="I458" s="1"/>
      <c r="J458" s="1"/>
    </row>
    <row r="459" ht="14.25" customHeight="1">
      <c r="A459" s="52"/>
      <c r="B459" s="52"/>
      <c r="C459" s="53"/>
      <c r="D459" s="53"/>
      <c r="E459" s="53"/>
      <c r="F459" s="53"/>
      <c r="G459" s="53"/>
      <c r="H459" s="1"/>
      <c r="I459" s="1"/>
      <c r="J459" s="1"/>
    </row>
    <row r="460" ht="14.25" customHeight="1">
      <c r="A460" s="52"/>
      <c r="B460" s="52"/>
      <c r="C460" s="53"/>
      <c r="D460" s="53"/>
      <c r="E460" s="53"/>
      <c r="F460" s="53"/>
      <c r="G460" s="53"/>
      <c r="H460" s="1"/>
      <c r="I460" s="1"/>
      <c r="J460" s="1"/>
    </row>
    <row r="461" ht="14.25" customHeight="1">
      <c r="A461" s="52"/>
      <c r="B461" s="52"/>
      <c r="C461" s="53"/>
      <c r="D461" s="53"/>
      <c r="E461" s="53"/>
      <c r="F461" s="53"/>
      <c r="G461" s="53"/>
      <c r="H461" s="1"/>
      <c r="I461" s="1"/>
      <c r="J461" s="1"/>
    </row>
    <row r="462" ht="14.25" customHeight="1">
      <c r="A462" s="52"/>
      <c r="B462" s="52"/>
      <c r="C462" s="53"/>
      <c r="D462" s="53"/>
      <c r="E462" s="53"/>
      <c r="F462" s="53"/>
      <c r="G462" s="53"/>
      <c r="H462" s="1"/>
      <c r="I462" s="1"/>
      <c r="J462" s="1"/>
    </row>
    <row r="463" ht="14.25" customHeight="1">
      <c r="A463" s="52"/>
      <c r="B463" s="52"/>
      <c r="C463" s="53"/>
      <c r="D463" s="53"/>
      <c r="E463" s="53"/>
      <c r="F463" s="53"/>
      <c r="G463" s="53"/>
      <c r="H463" s="1"/>
      <c r="I463" s="1"/>
      <c r="J463" s="1"/>
    </row>
    <row r="464" ht="14.25" customHeight="1">
      <c r="A464" s="52"/>
      <c r="B464" s="52"/>
      <c r="C464" s="53"/>
      <c r="D464" s="53"/>
      <c r="E464" s="53"/>
      <c r="F464" s="53"/>
      <c r="G464" s="53"/>
      <c r="H464" s="1"/>
      <c r="I464" s="1"/>
      <c r="J464" s="1"/>
    </row>
    <row r="465" ht="14.25" customHeight="1">
      <c r="A465" s="52"/>
      <c r="B465" s="52"/>
      <c r="C465" s="53"/>
      <c r="D465" s="53"/>
      <c r="E465" s="53"/>
      <c r="F465" s="53"/>
      <c r="G465" s="53"/>
      <c r="H465" s="1"/>
      <c r="I465" s="1"/>
      <c r="J465" s="1"/>
    </row>
    <row r="466" ht="14.25" customHeight="1">
      <c r="A466" s="52"/>
      <c r="B466" s="52"/>
      <c r="C466" s="53"/>
      <c r="D466" s="53"/>
      <c r="E466" s="53"/>
      <c r="F466" s="53"/>
      <c r="G466" s="53"/>
      <c r="H466" s="1"/>
      <c r="I466" s="1"/>
      <c r="J466" s="1"/>
    </row>
    <row r="467" ht="14.25" customHeight="1">
      <c r="A467" s="52"/>
      <c r="B467" s="52"/>
      <c r="C467" s="53"/>
      <c r="D467" s="53"/>
      <c r="E467" s="53"/>
      <c r="F467" s="53"/>
      <c r="G467" s="53"/>
      <c r="H467" s="1"/>
      <c r="I467" s="1"/>
      <c r="J467" s="1"/>
    </row>
    <row r="468" ht="14.25" customHeight="1">
      <c r="A468" s="52"/>
      <c r="B468" s="52"/>
      <c r="C468" s="53"/>
      <c r="D468" s="53"/>
      <c r="E468" s="53"/>
      <c r="F468" s="53"/>
      <c r="G468" s="53"/>
      <c r="H468" s="1"/>
      <c r="I468" s="1"/>
      <c r="J468" s="1"/>
    </row>
    <row r="469" ht="14.25" customHeight="1">
      <c r="A469" s="52"/>
      <c r="B469" s="52"/>
      <c r="C469" s="53"/>
      <c r="D469" s="53"/>
      <c r="E469" s="53"/>
      <c r="F469" s="53"/>
      <c r="G469" s="53"/>
      <c r="H469" s="1"/>
      <c r="I469" s="1"/>
      <c r="J469" s="1"/>
    </row>
    <row r="470" ht="14.25" customHeight="1">
      <c r="A470" s="52"/>
      <c r="B470" s="52"/>
      <c r="C470" s="53"/>
      <c r="D470" s="53"/>
      <c r="E470" s="53"/>
      <c r="F470" s="53"/>
      <c r="G470" s="53"/>
      <c r="H470" s="1"/>
      <c r="I470" s="1"/>
      <c r="J470" s="1"/>
    </row>
    <row r="471" ht="14.25" customHeight="1">
      <c r="A471" s="52"/>
      <c r="B471" s="52"/>
      <c r="C471" s="53"/>
      <c r="D471" s="53"/>
      <c r="E471" s="53"/>
      <c r="F471" s="53"/>
      <c r="G471" s="53"/>
      <c r="H471" s="1"/>
      <c r="I471" s="1"/>
      <c r="J471" s="1"/>
    </row>
    <row r="472" ht="14.25" customHeight="1">
      <c r="A472" s="52"/>
      <c r="B472" s="52"/>
      <c r="C472" s="53"/>
      <c r="D472" s="53"/>
      <c r="E472" s="53"/>
      <c r="F472" s="53"/>
      <c r="G472" s="53"/>
      <c r="H472" s="1"/>
      <c r="I472" s="1"/>
      <c r="J472" s="1"/>
    </row>
    <row r="473" ht="14.25" customHeight="1">
      <c r="A473" s="52"/>
      <c r="B473" s="52"/>
      <c r="C473" s="53"/>
      <c r="D473" s="53"/>
      <c r="E473" s="53"/>
      <c r="F473" s="53"/>
      <c r="G473" s="53"/>
      <c r="H473" s="1"/>
      <c r="I473" s="1"/>
      <c r="J473" s="1"/>
    </row>
    <row r="474" ht="14.25" customHeight="1">
      <c r="A474" s="52"/>
      <c r="B474" s="52"/>
      <c r="C474" s="53"/>
      <c r="D474" s="53"/>
      <c r="E474" s="53"/>
      <c r="F474" s="53"/>
      <c r="G474" s="53"/>
      <c r="H474" s="1"/>
      <c r="I474" s="1"/>
      <c r="J474" s="1"/>
    </row>
    <row r="475" ht="14.25" customHeight="1">
      <c r="A475" s="52"/>
      <c r="B475" s="52"/>
      <c r="C475" s="53"/>
      <c r="D475" s="53"/>
      <c r="E475" s="53"/>
      <c r="F475" s="53"/>
      <c r="G475" s="53"/>
      <c r="H475" s="1"/>
      <c r="I475" s="1"/>
      <c r="J475" s="1"/>
    </row>
    <row r="476" ht="14.25" customHeight="1">
      <c r="A476" s="52"/>
      <c r="B476" s="52"/>
      <c r="C476" s="53"/>
      <c r="D476" s="53"/>
      <c r="E476" s="53"/>
      <c r="F476" s="53"/>
      <c r="G476" s="53"/>
      <c r="H476" s="1"/>
      <c r="I476" s="1"/>
      <c r="J476" s="1"/>
    </row>
    <row r="477" ht="14.25" customHeight="1">
      <c r="A477" s="52"/>
      <c r="B477" s="52"/>
      <c r="C477" s="53"/>
      <c r="D477" s="53"/>
      <c r="E477" s="53"/>
      <c r="F477" s="53"/>
      <c r="G477" s="53"/>
      <c r="H477" s="1"/>
      <c r="I477" s="1"/>
      <c r="J477" s="1"/>
    </row>
    <row r="478" ht="14.25" customHeight="1">
      <c r="A478" s="52"/>
      <c r="B478" s="52"/>
      <c r="C478" s="53"/>
      <c r="D478" s="53"/>
      <c r="E478" s="53"/>
      <c r="F478" s="53"/>
      <c r="G478" s="53"/>
      <c r="H478" s="1"/>
      <c r="I478" s="1"/>
      <c r="J478" s="1"/>
    </row>
    <row r="479" ht="14.25" customHeight="1">
      <c r="A479" s="52"/>
      <c r="B479" s="52"/>
      <c r="C479" s="53"/>
      <c r="D479" s="53"/>
      <c r="E479" s="53"/>
      <c r="F479" s="53"/>
      <c r="G479" s="53"/>
      <c r="H479" s="1"/>
      <c r="I479" s="1"/>
      <c r="J479" s="1"/>
    </row>
    <row r="480" ht="14.25" customHeight="1">
      <c r="A480" s="52"/>
      <c r="B480" s="52"/>
      <c r="C480" s="53"/>
      <c r="D480" s="53"/>
      <c r="E480" s="53"/>
      <c r="F480" s="53"/>
      <c r="G480" s="53"/>
      <c r="H480" s="1"/>
      <c r="I480" s="1"/>
      <c r="J480" s="1"/>
    </row>
    <row r="481" ht="14.25" customHeight="1">
      <c r="A481" s="52"/>
      <c r="B481" s="52"/>
      <c r="C481" s="53"/>
      <c r="D481" s="53"/>
      <c r="E481" s="53"/>
      <c r="F481" s="53"/>
      <c r="G481" s="53"/>
      <c r="H481" s="1"/>
      <c r="I481" s="1"/>
      <c r="J481" s="1"/>
    </row>
    <row r="482" ht="14.25" customHeight="1">
      <c r="A482" s="52"/>
      <c r="B482" s="52"/>
      <c r="C482" s="53"/>
      <c r="D482" s="53"/>
      <c r="E482" s="53"/>
      <c r="F482" s="53"/>
      <c r="G482" s="53"/>
      <c r="H482" s="1"/>
      <c r="I482" s="1"/>
      <c r="J482" s="1"/>
    </row>
    <row r="483" ht="14.25" customHeight="1">
      <c r="A483" s="52"/>
      <c r="B483" s="52"/>
      <c r="C483" s="53"/>
      <c r="D483" s="53"/>
      <c r="E483" s="53"/>
      <c r="F483" s="53"/>
      <c r="G483" s="53"/>
      <c r="H483" s="1"/>
      <c r="I483" s="1"/>
      <c r="J483" s="1"/>
    </row>
    <row r="484" ht="14.25" customHeight="1">
      <c r="A484" s="52"/>
      <c r="B484" s="52"/>
      <c r="C484" s="53"/>
      <c r="D484" s="53"/>
      <c r="E484" s="53"/>
      <c r="F484" s="53"/>
      <c r="G484" s="53"/>
      <c r="H484" s="1"/>
      <c r="I484" s="1"/>
      <c r="J484" s="1"/>
    </row>
    <row r="485" ht="14.25" customHeight="1">
      <c r="A485" s="52"/>
      <c r="B485" s="52"/>
      <c r="C485" s="53"/>
      <c r="D485" s="53"/>
      <c r="E485" s="53"/>
      <c r="F485" s="53"/>
      <c r="G485" s="53"/>
      <c r="H485" s="1"/>
      <c r="I485" s="1"/>
      <c r="J485" s="1"/>
    </row>
    <row r="486" ht="14.25" customHeight="1">
      <c r="A486" s="52"/>
      <c r="B486" s="52"/>
      <c r="C486" s="53"/>
      <c r="D486" s="53"/>
      <c r="E486" s="53"/>
      <c r="F486" s="53"/>
      <c r="G486" s="53"/>
      <c r="H486" s="1"/>
      <c r="I486" s="1"/>
      <c r="J486" s="1"/>
    </row>
    <row r="487" ht="14.25" customHeight="1">
      <c r="A487" s="52"/>
      <c r="B487" s="52"/>
      <c r="C487" s="53"/>
      <c r="D487" s="53"/>
      <c r="E487" s="53"/>
      <c r="F487" s="53"/>
      <c r="G487" s="53"/>
      <c r="H487" s="1"/>
      <c r="I487" s="1"/>
      <c r="J487" s="1"/>
    </row>
    <row r="488" ht="14.25" customHeight="1">
      <c r="A488" s="52"/>
      <c r="B488" s="52"/>
      <c r="C488" s="53"/>
      <c r="D488" s="53"/>
      <c r="E488" s="53"/>
      <c r="F488" s="53"/>
      <c r="G488" s="53"/>
      <c r="H488" s="1"/>
      <c r="I488" s="1"/>
      <c r="J488" s="1"/>
    </row>
    <row r="489" ht="14.25" customHeight="1">
      <c r="A489" s="52"/>
      <c r="B489" s="52"/>
      <c r="C489" s="53"/>
      <c r="D489" s="53"/>
      <c r="E489" s="53"/>
      <c r="F489" s="53"/>
      <c r="G489" s="53"/>
      <c r="H489" s="1"/>
      <c r="I489" s="1"/>
      <c r="J489" s="1"/>
    </row>
    <row r="490" ht="14.25" customHeight="1">
      <c r="A490" s="52"/>
      <c r="B490" s="52"/>
      <c r="C490" s="53"/>
      <c r="D490" s="53"/>
      <c r="E490" s="53"/>
      <c r="F490" s="53"/>
      <c r="G490" s="53"/>
      <c r="H490" s="1"/>
      <c r="I490" s="1"/>
      <c r="J490" s="1"/>
    </row>
    <row r="491" ht="14.25" customHeight="1">
      <c r="A491" s="52"/>
      <c r="B491" s="52"/>
      <c r="C491" s="53"/>
      <c r="D491" s="53"/>
      <c r="E491" s="53"/>
      <c r="F491" s="53"/>
      <c r="G491" s="53"/>
      <c r="H491" s="1"/>
      <c r="I491" s="1"/>
      <c r="J491" s="1"/>
    </row>
    <row r="492" ht="14.25" customHeight="1">
      <c r="A492" s="52"/>
      <c r="B492" s="52"/>
      <c r="C492" s="53"/>
      <c r="D492" s="53"/>
      <c r="E492" s="53"/>
      <c r="F492" s="53"/>
      <c r="G492" s="53"/>
      <c r="H492" s="1"/>
      <c r="I492" s="1"/>
      <c r="J492" s="1"/>
    </row>
    <row r="493" ht="14.25" customHeight="1">
      <c r="A493" s="52"/>
      <c r="B493" s="52"/>
      <c r="C493" s="53"/>
      <c r="D493" s="53"/>
      <c r="E493" s="53"/>
      <c r="F493" s="53"/>
      <c r="G493" s="53"/>
      <c r="H493" s="1"/>
      <c r="I493" s="1"/>
      <c r="J493" s="1"/>
    </row>
    <row r="494" ht="14.25" customHeight="1">
      <c r="A494" s="52"/>
      <c r="B494" s="52"/>
      <c r="C494" s="53"/>
      <c r="D494" s="53"/>
      <c r="E494" s="53"/>
      <c r="F494" s="53"/>
      <c r="G494" s="53"/>
      <c r="H494" s="1"/>
      <c r="I494" s="1"/>
      <c r="J494" s="1"/>
    </row>
    <row r="495" ht="14.25" customHeight="1">
      <c r="A495" s="52"/>
      <c r="B495" s="52"/>
      <c r="C495" s="53"/>
      <c r="D495" s="53"/>
      <c r="E495" s="53"/>
      <c r="F495" s="53"/>
      <c r="G495" s="53"/>
      <c r="H495" s="1"/>
      <c r="I495" s="1"/>
      <c r="J495" s="1"/>
    </row>
    <row r="496" ht="14.25" customHeight="1">
      <c r="A496" s="52"/>
      <c r="B496" s="52"/>
      <c r="C496" s="53"/>
      <c r="D496" s="53"/>
      <c r="E496" s="53"/>
      <c r="F496" s="53"/>
      <c r="G496" s="53"/>
      <c r="H496" s="1"/>
      <c r="I496" s="1"/>
      <c r="J496" s="1"/>
    </row>
    <row r="497" ht="14.25" customHeight="1">
      <c r="A497" s="52"/>
      <c r="B497" s="52"/>
      <c r="C497" s="53"/>
      <c r="D497" s="53"/>
      <c r="E497" s="53"/>
      <c r="F497" s="53"/>
      <c r="G497" s="53"/>
      <c r="H497" s="1"/>
      <c r="I497" s="1"/>
      <c r="J497" s="1"/>
    </row>
    <row r="498" ht="14.25" customHeight="1">
      <c r="A498" s="52"/>
      <c r="B498" s="52"/>
      <c r="C498" s="53"/>
      <c r="D498" s="53"/>
      <c r="E498" s="53"/>
      <c r="F498" s="53"/>
      <c r="G498" s="53"/>
      <c r="H498" s="1"/>
      <c r="I498" s="1"/>
      <c r="J498" s="1"/>
    </row>
    <row r="499" ht="14.25" customHeight="1">
      <c r="A499" s="52"/>
      <c r="B499" s="52"/>
      <c r="C499" s="53"/>
      <c r="D499" s="53"/>
      <c r="E499" s="53"/>
      <c r="F499" s="53"/>
      <c r="G499" s="53"/>
      <c r="H499" s="1"/>
      <c r="I499" s="1"/>
      <c r="J499" s="1"/>
    </row>
    <row r="500" ht="14.25" customHeight="1">
      <c r="A500" s="52"/>
      <c r="B500" s="52"/>
      <c r="C500" s="53"/>
      <c r="D500" s="53"/>
      <c r="E500" s="53"/>
      <c r="F500" s="53"/>
      <c r="G500" s="53"/>
      <c r="H500" s="1"/>
      <c r="I500" s="1"/>
      <c r="J500" s="1"/>
    </row>
    <row r="501" ht="14.25" customHeight="1">
      <c r="A501" s="52"/>
      <c r="B501" s="52"/>
      <c r="C501" s="53"/>
      <c r="D501" s="53"/>
      <c r="E501" s="53"/>
      <c r="F501" s="53"/>
      <c r="G501" s="53"/>
      <c r="H501" s="1"/>
      <c r="I501" s="1"/>
      <c r="J501" s="1"/>
    </row>
    <row r="502" ht="14.25" customHeight="1">
      <c r="A502" s="52"/>
      <c r="B502" s="52"/>
      <c r="C502" s="53"/>
      <c r="D502" s="53"/>
      <c r="E502" s="53"/>
      <c r="F502" s="53"/>
      <c r="G502" s="53"/>
      <c r="H502" s="1"/>
      <c r="I502" s="1"/>
      <c r="J502" s="1"/>
    </row>
    <row r="503" ht="14.25" customHeight="1">
      <c r="A503" s="52"/>
      <c r="B503" s="52"/>
      <c r="C503" s="53"/>
      <c r="D503" s="53"/>
      <c r="E503" s="53"/>
      <c r="F503" s="53"/>
      <c r="G503" s="53"/>
      <c r="H503" s="1"/>
      <c r="I503" s="1"/>
      <c r="J503" s="1"/>
    </row>
    <row r="504" ht="14.25" customHeight="1">
      <c r="A504" s="52"/>
      <c r="B504" s="52"/>
      <c r="C504" s="53"/>
      <c r="D504" s="53"/>
      <c r="E504" s="53"/>
      <c r="F504" s="53"/>
      <c r="G504" s="53"/>
      <c r="H504" s="1"/>
      <c r="I504" s="1"/>
      <c r="J504" s="1"/>
    </row>
    <row r="505" ht="14.25" customHeight="1">
      <c r="A505" s="52"/>
      <c r="B505" s="52"/>
      <c r="C505" s="53"/>
      <c r="D505" s="53"/>
      <c r="E505" s="53"/>
      <c r="F505" s="53"/>
      <c r="G505" s="53"/>
      <c r="H505" s="1"/>
      <c r="I505" s="1"/>
      <c r="J505" s="1"/>
    </row>
    <row r="506" ht="14.25" customHeight="1">
      <c r="A506" s="52"/>
      <c r="B506" s="52"/>
      <c r="C506" s="53"/>
      <c r="D506" s="53"/>
      <c r="E506" s="53"/>
      <c r="F506" s="53"/>
      <c r="G506" s="53"/>
      <c r="H506" s="1"/>
      <c r="I506" s="1"/>
      <c r="J506" s="1"/>
    </row>
    <row r="507" ht="14.25" customHeight="1">
      <c r="A507" s="52"/>
      <c r="B507" s="52"/>
      <c r="C507" s="53"/>
      <c r="D507" s="53"/>
      <c r="E507" s="53"/>
      <c r="F507" s="53"/>
      <c r="G507" s="53"/>
      <c r="H507" s="1"/>
      <c r="I507" s="1"/>
      <c r="J507" s="1"/>
    </row>
    <row r="508" ht="14.25" customHeight="1">
      <c r="A508" s="52"/>
      <c r="B508" s="52"/>
      <c r="C508" s="53"/>
      <c r="D508" s="53"/>
      <c r="E508" s="53"/>
      <c r="F508" s="53"/>
      <c r="G508" s="53"/>
      <c r="H508" s="1"/>
      <c r="I508" s="1"/>
      <c r="J508" s="1"/>
    </row>
    <row r="509" ht="14.25" customHeight="1">
      <c r="A509" s="52"/>
      <c r="B509" s="52"/>
      <c r="C509" s="53"/>
      <c r="D509" s="53"/>
      <c r="E509" s="53"/>
      <c r="F509" s="53"/>
      <c r="G509" s="53"/>
      <c r="H509" s="1"/>
      <c r="I509" s="1"/>
      <c r="J509" s="1"/>
    </row>
    <row r="510" ht="14.25" customHeight="1">
      <c r="A510" s="52"/>
      <c r="B510" s="52"/>
      <c r="C510" s="53"/>
      <c r="D510" s="53"/>
      <c r="E510" s="53"/>
      <c r="F510" s="53"/>
      <c r="G510" s="53"/>
      <c r="H510" s="1"/>
      <c r="I510" s="1"/>
      <c r="J510" s="1"/>
    </row>
    <row r="511" ht="14.25" customHeight="1">
      <c r="A511" s="52"/>
      <c r="B511" s="52"/>
      <c r="C511" s="53"/>
      <c r="D511" s="53"/>
      <c r="E511" s="53"/>
      <c r="F511" s="53"/>
      <c r="G511" s="53"/>
      <c r="H511" s="1"/>
      <c r="I511" s="1"/>
      <c r="J511" s="1"/>
    </row>
    <row r="512" ht="14.25" customHeight="1">
      <c r="A512" s="52"/>
      <c r="B512" s="52"/>
      <c r="C512" s="53"/>
      <c r="D512" s="53"/>
      <c r="E512" s="53"/>
      <c r="F512" s="53"/>
      <c r="G512" s="53"/>
      <c r="H512" s="1"/>
      <c r="I512" s="1"/>
      <c r="J512" s="1"/>
    </row>
    <row r="513" ht="14.25" customHeight="1">
      <c r="A513" s="52"/>
      <c r="B513" s="52"/>
      <c r="C513" s="53"/>
      <c r="D513" s="53"/>
      <c r="E513" s="53"/>
      <c r="F513" s="53"/>
      <c r="G513" s="53"/>
      <c r="H513" s="1"/>
      <c r="I513" s="1"/>
      <c r="J513" s="1"/>
    </row>
    <row r="514" ht="14.25" customHeight="1">
      <c r="A514" s="52"/>
      <c r="B514" s="52"/>
      <c r="C514" s="53"/>
      <c r="D514" s="53"/>
      <c r="E514" s="53"/>
      <c r="F514" s="53"/>
      <c r="G514" s="53"/>
      <c r="H514" s="1"/>
      <c r="I514" s="1"/>
      <c r="J514" s="1"/>
    </row>
    <row r="515" ht="14.25" customHeight="1">
      <c r="A515" s="52"/>
      <c r="B515" s="52"/>
      <c r="C515" s="53"/>
      <c r="D515" s="53"/>
      <c r="E515" s="53"/>
      <c r="F515" s="53"/>
      <c r="G515" s="53"/>
      <c r="H515" s="1"/>
      <c r="I515" s="1"/>
      <c r="J515" s="1"/>
    </row>
    <row r="516" ht="14.25" customHeight="1">
      <c r="A516" s="52"/>
      <c r="B516" s="52"/>
      <c r="C516" s="53"/>
      <c r="D516" s="53"/>
      <c r="E516" s="53"/>
      <c r="F516" s="53"/>
      <c r="G516" s="53"/>
      <c r="H516" s="1"/>
      <c r="I516" s="1"/>
      <c r="J516" s="1"/>
    </row>
    <row r="517" ht="14.25" customHeight="1">
      <c r="A517" s="52"/>
      <c r="B517" s="52"/>
      <c r="C517" s="53"/>
      <c r="D517" s="53"/>
      <c r="E517" s="53"/>
      <c r="F517" s="53"/>
      <c r="G517" s="53"/>
      <c r="H517" s="1"/>
      <c r="I517" s="1"/>
      <c r="J517" s="1"/>
    </row>
    <row r="518" ht="14.25" customHeight="1">
      <c r="A518" s="52"/>
      <c r="B518" s="52"/>
      <c r="C518" s="53"/>
      <c r="D518" s="53"/>
      <c r="E518" s="53"/>
      <c r="F518" s="53"/>
      <c r="G518" s="53"/>
      <c r="H518" s="1"/>
      <c r="I518" s="1"/>
      <c r="J518" s="1"/>
    </row>
    <row r="519" ht="14.25" customHeight="1">
      <c r="A519" s="52"/>
      <c r="B519" s="52"/>
      <c r="C519" s="53"/>
      <c r="D519" s="53"/>
      <c r="E519" s="53"/>
      <c r="F519" s="53"/>
      <c r="G519" s="53"/>
      <c r="H519" s="1"/>
      <c r="I519" s="1"/>
      <c r="J519" s="1"/>
    </row>
    <row r="520" ht="14.25" customHeight="1">
      <c r="A520" s="52"/>
      <c r="B520" s="52"/>
      <c r="C520" s="53"/>
      <c r="D520" s="53"/>
      <c r="E520" s="53"/>
      <c r="F520" s="53"/>
      <c r="G520" s="53"/>
      <c r="H520" s="1"/>
      <c r="I520" s="1"/>
      <c r="J520" s="1"/>
    </row>
    <row r="521" ht="14.25" customHeight="1">
      <c r="A521" s="52"/>
      <c r="B521" s="52"/>
      <c r="C521" s="53"/>
      <c r="D521" s="53"/>
      <c r="E521" s="53"/>
      <c r="F521" s="53"/>
      <c r="G521" s="53"/>
      <c r="H521" s="1"/>
      <c r="I521" s="1"/>
      <c r="J521" s="1"/>
    </row>
    <row r="522" ht="14.25" customHeight="1">
      <c r="A522" s="52"/>
      <c r="B522" s="52"/>
      <c r="C522" s="53"/>
      <c r="D522" s="53"/>
      <c r="E522" s="53"/>
      <c r="F522" s="53"/>
      <c r="G522" s="53"/>
      <c r="H522" s="1"/>
      <c r="I522" s="1"/>
      <c r="J522" s="1"/>
    </row>
    <row r="523" ht="14.25" customHeight="1">
      <c r="A523" s="52"/>
      <c r="B523" s="52"/>
      <c r="C523" s="53"/>
      <c r="D523" s="53"/>
      <c r="E523" s="53"/>
      <c r="F523" s="53"/>
      <c r="G523" s="53"/>
      <c r="H523" s="1"/>
      <c r="I523" s="1"/>
      <c r="J523" s="1"/>
    </row>
    <row r="524" ht="14.25" customHeight="1">
      <c r="A524" s="52"/>
      <c r="B524" s="52"/>
      <c r="C524" s="53"/>
      <c r="D524" s="53"/>
      <c r="E524" s="53"/>
      <c r="F524" s="53"/>
      <c r="G524" s="53"/>
      <c r="H524" s="1"/>
      <c r="I524" s="1"/>
      <c r="J524" s="1"/>
    </row>
    <row r="525" ht="14.25" customHeight="1">
      <c r="A525" s="52"/>
      <c r="B525" s="52"/>
      <c r="C525" s="53"/>
      <c r="D525" s="53"/>
      <c r="E525" s="53"/>
      <c r="F525" s="53"/>
      <c r="G525" s="53"/>
      <c r="H525" s="1"/>
      <c r="I525" s="1"/>
      <c r="J525" s="1"/>
    </row>
    <row r="526" ht="14.25" customHeight="1">
      <c r="A526" s="52"/>
      <c r="B526" s="52"/>
      <c r="C526" s="53"/>
      <c r="D526" s="53"/>
      <c r="E526" s="53"/>
      <c r="F526" s="53"/>
      <c r="G526" s="53"/>
      <c r="H526" s="1"/>
      <c r="I526" s="1"/>
      <c r="J526" s="1"/>
    </row>
    <row r="527" ht="14.25" customHeight="1">
      <c r="A527" s="52"/>
      <c r="B527" s="52"/>
      <c r="C527" s="53"/>
      <c r="D527" s="53"/>
      <c r="E527" s="53"/>
      <c r="F527" s="53"/>
      <c r="G527" s="53"/>
      <c r="H527" s="1"/>
      <c r="I527" s="1"/>
      <c r="J527" s="1"/>
    </row>
    <row r="528" ht="14.25" customHeight="1">
      <c r="A528" s="52"/>
      <c r="B528" s="52"/>
      <c r="C528" s="53"/>
      <c r="D528" s="53"/>
      <c r="E528" s="53"/>
      <c r="F528" s="53"/>
      <c r="G528" s="53"/>
      <c r="H528" s="1"/>
      <c r="I528" s="1"/>
      <c r="J528" s="1"/>
    </row>
    <row r="529" ht="14.25" customHeight="1">
      <c r="A529" s="52"/>
      <c r="B529" s="52"/>
      <c r="C529" s="53"/>
      <c r="D529" s="53"/>
      <c r="E529" s="53"/>
      <c r="F529" s="53"/>
      <c r="G529" s="53"/>
      <c r="H529" s="1"/>
      <c r="I529" s="1"/>
      <c r="J529" s="1"/>
    </row>
    <row r="530" ht="14.25" customHeight="1">
      <c r="A530" s="52"/>
      <c r="B530" s="52"/>
      <c r="C530" s="53"/>
      <c r="D530" s="53"/>
      <c r="E530" s="53"/>
      <c r="F530" s="53"/>
      <c r="G530" s="53"/>
      <c r="H530" s="1"/>
      <c r="I530" s="1"/>
      <c r="J530" s="1"/>
    </row>
    <row r="531" ht="14.25" customHeight="1">
      <c r="A531" s="52"/>
      <c r="B531" s="52"/>
      <c r="C531" s="53"/>
      <c r="D531" s="53"/>
      <c r="E531" s="53"/>
      <c r="F531" s="53"/>
      <c r="G531" s="53"/>
      <c r="H531" s="1"/>
      <c r="I531" s="1"/>
      <c r="J531" s="1"/>
    </row>
    <row r="532" ht="14.25" customHeight="1">
      <c r="A532" s="52"/>
      <c r="B532" s="52"/>
      <c r="C532" s="53"/>
      <c r="D532" s="53"/>
      <c r="E532" s="53"/>
      <c r="F532" s="53"/>
      <c r="G532" s="53"/>
      <c r="H532" s="1"/>
      <c r="I532" s="1"/>
      <c r="J532" s="1"/>
    </row>
    <row r="533" ht="14.25" customHeight="1">
      <c r="A533" s="52"/>
      <c r="B533" s="52"/>
      <c r="C533" s="53"/>
      <c r="D533" s="53"/>
      <c r="E533" s="53"/>
      <c r="F533" s="53"/>
      <c r="G533" s="53"/>
      <c r="H533" s="1"/>
      <c r="I533" s="1"/>
      <c r="J533" s="1"/>
    </row>
    <row r="534" ht="14.25" customHeight="1">
      <c r="A534" s="52"/>
      <c r="B534" s="52"/>
      <c r="C534" s="53"/>
      <c r="D534" s="53"/>
      <c r="E534" s="53"/>
      <c r="F534" s="53"/>
      <c r="G534" s="53"/>
      <c r="H534" s="1"/>
      <c r="I534" s="1"/>
      <c r="J534" s="1"/>
    </row>
    <row r="535" ht="14.25" customHeight="1">
      <c r="A535" s="52"/>
      <c r="B535" s="52"/>
      <c r="C535" s="53"/>
      <c r="D535" s="53"/>
      <c r="E535" s="53"/>
      <c r="F535" s="53"/>
      <c r="G535" s="53"/>
      <c r="H535" s="1"/>
      <c r="I535" s="1"/>
      <c r="J535" s="1"/>
    </row>
    <row r="536" ht="14.25" customHeight="1">
      <c r="A536" s="52"/>
      <c r="B536" s="52"/>
      <c r="C536" s="53"/>
      <c r="D536" s="53"/>
      <c r="E536" s="53"/>
      <c r="F536" s="53"/>
      <c r="G536" s="53"/>
      <c r="H536" s="1"/>
      <c r="I536" s="1"/>
      <c r="J536" s="1"/>
    </row>
    <row r="537" ht="14.25" customHeight="1">
      <c r="A537" s="52"/>
      <c r="B537" s="52"/>
      <c r="C537" s="53"/>
      <c r="D537" s="53"/>
      <c r="E537" s="53"/>
      <c r="F537" s="53"/>
      <c r="G537" s="53"/>
      <c r="H537" s="1"/>
      <c r="I537" s="1"/>
      <c r="J537" s="1"/>
    </row>
    <row r="538" ht="14.25" customHeight="1">
      <c r="A538" s="52"/>
      <c r="B538" s="52"/>
      <c r="C538" s="53"/>
      <c r="D538" s="53"/>
      <c r="E538" s="53"/>
      <c r="F538" s="53"/>
      <c r="G538" s="53"/>
      <c r="H538" s="1"/>
      <c r="I538" s="1"/>
      <c r="J538" s="1"/>
    </row>
    <row r="539" ht="14.25" customHeight="1">
      <c r="A539" s="52"/>
      <c r="B539" s="52"/>
      <c r="C539" s="53"/>
      <c r="D539" s="53"/>
      <c r="E539" s="53"/>
      <c r="F539" s="53"/>
      <c r="G539" s="53"/>
      <c r="H539" s="1"/>
      <c r="I539" s="1"/>
      <c r="J539" s="1"/>
    </row>
    <row r="540" ht="14.25" customHeight="1">
      <c r="A540" s="52"/>
      <c r="B540" s="52"/>
      <c r="C540" s="53"/>
      <c r="D540" s="53"/>
      <c r="E540" s="53"/>
      <c r="F540" s="53"/>
      <c r="G540" s="53"/>
      <c r="H540" s="1"/>
      <c r="I540" s="1"/>
      <c r="J540" s="1"/>
    </row>
    <row r="541" ht="14.25" customHeight="1">
      <c r="A541" s="52"/>
      <c r="B541" s="52"/>
      <c r="C541" s="53"/>
      <c r="D541" s="53"/>
      <c r="E541" s="53"/>
      <c r="F541" s="53"/>
      <c r="G541" s="53"/>
      <c r="H541" s="1"/>
      <c r="I541" s="1"/>
      <c r="J541" s="1"/>
    </row>
    <row r="542" ht="14.25" customHeight="1">
      <c r="A542" s="52"/>
      <c r="B542" s="52"/>
      <c r="C542" s="53"/>
      <c r="D542" s="53"/>
      <c r="E542" s="53"/>
      <c r="F542" s="53"/>
      <c r="G542" s="53"/>
      <c r="H542" s="1"/>
      <c r="I542" s="1"/>
      <c r="J542" s="1"/>
    </row>
    <row r="543" ht="14.25" customHeight="1">
      <c r="A543" s="52"/>
      <c r="B543" s="52"/>
      <c r="C543" s="53"/>
      <c r="D543" s="53"/>
      <c r="E543" s="53"/>
      <c r="F543" s="53"/>
      <c r="G543" s="53"/>
      <c r="H543" s="1"/>
      <c r="I543" s="1"/>
      <c r="J543" s="1"/>
    </row>
    <row r="544" ht="14.25" customHeight="1">
      <c r="A544" s="52"/>
      <c r="B544" s="52"/>
      <c r="C544" s="53"/>
      <c r="D544" s="53"/>
      <c r="E544" s="53"/>
      <c r="F544" s="53"/>
      <c r="G544" s="53"/>
      <c r="H544" s="1"/>
      <c r="I544" s="1"/>
      <c r="J544" s="1"/>
    </row>
    <row r="545" ht="14.25" customHeight="1">
      <c r="A545" s="52"/>
      <c r="B545" s="52"/>
      <c r="C545" s="53"/>
      <c r="D545" s="53"/>
      <c r="E545" s="53"/>
      <c r="F545" s="53"/>
      <c r="G545" s="53"/>
      <c r="H545" s="1"/>
      <c r="I545" s="1"/>
      <c r="J545" s="1"/>
    </row>
    <row r="546" ht="14.25" customHeight="1">
      <c r="A546" s="52"/>
      <c r="B546" s="52"/>
      <c r="C546" s="53"/>
      <c r="D546" s="53"/>
      <c r="E546" s="53"/>
      <c r="F546" s="53"/>
      <c r="G546" s="53"/>
      <c r="H546" s="1"/>
      <c r="I546" s="1"/>
      <c r="J546" s="1"/>
    </row>
    <row r="547" ht="14.25" customHeight="1">
      <c r="A547" s="52"/>
      <c r="B547" s="52"/>
      <c r="C547" s="53"/>
      <c r="D547" s="53"/>
      <c r="E547" s="53"/>
      <c r="F547" s="53"/>
      <c r="G547" s="53"/>
      <c r="H547" s="1"/>
      <c r="I547" s="1"/>
      <c r="J547" s="1"/>
    </row>
    <row r="548" ht="14.25" customHeight="1">
      <c r="A548" s="52"/>
      <c r="B548" s="52"/>
      <c r="C548" s="53"/>
      <c r="D548" s="53"/>
      <c r="E548" s="53"/>
      <c r="F548" s="53"/>
      <c r="G548" s="53"/>
      <c r="H548" s="1"/>
      <c r="I548" s="1"/>
      <c r="J548" s="1"/>
    </row>
    <row r="549" ht="14.25" customHeight="1">
      <c r="A549" s="52"/>
      <c r="B549" s="52"/>
      <c r="C549" s="53"/>
      <c r="D549" s="53"/>
      <c r="E549" s="53"/>
      <c r="F549" s="53"/>
      <c r="G549" s="53"/>
      <c r="H549" s="1"/>
      <c r="I549" s="1"/>
      <c r="J549" s="1"/>
    </row>
    <row r="550" ht="14.25" customHeight="1">
      <c r="A550" s="52"/>
      <c r="B550" s="52"/>
      <c r="C550" s="53"/>
      <c r="D550" s="53"/>
      <c r="E550" s="53"/>
      <c r="F550" s="53"/>
      <c r="G550" s="53"/>
      <c r="H550" s="1"/>
      <c r="I550" s="1"/>
      <c r="J550" s="1"/>
    </row>
    <row r="551" ht="14.25" customHeight="1">
      <c r="A551" s="52"/>
      <c r="B551" s="52"/>
      <c r="C551" s="53"/>
      <c r="D551" s="53"/>
      <c r="E551" s="53"/>
      <c r="F551" s="53"/>
      <c r="G551" s="53"/>
      <c r="H551" s="1"/>
      <c r="I551" s="1"/>
      <c r="J551" s="1"/>
    </row>
    <row r="552" ht="14.25" customHeight="1">
      <c r="A552" s="52"/>
      <c r="B552" s="52"/>
      <c r="C552" s="53"/>
      <c r="D552" s="53"/>
      <c r="E552" s="53"/>
      <c r="F552" s="53"/>
      <c r="G552" s="53"/>
      <c r="H552" s="1"/>
      <c r="I552" s="1"/>
      <c r="J552" s="1"/>
    </row>
    <row r="553" ht="14.25" customHeight="1">
      <c r="A553" s="52"/>
      <c r="B553" s="52"/>
      <c r="C553" s="53"/>
      <c r="D553" s="53"/>
      <c r="E553" s="53"/>
      <c r="F553" s="53"/>
      <c r="G553" s="53"/>
      <c r="H553" s="1"/>
      <c r="I553" s="1"/>
      <c r="J553" s="1"/>
    </row>
    <row r="554" ht="14.25" customHeight="1">
      <c r="A554" s="52"/>
      <c r="B554" s="52"/>
      <c r="C554" s="53"/>
      <c r="D554" s="53"/>
      <c r="E554" s="53"/>
      <c r="F554" s="53"/>
      <c r="G554" s="53"/>
      <c r="H554" s="1"/>
      <c r="I554" s="1"/>
      <c r="J554" s="1"/>
    </row>
    <row r="555" ht="14.25" customHeight="1">
      <c r="A555" s="52"/>
      <c r="B555" s="52"/>
      <c r="C555" s="53"/>
      <c r="D555" s="53"/>
      <c r="E555" s="53"/>
      <c r="F555" s="53"/>
      <c r="G555" s="53"/>
      <c r="H555" s="1"/>
      <c r="I555" s="1"/>
      <c r="J555" s="1"/>
    </row>
    <row r="556" ht="14.25" customHeight="1">
      <c r="A556" s="52"/>
      <c r="B556" s="52"/>
      <c r="C556" s="53"/>
      <c r="D556" s="53"/>
      <c r="E556" s="53"/>
      <c r="F556" s="53"/>
      <c r="G556" s="53"/>
      <c r="H556" s="1"/>
      <c r="I556" s="1"/>
      <c r="J556" s="1"/>
    </row>
    <row r="557" ht="14.25" customHeight="1">
      <c r="A557" s="52"/>
      <c r="B557" s="52"/>
      <c r="C557" s="53"/>
      <c r="D557" s="53"/>
      <c r="E557" s="53"/>
      <c r="F557" s="53"/>
      <c r="G557" s="53"/>
      <c r="H557" s="1"/>
      <c r="I557" s="1"/>
      <c r="J557" s="1"/>
    </row>
    <row r="558" ht="14.25" customHeight="1">
      <c r="A558" s="52"/>
      <c r="B558" s="52"/>
      <c r="C558" s="53"/>
      <c r="D558" s="53"/>
      <c r="E558" s="53"/>
      <c r="F558" s="53"/>
      <c r="G558" s="53"/>
      <c r="H558" s="1"/>
      <c r="I558" s="1"/>
      <c r="J558" s="1"/>
    </row>
    <row r="559" ht="14.25" customHeight="1">
      <c r="A559" s="52"/>
      <c r="B559" s="52"/>
      <c r="C559" s="53"/>
      <c r="D559" s="53"/>
      <c r="E559" s="53"/>
      <c r="F559" s="53"/>
      <c r="G559" s="53"/>
      <c r="H559" s="1"/>
      <c r="I559" s="1"/>
      <c r="J559" s="1"/>
    </row>
    <row r="560" ht="14.25" customHeight="1">
      <c r="A560" s="52"/>
      <c r="B560" s="52"/>
      <c r="C560" s="53"/>
      <c r="D560" s="53"/>
      <c r="E560" s="53"/>
      <c r="F560" s="53"/>
      <c r="G560" s="53"/>
      <c r="H560" s="1"/>
      <c r="I560" s="1"/>
      <c r="J560" s="1"/>
    </row>
    <row r="561" ht="14.25" customHeight="1">
      <c r="A561" s="52"/>
      <c r="B561" s="52"/>
      <c r="C561" s="53"/>
      <c r="D561" s="53"/>
      <c r="E561" s="53"/>
      <c r="F561" s="53"/>
      <c r="G561" s="53"/>
      <c r="H561" s="1"/>
      <c r="I561" s="1"/>
      <c r="J561" s="1"/>
    </row>
    <row r="562" ht="14.25" customHeight="1">
      <c r="A562" s="52"/>
      <c r="B562" s="52"/>
      <c r="C562" s="53"/>
      <c r="D562" s="53"/>
      <c r="E562" s="53"/>
      <c r="F562" s="53"/>
      <c r="G562" s="53"/>
      <c r="H562" s="1"/>
      <c r="I562" s="1"/>
      <c r="J562" s="1"/>
    </row>
    <row r="563" ht="14.25" customHeight="1">
      <c r="A563" s="52"/>
      <c r="B563" s="52"/>
      <c r="C563" s="53"/>
      <c r="D563" s="53"/>
      <c r="E563" s="53"/>
      <c r="F563" s="53"/>
      <c r="G563" s="53"/>
      <c r="H563" s="1"/>
      <c r="I563" s="1"/>
      <c r="J563" s="1"/>
    </row>
    <row r="564" ht="14.25" customHeight="1">
      <c r="A564" s="52"/>
      <c r="B564" s="52"/>
      <c r="C564" s="53"/>
      <c r="D564" s="53"/>
      <c r="E564" s="53"/>
      <c r="F564" s="53"/>
      <c r="G564" s="53"/>
      <c r="H564" s="1"/>
      <c r="I564" s="1"/>
      <c r="J564" s="1"/>
    </row>
    <row r="565" ht="14.25" customHeight="1">
      <c r="A565" s="52"/>
      <c r="B565" s="52"/>
      <c r="C565" s="53"/>
      <c r="D565" s="53"/>
      <c r="E565" s="53"/>
      <c r="F565" s="53"/>
      <c r="G565" s="53"/>
      <c r="H565" s="1"/>
      <c r="I565" s="1"/>
      <c r="J565" s="1"/>
    </row>
    <row r="566" ht="14.25" customHeight="1">
      <c r="A566" s="52"/>
      <c r="B566" s="52"/>
      <c r="C566" s="53"/>
      <c r="D566" s="53"/>
      <c r="E566" s="53"/>
      <c r="F566" s="53"/>
      <c r="G566" s="53"/>
      <c r="H566" s="1"/>
      <c r="I566" s="1"/>
      <c r="J566" s="1"/>
    </row>
    <row r="567" ht="14.25" customHeight="1">
      <c r="A567" s="52"/>
      <c r="B567" s="52"/>
      <c r="C567" s="53"/>
      <c r="D567" s="53"/>
      <c r="E567" s="53"/>
      <c r="F567" s="53"/>
      <c r="G567" s="53"/>
      <c r="H567" s="1"/>
      <c r="I567" s="1"/>
      <c r="J567" s="1"/>
    </row>
    <row r="568" ht="14.25" customHeight="1">
      <c r="A568" s="52"/>
      <c r="B568" s="52"/>
      <c r="C568" s="53"/>
      <c r="D568" s="53"/>
      <c r="E568" s="53"/>
      <c r="F568" s="53"/>
      <c r="G568" s="53"/>
      <c r="H568" s="1"/>
      <c r="I568" s="1"/>
      <c r="J568" s="1"/>
    </row>
    <row r="569" ht="14.25" customHeight="1">
      <c r="A569" s="52"/>
      <c r="B569" s="52"/>
      <c r="C569" s="53"/>
      <c r="D569" s="53"/>
      <c r="E569" s="53"/>
      <c r="F569" s="53"/>
      <c r="G569" s="53"/>
      <c r="H569" s="1"/>
      <c r="I569" s="1"/>
      <c r="J569" s="1"/>
    </row>
    <row r="570" ht="14.25" customHeight="1">
      <c r="A570" s="52"/>
      <c r="B570" s="52"/>
      <c r="C570" s="53"/>
      <c r="D570" s="53"/>
      <c r="E570" s="53"/>
      <c r="F570" s="53"/>
      <c r="G570" s="53"/>
      <c r="H570" s="1"/>
      <c r="I570" s="1"/>
      <c r="J570" s="1"/>
    </row>
    <row r="571" ht="14.25" customHeight="1">
      <c r="A571" s="52"/>
      <c r="B571" s="52"/>
      <c r="C571" s="53"/>
      <c r="D571" s="53"/>
      <c r="E571" s="53"/>
      <c r="F571" s="53"/>
      <c r="G571" s="53"/>
      <c r="H571" s="1"/>
      <c r="I571" s="1"/>
      <c r="J571" s="1"/>
    </row>
    <row r="572" ht="14.25" customHeight="1">
      <c r="A572" s="52"/>
      <c r="B572" s="52"/>
      <c r="C572" s="53"/>
      <c r="D572" s="53"/>
      <c r="E572" s="53"/>
      <c r="F572" s="53"/>
      <c r="G572" s="53"/>
      <c r="H572" s="1"/>
      <c r="I572" s="1"/>
      <c r="J572" s="1"/>
    </row>
    <row r="573" ht="14.25" customHeight="1">
      <c r="A573" s="52"/>
      <c r="B573" s="52"/>
      <c r="C573" s="53"/>
      <c r="D573" s="53"/>
      <c r="E573" s="53"/>
      <c r="F573" s="53"/>
      <c r="G573" s="53"/>
      <c r="H573" s="1"/>
      <c r="I573" s="1"/>
      <c r="J573" s="1"/>
    </row>
    <row r="574" ht="14.25" customHeight="1">
      <c r="A574" s="52"/>
      <c r="B574" s="52"/>
      <c r="C574" s="53"/>
      <c r="D574" s="53"/>
      <c r="E574" s="53"/>
      <c r="F574" s="53"/>
      <c r="G574" s="53"/>
      <c r="H574" s="1"/>
      <c r="I574" s="1"/>
      <c r="J574" s="1"/>
    </row>
    <row r="575" ht="14.25" customHeight="1">
      <c r="A575" s="52"/>
      <c r="B575" s="52"/>
      <c r="C575" s="53"/>
      <c r="D575" s="53"/>
      <c r="E575" s="53"/>
      <c r="F575" s="53"/>
      <c r="G575" s="53"/>
      <c r="H575" s="1"/>
      <c r="I575" s="1"/>
      <c r="J575" s="1"/>
    </row>
    <row r="576" ht="14.25" customHeight="1">
      <c r="A576" s="52"/>
      <c r="B576" s="52"/>
      <c r="C576" s="53"/>
      <c r="D576" s="53"/>
      <c r="E576" s="53"/>
      <c r="F576" s="53"/>
      <c r="G576" s="53"/>
      <c r="H576" s="1"/>
      <c r="I576" s="1"/>
      <c r="J576" s="1"/>
    </row>
    <row r="577" ht="14.25" customHeight="1">
      <c r="A577" s="52"/>
      <c r="B577" s="52"/>
      <c r="C577" s="53"/>
      <c r="D577" s="53"/>
      <c r="E577" s="53"/>
      <c r="F577" s="53"/>
      <c r="G577" s="53"/>
      <c r="H577" s="1"/>
      <c r="I577" s="1"/>
      <c r="J577" s="1"/>
    </row>
    <row r="578" ht="14.25" customHeight="1">
      <c r="A578" s="52"/>
      <c r="B578" s="52"/>
      <c r="C578" s="53"/>
      <c r="D578" s="53"/>
      <c r="E578" s="53"/>
      <c r="F578" s="53"/>
      <c r="G578" s="53"/>
      <c r="H578" s="1"/>
      <c r="I578" s="1"/>
      <c r="J578" s="1"/>
    </row>
    <row r="579" ht="14.25" customHeight="1">
      <c r="A579" s="52"/>
      <c r="B579" s="52"/>
      <c r="C579" s="53"/>
      <c r="D579" s="53"/>
      <c r="E579" s="53"/>
      <c r="F579" s="53"/>
      <c r="G579" s="53"/>
      <c r="H579" s="1"/>
      <c r="I579" s="1"/>
      <c r="J579" s="1"/>
    </row>
    <row r="580" ht="14.25" customHeight="1">
      <c r="A580" s="52"/>
      <c r="B580" s="52"/>
      <c r="C580" s="53"/>
      <c r="D580" s="53"/>
      <c r="E580" s="53"/>
      <c r="F580" s="53"/>
      <c r="G580" s="53"/>
      <c r="H580" s="1"/>
      <c r="I580" s="1"/>
      <c r="J580" s="1"/>
    </row>
    <row r="581" ht="14.25" customHeight="1">
      <c r="A581" s="52"/>
      <c r="B581" s="52"/>
      <c r="C581" s="53"/>
      <c r="D581" s="53"/>
      <c r="E581" s="53"/>
      <c r="F581" s="53"/>
      <c r="G581" s="53"/>
      <c r="H581" s="1"/>
      <c r="I581" s="1"/>
      <c r="J581" s="1"/>
    </row>
    <row r="582" ht="14.25" customHeight="1">
      <c r="A582" s="52"/>
      <c r="B582" s="52"/>
      <c r="C582" s="53"/>
      <c r="D582" s="53"/>
      <c r="E582" s="53"/>
      <c r="F582" s="53"/>
      <c r="G582" s="53"/>
      <c r="H582" s="1"/>
      <c r="I582" s="1"/>
      <c r="J582" s="1"/>
    </row>
    <row r="583" ht="14.25" customHeight="1">
      <c r="A583" s="52"/>
      <c r="B583" s="52"/>
      <c r="C583" s="53"/>
      <c r="D583" s="53"/>
      <c r="E583" s="53"/>
      <c r="F583" s="53"/>
      <c r="G583" s="53"/>
      <c r="H583" s="1"/>
      <c r="I583" s="1"/>
      <c r="J583" s="1"/>
    </row>
    <row r="584" ht="14.25" customHeight="1">
      <c r="A584" s="52"/>
      <c r="B584" s="52"/>
      <c r="C584" s="53"/>
      <c r="D584" s="53"/>
      <c r="E584" s="53"/>
      <c r="F584" s="53"/>
      <c r="G584" s="53"/>
      <c r="H584" s="1"/>
      <c r="I584" s="1"/>
      <c r="J584" s="1"/>
    </row>
    <row r="585" ht="14.25" customHeight="1">
      <c r="A585" s="52"/>
      <c r="B585" s="52"/>
      <c r="C585" s="53"/>
      <c r="D585" s="53"/>
      <c r="E585" s="53"/>
      <c r="F585" s="53"/>
      <c r="G585" s="53"/>
      <c r="H585" s="1"/>
      <c r="I585" s="1"/>
      <c r="J585" s="1"/>
    </row>
    <row r="586" ht="14.25" customHeight="1">
      <c r="A586" s="52"/>
      <c r="B586" s="52"/>
      <c r="C586" s="53"/>
      <c r="D586" s="53"/>
      <c r="E586" s="53"/>
      <c r="F586" s="53"/>
      <c r="G586" s="53"/>
      <c r="H586" s="1"/>
      <c r="I586" s="1"/>
      <c r="J586" s="1"/>
    </row>
    <row r="587" ht="14.25" customHeight="1">
      <c r="A587" s="52"/>
      <c r="B587" s="52"/>
      <c r="C587" s="53"/>
      <c r="D587" s="53"/>
      <c r="E587" s="53"/>
      <c r="F587" s="53"/>
      <c r="G587" s="53"/>
      <c r="H587" s="1"/>
      <c r="I587" s="1"/>
      <c r="J587" s="1"/>
    </row>
    <row r="588" ht="14.25" customHeight="1">
      <c r="A588" s="52"/>
      <c r="B588" s="52"/>
      <c r="C588" s="53"/>
      <c r="D588" s="53"/>
      <c r="E588" s="53"/>
      <c r="F588" s="53"/>
      <c r="G588" s="53"/>
      <c r="H588" s="1"/>
      <c r="I588" s="1"/>
      <c r="J588" s="1"/>
    </row>
    <row r="589" ht="14.25" customHeight="1">
      <c r="A589" s="52"/>
      <c r="B589" s="52"/>
      <c r="C589" s="53"/>
      <c r="D589" s="53"/>
      <c r="E589" s="53"/>
      <c r="F589" s="53"/>
      <c r="G589" s="53"/>
      <c r="H589" s="1"/>
      <c r="I589" s="1"/>
      <c r="J589" s="1"/>
    </row>
    <row r="590" ht="14.25" customHeight="1">
      <c r="A590" s="52"/>
      <c r="B590" s="52"/>
      <c r="C590" s="53"/>
      <c r="D590" s="53"/>
      <c r="E590" s="53"/>
      <c r="F590" s="53"/>
      <c r="G590" s="53"/>
      <c r="H590" s="1"/>
      <c r="I590" s="1"/>
      <c r="J590" s="1"/>
    </row>
    <row r="591" ht="14.25" customHeight="1">
      <c r="A591" s="52"/>
      <c r="B591" s="52"/>
      <c r="C591" s="53"/>
      <c r="D591" s="53"/>
      <c r="E591" s="53"/>
      <c r="F591" s="53"/>
      <c r="G591" s="53"/>
      <c r="H591" s="1"/>
      <c r="I591" s="1"/>
      <c r="J591" s="1"/>
    </row>
    <row r="592" ht="14.25" customHeight="1">
      <c r="A592" s="52"/>
      <c r="B592" s="52"/>
      <c r="C592" s="53"/>
      <c r="D592" s="53"/>
      <c r="E592" s="53"/>
      <c r="F592" s="53"/>
      <c r="G592" s="53"/>
      <c r="H592" s="1"/>
      <c r="I592" s="1"/>
      <c r="J592" s="1"/>
    </row>
    <row r="593" ht="14.25" customHeight="1">
      <c r="A593" s="52"/>
      <c r="B593" s="52"/>
      <c r="C593" s="53"/>
      <c r="D593" s="53"/>
      <c r="E593" s="53"/>
      <c r="F593" s="53"/>
      <c r="G593" s="53"/>
      <c r="H593" s="1"/>
      <c r="I593" s="1"/>
      <c r="J593" s="1"/>
    </row>
    <row r="594" ht="14.25" customHeight="1">
      <c r="A594" s="52"/>
      <c r="B594" s="52"/>
      <c r="C594" s="53"/>
      <c r="D594" s="53"/>
      <c r="E594" s="53"/>
      <c r="F594" s="53"/>
      <c r="G594" s="53"/>
      <c r="H594" s="1"/>
      <c r="I594" s="1"/>
      <c r="J594" s="1"/>
    </row>
    <row r="595" ht="14.25" customHeight="1">
      <c r="A595" s="52"/>
      <c r="B595" s="52"/>
      <c r="C595" s="53"/>
      <c r="D595" s="53"/>
      <c r="E595" s="53"/>
      <c r="F595" s="53"/>
      <c r="G595" s="53"/>
      <c r="H595" s="1"/>
      <c r="I595" s="1"/>
      <c r="J595" s="1"/>
    </row>
    <row r="596" ht="14.25" customHeight="1">
      <c r="A596" s="52"/>
      <c r="B596" s="52"/>
      <c r="C596" s="53"/>
      <c r="D596" s="53"/>
      <c r="E596" s="53"/>
      <c r="F596" s="53"/>
      <c r="G596" s="53"/>
      <c r="H596" s="1"/>
      <c r="I596" s="1"/>
      <c r="J596" s="1"/>
    </row>
    <row r="597" ht="14.25" customHeight="1">
      <c r="A597" s="52"/>
      <c r="B597" s="52"/>
      <c r="C597" s="53"/>
      <c r="D597" s="53"/>
      <c r="E597" s="53"/>
      <c r="F597" s="53"/>
      <c r="G597" s="53"/>
      <c r="H597" s="1"/>
      <c r="I597" s="1"/>
      <c r="J597" s="1"/>
    </row>
    <row r="598" ht="14.25" customHeight="1">
      <c r="A598" s="52"/>
      <c r="B598" s="52"/>
      <c r="C598" s="53"/>
      <c r="D598" s="53"/>
      <c r="E598" s="53"/>
      <c r="F598" s="53"/>
      <c r="G598" s="53"/>
      <c r="H598" s="1"/>
      <c r="I598" s="1"/>
      <c r="J598" s="1"/>
    </row>
    <row r="599" ht="14.25" customHeight="1">
      <c r="A599" s="52"/>
      <c r="B599" s="52"/>
      <c r="C599" s="53"/>
      <c r="D599" s="53"/>
      <c r="E599" s="53"/>
      <c r="F599" s="53"/>
      <c r="G599" s="53"/>
      <c r="H599" s="1"/>
      <c r="I599" s="1"/>
      <c r="J599" s="1"/>
    </row>
    <row r="600" ht="14.25" customHeight="1">
      <c r="A600" s="52"/>
      <c r="B600" s="52"/>
      <c r="C600" s="53"/>
      <c r="D600" s="53"/>
      <c r="E600" s="53"/>
      <c r="F600" s="53"/>
      <c r="G600" s="53"/>
      <c r="H600" s="1"/>
      <c r="I600" s="1"/>
      <c r="J600" s="1"/>
    </row>
    <row r="601" ht="14.25" customHeight="1">
      <c r="A601" s="52"/>
      <c r="B601" s="52"/>
      <c r="C601" s="53"/>
      <c r="D601" s="53"/>
      <c r="E601" s="53"/>
      <c r="F601" s="53"/>
      <c r="G601" s="53"/>
      <c r="H601" s="1"/>
      <c r="I601" s="1"/>
      <c r="J601" s="1"/>
    </row>
    <row r="602" ht="14.25" customHeight="1">
      <c r="A602" s="52"/>
      <c r="B602" s="52"/>
      <c r="C602" s="53"/>
      <c r="D602" s="53"/>
      <c r="E602" s="53"/>
      <c r="F602" s="53"/>
      <c r="G602" s="53"/>
      <c r="H602" s="1"/>
      <c r="I602" s="1"/>
      <c r="J602" s="1"/>
    </row>
    <row r="603" ht="14.25" customHeight="1">
      <c r="A603" s="52"/>
      <c r="B603" s="52"/>
      <c r="C603" s="53"/>
      <c r="D603" s="53"/>
      <c r="E603" s="53"/>
      <c r="F603" s="53"/>
      <c r="G603" s="53"/>
      <c r="H603" s="1"/>
      <c r="I603" s="1"/>
      <c r="J603" s="1"/>
    </row>
    <row r="604" ht="14.25" customHeight="1">
      <c r="A604" s="52"/>
      <c r="B604" s="52"/>
      <c r="C604" s="53"/>
      <c r="D604" s="53"/>
      <c r="E604" s="53"/>
      <c r="F604" s="53"/>
      <c r="G604" s="53"/>
      <c r="H604" s="1"/>
      <c r="I604" s="1"/>
      <c r="J604" s="1"/>
    </row>
    <row r="605" ht="14.25" customHeight="1">
      <c r="A605" s="52"/>
      <c r="B605" s="52"/>
      <c r="C605" s="53"/>
      <c r="D605" s="53"/>
      <c r="E605" s="53"/>
      <c r="F605" s="53"/>
      <c r="G605" s="53"/>
      <c r="H605" s="1"/>
      <c r="I605" s="1"/>
      <c r="J605" s="1"/>
    </row>
    <row r="606" ht="14.25" customHeight="1">
      <c r="A606" s="52"/>
      <c r="B606" s="52"/>
      <c r="C606" s="53"/>
      <c r="D606" s="53"/>
      <c r="E606" s="53"/>
      <c r="F606" s="53"/>
      <c r="G606" s="53"/>
      <c r="H606" s="1"/>
      <c r="I606" s="1"/>
      <c r="J606" s="1"/>
    </row>
    <row r="607" ht="14.25" customHeight="1">
      <c r="A607" s="52"/>
      <c r="B607" s="52"/>
      <c r="C607" s="53"/>
      <c r="D607" s="53"/>
      <c r="E607" s="53"/>
      <c r="F607" s="53"/>
      <c r="G607" s="53"/>
      <c r="H607" s="1"/>
      <c r="I607" s="1"/>
      <c r="J607" s="1"/>
    </row>
    <row r="608" ht="14.25" customHeight="1">
      <c r="A608" s="52"/>
      <c r="B608" s="52"/>
      <c r="C608" s="53"/>
      <c r="D608" s="53"/>
      <c r="E608" s="53"/>
      <c r="F608" s="53"/>
      <c r="G608" s="53"/>
      <c r="H608" s="1"/>
      <c r="I608" s="1"/>
      <c r="J608" s="1"/>
    </row>
    <row r="609" ht="14.25" customHeight="1">
      <c r="A609" s="52"/>
      <c r="B609" s="52"/>
      <c r="C609" s="53"/>
      <c r="D609" s="53"/>
      <c r="E609" s="53"/>
      <c r="F609" s="53"/>
      <c r="G609" s="53"/>
      <c r="H609" s="1"/>
      <c r="I609" s="1"/>
      <c r="J609" s="1"/>
    </row>
    <row r="610" ht="14.25" customHeight="1">
      <c r="A610" s="52"/>
      <c r="B610" s="52"/>
      <c r="C610" s="53"/>
      <c r="D610" s="53"/>
      <c r="E610" s="53"/>
      <c r="F610" s="53"/>
      <c r="G610" s="53"/>
      <c r="H610" s="1"/>
      <c r="I610" s="1"/>
      <c r="J610" s="1"/>
    </row>
    <row r="611" ht="14.25" customHeight="1">
      <c r="A611" s="52"/>
      <c r="B611" s="52"/>
      <c r="C611" s="53"/>
      <c r="D611" s="53"/>
      <c r="E611" s="53"/>
      <c r="F611" s="53"/>
      <c r="G611" s="53"/>
      <c r="H611" s="1"/>
      <c r="I611" s="1"/>
      <c r="J611" s="1"/>
    </row>
    <row r="612" ht="14.25" customHeight="1">
      <c r="A612" s="52"/>
      <c r="B612" s="52"/>
      <c r="C612" s="53"/>
      <c r="D612" s="53"/>
      <c r="E612" s="53"/>
      <c r="F612" s="53"/>
      <c r="G612" s="53"/>
      <c r="H612" s="1"/>
      <c r="I612" s="1"/>
      <c r="J612" s="1"/>
    </row>
    <row r="613" ht="14.25" customHeight="1">
      <c r="A613" s="52"/>
      <c r="B613" s="52"/>
      <c r="C613" s="53"/>
      <c r="D613" s="53"/>
      <c r="E613" s="53"/>
      <c r="F613" s="53"/>
      <c r="G613" s="53"/>
      <c r="H613" s="1"/>
      <c r="I613" s="1"/>
      <c r="J613" s="1"/>
    </row>
    <row r="614" ht="14.25" customHeight="1">
      <c r="A614" s="52"/>
      <c r="B614" s="52"/>
      <c r="C614" s="53"/>
      <c r="D614" s="53"/>
      <c r="E614" s="53"/>
      <c r="F614" s="53"/>
      <c r="G614" s="53"/>
      <c r="H614" s="1"/>
      <c r="I614" s="1"/>
      <c r="J614" s="1"/>
    </row>
    <row r="615" ht="14.25" customHeight="1">
      <c r="A615" s="52"/>
      <c r="B615" s="52"/>
      <c r="C615" s="53"/>
      <c r="D615" s="53"/>
      <c r="E615" s="53"/>
      <c r="F615" s="53"/>
      <c r="G615" s="53"/>
      <c r="H615" s="1"/>
      <c r="I615" s="1"/>
      <c r="J615" s="1"/>
    </row>
    <row r="616" ht="14.25" customHeight="1">
      <c r="A616" s="52"/>
      <c r="B616" s="52"/>
      <c r="C616" s="53"/>
      <c r="D616" s="53"/>
      <c r="E616" s="53"/>
      <c r="F616" s="53"/>
      <c r="G616" s="53"/>
      <c r="H616" s="1"/>
      <c r="I616" s="1"/>
      <c r="J616" s="1"/>
    </row>
    <row r="617" ht="14.25" customHeight="1">
      <c r="A617" s="52"/>
      <c r="B617" s="52"/>
      <c r="C617" s="53"/>
      <c r="D617" s="53"/>
      <c r="E617" s="53"/>
      <c r="F617" s="53"/>
      <c r="G617" s="53"/>
      <c r="H617" s="1"/>
      <c r="I617" s="1"/>
      <c r="J617" s="1"/>
    </row>
    <row r="618" ht="14.25" customHeight="1">
      <c r="A618" s="52"/>
      <c r="B618" s="52"/>
      <c r="C618" s="53"/>
      <c r="D618" s="53"/>
      <c r="E618" s="53"/>
      <c r="F618" s="53"/>
      <c r="G618" s="53"/>
      <c r="H618" s="1"/>
      <c r="I618" s="1"/>
      <c r="J618" s="1"/>
    </row>
    <row r="619" ht="14.25" customHeight="1">
      <c r="A619" s="52"/>
      <c r="B619" s="52"/>
      <c r="C619" s="53"/>
      <c r="D619" s="53"/>
      <c r="E619" s="53"/>
      <c r="F619" s="53"/>
      <c r="G619" s="53"/>
      <c r="H619" s="1"/>
      <c r="I619" s="1"/>
      <c r="J619" s="1"/>
    </row>
    <row r="620" ht="14.25" customHeight="1">
      <c r="A620" s="52"/>
      <c r="B620" s="52"/>
      <c r="C620" s="53"/>
      <c r="D620" s="53"/>
      <c r="E620" s="53"/>
      <c r="F620" s="53"/>
      <c r="G620" s="53"/>
      <c r="H620" s="1"/>
      <c r="I620" s="1"/>
      <c r="J620" s="1"/>
    </row>
    <row r="621" ht="14.25" customHeight="1">
      <c r="A621" s="52"/>
      <c r="B621" s="52"/>
      <c r="C621" s="53"/>
      <c r="D621" s="53"/>
      <c r="E621" s="53"/>
      <c r="F621" s="53"/>
      <c r="G621" s="53"/>
      <c r="H621" s="1"/>
      <c r="I621" s="1"/>
      <c r="J621" s="1"/>
    </row>
    <row r="622" ht="14.25" customHeight="1">
      <c r="A622" s="52"/>
      <c r="B622" s="52"/>
      <c r="C622" s="53"/>
      <c r="D622" s="53"/>
      <c r="E622" s="53"/>
      <c r="F622" s="53"/>
      <c r="G622" s="53"/>
      <c r="H622" s="1"/>
      <c r="I622" s="1"/>
      <c r="J622" s="1"/>
    </row>
    <row r="623" ht="14.25" customHeight="1">
      <c r="A623" s="52"/>
      <c r="B623" s="52"/>
      <c r="C623" s="53"/>
      <c r="D623" s="53"/>
      <c r="E623" s="53"/>
      <c r="F623" s="53"/>
      <c r="G623" s="53"/>
      <c r="H623" s="1"/>
      <c r="I623" s="1"/>
      <c r="J623" s="1"/>
    </row>
    <row r="624" ht="14.25" customHeight="1">
      <c r="A624" s="52"/>
      <c r="B624" s="52"/>
      <c r="C624" s="53"/>
      <c r="D624" s="53"/>
      <c r="E624" s="53"/>
      <c r="F624" s="53"/>
      <c r="G624" s="53"/>
      <c r="H624" s="1"/>
      <c r="I624" s="1"/>
      <c r="J624" s="1"/>
    </row>
    <row r="625" ht="14.25" customHeight="1">
      <c r="A625" s="52"/>
      <c r="B625" s="52"/>
      <c r="C625" s="53"/>
      <c r="D625" s="53"/>
      <c r="E625" s="53"/>
      <c r="F625" s="53"/>
      <c r="G625" s="53"/>
      <c r="H625" s="1"/>
      <c r="I625" s="1"/>
      <c r="J625" s="1"/>
    </row>
    <row r="626" ht="14.25" customHeight="1">
      <c r="A626" s="52"/>
      <c r="B626" s="52"/>
      <c r="C626" s="53"/>
      <c r="D626" s="53"/>
      <c r="E626" s="53"/>
      <c r="F626" s="53"/>
      <c r="G626" s="53"/>
      <c r="H626" s="1"/>
      <c r="I626" s="1"/>
      <c r="J626" s="1"/>
    </row>
    <row r="627" ht="14.25" customHeight="1">
      <c r="A627" s="52"/>
      <c r="B627" s="52"/>
      <c r="C627" s="53"/>
      <c r="D627" s="53"/>
      <c r="E627" s="53"/>
      <c r="F627" s="53"/>
      <c r="G627" s="53"/>
      <c r="H627" s="1"/>
      <c r="I627" s="1"/>
      <c r="J627" s="1"/>
    </row>
    <row r="628" ht="14.25" customHeight="1">
      <c r="A628" s="52"/>
      <c r="B628" s="52"/>
      <c r="C628" s="53"/>
      <c r="D628" s="53"/>
      <c r="E628" s="53"/>
      <c r="F628" s="53"/>
      <c r="G628" s="53"/>
      <c r="H628" s="1"/>
      <c r="I628" s="1"/>
      <c r="J628" s="1"/>
    </row>
    <row r="629" ht="14.25" customHeight="1">
      <c r="A629" s="52"/>
      <c r="B629" s="52"/>
      <c r="C629" s="53"/>
      <c r="D629" s="53"/>
      <c r="E629" s="53"/>
      <c r="F629" s="53"/>
      <c r="G629" s="53"/>
      <c r="H629" s="1"/>
      <c r="I629" s="1"/>
      <c r="J629" s="1"/>
    </row>
    <row r="630" ht="14.25" customHeight="1">
      <c r="A630" s="52"/>
      <c r="B630" s="52"/>
      <c r="C630" s="53"/>
      <c r="D630" s="53"/>
      <c r="E630" s="53"/>
      <c r="F630" s="53"/>
      <c r="G630" s="53"/>
      <c r="H630" s="1"/>
      <c r="I630" s="1"/>
      <c r="J630" s="1"/>
    </row>
    <row r="631" ht="14.25" customHeight="1">
      <c r="A631" s="52"/>
      <c r="B631" s="52"/>
      <c r="C631" s="53"/>
      <c r="D631" s="53"/>
      <c r="E631" s="53"/>
      <c r="F631" s="53"/>
      <c r="G631" s="53"/>
      <c r="H631" s="1"/>
      <c r="I631" s="1"/>
      <c r="J631" s="1"/>
    </row>
    <row r="632" ht="14.25" customHeight="1">
      <c r="A632" s="52"/>
      <c r="B632" s="52"/>
      <c r="C632" s="53"/>
      <c r="D632" s="53"/>
      <c r="E632" s="53"/>
      <c r="F632" s="53"/>
      <c r="G632" s="53"/>
      <c r="H632" s="1"/>
      <c r="I632" s="1"/>
      <c r="J632" s="1"/>
    </row>
    <row r="633" ht="14.25" customHeight="1">
      <c r="A633" s="52"/>
      <c r="B633" s="52"/>
      <c r="C633" s="53"/>
      <c r="D633" s="53"/>
      <c r="E633" s="53"/>
      <c r="F633" s="53"/>
      <c r="G633" s="53"/>
      <c r="H633" s="1"/>
      <c r="I633" s="1"/>
      <c r="J633" s="1"/>
    </row>
    <row r="634" ht="14.25" customHeight="1">
      <c r="A634" s="52"/>
      <c r="B634" s="52"/>
      <c r="C634" s="53"/>
      <c r="D634" s="53"/>
      <c r="E634" s="53"/>
      <c r="F634" s="53"/>
      <c r="G634" s="53"/>
      <c r="H634" s="1"/>
      <c r="I634" s="1"/>
      <c r="J634" s="1"/>
    </row>
    <row r="635" ht="14.25" customHeight="1">
      <c r="A635" s="52"/>
      <c r="B635" s="52"/>
      <c r="C635" s="53"/>
      <c r="D635" s="53"/>
      <c r="E635" s="53"/>
      <c r="F635" s="53"/>
      <c r="G635" s="53"/>
      <c r="H635" s="1"/>
      <c r="I635" s="1"/>
      <c r="J635" s="1"/>
    </row>
    <row r="636" ht="14.25" customHeight="1">
      <c r="A636" s="52"/>
      <c r="B636" s="52"/>
      <c r="C636" s="53"/>
      <c r="D636" s="53"/>
      <c r="E636" s="53"/>
      <c r="F636" s="53"/>
      <c r="G636" s="53"/>
      <c r="H636" s="1"/>
      <c r="I636" s="1"/>
      <c r="J636" s="1"/>
    </row>
    <row r="637" ht="14.25" customHeight="1">
      <c r="A637" s="52"/>
      <c r="B637" s="52"/>
      <c r="C637" s="53"/>
      <c r="D637" s="53"/>
      <c r="E637" s="53"/>
      <c r="F637" s="53"/>
      <c r="G637" s="53"/>
      <c r="H637" s="1"/>
      <c r="I637" s="1"/>
      <c r="J637" s="1"/>
    </row>
    <row r="638" ht="14.25" customHeight="1">
      <c r="A638" s="52"/>
      <c r="B638" s="52"/>
      <c r="C638" s="53"/>
      <c r="D638" s="53"/>
      <c r="E638" s="53"/>
      <c r="F638" s="53"/>
      <c r="G638" s="53"/>
      <c r="H638" s="1"/>
      <c r="I638" s="1"/>
      <c r="J638" s="1"/>
    </row>
    <row r="639" ht="14.25" customHeight="1">
      <c r="A639" s="52"/>
      <c r="B639" s="52"/>
      <c r="C639" s="53"/>
      <c r="D639" s="53"/>
      <c r="E639" s="53"/>
      <c r="F639" s="53"/>
      <c r="G639" s="53"/>
      <c r="H639" s="1"/>
      <c r="I639" s="1"/>
      <c r="J639" s="1"/>
    </row>
    <row r="640" ht="14.25" customHeight="1">
      <c r="A640" s="52"/>
      <c r="B640" s="52"/>
      <c r="C640" s="53"/>
      <c r="D640" s="53"/>
      <c r="E640" s="53"/>
      <c r="F640" s="53"/>
      <c r="G640" s="53"/>
      <c r="H640" s="1"/>
      <c r="I640" s="1"/>
      <c r="J640" s="1"/>
    </row>
    <row r="641" ht="14.25" customHeight="1">
      <c r="A641" s="52"/>
      <c r="B641" s="52"/>
      <c r="C641" s="53"/>
      <c r="D641" s="53"/>
      <c r="E641" s="53"/>
      <c r="F641" s="53"/>
      <c r="G641" s="53"/>
      <c r="H641" s="1"/>
      <c r="I641" s="1"/>
      <c r="J641" s="1"/>
    </row>
    <row r="642" ht="14.25" customHeight="1">
      <c r="A642" s="52"/>
      <c r="B642" s="52"/>
      <c r="C642" s="53"/>
      <c r="D642" s="53"/>
      <c r="E642" s="53"/>
      <c r="F642" s="53"/>
      <c r="G642" s="53"/>
      <c r="H642" s="1"/>
      <c r="I642" s="1"/>
      <c r="J642" s="1"/>
    </row>
    <row r="643" ht="14.25" customHeight="1">
      <c r="A643" s="52"/>
      <c r="B643" s="52"/>
      <c r="C643" s="53"/>
      <c r="D643" s="53"/>
      <c r="E643" s="53"/>
      <c r="F643" s="53"/>
      <c r="G643" s="53"/>
      <c r="H643" s="1"/>
      <c r="I643" s="1"/>
      <c r="J643" s="1"/>
    </row>
    <row r="644" ht="14.25" customHeight="1">
      <c r="A644" s="52"/>
      <c r="B644" s="52"/>
      <c r="C644" s="53"/>
      <c r="D644" s="53"/>
      <c r="E644" s="53"/>
      <c r="F644" s="53"/>
      <c r="G644" s="53"/>
      <c r="H644" s="1"/>
      <c r="I644" s="1"/>
      <c r="J644" s="1"/>
    </row>
    <row r="645" ht="14.25" customHeight="1">
      <c r="A645" s="52"/>
      <c r="B645" s="52"/>
      <c r="C645" s="53"/>
      <c r="D645" s="53"/>
      <c r="E645" s="53"/>
      <c r="F645" s="53"/>
      <c r="G645" s="53"/>
      <c r="H645" s="1"/>
      <c r="I645" s="1"/>
      <c r="J645" s="1"/>
    </row>
    <row r="646" ht="14.25" customHeight="1">
      <c r="A646" s="52"/>
      <c r="B646" s="52"/>
      <c r="C646" s="53"/>
      <c r="D646" s="53"/>
      <c r="E646" s="53"/>
      <c r="F646" s="53"/>
      <c r="G646" s="53"/>
      <c r="H646" s="1"/>
      <c r="I646" s="1"/>
      <c r="J646" s="1"/>
    </row>
    <row r="647" ht="14.25" customHeight="1">
      <c r="A647" s="52"/>
      <c r="B647" s="52"/>
      <c r="C647" s="53"/>
      <c r="D647" s="53"/>
      <c r="E647" s="53"/>
      <c r="F647" s="53"/>
      <c r="G647" s="53"/>
      <c r="H647" s="1"/>
      <c r="I647" s="1"/>
      <c r="J647" s="1"/>
    </row>
    <row r="648" ht="14.25" customHeight="1">
      <c r="A648" s="52"/>
      <c r="B648" s="52"/>
      <c r="C648" s="53"/>
      <c r="D648" s="53"/>
      <c r="E648" s="53"/>
      <c r="F648" s="53"/>
      <c r="G648" s="53"/>
      <c r="H648" s="1"/>
      <c r="I648" s="1"/>
      <c r="J648" s="1"/>
    </row>
    <row r="649" ht="14.25" customHeight="1">
      <c r="A649" s="52"/>
      <c r="B649" s="52"/>
      <c r="C649" s="53"/>
      <c r="D649" s="53"/>
      <c r="E649" s="53"/>
      <c r="F649" s="53"/>
      <c r="G649" s="53"/>
      <c r="H649" s="1"/>
      <c r="I649" s="1"/>
      <c r="J649" s="1"/>
    </row>
    <row r="650" ht="14.25" customHeight="1">
      <c r="A650" s="52"/>
      <c r="B650" s="52"/>
      <c r="C650" s="53"/>
      <c r="D650" s="53"/>
      <c r="E650" s="53"/>
      <c r="F650" s="53"/>
      <c r="G650" s="53"/>
      <c r="H650" s="1"/>
      <c r="I650" s="1"/>
      <c r="J650" s="1"/>
    </row>
    <row r="651" ht="14.25" customHeight="1">
      <c r="A651" s="52"/>
      <c r="B651" s="52"/>
      <c r="C651" s="53"/>
      <c r="D651" s="53"/>
      <c r="E651" s="53"/>
      <c r="F651" s="53"/>
      <c r="G651" s="53"/>
      <c r="H651" s="1"/>
      <c r="I651" s="1"/>
      <c r="J651" s="1"/>
    </row>
    <row r="652" ht="14.25" customHeight="1">
      <c r="A652" s="52"/>
      <c r="B652" s="52"/>
      <c r="C652" s="53"/>
      <c r="D652" s="53"/>
      <c r="E652" s="53"/>
      <c r="F652" s="53"/>
      <c r="G652" s="53"/>
      <c r="H652" s="1"/>
      <c r="I652" s="1"/>
      <c r="J652" s="1"/>
    </row>
    <row r="653" ht="14.25" customHeight="1">
      <c r="A653" s="52"/>
      <c r="B653" s="52"/>
      <c r="C653" s="53"/>
      <c r="D653" s="53"/>
      <c r="E653" s="53"/>
      <c r="F653" s="53"/>
      <c r="G653" s="53"/>
      <c r="H653" s="1"/>
      <c r="I653" s="1"/>
      <c r="J653" s="1"/>
    </row>
    <row r="654" ht="14.25" customHeight="1">
      <c r="A654" s="52"/>
      <c r="B654" s="52"/>
      <c r="C654" s="53"/>
      <c r="D654" s="53"/>
      <c r="E654" s="53"/>
      <c r="F654" s="53"/>
      <c r="G654" s="53"/>
      <c r="H654" s="1"/>
      <c r="I654" s="1"/>
      <c r="J654" s="1"/>
    </row>
    <row r="655" ht="14.25" customHeight="1">
      <c r="A655" s="52"/>
      <c r="B655" s="52"/>
      <c r="C655" s="53"/>
      <c r="D655" s="53"/>
      <c r="E655" s="53"/>
      <c r="F655" s="53"/>
      <c r="G655" s="53"/>
      <c r="H655" s="1"/>
      <c r="I655" s="1"/>
      <c r="J655" s="1"/>
    </row>
    <row r="656" ht="14.25" customHeight="1">
      <c r="A656" s="52"/>
      <c r="B656" s="52"/>
      <c r="C656" s="53"/>
      <c r="D656" s="53"/>
      <c r="E656" s="53"/>
      <c r="F656" s="53"/>
      <c r="G656" s="53"/>
      <c r="H656" s="1"/>
      <c r="I656" s="1"/>
      <c r="J656" s="1"/>
    </row>
    <row r="657" ht="14.25" customHeight="1">
      <c r="A657" s="52"/>
      <c r="B657" s="52"/>
      <c r="C657" s="53"/>
      <c r="D657" s="53"/>
      <c r="E657" s="53"/>
      <c r="F657" s="53"/>
      <c r="G657" s="53"/>
      <c r="H657" s="1"/>
      <c r="I657" s="1"/>
      <c r="J657" s="1"/>
    </row>
    <row r="658" ht="14.25" customHeight="1">
      <c r="A658" s="52"/>
      <c r="B658" s="52"/>
      <c r="C658" s="53"/>
      <c r="D658" s="53"/>
      <c r="E658" s="53"/>
      <c r="F658" s="53"/>
      <c r="G658" s="53"/>
      <c r="H658" s="1"/>
      <c r="I658" s="1"/>
      <c r="J658" s="1"/>
    </row>
    <row r="659" ht="14.25" customHeight="1">
      <c r="A659" s="52"/>
      <c r="B659" s="52"/>
      <c r="C659" s="53"/>
      <c r="D659" s="53"/>
      <c r="E659" s="53"/>
      <c r="F659" s="53"/>
      <c r="G659" s="53"/>
      <c r="H659" s="1"/>
      <c r="I659" s="1"/>
      <c r="J659" s="1"/>
    </row>
    <row r="660" ht="14.25" customHeight="1">
      <c r="A660" s="52"/>
      <c r="B660" s="52"/>
      <c r="C660" s="53"/>
      <c r="D660" s="53"/>
      <c r="E660" s="53"/>
      <c r="F660" s="53"/>
      <c r="G660" s="53"/>
      <c r="H660" s="1"/>
      <c r="I660" s="1"/>
      <c r="J660" s="1"/>
    </row>
    <row r="661" ht="14.25" customHeight="1">
      <c r="A661" s="52"/>
      <c r="B661" s="52"/>
      <c r="C661" s="53"/>
      <c r="D661" s="53"/>
      <c r="E661" s="53"/>
      <c r="F661" s="53"/>
      <c r="G661" s="53"/>
      <c r="H661" s="1"/>
      <c r="I661" s="1"/>
      <c r="J661" s="1"/>
    </row>
    <row r="662" ht="14.25" customHeight="1">
      <c r="A662" s="52"/>
      <c r="B662" s="52"/>
      <c r="C662" s="53"/>
      <c r="D662" s="53"/>
      <c r="E662" s="53"/>
      <c r="F662" s="53"/>
      <c r="G662" s="53"/>
      <c r="H662" s="1"/>
      <c r="I662" s="1"/>
      <c r="J662" s="1"/>
    </row>
    <row r="663" ht="14.25" customHeight="1">
      <c r="A663" s="52"/>
      <c r="B663" s="52"/>
      <c r="C663" s="53"/>
      <c r="D663" s="53"/>
      <c r="E663" s="53"/>
      <c r="F663" s="53"/>
      <c r="G663" s="53"/>
      <c r="H663" s="1"/>
      <c r="I663" s="1"/>
      <c r="J663" s="1"/>
    </row>
    <row r="664" ht="14.25" customHeight="1">
      <c r="A664" s="52"/>
      <c r="B664" s="52"/>
      <c r="C664" s="53"/>
      <c r="D664" s="53"/>
      <c r="E664" s="53"/>
      <c r="F664" s="53"/>
      <c r="G664" s="53"/>
      <c r="H664" s="1"/>
      <c r="I664" s="1"/>
      <c r="J664" s="1"/>
    </row>
    <row r="665" ht="14.25" customHeight="1">
      <c r="A665" s="52"/>
      <c r="B665" s="52"/>
      <c r="C665" s="53"/>
      <c r="D665" s="53"/>
      <c r="E665" s="53"/>
      <c r="F665" s="53"/>
      <c r="G665" s="53"/>
      <c r="H665" s="1"/>
      <c r="I665" s="1"/>
      <c r="J665" s="1"/>
    </row>
    <row r="666" ht="14.25" customHeight="1">
      <c r="A666" s="52"/>
      <c r="B666" s="52"/>
      <c r="C666" s="53"/>
      <c r="D666" s="53"/>
      <c r="E666" s="53"/>
      <c r="F666" s="53"/>
      <c r="G666" s="53"/>
      <c r="H666" s="1"/>
      <c r="I666" s="1"/>
      <c r="J666" s="1"/>
    </row>
    <row r="667" ht="14.25" customHeight="1">
      <c r="A667" s="52"/>
      <c r="B667" s="52"/>
      <c r="C667" s="53"/>
      <c r="D667" s="53"/>
      <c r="E667" s="53"/>
      <c r="F667" s="53"/>
      <c r="G667" s="53"/>
      <c r="H667" s="1"/>
      <c r="I667" s="1"/>
      <c r="J667" s="1"/>
    </row>
    <row r="668" ht="14.25" customHeight="1">
      <c r="A668" s="52"/>
      <c r="B668" s="52"/>
      <c r="C668" s="53"/>
      <c r="D668" s="53"/>
      <c r="E668" s="53"/>
      <c r="F668" s="53"/>
      <c r="G668" s="53"/>
      <c r="H668" s="1"/>
      <c r="I668" s="1"/>
      <c r="J668" s="1"/>
    </row>
    <row r="669" ht="14.25" customHeight="1">
      <c r="A669" s="52"/>
      <c r="B669" s="52"/>
      <c r="C669" s="53"/>
      <c r="D669" s="53"/>
      <c r="E669" s="53"/>
      <c r="F669" s="53"/>
      <c r="G669" s="53"/>
      <c r="H669" s="1"/>
      <c r="I669" s="1"/>
      <c r="J669" s="1"/>
    </row>
    <row r="670" ht="14.25" customHeight="1">
      <c r="A670" s="52"/>
      <c r="B670" s="52"/>
      <c r="C670" s="53"/>
      <c r="D670" s="53"/>
      <c r="E670" s="53"/>
      <c r="F670" s="53"/>
      <c r="G670" s="53"/>
      <c r="H670" s="1"/>
      <c r="I670" s="1"/>
      <c r="J670" s="1"/>
    </row>
    <row r="671" ht="14.25" customHeight="1">
      <c r="A671" s="52"/>
      <c r="B671" s="52"/>
      <c r="C671" s="53"/>
      <c r="D671" s="53"/>
      <c r="E671" s="53"/>
      <c r="F671" s="53"/>
      <c r="G671" s="53"/>
      <c r="H671" s="1"/>
      <c r="I671" s="1"/>
      <c r="J671" s="1"/>
    </row>
    <row r="672" ht="14.25" customHeight="1">
      <c r="A672" s="52"/>
      <c r="B672" s="52"/>
      <c r="C672" s="53"/>
      <c r="D672" s="53"/>
      <c r="E672" s="53"/>
      <c r="F672" s="53"/>
      <c r="G672" s="53"/>
      <c r="H672" s="1"/>
      <c r="I672" s="1"/>
      <c r="J672" s="1"/>
    </row>
    <row r="673" ht="14.25" customHeight="1">
      <c r="A673" s="52"/>
      <c r="B673" s="52"/>
      <c r="C673" s="53"/>
      <c r="D673" s="53"/>
      <c r="E673" s="53"/>
      <c r="F673" s="53"/>
      <c r="G673" s="53"/>
      <c r="H673" s="1"/>
      <c r="I673" s="1"/>
      <c r="J673" s="1"/>
    </row>
    <row r="674" ht="14.25" customHeight="1">
      <c r="A674" s="52"/>
      <c r="B674" s="52"/>
      <c r="C674" s="53"/>
      <c r="D674" s="53"/>
      <c r="E674" s="53"/>
      <c r="F674" s="53"/>
      <c r="G674" s="53"/>
      <c r="H674" s="1"/>
      <c r="I674" s="1"/>
      <c r="J674" s="1"/>
    </row>
    <row r="675" ht="14.25" customHeight="1">
      <c r="A675" s="52"/>
      <c r="B675" s="52"/>
      <c r="C675" s="53"/>
      <c r="D675" s="53"/>
      <c r="E675" s="53"/>
      <c r="F675" s="53"/>
      <c r="G675" s="53"/>
      <c r="H675" s="1"/>
      <c r="I675" s="1"/>
      <c r="J675" s="1"/>
    </row>
    <row r="676" ht="14.25" customHeight="1">
      <c r="A676" s="52"/>
      <c r="B676" s="52"/>
      <c r="C676" s="53"/>
      <c r="D676" s="53"/>
      <c r="E676" s="53"/>
      <c r="F676" s="53"/>
      <c r="G676" s="53"/>
      <c r="H676" s="1"/>
      <c r="I676" s="1"/>
      <c r="J676" s="1"/>
    </row>
    <row r="677" ht="14.25" customHeight="1">
      <c r="A677" s="52"/>
      <c r="B677" s="52"/>
      <c r="C677" s="53"/>
      <c r="D677" s="53"/>
      <c r="E677" s="53"/>
      <c r="F677" s="53"/>
      <c r="G677" s="53"/>
      <c r="H677" s="1"/>
      <c r="I677" s="1"/>
      <c r="J677" s="1"/>
    </row>
    <row r="678" ht="14.25" customHeight="1">
      <c r="A678" s="52"/>
      <c r="B678" s="52"/>
      <c r="C678" s="53"/>
      <c r="D678" s="53"/>
      <c r="E678" s="53"/>
      <c r="F678" s="53"/>
      <c r="G678" s="53"/>
      <c r="H678" s="1"/>
      <c r="I678" s="1"/>
      <c r="J678" s="1"/>
    </row>
    <row r="679" ht="14.25" customHeight="1">
      <c r="A679" s="52"/>
      <c r="B679" s="52"/>
      <c r="C679" s="53"/>
      <c r="D679" s="53"/>
      <c r="E679" s="53"/>
      <c r="F679" s="53"/>
      <c r="G679" s="53"/>
      <c r="H679" s="1"/>
      <c r="I679" s="1"/>
      <c r="J679" s="1"/>
    </row>
    <row r="680" ht="14.25" customHeight="1">
      <c r="A680" s="52"/>
      <c r="B680" s="52"/>
      <c r="C680" s="53"/>
      <c r="D680" s="53"/>
      <c r="E680" s="53"/>
      <c r="F680" s="53"/>
      <c r="G680" s="53"/>
      <c r="H680" s="1"/>
      <c r="I680" s="1"/>
      <c r="J680" s="1"/>
    </row>
    <row r="681" ht="14.25" customHeight="1">
      <c r="A681" s="52"/>
      <c r="B681" s="52"/>
      <c r="C681" s="53"/>
      <c r="D681" s="53"/>
      <c r="E681" s="53"/>
      <c r="F681" s="53"/>
      <c r="G681" s="53"/>
      <c r="H681" s="1"/>
      <c r="I681" s="1"/>
      <c r="J681" s="1"/>
    </row>
    <row r="682" ht="14.25" customHeight="1">
      <c r="A682" s="52"/>
      <c r="B682" s="52"/>
      <c r="C682" s="53"/>
      <c r="D682" s="53"/>
      <c r="E682" s="53"/>
      <c r="F682" s="53"/>
      <c r="G682" s="53"/>
      <c r="H682" s="1"/>
      <c r="I682" s="1"/>
      <c r="J682" s="1"/>
    </row>
    <row r="683" ht="14.25" customHeight="1">
      <c r="A683" s="52"/>
      <c r="B683" s="52"/>
      <c r="C683" s="53"/>
      <c r="D683" s="53"/>
      <c r="E683" s="53"/>
      <c r="F683" s="53"/>
      <c r="G683" s="53"/>
      <c r="H683" s="1"/>
      <c r="I683" s="1"/>
      <c r="J683" s="1"/>
    </row>
    <row r="684" ht="14.25" customHeight="1">
      <c r="A684" s="52"/>
      <c r="B684" s="52"/>
      <c r="C684" s="53"/>
      <c r="D684" s="53"/>
      <c r="E684" s="53"/>
      <c r="F684" s="53"/>
      <c r="G684" s="53"/>
      <c r="H684" s="1"/>
      <c r="I684" s="1"/>
      <c r="J684" s="1"/>
    </row>
    <row r="685" ht="14.25" customHeight="1">
      <c r="A685" s="52"/>
      <c r="B685" s="52"/>
      <c r="C685" s="53"/>
      <c r="D685" s="53"/>
      <c r="E685" s="53"/>
      <c r="F685" s="53"/>
      <c r="G685" s="53"/>
      <c r="H685" s="1"/>
      <c r="I685" s="1"/>
      <c r="J685" s="1"/>
    </row>
    <row r="686" ht="14.25" customHeight="1">
      <c r="A686" s="52"/>
      <c r="B686" s="52"/>
      <c r="C686" s="53"/>
      <c r="D686" s="53"/>
      <c r="E686" s="53"/>
      <c r="F686" s="53"/>
      <c r="G686" s="53"/>
      <c r="H686" s="1"/>
      <c r="I686" s="1"/>
      <c r="J686" s="1"/>
    </row>
    <row r="687" ht="14.25" customHeight="1">
      <c r="A687" s="52"/>
      <c r="B687" s="52"/>
      <c r="C687" s="53"/>
      <c r="D687" s="53"/>
      <c r="E687" s="53"/>
      <c r="F687" s="53"/>
      <c r="G687" s="53"/>
      <c r="H687" s="1"/>
      <c r="I687" s="1"/>
      <c r="J687" s="1"/>
    </row>
    <row r="688" ht="14.25" customHeight="1">
      <c r="A688" s="52"/>
      <c r="B688" s="52"/>
      <c r="C688" s="53"/>
      <c r="D688" s="53"/>
      <c r="E688" s="53"/>
      <c r="F688" s="53"/>
      <c r="G688" s="53"/>
      <c r="H688" s="1"/>
      <c r="I688" s="1"/>
      <c r="J688" s="1"/>
    </row>
    <row r="689" ht="14.25" customHeight="1">
      <c r="A689" s="52"/>
      <c r="B689" s="52"/>
      <c r="C689" s="53"/>
      <c r="D689" s="53"/>
      <c r="E689" s="53"/>
      <c r="F689" s="53"/>
      <c r="G689" s="53"/>
      <c r="H689" s="1"/>
      <c r="I689" s="1"/>
      <c r="J689" s="1"/>
    </row>
    <row r="690" ht="14.25" customHeight="1">
      <c r="A690" s="52"/>
      <c r="B690" s="52"/>
      <c r="C690" s="53"/>
      <c r="D690" s="53"/>
      <c r="E690" s="53"/>
      <c r="F690" s="53"/>
      <c r="G690" s="53"/>
      <c r="H690" s="1"/>
      <c r="I690" s="1"/>
      <c r="J690" s="1"/>
    </row>
    <row r="691" ht="14.25" customHeight="1">
      <c r="A691" s="52"/>
      <c r="B691" s="52"/>
      <c r="C691" s="53"/>
      <c r="D691" s="53"/>
      <c r="E691" s="53"/>
      <c r="F691" s="53"/>
      <c r="G691" s="53"/>
      <c r="H691" s="1"/>
      <c r="I691" s="1"/>
      <c r="J691" s="1"/>
    </row>
    <row r="692" ht="14.25" customHeight="1">
      <c r="A692" s="52"/>
      <c r="B692" s="52"/>
      <c r="C692" s="53"/>
      <c r="D692" s="53"/>
      <c r="E692" s="53"/>
      <c r="F692" s="53"/>
      <c r="G692" s="53"/>
      <c r="H692" s="1"/>
      <c r="I692" s="1"/>
      <c r="J692" s="1"/>
    </row>
    <row r="693" ht="14.25" customHeight="1">
      <c r="A693" s="52"/>
      <c r="B693" s="52"/>
      <c r="C693" s="53"/>
      <c r="D693" s="53"/>
      <c r="E693" s="53"/>
      <c r="F693" s="53"/>
      <c r="G693" s="53"/>
      <c r="H693" s="1"/>
      <c r="I693" s="1"/>
      <c r="J693" s="1"/>
    </row>
    <row r="694" ht="14.25" customHeight="1">
      <c r="A694" s="52"/>
      <c r="B694" s="52"/>
      <c r="C694" s="53"/>
      <c r="D694" s="53"/>
      <c r="E694" s="53"/>
      <c r="F694" s="53"/>
      <c r="G694" s="53"/>
      <c r="H694" s="1"/>
      <c r="I694" s="1"/>
      <c r="J694" s="1"/>
    </row>
    <row r="695" ht="14.25" customHeight="1">
      <c r="A695" s="52"/>
      <c r="B695" s="52"/>
      <c r="C695" s="53"/>
      <c r="D695" s="53"/>
      <c r="E695" s="53"/>
      <c r="F695" s="53"/>
      <c r="G695" s="53"/>
      <c r="H695" s="1"/>
      <c r="I695" s="1"/>
      <c r="J695" s="1"/>
    </row>
    <row r="696" ht="14.25" customHeight="1">
      <c r="A696" s="52"/>
      <c r="B696" s="52"/>
      <c r="C696" s="53"/>
      <c r="D696" s="53"/>
      <c r="E696" s="53"/>
      <c r="F696" s="53"/>
      <c r="G696" s="53"/>
      <c r="H696" s="1"/>
      <c r="I696" s="1"/>
      <c r="J696" s="1"/>
    </row>
    <row r="697" ht="14.25" customHeight="1">
      <c r="A697" s="52"/>
      <c r="B697" s="52"/>
      <c r="C697" s="53"/>
      <c r="D697" s="53"/>
      <c r="E697" s="53"/>
      <c r="F697" s="53"/>
      <c r="G697" s="53"/>
      <c r="H697" s="1"/>
      <c r="I697" s="1"/>
      <c r="J697" s="1"/>
    </row>
    <row r="698" ht="14.25" customHeight="1">
      <c r="A698" s="52"/>
      <c r="B698" s="52"/>
      <c r="C698" s="53"/>
      <c r="D698" s="53"/>
      <c r="E698" s="53"/>
      <c r="F698" s="53"/>
      <c r="G698" s="53"/>
      <c r="H698" s="1"/>
      <c r="I698" s="1"/>
      <c r="J698" s="1"/>
    </row>
    <row r="699" ht="14.25" customHeight="1">
      <c r="A699" s="52"/>
      <c r="B699" s="52"/>
      <c r="C699" s="53"/>
      <c r="D699" s="53"/>
      <c r="E699" s="53"/>
      <c r="F699" s="53"/>
      <c r="G699" s="53"/>
      <c r="H699" s="1"/>
      <c r="I699" s="1"/>
      <c r="J699" s="1"/>
    </row>
    <row r="700" ht="14.25" customHeight="1">
      <c r="A700" s="52"/>
      <c r="B700" s="52"/>
      <c r="C700" s="53"/>
      <c r="D700" s="53"/>
      <c r="E700" s="53"/>
      <c r="F700" s="53"/>
      <c r="G700" s="53"/>
      <c r="H700" s="1"/>
      <c r="I700" s="1"/>
      <c r="J700" s="1"/>
    </row>
    <row r="701" ht="14.25" customHeight="1">
      <c r="A701" s="52"/>
      <c r="B701" s="52"/>
      <c r="C701" s="53"/>
      <c r="D701" s="53"/>
      <c r="E701" s="53"/>
      <c r="F701" s="53"/>
      <c r="G701" s="53"/>
      <c r="H701" s="1"/>
      <c r="I701" s="1"/>
      <c r="J701" s="1"/>
    </row>
    <row r="702" ht="14.25" customHeight="1">
      <c r="A702" s="52"/>
      <c r="B702" s="52"/>
      <c r="C702" s="53"/>
      <c r="D702" s="53"/>
      <c r="E702" s="53"/>
      <c r="F702" s="53"/>
      <c r="G702" s="53"/>
      <c r="H702" s="1"/>
      <c r="I702" s="1"/>
      <c r="J702" s="1"/>
    </row>
    <row r="703" ht="14.25" customHeight="1">
      <c r="A703" s="52"/>
      <c r="B703" s="52"/>
      <c r="C703" s="53"/>
      <c r="D703" s="53"/>
      <c r="E703" s="53"/>
      <c r="F703" s="53"/>
      <c r="G703" s="53"/>
      <c r="H703" s="1"/>
      <c r="I703" s="1"/>
      <c r="J703" s="1"/>
    </row>
    <row r="704" ht="14.25" customHeight="1">
      <c r="A704" s="52"/>
      <c r="B704" s="52"/>
      <c r="C704" s="53"/>
      <c r="D704" s="53"/>
      <c r="E704" s="53"/>
      <c r="F704" s="53"/>
      <c r="G704" s="53"/>
      <c r="H704" s="1"/>
      <c r="I704" s="1"/>
      <c r="J704" s="1"/>
    </row>
    <row r="705" ht="14.25" customHeight="1">
      <c r="A705" s="52"/>
      <c r="B705" s="52"/>
      <c r="C705" s="53"/>
      <c r="D705" s="53"/>
      <c r="E705" s="53"/>
      <c r="F705" s="53"/>
      <c r="G705" s="53"/>
      <c r="H705" s="1"/>
      <c r="I705" s="1"/>
      <c r="J705" s="1"/>
    </row>
    <row r="706" ht="14.25" customHeight="1">
      <c r="A706" s="52"/>
      <c r="B706" s="52"/>
      <c r="C706" s="53"/>
      <c r="D706" s="53"/>
      <c r="E706" s="53"/>
      <c r="F706" s="53"/>
      <c r="G706" s="53"/>
      <c r="H706" s="1"/>
      <c r="I706" s="1"/>
      <c r="J706" s="1"/>
    </row>
    <row r="707" ht="14.25" customHeight="1">
      <c r="A707" s="52"/>
      <c r="B707" s="52"/>
      <c r="C707" s="53"/>
      <c r="D707" s="53"/>
      <c r="E707" s="53"/>
      <c r="F707" s="53"/>
      <c r="G707" s="53"/>
      <c r="H707" s="1"/>
      <c r="I707" s="1"/>
      <c r="J707" s="1"/>
    </row>
    <row r="708" ht="14.25" customHeight="1">
      <c r="A708" s="52"/>
      <c r="B708" s="52"/>
      <c r="C708" s="53"/>
      <c r="D708" s="53"/>
      <c r="E708" s="53"/>
      <c r="F708" s="53"/>
      <c r="G708" s="53"/>
      <c r="H708" s="1"/>
      <c r="I708" s="1"/>
      <c r="J708" s="1"/>
    </row>
    <row r="709" ht="14.25" customHeight="1">
      <c r="A709" s="52"/>
      <c r="B709" s="52"/>
      <c r="C709" s="53"/>
      <c r="D709" s="53"/>
      <c r="E709" s="53"/>
      <c r="F709" s="53"/>
      <c r="G709" s="53"/>
      <c r="H709" s="1"/>
      <c r="I709" s="1"/>
      <c r="J709" s="1"/>
    </row>
    <row r="710" ht="14.25" customHeight="1">
      <c r="A710" s="52"/>
      <c r="B710" s="52"/>
      <c r="C710" s="53"/>
      <c r="D710" s="53"/>
      <c r="E710" s="53"/>
      <c r="F710" s="53"/>
      <c r="G710" s="53"/>
      <c r="H710" s="1"/>
      <c r="I710" s="1"/>
      <c r="J710" s="1"/>
    </row>
    <row r="711" ht="14.25" customHeight="1">
      <c r="A711" s="52"/>
      <c r="B711" s="52"/>
      <c r="C711" s="53"/>
      <c r="D711" s="53"/>
      <c r="E711" s="53"/>
      <c r="F711" s="53"/>
      <c r="G711" s="53"/>
      <c r="H711" s="1"/>
      <c r="I711" s="1"/>
      <c r="J711" s="1"/>
    </row>
    <row r="712" ht="14.25" customHeight="1">
      <c r="A712" s="52"/>
      <c r="B712" s="52"/>
      <c r="C712" s="53"/>
      <c r="D712" s="53"/>
      <c r="E712" s="53"/>
      <c r="F712" s="53"/>
      <c r="G712" s="53"/>
      <c r="H712" s="1"/>
      <c r="I712" s="1"/>
      <c r="J712" s="1"/>
    </row>
    <row r="713" ht="14.25" customHeight="1">
      <c r="A713" s="52"/>
      <c r="B713" s="52"/>
      <c r="C713" s="53"/>
      <c r="D713" s="53"/>
      <c r="E713" s="53"/>
      <c r="F713" s="53"/>
      <c r="G713" s="53"/>
      <c r="H713" s="1"/>
      <c r="I713" s="1"/>
      <c r="J713" s="1"/>
    </row>
    <row r="714" ht="14.25" customHeight="1">
      <c r="A714" s="52"/>
      <c r="B714" s="52"/>
      <c r="C714" s="53"/>
      <c r="D714" s="53"/>
      <c r="E714" s="53"/>
      <c r="F714" s="53"/>
      <c r="G714" s="53"/>
      <c r="H714" s="1"/>
      <c r="I714" s="1"/>
      <c r="J714" s="1"/>
    </row>
    <row r="715" ht="14.25" customHeight="1">
      <c r="A715" s="52"/>
      <c r="B715" s="52"/>
      <c r="C715" s="53"/>
      <c r="D715" s="53"/>
      <c r="E715" s="53"/>
      <c r="F715" s="53"/>
      <c r="G715" s="53"/>
      <c r="H715" s="1"/>
      <c r="I715" s="1"/>
      <c r="J715" s="1"/>
    </row>
    <row r="716" ht="14.25" customHeight="1">
      <c r="A716" s="52"/>
      <c r="B716" s="52"/>
      <c r="C716" s="53"/>
      <c r="D716" s="53"/>
      <c r="E716" s="53"/>
      <c r="F716" s="53"/>
      <c r="G716" s="53"/>
      <c r="H716" s="1"/>
      <c r="I716" s="1"/>
      <c r="J716" s="1"/>
    </row>
    <row r="717" ht="14.25" customHeight="1">
      <c r="A717" s="52"/>
      <c r="B717" s="52"/>
      <c r="C717" s="53"/>
      <c r="D717" s="53"/>
      <c r="E717" s="53"/>
      <c r="F717" s="53"/>
      <c r="G717" s="53"/>
      <c r="H717" s="1"/>
      <c r="I717" s="1"/>
      <c r="J717" s="1"/>
    </row>
    <row r="718" ht="14.25" customHeight="1">
      <c r="A718" s="52"/>
      <c r="B718" s="52"/>
      <c r="C718" s="53"/>
      <c r="D718" s="53"/>
      <c r="E718" s="53"/>
      <c r="F718" s="53"/>
      <c r="G718" s="53"/>
      <c r="H718" s="1"/>
      <c r="I718" s="1"/>
      <c r="J718" s="1"/>
    </row>
    <row r="719" ht="14.25" customHeight="1">
      <c r="A719" s="52"/>
      <c r="B719" s="52"/>
      <c r="C719" s="53"/>
      <c r="D719" s="53"/>
      <c r="E719" s="53"/>
      <c r="F719" s="53"/>
      <c r="G719" s="53"/>
      <c r="H719" s="1"/>
      <c r="I719" s="1"/>
      <c r="J719" s="1"/>
    </row>
    <row r="720" ht="14.25" customHeight="1">
      <c r="A720" s="52"/>
      <c r="B720" s="52"/>
      <c r="C720" s="53"/>
      <c r="D720" s="53"/>
      <c r="E720" s="53"/>
      <c r="F720" s="53"/>
      <c r="G720" s="53"/>
      <c r="H720" s="1"/>
      <c r="I720" s="1"/>
      <c r="J720" s="1"/>
    </row>
    <row r="721" ht="14.25" customHeight="1">
      <c r="A721" s="52"/>
      <c r="B721" s="52"/>
      <c r="C721" s="53"/>
      <c r="D721" s="53"/>
      <c r="E721" s="53"/>
      <c r="F721" s="53"/>
      <c r="G721" s="53"/>
      <c r="H721" s="1"/>
      <c r="I721" s="1"/>
      <c r="J721" s="1"/>
    </row>
    <row r="722" ht="14.25" customHeight="1">
      <c r="A722" s="52"/>
      <c r="B722" s="52"/>
      <c r="C722" s="53"/>
      <c r="D722" s="53"/>
      <c r="E722" s="53"/>
      <c r="F722" s="53"/>
      <c r="G722" s="53"/>
      <c r="H722" s="1"/>
      <c r="I722" s="1"/>
      <c r="J722" s="1"/>
    </row>
    <row r="723" ht="14.25" customHeight="1">
      <c r="A723" s="52"/>
      <c r="B723" s="52"/>
      <c r="C723" s="53"/>
      <c r="D723" s="53"/>
      <c r="E723" s="53"/>
      <c r="F723" s="53"/>
      <c r="G723" s="53"/>
      <c r="H723" s="1"/>
      <c r="I723" s="1"/>
      <c r="J723" s="1"/>
    </row>
    <row r="724" ht="14.25" customHeight="1">
      <c r="A724" s="52"/>
      <c r="B724" s="52"/>
      <c r="C724" s="53"/>
      <c r="D724" s="53"/>
      <c r="E724" s="53"/>
      <c r="F724" s="53"/>
      <c r="G724" s="53"/>
      <c r="H724" s="1"/>
      <c r="I724" s="1"/>
      <c r="J724" s="1"/>
    </row>
    <row r="725" ht="14.25" customHeight="1">
      <c r="A725" s="52"/>
      <c r="B725" s="52"/>
      <c r="C725" s="53"/>
      <c r="D725" s="53"/>
      <c r="E725" s="53"/>
      <c r="F725" s="53"/>
      <c r="G725" s="53"/>
      <c r="H725" s="1"/>
      <c r="I725" s="1"/>
      <c r="J725" s="1"/>
    </row>
    <row r="726" ht="14.25" customHeight="1">
      <c r="A726" s="52"/>
      <c r="B726" s="52"/>
      <c r="C726" s="53"/>
      <c r="D726" s="53"/>
      <c r="E726" s="53"/>
      <c r="F726" s="53"/>
      <c r="G726" s="53"/>
      <c r="H726" s="1"/>
      <c r="I726" s="1"/>
      <c r="J726" s="1"/>
    </row>
    <row r="727" ht="14.25" customHeight="1">
      <c r="A727" s="52"/>
      <c r="B727" s="52"/>
      <c r="C727" s="53"/>
      <c r="D727" s="53"/>
      <c r="E727" s="53"/>
      <c r="F727" s="53"/>
      <c r="G727" s="53"/>
      <c r="H727" s="1"/>
      <c r="I727" s="1"/>
      <c r="J727" s="1"/>
    </row>
    <row r="728" ht="14.25" customHeight="1">
      <c r="A728" s="52"/>
      <c r="B728" s="52"/>
      <c r="C728" s="53"/>
      <c r="D728" s="53"/>
      <c r="E728" s="53"/>
      <c r="F728" s="53"/>
      <c r="G728" s="53"/>
      <c r="H728" s="1"/>
      <c r="I728" s="1"/>
      <c r="J728" s="1"/>
    </row>
    <row r="729" ht="14.25" customHeight="1">
      <c r="A729" s="52"/>
      <c r="B729" s="52"/>
      <c r="C729" s="53"/>
      <c r="D729" s="53"/>
      <c r="E729" s="53"/>
      <c r="F729" s="53"/>
      <c r="G729" s="53"/>
      <c r="H729" s="1"/>
      <c r="I729" s="1"/>
      <c r="J729" s="1"/>
    </row>
    <row r="730" ht="14.25" customHeight="1">
      <c r="A730" s="52"/>
      <c r="B730" s="52"/>
      <c r="C730" s="53"/>
      <c r="D730" s="53"/>
      <c r="E730" s="53"/>
      <c r="F730" s="53"/>
      <c r="G730" s="53"/>
      <c r="H730" s="1"/>
      <c r="I730" s="1"/>
      <c r="J730" s="1"/>
    </row>
    <row r="731" ht="14.25" customHeight="1">
      <c r="A731" s="52"/>
      <c r="B731" s="52"/>
      <c r="C731" s="53"/>
      <c r="D731" s="53"/>
      <c r="E731" s="53"/>
      <c r="F731" s="53"/>
      <c r="G731" s="53"/>
      <c r="H731" s="1"/>
      <c r="I731" s="1"/>
      <c r="J731" s="1"/>
    </row>
    <row r="732" ht="14.25" customHeight="1">
      <c r="A732" s="52"/>
      <c r="B732" s="52"/>
      <c r="C732" s="53"/>
      <c r="D732" s="53"/>
      <c r="E732" s="53"/>
      <c r="F732" s="53"/>
      <c r="G732" s="53"/>
      <c r="H732" s="1"/>
      <c r="I732" s="1"/>
      <c r="J732" s="1"/>
    </row>
    <row r="733" ht="14.25" customHeight="1">
      <c r="A733" s="52"/>
      <c r="B733" s="52"/>
      <c r="C733" s="53"/>
      <c r="D733" s="53"/>
      <c r="E733" s="53"/>
      <c r="F733" s="53"/>
      <c r="G733" s="53"/>
      <c r="H733" s="1"/>
      <c r="I733" s="1"/>
      <c r="J733" s="1"/>
    </row>
    <row r="734" ht="14.25" customHeight="1">
      <c r="A734" s="52"/>
      <c r="B734" s="52"/>
      <c r="C734" s="53"/>
      <c r="D734" s="53"/>
      <c r="E734" s="53"/>
      <c r="F734" s="53"/>
      <c r="G734" s="53"/>
      <c r="H734" s="1"/>
      <c r="I734" s="1"/>
      <c r="J734" s="1"/>
    </row>
    <row r="735" ht="14.25" customHeight="1">
      <c r="A735" s="52"/>
      <c r="B735" s="52"/>
      <c r="C735" s="53"/>
      <c r="D735" s="53"/>
      <c r="E735" s="53"/>
      <c r="F735" s="53"/>
      <c r="G735" s="53"/>
      <c r="H735" s="1"/>
      <c r="I735" s="1"/>
      <c r="J735" s="1"/>
    </row>
    <row r="736" ht="14.25" customHeight="1">
      <c r="A736" s="52"/>
      <c r="B736" s="52"/>
      <c r="C736" s="53"/>
      <c r="D736" s="53"/>
      <c r="E736" s="53"/>
      <c r="F736" s="53"/>
      <c r="G736" s="53"/>
      <c r="H736" s="1"/>
      <c r="I736" s="1"/>
      <c r="J736" s="1"/>
    </row>
    <row r="737" ht="14.25" customHeight="1">
      <c r="A737" s="52"/>
      <c r="B737" s="52"/>
      <c r="C737" s="53"/>
      <c r="D737" s="53"/>
      <c r="E737" s="53"/>
      <c r="F737" s="53"/>
      <c r="G737" s="53"/>
      <c r="H737" s="1"/>
      <c r="I737" s="1"/>
      <c r="J737" s="1"/>
    </row>
    <row r="738" ht="14.25" customHeight="1">
      <c r="A738" s="52"/>
      <c r="B738" s="52"/>
      <c r="C738" s="53"/>
      <c r="D738" s="53"/>
      <c r="E738" s="53"/>
      <c r="F738" s="53"/>
      <c r="G738" s="53"/>
      <c r="H738" s="1"/>
      <c r="I738" s="1"/>
      <c r="J738" s="1"/>
    </row>
    <row r="739" ht="14.25" customHeight="1">
      <c r="A739" s="52"/>
      <c r="B739" s="52"/>
      <c r="C739" s="53"/>
      <c r="D739" s="53"/>
      <c r="E739" s="53"/>
      <c r="F739" s="53"/>
      <c r="G739" s="53"/>
      <c r="H739" s="1"/>
      <c r="I739" s="1"/>
      <c r="J739" s="1"/>
    </row>
    <row r="740" ht="14.25" customHeight="1">
      <c r="A740" s="52"/>
      <c r="B740" s="52"/>
      <c r="C740" s="53"/>
      <c r="D740" s="53"/>
      <c r="E740" s="53"/>
      <c r="F740" s="53"/>
      <c r="G740" s="53"/>
      <c r="H740" s="1"/>
      <c r="I740" s="1"/>
      <c r="J740" s="1"/>
    </row>
    <row r="741" ht="14.25" customHeight="1">
      <c r="A741" s="52"/>
      <c r="B741" s="52"/>
      <c r="C741" s="53"/>
      <c r="D741" s="53"/>
      <c r="E741" s="53"/>
      <c r="F741" s="53"/>
      <c r="G741" s="53"/>
      <c r="H741" s="1"/>
      <c r="I741" s="1"/>
      <c r="J741" s="1"/>
    </row>
    <row r="742" ht="14.25" customHeight="1">
      <c r="A742" s="52"/>
      <c r="B742" s="52"/>
      <c r="C742" s="53"/>
      <c r="D742" s="53"/>
      <c r="E742" s="53"/>
      <c r="F742" s="53"/>
      <c r="G742" s="53"/>
      <c r="H742" s="1"/>
      <c r="I742" s="1"/>
      <c r="J742" s="1"/>
    </row>
    <row r="743" ht="14.25" customHeight="1">
      <c r="A743" s="52"/>
      <c r="B743" s="52"/>
      <c r="C743" s="53"/>
      <c r="D743" s="53"/>
      <c r="E743" s="53"/>
      <c r="F743" s="53"/>
      <c r="G743" s="53"/>
      <c r="H743" s="1"/>
      <c r="I743" s="1"/>
      <c r="J743" s="1"/>
    </row>
    <row r="744" ht="14.25" customHeight="1">
      <c r="A744" s="52"/>
      <c r="B744" s="52"/>
      <c r="C744" s="53"/>
      <c r="D744" s="53"/>
      <c r="E744" s="53"/>
      <c r="F744" s="53"/>
      <c r="G744" s="53"/>
      <c r="H744" s="1"/>
      <c r="I744" s="1"/>
      <c r="J744" s="1"/>
    </row>
    <row r="745" ht="14.25" customHeight="1">
      <c r="A745" s="52"/>
      <c r="B745" s="52"/>
      <c r="C745" s="53"/>
      <c r="D745" s="53"/>
      <c r="E745" s="53"/>
      <c r="F745" s="53"/>
      <c r="G745" s="53"/>
      <c r="H745" s="1"/>
      <c r="I745" s="1"/>
      <c r="J745" s="1"/>
    </row>
    <row r="746" ht="14.25" customHeight="1">
      <c r="A746" s="52"/>
      <c r="B746" s="52"/>
      <c r="C746" s="53"/>
      <c r="D746" s="53"/>
      <c r="E746" s="53"/>
      <c r="F746" s="53"/>
      <c r="G746" s="53"/>
      <c r="H746" s="1"/>
      <c r="I746" s="1"/>
      <c r="J746" s="1"/>
    </row>
    <row r="747" ht="14.25" customHeight="1">
      <c r="A747" s="52"/>
      <c r="B747" s="52"/>
      <c r="C747" s="53"/>
      <c r="D747" s="53"/>
      <c r="E747" s="53"/>
      <c r="F747" s="53"/>
      <c r="G747" s="53"/>
      <c r="H747" s="1"/>
      <c r="I747" s="1"/>
      <c r="J747" s="1"/>
    </row>
    <row r="748" ht="14.25" customHeight="1">
      <c r="A748" s="52"/>
      <c r="B748" s="52"/>
      <c r="C748" s="53"/>
      <c r="D748" s="53"/>
      <c r="E748" s="53"/>
      <c r="F748" s="53"/>
      <c r="G748" s="53"/>
      <c r="H748" s="1"/>
      <c r="I748" s="1"/>
      <c r="J748" s="1"/>
    </row>
    <row r="749" ht="14.25" customHeight="1">
      <c r="A749" s="52"/>
      <c r="B749" s="52"/>
      <c r="C749" s="53"/>
      <c r="D749" s="53"/>
      <c r="E749" s="53"/>
      <c r="F749" s="53"/>
      <c r="G749" s="53"/>
      <c r="H749" s="1"/>
      <c r="I749" s="1"/>
      <c r="J749" s="1"/>
    </row>
    <row r="750" ht="14.25" customHeight="1">
      <c r="A750" s="52"/>
      <c r="B750" s="52"/>
      <c r="C750" s="53"/>
      <c r="D750" s="53"/>
      <c r="E750" s="53"/>
      <c r="F750" s="53"/>
      <c r="G750" s="53"/>
      <c r="H750" s="1"/>
      <c r="I750" s="1"/>
      <c r="J750" s="1"/>
    </row>
    <row r="751" ht="14.25" customHeight="1">
      <c r="A751" s="52"/>
      <c r="B751" s="52"/>
      <c r="C751" s="53"/>
      <c r="D751" s="53"/>
      <c r="E751" s="53"/>
      <c r="F751" s="53"/>
      <c r="G751" s="53"/>
      <c r="H751" s="1"/>
      <c r="I751" s="1"/>
      <c r="J751" s="1"/>
    </row>
    <row r="752" ht="14.25" customHeight="1">
      <c r="A752" s="52"/>
      <c r="B752" s="52"/>
      <c r="C752" s="53"/>
      <c r="D752" s="53"/>
      <c r="E752" s="53"/>
      <c r="F752" s="53"/>
      <c r="G752" s="53"/>
      <c r="H752" s="1"/>
      <c r="I752" s="1"/>
      <c r="J752" s="1"/>
    </row>
    <row r="753" ht="14.25" customHeight="1">
      <c r="A753" s="52"/>
      <c r="B753" s="52"/>
      <c r="C753" s="53"/>
      <c r="D753" s="53"/>
      <c r="E753" s="53"/>
      <c r="F753" s="53"/>
      <c r="G753" s="53"/>
      <c r="H753" s="1"/>
      <c r="I753" s="1"/>
      <c r="J753" s="1"/>
    </row>
    <row r="754" ht="14.25" customHeight="1">
      <c r="A754" s="52"/>
      <c r="B754" s="52"/>
      <c r="C754" s="53"/>
      <c r="D754" s="53"/>
      <c r="E754" s="53"/>
      <c r="F754" s="53"/>
      <c r="G754" s="53"/>
      <c r="H754" s="1"/>
      <c r="I754" s="1"/>
      <c r="J754" s="1"/>
    </row>
    <row r="755" ht="14.25" customHeight="1">
      <c r="A755" s="52"/>
      <c r="B755" s="52"/>
      <c r="C755" s="53"/>
      <c r="D755" s="53"/>
      <c r="E755" s="53"/>
      <c r="F755" s="53"/>
      <c r="G755" s="53"/>
      <c r="H755" s="1"/>
      <c r="I755" s="1"/>
      <c r="J755" s="1"/>
    </row>
    <row r="756" ht="14.25" customHeight="1">
      <c r="A756" s="52"/>
      <c r="B756" s="52"/>
      <c r="C756" s="53"/>
      <c r="D756" s="53"/>
      <c r="E756" s="53"/>
      <c r="F756" s="53"/>
      <c r="G756" s="53"/>
      <c r="H756" s="1"/>
      <c r="I756" s="1"/>
      <c r="J756" s="1"/>
    </row>
    <row r="757" ht="14.25" customHeight="1">
      <c r="A757" s="52"/>
      <c r="B757" s="52"/>
      <c r="C757" s="53"/>
      <c r="D757" s="53"/>
      <c r="E757" s="53"/>
      <c r="F757" s="53"/>
      <c r="G757" s="53"/>
      <c r="H757" s="1"/>
      <c r="I757" s="1"/>
      <c r="J757" s="1"/>
    </row>
    <row r="758" ht="14.25" customHeight="1">
      <c r="A758" s="52"/>
      <c r="B758" s="52"/>
      <c r="C758" s="53"/>
      <c r="D758" s="53"/>
      <c r="E758" s="53"/>
      <c r="F758" s="53"/>
      <c r="G758" s="53"/>
      <c r="H758" s="1"/>
      <c r="I758" s="1"/>
      <c r="J758" s="1"/>
    </row>
    <row r="759" ht="14.25" customHeight="1">
      <c r="A759" s="52"/>
      <c r="B759" s="52"/>
      <c r="C759" s="53"/>
      <c r="D759" s="53"/>
      <c r="E759" s="53"/>
      <c r="F759" s="53"/>
      <c r="G759" s="53"/>
      <c r="H759" s="1"/>
      <c r="I759" s="1"/>
      <c r="J759" s="1"/>
    </row>
    <row r="760" ht="14.25" customHeight="1">
      <c r="A760" s="52"/>
      <c r="B760" s="52"/>
      <c r="C760" s="53"/>
      <c r="D760" s="53"/>
      <c r="E760" s="53"/>
      <c r="F760" s="53"/>
      <c r="G760" s="53"/>
      <c r="H760" s="1"/>
      <c r="I760" s="1"/>
      <c r="J760" s="1"/>
    </row>
    <row r="761" ht="14.25" customHeight="1">
      <c r="A761" s="52"/>
      <c r="B761" s="52"/>
      <c r="C761" s="53"/>
      <c r="D761" s="53"/>
      <c r="E761" s="53"/>
      <c r="F761" s="53"/>
      <c r="G761" s="53"/>
      <c r="H761" s="1"/>
      <c r="I761" s="1"/>
      <c r="J761" s="1"/>
    </row>
    <row r="762" ht="14.25" customHeight="1">
      <c r="A762" s="52"/>
      <c r="B762" s="52"/>
      <c r="C762" s="53"/>
      <c r="D762" s="53"/>
      <c r="E762" s="53"/>
      <c r="F762" s="53"/>
      <c r="G762" s="53"/>
      <c r="H762" s="1"/>
      <c r="I762" s="1"/>
      <c r="J762" s="1"/>
    </row>
    <row r="763" ht="14.25" customHeight="1">
      <c r="A763" s="52"/>
      <c r="B763" s="52"/>
      <c r="C763" s="53"/>
      <c r="D763" s="53"/>
      <c r="E763" s="53"/>
      <c r="F763" s="53"/>
      <c r="G763" s="53"/>
      <c r="H763" s="1"/>
      <c r="I763" s="1"/>
      <c r="J763" s="1"/>
    </row>
    <row r="764" ht="14.25" customHeight="1">
      <c r="A764" s="52"/>
      <c r="B764" s="52"/>
      <c r="C764" s="53"/>
      <c r="D764" s="53"/>
      <c r="E764" s="53"/>
      <c r="F764" s="53"/>
      <c r="G764" s="53"/>
      <c r="H764" s="1"/>
      <c r="I764" s="1"/>
      <c r="J764" s="1"/>
    </row>
    <row r="765" ht="14.25" customHeight="1">
      <c r="A765" s="52"/>
      <c r="B765" s="52"/>
      <c r="C765" s="53"/>
      <c r="D765" s="53"/>
      <c r="E765" s="53"/>
      <c r="F765" s="53"/>
      <c r="G765" s="53"/>
      <c r="H765" s="1"/>
      <c r="I765" s="1"/>
      <c r="J765" s="1"/>
    </row>
    <row r="766" ht="14.25" customHeight="1">
      <c r="A766" s="52"/>
      <c r="B766" s="52"/>
      <c r="C766" s="53"/>
      <c r="D766" s="53"/>
      <c r="E766" s="53"/>
      <c r="F766" s="53"/>
      <c r="G766" s="53"/>
      <c r="H766" s="1"/>
      <c r="I766" s="1"/>
      <c r="J766" s="1"/>
    </row>
    <row r="767" ht="14.25" customHeight="1">
      <c r="A767" s="52"/>
      <c r="B767" s="52"/>
      <c r="C767" s="53"/>
      <c r="D767" s="53"/>
      <c r="E767" s="53"/>
      <c r="F767" s="53"/>
      <c r="G767" s="53"/>
      <c r="H767" s="1"/>
      <c r="I767" s="1"/>
      <c r="J767" s="1"/>
    </row>
    <row r="768" ht="14.25" customHeight="1">
      <c r="A768" s="52"/>
      <c r="B768" s="52"/>
      <c r="C768" s="53"/>
      <c r="D768" s="53"/>
      <c r="E768" s="53"/>
      <c r="F768" s="53"/>
      <c r="G768" s="53"/>
      <c r="H768" s="1"/>
      <c r="I768" s="1"/>
      <c r="J768" s="1"/>
    </row>
    <row r="769" ht="14.25" customHeight="1">
      <c r="A769" s="52"/>
      <c r="B769" s="52"/>
      <c r="C769" s="53"/>
      <c r="D769" s="53"/>
      <c r="E769" s="53"/>
      <c r="F769" s="53"/>
      <c r="G769" s="53"/>
      <c r="H769" s="1"/>
      <c r="I769" s="1"/>
      <c r="J769" s="1"/>
    </row>
    <row r="770" ht="14.25" customHeight="1">
      <c r="A770" s="52"/>
      <c r="B770" s="52"/>
      <c r="C770" s="53"/>
      <c r="D770" s="53"/>
      <c r="E770" s="53"/>
      <c r="F770" s="53"/>
      <c r="G770" s="53"/>
      <c r="H770" s="1"/>
      <c r="I770" s="1"/>
      <c r="J770" s="1"/>
    </row>
    <row r="771" ht="14.25" customHeight="1">
      <c r="A771" s="52"/>
      <c r="B771" s="52"/>
      <c r="C771" s="53"/>
      <c r="D771" s="53"/>
      <c r="E771" s="53"/>
      <c r="F771" s="53"/>
      <c r="G771" s="53"/>
      <c r="H771" s="1"/>
      <c r="I771" s="1"/>
      <c r="J771" s="1"/>
    </row>
    <row r="772" ht="14.25" customHeight="1">
      <c r="A772" s="52"/>
      <c r="B772" s="52"/>
      <c r="C772" s="53"/>
      <c r="D772" s="53"/>
      <c r="E772" s="53"/>
      <c r="F772" s="53"/>
      <c r="G772" s="53"/>
      <c r="H772" s="1"/>
      <c r="I772" s="1"/>
      <c r="J772" s="1"/>
    </row>
    <row r="773" ht="14.25" customHeight="1">
      <c r="A773" s="52"/>
      <c r="B773" s="52"/>
      <c r="C773" s="53"/>
      <c r="D773" s="53"/>
      <c r="E773" s="53"/>
      <c r="F773" s="53"/>
      <c r="G773" s="53"/>
      <c r="H773" s="1"/>
      <c r="I773" s="1"/>
      <c r="J773" s="1"/>
    </row>
    <row r="774" ht="14.25" customHeight="1">
      <c r="A774" s="52"/>
      <c r="B774" s="52"/>
      <c r="C774" s="53"/>
      <c r="D774" s="53"/>
      <c r="E774" s="53"/>
      <c r="F774" s="53"/>
      <c r="G774" s="53"/>
      <c r="H774" s="1"/>
      <c r="I774" s="1"/>
      <c r="J774" s="1"/>
    </row>
    <row r="775" ht="14.25" customHeight="1">
      <c r="A775" s="52"/>
      <c r="B775" s="52"/>
      <c r="C775" s="53"/>
      <c r="D775" s="53"/>
      <c r="E775" s="53"/>
      <c r="F775" s="53"/>
      <c r="G775" s="53"/>
      <c r="H775" s="1"/>
      <c r="I775" s="1"/>
      <c r="J775" s="1"/>
    </row>
    <row r="776" ht="14.25" customHeight="1">
      <c r="A776" s="52"/>
      <c r="B776" s="52"/>
      <c r="C776" s="53"/>
      <c r="D776" s="53"/>
      <c r="E776" s="53"/>
      <c r="F776" s="53"/>
      <c r="G776" s="53"/>
      <c r="H776" s="1"/>
      <c r="I776" s="1"/>
      <c r="J776" s="1"/>
    </row>
    <row r="777" ht="14.25" customHeight="1">
      <c r="A777" s="52"/>
      <c r="B777" s="52"/>
      <c r="C777" s="53"/>
      <c r="D777" s="53"/>
      <c r="E777" s="53"/>
      <c r="F777" s="53"/>
      <c r="G777" s="53"/>
      <c r="H777" s="1"/>
      <c r="I777" s="1"/>
      <c r="J777" s="1"/>
    </row>
    <row r="778" ht="14.25" customHeight="1">
      <c r="A778" s="52"/>
      <c r="B778" s="52"/>
      <c r="C778" s="53"/>
      <c r="D778" s="53"/>
      <c r="E778" s="53"/>
      <c r="F778" s="53"/>
      <c r="G778" s="53"/>
      <c r="H778" s="1"/>
      <c r="I778" s="1"/>
      <c r="J778" s="1"/>
    </row>
    <row r="779" ht="14.25" customHeight="1">
      <c r="A779" s="52"/>
      <c r="B779" s="52"/>
      <c r="C779" s="53"/>
      <c r="D779" s="53"/>
      <c r="E779" s="53"/>
      <c r="F779" s="53"/>
      <c r="G779" s="53"/>
      <c r="H779" s="1"/>
      <c r="I779" s="1"/>
      <c r="J779" s="1"/>
    </row>
    <row r="780" ht="14.25" customHeight="1">
      <c r="A780" s="52"/>
      <c r="B780" s="52"/>
      <c r="C780" s="53"/>
      <c r="D780" s="53"/>
      <c r="E780" s="53"/>
      <c r="F780" s="53"/>
      <c r="G780" s="53"/>
      <c r="H780" s="1"/>
      <c r="I780" s="1"/>
      <c r="J780" s="1"/>
    </row>
    <row r="781" ht="14.25" customHeight="1">
      <c r="A781" s="52"/>
      <c r="B781" s="52"/>
      <c r="C781" s="53"/>
      <c r="D781" s="53"/>
      <c r="E781" s="53"/>
      <c r="F781" s="53"/>
      <c r="G781" s="53"/>
      <c r="H781" s="1"/>
      <c r="I781" s="1"/>
      <c r="J781" s="1"/>
    </row>
    <row r="782" ht="14.25" customHeight="1">
      <c r="A782" s="52"/>
      <c r="B782" s="52"/>
      <c r="C782" s="53"/>
      <c r="D782" s="53"/>
      <c r="E782" s="53"/>
      <c r="F782" s="53"/>
      <c r="G782" s="53"/>
      <c r="H782" s="1"/>
      <c r="I782" s="1"/>
      <c r="J782" s="1"/>
    </row>
    <row r="783" ht="14.25" customHeight="1">
      <c r="A783" s="52"/>
      <c r="B783" s="52"/>
      <c r="C783" s="53"/>
      <c r="D783" s="53"/>
      <c r="E783" s="53"/>
      <c r="F783" s="53"/>
      <c r="G783" s="53"/>
      <c r="H783" s="1"/>
      <c r="I783" s="1"/>
      <c r="J783" s="1"/>
    </row>
    <row r="784" ht="14.25" customHeight="1">
      <c r="A784" s="52"/>
      <c r="B784" s="52"/>
      <c r="C784" s="53"/>
      <c r="D784" s="53"/>
      <c r="E784" s="53"/>
      <c r="F784" s="53"/>
      <c r="G784" s="53"/>
      <c r="H784" s="1"/>
      <c r="I784" s="1"/>
      <c r="J784" s="1"/>
    </row>
    <row r="785" ht="14.25" customHeight="1">
      <c r="A785" s="52"/>
      <c r="B785" s="52"/>
      <c r="C785" s="53"/>
      <c r="D785" s="53"/>
      <c r="E785" s="53"/>
      <c r="F785" s="53"/>
      <c r="G785" s="53"/>
      <c r="H785" s="1"/>
      <c r="I785" s="1"/>
      <c r="J785" s="1"/>
    </row>
    <row r="786" ht="14.25" customHeight="1">
      <c r="A786" s="52"/>
      <c r="B786" s="52"/>
      <c r="C786" s="53"/>
      <c r="D786" s="53"/>
      <c r="E786" s="53"/>
      <c r="F786" s="53"/>
      <c r="G786" s="53"/>
      <c r="H786" s="1"/>
      <c r="I786" s="1"/>
      <c r="J786" s="1"/>
    </row>
    <row r="787" ht="14.25" customHeight="1">
      <c r="A787" s="52"/>
      <c r="B787" s="52"/>
      <c r="C787" s="53"/>
      <c r="D787" s="53"/>
      <c r="E787" s="53"/>
      <c r="F787" s="53"/>
      <c r="G787" s="53"/>
      <c r="H787" s="1"/>
      <c r="I787" s="1"/>
      <c r="J787" s="1"/>
    </row>
    <row r="788" ht="14.25" customHeight="1">
      <c r="A788" s="52"/>
      <c r="B788" s="52"/>
      <c r="C788" s="53"/>
      <c r="D788" s="53"/>
      <c r="E788" s="53"/>
      <c r="F788" s="53"/>
      <c r="G788" s="53"/>
      <c r="H788" s="1"/>
      <c r="I788" s="1"/>
      <c r="J788" s="1"/>
    </row>
    <row r="789" ht="14.25" customHeight="1">
      <c r="A789" s="52"/>
      <c r="B789" s="52"/>
      <c r="C789" s="53"/>
      <c r="D789" s="53"/>
      <c r="E789" s="53"/>
      <c r="F789" s="53"/>
      <c r="G789" s="53"/>
      <c r="H789" s="1"/>
      <c r="I789" s="1"/>
      <c r="J789" s="1"/>
    </row>
    <row r="790" ht="14.25" customHeight="1">
      <c r="A790" s="52"/>
      <c r="B790" s="52"/>
      <c r="C790" s="53"/>
      <c r="D790" s="53"/>
      <c r="E790" s="53"/>
      <c r="F790" s="53"/>
      <c r="G790" s="53"/>
      <c r="H790" s="1"/>
      <c r="I790" s="1"/>
      <c r="J790" s="1"/>
    </row>
    <row r="791" ht="14.25" customHeight="1">
      <c r="A791" s="52"/>
      <c r="B791" s="52"/>
      <c r="C791" s="53"/>
      <c r="D791" s="53"/>
      <c r="E791" s="53"/>
      <c r="F791" s="53"/>
      <c r="G791" s="53"/>
      <c r="H791" s="1"/>
      <c r="I791" s="1"/>
      <c r="J791" s="1"/>
    </row>
    <row r="792" ht="14.25" customHeight="1">
      <c r="A792" s="52"/>
      <c r="B792" s="52"/>
      <c r="C792" s="53"/>
      <c r="D792" s="53"/>
      <c r="E792" s="53"/>
      <c r="F792" s="53"/>
      <c r="G792" s="53"/>
      <c r="H792" s="1"/>
      <c r="I792" s="1"/>
      <c r="J792" s="1"/>
    </row>
    <row r="793" ht="14.25" customHeight="1">
      <c r="A793" s="52"/>
      <c r="B793" s="52"/>
      <c r="C793" s="53"/>
      <c r="D793" s="53"/>
      <c r="E793" s="53"/>
      <c r="F793" s="53"/>
      <c r="G793" s="53"/>
      <c r="H793" s="1"/>
      <c r="I793" s="1"/>
      <c r="J793" s="1"/>
    </row>
    <row r="794" ht="14.25" customHeight="1">
      <c r="A794" s="52"/>
      <c r="B794" s="52"/>
      <c r="C794" s="53"/>
      <c r="D794" s="53"/>
      <c r="E794" s="53"/>
      <c r="F794" s="53"/>
      <c r="G794" s="53"/>
      <c r="H794" s="1"/>
      <c r="I794" s="1"/>
      <c r="J794" s="1"/>
    </row>
    <row r="795" ht="14.25" customHeight="1">
      <c r="A795" s="52"/>
      <c r="B795" s="52"/>
      <c r="C795" s="53"/>
      <c r="D795" s="53"/>
      <c r="E795" s="53"/>
      <c r="F795" s="53"/>
      <c r="G795" s="53"/>
      <c r="H795" s="1"/>
      <c r="I795" s="1"/>
      <c r="J795" s="1"/>
    </row>
    <row r="796" ht="14.25" customHeight="1">
      <c r="A796" s="52"/>
      <c r="B796" s="52"/>
      <c r="C796" s="53"/>
      <c r="D796" s="53"/>
      <c r="E796" s="53"/>
      <c r="F796" s="53"/>
      <c r="G796" s="53"/>
      <c r="H796" s="1"/>
      <c r="I796" s="1"/>
      <c r="J796" s="1"/>
    </row>
    <row r="797" ht="14.25" customHeight="1">
      <c r="A797" s="52"/>
      <c r="B797" s="52"/>
      <c r="C797" s="53"/>
      <c r="D797" s="53"/>
      <c r="E797" s="53"/>
      <c r="F797" s="53"/>
      <c r="G797" s="53"/>
      <c r="H797" s="1"/>
      <c r="I797" s="1"/>
      <c r="J797" s="1"/>
    </row>
    <row r="798" ht="14.25" customHeight="1">
      <c r="A798" s="52"/>
      <c r="B798" s="52"/>
      <c r="C798" s="53"/>
      <c r="D798" s="53"/>
      <c r="E798" s="53"/>
      <c r="F798" s="53"/>
      <c r="G798" s="53"/>
      <c r="H798" s="1"/>
      <c r="I798" s="1"/>
      <c r="J798" s="1"/>
    </row>
    <row r="799" ht="14.25" customHeight="1">
      <c r="A799" s="52"/>
      <c r="B799" s="52"/>
      <c r="C799" s="53"/>
      <c r="D799" s="53"/>
      <c r="E799" s="53"/>
      <c r="F799" s="53"/>
      <c r="G799" s="53"/>
      <c r="H799" s="1"/>
      <c r="I799" s="1"/>
      <c r="J799" s="1"/>
    </row>
    <row r="800" ht="14.25" customHeight="1">
      <c r="A800" s="52"/>
      <c r="B800" s="52"/>
      <c r="C800" s="53"/>
      <c r="D800" s="53"/>
      <c r="E800" s="53"/>
      <c r="F800" s="53"/>
      <c r="G800" s="53"/>
      <c r="H800" s="1"/>
      <c r="I800" s="1"/>
      <c r="J800" s="1"/>
    </row>
    <row r="801" ht="14.25" customHeight="1">
      <c r="A801" s="52"/>
      <c r="B801" s="52"/>
      <c r="C801" s="53"/>
      <c r="D801" s="53"/>
      <c r="E801" s="53"/>
      <c r="F801" s="53"/>
      <c r="G801" s="53"/>
      <c r="H801" s="1"/>
      <c r="I801" s="1"/>
      <c r="J801" s="1"/>
    </row>
    <row r="802" ht="14.25" customHeight="1">
      <c r="A802" s="52"/>
      <c r="B802" s="52"/>
      <c r="C802" s="53"/>
      <c r="D802" s="53"/>
      <c r="E802" s="53"/>
      <c r="F802" s="53"/>
      <c r="G802" s="53"/>
      <c r="H802" s="1"/>
      <c r="I802" s="1"/>
      <c r="J802" s="1"/>
    </row>
    <row r="803" ht="14.25" customHeight="1">
      <c r="A803" s="52"/>
      <c r="B803" s="52"/>
      <c r="C803" s="53"/>
      <c r="D803" s="53"/>
      <c r="E803" s="53"/>
      <c r="F803" s="53"/>
      <c r="G803" s="53"/>
      <c r="H803" s="1"/>
      <c r="I803" s="1"/>
      <c r="J803" s="1"/>
    </row>
    <row r="804" ht="14.25" customHeight="1">
      <c r="A804" s="52"/>
      <c r="B804" s="52"/>
      <c r="C804" s="53"/>
      <c r="D804" s="53"/>
      <c r="E804" s="53"/>
      <c r="F804" s="53"/>
      <c r="G804" s="53"/>
      <c r="H804" s="1"/>
      <c r="I804" s="1"/>
      <c r="J804" s="1"/>
    </row>
    <row r="805" ht="14.25" customHeight="1">
      <c r="A805" s="52"/>
      <c r="B805" s="52"/>
      <c r="C805" s="53"/>
      <c r="D805" s="53"/>
      <c r="E805" s="53"/>
      <c r="F805" s="53"/>
      <c r="G805" s="53"/>
      <c r="H805" s="1"/>
      <c r="I805" s="1"/>
      <c r="J805" s="1"/>
    </row>
    <row r="806" ht="14.25" customHeight="1">
      <c r="A806" s="52"/>
      <c r="B806" s="52"/>
      <c r="C806" s="53"/>
      <c r="D806" s="53"/>
      <c r="E806" s="53"/>
      <c r="F806" s="53"/>
      <c r="G806" s="53"/>
      <c r="H806" s="1"/>
      <c r="I806" s="1"/>
      <c r="J806" s="1"/>
    </row>
    <row r="807" ht="14.25" customHeight="1">
      <c r="A807" s="52"/>
      <c r="B807" s="52"/>
      <c r="C807" s="53"/>
      <c r="D807" s="53"/>
      <c r="E807" s="53"/>
      <c r="F807" s="53"/>
      <c r="G807" s="53"/>
      <c r="H807" s="1"/>
      <c r="I807" s="1"/>
      <c r="J807" s="1"/>
    </row>
    <row r="808" ht="14.25" customHeight="1">
      <c r="A808" s="52"/>
      <c r="B808" s="52"/>
      <c r="C808" s="53"/>
      <c r="D808" s="53"/>
      <c r="E808" s="53"/>
      <c r="F808" s="53"/>
      <c r="G808" s="53"/>
      <c r="H808" s="1"/>
      <c r="I808" s="1"/>
      <c r="J808" s="1"/>
    </row>
    <row r="809" ht="14.25" customHeight="1">
      <c r="A809" s="52"/>
      <c r="B809" s="52"/>
      <c r="C809" s="53"/>
      <c r="D809" s="53"/>
      <c r="E809" s="53"/>
      <c r="F809" s="53"/>
      <c r="G809" s="53"/>
      <c r="H809" s="1"/>
      <c r="I809" s="1"/>
      <c r="J809" s="1"/>
    </row>
    <row r="810" ht="14.25" customHeight="1">
      <c r="A810" s="52"/>
      <c r="B810" s="52"/>
      <c r="C810" s="53"/>
      <c r="D810" s="53"/>
      <c r="E810" s="53"/>
      <c r="F810" s="53"/>
      <c r="G810" s="53"/>
      <c r="H810" s="1"/>
      <c r="I810" s="1"/>
      <c r="J810" s="1"/>
    </row>
    <row r="811" ht="14.25" customHeight="1">
      <c r="A811" s="52"/>
      <c r="B811" s="52"/>
      <c r="C811" s="53"/>
      <c r="D811" s="53"/>
      <c r="E811" s="53"/>
      <c r="F811" s="53"/>
      <c r="G811" s="53"/>
      <c r="H811" s="1"/>
      <c r="I811" s="1"/>
      <c r="J811" s="1"/>
    </row>
    <row r="812" ht="14.25" customHeight="1">
      <c r="A812" s="52"/>
      <c r="B812" s="52"/>
      <c r="C812" s="53"/>
      <c r="D812" s="53"/>
      <c r="E812" s="53"/>
      <c r="F812" s="53"/>
      <c r="G812" s="53"/>
      <c r="H812" s="1"/>
      <c r="I812" s="1"/>
      <c r="J812" s="1"/>
    </row>
    <row r="813" ht="14.25" customHeight="1">
      <c r="A813" s="52"/>
      <c r="B813" s="52"/>
      <c r="C813" s="53"/>
      <c r="D813" s="53"/>
      <c r="E813" s="53"/>
      <c r="F813" s="53"/>
      <c r="G813" s="53"/>
      <c r="H813" s="1"/>
      <c r="I813" s="1"/>
      <c r="J813" s="1"/>
    </row>
    <row r="814" ht="14.25" customHeight="1">
      <c r="A814" s="52"/>
      <c r="B814" s="52"/>
      <c r="C814" s="53"/>
      <c r="D814" s="53"/>
      <c r="E814" s="53"/>
      <c r="F814" s="53"/>
      <c r="G814" s="53"/>
      <c r="H814" s="1"/>
      <c r="I814" s="1"/>
      <c r="J814" s="1"/>
    </row>
    <row r="815" ht="14.25" customHeight="1">
      <c r="A815" s="52"/>
      <c r="B815" s="52"/>
      <c r="C815" s="53"/>
      <c r="D815" s="53"/>
      <c r="E815" s="53"/>
      <c r="F815" s="53"/>
      <c r="G815" s="53"/>
      <c r="H815" s="1"/>
      <c r="I815" s="1"/>
      <c r="J815" s="1"/>
    </row>
    <row r="816" ht="14.25" customHeight="1">
      <c r="A816" s="52"/>
      <c r="B816" s="52"/>
      <c r="C816" s="53"/>
      <c r="D816" s="53"/>
      <c r="E816" s="53"/>
      <c r="F816" s="53"/>
      <c r="G816" s="53"/>
      <c r="H816" s="1"/>
      <c r="I816" s="1"/>
      <c r="J816" s="1"/>
    </row>
    <row r="817" ht="14.25" customHeight="1">
      <c r="A817" s="52"/>
      <c r="B817" s="52"/>
      <c r="C817" s="53"/>
      <c r="D817" s="53"/>
      <c r="E817" s="53"/>
      <c r="F817" s="53"/>
      <c r="G817" s="53"/>
      <c r="H817" s="1"/>
      <c r="I817" s="1"/>
      <c r="J817" s="1"/>
    </row>
    <row r="818" ht="14.25" customHeight="1">
      <c r="A818" s="52"/>
      <c r="B818" s="52"/>
      <c r="C818" s="53"/>
      <c r="D818" s="53"/>
      <c r="E818" s="53"/>
      <c r="F818" s="53"/>
      <c r="G818" s="53"/>
      <c r="H818" s="1"/>
      <c r="I818" s="1"/>
      <c r="J818" s="1"/>
    </row>
    <row r="819" ht="14.25" customHeight="1">
      <c r="A819" s="52"/>
      <c r="B819" s="52"/>
      <c r="C819" s="53"/>
      <c r="D819" s="53"/>
      <c r="E819" s="53"/>
      <c r="F819" s="53"/>
      <c r="G819" s="53"/>
      <c r="H819" s="1"/>
      <c r="I819" s="1"/>
      <c r="J819" s="1"/>
    </row>
    <row r="820" ht="14.25" customHeight="1">
      <c r="A820" s="52"/>
      <c r="B820" s="52"/>
      <c r="C820" s="53"/>
      <c r="D820" s="53"/>
      <c r="E820" s="53"/>
      <c r="F820" s="53"/>
      <c r="G820" s="53"/>
      <c r="H820" s="1"/>
      <c r="I820" s="1"/>
      <c r="J820" s="1"/>
    </row>
    <row r="821" ht="14.25" customHeight="1">
      <c r="A821" s="52"/>
      <c r="B821" s="52"/>
      <c r="C821" s="53"/>
      <c r="D821" s="53"/>
      <c r="E821" s="53"/>
      <c r="F821" s="53"/>
      <c r="G821" s="53"/>
      <c r="H821" s="1"/>
      <c r="I821" s="1"/>
      <c r="J821" s="1"/>
    </row>
    <row r="822" ht="14.25" customHeight="1">
      <c r="A822" s="52"/>
      <c r="B822" s="52"/>
      <c r="C822" s="53"/>
      <c r="D822" s="53"/>
      <c r="E822" s="53"/>
      <c r="F822" s="53"/>
      <c r="G822" s="53"/>
      <c r="H822" s="1"/>
      <c r="I822" s="1"/>
      <c r="J822" s="1"/>
    </row>
    <row r="823" ht="14.25" customHeight="1">
      <c r="A823" s="52"/>
      <c r="B823" s="52"/>
      <c r="C823" s="53"/>
      <c r="D823" s="53"/>
      <c r="E823" s="53"/>
      <c r="F823" s="53"/>
      <c r="G823" s="53"/>
      <c r="H823" s="1"/>
      <c r="I823" s="1"/>
      <c r="J823" s="1"/>
    </row>
    <row r="824" ht="14.25" customHeight="1">
      <c r="A824" s="52"/>
      <c r="B824" s="52"/>
      <c r="C824" s="53"/>
      <c r="D824" s="53"/>
      <c r="E824" s="53"/>
      <c r="F824" s="53"/>
      <c r="G824" s="53"/>
      <c r="H824" s="1"/>
      <c r="I824" s="1"/>
      <c r="J824" s="1"/>
    </row>
    <row r="825" ht="14.25" customHeight="1">
      <c r="A825" s="52"/>
      <c r="B825" s="52"/>
      <c r="C825" s="53"/>
      <c r="D825" s="53"/>
      <c r="E825" s="53"/>
      <c r="F825" s="53"/>
      <c r="G825" s="53"/>
      <c r="H825" s="1"/>
      <c r="I825" s="1"/>
      <c r="J825" s="1"/>
    </row>
    <row r="826" ht="14.25" customHeight="1">
      <c r="A826" s="52"/>
      <c r="B826" s="52"/>
      <c r="C826" s="53"/>
      <c r="D826" s="53"/>
      <c r="E826" s="53"/>
      <c r="F826" s="53"/>
      <c r="G826" s="53"/>
      <c r="H826" s="1"/>
      <c r="I826" s="1"/>
      <c r="J826" s="1"/>
    </row>
    <row r="827" ht="14.25" customHeight="1">
      <c r="A827" s="52"/>
      <c r="B827" s="52"/>
      <c r="C827" s="53"/>
      <c r="D827" s="53"/>
      <c r="E827" s="53"/>
      <c r="F827" s="53"/>
      <c r="G827" s="53"/>
      <c r="H827" s="1"/>
      <c r="I827" s="1"/>
      <c r="J827" s="1"/>
    </row>
    <row r="828" ht="14.25" customHeight="1">
      <c r="A828" s="52"/>
      <c r="B828" s="52"/>
      <c r="C828" s="53"/>
      <c r="D828" s="53"/>
      <c r="E828" s="53"/>
      <c r="F828" s="53"/>
      <c r="G828" s="53"/>
      <c r="H828" s="1"/>
      <c r="I828" s="1"/>
      <c r="J828" s="1"/>
    </row>
    <row r="829" ht="14.25" customHeight="1">
      <c r="A829" s="52"/>
      <c r="B829" s="52"/>
      <c r="C829" s="53"/>
      <c r="D829" s="53"/>
      <c r="E829" s="53"/>
      <c r="F829" s="53"/>
      <c r="G829" s="53"/>
      <c r="H829" s="1"/>
      <c r="I829" s="1"/>
      <c r="J829" s="1"/>
    </row>
    <row r="830" ht="14.25" customHeight="1">
      <c r="A830" s="52"/>
      <c r="B830" s="52"/>
      <c r="C830" s="53"/>
      <c r="D830" s="53"/>
      <c r="E830" s="53"/>
      <c r="F830" s="53"/>
      <c r="G830" s="53"/>
      <c r="H830" s="1"/>
      <c r="I830" s="1"/>
      <c r="J830" s="1"/>
    </row>
    <row r="831" ht="14.25" customHeight="1">
      <c r="A831" s="52"/>
      <c r="B831" s="52"/>
      <c r="C831" s="53"/>
      <c r="D831" s="53"/>
      <c r="E831" s="53"/>
      <c r="F831" s="53"/>
      <c r="G831" s="53"/>
      <c r="H831" s="1"/>
      <c r="I831" s="1"/>
      <c r="J831" s="1"/>
    </row>
    <row r="832" ht="14.25" customHeight="1">
      <c r="A832" s="52"/>
      <c r="B832" s="52"/>
      <c r="C832" s="53"/>
      <c r="D832" s="53"/>
      <c r="E832" s="53"/>
      <c r="F832" s="53"/>
      <c r="G832" s="53"/>
      <c r="H832" s="1"/>
      <c r="I832" s="1"/>
      <c r="J832" s="1"/>
    </row>
    <row r="833" ht="14.25" customHeight="1">
      <c r="A833" s="52"/>
      <c r="B833" s="52"/>
      <c r="C833" s="53"/>
      <c r="D833" s="53"/>
      <c r="E833" s="53"/>
      <c r="F833" s="53"/>
      <c r="G833" s="53"/>
      <c r="H833" s="1"/>
      <c r="I833" s="1"/>
      <c r="J833" s="1"/>
    </row>
    <row r="834" ht="14.25" customHeight="1">
      <c r="A834" s="52"/>
      <c r="B834" s="52"/>
      <c r="C834" s="53"/>
      <c r="D834" s="53"/>
      <c r="E834" s="53"/>
      <c r="F834" s="53"/>
      <c r="G834" s="53"/>
      <c r="H834" s="1"/>
      <c r="I834" s="1"/>
      <c r="J834" s="1"/>
    </row>
    <row r="835" ht="14.25" customHeight="1">
      <c r="A835" s="52"/>
      <c r="B835" s="52"/>
      <c r="C835" s="53"/>
      <c r="D835" s="53"/>
      <c r="E835" s="53"/>
      <c r="F835" s="53"/>
      <c r="G835" s="53"/>
      <c r="H835" s="1"/>
      <c r="I835" s="1"/>
      <c r="J835" s="1"/>
    </row>
    <row r="836" ht="14.25" customHeight="1">
      <c r="A836" s="52"/>
      <c r="B836" s="52"/>
      <c r="C836" s="53"/>
      <c r="D836" s="53"/>
      <c r="E836" s="53"/>
      <c r="F836" s="53"/>
      <c r="G836" s="53"/>
      <c r="H836" s="1"/>
      <c r="I836" s="1"/>
      <c r="J836" s="1"/>
    </row>
    <row r="837" ht="14.25" customHeight="1">
      <c r="A837" s="52"/>
      <c r="B837" s="52"/>
      <c r="C837" s="53"/>
      <c r="D837" s="53"/>
      <c r="E837" s="53"/>
      <c r="F837" s="53"/>
      <c r="G837" s="53"/>
      <c r="H837" s="1"/>
      <c r="I837" s="1"/>
      <c r="J837" s="1"/>
    </row>
    <row r="838" ht="14.25" customHeight="1">
      <c r="A838" s="52"/>
      <c r="B838" s="52"/>
      <c r="C838" s="53"/>
      <c r="D838" s="53"/>
      <c r="E838" s="53"/>
      <c r="F838" s="53"/>
      <c r="G838" s="53"/>
      <c r="H838" s="1"/>
      <c r="I838" s="1"/>
      <c r="J838" s="1"/>
    </row>
    <row r="839" ht="14.25" customHeight="1">
      <c r="A839" s="52"/>
      <c r="B839" s="52"/>
      <c r="C839" s="53"/>
      <c r="D839" s="53"/>
      <c r="E839" s="53"/>
      <c r="F839" s="53"/>
      <c r="G839" s="53"/>
      <c r="H839" s="1"/>
      <c r="I839" s="1"/>
      <c r="J839" s="1"/>
    </row>
    <row r="840" ht="14.25" customHeight="1">
      <c r="A840" s="52"/>
      <c r="B840" s="52"/>
      <c r="C840" s="53"/>
      <c r="D840" s="53"/>
      <c r="E840" s="53"/>
      <c r="F840" s="53"/>
      <c r="G840" s="53"/>
      <c r="H840" s="1"/>
      <c r="I840" s="1"/>
      <c r="J840" s="1"/>
    </row>
    <row r="841" ht="14.25" customHeight="1">
      <c r="A841" s="52"/>
      <c r="B841" s="52"/>
      <c r="C841" s="53"/>
      <c r="D841" s="53"/>
      <c r="E841" s="53"/>
      <c r="F841" s="53"/>
      <c r="G841" s="53"/>
      <c r="H841" s="1"/>
      <c r="I841" s="1"/>
      <c r="J841" s="1"/>
    </row>
    <row r="842" ht="14.25" customHeight="1">
      <c r="A842" s="52"/>
      <c r="B842" s="52"/>
      <c r="C842" s="53"/>
      <c r="D842" s="53"/>
      <c r="E842" s="53"/>
      <c r="F842" s="53"/>
      <c r="G842" s="53"/>
      <c r="H842" s="1"/>
      <c r="I842" s="1"/>
      <c r="J842" s="1"/>
    </row>
    <row r="843" ht="14.25" customHeight="1">
      <c r="A843" s="52"/>
      <c r="B843" s="52"/>
      <c r="C843" s="53"/>
      <c r="D843" s="53"/>
      <c r="E843" s="53"/>
      <c r="F843" s="53"/>
      <c r="G843" s="53"/>
      <c r="H843" s="1"/>
      <c r="I843" s="1"/>
      <c r="J843" s="1"/>
    </row>
    <row r="844" ht="14.25" customHeight="1">
      <c r="A844" s="52"/>
      <c r="B844" s="52"/>
      <c r="C844" s="53"/>
      <c r="D844" s="53"/>
      <c r="E844" s="53"/>
      <c r="F844" s="53"/>
      <c r="G844" s="53"/>
      <c r="H844" s="1"/>
      <c r="I844" s="1"/>
      <c r="J844" s="1"/>
    </row>
    <row r="845" ht="14.25" customHeight="1">
      <c r="A845" s="52"/>
      <c r="B845" s="52"/>
      <c r="C845" s="53"/>
      <c r="D845" s="53"/>
      <c r="E845" s="53"/>
      <c r="F845" s="53"/>
      <c r="G845" s="53"/>
      <c r="H845" s="1"/>
      <c r="I845" s="1"/>
      <c r="J845" s="1"/>
    </row>
    <row r="846" ht="14.25" customHeight="1">
      <c r="A846" s="52"/>
      <c r="B846" s="52"/>
      <c r="C846" s="53"/>
      <c r="D846" s="53"/>
      <c r="E846" s="53"/>
      <c r="F846" s="53"/>
      <c r="G846" s="53"/>
      <c r="H846" s="1"/>
      <c r="I846" s="1"/>
      <c r="J846" s="1"/>
    </row>
    <row r="847" ht="14.25" customHeight="1">
      <c r="A847" s="52"/>
      <c r="B847" s="52"/>
      <c r="C847" s="53"/>
      <c r="D847" s="53"/>
      <c r="E847" s="53"/>
      <c r="F847" s="53"/>
      <c r="G847" s="53"/>
      <c r="H847" s="1"/>
      <c r="I847" s="1"/>
      <c r="J847" s="1"/>
    </row>
    <row r="848" ht="14.25" customHeight="1">
      <c r="A848" s="52"/>
      <c r="B848" s="52"/>
      <c r="C848" s="53"/>
      <c r="D848" s="53"/>
      <c r="E848" s="53"/>
      <c r="F848" s="53"/>
      <c r="G848" s="53"/>
      <c r="H848" s="1"/>
      <c r="I848" s="1"/>
      <c r="J848" s="1"/>
    </row>
    <row r="849" ht="14.25" customHeight="1">
      <c r="A849" s="52"/>
      <c r="B849" s="52"/>
      <c r="C849" s="53"/>
      <c r="D849" s="53"/>
      <c r="E849" s="53"/>
      <c r="F849" s="53"/>
      <c r="G849" s="53"/>
      <c r="H849" s="1"/>
      <c r="I849" s="1"/>
      <c r="J849" s="1"/>
    </row>
    <row r="850" ht="14.25" customHeight="1">
      <c r="A850" s="52"/>
      <c r="B850" s="52"/>
      <c r="C850" s="53"/>
      <c r="D850" s="53"/>
      <c r="E850" s="53"/>
      <c r="F850" s="53"/>
      <c r="G850" s="53"/>
      <c r="H850" s="1"/>
      <c r="I850" s="1"/>
      <c r="J850" s="1"/>
    </row>
    <row r="851" ht="14.25" customHeight="1">
      <c r="A851" s="52"/>
      <c r="B851" s="52"/>
      <c r="C851" s="53"/>
      <c r="D851" s="53"/>
      <c r="E851" s="53"/>
      <c r="F851" s="53"/>
      <c r="G851" s="53"/>
      <c r="H851" s="1"/>
      <c r="I851" s="1"/>
      <c r="J851" s="1"/>
    </row>
    <row r="852" ht="14.25" customHeight="1">
      <c r="A852" s="52"/>
      <c r="B852" s="52"/>
      <c r="C852" s="53"/>
      <c r="D852" s="53"/>
      <c r="E852" s="53"/>
      <c r="F852" s="53"/>
      <c r="G852" s="53"/>
      <c r="H852" s="1"/>
      <c r="I852" s="1"/>
      <c r="J852" s="1"/>
    </row>
    <row r="853" ht="14.25" customHeight="1">
      <c r="A853" s="52"/>
      <c r="B853" s="52"/>
      <c r="C853" s="53"/>
      <c r="D853" s="53"/>
      <c r="E853" s="53"/>
      <c r="F853" s="53"/>
      <c r="G853" s="53"/>
      <c r="H853" s="1"/>
      <c r="I853" s="1"/>
      <c r="J853" s="1"/>
    </row>
    <row r="854" ht="14.25" customHeight="1">
      <c r="A854" s="52"/>
      <c r="B854" s="52"/>
      <c r="C854" s="53"/>
      <c r="D854" s="53"/>
      <c r="E854" s="53"/>
      <c r="F854" s="53"/>
      <c r="G854" s="53"/>
      <c r="H854" s="1"/>
      <c r="I854" s="1"/>
      <c r="J854" s="1"/>
    </row>
    <row r="855" ht="14.25" customHeight="1">
      <c r="A855" s="52"/>
      <c r="B855" s="52"/>
      <c r="C855" s="53"/>
      <c r="D855" s="53"/>
      <c r="E855" s="53"/>
      <c r="F855" s="53"/>
      <c r="G855" s="53"/>
      <c r="H855" s="1"/>
      <c r="I855" s="1"/>
      <c r="J855" s="1"/>
    </row>
    <row r="856" ht="14.25" customHeight="1">
      <c r="A856" s="52"/>
      <c r="B856" s="52"/>
      <c r="C856" s="53"/>
      <c r="D856" s="53"/>
      <c r="E856" s="53"/>
      <c r="F856" s="53"/>
      <c r="G856" s="53"/>
      <c r="H856" s="1"/>
      <c r="I856" s="1"/>
      <c r="J856" s="1"/>
    </row>
    <row r="857" ht="14.25" customHeight="1">
      <c r="A857" s="52"/>
      <c r="B857" s="52"/>
      <c r="C857" s="53"/>
      <c r="D857" s="53"/>
      <c r="E857" s="53"/>
      <c r="F857" s="53"/>
      <c r="G857" s="53"/>
      <c r="H857" s="1"/>
      <c r="I857" s="1"/>
      <c r="J857" s="1"/>
    </row>
    <row r="858" ht="14.25" customHeight="1">
      <c r="A858" s="52"/>
      <c r="B858" s="52"/>
      <c r="C858" s="53"/>
      <c r="D858" s="53"/>
      <c r="E858" s="53"/>
      <c r="F858" s="53"/>
      <c r="G858" s="53"/>
      <c r="H858" s="1"/>
      <c r="I858" s="1"/>
      <c r="J858" s="1"/>
    </row>
    <row r="859" ht="14.25" customHeight="1">
      <c r="A859" s="52"/>
      <c r="B859" s="52"/>
      <c r="C859" s="53"/>
      <c r="D859" s="53"/>
      <c r="E859" s="53"/>
      <c r="F859" s="53"/>
      <c r="G859" s="53"/>
      <c r="H859" s="1"/>
      <c r="I859" s="1"/>
      <c r="J859" s="1"/>
    </row>
    <row r="860" ht="14.25" customHeight="1">
      <c r="A860" s="52"/>
      <c r="B860" s="52"/>
      <c r="C860" s="53"/>
      <c r="D860" s="53"/>
      <c r="E860" s="53"/>
      <c r="F860" s="53"/>
      <c r="G860" s="53"/>
      <c r="H860" s="1"/>
      <c r="I860" s="1"/>
      <c r="J860" s="1"/>
    </row>
    <row r="861" ht="14.25" customHeight="1">
      <c r="A861" s="52"/>
      <c r="B861" s="52"/>
      <c r="C861" s="53"/>
      <c r="D861" s="53"/>
      <c r="E861" s="53"/>
      <c r="F861" s="53"/>
      <c r="G861" s="53"/>
      <c r="H861" s="1"/>
      <c r="I861" s="1"/>
      <c r="J861" s="1"/>
    </row>
    <row r="862" ht="14.25" customHeight="1">
      <c r="A862" s="52"/>
      <c r="B862" s="52"/>
      <c r="C862" s="53"/>
      <c r="D862" s="53"/>
      <c r="E862" s="53"/>
      <c r="F862" s="53"/>
      <c r="G862" s="53"/>
      <c r="H862" s="1"/>
      <c r="I862" s="1"/>
      <c r="J862" s="1"/>
    </row>
    <row r="863" ht="14.25" customHeight="1">
      <c r="A863" s="52"/>
      <c r="B863" s="52"/>
      <c r="C863" s="53"/>
      <c r="D863" s="53"/>
      <c r="E863" s="53"/>
      <c r="F863" s="53"/>
      <c r="G863" s="53"/>
      <c r="H863" s="1"/>
      <c r="I863" s="1"/>
      <c r="J863" s="1"/>
    </row>
    <row r="864" ht="14.25" customHeight="1">
      <c r="A864" s="52"/>
      <c r="B864" s="52"/>
      <c r="C864" s="53"/>
      <c r="D864" s="53"/>
      <c r="E864" s="53"/>
      <c r="F864" s="53"/>
      <c r="G864" s="53"/>
      <c r="H864" s="1"/>
      <c r="I864" s="1"/>
      <c r="J864" s="1"/>
    </row>
    <row r="865" ht="14.25" customHeight="1">
      <c r="A865" s="52"/>
      <c r="B865" s="52"/>
      <c r="C865" s="53"/>
      <c r="D865" s="53"/>
      <c r="E865" s="53"/>
      <c r="F865" s="53"/>
      <c r="G865" s="53"/>
      <c r="H865" s="1"/>
      <c r="I865" s="1"/>
      <c r="J865" s="1"/>
    </row>
    <row r="866" ht="14.25" customHeight="1">
      <c r="A866" s="52"/>
      <c r="B866" s="52"/>
      <c r="C866" s="53"/>
      <c r="D866" s="53"/>
      <c r="E866" s="53"/>
      <c r="F866" s="53"/>
      <c r="G866" s="53"/>
      <c r="H866" s="1"/>
      <c r="I866" s="1"/>
      <c r="J866" s="1"/>
    </row>
    <row r="867" ht="14.25" customHeight="1">
      <c r="A867" s="52"/>
      <c r="B867" s="52"/>
      <c r="C867" s="53"/>
      <c r="D867" s="53"/>
      <c r="E867" s="53"/>
      <c r="F867" s="53"/>
      <c r="G867" s="53"/>
      <c r="H867" s="1"/>
      <c r="I867" s="1"/>
      <c r="J867" s="1"/>
    </row>
    <row r="868" ht="14.25" customHeight="1">
      <c r="A868" s="52"/>
      <c r="B868" s="52"/>
      <c r="C868" s="53"/>
      <c r="D868" s="53"/>
      <c r="E868" s="53"/>
      <c r="F868" s="53"/>
      <c r="G868" s="53"/>
      <c r="H868" s="1"/>
      <c r="I868" s="1"/>
      <c r="J868" s="1"/>
    </row>
    <row r="869" ht="14.25" customHeight="1">
      <c r="A869" s="52"/>
      <c r="B869" s="52"/>
      <c r="C869" s="53"/>
      <c r="D869" s="53"/>
      <c r="E869" s="53"/>
      <c r="F869" s="53"/>
      <c r="G869" s="53"/>
      <c r="H869" s="1"/>
      <c r="I869" s="1"/>
      <c r="J869" s="1"/>
    </row>
    <row r="870" ht="14.25" customHeight="1">
      <c r="A870" s="52"/>
      <c r="B870" s="52"/>
      <c r="C870" s="53"/>
      <c r="D870" s="53"/>
      <c r="E870" s="53"/>
      <c r="F870" s="53"/>
      <c r="G870" s="53"/>
      <c r="H870" s="1"/>
      <c r="I870" s="1"/>
      <c r="J870" s="1"/>
    </row>
    <row r="871" ht="14.25" customHeight="1">
      <c r="A871" s="52"/>
      <c r="B871" s="52"/>
      <c r="C871" s="53"/>
      <c r="D871" s="53"/>
      <c r="E871" s="53"/>
      <c r="F871" s="53"/>
      <c r="G871" s="53"/>
      <c r="H871" s="1"/>
      <c r="I871" s="1"/>
      <c r="J871" s="1"/>
    </row>
    <row r="872" ht="14.25" customHeight="1">
      <c r="A872" s="52"/>
      <c r="B872" s="52"/>
      <c r="C872" s="53"/>
      <c r="D872" s="53"/>
      <c r="E872" s="53"/>
      <c r="F872" s="53"/>
      <c r="G872" s="53"/>
      <c r="H872" s="1"/>
      <c r="I872" s="1"/>
      <c r="J872" s="1"/>
    </row>
    <row r="873" ht="14.25" customHeight="1">
      <c r="A873" s="52"/>
      <c r="B873" s="52"/>
      <c r="C873" s="53"/>
      <c r="D873" s="53"/>
      <c r="E873" s="53"/>
      <c r="F873" s="53"/>
      <c r="G873" s="53"/>
      <c r="H873" s="1"/>
      <c r="I873" s="1"/>
      <c r="J873" s="1"/>
    </row>
    <row r="874" ht="14.25" customHeight="1">
      <c r="A874" s="52"/>
      <c r="B874" s="52"/>
      <c r="C874" s="53"/>
      <c r="D874" s="53"/>
      <c r="E874" s="53"/>
      <c r="F874" s="53"/>
      <c r="G874" s="53"/>
      <c r="H874" s="1"/>
      <c r="I874" s="1"/>
      <c r="J874" s="1"/>
    </row>
    <row r="875" ht="14.25" customHeight="1">
      <c r="A875" s="52"/>
      <c r="B875" s="52"/>
      <c r="C875" s="53"/>
      <c r="D875" s="53"/>
      <c r="E875" s="53"/>
      <c r="F875" s="53"/>
      <c r="G875" s="53"/>
      <c r="H875" s="1"/>
      <c r="I875" s="1"/>
      <c r="J875" s="1"/>
    </row>
    <row r="876" ht="14.25" customHeight="1">
      <c r="A876" s="52"/>
      <c r="B876" s="52"/>
      <c r="C876" s="53"/>
      <c r="D876" s="53"/>
      <c r="E876" s="53"/>
      <c r="F876" s="53"/>
      <c r="G876" s="53"/>
      <c r="H876" s="1"/>
      <c r="I876" s="1"/>
      <c r="J876" s="1"/>
    </row>
    <row r="877" ht="14.25" customHeight="1">
      <c r="A877" s="52"/>
      <c r="B877" s="52"/>
      <c r="C877" s="53"/>
      <c r="D877" s="53"/>
      <c r="E877" s="53"/>
      <c r="F877" s="53"/>
      <c r="G877" s="53"/>
      <c r="H877" s="1"/>
      <c r="I877" s="1"/>
      <c r="J877" s="1"/>
    </row>
    <row r="878" ht="14.25" customHeight="1">
      <c r="A878" s="52"/>
      <c r="B878" s="52"/>
      <c r="C878" s="53"/>
      <c r="D878" s="53"/>
      <c r="E878" s="53"/>
      <c r="F878" s="53"/>
      <c r="G878" s="53"/>
      <c r="H878" s="1"/>
      <c r="I878" s="1"/>
      <c r="J878" s="1"/>
    </row>
    <row r="879" ht="14.25" customHeight="1">
      <c r="A879" s="52"/>
      <c r="B879" s="52"/>
      <c r="C879" s="53"/>
      <c r="D879" s="53"/>
      <c r="E879" s="53"/>
      <c r="F879" s="53"/>
      <c r="G879" s="53"/>
      <c r="H879" s="1"/>
      <c r="I879" s="1"/>
      <c r="J879" s="1"/>
    </row>
    <row r="880" ht="14.25" customHeight="1">
      <c r="A880" s="52"/>
      <c r="B880" s="52"/>
      <c r="C880" s="53"/>
      <c r="D880" s="53"/>
      <c r="E880" s="53"/>
      <c r="F880" s="53"/>
      <c r="G880" s="53"/>
      <c r="H880" s="1"/>
      <c r="I880" s="1"/>
      <c r="J880" s="1"/>
    </row>
    <row r="881" ht="14.25" customHeight="1">
      <c r="A881" s="52"/>
      <c r="B881" s="52"/>
      <c r="C881" s="53"/>
      <c r="D881" s="53"/>
      <c r="E881" s="53"/>
      <c r="F881" s="53"/>
      <c r="G881" s="53"/>
      <c r="H881" s="1"/>
      <c r="I881" s="1"/>
      <c r="J881" s="1"/>
    </row>
    <row r="882" ht="14.25" customHeight="1">
      <c r="A882" s="52"/>
      <c r="B882" s="52"/>
      <c r="C882" s="53"/>
      <c r="D882" s="53"/>
      <c r="E882" s="53"/>
      <c r="F882" s="53"/>
      <c r="G882" s="53"/>
      <c r="H882" s="1"/>
      <c r="I882" s="1"/>
      <c r="J882" s="1"/>
    </row>
    <row r="883" ht="14.25" customHeight="1">
      <c r="A883" s="52"/>
      <c r="B883" s="52"/>
      <c r="C883" s="53"/>
      <c r="D883" s="53"/>
      <c r="E883" s="53"/>
      <c r="F883" s="53"/>
      <c r="G883" s="53"/>
      <c r="H883" s="1"/>
      <c r="I883" s="1"/>
      <c r="J883" s="1"/>
    </row>
    <row r="884" ht="14.25" customHeight="1">
      <c r="A884" s="52"/>
      <c r="B884" s="52"/>
      <c r="C884" s="53"/>
      <c r="D884" s="53"/>
      <c r="E884" s="53"/>
      <c r="F884" s="53"/>
      <c r="G884" s="53"/>
      <c r="H884" s="1"/>
      <c r="I884" s="1"/>
      <c r="J884" s="1"/>
    </row>
    <row r="885" ht="14.25" customHeight="1">
      <c r="A885" s="52"/>
      <c r="B885" s="52"/>
      <c r="C885" s="53"/>
      <c r="D885" s="53"/>
      <c r="E885" s="53"/>
      <c r="F885" s="53"/>
      <c r="G885" s="53"/>
      <c r="H885" s="1"/>
      <c r="I885" s="1"/>
      <c r="J885" s="1"/>
    </row>
    <row r="886" ht="14.25" customHeight="1">
      <c r="A886" s="52"/>
      <c r="B886" s="52"/>
      <c r="C886" s="53"/>
      <c r="D886" s="53"/>
      <c r="E886" s="53"/>
      <c r="F886" s="53"/>
      <c r="G886" s="53"/>
      <c r="H886" s="1"/>
      <c r="I886" s="1"/>
      <c r="J886" s="1"/>
    </row>
    <row r="887" ht="14.25" customHeight="1">
      <c r="A887" s="52"/>
      <c r="B887" s="52"/>
      <c r="C887" s="53"/>
      <c r="D887" s="53"/>
      <c r="E887" s="53"/>
      <c r="F887" s="53"/>
      <c r="G887" s="53"/>
      <c r="H887" s="1"/>
      <c r="I887" s="1"/>
      <c r="J887" s="1"/>
    </row>
    <row r="888" ht="14.25" customHeight="1">
      <c r="A888" s="52"/>
      <c r="B888" s="52"/>
      <c r="C888" s="53"/>
      <c r="D888" s="53"/>
      <c r="E888" s="53"/>
      <c r="F888" s="53"/>
      <c r="G888" s="53"/>
      <c r="H888" s="1"/>
      <c r="I888" s="1"/>
      <c r="J888" s="1"/>
    </row>
    <row r="889" ht="14.25" customHeight="1">
      <c r="A889" s="52"/>
      <c r="B889" s="52"/>
      <c r="C889" s="53"/>
      <c r="D889" s="53"/>
      <c r="E889" s="53"/>
      <c r="F889" s="53"/>
      <c r="G889" s="53"/>
      <c r="H889" s="1"/>
      <c r="I889" s="1"/>
      <c r="J889" s="1"/>
    </row>
    <row r="890" ht="14.25" customHeight="1">
      <c r="A890" s="52"/>
      <c r="B890" s="52"/>
      <c r="C890" s="53"/>
      <c r="D890" s="53"/>
      <c r="E890" s="53"/>
      <c r="F890" s="53"/>
      <c r="G890" s="53"/>
      <c r="H890" s="1"/>
      <c r="I890" s="1"/>
      <c r="J890" s="1"/>
    </row>
    <row r="891" ht="14.25" customHeight="1">
      <c r="A891" s="52"/>
      <c r="B891" s="52"/>
      <c r="C891" s="53"/>
      <c r="D891" s="53"/>
      <c r="E891" s="53"/>
      <c r="F891" s="53"/>
      <c r="G891" s="53"/>
      <c r="H891" s="1"/>
      <c r="I891" s="1"/>
      <c r="J891" s="1"/>
    </row>
    <row r="892" ht="14.25" customHeight="1">
      <c r="A892" s="52"/>
      <c r="B892" s="52"/>
      <c r="C892" s="53"/>
      <c r="D892" s="53"/>
      <c r="E892" s="53"/>
      <c r="F892" s="53"/>
      <c r="G892" s="53"/>
      <c r="H892" s="1"/>
      <c r="I892" s="1"/>
      <c r="J892" s="1"/>
    </row>
    <row r="893" ht="14.25" customHeight="1">
      <c r="A893" s="52"/>
      <c r="B893" s="52"/>
      <c r="C893" s="53"/>
      <c r="D893" s="53"/>
      <c r="E893" s="53"/>
      <c r="F893" s="53"/>
      <c r="G893" s="53"/>
      <c r="H893" s="1"/>
      <c r="I893" s="1"/>
      <c r="J893" s="1"/>
    </row>
    <row r="894" ht="14.25" customHeight="1">
      <c r="A894" s="52"/>
      <c r="B894" s="52"/>
      <c r="C894" s="53"/>
      <c r="D894" s="53"/>
      <c r="E894" s="53"/>
      <c r="F894" s="53"/>
      <c r="G894" s="53"/>
      <c r="H894" s="1"/>
      <c r="I894" s="1"/>
      <c r="J894" s="1"/>
    </row>
    <row r="895" ht="14.25" customHeight="1">
      <c r="A895" s="52"/>
      <c r="B895" s="52"/>
      <c r="C895" s="53"/>
      <c r="D895" s="53"/>
      <c r="E895" s="53"/>
      <c r="F895" s="53"/>
      <c r="G895" s="53"/>
      <c r="H895" s="1"/>
      <c r="I895" s="1"/>
      <c r="J895" s="1"/>
    </row>
    <row r="896" ht="14.25" customHeight="1">
      <c r="A896" s="52"/>
      <c r="B896" s="52"/>
      <c r="C896" s="53"/>
      <c r="D896" s="53"/>
      <c r="E896" s="53"/>
      <c r="F896" s="53"/>
      <c r="G896" s="53"/>
      <c r="H896" s="1"/>
      <c r="I896" s="1"/>
      <c r="J896" s="1"/>
    </row>
    <row r="897" ht="14.25" customHeight="1">
      <c r="A897" s="52"/>
      <c r="B897" s="52"/>
      <c r="C897" s="53"/>
      <c r="D897" s="53"/>
      <c r="E897" s="53"/>
      <c r="F897" s="53"/>
      <c r="G897" s="53"/>
      <c r="H897" s="1"/>
      <c r="I897" s="1"/>
      <c r="J897" s="1"/>
    </row>
    <row r="898" ht="14.25" customHeight="1">
      <c r="A898" s="52"/>
      <c r="B898" s="52"/>
      <c r="C898" s="53"/>
      <c r="D898" s="53"/>
      <c r="E898" s="53"/>
      <c r="F898" s="53"/>
      <c r="G898" s="53"/>
      <c r="H898" s="1"/>
      <c r="I898" s="1"/>
      <c r="J898" s="1"/>
    </row>
    <row r="899" ht="14.25" customHeight="1">
      <c r="A899" s="52"/>
      <c r="B899" s="52"/>
      <c r="C899" s="53"/>
      <c r="D899" s="53"/>
      <c r="E899" s="53"/>
      <c r="F899" s="53"/>
      <c r="G899" s="53"/>
      <c r="H899" s="1"/>
      <c r="I899" s="1"/>
      <c r="J899" s="1"/>
    </row>
    <row r="900" ht="14.25" customHeight="1">
      <c r="A900" s="52"/>
      <c r="B900" s="52"/>
      <c r="C900" s="53"/>
      <c r="D900" s="53"/>
      <c r="E900" s="53"/>
      <c r="F900" s="53"/>
      <c r="G900" s="53"/>
      <c r="H900" s="1"/>
      <c r="I900" s="1"/>
      <c r="J900" s="1"/>
    </row>
    <row r="901" ht="14.25" customHeight="1">
      <c r="A901" s="52"/>
      <c r="B901" s="52"/>
      <c r="C901" s="53"/>
      <c r="D901" s="53"/>
      <c r="E901" s="53"/>
      <c r="F901" s="53"/>
      <c r="G901" s="53"/>
      <c r="H901" s="1"/>
      <c r="I901" s="1"/>
      <c r="J901" s="1"/>
    </row>
    <row r="902" ht="14.25" customHeight="1">
      <c r="A902" s="52"/>
      <c r="B902" s="52"/>
      <c r="C902" s="53"/>
      <c r="D902" s="53"/>
      <c r="E902" s="53"/>
      <c r="F902" s="53"/>
      <c r="G902" s="53"/>
      <c r="H902" s="1"/>
      <c r="I902" s="1"/>
      <c r="J902" s="1"/>
    </row>
    <row r="903" ht="14.25" customHeight="1">
      <c r="A903" s="52"/>
      <c r="B903" s="52"/>
      <c r="C903" s="53"/>
      <c r="D903" s="53"/>
      <c r="E903" s="53"/>
      <c r="F903" s="53"/>
      <c r="G903" s="53"/>
      <c r="H903" s="1"/>
      <c r="I903" s="1"/>
      <c r="J903" s="1"/>
    </row>
    <row r="904" ht="14.25" customHeight="1">
      <c r="A904" s="52"/>
      <c r="B904" s="52"/>
      <c r="C904" s="53"/>
      <c r="D904" s="53"/>
      <c r="E904" s="53"/>
      <c r="F904" s="53"/>
      <c r="G904" s="53"/>
      <c r="H904" s="1"/>
      <c r="I904" s="1"/>
      <c r="J904" s="1"/>
    </row>
    <row r="905" ht="14.25" customHeight="1">
      <c r="A905" s="52"/>
      <c r="B905" s="52"/>
      <c r="C905" s="53"/>
      <c r="D905" s="53"/>
      <c r="E905" s="53"/>
      <c r="F905" s="53"/>
      <c r="G905" s="53"/>
      <c r="H905" s="1"/>
      <c r="I905" s="1"/>
      <c r="J905" s="1"/>
    </row>
    <row r="906" ht="14.25" customHeight="1">
      <c r="A906" s="52"/>
      <c r="B906" s="52"/>
      <c r="C906" s="53"/>
      <c r="D906" s="53"/>
      <c r="E906" s="53"/>
      <c r="F906" s="53"/>
      <c r="G906" s="53"/>
      <c r="H906" s="1"/>
      <c r="I906" s="1"/>
      <c r="J906" s="1"/>
    </row>
    <row r="907" ht="14.25" customHeight="1">
      <c r="A907" s="52"/>
      <c r="B907" s="52"/>
      <c r="C907" s="53"/>
      <c r="D907" s="53"/>
      <c r="E907" s="53"/>
      <c r="F907" s="53"/>
      <c r="G907" s="53"/>
      <c r="H907" s="1"/>
      <c r="I907" s="1"/>
      <c r="J907" s="1"/>
    </row>
    <row r="908" ht="14.25" customHeight="1">
      <c r="A908" s="52"/>
      <c r="B908" s="52"/>
      <c r="C908" s="53"/>
      <c r="D908" s="53"/>
      <c r="E908" s="53"/>
      <c r="F908" s="53"/>
      <c r="G908" s="53"/>
      <c r="H908" s="1"/>
      <c r="I908" s="1"/>
      <c r="J908" s="1"/>
    </row>
    <row r="909" ht="14.25" customHeight="1">
      <c r="A909" s="52"/>
      <c r="B909" s="52"/>
      <c r="C909" s="53"/>
      <c r="D909" s="53"/>
      <c r="E909" s="53"/>
      <c r="F909" s="53"/>
      <c r="G909" s="53"/>
      <c r="H909" s="1"/>
      <c r="I909" s="1"/>
      <c r="J909" s="1"/>
    </row>
    <row r="910" ht="14.25" customHeight="1">
      <c r="A910" s="52"/>
      <c r="B910" s="52"/>
      <c r="C910" s="53"/>
      <c r="D910" s="53"/>
      <c r="E910" s="53"/>
      <c r="F910" s="53"/>
      <c r="G910" s="53"/>
      <c r="H910" s="1"/>
      <c r="I910" s="1"/>
      <c r="J910" s="1"/>
    </row>
    <row r="911" ht="14.25" customHeight="1">
      <c r="A911" s="52"/>
      <c r="B911" s="52"/>
      <c r="C911" s="53"/>
      <c r="D911" s="53"/>
      <c r="E911" s="53"/>
      <c r="F911" s="53"/>
      <c r="G911" s="53"/>
      <c r="H911" s="1"/>
      <c r="I911" s="1"/>
      <c r="J911" s="1"/>
    </row>
    <row r="912" ht="14.25" customHeight="1">
      <c r="A912" s="52"/>
      <c r="B912" s="52"/>
      <c r="C912" s="53"/>
      <c r="D912" s="53"/>
      <c r="E912" s="53"/>
      <c r="F912" s="53"/>
      <c r="G912" s="53"/>
      <c r="H912" s="1"/>
      <c r="I912" s="1"/>
      <c r="J912" s="1"/>
    </row>
    <row r="913" ht="14.25" customHeight="1">
      <c r="A913" s="52"/>
      <c r="B913" s="52"/>
      <c r="C913" s="53"/>
      <c r="D913" s="53"/>
      <c r="E913" s="53"/>
      <c r="F913" s="53"/>
      <c r="G913" s="53"/>
      <c r="H913" s="1"/>
      <c r="I913" s="1"/>
      <c r="J913" s="1"/>
    </row>
    <row r="914" ht="14.25" customHeight="1">
      <c r="A914" s="52"/>
      <c r="B914" s="52"/>
      <c r="C914" s="53"/>
      <c r="D914" s="53"/>
      <c r="E914" s="53"/>
      <c r="F914" s="53"/>
      <c r="G914" s="53"/>
      <c r="H914" s="1"/>
      <c r="I914" s="1"/>
      <c r="J914" s="1"/>
    </row>
    <row r="915" ht="14.25" customHeight="1">
      <c r="A915" s="52"/>
      <c r="B915" s="52"/>
      <c r="C915" s="53"/>
      <c r="D915" s="53"/>
      <c r="E915" s="53"/>
      <c r="F915" s="53"/>
      <c r="G915" s="53"/>
      <c r="H915" s="1"/>
      <c r="I915" s="1"/>
      <c r="J915" s="1"/>
    </row>
    <row r="916" ht="14.25" customHeight="1">
      <c r="A916" s="52"/>
      <c r="B916" s="52"/>
      <c r="C916" s="53"/>
      <c r="D916" s="53"/>
      <c r="E916" s="53"/>
      <c r="F916" s="53"/>
      <c r="G916" s="53"/>
      <c r="H916" s="1"/>
      <c r="I916" s="1"/>
      <c r="J916" s="1"/>
    </row>
    <row r="917" ht="14.25" customHeight="1">
      <c r="A917" s="52"/>
      <c r="B917" s="52"/>
      <c r="C917" s="53"/>
      <c r="D917" s="53"/>
      <c r="E917" s="53"/>
      <c r="F917" s="53"/>
      <c r="G917" s="53"/>
      <c r="H917" s="1"/>
      <c r="I917" s="1"/>
      <c r="J917" s="1"/>
    </row>
    <row r="918" ht="14.25" customHeight="1">
      <c r="A918" s="52"/>
      <c r="B918" s="52"/>
      <c r="C918" s="53"/>
      <c r="D918" s="53"/>
      <c r="E918" s="53"/>
      <c r="F918" s="53"/>
      <c r="G918" s="53"/>
      <c r="H918" s="1"/>
      <c r="I918" s="1"/>
      <c r="J918" s="1"/>
    </row>
    <row r="919" ht="14.25" customHeight="1">
      <c r="A919" s="52"/>
      <c r="B919" s="52"/>
      <c r="C919" s="53"/>
      <c r="D919" s="53"/>
      <c r="E919" s="53"/>
      <c r="F919" s="53"/>
      <c r="G919" s="53"/>
      <c r="H919" s="1"/>
      <c r="I919" s="1"/>
      <c r="J919" s="1"/>
    </row>
    <row r="920" ht="14.25" customHeight="1">
      <c r="A920" s="52"/>
      <c r="B920" s="52"/>
      <c r="C920" s="53"/>
      <c r="D920" s="53"/>
      <c r="E920" s="53"/>
      <c r="F920" s="53"/>
      <c r="G920" s="53"/>
      <c r="H920" s="1"/>
      <c r="I920" s="1"/>
      <c r="J920" s="1"/>
    </row>
    <row r="921" ht="14.25" customHeight="1">
      <c r="A921" s="52"/>
      <c r="B921" s="52"/>
      <c r="C921" s="53"/>
      <c r="D921" s="53"/>
      <c r="E921" s="53"/>
      <c r="F921" s="53"/>
      <c r="G921" s="53"/>
      <c r="H921" s="1"/>
      <c r="I921" s="1"/>
      <c r="J921" s="1"/>
    </row>
    <row r="922" ht="14.25" customHeight="1">
      <c r="A922" s="52"/>
      <c r="B922" s="52"/>
      <c r="C922" s="53"/>
      <c r="D922" s="53"/>
      <c r="E922" s="53"/>
      <c r="F922" s="53"/>
      <c r="G922" s="53"/>
      <c r="H922" s="1"/>
      <c r="I922" s="1"/>
      <c r="J922" s="1"/>
    </row>
    <row r="923" ht="14.25" customHeight="1">
      <c r="A923" s="52"/>
      <c r="B923" s="52"/>
      <c r="C923" s="53"/>
      <c r="D923" s="53"/>
      <c r="E923" s="53"/>
      <c r="F923" s="53"/>
      <c r="G923" s="53"/>
      <c r="H923" s="1"/>
      <c r="I923" s="1"/>
      <c r="J923" s="1"/>
    </row>
    <row r="924" ht="14.25" customHeight="1">
      <c r="A924" s="52"/>
      <c r="B924" s="52"/>
      <c r="C924" s="53"/>
      <c r="D924" s="53"/>
      <c r="E924" s="53"/>
      <c r="F924" s="53"/>
      <c r="G924" s="53"/>
      <c r="H924" s="1"/>
      <c r="I924" s="1"/>
      <c r="J924" s="1"/>
    </row>
    <row r="925" ht="14.25" customHeight="1">
      <c r="A925" s="52"/>
      <c r="B925" s="52"/>
      <c r="C925" s="53"/>
      <c r="D925" s="53"/>
      <c r="E925" s="53"/>
      <c r="F925" s="53"/>
      <c r="G925" s="53"/>
      <c r="H925" s="1"/>
      <c r="I925" s="1"/>
      <c r="J925" s="1"/>
    </row>
    <row r="926" ht="14.25" customHeight="1">
      <c r="A926" s="52"/>
      <c r="B926" s="52"/>
      <c r="C926" s="53"/>
      <c r="D926" s="53"/>
      <c r="E926" s="53"/>
      <c r="F926" s="53"/>
      <c r="G926" s="53"/>
      <c r="H926" s="1"/>
      <c r="I926" s="1"/>
      <c r="J926" s="1"/>
    </row>
    <row r="927" ht="14.25" customHeight="1">
      <c r="A927" s="52"/>
      <c r="B927" s="52"/>
      <c r="C927" s="53"/>
      <c r="D927" s="53"/>
      <c r="E927" s="53"/>
      <c r="F927" s="53"/>
      <c r="G927" s="53"/>
      <c r="H927" s="1"/>
      <c r="I927" s="1"/>
      <c r="J927" s="1"/>
    </row>
    <row r="928" ht="14.25" customHeight="1">
      <c r="A928" s="52"/>
      <c r="B928" s="52"/>
      <c r="C928" s="53"/>
      <c r="D928" s="53"/>
      <c r="E928" s="53"/>
      <c r="F928" s="53"/>
      <c r="G928" s="53"/>
      <c r="H928" s="1"/>
      <c r="I928" s="1"/>
      <c r="J928" s="1"/>
    </row>
    <row r="929" ht="14.25" customHeight="1">
      <c r="A929" s="52"/>
      <c r="B929" s="52"/>
      <c r="C929" s="53"/>
      <c r="D929" s="53"/>
      <c r="E929" s="53"/>
      <c r="F929" s="53"/>
      <c r="G929" s="53"/>
      <c r="H929" s="1"/>
      <c r="I929" s="1"/>
      <c r="J929" s="1"/>
    </row>
    <row r="930" ht="14.25" customHeight="1">
      <c r="A930" s="52"/>
      <c r="B930" s="52"/>
      <c r="C930" s="53"/>
      <c r="D930" s="53"/>
      <c r="E930" s="53"/>
      <c r="F930" s="53"/>
      <c r="G930" s="53"/>
      <c r="H930" s="1"/>
      <c r="I930" s="1"/>
      <c r="J930" s="1"/>
    </row>
    <row r="931" ht="14.25" customHeight="1">
      <c r="A931" s="52"/>
      <c r="B931" s="52"/>
      <c r="C931" s="53"/>
      <c r="D931" s="53"/>
      <c r="E931" s="53"/>
      <c r="F931" s="53"/>
      <c r="G931" s="53"/>
      <c r="H931" s="1"/>
      <c r="I931" s="1"/>
      <c r="J931" s="1"/>
    </row>
    <row r="932" ht="14.25" customHeight="1">
      <c r="A932" s="52"/>
      <c r="B932" s="52"/>
      <c r="C932" s="53"/>
      <c r="D932" s="53"/>
      <c r="E932" s="53"/>
      <c r="F932" s="53"/>
      <c r="G932" s="53"/>
      <c r="H932" s="1"/>
      <c r="I932" s="1"/>
      <c r="J932" s="1"/>
    </row>
    <row r="933" ht="14.25" customHeight="1">
      <c r="A933" s="52"/>
      <c r="B933" s="52"/>
      <c r="C933" s="53"/>
      <c r="D933" s="53"/>
      <c r="E933" s="53"/>
      <c r="F933" s="53"/>
      <c r="G933" s="53"/>
      <c r="H933" s="1"/>
      <c r="I933" s="1"/>
      <c r="J933" s="1"/>
    </row>
    <row r="934" ht="14.25" customHeight="1">
      <c r="A934" s="52"/>
      <c r="B934" s="52"/>
      <c r="C934" s="53"/>
      <c r="D934" s="53"/>
      <c r="E934" s="53"/>
      <c r="F934" s="53"/>
      <c r="G934" s="53"/>
      <c r="H934" s="1"/>
      <c r="I934" s="1"/>
      <c r="J934" s="1"/>
    </row>
    <row r="935" ht="14.25" customHeight="1">
      <c r="A935" s="52"/>
      <c r="B935" s="52"/>
      <c r="C935" s="53"/>
      <c r="D935" s="53"/>
      <c r="E935" s="53"/>
      <c r="F935" s="53"/>
      <c r="G935" s="53"/>
      <c r="H935" s="1"/>
      <c r="I935" s="1"/>
      <c r="J935" s="1"/>
    </row>
    <row r="936" ht="14.25" customHeight="1">
      <c r="A936" s="52"/>
      <c r="B936" s="52"/>
      <c r="C936" s="53"/>
      <c r="D936" s="53"/>
      <c r="E936" s="53"/>
      <c r="F936" s="53"/>
      <c r="G936" s="53"/>
      <c r="H936" s="1"/>
      <c r="I936" s="1"/>
      <c r="J936" s="1"/>
    </row>
    <row r="937" ht="14.25" customHeight="1">
      <c r="A937" s="52"/>
      <c r="B937" s="52"/>
      <c r="C937" s="53"/>
      <c r="D937" s="53"/>
      <c r="E937" s="53"/>
      <c r="F937" s="53"/>
      <c r="G937" s="53"/>
      <c r="H937" s="1"/>
      <c r="I937" s="1"/>
      <c r="J937" s="1"/>
    </row>
    <row r="938" ht="14.25" customHeight="1">
      <c r="A938" s="52"/>
      <c r="B938" s="52"/>
      <c r="C938" s="53"/>
      <c r="D938" s="53"/>
      <c r="E938" s="53"/>
      <c r="F938" s="53"/>
      <c r="G938" s="53"/>
      <c r="H938" s="1"/>
      <c r="I938" s="1"/>
      <c r="J938" s="1"/>
    </row>
    <row r="939" ht="14.25" customHeight="1">
      <c r="A939" s="52"/>
      <c r="B939" s="52"/>
      <c r="C939" s="53"/>
      <c r="D939" s="53"/>
      <c r="E939" s="53"/>
      <c r="F939" s="53"/>
      <c r="G939" s="53"/>
      <c r="H939" s="1"/>
      <c r="I939" s="1"/>
      <c r="J939" s="1"/>
    </row>
    <row r="940" ht="14.25" customHeight="1">
      <c r="A940" s="52"/>
      <c r="B940" s="52"/>
      <c r="C940" s="53"/>
      <c r="D940" s="53"/>
      <c r="E940" s="53"/>
      <c r="F940" s="53"/>
      <c r="G940" s="53"/>
      <c r="H940" s="1"/>
      <c r="I940" s="1"/>
      <c r="J940" s="1"/>
    </row>
    <row r="941" ht="14.25" customHeight="1">
      <c r="A941" s="52"/>
      <c r="B941" s="52"/>
      <c r="C941" s="53"/>
      <c r="D941" s="53"/>
      <c r="E941" s="53"/>
      <c r="F941" s="53"/>
      <c r="G941" s="53"/>
      <c r="H941" s="1"/>
      <c r="I941" s="1"/>
      <c r="J941" s="1"/>
    </row>
    <row r="942" ht="14.25" customHeight="1">
      <c r="A942" s="52"/>
      <c r="B942" s="52"/>
      <c r="C942" s="53"/>
      <c r="D942" s="53"/>
      <c r="E942" s="53"/>
      <c r="F942" s="53"/>
      <c r="G942" s="53"/>
      <c r="H942" s="1"/>
      <c r="I942" s="1"/>
      <c r="J942" s="1"/>
    </row>
    <row r="943" ht="14.25" customHeight="1">
      <c r="A943" s="52"/>
      <c r="B943" s="52"/>
      <c r="C943" s="53"/>
      <c r="D943" s="53"/>
      <c r="E943" s="53"/>
      <c r="F943" s="53"/>
      <c r="G943" s="53"/>
      <c r="H943" s="1"/>
      <c r="I943" s="1"/>
      <c r="J943" s="1"/>
    </row>
    <row r="944" ht="14.25" customHeight="1">
      <c r="A944" s="52"/>
      <c r="B944" s="52"/>
      <c r="C944" s="53"/>
      <c r="D944" s="53"/>
      <c r="E944" s="53"/>
      <c r="F944" s="53"/>
      <c r="G944" s="53"/>
      <c r="H944" s="1"/>
      <c r="I944" s="1"/>
      <c r="J944" s="1"/>
    </row>
    <row r="945" ht="14.25" customHeight="1">
      <c r="A945" s="52"/>
      <c r="B945" s="52"/>
      <c r="C945" s="53"/>
      <c r="D945" s="53"/>
      <c r="E945" s="53"/>
      <c r="F945" s="53"/>
      <c r="G945" s="53"/>
      <c r="H945" s="1"/>
      <c r="I945" s="1"/>
      <c r="J945" s="1"/>
    </row>
    <row r="946" ht="14.25" customHeight="1">
      <c r="A946" s="52"/>
      <c r="B946" s="52"/>
      <c r="C946" s="53"/>
      <c r="D946" s="53"/>
      <c r="E946" s="53"/>
      <c r="F946" s="53"/>
      <c r="G946" s="53"/>
      <c r="H946" s="1"/>
      <c r="I946" s="1"/>
      <c r="J946" s="1"/>
    </row>
    <row r="947" ht="14.25" customHeight="1">
      <c r="A947" s="52"/>
      <c r="B947" s="52"/>
      <c r="C947" s="53"/>
      <c r="D947" s="53"/>
      <c r="E947" s="53"/>
      <c r="F947" s="53"/>
      <c r="G947" s="53"/>
      <c r="H947" s="1"/>
      <c r="I947" s="1"/>
      <c r="J947" s="1"/>
    </row>
    <row r="948" ht="14.25" customHeight="1">
      <c r="A948" s="52"/>
      <c r="B948" s="52"/>
      <c r="C948" s="53"/>
      <c r="D948" s="53"/>
      <c r="E948" s="53"/>
      <c r="F948" s="53"/>
      <c r="G948" s="53"/>
      <c r="H948" s="1"/>
      <c r="I948" s="1"/>
      <c r="J948" s="1"/>
    </row>
    <row r="949" ht="14.25" customHeight="1">
      <c r="A949" s="52"/>
      <c r="B949" s="52"/>
      <c r="C949" s="53"/>
      <c r="D949" s="53"/>
      <c r="E949" s="53"/>
      <c r="F949" s="53"/>
      <c r="G949" s="53"/>
      <c r="H949" s="1"/>
      <c r="I949" s="1"/>
      <c r="J949" s="1"/>
    </row>
    <row r="950" ht="14.25" customHeight="1">
      <c r="A950" s="52"/>
      <c r="B950" s="52"/>
      <c r="C950" s="53"/>
      <c r="D950" s="53"/>
      <c r="E950" s="53"/>
      <c r="F950" s="53"/>
      <c r="G950" s="53"/>
      <c r="H950" s="1"/>
      <c r="I950" s="1"/>
      <c r="J950" s="1"/>
    </row>
    <row r="951" ht="14.25" customHeight="1">
      <c r="A951" s="52"/>
      <c r="B951" s="52"/>
      <c r="C951" s="53"/>
      <c r="D951" s="53"/>
      <c r="E951" s="53"/>
      <c r="F951" s="53"/>
      <c r="G951" s="53"/>
      <c r="H951" s="1"/>
      <c r="I951" s="1"/>
      <c r="J951" s="1"/>
    </row>
    <row r="952" ht="14.25" customHeight="1">
      <c r="A952" s="52"/>
      <c r="B952" s="52"/>
      <c r="C952" s="53"/>
      <c r="D952" s="53"/>
      <c r="E952" s="53"/>
      <c r="F952" s="53"/>
      <c r="G952" s="53"/>
      <c r="H952" s="1"/>
      <c r="I952" s="1"/>
      <c r="J952" s="1"/>
    </row>
    <row r="953" ht="14.25" customHeight="1">
      <c r="A953" s="52"/>
      <c r="B953" s="52"/>
      <c r="C953" s="53"/>
      <c r="D953" s="53"/>
      <c r="E953" s="53"/>
      <c r="F953" s="53"/>
      <c r="G953" s="53"/>
      <c r="H953" s="1"/>
      <c r="I953" s="1"/>
      <c r="J953" s="1"/>
    </row>
    <row r="954" ht="14.25" customHeight="1">
      <c r="A954" s="52"/>
      <c r="B954" s="52"/>
      <c r="C954" s="53"/>
      <c r="D954" s="53"/>
      <c r="E954" s="53"/>
      <c r="F954" s="53"/>
      <c r="G954" s="53"/>
      <c r="H954" s="1"/>
      <c r="I954" s="1"/>
      <c r="J954" s="1"/>
    </row>
    <row r="955" ht="14.25" customHeight="1">
      <c r="A955" s="52"/>
      <c r="B955" s="52"/>
      <c r="C955" s="53"/>
      <c r="D955" s="53"/>
      <c r="E955" s="53"/>
      <c r="F955" s="53"/>
      <c r="G955" s="53"/>
      <c r="H955" s="1"/>
      <c r="I955" s="1"/>
      <c r="J955" s="1"/>
    </row>
    <row r="956" ht="14.25" customHeight="1">
      <c r="A956" s="52"/>
      <c r="B956" s="52"/>
      <c r="C956" s="53"/>
      <c r="D956" s="53"/>
      <c r="E956" s="53"/>
      <c r="F956" s="53"/>
      <c r="G956" s="53"/>
      <c r="H956" s="1"/>
      <c r="I956" s="1"/>
      <c r="J956" s="1"/>
    </row>
    <row r="957" ht="14.25" customHeight="1">
      <c r="A957" s="52"/>
      <c r="B957" s="52"/>
      <c r="C957" s="53"/>
      <c r="D957" s="53"/>
      <c r="E957" s="53"/>
      <c r="F957" s="53"/>
      <c r="G957" s="53"/>
      <c r="H957" s="1"/>
      <c r="I957" s="1"/>
      <c r="J957" s="1"/>
    </row>
    <row r="958" ht="14.25" customHeight="1">
      <c r="A958" s="52"/>
      <c r="B958" s="52"/>
      <c r="C958" s="53"/>
      <c r="D958" s="53"/>
      <c r="E958" s="53"/>
      <c r="F958" s="53"/>
      <c r="G958" s="53"/>
      <c r="H958" s="1"/>
      <c r="I958" s="1"/>
      <c r="J958" s="1"/>
    </row>
    <row r="959" ht="14.25" customHeight="1">
      <c r="A959" s="52"/>
      <c r="B959" s="52"/>
      <c r="C959" s="53"/>
      <c r="D959" s="53"/>
      <c r="E959" s="53"/>
      <c r="F959" s="53"/>
      <c r="G959" s="53"/>
      <c r="H959" s="1"/>
      <c r="I959" s="1"/>
      <c r="J959" s="1"/>
    </row>
    <row r="960" ht="14.25" customHeight="1">
      <c r="A960" s="52"/>
      <c r="B960" s="52"/>
      <c r="C960" s="53"/>
      <c r="D960" s="53"/>
      <c r="E960" s="53"/>
      <c r="F960" s="53"/>
      <c r="G960" s="53"/>
      <c r="H960" s="1"/>
      <c r="I960" s="1"/>
      <c r="J960" s="1"/>
    </row>
    <row r="961" ht="14.25" customHeight="1">
      <c r="A961" s="52"/>
      <c r="B961" s="52"/>
      <c r="C961" s="53"/>
      <c r="D961" s="53"/>
      <c r="E961" s="53"/>
      <c r="F961" s="53"/>
      <c r="G961" s="53"/>
      <c r="H961" s="1"/>
      <c r="I961" s="1"/>
      <c r="J961" s="1"/>
    </row>
    <row r="962" ht="14.25" customHeight="1">
      <c r="A962" s="52"/>
      <c r="B962" s="52"/>
      <c r="C962" s="53"/>
      <c r="D962" s="53"/>
      <c r="E962" s="53"/>
      <c r="F962" s="53"/>
      <c r="G962" s="53"/>
      <c r="H962" s="1"/>
      <c r="I962" s="1"/>
      <c r="J962" s="1"/>
    </row>
    <row r="963" ht="14.25" customHeight="1">
      <c r="A963" s="52"/>
      <c r="B963" s="52"/>
      <c r="C963" s="53"/>
      <c r="D963" s="53"/>
      <c r="E963" s="53"/>
      <c r="F963" s="53"/>
      <c r="G963" s="53"/>
      <c r="H963" s="1"/>
      <c r="I963" s="1"/>
      <c r="J963" s="1"/>
    </row>
    <row r="964" ht="14.25" customHeight="1">
      <c r="A964" s="52"/>
      <c r="B964" s="52"/>
      <c r="C964" s="53"/>
      <c r="D964" s="53"/>
      <c r="E964" s="53"/>
      <c r="F964" s="53"/>
      <c r="G964" s="53"/>
      <c r="H964" s="1"/>
      <c r="I964" s="1"/>
      <c r="J964" s="1"/>
    </row>
    <row r="965" ht="14.25" customHeight="1">
      <c r="A965" s="52"/>
      <c r="B965" s="52"/>
      <c r="C965" s="53"/>
      <c r="D965" s="53"/>
      <c r="E965" s="53"/>
      <c r="F965" s="53"/>
      <c r="G965" s="53"/>
      <c r="H965" s="1"/>
      <c r="I965" s="1"/>
      <c r="J965" s="1"/>
    </row>
    <row r="966" ht="14.25" customHeight="1">
      <c r="A966" s="52"/>
      <c r="B966" s="52"/>
      <c r="C966" s="53"/>
      <c r="D966" s="53"/>
      <c r="E966" s="53"/>
      <c r="F966" s="53"/>
      <c r="G966" s="53"/>
      <c r="H966" s="1"/>
      <c r="I966" s="1"/>
      <c r="J966" s="1"/>
    </row>
    <row r="967" ht="14.25" customHeight="1">
      <c r="A967" s="52"/>
      <c r="B967" s="52"/>
      <c r="C967" s="53"/>
      <c r="D967" s="53"/>
      <c r="E967" s="53"/>
      <c r="F967" s="53"/>
      <c r="G967" s="53"/>
      <c r="H967" s="1"/>
      <c r="I967" s="1"/>
      <c r="J967" s="1"/>
    </row>
    <row r="968" ht="14.25" customHeight="1">
      <c r="A968" s="52"/>
      <c r="B968" s="52"/>
      <c r="C968" s="53"/>
      <c r="D968" s="53"/>
      <c r="E968" s="53"/>
      <c r="F968" s="53"/>
      <c r="G968" s="53"/>
      <c r="H968" s="1"/>
      <c r="I968" s="1"/>
      <c r="J968" s="1"/>
    </row>
    <row r="969" ht="14.25" customHeight="1">
      <c r="A969" s="52"/>
      <c r="B969" s="52"/>
      <c r="C969" s="53"/>
      <c r="D969" s="53"/>
      <c r="E969" s="53"/>
      <c r="F969" s="53"/>
      <c r="G969" s="53"/>
      <c r="H969" s="1"/>
      <c r="I969" s="1"/>
      <c r="J969" s="1"/>
    </row>
    <row r="970" ht="14.25" customHeight="1">
      <c r="A970" s="52"/>
      <c r="B970" s="52"/>
      <c r="C970" s="53"/>
      <c r="D970" s="53"/>
      <c r="E970" s="53"/>
      <c r="F970" s="53"/>
      <c r="G970" s="53"/>
      <c r="H970" s="1"/>
      <c r="I970" s="1"/>
      <c r="J970" s="1"/>
    </row>
    <row r="971" ht="14.25" customHeight="1">
      <c r="A971" s="52"/>
      <c r="B971" s="52"/>
      <c r="C971" s="53"/>
      <c r="D971" s="53"/>
      <c r="E971" s="53"/>
      <c r="F971" s="53"/>
      <c r="G971" s="53"/>
      <c r="H971" s="1"/>
      <c r="I971" s="1"/>
      <c r="J971" s="1"/>
    </row>
    <row r="972" ht="14.25" customHeight="1">
      <c r="A972" s="52"/>
      <c r="B972" s="52"/>
      <c r="C972" s="53"/>
      <c r="D972" s="53"/>
      <c r="E972" s="53"/>
      <c r="F972" s="53"/>
      <c r="G972" s="53"/>
      <c r="H972" s="1"/>
      <c r="I972" s="1"/>
      <c r="J972" s="1"/>
    </row>
    <row r="973" ht="14.25" customHeight="1">
      <c r="A973" s="52"/>
      <c r="B973" s="52"/>
      <c r="C973" s="53"/>
      <c r="D973" s="53"/>
      <c r="E973" s="53"/>
      <c r="F973" s="53"/>
      <c r="G973" s="53"/>
      <c r="H973" s="1"/>
      <c r="I973" s="1"/>
      <c r="J973" s="1"/>
    </row>
    <row r="974" ht="14.25" customHeight="1">
      <c r="A974" s="52"/>
      <c r="B974" s="52"/>
      <c r="C974" s="53"/>
      <c r="D974" s="53"/>
      <c r="E974" s="53"/>
      <c r="F974" s="53"/>
      <c r="G974" s="53"/>
      <c r="H974" s="1"/>
      <c r="I974" s="1"/>
      <c r="J974" s="1"/>
    </row>
    <row r="975" ht="14.25" customHeight="1">
      <c r="A975" s="52"/>
      <c r="B975" s="52"/>
      <c r="C975" s="53"/>
      <c r="D975" s="53"/>
      <c r="E975" s="53"/>
      <c r="F975" s="53"/>
      <c r="G975" s="53"/>
      <c r="H975" s="1"/>
      <c r="I975" s="1"/>
      <c r="J975" s="1"/>
    </row>
    <row r="976" ht="14.25" customHeight="1">
      <c r="A976" s="52"/>
      <c r="B976" s="52"/>
      <c r="C976" s="53"/>
      <c r="D976" s="53"/>
      <c r="E976" s="53"/>
      <c r="F976" s="53"/>
      <c r="G976" s="53"/>
      <c r="H976" s="1"/>
      <c r="I976" s="1"/>
      <c r="J976" s="1"/>
    </row>
    <row r="977" ht="14.25" customHeight="1">
      <c r="A977" s="52"/>
      <c r="B977" s="52"/>
      <c r="C977" s="53"/>
      <c r="D977" s="53"/>
      <c r="E977" s="53"/>
      <c r="F977" s="53"/>
      <c r="G977" s="53"/>
      <c r="H977" s="1"/>
      <c r="I977" s="1"/>
      <c r="J977" s="1"/>
    </row>
    <row r="978" ht="14.25" customHeight="1">
      <c r="A978" s="52"/>
      <c r="B978" s="52"/>
      <c r="C978" s="53"/>
      <c r="D978" s="53"/>
      <c r="E978" s="53"/>
      <c r="F978" s="53"/>
      <c r="G978" s="53"/>
      <c r="H978" s="1"/>
      <c r="I978" s="1"/>
      <c r="J978" s="1"/>
    </row>
    <row r="979" ht="14.25" customHeight="1">
      <c r="A979" s="52"/>
      <c r="B979" s="52"/>
      <c r="C979" s="53"/>
      <c r="D979" s="53"/>
      <c r="E979" s="53"/>
      <c r="F979" s="53"/>
      <c r="G979" s="53"/>
      <c r="H979" s="1"/>
      <c r="I979" s="1"/>
      <c r="J979" s="1"/>
    </row>
    <row r="980" ht="14.25" customHeight="1">
      <c r="A980" s="52"/>
      <c r="B980" s="52"/>
      <c r="C980" s="53"/>
      <c r="D980" s="53"/>
      <c r="E980" s="53"/>
      <c r="F980" s="53"/>
      <c r="G980" s="53"/>
      <c r="H980" s="1"/>
      <c r="I980" s="1"/>
      <c r="J980" s="1"/>
    </row>
    <row r="981" ht="14.25" customHeight="1">
      <c r="A981" s="52"/>
      <c r="B981" s="52"/>
      <c r="C981" s="53"/>
      <c r="D981" s="53"/>
      <c r="E981" s="53"/>
      <c r="F981" s="53"/>
      <c r="G981" s="53"/>
      <c r="H981" s="1"/>
      <c r="I981" s="1"/>
      <c r="J981" s="1"/>
    </row>
    <row r="982" ht="14.25" customHeight="1">
      <c r="A982" s="52"/>
      <c r="B982" s="52"/>
      <c r="C982" s="53"/>
      <c r="D982" s="53"/>
      <c r="E982" s="53"/>
      <c r="F982" s="53"/>
      <c r="G982" s="53"/>
      <c r="H982" s="1"/>
      <c r="I982" s="1"/>
      <c r="J982" s="1"/>
    </row>
    <row r="983" ht="14.25" customHeight="1">
      <c r="A983" s="52"/>
      <c r="B983" s="52"/>
      <c r="C983" s="53"/>
      <c r="D983" s="53"/>
      <c r="E983" s="53"/>
      <c r="F983" s="53"/>
      <c r="G983" s="53"/>
      <c r="H983" s="1"/>
      <c r="I983" s="1"/>
      <c r="J983" s="1"/>
    </row>
    <row r="984" ht="14.25" customHeight="1">
      <c r="A984" s="52"/>
      <c r="B984" s="52"/>
      <c r="C984" s="53"/>
      <c r="D984" s="53"/>
      <c r="E984" s="53"/>
      <c r="F984" s="53"/>
      <c r="G984" s="53"/>
      <c r="H984" s="1"/>
      <c r="I984" s="1"/>
      <c r="J984" s="1"/>
    </row>
    <row r="985" ht="14.25" customHeight="1">
      <c r="A985" s="52"/>
      <c r="B985" s="52"/>
      <c r="C985" s="53"/>
      <c r="D985" s="53"/>
      <c r="E985" s="53"/>
      <c r="F985" s="53"/>
      <c r="G985" s="53"/>
      <c r="H985" s="1"/>
      <c r="I985" s="1"/>
      <c r="J985" s="1"/>
    </row>
    <row r="986" ht="14.25" customHeight="1">
      <c r="A986" s="52"/>
      <c r="B986" s="52"/>
      <c r="C986" s="53"/>
      <c r="D986" s="53"/>
      <c r="E986" s="53"/>
      <c r="F986" s="53"/>
      <c r="G986" s="53"/>
      <c r="H986" s="1"/>
      <c r="I986" s="1"/>
      <c r="J986" s="1"/>
    </row>
    <row r="987" ht="14.25" customHeight="1">
      <c r="A987" s="52"/>
      <c r="B987" s="52"/>
      <c r="C987" s="53"/>
      <c r="D987" s="53"/>
      <c r="E987" s="53"/>
      <c r="F987" s="53"/>
      <c r="G987" s="53"/>
      <c r="H987" s="1"/>
      <c r="I987" s="1"/>
      <c r="J987" s="1"/>
    </row>
    <row r="988" ht="14.25" customHeight="1">
      <c r="A988" s="52"/>
      <c r="B988" s="52"/>
      <c r="C988" s="53"/>
      <c r="D988" s="53"/>
      <c r="E988" s="53"/>
      <c r="F988" s="53"/>
      <c r="G988" s="53"/>
      <c r="H988" s="1"/>
      <c r="I988" s="1"/>
      <c r="J988" s="1"/>
    </row>
    <row r="989" ht="14.25" customHeight="1">
      <c r="A989" s="52"/>
      <c r="B989" s="52"/>
      <c r="C989" s="53"/>
      <c r="D989" s="53"/>
      <c r="E989" s="53"/>
      <c r="F989" s="53"/>
      <c r="G989" s="53"/>
      <c r="H989" s="1"/>
      <c r="I989" s="1"/>
      <c r="J989" s="1"/>
    </row>
    <row r="990" ht="14.25" customHeight="1">
      <c r="A990" s="52"/>
      <c r="B990" s="52"/>
      <c r="C990" s="53"/>
      <c r="D990" s="53"/>
      <c r="E990" s="53"/>
      <c r="F990" s="53"/>
      <c r="G990" s="53"/>
      <c r="H990" s="1"/>
      <c r="I990" s="1"/>
      <c r="J990" s="1"/>
    </row>
    <row r="991" ht="14.25" customHeight="1">
      <c r="A991" s="52"/>
      <c r="B991" s="52"/>
      <c r="C991" s="53"/>
      <c r="D991" s="53"/>
      <c r="E991" s="53"/>
      <c r="F991" s="53"/>
      <c r="G991" s="53"/>
      <c r="H991" s="1"/>
      <c r="I991" s="1"/>
      <c r="J991" s="1"/>
    </row>
    <row r="992" ht="14.25" customHeight="1">
      <c r="A992" s="52"/>
      <c r="B992" s="52"/>
      <c r="C992" s="53"/>
      <c r="D992" s="53"/>
      <c r="E992" s="53"/>
      <c r="F992" s="53"/>
      <c r="G992" s="53"/>
      <c r="H992" s="1"/>
      <c r="I992" s="1"/>
      <c r="J992" s="1"/>
    </row>
    <row r="993" ht="14.25" customHeight="1">
      <c r="A993" s="52"/>
      <c r="B993" s="52"/>
      <c r="C993" s="53"/>
      <c r="D993" s="53"/>
      <c r="E993" s="53"/>
      <c r="F993" s="53"/>
      <c r="G993" s="53"/>
      <c r="H993" s="1"/>
      <c r="I993" s="1"/>
      <c r="J993" s="1"/>
    </row>
    <row r="994" ht="14.25" customHeight="1">
      <c r="A994" s="52"/>
      <c r="B994" s="52"/>
      <c r="C994" s="53"/>
      <c r="D994" s="53"/>
      <c r="E994" s="53"/>
      <c r="F994" s="53"/>
      <c r="G994" s="53"/>
      <c r="H994" s="1"/>
      <c r="I994" s="1"/>
      <c r="J994" s="1"/>
    </row>
    <row r="995" ht="14.25" customHeight="1">
      <c r="A995" s="52"/>
      <c r="B995" s="52"/>
      <c r="C995" s="53"/>
      <c r="D995" s="53"/>
      <c r="E995" s="53"/>
      <c r="F995" s="53"/>
      <c r="G995" s="53"/>
      <c r="H995" s="1"/>
      <c r="I995" s="1"/>
      <c r="J995" s="1"/>
    </row>
    <row r="996" ht="14.25" customHeight="1">
      <c r="A996" s="52"/>
      <c r="B996" s="52"/>
      <c r="C996" s="53"/>
      <c r="D996" s="53"/>
      <c r="E996" s="53"/>
      <c r="F996" s="53"/>
      <c r="G996" s="53"/>
      <c r="H996" s="1"/>
      <c r="I996" s="1"/>
      <c r="J996" s="1"/>
    </row>
    <row r="997" ht="14.25" customHeight="1">
      <c r="A997" s="52"/>
      <c r="B997" s="52"/>
      <c r="C997" s="53"/>
      <c r="D997" s="53"/>
      <c r="E997" s="53"/>
      <c r="F997" s="53"/>
      <c r="G997" s="53"/>
      <c r="H997" s="1"/>
      <c r="I997" s="1"/>
      <c r="J997" s="1"/>
    </row>
    <row r="998" ht="14.25" customHeight="1">
      <c r="A998" s="52"/>
      <c r="B998" s="52"/>
      <c r="C998" s="53"/>
      <c r="D998" s="53"/>
      <c r="E998" s="53"/>
      <c r="F998" s="53"/>
      <c r="G998" s="53"/>
      <c r="H998" s="1"/>
      <c r="I998" s="1"/>
      <c r="J998" s="1"/>
    </row>
    <row r="999" ht="14.25" customHeight="1">
      <c r="A999" s="52"/>
      <c r="B999" s="52"/>
      <c r="C999" s="53"/>
      <c r="D999" s="53"/>
      <c r="E999" s="53"/>
      <c r="F999" s="53"/>
      <c r="G999" s="53"/>
      <c r="H999" s="1"/>
      <c r="I999" s="1"/>
      <c r="J999" s="1"/>
    </row>
    <row r="1000" ht="14.25" customHeight="1">
      <c r="A1000" s="52"/>
      <c r="B1000" s="52"/>
      <c r="C1000" s="53"/>
      <c r="D1000" s="53"/>
      <c r="E1000" s="53"/>
      <c r="F1000" s="53"/>
      <c r="G1000" s="53"/>
      <c r="H1000" s="1"/>
      <c r="I1000" s="1"/>
      <c r="J1000" s="1"/>
    </row>
  </sheetData>
  <mergeCells count="3">
    <mergeCell ref="A2:H2"/>
    <mergeCell ref="A4:H4"/>
    <mergeCell ref="A103:H103"/>
  </mergeCells>
  <hyperlinks>
    <hyperlink r:id="rId1" ref="D8"/>
    <hyperlink r:id="rId2" ref="E10"/>
    <hyperlink r:id="rId3" ref="E13"/>
    <hyperlink r:id="rId4" ref="E14"/>
    <hyperlink r:id="rId5" ref="E20"/>
    <hyperlink r:id="rId6" ref="E21"/>
    <hyperlink r:id="rId7" ref="E22"/>
    <hyperlink r:id="rId8" ref="E23"/>
    <hyperlink r:id="rId9" ref="E24"/>
    <hyperlink r:id="rId10" ref="E25"/>
    <hyperlink r:id="rId11" ref="E29"/>
    <hyperlink r:id="rId12" ref="E30"/>
    <hyperlink r:id="rId13" ref="E31"/>
    <hyperlink r:id="rId14" ref="A39"/>
    <hyperlink r:id="rId15" ref="E42"/>
    <hyperlink r:id="rId16" ref="E44"/>
    <hyperlink r:id="rId17" ref="E45"/>
    <hyperlink r:id="rId18" ref="E46"/>
    <hyperlink r:id="rId19" ref="E47"/>
    <hyperlink r:id="rId20" ref="E48"/>
    <hyperlink r:id="rId21" ref="E50"/>
    <hyperlink r:id="rId22" ref="E51"/>
    <hyperlink r:id="rId23" ref="E52"/>
    <hyperlink r:id="rId24" ref="E53"/>
    <hyperlink r:id="rId25" ref="E57"/>
    <hyperlink r:id="rId26" ref="E58"/>
    <hyperlink r:id="rId27" ref="E59"/>
    <hyperlink r:id="rId28" ref="E60"/>
    <hyperlink r:id="rId29" ref="E61"/>
    <hyperlink r:id="rId30" ref="E62"/>
    <hyperlink r:id="rId31" ref="E63"/>
    <hyperlink r:id="rId32" ref="E64"/>
    <hyperlink r:id="rId33" ref="E65"/>
    <hyperlink r:id="rId34" ref="E66"/>
    <hyperlink r:id="rId35" ref="E67"/>
    <hyperlink r:id="rId36" ref="E68"/>
    <hyperlink r:id="rId37" ref="E69"/>
    <hyperlink r:id="rId38" ref="E96"/>
    <hyperlink r:id="rId39" ref="E97"/>
  </hyperlinks>
  <printOptions/>
  <pageMargins bottom="0.75" footer="0.0" header="0.0" left="0.7" right="0.7" top="0.75"/>
  <pageSetup orientation="landscape"/>
  <drawing r:id="rId4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2009-01-26T16:08:31Z</dcterms:created>
  <dc:creator>Claudiu</dc:creator>
</cp:coreProperties>
</file>

<file path=docProps/custom.xml><?xml version="1.0" encoding="utf-8"?>
<Properties xmlns="http://schemas.openxmlformats.org/officeDocument/2006/custom-properties" xmlns:vt="http://schemas.openxmlformats.org/officeDocument/2006/docPropsVTypes"/>
</file>